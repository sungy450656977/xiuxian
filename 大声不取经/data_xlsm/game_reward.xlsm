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450" windowWidth="20730" windowHeight="1152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</sheets>
  <functionGroups/>
  <definedNames>
    <definedName name="_xlnm._FilterDatabase" localSheetId="0" hidden="1">Sheet1!$A$3:$E$3</definedName>
    <definedName name="_xlnm._FilterDatabase" localSheetId="5" hidden="1">Sheet6!$A$1:$R$705</definedName>
  </definedNames>
  <calcPr calcId="125725"/>
</workbook>
</file>

<file path=xl/calcChain.xml><?xml version="1.0" encoding="utf-8"?>
<calcChain xmlns="http://schemas.openxmlformats.org/spreadsheetml/2006/main">
  <c r="D6" i="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16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D490"/>
  <c r="D491"/>
  <c r="D492"/>
  <c r="D493"/>
  <c r="D494"/>
  <c r="D495"/>
  <c r="D496"/>
  <c r="D497"/>
  <c r="D498"/>
  <c r="D499"/>
  <c r="D500"/>
  <c r="D501"/>
  <c r="D502"/>
  <c r="D503"/>
  <c r="D504"/>
  <c r="D505"/>
  <c r="D506"/>
  <c r="D507"/>
  <c r="D508"/>
  <c r="D509"/>
  <c r="D510"/>
  <c r="D511"/>
  <c r="D512"/>
  <c r="D513"/>
  <c r="D514"/>
  <c r="D515"/>
  <c r="D516"/>
  <c r="D517"/>
  <c r="D518"/>
  <c r="D519"/>
  <c r="D520"/>
  <c r="D521"/>
  <c r="D522"/>
  <c r="D523"/>
  <c r="D524"/>
  <c r="D525"/>
  <c r="D526"/>
  <c r="D527"/>
  <c r="D528"/>
  <c r="D529"/>
  <c r="D530"/>
  <c r="D531"/>
  <c r="D532"/>
  <c r="D533"/>
  <c r="D534"/>
  <c r="D535"/>
  <c r="D536"/>
  <c r="D537"/>
  <c r="D538"/>
  <c r="D539"/>
  <c r="D540"/>
  <c r="D541"/>
  <c r="D542"/>
  <c r="D543"/>
  <c r="D544"/>
  <c r="D545"/>
  <c r="D546"/>
  <c r="D547"/>
  <c r="D548"/>
  <c r="D549"/>
  <c r="D550"/>
  <c r="D551"/>
  <c r="D552"/>
  <c r="D553"/>
  <c r="D554"/>
  <c r="D555"/>
  <c r="D556"/>
  <c r="D557"/>
  <c r="D558"/>
  <c r="D559"/>
  <c r="D560"/>
  <c r="D561"/>
  <c r="D562"/>
  <c r="D563"/>
  <c r="D564"/>
  <c r="D565"/>
  <c r="D566"/>
  <c r="D567"/>
  <c r="D568"/>
  <c r="D569"/>
  <c r="D570"/>
  <c r="D571"/>
  <c r="D572"/>
  <c r="D573"/>
  <c r="D574"/>
  <c r="D575"/>
  <c r="D576"/>
  <c r="D577"/>
  <c r="D578"/>
  <c r="D579"/>
  <c r="D580"/>
  <c r="D581"/>
  <c r="D582"/>
  <c r="D583"/>
  <c r="D584"/>
  <c r="D585"/>
  <c r="D586"/>
  <c r="D587"/>
  <c r="D588"/>
  <c r="D589"/>
  <c r="D590"/>
  <c r="D591"/>
  <c r="D592"/>
  <c r="D593"/>
  <c r="D594"/>
  <c r="D595"/>
  <c r="D596"/>
  <c r="D597"/>
  <c r="D598"/>
  <c r="D599"/>
  <c r="D600"/>
  <c r="D601"/>
  <c r="D602"/>
  <c r="D603"/>
  <c r="D604"/>
  <c r="D605"/>
  <c r="D606"/>
  <c r="D607"/>
  <c r="D608"/>
  <c r="D609"/>
  <c r="D610"/>
  <c r="D611"/>
  <c r="D612"/>
  <c r="D613"/>
  <c r="D614"/>
  <c r="D615"/>
  <c r="H615" s="1"/>
  <c r="K615" s="1"/>
  <c r="D616"/>
  <c r="D617"/>
  <c r="D618"/>
  <c r="D619"/>
  <c r="H619" s="1"/>
  <c r="K619" s="1"/>
  <c r="D620"/>
  <c r="D621"/>
  <c r="D622"/>
  <c r="D623"/>
  <c r="H623" s="1"/>
  <c r="K623" s="1"/>
  <c r="D624"/>
  <c r="D625"/>
  <c r="D626"/>
  <c r="D627"/>
  <c r="H627" s="1"/>
  <c r="K627" s="1"/>
  <c r="D628"/>
  <c r="D629"/>
  <c r="D630"/>
  <c r="D631"/>
  <c r="H631" s="1"/>
  <c r="K631" s="1"/>
  <c r="D632"/>
  <c r="D633"/>
  <c r="D634"/>
  <c r="D635"/>
  <c r="D636"/>
  <c r="D637"/>
  <c r="D638"/>
  <c r="D639"/>
  <c r="H639" s="1"/>
  <c r="K639" s="1"/>
  <c r="D640"/>
  <c r="D641"/>
  <c r="D642"/>
  <c r="D643"/>
  <c r="H643" s="1"/>
  <c r="K643" s="1"/>
  <c r="D644"/>
  <c r="D645"/>
  <c r="H645" s="1"/>
  <c r="K645" s="1"/>
  <c r="D646"/>
  <c r="D647"/>
  <c r="H647" s="1"/>
  <c r="K647" s="1"/>
  <c r="D648"/>
  <c r="D649"/>
  <c r="H649" s="1"/>
  <c r="K649" s="1"/>
  <c r="D650"/>
  <c r="D651"/>
  <c r="D652"/>
  <c r="D653"/>
  <c r="H653" s="1"/>
  <c r="K653" s="1"/>
  <c r="D654"/>
  <c r="H654" s="1"/>
  <c r="K654" s="1"/>
  <c r="D655"/>
  <c r="H655" s="1"/>
  <c r="K655" s="1"/>
  <c r="D656"/>
  <c r="H656" s="1"/>
  <c r="K656" s="1"/>
  <c r="D657"/>
  <c r="D658"/>
  <c r="D659"/>
  <c r="H659" s="1"/>
  <c r="K659" s="1"/>
  <c r="D660"/>
  <c r="H660" s="1"/>
  <c r="K660" s="1"/>
  <c r="D3"/>
  <c r="D4"/>
  <c r="D5"/>
  <c r="D2"/>
  <c r="H657"/>
  <c r="K657" s="1"/>
  <c r="H641"/>
  <c r="K641" s="1"/>
  <c r="H637"/>
  <c r="K637" s="1"/>
  <c r="R617"/>
  <c r="R618"/>
  <c r="R619"/>
  <c r="R620"/>
  <c r="R621"/>
  <c r="R622"/>
  <c r="R623"/>
  <c r="R624"/>
  <c r="R625"/>
  <c r="R626"/>
  <c r="R627"/>
  <c r="R628"/>
  <c r="R629"/>
  <c r="R630"/>
  <c r="R631"/>
  <c r="R632"/>
  <c r="R633"/>
  <c r="R634"/>
  <c r="R635"/>
  <c r="R636"/>
  <c r="R637"/>
  <c r="R638"/>
  <c r="R639"/>
  <c r="R640"/>
  <c r="R641"/>
  <c r="R642"/>
  <c r="R643"/>
  <c r="R644"/>
  <c r="R645"/>
  <c r="R646"/>
  <c r="R647"/>
  <c r="R648"/>
  <c r="R649"/>
  <c r="R650"/>
  <c r="R651"/>
  <c r="R652"/>
  <c r="R653"/>
  <c r="R654"/>
  <c r="R655"/>
  <c r="R656"/>
  <c r="R657"/>
  <c r="R658"/>
  <c r="R659"/>
  <c r="R660"/>
  <c r="R3"/>
  <c r="R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R97"/>
  <c r="R98"/>
  <c r="R99"/>
  <c r="R100"/>
  <c r="R101"/>
  <c r="R102"/>
  <c r="R103"/>
  <c r="R104"/>
  <c r="R105"/>
  <c r="R106"/>
  <c r="R107"/>
  <c r="R108"/>
  <c r="R109"/>
  <c r="R110"/>
  <c r="R111"/>
  <c r="R112"/>
  <c r="R113"/>
  <c r="R114"/>
  <c r="R115"/>
  <c r="R116"/>
  <c r="R117"/>
  <c r="R118"/>
  <c r="R119"/>
  <c r="R120"/>
  <c r="R121"/>
  <c r="R122"/>
  <c r="R123"/>
  <c r="R124"/>
  <c r="R125"/>
  <c r="R126"/>
  <c r="R127"/>
  <c r="R128"/>
  <c r="R129"/>
  <c r="R130"/>
  <c r="R131"/>
  <c r="R132"/>
  <c r="R133"/>
  <c r="R134"/>
  <c r="R135"/>
  <c r="R136"/>
  <c r="R137"/>
  <c r="R138"/>
  <c r="R139"/>
  <c r="R140"/>
  <c r="R141"/>
  <c r="R142"/>
  <c r="R143"/>
  <c r="R144"/>
  <c r="R145"/>
  <c r="R146"/>
  <c r="R147"/>
  <c r="R148"/>
  <c r="R149"/>
  <c r="R150"/>
  <c r="R151"/>
  <c r="R152"/>
  <c r="R153"/>
  <c r="R154"/>
  <c r="R155"/>
  <c r="R156"/>
  <c r="R157"/>
  <c r="R158"/>
  <c r="R159"/>
  <c r="R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R202"/>
  <c r="R203"/>
  <c r="R204"/>
  <c r="R205"/>
  <c r="R206"/>
  <c r="R207"/>
  <c r="R208"/>
  <c r="R209"/>
  <c r="R210"/>
  <c r="R211"/>
  <c r="R212"/>
  <c r="R213"/>
  <c r="R214"/>
  <c r="R215"/>
  <c r="R216"/>
  <c r="R217"/>
  <c r="R218"/>
  <c r="R219"/>
  <c r="R220"/>
  <c r="R221"/>
  <c r="R222"/>
  <c r="R223"/>
  <c r="R224"/>
  <c r="R225"/>
  <c r="R226"/>
  <c r="R227"/>
  <c r="R228"/>
  <c r="R229"/>
  <c r="R230"/>
  <c r="R231"/>
  <c r="R232"/>
  <c r="R233"/>
  <c r="R234"/>
  <c r="R235"/>
  <c r="R236"/>
  <c r="R237"/>
  <c r="R238"/>
  <c r="R239"/>
  <c r="R240"/>
  <c r="R241"/>
  <c r="R242"/>
  <c r="R243"/>
  <c r="R244"/>
  <c r="R245"/>
  <c r="R246"/>
  <c r="R247"/>
  <c r="R248"/>
  <c r="R249"/>
  <c r="R250"/>
  <c r="R251"/>
  <c r="R252"/>
  <c r="R253"/>
  <c r="R254"/>
  <c r="R255"/>
  <c r="R256"/>
  <c r="R257"/>
  <c r="R258"/>
  <c r="R259"/>
  <c r="R260"/>
  <c r="R261"/>
  <c r="R262"/>
  <c r="R263"/>
  <c r="R264"/>
  <c r="R265"/>
  <c r="R266"/>
  <c r="R267"/>
  <c r="R268"/>
  <c r="R269"/>
  <c r="R270"/>
  <c r="R271"/>
  <c r="R272"/>
  <c r="R273"/>
  <c r="R274"/>
  <c r="R275"/>
  <c r="R276"/>
  <c r="R277"/>
  <c r="R278"/>
  <c r="R279"/>
  <c r="R280"/>
  <c r="R281"/>
  <c r="R282"/>
  <c r="R283"/>
  <c r="R284"/>
  <c r="R285"/>
  <c r="R286"/>
  <c r="R287"/>
  <c r="R288"/>
  <c r="R289"/>
  <c r="R290"/>
  <c r="R291"/>
  <c r="R292"/>
  <c r="R293"/>
  <c r="R294"/>
  <c r="R295"/>
  <c r="R296"/>
  <c r="R297"/>
  <c r="R298"/>
  <c r="R299"/>
  <c r="R300"/>
  <c r="R301"/>
  <c r="R302"/>
  <c r="R303"/>
  <c r="R304"/>
  <c r="R305"/>
  <c r="R306"/>
  <c r="R307"/>
  <c r="R308"/>
  <c r="R309"/>
  <c r="R310"/>
  <c r="R311"/>
  <c r="R312"/>
  <c r="R313"/>
  <c r="R314"/>
  <c r="R315"/>
  <c r="R316"/>
  <c r="R317"/>
  <c r="R318"/>
  <c r="R319"/>
  <c r="R320"/>
  <c r="R321"/>
  <c r="R322"/>
  <c r="R323"/>
  <c r="R324"/>
  <c r="R325"/>
  <c r="R326"/>
  <c r="R327"/>
  <c r="R328"/>
  <c r="R329"/>
  <c r="R330"/>
  <c r="R331"/>
  <c r="R332"/>
  <c r="R333"/>
  <c r="R334"/>
  <c r="R335"/>
  <c r="R336"/>
  <c r="R337"/>
  <c r="R338"/>
  <c r="R339"/>
  <c r="R340"/>
  <c r="R341"/>
  <c r="R342"/>
  <c r="R343"/>
  <c r="R344"/>
  <c r="R345"/>
  <c r="R346"/>
  <c r="R347"/>
  <c r="R348"/>
  <c r="R349"/>
  <c r="R350"/>
  <c r="R351"/>
  <c r="R352"/>
  <c r="R353"/>
  <c r="R354"/>
  <c r="R355"/>
  <c r="R356"/>
  <c r="R357"/>
  <c r="R358"/>
  <c r="R359"/>
  <c r="R360"/>
  <c r="R361"/>
  <c r="R362"/>
  <c r="R363"/>
  <c r="R364"/>
  <c r="R365"/>
  <c r="R366"/>
  <c r="R367"/>
  <c r="R368"/>
  <c r="R369"/>
  <c r="R370"/>
  <c r="R371"/>
  <c r="R372"/>
  <c r="R373"/>
  <c r="R374"/>
  <c r="R375"/>
  <c r="R376"/>
  <c r="R377"/>
  <c r="R378"/>
  <c r="R379"/>
  <c r="R380"/>
  <c r="R381"/>
  <c r="R382"/>
  <c r="R383"/>
  <c r="R384"/>
  <c r="R385"/>
  <c r="R386"/>
  <c r="R387"/>
  <c r="R388"/>
  <c r="R389"/>
  <c r="R390"/>
  <c r="R391"/>
  <c r="R392"/>
  <c r="R393"/>
  <c r="R394"/>
  <c r="R395"/>
  <c r="R396"/>
  <c r="R397"/>
  <c r="R398"/>
  <c r="R399"/>
  <c r="R400"/>
  <c r="R401"/>
  <c r="R402"/>
  <c r="R403"/>
  <c r="R404"/>
  <c r="R405"/>
  <c r="R406"/>
  <c r="R407"/>
  <c r="R408"/>
  <c r="R409"/>
  <c r="R410"/>
  <c r="R411"/>
  <c r="R412"/>
  <c r="R413"/>
  <c r="R414"/>
  <c r="R415"/>
  <c r="R416"/>
  <c r="R417"/>
  <c r="R418"/>
  <c r="R419"/>
  <c r="R420"/>
  <c r="R421"/>
  <c r="R422"/>
  <c r="R423"/>
  <c r="R424"/>
  <c r="R425"/>
  <c r="R426"/>
  <c r="R427"/>
  <c r="R428"/>
  <c r="R429"/>
  <c r="R430"/>
  <c r="R431"/>
  <c r="R432"/>
  <c r="R433"/>
  <c r="R434"/>
  <c r="R435"/>
  <c r="R436"/>
  <c r="R437"/>
  <c r="R438"/>
  <c r="R439"/>
  <c r="R440"/>
  <c r="R441"/>
  <c r="R442"/>
  <c r="R443"/>
  <c r="R444"/>
  <c r="R445"/>
  <c r="R446"/>
  <c r="R447"/>
  <c r="R448"/>
  <c r="R449"/>
  <c r="R450"/>
  <c r="R451"/>
  <c r="R452"/>
  <c r="R453"/>
  <c r="R454"/>
  <c r="R455"/>
  <c r="R456"/>
  <c r="R457"/>
  <c r="R458"/>
  <c r="R459"/>
  <c r="R460"/>
  <c r="R461"/>
  <c r="R462"/>
  <c r="R463"/>
  <c r="R464"/>
  <c r="R465"/>
  <c r="R466"/>
  <c r="R467"/>
  <c r="R468"/>
  <c r="R469"/>
  <c r="R470"/>
  <c r="R471"/>
  <c r="R472"/>
  <c r="R473"/>
  <c r="R474"/>
  <c r="R475"/>
  <c r="R476"/>
  <c r="R477"/>
  <c r="R478"/>
  <c r="R479"/>
  <c r="R480"/>
  <c r="R481"/>
  <c r="R482"/>
  <c r="R483"/>
  <c r="R484"/>
  <c r="R485"/>
  <c r="R486"/>
  <c r="R487"/>
  <c r="R488"/>
  <c r="R489"/>
  <c r="R490"/>
  <c r="R491"/>
  <c r="R492"/>
  <c r="R493"/>
  <c r="R494"/>
  <c r="R495"/>
  <c r="R496"/>
  <c r="R497"/>
  <c r="R498"/>
  <c r="R499"/>
  <c r="R500"/>
  <c r="R501"/>
  <c r="R502"/>
  <c r="R503"/>
  <c r="R504"/>
  <c r="R505"/>
  <c r="R506"/>
  <c r="R507"/>
  <c r="R508"/>
  <c r="R509"/>
  <c r="R510"/>
  <c r="R511"/>
  <c r="R512"/>
  <c r="R513"/>
  <c r="R514"/>
  <c r="R515"/>
  <c r="R516"/>
  <c r="R517"/>
  <c r="R518"/>
  <c r="R519"/>
  <c r="R520"/>
  <c r="R521"/>
  <c r="R522"/>
  <c r="R523"/>
  <c r="R524"/>
  <c r="R525"/>
  <c r="R526"/>
  <c r="R527"/>
  <c r="R528"/>
  <c r="R529"/>
  <c r="R530"/>
  <c r="R531"/>
  <c r="R532"/>
  <c r="R533"/>
  <c r="R534"/>
  <c r="R535"/>
  <c r="R536"/>
  <c r="R537"/>
  <c r="R538"/>
  <c r="R539"/>
  <c r="R540"/>
  <c r="R541"/>
  <c r="R542"/>
  <c r="R543"/>
  <c r="R544"/>
  <c r="R545"/>
  <c r="R546"/>
  <c r="R547"/>
  <c r="R548"/>
  <c r="R549"/>
  <c r="R550"/>
  <c r="R551"/>
  <c r="R552"/>
  <c r="R553"/>
  <c r="R554"/>
  <c r="R555"/>
  <c r="R556"/>
  <c r="R557"/>
  <c r="R558"/>
  <c r="R559"/>
  <c r="R560"/>
  <c r="R561"/>
  <c r="R562"/>
  <c r="R563"/>
  <c r="R564"/>
  <c r="R565"/>
  <c r="R566"/>
  <c r="R567"/>
  <c r="R568"/>
  <c r="R569"/>
  <c r="R570"/>
  <c r="R571"/>
  <c r="R572"/>
  <c r="R573"/>
  <c r="R574"/>
  <c r="R575"/>
  <c r="R576"/>
  <c r="R577"/>
  <c r="R578"/>
  <c r="R579"/>
  <c r="R580"/>
  <c r="R581"/>
  <c r="R582"/>
  <c r="R583"/>
  <c r="R584"/>
  <c r="R585"/>
  <c r="R586"/>
  <c r="R587"/>
  <c r="R588"/>
  <c r="R589"/>
  <c r="R590"/>
  <c r="R591"/>
  <c r="R592"/>
  <c r="R593"/>
  <c r="R594"/>
  <c r="R595"/>
  <c r="R596"/>
  <c r="R597"/>
  <c r="R598"/>
  <c r="R599"/>
  <c r="R600"/>
  <c r="R601"/>
  <c r="R602"/>
  <c r="R603"/>
  <c r="R604"/>
  <c r="R605"/>
  <c r="R606"/>
  <c r="R607"/>
  <c r="R608"/>
  <c r="R609"/>
  <c r="R610"/>
  <c r="R611"/>
  <c r="R612"/>
  <c r="R613"/>
  <c r="R614"/>
  <c r="R615"/>
  <c r="R616"/>
  <c r="R2"/>
  <c r="H646"/>
  <c r="K646" s="1"/>
  <c r="H648"/>
  <c r="K648" s="1"/>
  <c r="H650"/>
  <c r="K650" s="1"/>
  <c r="H651"/>
  <c r="K651" s="1"/>
  <c r="H652"/>
  <c r="K652" s="1"/>
  <c r="H658"/>
  <c r="K658" s="1"/>
  <c r="H635"/>
  <c r="K635" s="1"/>
  <c r="H636"/>
  <c r="K636" s="1"/>
  <c r="H638"/>
  <c r="K638" s="1"/>
  <c r="H640"/>
  <c r="K640" s="1"/>
  <c r="H642"/>
  <c r="K642" s="1"/>
  <c r="H644"/>
  <c r="K644" s="1"/>
  <c r="H614"/>
  <c r="K614" s="1"/>
  <c r="H616"/>
  <c r="K616" s="1"/>
  <c r="H617"/>
  <c r="K617" s="1"/>
  <c r="H618"/>
  <c r="K618" s="1"/>
  <c r="H620"/>
  <c r="K620" s="1"/>
  <c r="H621"/>
  <c r="K621" s="1"/>
  <c r="H622"/>
  <c r="K622" s="1"/>
  <c r="H624"/>
  <c r="K624" s="1"/>
  <c r="H625"/>
  <c r="K625" s="1"/>
  <c r="H626"/>
  <c r="K626" s="1"/>
  <c r="H628"/>
  <c r="K628" s="1"/>
  <c r="H629"/>
  <c r="K629" s="1"/>
  <c r="H630"/>
  <c r="K630" s="1"/>
  <c r="H632"/>
  <c r="K632" s="1"/>
  <c r="H633"/>
  <c r="K633" s="1"/>
  <c r="H634"/>
  <c r="K634" s="1"/>
  <c r="A649"/>
  <c r="A650"/>
  <c r="A651"/>
  <c r="A652"/>
  <c r="A653"/>
  <c r="A654"/>
  <c r="A655"/>
  <c r="A656"/>
  <c r="A657"/>
  <c r="A658"/>
  <c r="A659"/>
  <c r="A660"/>
  <c r="A635"/>
  <c r="A636"/>
  <c r="A637"/>
  <c r="A638"/>
  <c r="A639"/>
  <c r="A640"/>
  <c r="A641"/>
  <c r="A642"/>
  <c r="A643"/>
  <c r="A644"/>
  <c r="A645"/>
  <c r="A646"/>
  <c r="A647"/>
  <c r="A648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2" i="7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1"/>
  <c r="A3" i="6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74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2"/>
  <c r="H54"/>
  <c r="K54" s="1"/>
  <c r="H55"/>
  <c r="K55" s="1"/>
  <c r="H56"/>
  <c r="K56" s="1"/>
  <c r="H57"/>
  <c r="K57" s="1"/>
  <c r="H58"/>
  <c r="K58" s="1"/>
  <c r="H59"/>
  <c r="K59" s="1"/>
  <c r="H60"/>
  <c r="K60" s="1"/>
  <c r="H61"/>
  <c r="K61" s="1"/>
  <c r="H62"/>
  <c r="K62" s="1"/>
  <c r="H63"/>
  <c r="K63" s="1"/>
  <c r="H64"/>
  <c r="K64" s="1"/>
  <c r="H65"/>
  <c r="K65" s="1"/>
  <c r="H66"/>
  <c r="K66" s="1"/>
  <c r="H67"/>
  <c r="K67" s="1"/>
  <c r="H68"/>
  <c r="K68" s="1"/>
  <c r="H69"/>
  <c r="K69" s="1"/>
  <c r="H70"/>
  <c r="K70" s="1"/>
  <c r="H71"/>
  <c r="K71" s="1"/>
  <c r="H72"/>
  <c r="K72" s="1"/>
  <c r="H73"/>
  <c r="K73" s="1"/>
  <c r="H74"/>
  <c r="K74" s="1"/>
  <c r="H75"/>
  <c r="K75" s="1"/>
  <c r="H76"/>
  <c r="K76" s="1"/>
  <c r="H77"/>
  <c r="K77" s="1"/>
  <c r="H78"/>
  <c r="K78" s="1"/>
  <c r="H79"/>
  <c r="K79" s="1"/>
  <c r="H80"/>
  <c r="K80" s="1"/>
  <c r="H81"/>
  <c r="K81" s="1"/>
  <c r="H82"/>
  <c r="K82" s="1"/>
  <c r="H83"/>
  <c r="K83" s="1"/>
  <c r="H84"/>
  <c r="K84" s="1"/>
  <c r="H85"/>
  <c r="K85" s="1"/>
  <c r="H86"/>
  <c r="K86" s="1"/>
  <c r="H87"/>
  <c r="K87" s="1"/>
  <c r="H88"/>
  <c r="K88" s="1"/>
  <c r="H89"/>
  <c r="K89" s="1"/>
  <c r="H90"/>
  <c r="K90" s="1"/>
  <c r="H91"/>
  <c r="K91" s="1"/>
  <c r="H92"/>
  <c r="K92" s="1"/>
  <c r="H93"/>
  <c r="K93" s="1"/>
  <c r="H94"/>
  <c r="K94" s="1"/>
  <c r="H95"/>
  <c r="K95" s="1"/>
  <c r="H96"/>
  <c r="K96" s="1"/>
  <c r="H97"/>
  <c r="K97" s="1"/>
  <c r="H98"/>
  <c r="K98" s="1"/>
  <c r="H99"/>
  <c r="K99" s="1"/>
  <c r="H100"/>
  <c r="K100" s="1"/>
  <c r="H101"/>
  <c r="K101" s="1"/>
  <c r="H102"/>
  <c r="K102" s="1"/>
  <c r="H103"/>
  <c r="K103" s="1"/>
  <c r="H104"/>
  <c r="K104" s="1"/>
  <c r="H105"/>
  <c r="K105" s="1"/>
  <c r="H106"/>
  <c r="H107"/>
  <c r="K107" s="1"/>
  <c r="H108"/>
  <c r="K108" s="1"/>
  <c r="H109"/>
  <c r="K109" s="1"/>
  <c r="H110"/>
  <c r="K110" s="1"/>
  <c r="H111"/>
  <c r="K111" s="1"/>
  <c r="H112"/>
  <c r="K112" s="1"/>
  <c r="H113"/>
  <c r="K113" s="1"/>
  <c r="H114"/>
  <c r="K114" s="1"/>
  <c r="H115"/>
  <c r="K115" s="1"/>
  <c r="H116"/>
  <c r="K116" s="1"/>
  <c r="H117"/>
  <c r="K117" s="1"/>
  <c r="H118"/>
  <c r="K118" s="1"/>
  <c r="H119"/>
  <c r="K119" s="1"/>
  <c r="H120"/>
  <c r="K120" s="1"/>
  <c r="H121"/>
  <c r="K121" s="1"/>
  <c r="H122"/>
  <c r="K122" s="1"/>
  <c r="H123"/>
  <c r="K123" s="1"/>
  <c r="H124"/>
  <c r="K124" s="1"/>
  <c r="H125"/>
  <c r="K125" s="1"/>
  <c r="H126"/>
  <c r="K126" s="1"/>
  <c r="H127"/>
  <c r="K127" s="1"/>
  <c r="H128"/>
  <c r="K128" s="1"/>
  <c r="H129"/>
  <c r="K129" s="1"/>
  <c r="H130"/>
  <c r="K130" s="1"/>
  <c r="H131"/>
  <c r="K131" s="1"/>
  <c r="H132"/>
  <c r="K132" s="1"/>
  <c r="H133"/>
  <c r="K133" s="1"/>
  <c r="H134"/>
  <c r="K134" s="1"/>
  <c r="H135"/>
  <c r="K135" s="1"/>
  <c r="H136"/>
  <c r="K136" s="1"/>
  <c r="H137"/>
  <c r="K137" s="1"/>
  <c r="H138"/>
  <c r="K138" s="1"/>
  <c r="H139"/>
  <c r="K139" s="1"/>
  <c r="H140"/>
  <c r="K140" s="1"/>
  <c r="H141"/>
  <c r="K141" s="1"/>
  <c r="H142"/>
  <c r="K142" s="1"/>
  <c r="H143"/>
  <c r="K143" s="1"/>
  <c r="H144"/>
  <c r="K144" s="1"/>
  <c r="H145"/>
  <c r="K145" s="1"/>
  <c r="H146"/>
  <c r="K146" s="1"/>
  <c r="H147"/>
  <c r="K147" s="1"/>
  <c r="H148"/>
  <c r="K148" s="1"/>
  <c r="H149"/>
  <c r="K149" s="1"/>
  <c r="H150"/>
  <c r="K150" s="1"/>
  <c r="H151"/>
  <c r="K151" s="1"/>
  <c r="H152"/>
  <c r="K152" s="1"/>
  <c r="H153"/>
  <c r="K153" s="1"/>
  <c r="H154"/>
  <c r="K154" s="1"/>
  <c r="H155"/>
  <c r="K155" s="1"/>
  <c r="H156"/>
  <c r="K156" s="1"/>
  <c r="H157"/>
  <c r="K157" s="1"/>
  <c r="H158"/>
  <c r="K158" s="1"/>
  <c r="H159"/>
  <c r="K159" s="1"/>
  <c r="H160"/>
  <c r="K160" s="1"/>
  <c r="H161"/>
  <c r="K161" s="1"/>
  <c r="H162"/>
  <c r="K162" s="1"/>
  <c r="H163"/>
  <c r="K163" s="1"/>
  <c r="H164"/>
  <c r="K164" s="1"/>
  <c r="H165"/>
  <c r="K165" s="1"/>
  <c r="H166"/>
  <c r="K166" s="1"/>
  <c r="H167"/>
  <c r="K167" s="1"/>
  <c r="H168"/>
  <c r="K168" s="1"/>
  <c r="H169"/>
  <c r="K169" s="1"/>
  <c r="H170"/>
  <c r="K170" s="1"/>
  <c r="H171"/>
  <c r="K171" s="1"/>
  <c r="H172"/>
  <c r="K172" s="1"/>
  <c r="H173"/>
  <c r="K173" s="1"/>
  <c r="H174"/>
  <c r="K174" s="1"/>
  <c r="H175"/>
  <c r="K175" s="1"/>
  <c r="H176"/>
  <c r="K176" s="1"/>
  <c r="H177"/>
  <c r="K177" s="1"/>
  <c r="H178"/>
  <c r="K178" s="1"/>
  <c r="H179"/>
  <c r="K179" s="1"/>
  <c r="H180"/>
  <c r="K180" s="1"/>
  <c r="H181"/>
  <c r="K181" s="1"/>
  <c r="H182"/>
  <c r="K182" s="1"/>
  <c r="H183"/>
  <c r="K183" s="1"/>
  <c r="H184"/>
  <c r="K184" s="1"/>
  <c r="H185"/>
  <c r="K185" s="1"/>
  <c r="H186"/>
  <c r="K186" s="1"/>
  <c r="H187"/>
  <c r="K187" s="1"/>
  <c r="H188"/>
  <c r="K188" s="1"/>
  <c r="H189"/>
  <c r="K189" s="1"/>
  <c r="H190"/>
  <c r="K190" s="1"/>
  <c r="H191"/>
  <c r="K191" s="1"/>
  <c r="H192"/>
  <c r="K192" s="1"/>
  <c r="H193"/>
  <c r="K193" s="1"/>
  <c r="H194"/>
  <c r="K194" s="1"/>
  <c r="H195"/>
  <c r="K195" s="1"/>
  <c r="H196"/>
  <c r="K196" s="1"/>
  <c r="H197"/>
  <c r="K197" s="1"/>
  <c r="H198"/>
  <c r="K198" s="1"/>
  <c r="H199"/>
  <c r="K199" s="1"/>
  <c r="H200"/>
  <c r="K200" s="1"/>
  <c r="H201"/>
  <c r="K201" s="1"/>
  <c r="H202"/>
  <c r="K202" s="1"/>
  <c r="H203"/>
  <c r="K203" s="1"/>
  <c r="H204"/>
  <c r="K204" s="1"/>
  <c r="H205"/>
  <c r="K205" s="1"/>
  <c r="H206"/>
  <c r="K206" s="1"/>
  <c r="H207"/>
  <c r="K207" s="1"/>
  <c r="H208"/>
  <c r="K208" s="1"/>
  <c r="H209"/>
  <c r="K209" s="1"/>
  <c r="H210"/>
  <c r="H211"/>
  <c r="K211" s="1"/>
  <c r="H212"/>
  <c r="K212" s="1"/>
  <c r="H213"/>
  <c r="K213" s="1"/>
  <c r="H214"/>
  <c r="K214" s="1"/>
  <c r="H215"/>
  <c r="K215" s="1"/>
  <c r="H216"/>
  <c r="K216" s="1"/>
  <c r="H217"/>
  <c r="K217" s="1"/>
  <c r="H218"/>
  <c r="K218" s="1"/>
  <c r="H219"/>
  <c r="K219" s="1"/>
  <c r="H220"/>
  <c r="K220" s="1"/>
  <c r="H221"/>
  <c r="K221" s="1"/>
  <c r="H222"/>
  <c r="K222" s="1"/>
  <c r="H223"/>
  <c r="K223" s="1"/>
  <c r="H224"/>
  <c r="K224" s="1"/>
  <c r="H225"/>
  <c r="K225" s="1"/>
  <c r="H226"/>
  <c r="K226" s="1"/>
  <c r="H227"/>
  <c r="K227" s="1"/>
  <c r="H228"/>
  <c r="K228" s="1"/>
  <c r="H229"/>
  <c r="K229" s="1"/>
  <c r="H230"/>
  <c r="K230" s="1"/>
  <c r="H231"/>
  <c r="K231" s="1"/>
  <c r="H232"/>
  <c r="K232" s="1"/>
  <c r="H233"/>
  <c r="K233" s="1"/>
  <c r="H234"/>
  <c r="K234" s="1"/>
  <c r="H235"/>
  <c r="K235" s="1"/>
  <c r="H236"/>
  <c r="K236" s="1"/>
  <c r="H237"/>
  <c r="K237" s="1"/>
  <c r="H238"/>
  <c r="K238" s="1"/>
  <c r="H239"/>
  <c r="K239" s="1"/>
  <c r="H240"/>
  <c r="K240" s="1"/>
  <c r="H241"/>
  <c r="K241" s="1"/>
  <c r="H242"/>
  <c r="K242" s="1"/>
  <c r="H243"/>
  <c r="K243" s="1"/>
  <c r="H244"/>
  <c r="K244" s="1"/>
  <c r="H245"/>
  <c r="K245" s="1"/>
  <c r="H246"/>
  <c r="K246" s="1"/>
  <c r="H247"/>
  <c r="K247" s="1"/>
  <c r="H248"/>
  <c r="K248" s="1"/>
  <c r="H249"/>
  <c r="K249" s="1"/>
  <c r="H250"/>
  <c r="K250" s="1"/>
  <c r="H251"/>
  <c r="K251" s="1"/>
  <c r="H252"/>
  <c r="K252" s="1"/>
  <c r="H253"/>
  <c r="K253" s="1"/>
  <c r="H254"/>
  <c r="K254" s="1"/>
  <c r="H255"/>
  <c r="K255" s="1"/>
  <c r="H256"/>
  <c r="K256" s="1"/>
  <c r="H257"/>
  <c r="K257" s="1"/>
  <c r="H258"/>
  <c r="K258" s="1"/>
  <c r="H259"/>
  <c r="K259" s="1"/>
  <c r="H260"/>
  <c r="K260" s="1"/>
  <c r="H261"/>
  <c r="K261" s="1"/>
  <c r="H262"/>
  <c r="K262" s="1"/>
  <c r="H263"/>
  <c r="K263" s="1"/>
  <c r="H264"/>
  <c r="K264" s="1"/>
  <c r="H265"/>
  <c r="K265" s="1"/>
  <c r="H266"/>
  <c r="K266" s="1"/>
  <c r="H267"/>
  <c r="K267" s="1"/>
  <c r="H268"/>
  <c r="K268" s="1"/>
  <c r="H269"/>
  <c r="K269" s="1"/>
  <c r="H270"/>
  <c r="K270" s="1"/>
  <c r="H271"/>
  <c r="K271" s="1"/>
  <c r="H272"/>
  <c r="K272" s="1"/>
  <c r="H273"/>
  <c r="K273" s="1"/>
  <c r="H274"/>
  <c r="K274" s="1"/>
  <c r="H275"/>
  <c r="K275" s="1"/>
  <c r="H276"/>
  <c r="K276" s="1"/>
  <c r="H277"/>
  <c r="K277" s="1"/>
  <c r="H278"/>
  <c r="K278" s="1"/>
  <c r="H279"/>
  <c r="K279" s="1"/>
  <c r="H280"/>
  <c r="K280" s="1"/>
  <c r="H281"/>
  <c r="K281" s="1"/>
  <c r="H282"/>
  <c r="K282" s="1"/>
  <c r="H283"/>
  <c r="K283" s="1"/>
  <c r="H284"/>
  <c r="K284" s="1"/>
  <c r="H285"/>
  <c r="K285" s="1"/>
  <c r="H286"/>
  <c r="K286" s="1"/>
  <c r="H287"/>
  <c r="K287" s="1"/>
  <c r="H288"/>
  <c r="K288" s="1"/>
  <c r="H289"/>
  <c r="K289" s="1"/>
  <c r="H290"/>
  <c r="K290" s="1"/>
  <c r="H291"/>
  <c r="K291" s="1"/>
  <c r="H292"/>
  <c r="K292" s="1"/>
  <c r="H293"/>
  <c r="K293" s="1"/>
  <c r="H294"/>
  <c r="K294" s="1"/>
  <c r="H295"/>
  <c r="K295" s="1"/>
  <c r="H296"/>
  <c r="K296" s="1"/>
  <c r="H297"/>
  <c r="K297" s="1"/>
  <c r="H298"/>
  <c r="K298" s="1"/>
  <c r="H299"/>
  <c r="K299" s="1"/>
  <c r="H300"/>
  <c r="K300" s="1"/>
  <c r="H301"/>
  <c r="K301" s="1"/>
  <c r="H302"/>
  <c r="K302" s="1"/>
  <c r="H303"/>
  <c r="K303" s="1"/>
  <c r="H304"/>
  <c r="K304" s="1"/>
  <c r="H305"/>
  <c r="K305" s="1"/>
  <c r="H306"/>
  <c r="K306" s="1"/>
  <c r="H307"/>
  <c r="K307" s="1"/>
  <c r="H308"/>
  <c r="K308" s="1"/>
  <c r="H309"/>
  <c r="K309" s="1"/>
  <c r="H310"/>
  <c r="K310" s="1"/>
  <c r="H311"/>
  <c r="K311" s="1"/>
  <c r="H312"/>
  <c r="K312" s="1"/>
  <c r="H313"/>
  <c r="K313" s="1"/>
  <c r="H314"/>
  <c r="K314" s="1"/>
  <c r="H315"/>
  <c r="K315" s="1"/>
  <c r="H316"/>
  <c r="K316" s="1"/>
  <c r="H317"/>
  <c r="K317" s="1"/>
  <c r="H318"/>
  <c r="K318" s="1"/>
  <c r="H319"/>
  <c r="K319" s="1"/>
  <c r="H320"/>
  <c r="K320" s="1"/>
  <c r="H321"/>
  <c r="H322"/>
  <c r="K322" s="1"/>
  <c r="H323"/>
  <c r="K323" s="1"/>
  <c r="H324"/>
  <c r="K324" s="1"/>
  <c r="H325"/>
  <c r="K325" s="1"/>
  <c r="H326"/>
  <c r="K326" s="1"/>
  <c r="H327"/>
  <c r="K327" s="1"/>
  <c r="H328"/>
  <c r="K328" s="1"/>
  <c r="H329"/>
  <c r="K329" s="1"/>
  <c r="H330"/>
  <c r="K330" s="1"/>
  <c r="H331"/>
  <c r="K331" s="1"/>
  <c r="H332"/>
  <c r="K332" s="1"/>
  <c r="H333"/>
  <c r="K333" s="1"/>
  <c r="H334"/>
  <c r="K334" s="1"/>
  <c r="H335"/>
  <c r="K335" s="1"/>
  <c r="H336"/>
  <c r="K336" s="1"/>
  <c r="H337"/>
  <c r="K337" s="1"/>
  <c r="H338"/>
  <c r="K338" s="1"/>
  <c r="H339"/>
  <c r="K339" s="1"/>
  <c r="H340"/>
  <c r="K340" s="1"/>
  <c r="H341"/>
  <c r="K341" s="1"/>
  <c r="H342"/>
  <c r="K342" s="1"/>
  <c r="H343"/>
  <c r="K343" s="1"/>
  <c r="H344"/>
  <c r="K344" s="1"/>
  <c r="H345"/>
  <c r="K345" s="1"/>
  <c r="H346"/>
  <c r="K346" s="1"/>
  <c r="H347"/>
  <c r="K347" s="1"/>
  <c r="H348"/>
  <c r="K348" s="1"/>
  <c r="H349"/>
  <c r="K349" s="1"/>
  <c r="H350"/>
  <c r="K350" s="1"/>
  <c r="H351"/>
  <c r="K351" s="1"/>
  <c r="H352"/>
  <c r="K352" s="1"/>
  <c r="H353"/>
  <c r="K353" s="1"/>
  <c r="H354"/>
  <c r="K354" s="1"/>
  <c r="H355"/>
  <c r="K355" s="1"/>
  <c r="H356"/>
  <c r="K356" s="1"/>
  <c r="H357"/>
  <c r="K357" s="1"/>
  <c r="H358"/>
  <c r="K358" s="1"/>
  <c r="H359"/>
  <c r="K359" s="1"/>
  <c r="H360"/>
  <c r="K360" s="1"/>
  <c r="H361"/>
  <c r="K361" s="1"/>
  <c r="H362"/>
  <c r="K362" s="1"/>
  <c r="H363"/>
  <c r="K363" s="1"/>
  <c r="H364"/>
  <c r="K364" s="1"/>
  <c r="H365"/>
  <c r="K365" s="1"/>
  <c r="H366"/>
  <c r="K366" s="1"/>
  <c r="H367"/>
  <c r="K367" s="1"/>
  <c r="H368"/>
  <c r="K368" s="1"/>
  <c r="H369"/>
  <c r="K369" s="1"/>
  <c r="H370"/>
  <c r="K370" s="1"/>
  <c r="H371"/>
  <c r="K371" s="1"/>
  <c r="H372"/>
  <c r="K372" s="1"/>
  <c r="H373"/>
  <c r="H374"/>
  <c r="K374" s="1"/>
  <c r="H375"/>
  <c r="K375" s="1"/>
  <c r="H376"/>
  <c r="K376" s="1"/>
  <c r="H377"/>
  <c r="K377" s="1"/>
  <c r="H378"/>
  <c r="K378" s="1"/>
  <c r="H379"/>
  <c r="K379" s="1"/>
  <c r="H380"/>
  <c r="K380" s="1"/>
  <c r="H381"/>
  <c r="K381" s="1"/>
  <c r="H382"/>
  <c r="K382" s="1"/>
  <c r="H383"/>
  <c r="K383" s="1"/>
  <c r="H384"/>
  <c r="K384" s="1"/>
  <c r="H385"/>
  <c r="K385" s="1"/>
  <c r="H386"/>
  <c r="K386" s="1"/>
  <c r="H387"/>
  <c r="K387" s="1"/>
  <c r="H388"/>
  <c r="K388" s="1"/>
  <c r="H389"/>
  <c r="K389" s="1"/>
  <c r="H390"/>
  <c r="K390" s="1"/>
  <c r="H391"/>
  <c r="K391" s="1"/>
  <c r="H392"/>
  <c r="K392" s="1"/>
  <c r="H393"/>
  <c r="K393" s="1"/>
  <c r="H394"/>
  <c r="K394" s="1"/>
  <c r="H395"/>
  <c r="K395" s="1"/>
  <c r="H396"/>
  <c r="K396" s="1"/>
  <c r="H397"/>
  <c r="K397" s="1"/>
  <c r="H398"/>
  <c r="K398" s="1"/>
  <c r="H399"/>
  <c r="K399" s="1"/>
  <c r="H400"/>
  <c r="K400" s="1"/>
  <c r="H401"/>
  <c r="K401" s="1"/>
  <c r="H402"/>
  <c r="K402" s="1"/>
  <c r="H403"/>
  <c r="K403" s="1"/>
  <c r="H404"/>
  <c r="K404" s="1"/>
  <c r="H405"/>
  <c r="K405" s="1"/>
  <c r="H406"/>
  <c r="K406" s="1"/>
  <c r="H407"/>
  <c r="K407" s="1"/>
  <c r="H408"/>
  <c r="K408" s="1"/>
  <c r="H409"/>
  <c r="K409" s="1"/>
  <c r="H410"/>
  <c r="K410" s="1"/>
  <c r="H411"/>
  <c r="K411" s="1"/>
  <c r="H412"/>
  <c r="K412" s="1"/>
  <c r="H413"/>
  <c r="K413" s="1"/>
  <c r="H414"/>
  <c r="K414" s="1"/>
  <c r="H415"/>
  <c r="K415" s="1"/>
  <c r="H416"/>
  <c r="K416" s="1"/>
  <c r="H417"/>
  <c r="K417" s="1"/>
  <c r="H418"/>
  <c r="K418" s="1"/>
  <c r="H419"/>
  <c r="K419" s="1"/>
  <c r="H420"/>
  <c r="K420" s="1"/>
  <c r="H421"/>
  <c r="K421" s="1"/>
  <c r="H422"/>
  <c r="K422" s="1"/>
  <c r="H423"/>
  <c r="K423" s="1"/>
  <c r="H424"/>
  <c r="K424" s="1"/>
  <c r="H425"/>
  <c r="K425" s="1"/>
  <c r="H426"/>
  <c r="K426" s="1"/>
  <c r="H427"/>
  <c r="K427" s="1"/>
  <c r="H428"/>
  <c r="K428" s="1"/>
  <c r="H429"/>
  <c r="K429" s="1"/>
  <c r="H430"/>
  <c r="K430" s="1"/>
  <c r="H431"/>
  <c r="K431" s="1"/>
  <c r="H432"/>
  <c r="K432" s="1"/>
  <c r="H433"/>
  <c r="K433" s="1"/>
  <c r="H434"/>
  <c r="K434" s="1"/>
  <c r="H435"/>
  <c r="K435" s="1"/>
  <c r="H436"/>
  <c r="K436" s="1"/>
  <c r="H437"/>
  <c r="K437" s="1"/>
  <c r="H438"/>
  <c r="K438" s="1"/>
  <c r="H439"/>
  <c r="K439" s="1"/>
  <c r="H440"/>
  <c r="K440" s="1"/>
  <c r="H441"/>
  <c r="K441" s="1"/>
  <c r="H442"/>
  <c r="K442" s="1"/>
  <c r="H443"/>
  <c r="K443" s="1"/>
  <c r="H444"/>
  <c r="K444" s="1"/>
  <c r="H445"/>
  <c r="K445" s="1"/>
  <c r="H446"/>
  <c r="K446" s="1"/>
  <c r="H447"/>
  <c r="K447" s="1"/>
  <c r="H448"/>
  <c r="K448" s="1"/>
  <c r="H449"/>
  <c r="K449" s="1"/>
  <c r="H450"/>
  <c r="K450" s="1"/>
  <c r="H451"/>
  <c r="K451" s="1"/>
  <c r="H452"/>
  <c r="K452" s="1"/>
  <c r="H453"/>
  <c r="K453" s="1"/>
  <c r="H454"/>
  <c r="K454" s="1"/>
  <c r="H455"/>
  <c r="K455" s="1"/>
  <c r="H456"/>
  <c r="K456" s="1"/>
  <c r="H457"/>
  <c r="K457" s="1"/>
  <c r="H458"/>
  <c r="K458" s="1"/>
  <c r="H459"/>
  <c r="K459" s="1"/>
  <c r="H460"/>
  <c r="K460" s="1"/>
  <c r="H461"/>
  <c r="K461" s="1"/>
  <c r="H462"/>
  <c r="K462" s="1"/>
  <c r="H463"/>
  <c r="K463" s="1"/>
  <c r="H464"/>
  <c r="K464" s="1"/>
  <c r="H465"/>
  <c r="K465" s="1"/>
  <c r="H466"/>
  <c r="K466" s="1"/>
  <c r="H467"/>
  <c r="K467" s="1"/>
  <c r="H468"/>
  <c r="K468" s="1"/>
  <c r="H469"/>
  <c r="K469" s="1"/>
  <c r="H470"/>
  <c r="K470" s="1"/>
  <c r="H471"/>
  <c r="K471" s="1"/>
  <c r="H472"/>
  <c r="K472" s="1"/>
  <c r="H473"/>
  <c r="K473" s="1"/>
  <c r="H474"/>
  <c r="K474" s="1"/>
  <c r="H475"/>
  <c r="K475" s="1"/>
  <c r="H476"/>
  <c r="K476" s="1"/>
  <c r="H477"/>
  <c r="H478"/>
  <c r="K478" s="1"/>
  <c r="H479"/>
  <c r="K479" s="1"/>
  <c r="H480"/>
  <c r="K480" s="1"/>
  <c r="H481"/>
  <c r="K481" s="1"/>
  <c r="H482"/>
  <c r="K482" s="1"/>
  <c r="H483"/>
  <c r="K483" s="1"/>
  <c r="H484"/>
  <c r="K484" s="1"/>
  <c r="H485"/>
  <c r="K485" s="1"/>
  <c r="H486"/>
  <c r="K486" s="1"/>
  <c r="H487"/>
  <c r="K487" s="1"/>
  <c r="H488"/>
  <c r="K488" s="1"/>
  <c r="H489"/>
  <c r="K489" s="1"/>
  <c r="H490"/>
  <c r="K490" s="1"/>
  <c r="H491"/>
  <c r="K491" s="1"/>
  <c r="H492"/>
  <c r="K492" s="1"/>
  <c r="H493"/>
  <c r="K493" s="1"/>
  <c r="H494"/>
  <c r="K494" s="1"/>
  <c r="H495"/>
  <c r="K495" s="1"/>
  <c r="H496"/>
  <c r="K496" s="1"/>
  <c r="H497"/>
  <c r="K497" s="1"/>
  <c r="H498"/>
  <c r="K498" s="1"/>
  <c r="H499"/>
  <c r="K499" s="1"/>
  <c r="H500"/>
  <c r="K500" s="1"/>
  <c r="H501"/>
  <c r="K501" s="1"/>
  <c r="H502"/>
  <c r="K502" s="1"/>
  <c r="H503"/>
  <c r="K503" s="1"/>
  <c r="H504"/>
  <c r="K504" s="1"/>
  <c r="H505"/>
  <c r="K505" s="1"/>
  <c r="H506"/>
  <c r="K506" s="1"/>
  <c r="H507"/>
  <c r="K507" s="1"/>
  <c r="H508"/>
  <c r="K508" s="1"/>
  <c r="H509"/>
  <c r="K509" s="1"/>
  <c r="H510"/>
  <c r="K510" s="1"/>
  <c r="H511"/>
  <c r="K511" s="1"/>
  <c r="H512"/>
  <c r="K512" s="1"/>
  <c r="H513"/>
  <c r="K513" s="1"/>
  <c r="H514"/>
  <c r="K514" s="1"/>
  <c r="H515"/>
  <c r="K515" s="1"/>
  <c r="H516"/>
  <c r="K516" s="1"/>
  <c r="H517"/>
  <c r="K517" s="1"/>
  <c r="H518"/>
  <c r="K518" s="1"/>
  <c r="H519"/>
  <c r="K519" s="1"/>
  <c r="H520"/>
  <c r="K520" s="1"/>
  <c r="H521"/>
  <c r="K521" s="1"/>
  <c r="H522"/>
  <c r="K522" s="1"/>
  <c r="H523"/>
  <c r="K523" s="1"/>
  <c r="H524"/>
  <c r="K524" s="1"/>
  <c r="H525"/>
  <c r="K525" s="1"/>
  <c r="H526"/>
  <c r="K526" s="1"/>
  <c r="H527"/>
  <c r="K527" s="1"/>
  <c r="H528"/>
  <c r="K528" s="1"/>
  <c r="H529"/>
  <c r="H530"/>
  <c r="K530" s="1"/>
  <c r="H531"/>
  <c r="K531" s="1"/>
  <c r="H532"/>
  <c r="K532" s="1"/>
  <c r="H533"/>
  <c r="K533" s="1"/>
  <c r="H534"/>
  <c r="K534" s="1"/>
  <c r="H535"/>
  <c r="K535" s="1"/>
  <c r="H536"/>
  <c r="K536" s="1"/>
  <c r="H537"/>
  <c r="K537" s="1"/>
  <c r="H538"/>
  <c r="K538" s="1"/>
  <c r="H539"/>
  <c r="K539" s="1"/>
  <c r="H540"/>
  <c r="K540" s="1"/>
  <c r="H541"/>
  <c r="K541" s="1"/>
  <c r="H542"/>
  <c r="K542" s="1"/>
  <c r="H543"/>
  <c r="K543" s="1"/>
  <c r="H544"/>
  <c r="K544" s="1"/>
  <c r="H545"/>
  <c r="K545" s="1"/>
  <c r="H546"/>
  <c r="K546" s="1"/>
  <c r="H547"/>
  <c r="K547" s="1"/>
  <c r="H548"/>
  <c r="K548" s="1"/>
  <c r="H549"/>
  <c r="K549" s="1"/>
  <c r="H550"/>
  <c r="K550" s="1"/>
  <c r="H551"/>
  <c r="K551" s="1"/>
  <c r="H552"/>
  <c r="K552" s="1"/>
  <c r="H553"/>
  <c r="K553" s="1"/>
  <c r="H554"/>
  <c r="K554" s="1"/>
  <c r="H555"/>
  <c r="K555" s="1"/>
  <c r="H556"/>
  <c r="K556" s="1"/>
  <c r="H557"/>
  <c r="K557" s="1"/>
  <c r="H558"/>
  <c r="K558" s="1"/>
  <c r="H559"/>
  <c r="K559" s="1"/>
  <c r="H560"/>
  <c r="K560" s="1"/>
  <c r="H561"/>
  <c r="K561" s="1"/>
  <c r="H562"/>
  <c r="K562" s="1"/>
  <c r="H563"/>
  <c r="K563" s="1"/>
  <c r="H564"/>
  <c r="K564" s="1"/>
  <c r="H565"/>
  <c r="K565" s="1"/>
  <c r="H566"/>
  <c r="K566" s="1"/>
  <c r="H567"/>
  <c r="K567" s="1"/>
  <c r="H568"/>
  <c r="K568" s="1"/>
  <c r="H569"/>
  <c r="K569" s="1"/>
  <c r="H570"/>
  <c r="K570" s="1"/>
  <c r="H571"/>
  <c r="K571" s="1"/>
  <c r="H572"/>
  <c r="K572" s="1"/>
  <c r="H573"/>
  <c r="K573" s="1"/>
  <c r="H574"/>
  <c r="K574" s="1"/>
  <c r="H575"/>
  <c r="K575" s="1"/>
  <c r="H576"/>
  <c r="K576" s="1"/>
  <c r="H577"/>
  <c r="H578"/>
  <c r="K578" s="1"/>
  <c r="H579"/>
  <c r="K579" s="1"/>
  <c r="H580"/>
  <c r="K580" s="1"/>
  <c r="H581"/>
  <c r="K581" s="1"/>
  <c r="H582"/>
  <c r="K582" s="1"/>
  <c r="H583"/>
  <c r="K583" s="1"/>
  <c r="H584"/>
  <c r="K584" s="1"/>
  <c r="H585"/>
  <c r="K585" s="1"/>
  <c r="H586"/>
  <c r="K586" s="1"/>
  <c r="H587"/>
  <c r="K587" s="1"/>
  <c r="H588"/>
  <c r="K588" s="1"/>
  <c r="H589"/>
  <c r="K589" s="1"/>
  <c r="H590"/>
  <c r="K590" s="1"/>
  <c r="H591"/>
  <c r="K591" s="1"/>
  <c r="H592"/>
  <c r="K592" s="1"/>
  <c r="H593"/>
  <c r="K593" s="1"/>
  <c r="H594"/>
  <c r="K594" s="1"/>
  <c r="H595"/>
  <c r="K595" s="1"/>
  <c r="H596"/>
  <c r="K596" s="1"/>
  <c r="H597"/>
  <c r="K597" s="1"/>
  <c r="H598"/>
  <c r="K598" s="1"/>
  <c r="H599"/>
  <c r="K599" s="1"/>
  <c r="H600"/>
  <c r="K600" s="1"/>
  <c r="H601"/>
  <c r="K601" s="1"/>
  <c r="H602"/>
  <c r="K602" s="1"/>
  <c r="H603"/>
  <c r="K603" s="1"/>
  <c r="H604"/>
  <c r="K604" s="1"/>
  <c r="H605"/>
  <c r="K605" s="1"/>
  <c r="H606"/>
  <c r="K606" s="1"/>
  <c r="H607"/>
  <c r="K607" s="1"/>
  <c r="H608"/>
  <c r="K608" s="1"/>
  <c r="H609"/>
  <c r="K609" s="1"/>
  <c r="H610"/>
  <c r="K610" s="1"/>
  <c r="H611"/>
  <c r="K611" s="1"/>
  <c r="H612"/>
  <c r="K612" s="1"/>
  <c r="H613"/>
  <c r="K613" s="1"/>
  <c r="H53"/>
  <c r="K53" s="1"/>
  <c r="H52"/>
  <c r="K52" s="1"/>
  <c r="H51"/>
  <c r="K51" s="1"/>
  <c r="H50"/>
  <c r="K50" s="1"/>
  <c r="H49"/>
  <c r="K49" s="1"/>
  <c r="H48"/>
  <c r="K48" s="1"/>
  <c r="H47"/>
  <c r="K47" s="1"/>
  <c r="H46"/>
  <c r="K46" s="1"/>
  <c r="H45"/>
  <c r="K45" s="1"/>
  <c r="H44"/>
  <c r="K44" s="1"/>
  <c r="H43"/>
  <c r="K43" s="1"/>
  <c r="H42"/>
  <c r="K42" s="1"/>
  <c r="H41"/>
  <c r="K41" s="1"/>
  <c r="H40"/>
  <c r="K40" s="1"/>
  <c r="H39"/>
  <c r="K39" s="1"/>
  <c r="H38"/>
  <c r="K38" s="1"/>
  <c r="H37"/>
  <c r="K37" s="1"/>
  <c r="H36"/>
  <c r="K36" s="1"/>
  <c r="H35"/>
  <c r="K35" s="1"/>
  <c r="H34"/>
  <c r="K34" s="1"/>
  <c r="H33"/>
  <c r="K33" s="1"/>
  <c r="H32"/>
  <c r="K32" s="1"/>
  <c r="H31"/>
  <c r="K31" s="1"/>
  <c r="H30"/>
  <c r="K30" s="1"/>
  <c r="H29"/>
  <c r="K29" s="1"/>
  <c r="H28"/>
  <c r="K28" s="1"/>
  <c r="H27"/>
  <c r="K27" s="1"/>
  <c r="H26"/>
  <c r="K26" s="1"/>
  <c r="H25"/>
  <c r="K25" s="1"/>
  <c r="H24"/>
  <c r="K24" s="1"/>
  <c r="H23"/>
  <c r="K23" s="1"/>
  <c r="H22"/>
  <c r="K22" s="1"/>
  <c r="H21"/>
  <c r="K21" s="1"/>
  <c r="H20"/>
  <c r="K20" s="1"/>
  <c r="H19"/>
  <c r="K19" s="1"/>
  <c r="H18"/>
  <c r="K18" s="1"/>
  <c r="H17"/>
  <c r="K17" s="1"/>
  <c r="H16"/>
  <c r="K16" s="1"/>
  <c r="H15"/>
  <c r="K15" s="1"/>
  <c r="H14"/>
  <c r="K14" s="1"/>
  <c r="H13"/>
  <c r="K13" s="1"/>
  <c r="H12"/>
  <c r="K12" s="1"/>
  <c r="H11"/>
  <c r="K11" s="1"/>
  <c r="H10"/>
  <c r="K10" s="1"/>
  <c r="H9"/>
  <c r="K9" s="1"/>
  <c r="H8"/>
  <c r="K8" s="1"/>
  <c r="H7"/>
  <c r="K7" s="1"/>
  <c r="H6"/>
  <c r="K6" s="1"/>
  <c r="H5"/>
  <c r="K5" s="1"/>
  <c r="H3"/>
  <c r="K3" s="1"/>
  <c r="H2"/>
  <c r="L2" s="1"/>
  <c r="M46" l="1"/>
  <c r="M573"/>
  <c r="M441"/>
  <c r="M266"/>
  <c r="M267" s="1"/>
  <c r="M268" s="1"/>
  <c r="M222"/>
  <c r="M223" s="1"/>
  <c r="M224" s="1"/>
  <c r="M225" s="1"/>
  <c r="M226" s="1"/>
  <c r="M227" s="1"/>
  <c r="M228" s="1"/>
  <c r="M229" s="1"/>
  <c r="M230" s="1"/>
  <c r="M231" s="1"/>
  <c r="M232" s="1"/>
  <c r="M233" s="1"/>
  <c r="M234" s="1"/>
  <c r="M235" s="1"/>
  <c r="M236" s="1"/>
  <c r="M237" s="1"/>
  <c r="M238" s="1"/>
  <c r="M239" s="1"/>
  <c r="M240" s="1"/>
  <c r="M241" s="1"/>
  <c r="M242" s="1"/>
  <c r="M243" s="1"/>
  <c r="M244" s="1"/>
  <c r="M245" s="1"/>
  <c r="M246" s="1"/>
  <c r="M247" s="1"/>
  <c r="M248" s="1"/>
  <c r="M249" s="1"/>
  <c r="M250" s="1"/>
  <c r="M251" s="1"/>
  <c r="M252" s="1"/>
  <c r="M253" s="1"/>
  <c r="M254" s="1"/>
  <c r="M255" s="1"/>
  <c r="M256" s="1"/>
  <c r="M257" s="1"/>
  <c r="M258" s="1"/>
  <c r="M259" s="1"/>
  <c r="M260" s="1"/>
  <c r="M261" s="1"/>
  <c r="M262" s="1"/>
  <c r="M263" s="1"/>
  <c r="M264" s="1"/>
  <c r="M265" s="1"/>
  <c r="M178"/>
  <c r="M179" s="1"/>
  <c r="M180" s="1"/>
  <c r="M134"/>
  <c r="M135" s="1"/>
  <c r="M136" s="1"/>
  <c r="M90"/>
  <c r="M91" s="1"/>
  <c r="M92" s="1"/>
  <c r="M93" s="1"/>
  <c r="M94" s="1"/>
  <c r="M95" s="1"/>
  <c r="M96" s="1"/>
  <c r="M97" s="1"/>
  <c r="M98" s="1"/>
  <c r="M99" s="1"/>
  <c r="M100" s="1"/>
  <c r="M101" s="1"/>
  <c r="M102" s="1"/>
  <c r="M103" s="1"/>
  <c r="M104" s="1"/>
  <c r="M105" s="1"/>
  <c r="L529"/>
  <c r="L530" s="1"/>
  <c r="L531" s="1"/>
  <c r="L532" s="1"/>
  <c r="L533" s="1"/>
  <c r="L534" s="1"/>
  <c r="L535" s="1"/>
  <c r="L536" s="1"/>
  <c r="L537" s="1"/>
  <c r="L538" s="1"/>
  <c r="L539" s="1"/>
  <c r="L540" s="1"/>
  <c r="L541" s="1"/>
  <c r="L542" s="1"/>
  <c r="L543" s="1"/>
  <c r="L544" s="1"/>
  <c r="L545" s="1"/>
  <c r="L546" s="1"/>
  <c r="L547" s="1"/>
  <c r="L548" s="1"/>
  <c r="L549" s="1"/>
  <c r="L550" s="1"/>
  <c r="L551" s="1"/>
  <c r="L552" s="1"/>
  <c r="L553" s="1"/>
  <c r="L554" s="1"/>
  <c r="L555" s="1"/>
  <c r="L556" s="1"/>
  <c r="L557" s="1"/>
  <c r="L558" s="1"/>
  <c r="L559" s="1"/>
  <c r="L560" s="1"/>
  <c r="L561" s="1"/>
  <c r="L562" s="1"/>
  <c r="L563" s="1"/>
  <c r="L564" s="1"/>
  <c r="L565" s="1"/>
  <c r="L566" s="1"/>
  <c r="L567" s="1"/>
  <c r="L568" s="1"/>
  <c r="L569" s="1"/>
  <c r="L570" s="1"/>
  <c r="L571" s="1"/>
  <c r="L572" s="1"/>
  <c r="M485"/>
  <c r="M397"/>
  <c r="M353"/>
  <c r="M309"/>
  <c r="M310" s="1"/>
  <c r="M311" s="1"/>
  <c r="M312" s="1"/>
  <c r="M313" s="1"/>
  <c r="M314" s="1"/>
  <c r="M315" s="1"/>
  <c r="M316" s="1"/>
  <c r="M317" s="1"/>
  <c r="M318" s="1"/>
  <c r="M319" s="1"/>
  <c r="M320" s="1"/>
  <c r="M617"/>
  <c r="M269"/>
  <c r="M270" s="1"/>
  <c r="M271" s="1"/>
  <c r="M272" s="1"/>
  <c r="M273" s="1"/>
  <c r="M274" s="1"/>
  <c r="M275" s="1"/>
  <c r="M276" s="1"/>
  <c r="M277" s="1"/>
  <c r="M278" s="1"/>
  <c r="M279" s="1"/>
  <c r="M280" s="1"/>
  <c r="M281" s="1"/>
  <c r="M282" s="1"/>
  <c r="M283" s="1"/>
  <c r="M284" s="1"/>
  <c r="M285" s="1"/>
  <c r="M286" s="1"/>
  <c r="M287" s="1"/>
  <c r="M288" s="1"/>
  <c r="M289" s="1"/>
  <c r="M290" s="1"/>
  <c r="M291" s="1"/>
  <c r="M292" s="1"/>
  <c r="M293" s="1"/>
  <c r="M294" s="1"/>
  <c r="M295" s="1"/>
  <c r="M296" s="1"/>
  <c r="M297" s="1"/>
  <c r="M298" s="1"/>
  <c r="M299" s="1"/>
  <c r="M300" s="1"/>
  <c r="M301" s="1"/>
  <c r="M302" s="1"/>
  <c r="M303" s="1"/>
  <c r="M304" s="1"/>
  <c r="M305" s="1"/>
  <c r="M306" s="1"/>
  <c r="M307" s="1"/>
  <c r="M308" s="1"/>
  <c r="M181"/>
  <c r="M182" s="1"/>
  <c r="M183" s="1"/>
  <c r="M184" s="1"/>
  <c r="M185" s="1"/>
  <c r="M186" s="1"/>
  <c r="M187" s="1"/>
  <c r="M188" s="1"/>
  <c r="M189" s="1"/>
  <c r="M190" s="1"/>
  <c r="M191" s="1"/>
  <c r="M192" s="1"/>
  <c r="M193" s="1"/>
  <c r="M194" s="1"/>
  <c r="M195" s="1"/>
  <c r="M196" s="1"/>
  <c r="M197" s="1"/>
  <c r="M198" s="1"/>
  <c r="M199" s="1"/>
  <c r="M200" s="1"/>
  <c r="M201" s="1"/>
  <c r="M202" s="1"/>
  <c r="M203" s="1"/>
  <c r="M204" s="1"/>
  <c r="M205" s="1"/>
  <c r="M206" s="1"/>
  <c r="M207" s="1"/>
  <c r="M208" s="1"/>
  <c r="M209" s="1"/>
  <c r="M137"/>
  <c r="M138" s="1"/>
  <c r="M139" s="1"/>
  <c r="M140" s="1"/>
  <c r="M141" s="1"/>
  <c r="M142" s="1"/>
  <c r="M143" s="1"/>
  <c r="M144" s="1"/>
  <c r="M145" s="1"/>
  <c r="M146" s="1"/>
  <c r="M147" s="1"/>
  <c r="M148" s="1"/>
  <c r="M149" s="1"/>
  <c r="M150" s="1"/>
  <c r="M151" s="1"/>
  <c r="M152" s="1"/>
  <c r="M153" s="1"/>
  <c r="M154" s="1"/>
  <c r="M155" s="1"/>
  <c r="M156" s="1"/>
  <c r="M157" s="1"/>
  <c r="M158" s="1"/>
  <c r="M159" s="1"/>
  <c r="M160" s="1"/>
  <c r="M161" s="1"/>
  <c r="M162" s="1"/>
  <c r="M163" s="1"/>
  <c r="M164" s="1"/>
  <c r="M165" s="1"/>
  <c r="M166" s="1"/>
  <c r="M167" s="1"/>
  <c r="M168" s="1"/>
  <c r="M169" s="1"/>
  <c r="M170" s="1"/>
  <c r="M171" s="1"/>
  <c r="M172" s="1"/>
  <c r="M173" s="1"/>
  <c r="M174" s="1"/>
  <c r="M175" s="1"/>
  <c r="M176" s="1"/>
  <c r="M177" s="1"/>
  <c r="L617"/>
  <c r="L618" s="1"/>
  <c r="L619" s="1"/>
  <c r="L620" s="1"/>
  <c r="L621" s="1"/>
  <c r="L622" s="1"/>
  <c r="L623" s="1"/>
  <c r="L624" s="1"/>
  <c r="L625" s="1"/>
  <c r="L626" s="1"/>
  <c r="L627" s="1"/>
  <c r="L628" s="1"/>
  <c r="L629" s="1"/>
  <c r="L630" s="1"/>
  <c r="L631" s="1"/>
  <c r="L632" s="1"/>
  <c r="L633" s="1"/>
  <c r="L634" s="1"/>
  <c r="L635" s="1"/>
  <c r="L636" s="1"/>
  <c r="L637" s="1"/>
  <c r="L638" s="1"/>
  <c r="L639" s="1"/>
  <c r="L640" s="1"/>
  <c r="L641" s="1"/>
  <c r="L642" s="1"/>
  <c r="L643" s="1"/>
  <c r="L644" s="1"/>
  <c r="L645" s="1"/>
  <c r="L646" s="1"/>
  <c r="L647" s="1"/>
  <c r="L648" s="1"/>
  <c r="L649" s="1"/>
  <c r="L650" s="1"/>
  <c r="L651" s="1"/>
  <c r="L652" s="1"/>
  <c r="L653" s="1"/>
  <c r="L654" s="1"/>
  <c r="L655" s="1"/>
  <c r="L656" s="1"/>
  <c r="L657" s="1"/>
  <c r="L658" s="1"/>
  <c r="L659" s="1"/>
  <c r="L660" s="1"/>
  <c r="M47"/>
  <c r="M48" s="1"/>
  <c r="M49" s="1"/>
  <c r="M50" s="1"/>
  <c r="M51" s="1"/>
  <c r="M52" s="1"/>
  <c r="M53" s="1"/>
  <c r="M54" s="1"/>
  <c r="M55" s="1"/>
  <c r="M56" s="1"/>
  <c r="M57" s="1"/>
  <c r="M58" s="1"/>
  <c r="M59" s="1"/>
  <c r="M60" s="1"/>
  <c r="M61" s="1"/>
  <c r="M62" s="1"/>
  <c r="M63" s="1"/>
  <c r="M64" s="1"/>
  <c r="M65" s="1"/>
  <c r="M66" s="1"/>
  <c r="M67" s="1"/>
  <c r="M68" s="1"/>
  <c r="M69" s="1"/>
  <c r="M70" s="1"/>
  <c r="M71" s="1"/>
  <c r="M72" s="1"/>
  <c r="M73" s="1"/>
  <c r="M74" s="1"/>
  <c r="M75" s="1"/>
  <c r="M76" s="1"/>
  <c r="M77" s="1"/>
  <c r="M78" s="1"/>
  <c r="M79" s="1"/>
  <c r="M80" s="1"/>
  <c r="M81" s="1"/>
  <c r="M82" s="1"/>
  <c r="M83" s="1"/>
  <c r="M84" s="1"/>
  <c r="M85" s="1"/>
  <c r="M86" s="1"/>
  <c r="M87" s="1"/>
  <c r="M88" s="1"/>
  <c r="M89" s="1"/>
  <c r="M574"/>
  <c r="M575" s="1"/>
  <c r="M576" s="1"/>
  <c r="M486"/>
  <c r="M487" s="1"/>
  <c r="M488" s="1"/>
  <c r="M489" s="1"/>
  <c r="M490" s="1"/>
  <c r="M491" s="1"/>
  <c r="M492" s="1"/>
  <c r="M493" s="1"/>
  <c r="M494" s="1"/>
  <c r="M495" s="1"/>
  <c r="M496" s="1"/>
  <c r="M497" s="1"/>
  <c r="M498" s="1"/>
  <c r="M499" s="1"/>
  <c r="M500" s="1"/>
  <c r="M501" s="1"/>
  <c r="M502" s="1"/>
  <c r="M503" s="1"/>
  <c r="M504" s="1"/>
  <c r="M505" s="1"/>
  <c r="M506" s="1"/>
  <c r="M507" s="1"/>
  <c r="M508" s="1"/>
  <c r="M509" s="1"/>
  <c r="M510" s="1"/>
  <c r="M511" s="1"/>
  <c r="M512" s="1"/>
  <c r="M513" s="1"/>
  <c r="M514" s="1"/>
  <c r="M515" s="1"/>
  <c r="M516" s="1"/>
  <c r="M517" s="1"/>
  <c r="M518" s="1"/>
  <c r="M519" s="1"/>
  <c r="M520" s="1"/>
  <c r="M521" s="1"/>
  <c r="M522" s="1"/>
  <c r="M523" s="1"/>
  <c r="M524" s="1"/>
  <c r="M525" s="1"/>
  <c r="M526" s="1"/>
  <c r="M527" s="1"/>
  <c r="M528" s="1"/>
  <c r="M442"/>
  <c r="M443" s="1"/>
  <c r="M444" s="1"/>
  <c r="M445" s="1"/>
  <c r="M446" s="1"/>
  <c r="M447" s="1"/>
  <c r="M448" s="1"/>
  <c r="M449" s="1"/>
  <c r="M450" s="1"/>
  <c r="M451" s="1"/>
  <c r="M452" s="1"/>
  <c r="M453" s="1"/>
  <c r="M454" s="1"/>
  <c r="M455" s="1"/>
  <c r="M456" s="1"/>
  <c r="M457" s="1"/>
  <c r="M458" s="1"/>
  <c r="M459" s="1"/>
  <c r="M460" s="1"/>
  <c r="M461" s="1"/>
  <c r="M462" s="1"/>
  <c r="M463" s="1"/>
  <c r="M464" s="1"/>
  <c r="M465" s="1"/>
  <c r="M466" s="1"/>
  <c r="M467" s="1"/>
  <c r="M468" s="1"/>
  <c r="M469" s="1"/>
  <c r="M470" s="1"/>
  <c r="M471" s="1"/>
  <c r="M472" s="1"/>
  <c r="M473" s="1"/>
  <c r="M474" s="1"/>
  <c r="M475" s="1"/>
  <c r="M476" s="1"/>
  <c r="M398"/>
  <c r="M399" s="1"/>
  <c r="M400" s="1"/>
  <c r="M401" s="1"/>
  <c r="M402" s="1"/>
  <c r="M403" s="1"/>
  <c r="M404" s="1"/>
  <c r="M405" s="1"/>
  <c r="M406" s="1"/>
  <c r="M407" s="1"/>
  <c r="M408" s="1"/>
  <c r="M409" s="1"/>
  <c r="M410" s="1"/>
  <c r="M411" s="1"/>
  <c r="M412" s="1"/>
  <c r="M413" s="1"/>
  <c r="M414" s="1"/>
  <c r="M415" s="1"/>
  <c r="M416" s="1"/>
  <c r="M417" s="1"/>
  <c r="M418" s="1"/>
  <c r="M419" s="1"/>
  <c r="M420" s="1"/>
  <c r="M421" s="1"/>
  <c r="M422" s="1"/>
  <c r="M423" s="1"/>
  <c r="M424" s="1"/>
  <c r="M425" s="1"/>
  <c r="M426" s="1"/>
  <c r="M427" s="1"/>
  <c r="M428" s="1"/>
  <c r="M429" s="1"/>
  <c r="M430" s="1"/>
  <c r="M431" s="1"/>
  <c r="M432" s="1"/>
  <c r="M433" s="1"/>
  <c r="M434" s="1"/>
  <c r="M435" s="1"/>
  <c r="M436" s="1"/>
  <c r="M437" s="1"/>
  <c r="M438" s="1"/>
  <c r="M439" s="1"/>
  <c r="M440" s="1"/>
  <c r="M354"/>
  <c r="M355" s="1"/>
  <c r="M356" s="1"/>
  <c r="M357" s="1"/>
  <c r="M358" s="1"/>
  <c r="M359" s="1"/>
  <c r="M360" s="1"/>
  <c r="M361" s="1"/>
  <c r="M362" s="1"/>
  <c r="M363" s="1"/>
  <c r="M364" s="1"/>
  <c r="M365" s="1"/>
  <c r="M366" s="1"/>
  <c r="M367" s="1"/>
  <c r="M368" s="1"/>
  <c r="M369" s="1"/>
  <c r="M370" s="1"/>
  <c r="M371" s="1"/>
  <c r="M372" s="1"/>
  <c r="L441"/>
  <c r="L442" s="1"/>
  <c r="L443" s="1"/>
  <c r="L444" s="1"/>
  <c r="L445" s="1"/>
  <c r="L446" s="1"/>
  <c r="L447" s="1"/>
  <c r="L448" s="1"/>
  <c r="L449" s="1"/>
  <c r="L450" s="1"/>
  <c r="L451" s="1"/>
  <c r="L452" s="1"/>
  <c r="L453" s="1"/>
  <c r="L454" s="1"/>
  <c r="L455" s="1"/>
  <c r="L456" s="1"/>
  <c r="L457" s="1"/>
  <c r="L458" s="1"/>
  <c r="L459" s="1"/>
  <c r="L460" s="1"/>
  <c r="L461" s="1"/>
  <c r="L462" s="1"/>
  <c r="L463" s="1"/>
  <c r="L464" s="1"/>
  <c r="L465" s="1"/>
  <c r="L466" s="1"/>
  <c r="L467" s="1"/>
  <c r="L468" s="1"/>
  <c r="L469" s="1"/>
  <c r="L470" s="1"/>
  <c r="L471" s="1"/>
  <c r="L472" s="1"/>
  <c r="L473" s="1"/>
  <c r="L474" s="1"/>
  <c r="L475" s="1"/>
  <c r="L476" s="1"/>
  <c r="L477" s="1"/>
  <c r="L478" s="1"/>
  <c r="L479" s="1"/>
  <c r="L480" s="1"/>
  <c r="L481" s="1"/>
  <c r="L482" s="1"/>
  <c r="L483" s="1"/>
  <c r="L484" s="1"/>
  <c r="L266"/>
  <c r="L267" s="1"/>
  <c r="L268" s="1"/>
  <c r="L269" s="1"/>
  <c r="L270" s="1"/>
  <c r="L271" s="1"/>
  <c r="L272" s="1"/>
  <c r="L273" s="1"/>
  <c r="L274" s="1"/>
  <c r="L275" s="1"/>
  <c r="L276" s="1"/>
  <c r="L277" s="1"/>
  <c r="L278" s="1"/>
  <c r="L279" s="1"/>
  <c r="L280" s="1"/>
  <c r="L281" s="1"/>
  <c r="L282" s="1"/>
  <c r="L283" s="1"/>
  <c r="L284" s="1"/>
  <c r="L285" s="1"/>
  <c r="L286" s="1"/>
  <c r="L287" s="1"/>
  <c r="L288" s="1"/>
  <c r="L289" s="1"/>
  <c r="L290" s="1"/>
  <c r="L291" s="1"/>
  <c r="L292" s="1"/>
  <c r="L293" s="1"/>
  <c r="L294" s="1"/>
  <c r="L295" s="1"/>
  <c r="L296" s="1"/>
  <c r="L297" s="1"/>
  <c r="L298" s="1"/>
  <c r="L299" s="1"/>
  <c r="L300" s="1"/>
  <c r="L301" s="1"/>
  <c r="L302" s="1"/>
  <c r="L303" s="1"/>
  <c r="L304" s="1"/>
  <c r="L305" s="1"/>
  <c r="L306" s="1"/>
  <c r="L307" s="1"/>
  <c r="L308" s="1"/>
  <c r="L90"/>
  <c r="L91" s="1"/>
  <c r="L92" s="1"/>
  <c r="L93" s="1"/>
  <c r="L94" s="1"/>
  <c r="L95" s="1"/>
  <c r="L96" s="1"/>
  <c r="L97" s="1"/>
  <c r="L98" s="1"/>
  <c r="L99" s="1"/>
  <c r="L100" s="1"/>
  <c r="L101" s="1"/>
  <c r="L102" s="1"/>
  <c r="L103" s="1"/>
  <c r="L104" s="1"/>
  <c r="L105" s="1"/>
  <c r="L106" s="1"/>
  <c r="L107" s="1"/>
  <c r="L108" s="1"/>
  <c r="L109" s="1"/>
  <c r="L110" s="1"/>
  <c r="L111" s="1"/>
  <c r="L112" s="1"/>
  <c r="L113" s="1"/>
  <c r="L114" s="1"/>
  <c r="L115" s="1"/>
  <c r="L116" s="1"/>
  <c r="L117" s="1"/>
  <c r="L118" s="1"/>
  <c r="L119" s="1"/>
  <c r="L120" s="1"/>
  <c r="L121" s="1"/>
  <c r="L122" s="1"/>
  <c r="L123" s="1"/>
  <c r="L124" s="1"/>
  <c r="L125" s="1"/>
  <c r="L126" s="1"/>
  <c r="L127" s="1"/>
  <c r="L128" s="1"/>
  <c r="L129" s="1"/>
  <c r="L130" s="1"/>
  <c r="L131" s="1"/>
  <c r="L132" s="1"/>
  <c r="L133" s="1"/>
  <c r="L485"/>
  <c r="L486" s="1"/>
  <c r="L487" s="1"/>
  <c r="L488" s="1"/>
  <c r="L489" s="1"/>
  <c r="L490" s="1"/>
  <c r="L491" s="1"/>
  <c r="L492" s="1"/>
  <c r="L493" s="1"/>
  <c r="L494" s="1"/>
  <c r="L495" s="1"/>
  <c r="L496" s="1"/>
  <c r="L497" s="1"/>
  <c r="L498" s="1"/>
  <c r="L499" s="1"/>
  <c r="L500" s="1"/>
  <c r="L501" s="1"/>
  <c r="L502" s="1"/>
  <c r="L503" s="1"/>
  <c r="L504" s="1"/>
  <c r="L505" s="1"/>
  <c r="L506" s="1"/>
  <c r="L507" s="1"/>
  <c r="L508" s="1"/>
  <c r="L509" s="1"/>
  <c r="L510" s="1"/>
  <c r="L511" s="1"/>
  <c r="L512" s="1"/>
  <c r="L513" s="1"/>
  <c r="L514" s="1"/>
  <c r="L515" s="1"/>
  <c r="L516" s="1"/>
  <c r="L517" s="1"/>
  <c r="L518" s="1"/>
  <c r="L519" s="1"/>
  <c r="L520" s="1"/>
  <c r="L521" s="1"/>
  <c r="L522" s="1"/>
  <c r="L523" s="1"/>
  <c r="L524" s="1"/>
  <c r="L525" s="1"/>
  <c r="L526" s="1"/>
  <c r="L527" s="1"/>
  <c r="L528" s="1"/>
  <c r="L309"/>
  <c r="L310" s="1"/>
  <c r="L311" s="1"/>
  <c r="L312" s="1"/>
  <c r="L313" s="1"/>
  <c r="L314" s="1"/>
  <c r="L315" s="1"/>
  <c r="L316" s="1"/>
  <c r="L317" s="1"/>
  <c r="L318" s="1"/>
  <c r="L319" s="1"/>
  <c r="L320" s="1"/>
  <c r="L321" s="1"/>
  <c r="L322" s="1"/>
  <c r="L323" s="1"/>
  <c r="L324" s="1"/>
  <c r="L325" s="1"/>
  <c r="L326" s="1"/>
  <c r="L327" s="1"/>
  <c r="L328" s="1"/>
  <c r="L329" s="1"/>
  <c r="L330" s="1"/>
  <c r="L331" s="1"/>
  <c r="L332" s="1"/>
  <c r="L333" s="1"/>
  <c r="L334" s="1"/>
  <c r="L335" s="1"/>
  <c r="L336" s="1"/>
  <c r="L337" s="1"/>
  <c r="L338" s="1"/>
  <c r="L339" s="1"/>
  <c r="L340" s="1"/>
  <c r="L341" s="1"/>
  <c r="L342" s="1"/>
  <c r="L343" s="1"/>
  <c r="L344" s="1"/>
  <c r="L345" s="1"/>
  <c r="L346" s="1"/>
  <c r="L347" s="1"/>
  <c r="L348" s="1"/>
  <c r="L349" s="1"/>
  <c r="L350" s="1"/>
  <c r="L351" s="1"/>
  <c r="L352" s="1"/>
  <c r="L134"/>
  <c r="L135" s="1"/>
  <c r="L136" s="1"/>
  <c r="L137" s="1"/>
  <c r="L138" s="1"/>
  <c r="L139" s="1"/>
  <c r="L140" s="1"/>
  <c r="L141" s="1"/>
  <c r="L142" s="1"/>
  <c r="L143" s="1"/>
  <c r="L144" s="1"/>
  <c r="L145" s="1"/>
  <c r="L146" s="1"/>
  <c r="L147" s="1"/>
  <c r="L148" s="1"/>
  <c r="L149" s="1"/>
  <c r="L150" s="1"/>
  <c r="L151" s="1"/>
  <c r="L152" s="1"/>
  <c r="L153" s="1"/>
  <c r="L154" s="1"/>
  <c r="L155" s="1"/>
  <c r="L156" s="1"/>
  <c r="L157" s="1"/>
  <c r="L158" s="1"/>
  <c r="L159" s="1"/>
  <c r="L160" s="1"/>
  <c r="L161" s="1"/>
  <c r="L162" s="1"/>
  <c r="L163" s="1"/>
  <c r="L164" s="1"/>
  <c r="L165" s="1"/>
  <c r="L166" s="1"/>
  <c r="L167" s="1"/>
  <c r="L168" s="1"/>
  <c r="L169" s="1"/>
  <c r="L170" s="1"/>
  <c r="L171" s="1"/>
  <c r="L172" s="1"/>
  <c r="L173" s="1"/>
  <c r="L174" s="1"/>
  <c r="L175" s="1"/>
  <c r="L176" s="1"/>
  <c r="L177" s="1"/>
  <c r="L353"/>
  <c r="L354" s="1"/>
  <c r="L355" s="1"/>
  <c r="L356" s="1"/>
  <c r="L357" s="1"/>
  <c r="L358" s="1"/>
  <c r="L359" s="1"/>
  <c r="L360" s="1"/>
  <c r="L361" s="1"/>
  <c r="L362" s="1"/>
  <c r="L363" s="1"/>
  <c r="L364" s="1"/>
  <c r="L365" s="1"/>
  <c r="L366" s="1"/>
  <c r="L367" s="1"/>
  <c r="L368" s="1"/>
  <c r="L369" s="1"/>
  <c r="L370" s="1"/>
  <c r="L371" s="1"/>
  <c r="L372" s="1"/>
  <c r="L373" s="1"/>
  <c r="L374" s="1"/>
  <c r="L375" s="1"/>
  <c r="L376" s="1"/>
  <c r="L377" s="1"/>
  <c r="L378" s="1"/>
  <c r="L379" s="1"/>
  <c r="L380" s="1"/>
  <c r="L381" s="1"/>
  <c r="L382" s="1"/>
  <c r="L383" s="1"/>
  <c r="L384" s="1"/>
  <c r="L385" s="1"/>
  <c r="L386" s="1"/>
  <c r="L387" s="1"/>
  <c r="L388" s="1"/>
  <c r="L389" s="1"/>
  <c r="L390" s="1"/>
  <c r="L391" s="1"/>
  <c r="L392" s="1"/>
  <c r="L393" s="1"/>
  <c r="L394" s="1"/>
  <c r="L395" s="1"/>
  <c r="L396" s="1"/>
  <c r="L178"/>
  <c r="L179" s="1"/>
  <c r="L180" s="1"/>
  <c r="L181" s="1"/>
  <c r="L182" s="1"/>
  <c r="L183" s="1"/>
  <c r="L184" s="1"/>
  <c r="L185" s="1"/>
  <c r="L186" s="1"/>
  <c r="L187" s="1"/>
  <c r="L188" s="1"/>
  <c r="L189" s="1"/>
  <c r="L190" s="1"/>
  <c r="L191" s="1"/>
  <c r="L192" s="1"/>
  <c r="L193" s="1"/>
  <c r="L194" s="1"/>
  <c r="L195" s="1"/>
  <c r="L196" s="1"/>
  <c r="L197" s="1"/>
  <c r="L198" s="1"/>
  <c r="L199" s="1"/>
  <c r="L200" s="1"/>
  <c r="L201" s="1"/>
  <c r="L202" s="1"/>
  <c r="L203" s="1"/>
  <c r="L204" s="1"/>
  <c r="L205" s="1"/>
  <c r="L206" s="1"/>
  <c r="L207" s="1"/>
  <c r="L208" s="1"/>
  <c r="L209" s="1"/>
  <c r="L210" s="1"/>
  <c r="L211" s="1"/>
  <c r="L212" s="1"/>
  <c r="L213" s="1"/>
  <c r="L214" s="1"/>
  <c r="L215" s="1"/>
  <c r="L216" s="1"/>
  <c r="L217" s="1"/>
  <c r="L218" s="1"/>
  <c r="L219" s="1"/>
  <c r="L220" s="1"/>
  <c r="L221" s="1"/>
  <c r="M618"/>
  <c r="M619" s="1"/>
  <c r="M620" s="1"/>
  <c r="M621" s="1"/>
  <c r="M622" s="1"/>
  <c r="M623" s="1"/>
  <c r="M624" s="1"/>
  <c r="M625" s="1"/>
  <c r="M626" s="1"/>
  <c r="M627" s="1"/>
  <c r="M628" s="1"/>
  <c r="M629" s="1"/>
  <c r="M630" s="1"/>
  <c r="M631" s="1"/>
  <c r="M632" s="1"/>
  <c r="M633" s="1"/>
  <c r="M634" s="1"/>
  <c r="M635" s="1"/>
  <c r="M636" s="1"/>
  <c r="M637" s="1"/>
  <c r="M638" s="1"/>
  <c r="M639" s="1"/>
  <c r="M640" s="1"/>
  <c r="M641" s="1"/>
  <c r="M642" s="1"/>
  <c r="M643" s="1"/>
  <c r="M644" s="1"/>
  <c r="M645" s="1"/>
  <c r="M646" s="1"/>
  <c r="M647" s="1"/>
  <c r="M648" s="1"/>
  <c r="M649" s="1"/>
  <c r="M650" s="1"/>
  <c r="M651" s="1"/>
  <c r="M652" s="1"/>
  <c r="M653" s="1"/>
  <c r="M654" s="1"/>
  <c r="M655" s="1"/>
  <c r="M656" s="1"/>
  <c r="M657" s="1"/>
  <c r="M658" s="1"/>
  <c r="M659" s="1"/>
  <c r="M660" s="1"/>
  <c r="L573"/>
  <c r="L574" s="1"/>
  <c r="L575" s="1"/>
  <c r="L576" s="1"/>
  <c r="L577" s="1"/>
  <c r="L578" s="1"/>
  <c r="L579" s="1"/>
  <c r="L580" s="1"/>
  <c r="L581" s="1"/>
  <c r="L582" s="1"/>
  <c r="L583" s="1"/>
  <c r="L584" s="1"/>
  <c r="L585" s="1"/>
  <c r="L586" s="1"/>
  <c r="L587" s="1"/>
  <c r="L588" s="1"/>
  <c r="L589" s="1"/>
  <c r="L590" s="1"/>
  <c r="L591" s="1"/>
  <c r="L592" s="1"/>
  <c r="L593" s="1"/>
  <c r="L594" s="1"/>
  <c r="L595" s="1"/>
  <c r="L596" s="1"/>
  <c r="L597" s="1"/>
  <c r="L598" s="1"/>
  <c r="L599" s="1"/>
  <c r="L600" s="1"/>
  <c r="L601" s="1"/>
  <c r="L602" s="1"/>
  <c r="L603" s="1"/>
  <c r="L604" s="1"/>
  <c r="L605" s="1"/>
  <c r="L606" s="1"/>
  <c r="L607" s="1"/>
  <c r="L608" s="1"/>
  <c r="L609" s="1"/>
  <c r="L610" s="1"/>
  <c r="L611" s="1"/>
  <c r="L612" s="1"/>
  <c r="L613" s="1"/>
  <c r="L614" s="1"/>
  <c r="L615" s="1"/>
  <c r="L616" s="1"/>
  <c r="L397"/>
  <c r="L398" s="1"/>
  <c r="L399" s="1"/>
  <c r="L400" s="1"/>
  <c r="L401" s="1"/>
  <c r="L402" s="1"/>
  <c r="L403" s="1"/>
  <c r="L404" s="1"/>
  <c r="L405" s="1"/>
  <c r="L406" s="1"/>
  <c r="L407" s="1"/>
  <c r="L408" s="1"/>
  <c r="L409" s="1"/>
  <c r="L410" s="1"/>
  <c r="L411" s="1"/>
  <c r="L412" s="1"/>
  <c r="L413" s="1"/>
  <c r="L414" s="1"/>
  <c r="L415" s="1"/>
  <c r="L416" s="1"/>
  <c r="L417" s="1"/>
  <c r="L418" s="1"/>
  <c r="L419" s="1"/>
  <c r="L420" s="1"/>
  <c r="L421" s="1"/>
  <c r="L422" s="1"/>
  <c r="L423" s="1"/>
  <c r="L424" s="1"/>
  <c r="L425" s="1"/>
  <c r="L426" s="1"/>
  <c r="L427" s="1"/>
  <c r="L428" s="1"/>
  <c r="L429" s="1"/>
  <c r="L430" s="1"/>
  <c r="L431" s="1"/>
  <c r="L432" s="1"/>
  <c r="L433" s="1"/>
  <c r="L434" s="1"/>
  <c r="L435" s="1"/>
  <c r="L436" s="1"/>
  <c r="L437" s="1"/>
  <c r="L438" s="1"/>
  <c r="L439" s="1"/>
  <c r="L440" s="1"/>
  <c r="L222"/>
  <c r="L223" s="1"/>
  <c r="L224" s="1"/>
  <c r="L225" s="1"/>
  <c r="L226" s="1"/>
  <c r="L227" s="1"/>
  <c r="L228" s="1"/>
  <c r="L229" s="1"/>
  <c r="L230" s="1"/>
  <c r="L231" s="1"/>
  <c r="L232" s="1"/>
  <c r="L233" s="1"/>
  <c r="L234" s="1"/>
  <c r="L235" s="1"/>
  <c r="L236" s="1"/>
  <c r="L237" s="1"/>
  <c r="L238" s="1"/>
  <c r="L239" s="1"/>
  <c r="L240" s="1"/>
  <c r="L241" s="1"/>
  <c r="L242" s="1"/>
  <c r="L243" s="1"/>
  <c r="L244" s="1"/>
  <c r="L245" s="1"/>
  <c r="L246" s="1"/>
  <c r="L247" s="1"/>
  <c r="L248" s="1"/>
  <c r="L249" s="1"/>
  <c r="L250" s="1"/>
  <c r="L251" s="1"/>
  <c r="L252" s="1"/>
  <c r="L253" s="1"/>
  <c r="L254" s="1"/>
  <c r="L255" s="1"/>
  <c r="L256" s="1"/>
  <c r="L257" s="1"/>
  <c r="L258" s="1"/>
  <c r="L259" s="1"/>
  <c r="L260" s="1"/>
  <c r="L261" s="1"/>
  <c r="L262" s="1"/>
  <c r="L263" s="1"/>
  <c r="L264" s="1"/>
  <c r="L265" s="1"/>
  <c r="L46"/>
  <c r="L47" s="1"/>
  <c r="L48" s="1"/>
  <c r="L49" s="1"/>
  <c r="L50" s="1"/>
  <c r="L51" s="1"/>
  <c r="L52" s="1"/>
  <c r="L53" s="1"/>
  <c r="L54" s="1"/>
  <c r="L55" s="1"/>
  <c r="L56" s="1"/>
  <c r="L57" s="1"/>
  <c r="L58" s="1"/>
  <c r="L59" s="1"/>
  <c r="L60" s="1"/>
  <c r="L61" s="1"/>
  <c r="L62" s="1"/>
  <c r="L63" s="1"/>
  <c r="L64" s="1"/>
  <c r="L65" s="1"/>
  <c r="L66" s="1"/>
  <c r="L67" s="1"/>
  <c r="L68" s="1"/>
  <c r="L69" s="1"/>
  <c r="L70" s="1"/>
  <c r="L71" s="1"/>
  <c r="L72" s="1"/>
  <c r="L73" s="1"/>
  <c r="L74" s="1"/>
  <c r="L75" s="1"/>
  <c r="L76" s="1"/>
  <c r="L77" s="1"/>
  <c r="L78" s="1"/>
  <c r="L79" s="1"/>
  <c r="L80" s="1"/>
  <c r="L81" s="1"/>
  <c r="L82" s="1"/>
  <c r="L83" s="1"/>
  <c r="L84" s="1"/>
  <c r="L85" s="1"/>
  <c r="L86" s="1"/>
  <c r="L87" s="1"/>
  <c r="L88" s="1"/>
  <c r="L89" s="1"/>
  <c r="H4"/>
  <c r="K4" s="1"/>
  <c r="K577"/>
  <c r="K373"/>
  <c r="K321"/>
  <c r="K210"/>
  <c r="K106"/>
  <c r="L3"/>
  <c r="K529"/>
  <c r="M529" s="1"/>
  <c r="M530" s="1"/>
  <c r="M531" s="1"/>
  <c r="M532" s="1"/>
  <c r="M533" s="1"/>
  <c r="M534" s="1"/>
  <c r="M535" s="1"/>
  <c r="M536" s="1"/>
  <c r="M537" s="1"/>
  <c r="M538" s="1"/>
  <c r="M539" s="1"/>
  <c r="M540" s="1"/>
  <c r="M541" s="1"/>
  <c r="M542" s="1"/>
  <c r="M543" s="1"/>
  <c r="M544" s="1"/>
  <c r="M545" s="1"/>
  <c r="M546" s="1"/>
  <c r="M547" s="1"/>
  <c r="M548" s="1"/>
  <c r="M549" s="1"/>
  <c r="M550" s="1"/>
  <c r="M551" s="1"/>
  <c r="M552" s="1"/>
  <c r="M553" s="1"/>
  <c r="M554" s="1"/>
  <c r="M555" s="1"/>
  <c r="M556" s="1"/>
  <c r="M557" s="1"/>
  <c r="M558" s="1"/>
  <c r="M559" s="1"/>
  <c r="M560" s="1"/>
  <c r="M561" s="1"/>
  <c r="M562" s="1"/>
  <c r="M563" s="1"/>
  <c r="M564" s="1"/>
  <c r="M565" s="1"/>
  <c r="M566" s="1"/>
  <c r="M567" s="1"/>
  <c r="M568" s="1"/>
  <c r="M569" s="1"/>
  <c r="M570" s="1"/>
  <c r="M571" s="1"/>
  <c r="M572" s="1"/>
  <c r="K477"/>
  <c r="K2"/>
  <c r="M2" s="1"/>
  <c r="M3" s="1"/>
  <c r="H72" i="3"/>
  <c r="K72" s="1"/>
  <c r="K73" s="1"/>
  <c r="K74" s="1"/>
  <c r="H73"/>
  <c r="H74"/>
  <c r="H71"/>
  <c r="H58"/>
  <c r="H59"/>
  <c r="H60"/>
  <c r="H61"/>
  <c r="H62"/>
  <c r="H63"/>
  <c r="H64"/>
  <c r="H65"/>
  <c r="H66"/>
  <c r="H67"/>
  <c r="H68"/>
  <c r="H57"/>
  <c r="K58" s="1"/>
  <c r="K59" s="1"/>
  <c r="K60" s="1"/>
  <c r="K61" s="1"/>
  <c r="K62" s="1"/>
  <c r="K63" s="1"/>
  <c r="K64" s="1"/>
  <c r="K65" s="1"/>
  <c r="K66" s="1"/>
  <c r="K67" s="1"/>
  <c r="K68" s="1"/>
  <c r="I70" i="4"/>
  <c r="I71"/>
  <c r="I72"/>
  <c r="I73"/>
  <c r="I74"/>
  <c r="I75"/>
  <c r="I76"/>
  <c r="I77"/>
  <c r="I78"/>
  <c r="I79"/>
  <c r="I80"/>
  <c r="I81"/>
  <c r="I82"/>
  <c r="I83"/>
  <c r="I84"/>
  <c r="I85"/>
  <c r="I86"/>
  <c r="I69"/>
  <c r="J69"/>
  <c r="D86"/>
  <c r="C86"/>
  <c r="D85"/>
  <c r="C85"/>
  <c r="D84"/>
  <c r="C84"/>
  <c r="D83"/>
  <c r="C83"/>
  <c r="D82"/>
  <c r="C82"/>
  <c r="D81"/>
  <c r="C81"/>
  <c r="D80"/>
  <c r="C80"/>
  <c r="D79"/>
  <c r="C79"/>
  <c r="D78"/>
  <c r="C78"/>
  <c r="D74"/>
  <c r="C74"/>
  <c r="D73"/>
  <c r="C73"/>
  <c r="D72"/>
  <c r="C72"/>
  <c r="D71"/>
  <c r="C71"/>
  <c r="D70"/>
  <c r="C70"/>
  <c r="J70" s="1"/>
  <c r="J71" s="1"/>
  <c r="D69"/>
  <c r="C69"/>
  <c r="D77"/>
  <c r="C77"/>
  <c r="D76"/>
  <c r="C76"/>
  <c r="D75"/>
  <c r="C75"/>
  <c r="J75" s="1"/>
  <c r="I63"/>
  <c r="D64"/>
  <c r="C64"/>
  <c r="D58"/>
  <c r="C58"/>
  <c r="D48"/>
  <c r="C48"/>
  <c r="D67"/>
  <c r="D63"/>
  <c r="C63"/>
  <c r="D66"/>
  <c r="D57"/>
  <c r="C57"/>
  <c r="D56"/>
  <c r="C56"/>
  <c r="D55"/>
  <c r="C55"/>
  <c r="D54"/>
  <c r="C54"/>
  <c r="D53"/>
  <c r="C53"/>
  <c r="D52"/>
  <c r="C52"/>
  <c r="D51"/>
  <c r="C51"/>
  <c r="D47"/>
  <c r="C47"/>
  <c r="D46"/>
  <c r="C46"/>
  <c r="D65"/>
  <c r="D45"/>
  <c r="C45"/>
  <c r="J46" s="1"/>
  <c r="J47" s="1"/>
  <c r="D50"/>
  <c r="C50"/>
  <c r="D49"/>
  <c r="C49"/>
  <c r="J49" s="1"/>
  <c r="D62"/>
  <c r="C62"/>
  <c r="D61"/>
  <c r="C61"/>
  <c r="D60"/>
  <c r="C60"/>
  <c r="D59"/>
  <c r="C59"/>
  <c r="J59" s="1"/>
  <c r="J60" s="1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5"/>
  <c r="D26"/>
  <c r="D27"/>
  <c r="D28"/>
  <c r="D29"/>
  <c r="D30"/>
  <c r="D31"/>
  <c r="D32"/>
  <c r="D33"/>
  <c r="D34"/>
  <c r="D35"/>
  <c r="D36"/>
  <c r="D37"/>
  <c r="D38"/>
  <c r="D24"/>
  <c r="D39"/>
  <c r="D40"/>
  <c r="D41"/>
  <c r="D42"/>
  <c r="D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5"/>
  <c r="C26"/>
  <c r="C27"/>
  <c r="C28"/>
  <c r="C29"/>
  <c r="C30"/>
  <c r="C31"/>
  <c r="C32"/>
  <c r="C33"/>
  <c r="C34"/>
  <c r="C35"/>
  <c r="C36"/>
  <c r="C37"/>
  <c r="C38"/>
  <c r="C24"/>
  <c r="C39"/>
  <c r="C40"/>
  <c r="C41"/>
  <c r="C42"/>
  <c r="C2"/>
  <c r="I46"/>
  <c r="I47"/>
  <c r="I50"/>
  <c r="I51"/>
  <c r="I58"/>
  <c r="I59"/>
  <c r="I60"/>
  <c r="I61"/>
  <c r="I62"/>
  <c r="I52"/>
  <c r="I53"/>
  <c r="I54"/>
  <c r="I55"/>
  <c r="I56"/>
  <c r="I57"/>
  <c r="I48"/>
  <c r="I65"/>
  <c r="I66"/>
  <c r="I67"/>
  <c r="I49"/>
  <c r="I45"/>
  <c r="J45" s="1"/>
  <c r="I64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2"/>
  <c r="J2" s="1"/>
  <c r="J3" s="1"/>
  <c r="A3" i="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L29" s="1"/>
  <c r="A30"/>
  <c r="L30" s="1"/>
  <c r="L31" s="1"/>
  <c r="A31"/>
  <c r="A32"/>
  <c r="A33"/>
  <c r="A34"/>
  <c r="A35"/>
  <c r="A36"/>
  <c r="A37"/>
  <c r="A38"/>
  <c r="A39"/>
  <c r="A40"/>
  <c r="A41"/>
  <c r="A42"/>
  <c r="A43"/>
  <c r="L43" s="1"/>
  <c r="A44"/>
  <c r="A45"/>
  <c r="A46"/>
  <c r="L46"/>
  <c r="L47" s="1"/>
  <c r="L48" s="1"/>
  <c r="L49" s="1"/>
  <c r="A47"/>
  <c r="A48"/>
  <c r="A49"/>
  <c r="A50"/>
  <c r="A51"/>
  <c r="A52"/>
  <c r="A53"/>
  <c r="A2"/>
  <c r="H3"/>
  <c r="K3"/>
  <c r="H4"/>
  <c r="K4" s="1"/>
  <c r="H5"/>
  <c r="H6"/>
  <c r="K6"/>
  <c r="H7"/>
  <c r="H8"/>
  <c r="K8"/>
  <c r="H9"/>
  <c r="H10"/>
  <c r="K10"/>
  <c r="H11"/>
  <c r="K11" s="1"/>
  <c r="H12"/>
  <c r="K12" s="1"/>
  <c r="H13"/>
  <c r="H14"/>
  <c r="K14" s="1"/>
  <c r="H15"/>
  <c r="K15"/>
  <c r="H16"/>
  <c r="K16" s="1"/>
  <c r="H17"/>
  <c r="K17"/>
  <c r="H18"/>
  <c r="K18" s="1"/>
  <c r="H19"/>
  <c r="K19" s="1"/>
  <c r="H20"/>
  <c r="K20"/>
  <c r="H21"/>
  <c r="K21" s="1"/>
  <c r="H22"/>
  <c r="K22"/>
  <c r="H23"/>
  <c r="K23" s="1"/>
  <c r="M23" s="1"/>
  <c r="H24"/>
  <c r="K24" s="1"/>
  <c r="M24" s="1"/>
  <c r="H25"/>
  <c r="K25"/>
  <c r="H26"/>
  <c r="K26" s="1"/>
  <c r="M26" s="1"/>
  <c r="H27"/>
  <c r="K27" s="1"/>
  <c r="M27" s="1"/>
  <c r="H28"/>
  <c r="L28" s="1"/>
  <c r="H29"/>
  <c r="K29"/>
  <c r="H30"/>
  <c r="K30" s="1"/>
  <c r="H31"/>
  <c r="K31"/>
  <c r="H32"/>
  <c r="K32" s="1"/>
  <c r="H33"/>
  <c r="H34"/>
  <c r="L34" s="1"/>
  <c r="L35" s="1"/>
  <c r="K34"/>
  <c r="M34" s="1"/>
  <c r="H35"/>
  <c r="H36"/>
  <c r="K36"/>
  <c r="H37"/>
  <c r="K37" s="1"/>
  <c r="H38"/>
  <c r="K38"/>
  <c r="M38" s="1"/>
  <c r="H39"/>
  <c r="K39" s="1"/>
  <c r="H40"/>
  <c r="K40"/>
  <c r="H41"/>
  <c r="K41" s="1"/>
  <c r="H42"/>
  <c r="K42"/>
  <c r="M42"/>
  <c r="H43"/>
  <c r="H44"/>
  <c r="K44"/>
  <c r="H45"/>
  <c r="H46"/>
  <c r="K46"/>
  <c r="M46"/>
  <c r="H47"/>
  <c r="K47" s="1"/>
  <c r="M47" s="1"/>
  <c r="H48"/>
  <c r="K48"/>
  <c r="M48" s="1"/>
  <c r="H49"/>
  <c r="K49" s="1"/>
  <c r="H50"/>
  <c r="K50"/>
  <c r="H51"/>
  <c r="K51"/>
  <c r="H52"/>
  <c r="K52" s="1"/>
  <c r="H53"/>
  <c r="K53"/>
  <c r="H2"/>
  <c r="L2" s="1"/>
  <c r="K2"/>
  <c r="M2"/>
  <c r="L42"/>
  <c r="K5"/>
  <c r="M22"/>
  <c r="L6"/>
  <c r="K43"/>
  <c r="K35"/>
  <c r="K7"/>
  <c r="L38"/>
  <c r="L39"/>
  <c r="L26"/>
  <c r="L27" s="1"/>
  <c r="K33"/>
  <c r="K13"/>
  <c r="M6"/>
  <c r="M7"/>
  <c r="M321" i="6" l="1"/>
  <c r="M322" s="1"/>
  <c r="M323" s="1"/>
  <c r="M324" s="1"/>
  <c r="M325" s="1"/>
  <c r="M326" s="1"/>
  <c r="M327" s="1"/>
  <c r="M328" s="1"/>
  <c r="M329" s="1"/>
  <c r="M330" s="1"/>
  <c r="M331" s="1"/>
  <c r="M332" s="1"/>
  <c r="M333" s="1"/>
  <c r="M334" s="1"/>
  <c r="M335" s="1"/>
  <c r="M336" s="1"/>
  <c r="M337" s="1"/>
  <c r="M338" s="1"/>
  <c r="M339" s="1"/>
  <c r="M340" s="1"/>
  <c r="M341" s="1"/>
  <c r="M342" s="1"/>
  <c r="M343" s="1"/>
  <c r="M344" s="1"/>
  <c r="M345" s="1"/>
  <c r="M346" s="1"/>
  <c r="M347" s="1"/>
  <c r="M348" s="1"/>
  <c r="M349" s="1"/>
  <c r="M350" s="1"/>
  <c r="M351" s="1"/>
  <c r="M352" s="1"/>
  <c r="M577"/>
  <c r="M578" s="1"/>
  <c r="M579" s="1"/>
  <c r="M580" s="1"/>
  <c r="M581" s="1"/>
  <c r="M582" s="1"/>
  <c r="M583" s="1"/>
  <c r="M584" s="1"/>
  <c r="M585" s="1"/>
  <c r="M586" s="1"/>
  <c r="M587" s="1"/>
  <c r="M588" s="1"/>
  <c r="M589" s="1"/>
  <c r="M590" s="1"/>
  <c r="M591" s="1"/>
  <c r="M592" s="1"/>
  <c r="M593" s="1"/>
  <c r="M594" s="1"/>
  <c r="M595" s="1"/>
  <c r="M596" s="1"/>
  <c r="M597" s="1"/>
  <c r="M598" s="1"/>
  <c r="M599" s="1"/>
  <c r="M600" s="1"/>
  <c r="M601" s="1"/>
  <c r="M602" s="1"/>
  <c r="M603" s="1"/>
  <c r="M604" s="1"/>
  <c r="M605" s="1"/>
  <c r="M606" s="1"/>
  <c r="M607" s="1"/>
  <c r="M608" s="1"/>
  <c r="M609" s="1"/>
  <c r="M610" s="1"/>
  <c r="M611" s="1"/>
  <c r="M612" s="1"/>
  <c r="M613" s="1"/>
  <c r="M614" s="1"/>
  <c r="M615" s="1"/>
  <c r="M616" s="1"/>
  <c r="M106"/>
  <c r="M107" s="1"/>
  <c r="M108" s="1"/>
  <c r="M109" s="1"/>
  <c r="M110" s="1"/>
  <c r="M111" s="1"/>
  <c r="M112" s="1"/>
  <c r="M113" s="1"/>
  <c r="M114" s="1"/>
  <c r="M115" s="1"/>
  <c r="M116" s="1"/>
  <c r="M117" s="1"/>
  <c r="M118" s="1"/>
  <c r="M119" s="1"/>
  <c r="M120" s="1"/>
  <c r="M121" s="1"/>
  <c r="M122" s="1"/>
  <c r="M123" s="1"/>
  <c r="M124" s="1"/>
  <c r="M125" s="1"/>
  <c r="M126" s="1"/>
  <c r="M127" s="1"/>
  <c r="M128" s="1"/>
  <c r="M129" s="1"/>
  <c r="M130" s="1"/>
  <c r="M131" s="1"/>
  <c r="M132" s="1"/>
  <c r="M133" s="1"/>
  <c r="M477"/>
  <c r="M478" s="1"/>
  <c r="M479" s="1"/>
  <c r="M480" s="1"/>
  <c r="M481" s="1"/>
  <c r="M482" s="1"/>
  <c r="M483" s="1"/>
  <c r="M484" s="1"/>
  <c r="M210"/>
  <c r="M211" s="1"/>
  <c r="M212" s="1"/>
  <c r="M213" s="1"/>
  <c r="M214" s="1"/>
  <c r="M215" s="1"/>
  <c r="M216" s="1"/>
  <c r="M217" s="1"/>
  <c r="M218" s="1"/>
  <c r="M219" s="1"/>
  <c r="M220" s="1"/>
  <c r="M221" s="1"/>
  <c r="M4"/>
  <c r="M5" s="1"/>
  <c r="M6" s="1"/>
  <c r="M7" s="1"/>
  <c r="M8" s="1"/>
  <c r="M9" s="1"/>
  <c r="M10" s="1"/>
  <c r="M11" s="1"/>
  <c r="M12" s="1"/>
  <c r="M13" s="1"/>
  <c r="M14" s="1"/>
  <c r="M15" s="1"/>
  <c r="M16" s="1"/>
  <c r="M17" s="1"/>
  <c r="M18" s="1"/>
  <c r="M19" s="1"/>
  <c r="M20" s="1"/>
  <c r="M21" s="1"/>
  <c r="M22" s="1"/>
  <c r="M23" s="1"/>
  <c r="M24" s="1"/>
  <c r="M25" s="1"/>
  <c r="M26" s="1"/>
  <c r="M27" s="1"/>
  <c r="M28" s="1"/>
  <c r="M29" s="1"/>
  <c r="M30" s="1"/>
  <c r="M31" s="1"/>
  <c r="M32" s="1"/>
  <c r="M33" s="1"/>
  <c r="M34" s="1"/>
  <c r="M35" s="1"/>
  <c r="M36" s="1"/>
  <c r="M37" s="1"/>
  <c r="M38" s="1"/>
  <c r="M39" s="1"/>
  <c r="M40" s="1"/>
  <c r="M41" s="1"/>
  <c r="M42" s="1"/>
  <c r="M43" s="1"/>
  <c r="M44" s="1"/>
  <c r="M45" s="1"/>
  <c r="M373"/>
  <c r="M374" s="1"/>
  <c r="M375" s="1"/>
  <c r="M376" s="1"/>
  <c r="M377" s="1"/>
  <c r="M378" s="1"/>
  <c r="M379" s="1"/>
  <c r="M380" s="1"/>
  <c r="M381" s="1"/>
  <c r="M382" s="1"/>
  <c r="M383" s="1"/>
  <c r="M384" s="1"/>
  <c r="M385" s="1"/>
  <c r="M386" s="1"/>
  <c r="M387" s="1"/>
  <c r="M388" s="1"/>
  <c r="M389" s="1"/>
  <c r="M390" s="1"/>
  <c r="M391" s="1"/>
  <c r="M392" s="1"/>
  <c r="M393" s="1"/>
  <c r="M394" s="1"/>
  <c r="M395" s="1"/>
  <c r="M396" s="1"/>
  <c r="L4"/>
  <c r="L5" s="1"/>
  <c r="L6" s="1"/>
  <c r="L7" s="1"/>
  <c r="L8" s="1"/>
  <c r="L9" s="1"/>
  <c r="L10" s="1"/>
  <c r="L11" s="1"/>
  <c r="L12" s="1"/>
  <c r="L13" s="1"/>
  <c r="L14" s="1"/>
  <c r="L15" s="1"/>
  <c r="L16" s="1"/>
  <c r="L17" s="1"/>
  <c r="L18" s="1"/>
  <c r="L19" s="1"/>
  <c r="L20" s="1"/>
  <c r="L21" s="1"/>
  <c r="L22" s="1"/>
  <c r="L23" s="1"/>
  <c r="L24" s="1"/>
  <c r="L25" s="1"/>
  <c r="L26" s="1"/>
  <c r="L27" s="1"/>
  <c r="L28" s="1"/>
  <c r="L29" s="1"/>
  <c r="L30" s="1"/>
  <c r="L31" s="1"/>
  <c r="L32" s="1"/>
  <c r="L33" s="1"/>
  <c r="L34" s="1"/>
  <c r="L35" s="1"/>
  <c r="L36" s="1"/>
  <c r="L37" s="1"/>
  <c r="L38" s="1"/>
  <c r="L39" s="1"/>
  <c r="L40" s="1"/>
  <c r="L41" s="1"/>
  <c r="L42" s="1"/>
  <c r="L43" s="1"/>
  <c r="L44" s="1"/>
  <c r="L45" s="1"/>
  <c r="M25" i="3"/>
  <c r="J64" i="4"/>
  <c r="J65" s="1"/>
  <c r="J66" s="1"/>
  <c r="J67" s="1"/>
  <c r="M18" i="3"/>
  <c r="M14"/>
  <c r="M15" s="1"/>
  <c r="M16" s="1"/>
  <c r="M17" s="1"/>
  <c r="M49"/>
  <c r="M35"/>
  <c r="M36" s="1"/>
  <c r="M37" s="1"/>
  <c r="J48" i="4"/>
  <c r="J61"/>
  <c r="J62" s="1"/>
  <c r="J63" s="1"/>
  <c r="J4"/>
  <c r="J5" s="1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76"/>
  <c r="J77" s="1"/>
  <c r="J78" s="1"/>
  <c r="J79" s="1"/>
  <c r="J80" s="1"/>
  <c r="J81" s="1"/>
  <c r="J82" s="1"/>
  <c r="J83" s="1"/>
  <c r="J84" s="1"/>
  <c r="J85" s="1"/>
  <c r="J86" s="1"/>
  <c r="M8" i="3"/>
  <c r="M3"/>
  <c r="M4" s="1"/>
  <c r="M5" s="1"/>
  <c r="M21"/>
  <c r="L41"/>
  <c r="L40"/>
  <c r="J72" i="4"/>
  <c r="J73" s="1"/>
  <c r="J74" s="1"/>
  <c r="L7" i="3"/>
  <c r="L8" s="1"/>
  <c r="L9" s="1"/>
  <c r="L36"/>
  <c r="L37" s="1"/>
  <c r="M43"/>
  <c r="L32"/>
  <c r="L33" s="1"/>
  <c r="J25" i="4"/>
  <c r="J26" s="1"/>
  <c r="J27" s="1"/>
  <c r="J28" s="1"/>
  <c r="J29" s="1"/>
  <c r="J30" s="1"/>
  <c r="J31" s="1"/>
  <c r="J32" s="1"/>
  <c r="J33" s="1"/>
  <c r="J34" s="1"/>
  <c r="J35" s="1"/>
  <c r="J36" s="1"/>
  <c r="J37" s="1"/>
  <c r="J38" s="1"/>
  <c r="J39" s="1"/>
  <c r="J40" s="1"/>
  <c r="J41" s="1"/>
  <c r="J42" s="1"/>
  <c r="J50"/>
  <c r="J51" s="1"/>
  <c r="J52" s="1"/>
  <c r="J53" s="1"/>
  <c r="J54" s="1"/>
  <c r="J55" s="1"/>
  <c r="J56" s="1"/>
  <c r="J57" s="1"/>
  <c r="J58" s="1"/>
  <c r="M30" i="3"/>
  <c r="M31" s="1"/>
  <c r="M32" s="1"/>
  <c r="M33" s="1"/>
  <c r="M50"/>
  <c r="M51" s="1"/>
  <c r="M52" s="1"/>
  <c r="M53" s="1"/>
  <c r="K45"/>
  <c r="K28"/>
  <c r="M28" s="1"/>
  <c r="M29" s="1"/>
  <c r="K9"/>
  <c r="M9" s="1"/>
  <c r="L50"/>
  <c r="L51" s="1"/>
  <c r="L52" s="1"/>
  <c r="L53" s="1"/>
  <c r="L18"/>
  <c r="L22"/>
  <c r="L23" s="1"/>
  <c r="L24" s="1"/>
  <c r="M44"/>
  <c r="M39"/>
  <c r="M40" s="1"/>
  <c r="M41" s="1"/>
  <c r="M19"/>
  <c r="M20" s="1"/>
  <c r="L44"/>
  <c r="L45" s="1"/>
  <c r="L19"/>
  <c r="L20" s="1"/>
  <c r="L21" s="1"/>
  <c r="L3"/>
  <c r="L4" s="1"/>
  <c r="L5" s="1"/>
  <c r="L10"/>
  <c r="L11" s="1"/>
  <c r="L12" s="1"/>
  <c r="L13" s="1"/>
  <c r="M10"/>
  <c r="M11" s="1"/>
  <c r="M12" s="1"/>
  <c r="M13" s="1"/>
  <c r="L25"/>
  <c r="L14"/>
  <c r="L15" s="1"/>
  <c r="L16" s="1"/>
  <c r="L17" s="1"/>
  <c r="M45" l="1"/>
</calcChain>
</file>

<file path=xl/sharedStrings.xml><?xml version="1.0" encoding="utf-8"?>
<sst xmlns="http://schemas.openxmlformats.org/spreadsheetml/2006/main" count="38741" uniqueCount="16451">
  <si>
    <t>掉落组ID
[字符串]
角色10001~15000
装备15001~20000
法宝20001~25000
道具25001~30000
任务30001~40000
关卡40001~50000
宝箱50001~51000
抽卡51001~52000
超级聚仙52001~53000
通天60001~62000
签到和七日奖励65001~69000
血战奖励70001~72000
邮件和竞技奖励72001~75000
开服七日活动奖励75001-79999
普通活动-累计登陆奖励 80000-89999</t>
  </si>
  <si>
    <t>备注,不做解析。</t>
  </si>
  <si>
    <t>reward_id</t>
  </si>
  <si>
    <t>reward_type</t>
  </si>
  <si>
    <t>reward_des</t>
  </si>
  <si>
    <t>props_id</t>
  </si>
  <si>
    <t>s</t>
  </si>
  <si>
    <t>i</t>
  </si>
  <si>
    <t>二郎神</t>
  </si>
  <si>
    <t>5|1101|1|1</t>
  </si>
  <si>
    <t>哪吒</t>
  </si>
  <si>
    <t>5|1102|1|1</t>
  </si>
  <si>
    <t>嫦娥</t>
  </si>
  <si>
    <t>5|1103|1|1</t>
  </si>
  <si>
    <t>玉皇大帝</t>
  </si>
  <si>
    <t>5|1104|1|1</t>
  </si>
  <si>
    <t>王母娘娘</t>
  </si>
  <si>
    <t>5|1105|1|1</t>
  </si>
  <si>
    <t>太白金星</t>
  </si>
  <si>
    <t>5|1106|1|1</t>
  </si>
  <si>
    <t>赤脚大仙</t>
  </si>
  <si>
    <t>5|1107|1|1</t>
  </si>
  <si>
    <t>托塔天王</t>
  </si>
  <si>
    <t>5|1108|1|1</t>
  </si>
  <si>
    <t>九天玄女</t>
  </si>
  <si>
    <t>5|1109|1|1</t>
  </si>
  <si>
    <t>红孩儿</t>
  </si>
  <si>
    <t>5|1110|1|1</t>
  </si>
  <si>
    <t>铁扇公主</t>
  </si>
  <si>
    <t>5|1111|1|1</t>
  </si>
  <si>
    <t>牛魔王</t>
  </si>
  <si>
    <t>5|1112|1|1</t>
  </si>
  <si>
    <t>虎力大仙</t>
  </si>
  <si>
    <t>5|1113|1|1</t>
  </si>
  <si>
    <t>鹿力大仙</t>
  </si>
  <si>
    <t>5|1114|1|1</t>
  </si>
  <si>
    <t>羊力大仙</t>
  </si>
  <si>
    <t>5|1115|1|1</t>
  </si>
  <si>
    <t>白骨夫人</t>
  </si>
  <si>
    <t>5|1116|1|1</t>
  </si>
  <si>
    <t>六耳猕猴</t>
  </si>
  <si>
    <t>5|1117|1|1</t>
  </si>
  <si>
    <t>混沌</t>
  </si>
  <si>
    <t>5|1118|1|1</t>
  </si>
  <si>
    <t>孙悟空</t>
  </si>
  <si>
    <t>5|1119|1|1</t>
  </si>
  <si>
    <t>猪八戒</t>
  </si>
  <si>
    <t>5|1120|1|1</t>
  </si>
  <si>
    <t>紫霞仙子</t>
  </si>
  <si>
    <t>5|1121|1|1</t>
  </si>
  <si>
    <t>唐三藏</t>
  </si>
  <si>
    <t>5|1122|1|1</t>
  </si>
  <si>
    <t>小白龙</t>
  </si>
  <si>
    <t>5|1123|1|1</t>
  </si>
  <si>
    <t>沙和尚</t>
  </si>
  <si>
    <t>5|1124|1|1</t>
  </si>
  <si>
    <t>迦叶</t>
  </si>
  <si>
    <t>5|1125|1|1</t>
  </si>
  <si>
    <t>文殊菩萨</t>
  </si>
  <si>
    <t>5|1126|1|1</t>
  </si>
  <si>
    <t>弥勒佛</t>
  </si>
  <si>
    <t>5|1127|1|1</t>
  </si>
  <si>
    <t>赛太岁</t>
  </si>
  <si>
    <t>5|1128|1|1</t>
  </si>
  <si>
    <t>地藏王</t>
  </si>
  <si>
    <t>5|1130|1|1</t>
  </si>
  <si>
    <t>蝎子精</t>
  </si>
  <si>
    <t>5|1131|1|1</t>
  </si>
  <si>
    <t>混世魔王</t>
  </si>
  <si>
    <t>5|1132|1|1</t>
  </si>
  <si>
    <t>泾河龙王</t>
  </si>
  <si>
    <t>5|1134|1|1</t>
  </si>
  <si>
    <t>东海龙王</t>
  </si>
  <si>
    <t>5|1135|1|1</t>
  </si>
  <si>
    <t>白龙公主</t>
  </si>
  <si>
    <t>5|1136|1|1</t>
  </si>
  <si>
    <t>蜘蛛精</t>
  </si>
  <si>
    <t>5|1137|1|1</t>
  </si>
  <si>
    <t>玉面夫人</t>
  </si>
  <si>
    <t>5|1138|1|1</t>
  </si>
  <si>
    <t>金钱豹王</t>
  </si>
  <si>
    <t>5|1139|1|1</t>
  </si>
  <si>
    <t>墨鱼精</t>
  </si>
  <si>
    <t>5|1140|1|1</t>
  </si>
  <si>
    <t>玉兔精</t>
  </si>
  <si>
    <t>5|1141|1|1</t>
  </si>
  <si>
    <t>火狮人</t>
  </si>
  <si>
    <t>5|1142|1|1</t>
  </si>
  <si>
    <t>土狮人</t>
  </si>
  <si>
    <t>5|1143|1|1</t>
  </si>
  <si>
    <t>金石头人</t>
  </si>
  <si>
    <t>5|1146|1|1</t>
  </si>
  <si>
    <t>木石头人</t>
  </si>
  <si>
    <t>5|1147|1|1</t>
  </si>
  <si>
    <t>土石头人</t>
  </si>
  <si>
    <t>5|1148|1|1</t>
  </si>
  <si>
    <t>黑熊精</t>
  </si>
  <si>
    <t>5|1152|1|1</t>
  </si>
  <si>
    <t>奔波儿灞</t>
  </si>
  <si>
    <t>5|1153|1|1</t>
  </si>
  <si>
    <t>灞波尔奔</t>
  </si>
  <si>
    <t>5|1154|1|1</t>
  </si>
  <si>
    <t>金大蟒精</t>
  </si>
  <si>
    <t>5|1155|1|1</t>
  </si>
  <si>
    <t>木大蟒精</t>
  </si>
  <si>
    <t>5|1156|1|1</t>
  </si>
  <si>
    <t>木狐美人</t>
  </si>
  <si>
    <t>5|1157|1|1</t>
  </si>
  <si>
    <t>水狐美人</t>
  </si>
  <si>
    <t>5|1158|1|1</t>
  </si>
  <si>
    <t>火狐美人</t>
  </si>
  <si>
    <t>5|1159|1|1</t>
  </si>
  <si>
    <t>金鲛人</t>
  </si>
  <si>
    <t>5|1162|1|1</t>
  </si>
  <si>
    <t>水鲛人</t>
  </si>
  <si>
    <t>5|1163|1|1</t>
  </si>
  <si>
    <t>金天兵</t>
  </si>
  <si>
    <t>5|1164|1|1</t>
  </si>
  <si>
    <t>土天兵</t>
  </si>
  <si>
    <t>5|1165|1|1</t>
  </si>
  <si>
    <t>火天兵</t>
  </si>
  <si>
    <t>5|1166|1|1</t>
  </si>
  <si>
    <t>金狼人</t>
  </si>
  <si>
    <t>5|1167|1|1</t>
  </si>
  <si>
    <t>木狼人</t>
  </si>
  <si>
    <t>5|1168|1|1</t>
  </si>
  <si>
    <t>水狼人</t>
  </si>
  <si>
    <t>5|1169|1|1</t>
  </si>
  <si>
    <t>火狼人</t>
  </si>
  <si>
    <t>5|1170|1|1</t>
  </si>
  <si>
    <t>土狼人</t>
  </si>
  <si>
    <t>5|1171|1|1</t>
  </si>
  <si>
    <t>木骷髅兵</t>
  </si>
  <si>
    <t>5|1176|1|1</t>
  </si>
  <si>
    <t>水骷髅兵</t>
  </si>
  <si>
    <t>5|1177|1|1</t>
  </si>
  <si>
    <t>火骷髅兵</t>
  </si>
  <si>
    <t>5|1178|1|1</t>
  </si>
  <si>
    <t>土骷髅兵</t>
  </si>
  <si>
    <t>5|1179|1|1</t>
  </si>
  <si>
    <t>金蜘蛛</t>
  </si>
  <si>
    <t>5|1180|1|1</t>
  </si>
  <si>
    <t>水蜘蛛</t>
  </si>
  <si>
    <t>5|1181|1|1</t>
  </si>
  <si>
    <t>土蜘蛛</t>
  </si>
  <si>
    <t>5|1182|1|1</t>
  </si>
  <si>
    <t>金女鬼</t>
  </si>
  <si>
    <t>5|1185|1|1</t>
  </si>
  <si>
    <t>木女鬼</t>
  </si>
  <si>
    <t>5|1186|1|1</t>
  </si>
  <si>
    <t>水女鬼</t>
  </si>
  <si>
    <t>5|1187|1|1</t>
  </si>
  <si>
    <t>火女鬼</t>
  </si>
  <si>
    <t>5|1188|1|1</t>
  </si>
  <si>
    <t>二郎神碎片</t>
  </si>
  <si>
    <t>1|10001|1|1</t>
  </si>
  <si>
    <t>哪吒碎片</t>
  </si>
  <si>
    <t>1|10002|1|1</t>
  </si>
  <si>
    <t>嫦娥碎片</t>
  </si>
  <si>
    <t>1|10003|1|1</t>
  </si>
  <si>
    <t>玉皇大帝碎片</t>
  </si>
  <si>
    <t>1|10004|1|1</t>
  </si>
  <si>
    <t>王母娘娘碎片</t>
  </si>
  <si>
    <t>1|10005|1|1</t>
  </si>
  <si>
    <t>太白金星碎片</t>
  </si>
  <si>
    <t>1|10006|1|1</t>
  </si>
  <si>
    <t>赤脚大仙碎片</t>
  </si>
  <si>
    <t>1|10007|1|1</t>
  </si>
  <si>
    <t>托塔天王碎片</t>
  </si>
  <si>
    <t>1|10008|1|1</t>
  </si>
  <si>
    <t>九天玄女碎片</t>
  </si>
  <si>
    <t>1|10009|1|1</t>
  </si>
  <si>
    <t>红孩儿碎片</t>
  </si>
  <si>
    <t>1|10010|1|1</t>
  </si>
  <si>
    <t>铁扇公主碎片</t>
  </si>
  <si>
    <t>1|10011|1|1</t>
  </si>
  <si>
    <t>牛魔王碎片</t>
  </si>
  <si>
    <t>1|10012|1|1</t>
  </si>
  <si>
    <t>虎力大仙碎片</t>
  </si>
  <si>
    <t>1|10013|1|1</t>
  </si>
  <si>
    <t>鹿力大仙碎片</t>
  </si>
  <si>
    <t>1|10014|1|1</t>
  </si>
  <si>
    <t>羊力大仙碎片</t>
  </si>
  <si>
    <t>1|10015|1|1</t>
  </si>
  <si>
    <t>白骨夫人碎片</t>
  </si>
  <si>
    <t>1|10016|1|1</t>
  </si>
  <si>
    <t>六耳猕猴碎片</t>
  </si>
  <si>
    <t>1|10017|1|1</t>
  </si>
  <si>
    <t>混沌碎片</t>
  </si>
  <si>
    <t>1|10018|1|1</t>
  </si>
  <si>
    <t>孙悟空碎片</t>
  </si>
  <si>
    <t>1|10019|1|1</t>
  </si>
  <si>
    <t>猪八戒碎片</t>
  </si>
  <si>
    <t>1|10020|1|1</t>
  </si>
  <si>
    <t>紫霞仙子碎片</t>
  </si>
  <si>
    <t>1|10021|1|1</t>
  </si>
  <si>
    <t>唐三藏碎片</t>
  </si>
  <si>
    <t>1|10022|1|1</t>
  </si>
  <si>
    <t>小白龙碎片</t>
  </si>
  <si>
    <t>1|10023|1|1</t>
  </si>
  <si>
    <t>沙和尚碎片</t>
  </si>
  <si>
    <t>1|10024|1|1</t>
  </si>
  <si>
    <t>迦叶碎片</t>
  </si>
  <si>
    <t>1|10025|1|1</t>
  </si>
  <si>
    <t>文殊菩萨碎片</t>
  </si>
  <si>
    <t>1|10026|1|1</t>
  </si>
  <si>
    <t>弥勒佛碎片</t>
  </si>
  <si>
    <t>1|10027|1|1</t>
  </si>
  <si>
    <t>赛太岁碎片</t>
  </si>
  <si>
    <t>1|10028|1|1</t>
  </si>
  <si>
    <t>阎罗王碎片</t>
  </si>
  <si>
    <t>1|10101|1|1</t>
  </si>
  <si>
    <t>地藏王碎片</t>
  </si>
  <si>
    <t>1|10030|1|1</t>
  </si>
  <si>
    <t>蝎子精碎片</t>
  </si>
  <si>
    <t>1|10031|1|1</t>
  </si>
  <si>
    <t>混世魔王碎片</t>
  </si>
  <si>
    <t>1|10032|1|1</t>
  </si>
  <si>
    <t>雷公碎片</t>
  </si>
  <si>
    <t>1|10033|1|1</t>
  </si>
  <si>
    <t>泾河龙王碎片</t>
  </si>
  <si>
    <t>1|10034|1|1</t>
  </si>
  <si>
    <t>东海龙王碎片</t>
  </si>
  <si>
    <t>1|10035|1|1</t>
  </si>
  <si>
    <t>白龙公主碎片</t>
  </si>
  <si>
    <t>1|10036|1|1</t>
  </si>
  <si>
    <t>蜘蛛精碎片</t>
  </si>
  <si>
    <t>1|10037|1|1</t>
  </si>
  <si>
    <t>玉面夫人碎片</t>
  </si>
  <si>
    <t>1|10038|1|1</t>
  </si>
  <si>
    <t>金钱豹王碎片</t>
  </si>
  <si>
    <t>1|10039|1|1</t>
  </si>
  <si>
    <t>墨鱼精碎片</t>
  </si>
  <si>
    <t>1|10040|1|1</t>
  </si>
  <si>
    <t>玉兔精碎片</t>
  </si>
  <si>
    <t>1|10041|1|1</t>
  </si>
  <si>
    <t>火狮人碎片</t>
  </si>
  <si>
    <t>1|10042|1|1</t>
  </si>
  <si>
    <t>土狮人碎片</t>
  </si>
  <si>
    <t>1|10043|1|1</t>
  </si>
  <si>
    <t>金石头人碎片</t>
  </si>
  <si>
    <t>1|10046|1|1</t>
  </si>
  <si>
    <t>木石头人碎片</t>
  </si>
  <si>
    <t>1|10047|1|1</t>
  </si>
  <si>
    <t>土石头人碎片</t>
  </si>
  <si>
    <t>1|10048|1|1</t>
  </si>
  <si>
    <t>黑熊精碎片</t>
  </si>
  <si>
    <t>1|10052|1|1</t>
  </si>
  <si>
    <t>奔波儿灞碎片</t>
  </si>
  <si>
    <t>1|10053|1|1</t>
  </si>
  <si>
    <t>灞波尔奔碎片</t>
  </si>
  <si>
    <t>1|10054|1|1</t>
  </si>
  <si>
    <t>金大蟒精碎片</t>
  </si>
  <si>
    <t>1|10055|1|1</t>
  </si>
  <si>
    <t>木大蟒精碎片</t>
  </si>
  <si>
    <t>1|10056|1|1</t>
  </si>
  <si>
    <t>木狐美人碎片</t>
  </si>
  <si>
    <t>1|10057|1|1</t>
  </si>
  <si>
    <t>水狐美人碎片</t>
  </si>
  <si>
    <t>1|10058|1|1</t>
  </si>
  <si>
    <t>火狐美人碎片</t>
  </si>
  <si>
    <t>1|10059|1|1</t>
  </si>
  <si>
    <t>金鲛人碎片</t>
  </si>
  <si>
    <t>1|10062|1|1</t>
  </si>
  <si>
    <t>水鲛人碎片</t>
  </si>
  <si>
    <t>1|10063|1|1</t>
  </si>
  <si>
    <t>行者战甲</t>
  </si>
  <si>
    <t>2|2001|1|1</t>
  </si>
  <si>
    <t>行者长剑</t>
  </si>
  <si>
    <t>2|2002|1|1</t>
  </si>
  <si>
    <t>行者头盔</t>
  </si>
  <si>
    <t>2|2003|1|1</t>
  </si>
  <si>
    <t>行者腰带</t>
  </si>
  <si>
    <t>2|2004|1|1</t>
  </si>
  <si>
    <t>勇士战甲</t>
  </si>
  <si>
    <t>2|2021|1|1</t>
  </si>
  <si>
    <t>勇士长剑</t>
  </si>
  <si>
    <t>2|2022|1|1</t>
  </si>
  <si>
    <t>勇士头盔</t>
  </si>
  <si>
    <t>2|2023|1|1</t>
  </si>
  <si>
    <t>勇士腰带</t>
  </si>
  <si>
    <t>2|2024|1|1</t>
  </si>
  <si>
    <t>精英战甲</t>
  </si>
  <si>
    <t>2|2025|1|1</t>
  </si>
  <si>
    <t>精英长剑</t>
  </si>
  <si>
    <t>2|2026|1|1</t>
  </si>
  <si>
    <t>精英头盔</t>
  </si>
  <si>
    <t>2|2027|1|1</t>
  </si>
  <si>
    <t>精英腰带</t>
  </si>
  <si>
    <t>2|2028|1|1</t>
  </si>
  <si>
    <t>紫金战甲</t>
  </si>
  <si>
    <t>2|2041|1|1</t>
  </si>
  <si>
    <t>紫金长剑</t>
  </si>
  <si>
    <t>2|2042|1|1</t>
  </si>
  <si>
    <t>紫金头盔</t>
  </si>
  <si>
    <t>2|2043|1|1</t>
  </si>
  <si>
    <t>紫金腰带</t>
  </si>
  <si>
    <t>2|2044|1|1</t>
  </si>
  <si>
    <t>陨铁战甲</t>
  </si>
  <si>
    <t>2|2045|1|1</t>
  </si>
  <si>
    <t>陨铁长剑</t>
  </si>
  <si>
    <t>2|2046|1|1</t>
  </si>
  <si>
    <t>陨铁头盔</t>
  </si>
  <si>
    <t>2|2047|1|1</t>
  </si>
  <si>
    <t>陨铁腰带</t>
  </si>
  <si>
    <t>2|2048|1|1</t>
  </si>
  <si>
    <t>龙鳞战甲</t>
  </si>
  <si>
    <t>2|2061|1|1</t>
  </si>
  <si>
    <t>龙鳞长剑</t>
  </si>
  <si>
    <t>2|2062|1|1</t>
  </si>
  <si>
    <t>龙鳞头盔</t>
  </si>
  <si>
    <t>2|2063|1|1</t>
  </si>
  <si>
    <t>龙鳞腰带</t>
  </si>
  <si>
    <t>2|2064|1|1</t>
  </si>
  <si>
    <t>降魔战甲</t>
  </si>
  <si>
    <t>2|2065|1|1</t>
  </si>
  <si>
    <t>降魔长剑</t>
  </si>
  <si>
    <t>2|2066|1|1</t>
  </si>
  <si>
    <t>降魔头盔</t>
  </si>
  <si>
    <t>2|2067|1|1</t>
  </si>
  <si>
    <t>降魔腰带</t>
  </si>
  <si>
    <t>2|2068|1|1</t>
  </si>
  <si>
    <t>诛仙战甲</t>
  </si>
  <si>
    <t>2|2069|1|1</t>
  </si>
  <si>
    <t>诛仙长剑</t>
  </si>
  <si>
    <t>2|2070|1|1</t>
  </si>
  <si>
    <t>诛仙头盔</t>
  </si>
  <si>
    <t>2|2071|1|1</t>
  </si>
  <si>
    <t>诛仙腰带</t>
  </si>
  <si>
    <t>2|2072|1|1</t>
  </si>
  <si>
    <t>勇士战甲碎片</t>
  </si>
  <si>
    <t>1|11001|1|1</t>
  </si>
  <si>
    <t>勇士长剑碎片</t>
  </si>
  <si>
    <t>1|11002|1|1</t>
  </si>
  <si>
    <t>勇士头盔碎片</t>
  </si>
  <si>
    <t>1|11003|1|1</t>
  </si>
  <si>
    <t>勇士腰带碎片</t>
  </si>
  <si>
    <t>1|11004|1|1</t>
  </si>
  <si>
    <t>精英战甲碎片</t>
  </si>
  <si>
    <t>1|11005|1|1</t>
  </si>
  <si>
    <t>精英长剑碎片</t>
  </si>
  <si>
    <t>1|11006|1|1</t>
  </si>
  <si>
    <t>精英头盔碎片</t>
  </si>
  <si>
    <t>1|11007|1|1</t>
  </si>
  <si>
    <t>精英腰带碎片</t>
  </si>
  <si>
    <t>1|11008|1|1</t>
  </si>
  <si>
    <t>紫金战甲碎片</t>
  </si>
  <si>
    <t>1|11009|1|1</t>
  </si>
  <si>
    <t>紫金长剑碎片</t>
  </si>
  <si>
    <t>1|11010|1|1</t>
  </si>
  <si>
    <t>紫金头盔碎片</t>
  </si>
  <si>
    <t>1|11011|1|1</t>
  </si>
  <si>
    <t>紫金腰带碎片</t>
  </si>
  <si>
    <t>1|11012|1|1</t>
  </si>
  <si>
    <t>陨铁战甲碎片</t>
  </si>
  <si>
    <t>1|11013|1|1</t>
  </si>
  <si>
    <t>陨铁长剑碎片</t>
  </si>
  <si>
    <t>1|11014|1|1</t>
  </si>
  <si>
    <t>陨铁头盔碎片</t>
  </si>
  <si>
    <t>1|11015|1|1</t>
  </si>
  <si>
    <t>陨铁腰带碎片</t>
  </si>
  <si>
    <t>1|11016|1|1</t>
  </si>
  <si>
    <t>龙鳞战甲碎片</t>
  </si>
  <si>
    <t>1|11017|1|1</t>
  </si>
  <si>
    <t>龙鳞长剑碎片</t>
  </si>
  <si>
    <t>1|11018|1|1</t>
  </si>
  <si>
    <t>龙鳞头盔碎片</t>
  </si>
  <si>
    <t>1|11019|1|1</t>
  </si>
  <si>
    <t>龙鳞腰带碎片</t>
  </si>
  <si>
    <t>1|11020|1|1</t>
  </si>
  <si>
    <t>降魔战甲碎片</t>
  </si>
  <si>
    <t>1|11021|1|1</t>
  </si>
  <si>
    <t>降魔长剑碎片</t>
  </si>
  <si>
    <t>1|11022|1|1</t>
  </si>
  <si>
    <t>降魔头盔碎片</t>
  </si>
  <si>
    <t>1|11023|1|1</t>
  </si>
  <si>
    <t>降魔腰带碎片</t>
  </si>
  <si>
    <t>1|11024|1|1</t>
  </si>
  <si>
    <t>诛仙战甲碎片</t>
  </si>
  <si>
    <t>1|11025|1|1</t>
  </si>
  <si>
    <t>诛仙长剑碎片</t>
  </si>
  <si>
    <t>1|11026|1|1</t>
  </si>
  <si>
    <t>诛仙头盔碎片</t>
  </si>
  <si>
    <t>1|11027|1|1</t>
  </si>
  <si>
    <t>诛仙腰带碎片</t>
  </si>
  <si>
    <t>1|11028|1|1</t>
  </si>
  <si>
    <t>莲音玦</t>
  </si>
  <si>
    <t>6|3001|1|1</t>
  </si>
  <si>
    <t>芙蓉戒</t>
  </si>
  <si>
    <t>6|3002|1|1</t>
  </si>
  <si>
    <t>逸云佩</t>
  </si>
  <si>
    <t>6|3003|1|1</t>
  </si>
  <si>
    <t>碧月水</t>
  </si>
  <si>
    <t>6|3004|1|1</t>
  </si>
  <si>
    <t>凤尾佩</t>
  </si>
  <si>
    <t>6|3005|1|1</t>
  </si>
  <si>
    <t>玉麟绕</t>
  </si>
  <si>
    <t>6|3006|1|1</t>
  </si>
  <si>
    <t>相思血</t>
  </si>
  <si>
    <t>6|3007|1|1</t>
  </si>
  <si>
    <t>幽冥月</t>
  </si>
  <si>
    <t>6|3008|1|1</t>
  </si>
  <si>
    <t>点星芒</t>
  </si>
  <si>
    <t>6|3009|1|1</t>
  </si>
  <si>
    <t>金玉缘</t>
  </si>
  <si>
    <t>6|3010|1|1</t>
  </si>
  <si>
    <t>碧海青天</t>
  </si>
  <si>
    <t>6|3011|1|1</t>
  </si>
  <si>
    <t>九曜光华</t>
  </si>
  <si>
    <t>6|3012|1|1</t>
  </si>
  <si>
    <t>千方寂玉</t>
  </si>
  <si>
    <t>6|3013|1|1</t>
  </si>
  <si>
    <t>噬龙之锋</t>
  </si>
  <si>
    <t>6|3014|1|1</t>
  </si>
  <si>
    <t>鎏金点翠</t>
  </si>
  <si>
    <t>6|3015|1|1</t>
  </si>
  <si>
    <t>紫金曼陀</t>
  </si>
  <si>
    <t>6|3016|1|1</t>
  </si>
  <si>
    <t>蓝色经验灵饰</t>
  </si>
  <si>
    <t>6|4501|1|1</t>
  </si>
  <si>
    <t>紫色经验灵饰</t>
  </si>
  <si>
    <t>6|4502|1|1</t>
  </si>
  <si>
    <t>橙色经验灵饰</t>
  </si>
  <si>
    <t>6|4503|1|1</t>
  </si>
  <si>
    <t>莲音玦碎片1</t>
  </si>
  <si>
    <t>1|12001|1|1</t>
  </si>
  <si>
    <t>莲音玦碎片2</t>
  </si>
  <si>
    <t>1|12002|1|1</t>
  </si>
  <si>
    <t>莲音玦碎片3</t>
  </si>
  <si>
    <t>1|12003|1|1</t>
  </si>
  <si>
    <t>芙蓉戒碎片1</t>
  </si>
  <si>
    <t>1|12004|1|1</t>
  </si>
  <si>
    <t>芙蓉戒碎片2</t>
  </si>
  <si>
    <t>1|12005|1|1</t>
  </si>
  <si>
    <t>芙蓉戒碎片3</t>
  </si>
  <si>
    <t>1|12006|1|1</t>
  </si>
  <si>
    <t>逸云佩碎片1</t>
  </si>
  <si>
    <t>1|12007|1|1</t>
  </si>
  <si>
    <t>逸云佩碎片2</t>
  </si>
  <si>
    <t>1|12008|1|1</t>
  </si>
  <si>
    <t>逸云佩碎片3</t>
  </si>
  <si>
    <t>1|12009|1|1</t>
  </si>
  <si>
    <t>碧月水碎片1</t>
  </si>
  <si>
    <t>1|12010|1|1</t>
  </si>
  <si>
    <t>碧月水碎片2</t>
  </si>
  <si>
    <t>1|12011|1|1</t>
  </si>
  <si>
    <t>碧月水碎片3</t>
  </si>
  <si>
    <t>1|12012|1|1</t>
  </si>
  <si>
    <t>凤尾佩碎片1</t>
  </si>
  <si>
    <t>1|12013|1|1</t>
  </si>
  <si>
    <t>凤尾佩碎片2</t>
  </si>
  <si>
    <t>1|12014|1|1</t>
  </si>
  <si>
    <t>凤尾佩碎片3</t>
  </si>
  <si>
    <t>1|12015|1|1</t>
  </si>
  <si>
    <t>凤尾佩碎片4</t>
  </si>
  <si>
    <t>1|12016|1|1</t>
  </si>
  <si>
    <t>玉麟绕碎片1</t>
  </si>
  <si>
    <t>1|12017|1|1</t>
  </si>
  <si>
    <t>玉麟绕碎片2</t>
  </si>
  <si>
    <t>1|12018|1|1</t>
  </si>
  <si>
    <t>玉麟绕碎片3</t>
  </si>
  <si>
    <t>1|12019|1|1</t>
  </si>
  <si>
    <t>玉麟绕碎片4</t>
  </si>
  <si>
    <t>1|12020|1|1</t>
  </si>
  <si>
    <t>相思血碎片1</t>
  </si>
  <si>
    <t>1|12021|1|1</t>
  </si>
  <si>
    <t>相思血碎片2</t>
  </si>
  <si>
    <t>1|12022|1|1</t>
  </si>
  <si>
    <t>相思血碎片3</t>
  </si>
  <si>
    <t>1|12023|1|1</t>
  </si>
  <si>
    <t>相思血碎片4</t>
  </si>
  <si>
    <t>1|12024|1|1</t>
  </si>
  <si>
    <t>幽冥月碎片1</t>
  </si>
  <si>
    <t>1|12025|1|1</t>
  </si>
  <si>
    <t>幽冥月碎片2</t>
  </si>
  <si>
    <t>1|12026|1|1</t>
  </si>
  <si>
    <t>幽冥月碎片3</t>
  </si>
  <si>
    <t>1|12027|1|1</t>
  </si>
  <si>
    <t>幽冥月碎片4</t>
  </si>
  <si>
    <t>1|12028|1|1</t>
  </si>
  <si>
    <t>点星芒碎片1</t>
  </si>
  <si>
    <t>1|12029|1|1</t>
  </si>
  <si>
    <t>点星芒碎片2</t>
  </si>
  <si>
    <t>1|12030|1|1</t>
  </si>
  <si>
    <t>点星芒碎片3</t>
  </si>
  <si>
    <t>1|12031|1|1</t>
  </si>
  <si>
    <t>点星芒碎片4</t>
  </si>
  <si>
    <t>1|12032|1|1</t>
  </si>
  <si>
    <t>金玉缘碎片1</t>
  </si>
  <si>
    <t>1|12033|1|1</t>
  </si>
  <si>
    <t>金玉缘碎片2</t>
  </si>
  <si>
    <t>1|12034|1|1</t>
  </si>
  <si>
    <t>金玉缘碎片3</t>
  </si>
  <si>
    <t>1|12035|1|1</t>
  </si>
  <si>
    <t>金玉缘碎片4</t>
  </si>
  <si>
    <t>1|12036|1|1</t>
  </si>
  <si>
    <t>碧海青天碎片1</t>
  </si>
  <si>
    <t>1|12037|1|1</t>
  </si>
  <si>
    <t>碧海青天碎片2</t>
  </si>
  <si>
    <t>1|12038|1|1</t>
  </si>
  <si>
    <t>碧海青天碎片3</t>
  </si>
  <si>
    <t>1|12039|1|1</t>
  </si>
  <si>
    <t>碧海青天碎片4</t>
  </si>
  <si>
    <t>1|12040|1|1</t>
  </si>
  <si>
    <t>碧海青天碎片5</t>
  </si>
  <si>
    <t>1|12041|1|1</t>
  </si>
  <si>
    <t>九曜光华碎片1</t>
  </si>
  <si>
    <t>1|12042|1|1</t>
  </si>
  <si>
    <t>九曜光华碎片2</t>
  </si>
  <si>
    <t>1|12043|1|1</t>
  </si>
  <si>
    <t>九曜光华碎片3</t>
  </si>
  <si>
    <t>1|12044|1|1</t>
  </si>
  <si>
    <t>九曜光华碎片4</t>
  </si>
  <si>
    <t>1|12045|1|1</t>
  </si>
  <si>
    <t>九曜光华碎片5</t>
  </si>
  <si>
    <t>1|12046|1|1</t>
  </si>
  <si>
    <t>千方寂玉碎片1</t>
  </si>
  <si>
    <t>1|12047|1|1</t>
  </si>
  <si>
    <t>千方寂玉碎片2</t>
  </si>
  <si>
    <t>1|12048|1|1</t>
  </si>
  <si>
    <t>千方寂玉碎片3</t>
  </si>
  <si>
    <t>1|12049|1|1</t>
  </si>
  <si>
    <t>千方寂玉碎片4</t>
  </si>
  <si>
    <t>1|12050|1|1</t>
  </si>
  <si>
    <t>千方寂玉碎片5</t>
  </si>
  <si>
    <t>1|12051|1|1</t>
  </si>
  <si>
    <t>噬龙之锋碎片1</t>
  </si>
  <si>
    <t>1|12052|1|1</t>
  </si>
  <si>
    <t>噬龙之锋碎片2</t>
  </si>
  <si>
    <t>1|12053|1|1</t>
  </si>
  <si>
    <t>噬龙之锋碎片3</t>
  </si>
  <si>
    <t>1|12054|1|1</t>
  </si>
  <si>
    <t>噬龙之锋碎片4</t>
  </si>
  <si>
    <t>1|12055|1|1</t>
  </si>
  <si>
    <t>噬龙之锋碎片5</t>
  </si>
  <si>
    <t>1|12056|1|1</t>
  </si>
  <si>
    <t>鎏金点翠碎片1</t>
  </si>
  <si>
    <t>1|12057|1|1</t>
  </si>
  <si>
    <t>鎏金点翠碎片2</t>
  </si>
  <si>
    <t>1|12058|1|1</t>
  </si>
  <si>
    <t>鎏金点翠碎片3</t>
  </si>
  <si>
    <t>1|12059|1|1</t>
  </si>
  <si>
    <t>鎏金点翠碎片4</t>
  </si>
  <si>
    <t>1|12060|1|1</t>
  </si>
  <si>
    <t>鎏金点翠碎片5</t>
  </si>
  <si>
    <t>1|12061|1|1</t>
  </si>
  <si>
    <t>紫金曼陀碎片1</t>
  </si>
  <si>
    <t>1|12062|1|1</t>
  </si>
  <si>
    <t>紫金曼陀碎片2</t>
  </si>
  <si>
    <t>1|12063|1|1</t>
  </si>
  <si>
    <t>紫金曼陀碎片3</t>
  </si>
  <si>
    <t>1|12064|1|1</t>
  </si>
  <si>
    <t>紫金曼陀碎片4</t>
  </si>
  <si>
    <t>1|12065|1|1</t>
  </si>
  <si>
    <t>紫金曼陀碎片5</t>
  </si>
  <si>
    <t>1|12066|1|1</t>
  </si>
  <si>
    <t>橙色经验灵饰碎片1</t>
  </si>
  <si>
    <t>1|12074|1|1</t>
  </si>
  <si>
    <t>橙色经验灵饰碎片2</t>
  </si>
  <si>
    <t>1|12075|1|1</t>
  </si>
  <si>
    <t>橙色经验灵饰碎片3</t>
  </si>
  <si>
    <t>1|12076|1|1</t>
  </si>
  <si>
    <t>橙色经验灵饰碎片4</t>
  </si>
  <si>
    <t>1|12077|1|1</t>
  </si>
  <si>
    <t>橙色经验灵饰碎片5</t>
  </si>
  <si>
    <t>1|12078|1|1</t>
  </si>
  <si>
    <t>紫色经验灵饰碎片1</t>
  </si>
  <si>
    <t>1|12070|1|1</t>
  </si>
  <si>
    <t>紫色经验灵饰碎片2</t>
  </si>
  <si>
    <t>1|12071|1|1</t>
  </si>
  <si>
    <t>紫色经验灵饰碎片3</t>
  </si>
  <si>
    <t>1|12072|1|1</t>
  </si>
  <si>
    <t>紫色经验灵饰碎片4</t>
  </si>
  <si>
    <t>1|12073|1|1</t>
  </si>
  <si>
    <t>蓝色经验灵饰碎片1</t>
  </si>
  <si>
    <t>1|12067|1|1</t>
  </si>
  <si>
    <t>蓝色经验灵饰碎片2</t>
  </si>
  <si>
    <t>1|12068|1|1</t>
  </si>
  <si>
    <t>蓝色经验灵饰碎片3</t>
  </si>
  <si>
    <t>1|12069|1|1</t>
  </si>
  <si>
    <t>初级经验药水</t>
  </si>
  <si>
    <t>中级经验药水</t>
  </si>
  <si>
    <t>高级经验药水</t>
  </si>
  <si>
    <t>体力丹 40%</t>
  </si>
  <si>
    <t>1|14101|1|1</t>
  </si>
  <si>
    <t>培养丹 50%</t>
  </si>
  <si>
    <t>元灵晶石 50%</t>
  </si>
  <si>
    <t>货币</t>
  </si>
  <si>
    <t>精炼石</t>
  </si>
  <si>
    <t>精力</t>
  </si>
  <si>
    <t>4|11|10|1</t>
  </si>
  <si>
    <t>法宝精炼</t>
  </si>
  <si>
    <t>技能书</t>
  </si>
  <si>
    <t>小蟠桃x5</t>
  </si>
  <si>
    <t>1|14108|5|1</t>
  </si>
  <si>
    <t>行者长剑*1</t>
  </si>
  <si>
    <t>体力丹5</t>
  </si>
  <si>
    <t>1|14101|10|1</t>
  </si>
  <si>
    <t>货币100000</t>
  </si>
  <si>
    <t>4|1|100000|1</t>
  </si>
  <si>
    <t>雷公*30</t>
  </si>
  <si>
    <t>1|10033|30|1</t>
  </si>
  <si>
    <t>行者护甲*1</t>
  </si>
  <si>
    <t>货币200000</t>
  </si>
  <si>
    <t>4|1|200000|1</t>
  </si>
  <si>
    <t>技能书50</t>
  </si>
  <si>
    <t>1|14104|200|1</t>
  </si>
  <si>
    <t>精力石50</t>
  </si>
  <si>
    <t>1|14108|50|1</t>
  </si>
  <si>
    <t>钻石40</t>
  </si>
  <si>
    <t>4|2|40|1</t>
  </si>
  <si>
    <t>游戏币10000</t>
  </si>
  <si>
    <t>4|1|10000|1</t>
  </si>
  <si>
    <t>勇士护甲碎片20</t>
  </si>
  <si>
    <t>1|11001|20|1</t>
  </si>
  <si>
    <t>游戏币20000</t>
  </si>
  <si>
    <t>4|1|20000|1</t>
  </si>
  <si>
    <t>1|14001|10|1</t>
  </si>
  <si>
    <t>低级装备精炼石15</t>
  </si>
  <si>
    <t>1|14202|15|1</t>
  </si>
  <si>
    <t>游戏币30000</t>
  </si>
  <si>
    <t>4|1|30000|1</t>
  </si>
  <si>
    <t>勇士武器碎片20</t>
  </si>
  <si>
    <t>1|11002|20|1</t>
  </si>
  <si>
    <t>低级装备精炼石30</t>
  </si>
  <si>
    <t>1|14202|30|1</t>
  </si>
  <si>
    <t>1|14001|50|1</t>
  </si>
  <si>
    <t>游戏币50000</t>
  </si>
  <si>
    <t>4|1|50000|1</t>
  </si>
  <si>
    <t>精英长剑碎片30</t>
  </si>
  <si>
    <t>1|11006|30|1</t>
  </si>
  <si>
    <t>1|14002|30|1</t>
  </si>
  <si>
    <t>中级装备精炼石30</t>
  </si>
  <si>
    <t>1|14203|30|1</t>
  </si>
  <si>
    <t>进阶石200</t>
  </si>
  <si>
    <t>1|14107|200|1</t>
  </si>
  <si>
    <t>精英护甲碎片30</t>
  </si>
  <si>
    <t>1|11005|30|1</t>
  </si>
  <si>
    <t>1|14002|50|1</t>
  </si>
  <si>
    <t>中级装备精炼石50</t>
  </si>
  <si>
    <t>1|14203|50|1</t>
  </si>
  <si>
    <t>游戏币70000</t>
  </si>
  <si>
    <t>4|1|70000|1</t>
  </si>
  <si>
    <t>1|14003|50|1</t>
  </si>
  <si>
    <t>游戏币90000</t>
  </si>
  <si>
    <t>4|1|90000|1</t>
  </si>
  <si>
    <t>进阶石300</t>
  </si>
  <si>
    <t>1|14107|300|1</t>
  </si>
  <si>
    <t>游戏币120000</t>
  </si>
  <si>
    <t>4|1|120000|1</t>
  </si>
  <si>
    <t>进阶石350</t>
  </si>
  <si>
    <t>1|14107|350|1</t>
  </si>
  <si>
    <t>游戏币150000</t>
  </si>
  <si>
    <t>4|1|150000|1</t>
  </si>
  <si>
    <t>进阶石400</t>
  </si>
  <si>
    <t>1|14107|400|1</t>
  </si>
  <si>
    <t>游戏币170000</t>
  </si>
  <si>
    <t>4|1|170000|1</t>
  </si>
  <si>
    <t>进阶石450</t>
  </si>
  <si>
    <t>1|14107|450|1</t>
  </si>
  <si>
    <t>游戏币200000</t>
  </si>
  <si>
    <t>进阶石500</t>
  </si>
  <si>
    <t>1|14107|500|1</t>
  </si>
  <si>
    <t>进阶石550</t>
  </si>
  <si>
    <t>1|14107|550|1</t>
  </si>
  <si>
    <t>单次膜拜奖励</t>
  </si>
  <si>
    <t>灵饰抢夺奖励</t>
  </si>
  <si>
    <t>3|26001|1|30,3|26002|1|6,3|26003|1|3,3|26004|1|3,3|26005|1|10,3|26006|1|20,3|26007|1|10,3|26008|1|10,3|26009|1|5,3|26010|1|3</t>
  </si>
  <si>
    <t>灵饰抢夺结算翻牌奖励-金币</t>
  </si>
  <si>
    <t>灵饰抢夺结算翻牌奖励-钻石</t>
  </si>
  <si>
    <t>4|2|10|1</t>
  </si>
  <si>
    <t>灵饰抢夺结算翻牌奖励-武将碎片</t>
  </si>
  <si>
    <t>3|26020|1|85,3|26021|1|10,3|26022|1|5</t>
  </si>
  <si>
    <t>灵饰抢夺结算翻牌奖励-装备碎片</t>
  </si>
  <si>
    <t>3|26023|1|55,3|26024|1|40,3|26025|1|5</t>
  </si>
  <si>
    <t>灵饰抢夺结算翻牌奖励-灵饰碎片</t>
  </si>
  <si>
    <t>3|26026|1|33,3|26027|1|8,3|26028|1|2,3|26029|1|38,3|26030|1|15,3|26031|1|4</t>
  </si>
  <si>
    <t>灵饰抢夺结算翻牌奖励-进阶丹</t>
  </si>
  <si>
    <t>1|14107|1|1</t>
  </si>
  <si>
    <t>灵饰抢夺结算翻牌奖励-宝物精炼石</t>
  </si>
  <si>
    <t>1|14201|1|1</t>
  </si>
  <si>
    <t>灵饰抢夺结算翻牌奖励-技能卷轴</t>
  </si>
  <si>
    <t>1|14104|1|1</t>
  </si>
  <si>
    <t>灵饰抢夺结算翻牌奖励-装备通用精炼石</t>
  </si>
  <si>
    <t>1|16005|1|1</t>
  </si>
  <si>
    <t>灵饰抢夺结算翻牌奖励-高级经验药</t>
  </si>
  <si>
    <t>1|14003|1|1</t>
  </si>
  <si>
    <t>灵饰抢夺结算翻牌奖励-武将碎片（紫色）</t>
  </si>
  <si>
    <t>1|10033|1|1,1|10034|1|1,1|10036|1|1,1|10038|1|1,1|10039|1|1,1|10040|1|1,1|10041|1|1</t>
  </si>
  <si>
    <t>灵饰抢夺结算翻牌奖励-武将碎片（橙色）</t>
  </si>
  <si>
    <t>1|10004|1|1,1|10006|1|1,1|10010|1|1,1|10014|1|1,1|10015|1|1,1|10018|1|1,1|10022|1|1,1|10023|1|1,1|10024|1|1,1|10031|1|1,1|10032|1|1,1|10035|1|1,1|10037|1|1,1|10101|1|1,1|10104|1|1,1|10105|1|1,1|10106|1|1,1|10107|1|1</t>
  </si>
  <si>
    <t>灵饰抢夺结算翻牌奖励-武将碎片（核心橙色）</t>
  </si>
  <si>
    <t>1|10001|1|1,1|10002|1|1,1|10003|1|1,1|10005|1|1,1|10011|1|1,1|10012|1|1,1|10013|1|1,1|10017|1|1,1|10019|1|1,1|10020|1|1,1|10021|1|1</t>
  </si>
  <si>
    <t>灵饰抢夺结算翻牌奖励-装备碎片（蓝色）</t>
  </si>
  <si>
    <t>1|11001|1|1,1|11001|1|1,1|11003|1|1,1|11004|1|1,1|11005|1|1,1|11006|1|1,1|11007|1|1,1|11008|1|1,1|11009|1|1,1|11010|1|1,1|11011|1|1,1|11012|1|1</t>
  </si>
  <si>
    <t>灵饰抢夺结算翻牌奖励-装备碎片（紫色）</t>
  </si>
  <si>
    <t>1|11013|1|1,1|11014|1|1,1|11015|1|1,1|11016|1|1,1|11017|1|1,1|11018|1|1,1|11019|1|1,1|11020|1|1,1|11021|1|1,1|11022|1|1,1|11023|1|1,1|11024|1|1</t>
  </si>
  <si>
    <t>灵饰抢夺结算翻牌奖励-装备碎片（橙色）</t>
  </si>
  <si>
    <t>1|11025|1|1,1|11026|1|1,1|11027|1|1,1|11028|1|1,1|11029|1|1,1|11030|1|1,1|11031|1|1,1|11032|1|1,1|11033|1|1,1|11034|1|1,1|11035|1|1,1|11036|1|1</t>
  </si>
  <si>
    <t>灵饰抢夺结算翻牌奖励-属性灵饰碎片（蓝色）</t>
  </si>
  <si>
    <t>1|12001|1|1,1|12002|1|1,1|12003|1|1,1|12004|1|1,1|12005|1|1,1|12006|1|1,1|12007|1|1,1|12008|1|1,1|12009|1|1,1|12010|1|1,1|12011|1|1,1|12012|1|1</t>
  </si>
  <si>
    <t>灵饰抢夺结算翻牌奖励-属性灵饰碎片（紫色）</t>
  </si>
  <si>
    <t>1|12013|1|1,1|12014|1|1,1|12015|1|1,1|12016|1|1,1|12017|1|1,1|12018|1|1,1|12019|1|1,1|12020|1|1,1|12021|1|1,1|12022|1|1,1|12023|1|1,1|12024|1|1,1|12025|1|1,1|12026|1|1,1|12027|1|1,1|12028|1|1</t>
  </si>
  <si>
    <t>灵饰抢夺结算翻牌奖励-属性灵饰碎片（橙色）</t>
  </si>
  <si>
    <t>1|12037|1|1,1|12038|1|1,1|12039|1|1,1|12040|1|1,1|12041|1|1,1|12042|1|1,1|12043|1|1,1|12044|1|1,1|12045|1|1,1|12046|1|1,1|12047|1|1,1|12048|1|1,1|12049|1|1,1|12050|1|1,1|12051|1|1,1|12052|1|1,1|12053|1|1,1|12054|1|1,1|12055|1|1,1|12056|1|1</t>
  </si>
  <si>
    <t>灵饰抢夺结算翻牌奖励-经验灵饰碎片（蓝色）</t>
  </si>
  <si>
    <t>1|12067|1|1,1|12068|1|1,1|12069|1|1</t>
  </si>
  <si>
    <t>灵饰抢夺结算翻牌奖励-经验灵饰碎片（紫色）</t>
  </si>
  <si>
    <t>1|12070|1|1,1|12071|1|1,1|12072|1|1,1|12073|1|1</t>
  </si>
  <si>
    <t>灵饰抢夺结算翻牌奖励-经验灵饰碎片（橙色）</t>
  </si>
  <si>
    <t>1|12074|1|1,1|12075|1|1,1|12076|1|1,1|12077|1|1,1|12078|1|1</t>
  </si>
  <si>
    <t>挑战10次主线副本</t>
  </si>
  <si>
    <t>挑战5次竞技场</t>
  </si>
  <si>
    <t>4|1|40000|1</t>
  </si>
  <si>
    <t>夺宝5次</t>
  </si>
  <si>
    <t>1|14108|1|1</t>
  </si>
  <si>
    <t>进行1次技能升级</t>
  </si>
  <si>
    <t>1|14104|10|1</t>
  </si>
  <si>
    <t>灵饰强化3次</t>
  </si>
  <si>
    <t>进行3次灵饰合成</t>
  </si>
  <si>
    <t>1|14201|120|1</t>
  </si>
  <si>
    <t>装备强化5次</t>
  </si>
  <si>
    <t>装备精炼1次</t>
  </si>
  <si>
    <t>1|16005|10|1</t>
  </si>
  <si>
    <t>前往商城进行3次普通召唤</t>
  </si>
  <si>
    <t>1|14005|1|1</t>
  </si>
  <si>
    <t>进行1次高级伙伴召唤</t>
  </si>
  <si>
    <t>4|4|100|1</t>
  </si>
  <si>
    <t>购买3个精力可乐</t>
  </si>
  <si>
    <t>4|2|20|1</t>
  </si>
  <si>
    <t>购买3个体力可乐</t>
  </si>
  <si>
    <t>挑战大雁塔3次</t>
  </si>
  <si>
    <t>1|14107|20|1</t>
  </si>
  <si>
    <t>赠送好友体力</t>
  </si>
  <si>
    <t>4|10|30|1</t>
  </si>
  <si>
    <t>挑战战神山</t>
  </si>
  <si>
    <t>挑战皇榜悬赏5次</t>
  </si>
  <si>
    <t>4|4|200|1</t>
  </si>
  <si>
    <t>挑战皇榜悬赏10次</t>
  </si>
  <si>
    <t>4|11|500|1</t>
  </si>
  <si>
    <t>月度福利</t>
  </si>
  <si>
    <t>4|2|120|1</t>
  </si>
  <si>
    <t>至尊福利</t>
  </si>
  <si>
    <t>首冲法宝</t>
  </si>
  <si>
    <t>首冲装备</t>
  </si>
  <si>
    <t>首冲英雄</t>
  </si>
  <si>
    <t>每升一级奖励200钻石</t>
  </si>
  <si>
    <t>4|2|200|1</t>
  </si>
  <si>
    <t>等级10</t>
  </si>
  <si>
    <t>等级15</t>
  </si>
  <si>
    <t>等级20</t>
  </si>
  <si>
    <t>4|2|300|1</t>
  </si>
  <si>
    <t>等级25</t>
  </si>
  <si>
    <t>等级30</t>
  </si>
  <si>
    <t>1|14502|1|1</t>
  </si>
  <si>
    <t>等级35</t>
  </si>
  <si>
    <t>1|14302|5|1</t>
  </si>
  <si>
    <t>等级40</t>
  </si>
  <si>
    <t>等级45</t>
  </si>
  <si>
    <t>等级50</t>
  </si>
  <si>
    <t>1|16005|50|1</t>
  </si>
  <si>
    <t>等级55</t>
  </si>
  <si>
    <t>1|14201|100|1</t>
  </si>
  <si>
    <t>等级60</t>
  </si>
  <si>
    <t>1|14303|3|1</t>
  </si>
  <si>
    <t>等级65</t>
  </si>
  <si>
    <t>等级70</t>
  </si>
  <si>
    <t>等级75</t>
  </si>
  <si>
    <t>等级80</t>
  </si>
  <si>
    <t>4|2|1000|1</t>
  </si>
  <si>
    <t>等级85</t>
  </si>
  <si>
    <t>等级90</t>
  </si>
  <si>
    <t>等级95</t>
  </si>
  <si>
    <t>等级100</t>
  </si>
  <si>
    <t>等级105</t>
  </si>
  <si>
    <t>等级110</t>
  </si>
  <si>
    <t>等级115</t>
  </si>
  <si>
    <t>等级120</t>
  </si>
  <si>
    <t>主线副本星数达到30星</t>
  </si>
  <si>
    <t>主线副本星数达到60星</t>
  </si>
  <si>
    <t>主线副本星数达到90星</t>
  </si>
  <si>
    <t>主线副本星数达到120星</t>
  </si>
  <si>
    <t>4|1|80000|1</t>
  </si>
  <si>
    <t>主线副本星数达到150星</t>
  </si>
  <si>
    <t>主线副本星数达到180星</t>
  </si>
  <si>
    <t>主线副本星数达到210星</t>
  </si>
  <si>
    <t>主线副本星数达到240星</t>
  </si>
  <si>
    <t>4|2|500|1</t>
  </si>
  <si>
    <t>主线副本星数达到270星</t>
  </si>
  <si>
    <t>4|1|250000|1</t>
  </si>
  <si>
    <t>主线副本星数达到300星</t>
  </si>
  <si>
    <t>4|2|550|1</t>
  </si>
  <si>
    <t>主线副本星数达到330星</t>
  </si>
  <si>
    <t>4|1|300000|1</t>
  </si>
  <si>
    <t>主线副本星数达到360星</t>
  </si>
  <si>
    <t>4|2|600|1</t>
  </si>
  <si>
    <t>主线副本星数达到390星</t>
  </si>
  <si>
    <t>4|1|350000|1</t>
  </si>
  <si>
    <t>主线副本星数达到420星</t>
  </si>
  <si>
    <t>4|2|650|1</t>
  </si>
  <si>
    <t>主线副本星数达到450星</t>
  </si>
  <si>
    <t>4|1|400000|1</t>
  </si>
  <si>
    <t>主线副本星数达到480星</t>
  </si>
  <si>
    <t>4|2|700|1</t>
  </si>
  <si>
    <t>主线副本星数达到510星</t>
  </si>
  <si>
    <t>4|1|450000|1</t>
  </si>
  <si>
    <t>主线副本星数达到540星</t>
  </si>
  <si>
    <t>4|2|750|1</t>
  </si>
  <si>
    <t>主线副本星数达到570星</t>
  </si>
  <si>
    <t>4|1|500000|1</t>
  </si>
  <si>
    <t>主线副本星数达到600星</t>
  </si>
  <si>
    <t>4|2|800|1</t>
  </si>
  <si>
    <t>主线副本星数达到630星</t>
  </si>
  <si>
    <t>主线副本星数达到660星</t>
  </si>
  <si>
    <t>4|2|850|1</t>
  </si>
  <si>
    <t>主线副本星数达到690星</t>
  </si>
  <si>
    <t>主线副本星数达到720星</t>
  </si>
  <si>
    <t>4|2|900|1</t>
  </si>
  <si>
    <t>主线副本星数达到750星</t>
  </si>
  <si>
    <t>主线副本星数达到780星</t>
  </si>
  <si>
    <t>4|2|950|1</t>
  </si>
  <si>
    <t>主线副本星数达到810星</t>
  </si>
  <si>
    <t>主线副本星数达到840星</t>
  </si>
  <si>
    <t>主线副本星数达到870星</t>
  </si>
  <si>
    <t>主线副本星数达到900星</t>
  </si>
  <si>
    <t>主线副本星数达到930星</t>
  </si>
  <si>
    <t>主线副本星数达到960星</t>
  </si>
  <si>
    <t>主线副本星数达到1000星</t>
  </si>
  <si>
    <t>主线副本星数达到1050星</t>
  </si>
  <si>
    <t>4|2|1050|1</t>
  </si>
  <si>
    <t>主线副本星数达到1100星</t>
  </si>
  <si>
    <t>主线副本星数达到1150星</t>
  </si>
  <si>
    <t>4|2|1100|1</t>
  </si>
  <si>
    <t>主线副本星数达到1200星</t>
  </si>
  <si>
    <t>主线副本星数达到1250星</t>
  </si>
  <si>
    <t>4|2|1150|1</t>
  </si>
  <si>
    <t>主线副本星数达到1300星</t>
  </si>
  <si>
    <t>主线副本星数达到1350星</t>
  </si>
  <si>
    <t>4|2|1200|1</t>
  </si>
  <si>
    <t>主线副本星数达到1400星</t>
  </si>
  <si>
    <t>主线副本星数达到1450星</t>
  </si>
  <si>
    <t>4|2|1250|1</t>
  </si>
  <si>
    <t>主线副本星数达到1500星</t>
  </si>
  <si>
    <t>困难关卡30星</t>
  </si>
  <si>
    <t>4|2|60|1</t>
  </si>
  <si>
    <t>困难关卡60星</t>
  </si>
  <si>
    <t>困难关卡90星</t>
  </si>
  <si>
    <t>4|2|180|1</t>
  </si>
  <si>
    <t>困难关卡120星</t>
  </si>
  <si>
    <t>4|2|240|1</t>
  </si>
  <si>
    <t>困难关卡150星</t>
  </si>
  <si>
    <t>困难关卡180星</t>
  </si>
  <si>
    <t>4|2|360|1</t>
  </si>
  <si>
    <t>困难关卡210星</t>
  </si>
  <si>
    <t>4|2|420|1</t>
  </si>
  <si>
    <t>困难关卡240星</t>
  </si>
  <si>
    <t>4|2|480|1</t>
  </si>
  <si>
    <t>困难关卡270星</t>
  </si>
  <si>
    <t>4|2|540|1</t>
  </si>
  <si>
    <t>困难关卡300星</t>
  </si>
  <si>
    <t>困难关卡330星</t>
  </si>
  <si>
    <t>4|2|660|1</t>
  </si>
  <si>
    <t>困难关卡360星</t>
  </si>
  <si>
    <t>4|2|720|1</t>
  </si>
  <si>
    <t>困难关卡390星</t>
  </si>
  <si>
    <t>4|2|780|1</t>
  </si>
  <si>
    <t>困难关卡420星</t>
  </si>
  <si>
    <t>4|2|840|1</t>
  </si>
  <si>
    <t>困难关卡450星</t>
  </si>
  <si>
    <t>困难关卡480星</t>
  </si>
  <si>
    <t>4|2|960|1</t>
  </si>
  <si>
    <t>困难关卡510星</t>
  </si>
  <si>
    <t>4|2|1020|1</t>
  </si>
  <si>
    <t>炼狱副本12星</t>
  </si>
  <si>
    <t>炼狱副本24星</t>
  </si>
  <si>
    <t>炼狱副本36星</t>
  </si>
  <si>
    <t>炼狱副本48星</t>
  </si>
  <si>
    <t>炼狱副本60星</t>
  </si>
  <si>
    <t>炼狱副本72星</t>
  </si>
  <si>
    <t>炼狱副本84星</t>
  </si>
  <si>
    <t>炼狱副本96星</t>
  </si>
  <si>
    <t>炼狱副本108星</t>
  </si>
  <si>
    <t>炼狱副本120星</t>
  </si>
  <si>
    <t>炼狱副本132星</t>
  </si>
  <si>
    <t>炼狱副本144星</t>
  </si>
  <si>
    <t>炼狱副本156星</t>
  </si>
  <si>
    <t>炼狱副本168星</t>
  </si>
  <si>
    <t>炼狱副本180星</t>
  </si>
  <si>
    <t>炼狱副本192星</t>
  </si>
  <si>
    <t>大雁塔10层</t>
  </si>
  <si>
    <t>4|3|1000|1</t>
  </si>
  <si>
    <t>大雁塔15层</t>
  </si>
  <si>
    <t>4|3|1500|1</t>
  </si>
  <si>
    <t>大雁塔20层</t>
  </si>
  <si>
    <t>4|3|2000|1</t>
  </si>
  <si>
    <t>大雁塔25层</t>
  </si>
  <si>
    <t>4|3|2500|1</t>
  </si>
  <si>
    <t>大雁塔30层</t>
  </si>
  <si>
    <t>4|3|3000|1</t>
  </si>
  <si>
    <t>大雁塔35层</t>
  </si>
  <si>
    <t>4|3|3500|1</t>
  </si>
  <si>
    <t>大雁塔40层</t>
  </si>
  <si>
    <t>4|3|4000|1</t>
  </si>
  <si>
    <t>大雁塔45层</t>
  </si>
  <si>
    <t>4|3|4500|1</t>
  </si>
  <si>
    <t>大雁塔50层</t>
  </si>
  <si>
    <t>4|3|5000|1</t>
  </si>
  <si>
    <t>大雁塔55层</t>
  </si>
  <si>
    <t>4|3|5500|1</t>
  </si>
  <si>
    <t>大雁塔60层</t>
  </si>
  <si>
    <t>4|3|6000|1</t>
  </si>
  <si>
    <t>大雁塔65层</t>
  </si>
  <si>
    <t>4|3|6500|1</t>
  </si>
  <si>
    <t>大雁塔70层</t>
  </si>
  <si>
    <t>4|3|7000|1</t>
  </si>
  <si>
    <t>大雁塔75层</t>
  </si>
  <si>
    <t>4|3|7500|1</t>
  </si>
  <si>
    <t>大雁塔80层</t>
  </si>
  <si>
    <t>4|3|8000|1</t>
  </si>
  <si>
    <t>大雁塔85层</t>
  </si>
  <si>
    <t>4|3|8500|1</t>
  </si>
  <si>
    <t>大雁塔90层</t>
  </si>
  <si>
    <t>4|3|9000|1</t>
  </si>
  <si>
    <t>大雁塔95层</t>
  </si>
  <si>
    <t>4|3|9500|1</t>
  </si>
  <si>
    <t>大雁塔100层</t>
  </si>
  <si>
    <t>战斗力达到1万</t>
  </si>
  <si>
    <t>战斗力达到3万</t>
  </si>
  <si>
    <t>1|14107|100|1</t>
  </si>
  <si>
    <t>战斗力达到5万</t>
  </si>
  <si>
    <t>1|14104|100|1</t>
  </si>
  <si>
    <t>战斗力达到8万</t>
  </si>
  <si>
    <t>战斗力达到12万</t>
  </si>
  <si>
    <t>战斗力达到18万</t>
  </si>
  <si>
    <t>战斗力达到25万</t>
  </si>
  <si>
    <t>1|14201|50|1</t>
  </si>
  <si>
    <t>战斗力达到35万</t>
  </si>
  <si>
    <t>1|16005|100|1</t>
  </si>
  <si>
    <t>战斗力达到50万</t>
  </si>
  <si>
    <t>战斗力达到80万</t>
  </si>
  <si>
    <t>战斗力达到120万</t>
  </si>
  <si>
    <t>战斗力达到180万</t>
  </si>
  <si>
    <t>1|16005|200|1</t>
  </si>
  <si>
    <t>战斗力达到250万</t>
  </si>
  <si>
    <t>1|14201|400|1</t>
  </si>
  <si>
    <t>战斗力达到350万</t>
  </si>
  <si>
    <t>战斗力达到500万</t>
  </si>
  <si>
    <t>1|16005|150|1</t>
  </si>
  <si>
    <t>战斗力达到800万</t>
  </si>
  <si>
    <t>1|14201|200|1</t>
  </si>
  <si>
    <t>战斗力达到1000万</t>
  </si>
  <si>
    <t>战斗力达到1500万</t>
  </si>
  <si>
    <t>战斗力达到2000万</t>
  </si>
  <si>
    <t>战斗力达到3000万</t>
  </si>
  <si>
    <t>战斗力达到4000万</t>
  </si>
  <si>
    <t>战斗力达到5000万</t>
  </si>
  <si>
    <t>战斗力达到6000万</t>
  </si>
  <si>
    <t>战斗力达到7000万</t>
  </si>
  <si>
    <t>战斗力达到8000万</t>
  </si>
  <si>
    <t>战斗力达到9000万</t>
  </si>
  <si>
    <t>战斗力达到10000万</t>
  </si>
  <si>
    <t>战斗力达到11000万</t>
  </si>
  <si>
    <t>战斗力达到12000万</t>
  </si>
  <si>
    <t>战斗力达到13000万</t>
  </si>
  <si>
    <t>战斗力达到14000万</t>
  </si>
  <si>
    <t>战斗力达到15000万</t>
  </si>
  <si>
    <t>战斗力达到16000万</t>
  </si>
  <si>
    <t>战斗力达到17000万</t>
  </si>
  <si>
    <t>战斗力达到18000万</t>
  </si>
  <si>
    <t>战斗力达到19000万</t>
  </si>
  <si>
    <t>战斗力达到20000万</t>
  </si>
  <si>
    <t>战斗力达到25000万</t>
  </si>
  <si>
    <t>战斗力达到30000万</t>
  </si>
  <si>
    <t>战斗力达到40000万</t>
  </si>
  <si>
    <t>战斗力达到50000万</t>
  </si>
  <si>
    <t>战斗力达到60000万</t>
  </si>
  <si>
    <t>战斗力达到70000万</t>
  </si>
  <si>
    <t>战斗力达到80000万</t>
  </si>
  <si>
    <t>vip等级达到1级</t>
  </si>
  <si>
    <t>4|2|50|1</t>
  </si>
  <si>
    <t>vip等级达到2级</t>
  </si>
  <si>
    <t>4|2|100|1</t>
  </si>
  <si>
    <t>vip等级达到3级</t>
  </si>
  <si>
    <t>4|2|150|1</t>
  </si>
  <si>
    <t>vip等级达到4级</t>
  </si>
  <si>
    <t>vip等级达到5级</t>
  </si>
  <si>
    <t>4|2|250|1</t>
  </si>
  <si>
    <t>vip等级达到6级</t>
  </si>
  <si>
    <t>vip等级达到7级</t>
  </si>
  <si>
    <t>4|2|350|1</t>
  </si>
  <si>
    <t>vip等级达到8级</t>
  </si>
  <si>
    <t>4|2|400|1</t>
  </si>
  <si>
    <t>vip等级达到9级</t>
  </si>
  <si>
    <t>4|2|450|1</t>
  </si>
  <si>
    <t>vip等级达到10级</t>
  </si>
  <si>
    <t>vip等级达到11级</t>
  </si>
  <si>
    <t>vip等级达到12级</t>
  </si>
  <si>
    <t>累计登录30天</t>
  </si>
  <si>
    <t>抢夺法宝50次</t>
  </si>
  <si>
    <t>1|14306|2|1</t>
  </si>
  <si>
    <t>抢夺法宝100次</t>
  </si>
  <si>
    <t>抢夺法宝200次</t>
  </si>
  <si>
    <t>抢夺法宝350次</t>
  </si>
  <si>
    <t>抢夺法宝550次</t>
  </si>
  <si>
    <t>抢夺法宝750次</t>
  </si>
  <si>
    <t>抢夺法宝1000次</t>
  </si>
  <si>
    <t>抢夺法宝2000次</t>
  </si>
  <si>
    <t>抢夺法宝5000次</t>
  </si>
  <si>
    <t>抢夺法宝10000次</t>
  </si>
  <si>
    <t>赠送好友体力20次</t>
  </si>
  <si>
    <t>赠送好友体力50次</t>
  </si>
  <si>
    <t>赠送好友体力100次</t>
  </si>
  <si>
    <t>4|2|15|1</t>
  </si>
  <si>
    <t>赠送好友体力160次</t>
  </si>
  <si>
    <t>赠送好友体力250次</t>
  </si>
  <si>
    <t>赠送好友体力400次</t>
  </si>
  <si>
    <t>赠送好友体力600次</t>
  </si>
  <si>
    <t>赠送好友体力800次</t>
  </si>
  <si>
    <t>4|2|80|1</t>
  </si>
  <si>
    <t>赠送好友体力1000次</t>
  </si>
  <si>
    <t>赠送好友体力1300次</t>
  </si>
  <si>
    <t>4|2|130|1</t>
  </si>
  <si>
    <t>赠送好友体力1600次</t>
  </si>
  <si>
    <t>4|2|160|1</t>
  </si>
  <si>
    <t>赠送好友体力2000次</t>
  </si>
  <si>
    <t>升级技能10次</t>
  </si>
  <si>
    <t>1|14104|50|1</t>
  </si>
  <si>
    <t>升级技能25次</t>
  </si>
  <si>
    <t>1|14104|125|1</t>
  </si>
  <si>
    <t>升级技能50次</t>
  </si>
  <si>
    <t>1|14104|250|1</t>
  </si>
  <si>
    <t>升级技能75次</t>
  </si>
  <si>
    <t>1|14104|375|1</t>
  </si>
  <si>
    <t>升级技能100次</t>
  </si>
  <si>
    <t>1|14104|500|1</t>
  </si>
  <si>
    <t>升级技能125次</t>
  </si>
  <si>
    <t>1|14104|625|1</t>
  </si>
  <si>
    <t>升级技能150次</t>
  </si>
  <si>
    <t>1|14104|750|1</t>
  </si>
  <si>
    <t>强化四名出战角色到10级</t>
  </si>
  <si>
    <t>1|14004|1|1</t>
  </si>
  <si>
    <t>强化四名出战角色到15级</t>
  </si>
  <si>
    <t>1|14004|3|1</t>
  </si>
  <si>
    <t>强化四名出战角色到20级</t>
  </si>
  <si>
    <t>强化四名出战角色到25级</t>
  </si>
  <si>
    <t>强化四名出战角色到30级</t>
  </si>
  <si>
    <t>1|14004|5|1</t>
  </si>
  <si>
    <t>强化四名出战角色到35级</t>
  </si>
  <si>
    <t>强化四名出战角色到40级</t>
  </si>
  <si>
    <t>强化四名出战角色到45级</t>
  </si>
  <si>
    <t>强化四名出战角色到50级</t>
  </si>
  <si>
    <t>强化四名出战角色到55级</t>
  </si>
  <si>
    <t>强化四名出战角色到60级</t>
  </si>
  <si>
    <t>强化四名出战角色到65级</t>
  </si>
  <si>
    <t>强化四名出战角色到70级</t>
  </si>
  <si>
    <t>强化四名出战角色到75级</t>
  </si>
  <si>
    <t>强化四名出战角色到80级</t>
  </si>
  <si>
    <t>强化四名出战角色到85级</t>
  </si>
  <si>
    <t>强化四名出战角色到90级</t>
  </si>
  <si>
    <t>强化四名出战角色到95级</t>
  </si>
  <si>
    <t>强化四名出战角色到100级</t>
  </si>
  <si>
    <t>强化四名出战角色到105级</t>
  </si>
  <si>
    <t>强化四名出战角色到110级</t>
  </si>
  <si>
    <t>强化四名出战角色到115级</t>
  </si>
  <si>
    <t>强化四名出战角色到120级</t>
  </si>
  <si>
    <t>灵台斗法达到2000名</t>
  </si>
  <si>
    <t>灵台斗法达到1950名</t>
  </si>
  <si>
    <t>灵台斗法达到1900名</t>
  </si>
  <si>
    <t>灵台斗法达到1850名</t>
  </si>
  <si>
    <t>灵台斗法达到1800名</t>
  </si>
  <si>
    <t>灵台斗法达到1750名</t>
  </si>
  <si>
    <t>灵台斗法达到1700名</t>
  </si>
  <si>
    <t>灵台斗法达到1650名</t>
  </si>
  <si>
    <t>灵台斗法达到1600名</t>
  </si>
  <si>
    <t>灵台斗法达到1550名</t>
  </si>
  <si>
    <t>灵台斗法达到1500名</t>
  </si>
  <si>
    <t>灵台斗法达到1450名</t>
  </si>
  <si>
    <t>灵台斗法达到1400名</t>
  </si>
  <si>
    <t>灵台斗法达到1350名</t>
  </si>
  <si>
    <t>灵台斗法达到1300名</t>
  </si>
  <si>
    <t>灵台斗法达到1250名</t>
  </si>
  <si>
    <t>灵台斗法达到1200名</t>
  </si>
  <si>
    <t>灵台斗法达到1150名</t>
  </si>
  <si>
    <t>灵台斗法达到1100名</t>
  </si>
  <si>
    <t>灵台斗法达到1050名</t>
  </si>
  <si>
    <t>灵台斗法达到1000名</t>
  </si>
  <si>
    <t>灵台斗法达到950名</t>
  </si>
  <si>
    <t>灵台斗法达到900名</t>
  </si>
  <si>
    <t>灵台斗法达到850名</t>
  </si>
  <si>
    <t>灵台斗法达到800名</t>
  </si>
  <si>
    <t>灵台斗法达到750名</t>
  </si>
  <si>
    <t>灵台斗法达到700名</t>
  </si>
  <si>
    <t>灵台斗法达到650名</t>
  </si>
  <si>
    <t>灵台斗法达到600名</t>
  </si>
  <si>
    <t>灵台斗法达到550名</t>
  </si>
  <si>
    <t>灵台斗法达到500名</t>
  </si>
  <si>
    <t>灵台斗法达到450名</t>
  </si>
  <si>
    <t>灵台斗法达到400名</t>
  </si>
  <si>
    <t>灵台斗法达到350名</t>
  </si>
  <si>
    <t>灵台斗法达到300名</t>
  </si>
  <si>
    <t>灵台斗法达到250名</t>
  </si>
  <si>
    <t>灵台斗法达到200名</t>
  </si>
  <si>
    <t>灵台斗法达到150名</t>
  </si>
  <si>
    <t>灵台斗法达到100名</t>
  </si>
  <si>
    <t>灵台斗法达到50名</t>
  </si>
  <si>
    <t>灵台斗法达到20名</t>
  </si>
  <si>
    <t>灵台斗法达到10名</t>
  </si>
  <si>
    <t>灵台斗法达到5名</t>
  </si>
  <si>
    <t>升级技能1次 技能书50</t>
  </si>
  <si>
    <t>升级技能3次</t>
  </si>
  <si>
    <t>1|14104|15|1</t>
  </si>
  <si>
    <t>升级技能5次</t>
  </si>
  <si>
    <t>1|14104|20|1</t>
  </si>
  <si>
    <t>升级技能15次</t>
  </si>
  <si>
    <t>升级技能20次</t>
  </si>
  <si>
    <t>1|14104|150|1</t>
  </si>
  <si>
    <t>1|14101|5|1</t>
  </si>
  <si>
    <t>体力丹10</t>
  </si>
  <si>
    <t>体力丹15</t>
  </si>
  <si>
    <t>1|14101|15|1</t>
  </si>
  <si>
    <t>体力丹20</t>
  </si>
  <si>
    <t>1|14101|20|1</t>
  </si>
  <si>
    <t>体力丹25</t>
  </si>
  <si>
    <t>1|14101|25|1</t>
  </si>
  <si>
    <t>体力丹30</t>
  </si>
  <si>
    <t>1|14101|30|1</t>
  </si>
  <si>
    <t>普通寻仙3</t>
  </si>
  <si>
    <t>1|14005|3|1</t>
  </si>
  <si>
    <t>普通寻仙5</t>
  </si>
  <si>
    <t>1|14005|5|1</t>
  </si>
  <si>
    <t>普通寻仙10</t>
  </si>
  <si>
    <t>1|14005|10|1</t>
  </si>
  <si>
    <t>高级聚仙1</t>
  </si>
  <si>
    <t>1|14006|3|1</t>
  </si>
  <si>
    <t>1|14006|5|1</t>
  </si>
  <si>
    <t>1|14006|10|1</t>
  </si>
  <si>
    <t>法宝抢夺</t>
  </si>
  <si>
    <t>1|14108|2|1</t>
  </si>
  <si>
    <t>1|14108|4|1</t>
  </si>
  <si>
    <t>1|14108|6|1</t>
  </si>
  <si>
    <t>1|14108|8|1</t>
  </si>
  <si>
    <t>1|14108|10|1</t>
  </si>
  <si>
    <t>1|14108|20|1</t>
  </si>
  <si>
    <t>战斗力钻石</t>
  </si>
  <si>
    <t>副本星金币</t>
  </si>
  <si>
    <t>超级药水</t>
  </si>
  <si>
    <t>1|14004|25|1</t>
  </si>
  <si>
    <t>1|14004|50|1</t>
  </si>
  <si>
    <t>1|14004|75|1</t>
  </si>
  <si>
    <t>1|14004|100|1</t>
  </si>
  <si>
    <t>1|14004|125|1</t>
  </si>
  <si>
    <t>灵饰精炼石</t>
  </si>
  <si>
    <t>1|14201|5|1</t>
  </si>
  <si>
    <t>1|14201|10|1</t>
  </si>
  <si>
    <t>1|14201|20|1</t>
  </si>
  <si>
    <t>1|14201|30|1</t>
  </si>
  <si>
    <t>1|14201|40|1</t>
  </si>
  <si>
    <t>1|14201|80|1</t>
  </si>
  <si>
    <t>装备精炼石1</t>
  </si>
  <si>
    <t>1|14205|5|1</t>
  </si>
  <si>
    <t>装备精炼石2</t>
  </si>
  <si>
    <t>1|14205|10|1</t>
  </si>
  <si>
    <t>装备精炼石3</t>
  </si>
  <si>
    <t>1|14205|15|1</t>
  </si>
  <si>
    <t>装备精炼石4</t>
  </si>
  <si>
    <t>1|14205|20|1</t>
  </si>
  <si>
    <t>装备精炼石5</t>
  </si>
  <si>
    <t>1|14205|25|1</t>
  </si>
  <si>
    <t>装备精炼石6</t>
  </si>
  <si>
    <t>1|14205|30|1</t>
  </si>
  <si>
    <t>累计充值1</t>
  </si>
  <si>
    <t>累计充值2</t>
  </si>
  <si>
    <t>累计充值3</t>
  </si>
  <si>
    <t>累计充值4</t>
  </si>
  <si>
    <t>累计充值5</t>
  </si>
  <si>
    <t>累计充值6</t>
  </si>
  <si>
    <t>4|2|2000|1</t>
  </si>
  <si>
    <t>累计充值7</t>
  </si>
  <si>
    <t>4|2|5000|1</t>
  </si>
  <si>
    <t>主线任务10001</t>
  </si>
  <si>
    <t>3|34101|1|1</t>
  </si>
  <si>
    <t>主线任务10002</t>
  </si>
  <si>
    <t>主线任务10003</t>
  </si>
  <si>
    <t>主线任务10004</t>
  </si>
  <si>
    <t>主线任务10005</t>
  </si>
  <si>
    <t>3|34102|1|1</t>
  </si>
  <si>
    <t>主线任务10006</t>
  </si>
  <si>
    <t>主线任务10007</t>
  </si>
  <si>
    <t>主线任务10008</t>
  </si>
  <si>
    <t>主线任务10009</t>
  </si>
  <si>
    <t>3|34103|1|1</t>
  </si>
  <si>
    <t>主线任务10010</t>
  </si>
  <si>
    <t>主线任务10011</t>
  </si>
  <si>
    <t>主线任务10012</t>
  </si>
  <si>
    <t>主线任务10013</t>
  </si>
  <si>
    <t>3|34104|1|1</t>
  </si>
  <si>
    <t>主线任务10014</t>
  </si>
  <si>
    <t>主线任务10015</t>
  </si>
  <si>
    <t>主线任务10016</t>
  </si>
  <si>
    <t>主线任务10017</t>
  </si>
  <si>
    <t>3|34105|1|1</t>
  </si>
  <si>
    <t>主线任务10018</t>
  </si>
  <si>
    <t>主线任务10019</t>
  </si>
  <si>
    <t>主线任务10020</t>
  </si>
  <si>
    <t>主线任务10021</t>
  </si>
  <si>
    <t>3|34106|1|1</t>
  </si>
  <si>
    <t>主线任务10022</t>
  </si>
  <si>
    <t>主线任务10023</t>
  </si>
  <si>
    <t>主线任务10024</t>
  </si>
  <si>
    <t>主线任务10025</t>
  </si>
  <si>
    <t>3|34107|1|1</t>
  </si>
  <si>
    <t>主线任务10026</t>
  </si>
  <si>
    <t>主线任务10027</t>
  </si>
  <si>
    <t>主线任务10028</t>
  </si>
  <si>
    <t>主线任务10029</t>
  </si>
  <si>
    <t>3|34108|1|1</t>
  </si>
  <si>
    <t>主线任务10030</t>
  </si>
  <si>
    <t>主线任务10031</t>
  </si>
  <si>
    <t>主线任务10032</t>
  </si>
  <si>
    <t>主线任务10033</t>
  </si>
  <si>
    <t>3|34109|1|1</t>
  </si>
  <si>
    <t>主线任务10034</t>
  </si>
  <si>
    <t>主线任务11001</t>
  </si>
  <si>
    <t>主线任务11002</t>
  </si>
  <si>
    <t>主线任务11003</t>
  </si>
  <si>
    <t>3|34110|1|1</t>
  </si>
  <si>
    <t>主线任务11004</t>
  </si>
  <si>
    <t>主线任务11005</t>
  </si>
  <si>
    <t>主线任务11006</t>
  </si>
  <si>
    <t>主线任务11007</t>
  </si>
  <si>
    <t>3|34111|1|1</t>
  </si>
  <si>
    <t>主线任务11008</t>
  </si>
  <si>
    <t>主线任务11009</t>
  </si>
  <si>
    <t>主线任务11010</t>
  </si>
  <si>
    <t>主线任务11011</t>
  </si>
  <si>
    <t>3|34112|1|1</t>
  </si>
  <si>
    <t>主线任务11012</t>
  </si>
  <si>
    <t>主线任务11013</t>
  </si>
  <si>
    <t>主线任务11014</t>
  </si>
  <si>
    <t>主线任务11015</t>
  </si>
  <si>
    <t>3|34113|1|1</t>
  </si>
  <si>
    <t>主线任务11016</t>
  </si>
  <si>
    <t>主线任务11017</t>
  </si>
  <si>
    <t>主线任务11018</t>
  </si>
  <si>
    <t>主线任务11019</t>
  </si>
  <si>
    <t>3|34114|1|1</t>
  </si>
  <si>
    <t>主线任务11020</t>
  </si>
  <si>
    <t>主线任务11021</t>
  </si>
  <si>
    <t>主线任务11022</t>
  </si>
  <si>
    <t>主线任务11023</t>
  </si>
  <si>
    <t>3|34115|1|1</t>
  </si>
  <si>
    <t>主线任务11024</t>
  </si>
  <si>
    <t>主线任务11025</t>
  </si>
  <si>
    <t>主线任务11026</t>
  </si>
  <si>
    <t>主线任务11027</t>
  </si>
  <si>
    <t>3|34116|1|1</t>
  </si>
  <si>
    <t>3|34117|1|1</t>
  </si>
  <si>
    <t>3|34118|1|1</t>
  </si>
  <si>
    <t>3|34119|1|1</t>
  </si>
  <si>
    <t>主线任务奖励-蓝色伙伴碎片宝箱</t>
  </si>
  <si>
    <t>1|14307|1|1</t>
  </si>
  <si>
    <t>主线任务奖励-紫色伙伴碎片宝箱</t>
  </si>
  <si>
    <t>1|14308|1|1</t>
  </si>
  <si>
    <t>主线任务奖励-橙色伙伴碎片宝箱</t>
  </si>
  <si>
    <t>1|14309|1|1</t>
  </si>
  <si>
    <t>主线任务奖励-极品橙将碎片宝箱</t>
  </si>
  <si>
    <t>1|14310|1|1</t>
  </si>
  <si>
    <t>主线任务奖励-蓝色装备碎片宝箱</t>
  </si>
  <si>
    <t>1|14301|1|1</t>
  </si>
  <si>
    <t>主线任务奖励-紫色装备碎片宝箱</t>
  </si>
  <si>
    <t>1|14302|1|1</t>
  </si>
  <si>
    <t>主线任务奖励-橙色装备碎片宝箱</t>
  </si>
  <si>
    <t>1|14303|1|1</t>
  </si>
  <si>
    <t>主线任务奖励-主角进阶丹</t>
  </si>
  <si>
    <t>1|16503|20|1</t>
  </si>
  <si>
    <t>主线任务奖励-金币-第1章</t>
  </si>
  <si>
    <t>4|1|5000|1</t>
  </si>
  <si>
    <t>主线任务奖励-金币-第2章</t>
  </si>
  <si>
    <t>主线任务奖励-金币-第3章</t>
  </si>
  <si>
    <t>4|1|15000|1</t>
  </si>
  <si>
    <t>主线任务奖励-金币-第4章</t>
  </si>
  <si>
    <t>主线任务奖励-金币-第5章</t>
  </si>
  <si>
    <t>4|1|25000|1</t>
  </si>
  <si>
    <t>主线任务奖励-金币-第6章</t>
  </si>
  <si>
    <t>主线任务奖励-金币-第7章</t>
  </si>
  <si>
    <t>4|1|35000|1</t>
  </si>
  <si>
    <t>主线任务奖励-金币-第8章</t>
  </si>
  <si>
    <t>主线任务奖励-金币-第9章</t>
  </si>
  <si>
    <t>4|1|45000|1</t>
  </si>
  <si>
    <t>主线任务奖励-金币-第10章</t>
  </si>
  <si>
    <t>主线任务奖励-金币-第11章</t>
  </si>
  <si>
    <t>4|1|55000|1</t>
  </si>
  <si>
    <t>主线任务奖励-金币-第12章</t>
  </si>
  <si>
    <t>4|1|60000|1</t>
  </si>
  <si>
    <t>主线任务奖励-金币-第13章</t>
  </si>
  <si>
    <t>4|1|65000|1</t>
  </si>
  <si>
    <t>主线任务奖励-金币-第14章</t>
  </si>
  <si>
    <t>主线任务奖励-金币-第15章</t>
  </si>
  <si>
    <t>4|1|75000|1</t>
  </si>
  <si>
    <t>主线任务奖励-金币-第16章</t>
  </si>
  <si>
    <t>主线任务奖励-金币-第17章</t>
  </si>
  <si>
    <t>4|1|85000|1</t>
  </si>
  <si>
    <t>主线任务奖励-金币-第18章</t>
  </si>
  <si>
    <t>主线任务奖励-金币-第19章</t>
  </si>
  <si>
    <t>4|1|95000|1</t>
  </si>
  <si>
    <t>主线任务奖励-金币-第20章</t>
  </si>
  <si>
    <t>主线任务奖励-金币-第21章</t>
  </si>
  <si>
    <t>4|1|105000|1</t>
  </si>
  <si>
    <t>主线任务奖励-金币-第22章</t>
  </si>
  <si>
    <t>4|1|110000|1</t>
  </si>
  <si>
    <t>主线任务奖励-金币-第23章</t>
  </si>
  <si>
    <t>4|1|115000|1</t>
  </si>
  <si>
    <t>主线任务奖励-金币-第24章</t>
  </si>
  <si>
    <t>主线任务奖励-金币-第25章</t>
  </si>
  <si>
    <t>4|1|125000|1</t>
  </si>
  <si>
    <t>主线任务奖励-金币-第26章</t>
  </si>
  <si>
    <t>4|1|130000|1</t>
  </si>
  <si>
    <t>主线任务奖励-金币-第27章</t>
  </si>
  <si>
    <t>4|1|135000|1</t>
  </si>
  <si>
    <t>主线任务奖励-金币-第28章</t>
  </si>
  <si>
    <t>4|1|140000|1</t>
  </si>
  <si>
    <t>主线任务奖励-金币-第29章</t>
  </si>
  <si>
    <t>4|1|145000|1</t>
  </si>
  <si>
    <t>主线任务奖励-金币-第30章</t>
  </si>
  <si>
    <t>主线任务奖励-金币-第31章</t>
  </si>
  <si>
    <t>4|1|155000|1</t>
  </si>
  <si>
    <t>主线任务奖励-金币-第32章</t>
  </si>
  <si>
    <t>4|1|160000|1</t>
  </si>
  <si>
    <t>主线任务奖励-金币-第33章</t>
  </si>
  <si>
    <t>4|1|165000|1</t>
  </si>
  <si>
    <t>主线任务奖励-金币-第34章</t>
  </si>
  <si>
    <t>主线任务奖励-金币-第35章</t>
  </si>
  <si>
    <t>4|1|175000|1</t>
  </si>
  <si>
    <t>主线任务奖励-金币-第36章</t>
  </si>
  <si>
    <t>4|1|180000|1</t>
  </si>
  <si>
    <t>主线任务奖励-金币-第37章</t>
  </si>
  <si>
    <t>4|1|185000|1</t>
  </si>
  <si>
    <t>主线任务奖励-金币-第38章</t>
  </si>
  <si>
    <t>4|1|190000|1</t>
  </si>
  <si>
    <t>主线任务奖励-金币-第39章</t>
  </si>
  <si>
    <t>4|1|195000|1</t>
  </si>
  <si>
    <t>主线任务奖励-金币-第40章</t>
  </si>
  <si>
    <t>主线任务奖励-金币-第41章</t>
  </si>
  <si>
    <t>4|1|205000|1</t>
  </si>
  <si>
    <t>主线任务奖励-金币-第42章</t>
  </si>
  <si>
    <t>4|1|210000|1</t>
  </si>
  <si>
    <t>主线任务奖励-金币-第43章</t>
  </si>
  <si>
    <t>4|1|215000|1</t>
  </si>
  <si>
    <t>主线任务奖励-金币-第44章</t>
  </si>
  <si>
    <t>4|1|220000|1</t>
  </si>
  <si>
    <t>主线任务奖励-金币-第45章</t>
  </si>
  <si>
    <t>4|1|225000|1</t>
  </si>
  <si>
    <t>主线任务奖励-金币-第46章</t>
  </si>
  <si>
    <t>4|1|230000|1</t>
  </si>
  <si>
    <t>主线任务奖励-金币-第47章</t>
  </si>
  <si>
    <t>4|1|235000|1</t>
  </si>
  <si>
    <t>主线任务奖励-金币-第48章</t>
  </si>
  <si>
    <t>4|1|240000|1</t>
  </si>
  <si>
    <t>主线任务奖励-金币-第49章</t>
  </si>
  <si>
    <t>4|1|245000|1</t>
  </si>
  <si>
    <t>主线任务奖励-金币-第50章</t>
  </si>
  <si>
    <t>日常任务30积分奖励-金币</t>
  </si>
  <si>
    <t>日常任务30积分奖励-钻石</t>
  </si>
  <si>
    <t>日常任务30积分奖励-刷新符</t>
  </si>
  <si>
    <t>1|14102|1|1</t>
  </si>
  <si>
    <t>日常任务30积分奖励-体力药</t>
  </si>
  <si>
    <t>日常任务60积分奖励-金币</t>
  </si>
  <si>
    <t>日常任务60积分奖励-钻石</t>
  </si>
  <si>
    <t>日常任务60积分奖励-橙色英雄碎片包</t>
  </si>
  <si>
    <t>1|14311|1|1</t>
  </si>
  <si>
    <t>日常任务60积分奖励-体力药</t>
  </si>
  <si>
    <t>日常任务90积分奖励-橙色灵饰碎片箱</t>
  </si>
  <si>
    <t>1|14306|1|1</t>
  </si>
  <si>
    <t>日常任务90积分奖励-钻石</t>
  </si>
  <si>
    <t>日常任务90积分奖励-刷新符</t>
  </si>
  <si>
    <t>1|14102|2|1</t>
  </si>
  <si>
    <t>日常任务90积分奖励-体力药</t>
  </si>
  <si>
    <t>1|14101|2|1</t>
  </si>
  <si>
    <t>日常任务120积分奖励-紫色经验灵饰碎片箱</t>
  </si>
  <si>
    <t>1|14320|1|1</t>
  </si>
  <si>
    <t>日常任务120积分奖励-钻石</t>
  </si>
  <si>
    <t>日常任务120积分奖励-刷新符</t>
  </si>
  <si>
    <t>1|14102|3|1</t>
  </si>
  <si>
    <t>日常任务120积分奖励-体力药</t>
  </si>
  <si>
    <t>元灵晶石*1</t>
  </si>
  <si>
    <t>1|14107|1|30,1|14107|2|40,1|14107|3|30,1|14107|0|100</t>
  </si>
  <si>
    <t>元灵晶石*2</t>
  </si>
  <si>
    <t>1|14107|2|64,1|14107|4|22,1|14107|6|14,1|14107|0|50</t>
  </si>
  <si>
    <t>元灵晶石*3</t>
  </si>
  <si>
    <t>元灵晶石*4</t>
  </si>
  <si>
    <t>低级装备精炼石*1</t>
  </si>
  <si>
    <t>低级装备精炼石*2</t>
  </si>
  <si>
    <t>中级装备精炼石*1</t>
  </si>
  <si>
    <t>中级装备精炼石*2</t>
  </si>
  <si>
    <t>高级装备精炼石*1</t>
  </si>
  <si>
    <t>高级装备精炼石*2</t>
  </si>
  <si>
    <t>1|14001|1|50,1|14001|2|50</t>
  </si>
  <si>
    <t>1|14001|4|20,1|14001|6|40,1|14001|8|40</t>
  </si>
  <si>
    <t>1|14001|8|1</t>
  </si>
  <si>
    <t>1|14002|1|40,1|14002|2|40,1|14002|3|20</t>
  </si>
  <si>
    <t>1|14002|1|25,1|14002|2|65,1|14002|3|10</t>
  </si>
  <si>
    <t>1|14002|1|30,1|14002|2|50,1|14002|3|20</t>
  </si>
  <si>
    <t>1|14002|2|40,1|14002|4|40,1|14002|6|20</t>
  </si>
  <si>
    <t>1|14002|2|25,1|14002|4|65,1|14002|6|10</t>
  </si>
  <si>
    <t>1|14002|2|30,1|14002|4|50,1|14002|6|20</t>
  </si>
  <si>
    <t>1|14003|1|90,1|14003|2|10</t>
  </si>
  <si>
    <t>1|14003|2|90,1|14003|4|10</t>
  </si>
  <si>
    <t>第一章2(绿色伙伴)</t>
  </si>
  <si>
    <t>第一章第二关（绿色伙伴）</t>
  </si>
  <si>
    <t>5|1193|1|1</t>
  </si>
  <si>
    <t>第一章第三关（绿色伙伴）</t>
  </si>
  <si>
    <t>第一章第四关（绿色伙伴）</t>
  </si>
  <si>
    <t>第一章第五关（绿色伙伴）</t>
  </si>
  <si>
    <t>第一章第七关（技能卷轴）</t>
  </si>
  <si>
    <t>第一章第九关（泾河龙王）</t>
  </si>
  <si>
    <t>1|10034|40|1</t>
  </si>
  <si>
    <t>第一章第九关（主角进阶石头）</t>
  </si>
  <si>
    <t>1|14107|50|1</t>
  </si>
  <si>
    <t>精炼石头法宝</t>
  </si>
  <si>
    <t>进度宝箱（第一二章）奖励中级经验药水</t>
  </si>
  <si>
    <t>1|14002|5|1</t>
  </si>
  <si>
    <t>进度宝箱（其他章节）奖励中级经验药水</t>
  </si>
  <si>
    <t>1|14002|1|1</t>
  </si>
  <si>
    <t>装备精炼通用石头</t>
  </si>
  <si>
    <t>1|16005|8|1</t>
  </si>
  <si>
    <t>装备精炼武器石头</t>
  </si>
  <si>
    <t>1|16001|2|1</t>
  </si>
  <si>
    <t>装备精炼衣服石头</t>
  </si>
  <si>
    <t>1|16002|2|1</t>
  </si>
  <si>
    <t>装备精炼头盔石头</t>
  </si>
  <si>
    <t>1|16003|2|1</t>
  </si>
  <si>
    <t>装备精炼腰带石头</t>
  </si>
  <si>
    <t>1|16004|2|1</t>
  </si>
  <si>
    <t>第1章，第三关 (玉兔精碎片)</t>
  </si>
  <si>
    <t>1|10041|0|3,1|10041|1|1</t>
  </si>
  <si>
    <t>第1章，第六关（雷公碎片)</t>
  </si>
  <si>
    <t>1|10033|0|3,1|10033|1|1</t>
  </si>
  <si>
    <t xml:space="preserve">第1章，第九关(绿色武器) </t>
  </si>
  <si>
    <t>2|2002|0|65,2|2002|1|35</t>
  </si>
  <si>
    <t>第1章，第十关（泾河龙王碎片)</t>
  </si>
  <si>
    <t>1|10034|0|3,1|10034|1|1</t>
  </si>
  <si>
    <t xml:space="preserve">第1章，第十关(绿色胸甲) </t>
  </si>
  <si>
    <t>2|2001|0|65,2|2001|1|35</t>
  </si>
  <si>
    <t>第2章，第三关（玉兔精碎片)</t>
  </si>
  <si>
    <t>第2章，第六关（雷公碎片)</t>
  </si>
  <si>
    <t xml:space="preserve">第2章，第九关(绿色帽子) </t>
  </si>
  <si>
    <t>2|2003|0|65,2|2003|1|35</t>
  </si>
  <si>
    <t>第2章，第十关（泾河龙王碎片)</t>
  </si>
  <si>
    <t xml:space="preserve">第2章，第十关(绿色鞋子) </t>
  </si>
  <si>
    <t>2|2004|0|65,2|2004|1|35</t>
  </si>
  <si>
    <t>第3章，第三关（玉面夫人碎片)</t>
  </si>
  <si>
    <t>1|10038|0|3,1|10038|1|1</t>
  </si>
  <si>
    <t>第3章，第六关（墨鱼精碎片)</t>
  </si>
  <si>
    <t>1|10040|0|3,1|10040|1|1</t>
  </si>
  <si>
    <t xml:space="preserve">第3章，第九关(蓝色武器1碎片) </t>
  </si>
  <si>
    <t>1|11002|0|50,1|11002|1|50</t>
  </si>
  <si>
    <t>第3章，第十关（白龙公主碎片)</t>
  </si>
  <si>
    <t>1|10036|0|3,1|10036|1|1</t>
  </si>
  <si>
    <t xml:space="preserve">第3章，第十关(蓝色胸甲1碎片) </t>
  </si>
  <si>
    <t>1|11001|0|50,1|11001|1|50</t>
  </si>
  <si>
    <t>第4章，第三关（金钱豹王碎片)</t>
  </si>
  <si>
    <t>1|10039|0|3,1|10039|1|1</t>
  </si>
  <si>
    <t>第4章，第六关（玉兔精碎片)</t>
  </si>
  <si>
    <t xml:space="preserve">第4章，第九关(蓝色帽子1碎片) </t>
  </si>
  <si>
    <t>1|11003|0|50,1|11003|1|50</t>
  </si>
  <si>
    <t>第4章，第十关（雷公碎片)</t>
  </si>
  <si>
    <t xml:space="preserve">第4章，第十关(蓝色鞋子1碎片) </t>
  </si>
  <si>
    <t>1|11004|0|50,1|11004|1|50</t>
  </si>
  <si>
    <t>第5章，第三关（泾河龙王碎片)</t>
  </si>
  <si>
    <t>第5章，第六关（玉面夫人碎片)</t>
  </si>
  <si>
    <t xml:space="preserve">第5章，第九关(蓝色武器2碎片) </t>
  </si>
  <si>
    <t>1|11006|0|50,1|11006|1|50</t>
  </si>
  <si>
    <t>第5章，第十关（幽萤魂碎片)</t>
  </si>
  <si>
    <t>1|10107|0|4,1|10107|1|1</t>
  </si>
  <si>
    <t xml:space="preserve">第5章，第十关(蓝色胸甲2碎片) </t>
  </si>
  <si>
    <t>1|11005|0|50,1|11005|1|50</t>
  </si>
  <si>
    <t>第6章，第三关（墨鱼精碎片)</t>
  </si>
  <si>
    <t>第6章，第六关（白龙公主碎片)</t>
  </si>
  <si>
    <t xml:space="preserve">第6章，第九关(蓝色帽子2碎片) </t>
  </si>
  <si>
    <t>1|11007|0|50,1|11007|1|50</t>
  </si>
  <si>
    <t>第6章，第十关（混世魔王碎片)</t>
  </si>
  <si>
    <t>1|10032|0|4,1|10032|1|1</t>
  </si>
  <si>
    <t xml:space="preserve">第6章，第十关(蓝色鞋子2碎片) </t>
  </si>
  <si>
    <t>1|11008|0|50,1|11008|1|50</t>
  </si>
  <si>
    <t>第7章，第三关（金钱豹王碎片)</t>
  </si>
  <si>
    <t>第7章，第六关（玉兔精碎片)</t>
  </si>
  <si>
    <t xml:space="preserve">第7章，第九关(蓝色武器3碎片) </t>
  </si>
  <si>
    <t>1|11010|0|50,1|11010|1|50</t>
  </si>
  <si>
    <t>第7章，第十关（小白龙碎片)</t>
  </si>
  <si>
    <t>1|10023|0|4,1|10023|1|1</t>
  </si>
  <si>
    <t xml:space="preserve">第7章，第十关(蓝色胸甲3碎片) </t>
  </si>
  <si>
    <t>1|11009|0|50,1|11009|1|50</t>
  </si>
  <si>
    <t>第8章，第三关（雷公碎片)</t>
  </si>
  <si>
    <t>第8章，第六关（泾河龙王碎片)</t>
  </si>
  <si>
    <t xml:space="preserve">第8章，第九关(蓝色帽子3碎片) </t>
  </si>
  <si>
    <t>1|11011|0|50,1|11011|1|50</t>
  </si>
  <si>
    <t>第8章，第十关（沙和尚碎片)</t>
  </si>
  <si>
    <t>1|10024|0|4,1|10024|1|1</t>
  </si>
  <si>
    <t xml:space="preserve">第8章，第十关(蓝色鞋子3碎片) </t>
  </si>
  <si>
    <t>1|11012|0|50,1|11012|1|50</t>
  </si>
  <si>
    <t>第9章，第三关（玉面夫人碎片)</t>
  </si>
  <si>
    <t>第9章，第六关（墨鱼精碎片)</t>
  </si>
  <si>
    <t xml:space="preserve">第9章，第九关(紫色武器1碎片) </t>
  </si>
  <si>
    <t>1|11014|0|84,1|11014|1|16</t>
  </si>
  <si>
    <t>第9章，第十关（唐三藏碎片)</t>
  </si>
  <si>
    <t>1|10022|0|4,1|10022|1|1</t>
  </si>
  <si>
    <t xml:space="preserve">第9章，第十关(紫色胸甲1碎片) </t>
  </si>
  <si>
    <t>1|11013|0|84,1|11013|1|16</t>
  </si>
  <si>
    <t>第10章，第三关（白龙公主碎片)</t>
  </si>
  <si>
    <t>第10章，第六关（金钱豹王碎片)</t>
  </si>
  <si>
    <t xml:space="preserve">第10章，第九关(紫色帽子1碎片) </t>
  </si>
  <si>
    <t>1|11016|0|84,1|11016|1|16</t>
  </si>
  <si>
    <t>第10章，第十关（太白金星碎片)</t>
  </si>
  <si>
    <t>1|10006|0|4,1|10006|1|1</t>
  </si>
  <si>
    <t xml:space="preserve">第10章，第十关(紫色鞋子1碎片) </t>
  </si>
  <si>
    <t>1|11015|0|84,1|11015|1|16</t>
  </si>
  <si>
    <t>第11章，第三关（玉兔精碎片)</t>
  </si>
  <si>
    <t>第11章，第六关（雷公碎片)</t>
  </si>
  <si>
    <t xml:space="preserve">第11章，第九关(紫色武器2碎片) </t>
  </si>
  <si>
    <t>1|11018|0|84,1|11018|1|16</t>
  </si>
  <si>
    <t>第11章，第十关（玉皇大帝碎片)</t>
  </si>
  <si>
    <t>1|10004|0|4,1|10004|1|1</t>
  </si>
  <si>
    <t xml:space="preserve">第11章，第十关(紫色胸甲2碎片) </t>
  </si>
  <si>
    <t>1|11017|0|84,1|11017|1|16</t>
  </si>
  <si>
    <t>第12章，第三关（泾河龙王碎片)</t>
  </si>
  <si>
    <t>第12章，第六关（幽萤魂碎片)</t>
  </si>
  <si>
    <t xml:space="preserve">第12章，第九关(紫色帽子2碎片) </t>
  </si>
  <si>
    <t>1|11020|0|84,1|11020|1|16</t>
  </si>
  <si>
    <t>第12章，第十关（紫霞仙子碎片)</t>
  </si>
  <si>
    <t>1|10021|0|5,1|10021|1|1</t>
  </si>
  <si>
    <t xml:space="preserve">第12章，第十关(紫色鞋子2碎片) </t>
  </si>
  <si>
    <t>1|11019|0|84,1|11019|1|16</t>
  </si>
  <si>
    <t>第13章，第三关（玉面夫人碎片)</t>
  </si>
  <si>
    <t>第13章，第六关（混世魔王碎片)</t>
  </si>
  <si>
    <t xml:space="preserve">第13章，第九关(紫色武器3碎片) </t>
  </si>
  <si>
    <t>1|11022|0|84,1|11022|1|16</t>
  </si>
  <si>
    <t>第13章，第十关（虎力大仙碎片)</t>
  </si>
  <si>
    <t>1|10013|0|5,1|10013|1|1</t>
  </si>
  <si>
    <t xml:space="preserve">第13章，第十关(紫色胸甲3碎片) </t>
  </si>
  <si>
    <t>1|11021|0|84,1|11021|1|16</t>
  </si>
  <si>
    <t>第14章，第三关（墨鱼精碎片)</t>
  </si>
  <si>
    <t>第14章，第六关（小白龙碎片)</t>
  </si>
  <si>
    <t xml:space="preserve">第14章，第九关(紫色帽子3碎片) </t>
  </si>
  <si>
    <t>1|11024|0|84,1|11024|1|16</t>
  </si>
  <si>
    <t>第14章，第十关（二郎神碎片)</t>
  </si>
  <si>
    <t>1|10001|0|5,1|10001|1|1</t>
  </si>
  <si>
    <t xml:space="preserve">第14章，第十关(紫色鞋子3碎片) </t>
  </si>
  <si>
    <t>1|11023|0|84,1|11023|1|16</t>
  </si>
  <si>
    <t>第15章，第三关（白龙公主碎片)</t>
  </si>
  <si>
    <t>第15章，第六关（沙和尚碎片)</t>
  </si>
  <si>
    <t xml:space="preserve">第15章，第九关(紫色武器1碎片) </t>
  </si>
  <si>
    <t>第15章，第十关（铁扇公主碎片)</t>
  </si>
  <si>
    <t>1|10011|0|5,1|10011|1|1</t>
  </si>
  <si>
    <t xml:space="preserve">第15章，第十关(紫色胸甲1碎片) </t>
  </si>
  <si>
    <t>第16章，第三关（金钱豹王碎片)</t>
  </si>
  <si>
    <t>第16章，第六关（唐三藏碎片)</t>
  </si>
  <si>
    <t xml:space="preserve">第16章，第九关(紫色帽子1碎片) </t>
  </si>
  <si>
    <t>第16章，第十关（六耳猕猴碎片)</t>
  </si>
  <si>
    <t>1|10017|0|5,1|10017|1|1</t>
  </si>
  <si>
    <t xml:space="preserve">第16章，第十关(紫色鞋子1碎片) </t>
  </si>
  <si>
    <t>第17章，第三关（玉兔精碎片)</t>
  </si>
  <si>
    <t>第17章，第六关（太白金星碎片)</t>
  </si>
  <si>
    <t xml:space="preserve">第17章，第九关(紫色武器2碎片) </t>
  </si>
  <si>
    <t>第17章，第十关（王母娘娘碎片)</t>
  </si>
  <si>
    <t>1|10005|0|5,1|10005|1|1</t>
  </si>
  <si>
    <t xml:space="preserve">第17章，第十关(紫色胸甲2碎片) </t>
  </si>
  <si>
    <t>第18章，第三关（雷公碎片)</t>
  </si>
  <si>
    <t>第18章，第六关（红孩儿碎片)</t>
  </si>
  <si>
    <t>1|10010|0|4,1|10010|1|1</t>
  </si>
  <si>
    <t xml:space="preserve">第18章，第九关(紫色帽子2碎片) </t>
  </si>
  <si>
    <t>第18章，第十关（猪八戒碎片)</t>
  </si>
  <si>
    <t>1|10020|0|5,1|10020|1|1</t>
  </si>
  <si>
    <t xml:space="preserve">第18章，第十关(紫色鞋子2碎片) </t>
  </si>
  <si>
    <t>第19章，第三关（泾河龙王碎片)</t>
  </si>
  <si>
    <t>第19章，第六关（混沌碎片)</t>
  </si>
  <si>
    <t>1|10018|0|4,1|10018|1|1</t>
  </si>
  <si>
    <t xml:space="preserve">第19章，第九关(紫色武器3碎片) </t>
  </si>
  <si>
    <t>第19章，第十关（嫦娥碎片)</t>
  </si>
  <si>
    <t>1|10003|0|5,1|10003|1|1</t>
  </si>
  <si>
    <t xml:space="preserve">第19章，第十关(紫色胸甲3碎片) </t>
  </si>
  <si>
    <t>第20章，第三关（玉面夫人碎片)</t>
  </si>
  <si>
    <t>第20章，第六关（鹿力大仙碎片)</t>
  </si>
  <si>
    <t>1|10014|0|4,1|10014|1|1</t>
  </si>
  <si>
    <t xml:space="preserve">第20章，第九关(紫色帽子3碎片) </t>
  </si>
  <si>
    <t>第20章，第十关（紫霞仙子碎片)</t>
  </si>
  <si>
    <t xml:space="preserve">第20章，第十关(紫色鞋子3碎片) </t>
  </si>
  <si>
    <t>第21章，第三关（墨鱼精碎片)</t>
  </si>
  <si>
    <t>第21章，第六关（羊力大仙碎片)</t>
  </si>
  <si>
    <t>1|10015|0|4,1|10015|1|1</t>
  </si>
  <si>
    <t xml:space="preserve">第21章，第九关(橙色武器1碎片) </t>
  </si>
  <si>
    <t>1|11026|0|95,1|11026|1|5</t>
  </si>
  <si>
    <t>第21章，第十关（虎力大仙碎片)</t>
  </si>
  <si>
    <t xml:space="preserve">第21章，第十关(橙色胸甲1碎片) </t>
  </si>
  <si>
    <t>1|11025|0|95,1|11025|1|5</t>
  </si>
  <si>
    <t>第22章，第三关（白龙公主碎片)</t>
  </si>
  <si>
    <t>第22章，第六关（白骨夫人碎片)</t>
  </si>
  <si>
    <t>1|10016|0|4,1|10016|1|1</t>
  </si>
  <si>
    <t xml:space="preserve">第22章，第九关(橙色帽子1碎片) </t>
  </si>
  <si>
    <t>1|11028|0|95,1|11028|1|5</t>
  </si>
  <si>
    <t>第22章，第十关（二郎神碎片)</t>
  </si>
  <si>
    <t xml:space="preserve">第22章，第十关(橙色鞋子1碎片) </t>
  </si>
  <si>
    <t>1|11027|0|95,1|11027|1|5</t>
  </si>
  <si>
    <t>第23章，第三关（金钱豹王碎片)</t>
  </si>
  <si>
    <t>第23章，第六关（地藏王碎片)</t>
  </si>
  <si>
    <t>1|10030|0|4,1|10030|1|1</t>
  </si>
  <si>
    <t xml:space="preserve">第23章，第九关(橙色武器2碎片) </t>
  </si>
  <si>
    <t>1|11030|0|95,1|11030|1|5</t>
  </si>
  <si>
    <t>第23章，第十关（铁扇公主碎片)</t>
  </si>
  <si>
    <t xml:space="preserve">第23章，第十关(橙色胸甲2碎片) </t>
  </si>
  <si>
    <t>1|11029|0|95,1|11029|1|5</t>
  </si>
  <si>
    <t>第24章，第三关（玉兔精碎片)</t>
  </si>
  <si>
    <t>第24章，第六关（蝶妖碎片)</t>
  </si>
  <si>
    <t>1|10108|0|4,1|10108|1|1</t>
  </si>
  <si>
    <t xml:space="preserve">第24章，第九关(橙色帽子2碎片) </t>
  </si>
  <si>
    <t>1|11032|0|95,1|11032|1|5</t>
  </si>
  <si>
    <t>第24章，第十关（六耳猕猴碎片)</t>
  </si>
  <si>
    <t xml:space="preserve">第24章，第十关(橙色鞋子2碎片) </t>
  </si>
  <si>
    <t>1|11031|0|95,1|11031|1|5</t>
  </si>
  <si>
    <t>主线副本进度宝箱-金币奖励</t>
  </si>
  <si>
    <t>4|1|2500|1</t>
  </si>
  <si>
    <t>4|1|3750|1</t>
  </si>
  <si>
    <t>4|1|6250|1</t>
  </si>
  <si>
    <t>4|1|7500|1</t>
  </si>
  <si>
    <t>4|1|12500|1</t>
  </si>
  <si>
    <t>4|1|11250|1</t>
  </si>
  <si>
    <t>4|1|18750|1</t>
  </si>
  <si>
    <t>4|1|22500|1</t>
  </si>
  <si>
    <t>4|1|31250|1</t>
  </si>
  <si>
    <t>4|1|37500|1</t>
  </si>
  <si>
    <t>4|1|17500|1</t>
  </si>
  <si>
    <t>4|1|26250|1</t>
  </si>
  <si>
    <t>4|1|43750|1</t>
  </si>
  <si>
    <t>4|1|52500|1</t>
  </si>
  <si>
    <t>4|1|33750|1</t>
  </si>
  <si>
    <t>4|1|56250|1</t>
  </si>
  <si>
    <t>4|1|67500|1</t>
  </si>
  <si>
    <t>4|1|62500|1</t>
  </si>
  <si>
    <t>4|1|27500|1</t>
  </si>
  <si>
    <t>4|1|41250|1</t>
  </si>
  <si>
    <t>4|1|68750|1</t>
  </si>
  <si>
    <t>4|1|82500|1</t>
  </si>
  <si>
    <t>4|1|32500|1</t>
  </si>
  <si>
    <t>4|1|48750|1</t>
  </si>
  <si>
    <t>4|1|81250|1</t>
  </si>
  <si>
    <t>4|1|97500|1</t>
  </si>
  <si>
    <t>4|1|87500|1</t>
  </si>
  <si>
    <t>4|1|93750|1</t>
  </si>
  <si>
    <t>4|1|112500|1</t>
  </si>
  <si>
    <t>4|1|42500|1</t>
  </si>
  <si>
    <t>4|1|63750|1</t>
  </si>
  <si>
    <t>4|1|106250|1</t>
  </si>
  <si>
    <t>4|1|127500|1</t>
  </si>
  <si>
    <t>4|1|47500|1</t>
  </si>
  <si>
    <t>4|1|71250|1</t>
  </si>
  <si>
    <t>4|1|118750|1</t>
  </si>
  <si>
    <t>4|1|142500|1</t>
  </si>
  <si>
    <t>4|1|78750|1</t>
  </si>
  <si>
    <t>4|1|131250|1</t>
  </si>
  <si>
    <t>4|1|157500|1</t>
  </si>
  <si>
    <t>4|1|137500|1</t>
  </si>
  <si>
    <t>4|1|57500|1</t>
  </si>
  <si>
    <t>4|1|86250|1</t>
  </si>
  <si>
    <t>4|1|143750|1</t>
  </si>
  <si>
    <t>4|1|172500|1</t>
  </si>
  <si>
    <t>4|1|156250|1</t>
  </si>
  <si>
    <t>4|1|187500|1</t>
  </si>
  <si>
    <t>4|1|162500|1</t>
  </si>
  <si>
    <t>4|1|101250|1</t>
  </si>
  <si>
    <t>4|1|168750|1</t>
  </si>
  <si>
    <t>4|1|202500|1</t>
  </si>
  <si>
    <t>4|1|72500|1</t>
  </si>
  <si>
    <t>4|1|108750|1</t>
  </si>
  <si>
    <t>4|1|181250|1</t>
  </si>
  <si>
    <t>4|1|217500|1</t>
  </si>
  <si>
    <t>4|1|77500|1</t>
  </si>
  <si>
    <t>4|1|116250|1</t>
  </si>
  <si>
    <t>4|1|193750|1</t>
  </si>
  <si>
    <t>4|1|232500|1</t>
  </si>
  <si>
    <t>4|1|123750|1</t>
  </si>
  <si>
    <t>4|1|206250|1</t>
  </si>
  <si>
    <t>4|1|247500|1</t>
  </si>
  <si>
    <t>4|1|212500|1</t>
  </si>
  <si>
    <t>4|1|255000|1</t>
  </si>
  <si>
    <t>4|1|218750|1</t>
  </si>
  <si>
    <t>4|1|262500|1</t>
  </si>
  <si>
    <t>4|1|270000|1</t>
  </si>
  <si>
    <t>4|1|92500|1</t>
  </si>
  <si>
    <t>4|1|138750|1</t>
  </si>
  <si>
    <t>4|1|231250|1</t>
  </si>
  <si>
    <t>4|1|277500|1</t>
  </si>
  <si>
    <t>4|1|237500|1</t>
  </si>
  <si>
    <t>4|1|285000|1</t>
  </si>
  <si>
    <t>4|1|146250|1</t>
  </si>
  <si>
    <t>4|1|243750|1</t>
  </si>
  <si>
    <t>4|1|292500|1</t>
  </si>
  <si>
    <t>4|1|102500|1</t>
  </si>
  <si>
    <t>4|1|153750|1</t>
  </si>
  <si>
    <t>4|1|256250|1</t>
  </si>
  <si>
    <t>4|1|307500|1</t>
  </si>
  <si>
    <t>4|1|315000|1</t>
  </si>
  <si>
    <t>4|1|107500|1</t>
  </si>
  <si>
    <t>4|1|161250|1</t>
  </si>
  <si>
    <t>4|1|268750|1</t>
  </si>
  <si>
    <t>4|1|322500|1</t>
  </si>
  <si>
    <t>4|1|275000|1</t>
  </si>
  <si>
    <t>4|1|330000|1</t>
  </si>
  <si>
    <t>4|1|281250|1</t>
  </si>
  <si>
    <t>4|1|337500|1</t>
  </si>
  <si>
    <t>4|1|287500|1</t>
  </si>
  <si>
    <t>4|1|345000|1</t>
  </si>
  <si>
    <t>4|1|117500|1</t>
  </si>
  <si>
    <t>4|1|176250|1</t>
  </si>
  <si>
    <t>4|1|293750|1</t>
  </si>
  <si>
    <t>4|1|352500|1</t>
  </si>
  <si>
    <t>4|1|360000|1</t>
  </si>
  <si>
    <t>4|1|122500|1</t>
  </si>
  <si>
    <t>4|1|183750|1</t>
  </si>
  <si>
    <t>4|1|306250|1</t>
  </si>
  <si>
    <t>4|1|367500|1</t>
  </si>
  <si>
    <t>4|1|312500|1</t>
  </si>
  <si>
    <t>4|1|375000|1</t>
  </si>
  <si>
    <t>主线副本进度宝箱-钻石奖励</t>
  </si>
  <si>
    <t>主线副本进度宝箱-进阶石奖励</t>
  </si>
  <si>
    <t>1|14107|40|1</t>
  </si>
  <si>
    <t>1|14107|60|1</t>
  </si>
  <si>
    <t>1|14107|80|1</t>
  </si>
  <si>
    <t>第一章进度宝箱（绿色武器）</t>
  </si>
  <si>
    <t>第一章进度宝箱（绿色衣服）</t>
  </si>
  <si>
    <t>第一章进度宝箱（绿色头盔）</t>
  </si>
  <si>
    <t>第一章进度宝箱（绿色鞋子）</t>
  </si>
  <si>
    <t>第一章进度宝箱（蓝色衣服）</t>
  </si>
  <si>
    <t>第一章进度宝箱（蓝色头盔）</t>
  </si>
  <si>
    <t>第一章进度宝箱（蓝色鞋子）</t>
  </si>
  <si>
    <t>第一章进度宝箱（蓝色武器）</t>
  </si>
  <si>
    <t>大雁塔每5层器魂额外奖励</t>
  </si>
  <si>
    <t>4|3|500|1</t>
  </si>
  <si>
    <t>大雁塔5层奖励</t>
  </si>
  <si>
    <t>4|1|8000|1</t>
  </si>
  <si>
    <t>大雁塔10层奖励</t>
  </si>
  <si>
    <t>4|1|11000|1</t>
  </si>
  <si>
    <t>大雁塔15层奖励</t>
  </si>
  <si>
    <t>4|1|14000|1</t>
  </si>
  <si>
    <t>大雁塔20层奖励</t>
  </si>
  <si>
    <t>4|1|17000|1</t>
  </si>
  <si>
    <t>大雁塔25层奖励</t>
  </si>
  <si>
    <t>大雁塔30层奖励</t>
  </si>
  <si>
    <t>4|1|23000|1</t>
  </si>
  <si>
    <t>大雁塔35层奖励</t>
  </si>
  <si>
    <t>4|1|26000|1</t>
  </si>
  <si>
    <t>大雁塔40层奖励</t>
  </si>
  <si>
    <t>4|1|29000|1</t>
  </si>
  <si>
    <t>大雁塔45层奖励</t>
  </si>
  <si>
    <t>4|1|32000|1</t>
  </si>
  <si>
    <t>大雁塔50层奖励</t>
  </si>
  <si>
    <t>大雁塔55层奖励</t>
  </si>
  <si>
    <t>4|1|38000|1</t>
  </si>
  <si>
    <t>大雁塔60层奖励</t>
  </si>
  <si>
    <t>4|1|41000|1</t>
  </si>
  <si>
    <t>大雁塔65层奖励</t>
  </si>
  <si>
    <t>4|1|44000|1</t>
  </si>
  <si>
    <t>大雁塔70层奖励</t>
  </si>
  <si>
    <t>4|1|47000|1</t>
  </si>
  <si>
    <t>大雁塔75层奖励</t>
  </si>
  <si>
    <t>大雁塔80层奖励</t>
  </si>
  <si>
    <t>4|1|53000|1</t>
  </si>
  <si>
    <t>大雁塔85层奖励</t>
  </si>
  <si>
    <t>4|1|56000|1</t>
  </si>
  <si>
    <t>大雁塔90层奖励</t>
  </si>
  <si>
    <t>4|1|59000|1</t>
  </si>
  <si>
    <t>大雁塔95层奖励</t>
  </si>
  <si>
    <t>4|1|62000|1</t>
  </si>
  <si>
    <t>大雁塔100层奖励</t>
  </si>
  <si>
    <t>大雁塔1层奖励</t>
  </si>
  <si>
    <t>4|3|550|1</t>
  </si>
  <si>
    <t>1|14203|10|1</t>
  </si>
  <si>
    <t>4|3|600|1</t>
  </si>
  <si>
    <t>1|14203|15|1</t>
  </si>
  <si>
    <t>4|3|650|1</t>
  </si>
  <si>
    <t>1|14203|20|1</t>
  </si>
  <si>
    <t>4|3|700|1</t>
  </si>
  <si>
    <t>1|14203|25|1</t>
  </si>
  <si>
    <t>4|3|750|1</t>
  </si>
  <si>
    <t>4|3|800|1</t>
  </si>
  <si>
    <t>1|14204|5|1</t>
  </si>
  <si>
    <t>4|3|900|1</t>
  </si>
  <si>
    <t>1|14204|10|1</t>
  </si>
  <si>
    <t>1|14204|15|1</t>
  </si>
  <si>
    <t>4|3|1100|1</t>
  </si>
  <si>
    <t>1|14204|20|1</t>
  </si>
  <si>
    <t>4|3|1200|1</t>
  </si>
  <si>
    <t>1|14204|25|1</t>
  </si>
  <si>
    <t>4|3|1300|1</t>
  </si>
  <si>
    <t>1|14204|30|1</t>
  </si>
  <si>
    <t>4|3|1400|1</t>
  </si>
  <si>
    <t>1|14204|35|1</t>
  </si>
  <si>
    <t>1|14204|40|1</t>
  </si>
  <si>
    <t>蓝色装备碎片</t>
  </si>
  <si>
    <t>1|11001|1|10,1|11002|1|10,1|11003|1|10,1|11004|1|10,1|11005|1|10,1|11006|1|10,1|11007|1|10,1|11008|1|10,1|11009|1|10,1|11010|1|10,1|11011|1|10,1|11012|1|10</t>
  </si>
  <si>
    <t>蓝色装备碎片宝箱</t>
  </si>
  <si>
    <t>1|11001|1|3,1|11002|1|3,1|11003|1|3,1|11004|1|3,1|11005|1|3,1|11006|1|3,1|11007|1|3,1|11008|1|3,1|11009|1|3,1|11010|1|3,1|11011|1|3,1|11012|1|3,1|11001|2|4,1|11002|2|4,1|11003|2|4,1|11004|2|4,1|11005|2|4,1|11006|2|4,1|11007|2|4,1|11008|2|4,1|11009|2|4,1|11010|2|4,1|11011|2|4,1|11012|2|4,1|11001|3|3,1|11002|3|3,1|11003|3|3,1|11004|3|3,1|11005|3|3,1|11006|3|3,1|11007|3|3,1|11008|3|3,1|11009|3|3,1|11010|3|3,1|11011|3|3,1|11012|3|3</t>
  </si>
  <si>
    <t>紫色装备碎片宝箱</t>
  </si>
  <si>
    <t>1|11013|1|10,1|11014|1|10,1|11015|1|10,1|11016|1|10,1|11017|1|10,1|11018|1|10,1|11019|1|10,1|11020|1|10,1|11021|1|10,1|11022|1|10,1|11023|1|10,1|11024|1|10</t>
  </si>
  <si>
    <t>橙色装备碎片宝箱</t>
  </si>
  <si>
    <t>1|11025|1|10,1|11026|1|10,1|11027|1|10,1|11028|1|10,1|11029|1|10,1|11030|1|10,1|11031|1|10,1|11032|1|10,1|11033|1|10,1|11034|1|10,1|11035|1|10,1|11036|1|10</t>
  </si>
  <si>
    <t>紫色灵饰碎片宝箱</t>
  </si>
  <si>
    <t>3|50018|1|80,3|50019|1|20</t>
  </si>
  <si>
    <t>橙色灵饰碎片宝箱</t>
  </si>
  <si>
    <t>3|50018|1|65,3|50019|1|30,3|50020|1|5</t>
  </si>
  <si>
    <t>蓝色伙伴碎片宝箱</t>
  </si>
  <si>
    <t>5|1142|1|10,5|1143|1|10,5|1146|1|10,5|1147|1|10,5|1148|1|10,5|1152|1|10,5|1155|1|10,5|1156|1|10,5|1157|1|10,5|1158|1|10,5|1159|1|10,5|1163|1|10,5|1163|1|10,5|1192|1|10</t>
  </si>
  <si>
    <t>紫色伙伴碎片宝箱</t>
  </si>
  <si>
    <t>14橙色伙伴碎片宝箱</t>
  </si>
  <si>
    <t>15橙色伙伴碎片宝箱</t>
  </si>
  <si>
    <t>橙色伙伴碎片宝箱</t>
  </si>
  <si>
    <t>橙色攻击灵饰碎片宝箱</t>
  </si>
  <si>
    <t>1|12037|1|1,1|12038|1|1,1|12039|1|1,1|12040|1|1,1|12041|1|1,1|12047|1|1,1|12048|1|1,1|12049|1|1,1|12050|1|1,1|12051|1|1</t>
  </si>
  <si>
    <t>橙色防御灵饰碎片宝箱</t>
  </si>
  <si>
    <t>1|12042|1|1,1|12043|1|1,1|12044|1|1,1|12045|1|1,1|12046|1|1,1|12052|1|1,1|12053|1|1,1|12054|1|1,1|12055|1|1,1|12056|1|1</t>
  </si>
  <si>
    <t>紫色伙伴宝箱</t>
  </si>
  <si>
    <t>5|1133|1|1,5|1134|1|1,5|1136|1|1,5|1138|1|1,5|1139|1|1,5|1140|1|1,5|1141|1|1,5|1205|1|1,5|1206|1|1,5|1204|1|1</t>
  </si>
  <si>
    <t>13橙色伙伴宝箱</t>
  </si>
  <si>
    <t>5|1104|1|1,5|1106|1|1,5|1110|1|1,5|1114|1|1,5|1115|1|1,5|1118|1|1,5|1122|1|1,5|1123|1|1,5|1124|1|1,5|1131|1|1,5|1132|1|1,5|1137|1|1,5|1207|1|1,5|1135|1|1,5|1201|1|1</t>
  </si>
  <si>
    <t>16橙色伙伴宝箱</t>
  </si>
  <si>
    <t>5|1101|1|1,5|1102|1|1,5|1103|1|1,5|1105|1|1,5|1111|1|1,5|1112|1|1,5|1113|1|1,5|1117|1|1,5|1119|1|1,5|1120|1|1,5|1121|1|1</t>
  </si>
  <si>
    <t>中级装备碎片宝箱</t>
  </si>
  <si>
    <t>3|50000|1|80,3|50002|1|20</t>
  </si>
  <si>
    <t>高级装备碎片宝箱</t>
  </si>
  <si>
    <t>3|50000|1|60,3|50002|1|30,3|50003|1|10</t>
  </si>
  <si>
    <t>蓝色灵饰碎片壹</t>
  </si>
  <si>
    <t>1|12001|1|1,1|12002|1|1,1|12003|1|1,1|12004|1|1,1|12005|1|1,1|12006|1|1,1|12007|1|1,1|12008|1|1,1|12009|1|1,1|12010|1|1,1|12011|1|1,1|12012|1|1,1|12067|1|1,1|12068|1|1,1|12069|1|1</t>
  </si>
  <si>
    <t>紫色灵饰碎片壹</t>
  </si>
  <si>
    <t>1|12013|1|1,1|12014|1|1,1|12015|1|1,1|12016|1|1,1|12017|1|1,1|12018|1|1,1|12019|1|1,1|12020|1|1,1|12021|1|1,1|12022|1|1,1|12023|1|1,1|12024|1|1,1|12025|1|1,1|12026|1|1,1|12027|1|1,1|12028|1|1,1|12070|1|1,1|12071|1|1,1|12072|1|1,1|12073|1|1</t>
  </si>
  <si>
    <t>橙色灵饰碎片壹</t>
  </si>
  <si>
    <t>1|12037|1|1,1|12038|1|1,1|12039|1|1,1|12040|1|1,1|12041|1|1,1|12042|1|1,1|12043|1|1,1|12044|1|1,1|12045|1|1,1|12046|1|1,1|12047|1|1,1|12048|1|1,1|12049|1|1,1|12050|1|1,1|12051|1|1,1|12052|1|1,1|12053|1|1,1|12054|1|1,1|12055|1|1,1|12056|1|1,1|12074|1|1,1|12075|1|1,1|12076|1|1,1|12077|1|1,1|12078|1|1</t>
  </si>
  <si>
    <t>蓝色经验灵饰碎片箱</t>
  </si>
  <si>
    <t>紫色经验灵饰碎片箱</t>
  </si>
  <si>
    <t>橙色经验灵饰碎片箱</t>
  </si>
  <si>
    <t>钱宝</t>
  </si>
  <si>
    <t>4|1|2000000|1</t>
  </si>
  <si>
    <t>阿里巴巴</t>
  </si>
  <si>
    <t>4|2|10000|1</t>
  </si>
  <si>
    <t>1万金币宝箱</t>
  </si>
  <si>
    <t>普通抽卡</t>
  </si>
  <si>
    <t>3|51007|1|2,3|51008|1|30,3|51010|1|68</t>
  </si>
  <si>
    <t>高级抽卡</t>
  </si>
  <si>
    <t>3|51005|1|5,3|51006|1|25,3|51007|1|120,3|51008|1|850</t>
  </si>
  <si>
    <t>必出橙色</t>
  </si>
  <si>
    <t>3|51006|1|8,3|51005|1|2</t>
  </si>
  <si>
    <t>普通聚仙首抽</t>
  </si>
  <si>
    <t>核心橙将奖池</t>
  </si>
  <si>
    <t>5|1119|1|10,5|1101|1|10,5|1102|1|10,5|1103|1|10,5|1105|1|10,5|1112|1|10,5|1117|1|10,5|1111|1|10,5|1113|1|10,5|1120|1|10,5|1121|1|10</t>
  </si>
  <si>
    <t>普通橙将奖池1</t>
  </si>
  <si>
    <t>5|1104|1|10,5|1106|1|10,5|1110|1|10,5|1114|1|10,5|1115|1|10,5|1118|1|10,5|1122|1|10,5|1123|1|10,5|1124|1|10,5|1132|1|10,5|1131|1|10,5|1137|1|10,5|1207|1|10,5|1201|1|10</t>
  </si>
  <si>
    <t>紫将奖池</t>
  </si>
  <si>
    <t>5|1133|1|10,5|1134|1|10,5|1136|1|10,5|1138|1|10,5|1139|1|10,5|1140|1|10,5|1141|1|10,5|1205|1|10,5|1206|1|10,5|1204|1|10</t>
  </si>
  <si>
    <t>蓝将奖池</t>
  </si>
  <si>
    <t>高级抽卡只有蓝紫将</t>
  </si>
  <si>
    <t>3|51007|1|12,3|51008|1|88</t>
  </si>
  <si>
    <t>绿将奖池</t>
  </si>
  <si>
    <t>5|1153|1|10,5|1154|1|10,5|1164|1|10,5|1165|1|10,5|1166|1|10,5|1167|1|10,5|1168|1|10,5|1169|1|10,5|1170|1|10,5|1171|1|10,5|1176|1|10,5|1177|1|10,5|1178|1|10,5|1179|1|10,5|1180|1|10,5|1181|1|10,5|1182|1|10,5|1185|1|10,5|1186|1|10,5|1187|1|10,5|1188|1|10,5|1193|1|10,5|1194|1|10,5|1217|1|10</t>
  </si>
  <si>
    <t>高级聚仙首抽</t>
  </si>
  <si>
    <t>二郎神碎片*1</t>
  </si>
  <si>
    <t>二郎神碎片*2</t>
  </si>
  <si>
    <t>1|10001|2|1</t>
  </si>
  <si>
    <t>二郎神碎片*3</t>
  </si>
  <si>
    <t>1|10001|3|1</t>
  </si>
  <si>
    <t>二郎神碎片*4</t>
  </si>
  <si>
    <t>1|10001|4|1</t>
  </si>
  <si>
    <t>二郎神碎片*5</t>
  </si>
  <si>
    <t>1|10001|5|1</t>
  </si>
  <si>
    <t>哪吒碎片*1</t>
  </si>
  <si>
    <t>哪吒碎片*2</t>
  </si>
  <si>
    <t>1|10002|2|1</t>
  </si>
  <si>
    <t>哪吒碎片*3</t>
  </si>
  <si>
    <t>1|10002|3|1</t>
  </si>
  <si>
    <t>哪吒碎片*4</t>
  </si>
  <si>
    <t>1|10002|4|1</t>
  </si>
  <si>
    <t>哪吒碎片*5</t>
  </si>
  <si>
    <t>1|10002|5|1</t>
  </si>
  <si>
    <t xml:space="preserve">  嫦娥碎片*1</t>
  </si>
  <si>
    <t xml:space="preserve">  嫦娥碎片*2</t>
  </si>
  <si>
    <t>1|10003|2|1</t>
  </si>
  <si>
    <t xml:space="preserve">  嫦娥碎片*3</t>
  </si>
  <si>
    <t>1|10003|3|1</t>
  </si>
  <si>
    <t xml:space="preserve">  嫦娥碎片*4</t>
  </si>
  <si>
    <t>1|10003|4|1</t>
  </si>
  <si>
    <t xml:space="preserve">  嫦娥碎片*5</t>
  </si>
  <si>
    <t>1|10003|5|1</t>
  </si>
  <si>
    <t>红孩儿碎片*1</t>
  </si>
  <si>
    <t>红孩儿碎片*2</t>
  </si>
  <si>
    <t>1|10010|2|1</t>
  </si>
  <si>
    <t>红孩儿碎片*3</t>
  </si>
  <si>
    <t>1|10010|3|1</t>
  </si>
  <si>
    <t>红孩儿碎片*4</t>
  </si>
  <si>
    <t>1|10010|4|1</t>
  </si>
  <si>
    <t>红孩儿碎片*5</t>
  </si>
  <si>
    <t>1|10010|5|1</t>
  </si>
  <si>
    <t>铁扇公主碎片*1</t>
  </si>
  <si>
    <t>铁扇公主碎片*2</t>
  </si>
  <si>
    <t>1|10011|2|1</t>
  </si>
  <si>
    <t>铁扇公主碎片*3</t>
  </si>
  <si>
    <t>1|10011|3|1</t>
  </si>
  <si>
    <t>铁扇公主碎片*4</t>
  </si>
  <si>
    <t>1|10011|4|1</t>
  </si>
  <si>
    <t>铁扇公主碎片*5</t>
  </si>
  <si>
    <t>1|10011|5|1</t>
  </si>
  <si>
    <t>牛魔王碎片*1</t>
  </si>
  <si>
    <t>牛魔王碎片*2</t>
  </si>
  <si>
    <t>1|10012|2|1</t>
  </si>
  <si>
    <t>牛魔王碎片*3</t>
  </si>
  <si>
    <t>1|10012|3|1</t>
  </si>
  <si>
    <t>牛魔王碎片*4</t>
  </si>
  <si>
    <t>1|10012|4|1</t>
  </si>
  <si>
    <t>牛魔王碎片*5</t>
  </si>
  <si>
    <t>1|10012|5|1</t>
  </si>
  <si>
    <t>孙悟空碎片*1</t>
  </si>
  <si>
    <t>孙悟空碎片*2</t>
  </si>
  <si>
    <t>1|10019|2|1</t>
  </si>
  <si>
    <t>孙悟空碎片*3</t>
  </si>
  <si>
    <t>1|10019|3|1</t>
  </si>
  <si>
    <t>孙悟空碎片*4</t>
  </si>
  <si>
    <t>1|10019|4|1</t>
  </si>
  <si>
    <t>孙悟空碎片*5</t>
  </si>
  <si>
    <t>1|10019|5|1</t>
  </si>
  <si>
    <t>猪八戒碎片*1</t>
  </si>
  <si>
    <t>猪八戒碎片*2</t>
  </si>
  <si>
    <t>1|10020|2|1</t>
  </si>
  <si>
    <t>猪八戒碎片*3</t>
  </si>
  <si>
    <t>1|10020|3|1</t>
  </si>
  <si>
    <t>猪八戒碎片*4</t>
  </si>
  <si>
    <t>1|10020|4|1</t>
  </si>
  <si>
    <t>猪八戒碎片*5</t>
  </si>
  <si>
    <t>1|10020|5|1</t>
  </si>
  <si>
    <t>紫霞仙子碎片*1</t>
  </si>
  <si>
    <t>紫霞仙子碎片*2</t>
  </si>
  <si>
    <t>1|10021|2|1</t>
  </si>
  <si>
    <t>紫霞仙子碎片*3</t>
  </si>
  <si>
    <t>1|10021|3|1</t>
  </si>
  <si>
    <t>紫霞仙子碎片*4</t>
  </si>
  <si>
    <t>1|10021|4|1</t>
  </si>
  <si>
    <t>紫霞仙子碎片*5</t>
  </si>
  <si>
    <t>1|10021|5|1</t>
  </si>
  <si>
    <t>孙悟空热门</t>
  </si>
  <si>
    <t>紫霞仙子热门</t>
  </si>
  <si>
    <t>猪八戒热门</t>
  </si>
  <si>
    <t>二郎神热门</t>
  </si>
  <si>
    <t>哪吒热门</t>
  </si>
  <si>
    <t>嫦娥热门</t>
  </si>
  <si>
    <t>牛魔王热门</t>
  </si>
  <si>
    <t>红孩儿热门</t>
  </si>
  <si>
    <t>铁扇公主热门</t>
  </si>
  <si>
    <t>通天路1-1</t>
  </si>
  <si>
    <t>1|13001|1|1</t>
  </si>
  <si>
    <t>通天路1-2</t>
  </si>
  <si>
    <t>1|13002|1|1</t>
  </si>
  <si>
    <t>通天路1-3</t>
  </si>
  <si>
    <t>1|13003|1|1</t>
  </si>
  <si>
    <t>通天路1-4</t>
  </si>
  <si>
    <t>1|13004|1|1</t>
  </si>
  <si>
    <t>通天路1-5</t>
  </si>
  <si>
    <t>1|13005|1|1</t>
  </si>
  <si>
    <t>通天路1-6</t>
  </si>
  <si>
    <t>1|13006|1|1</t>
  </si>
  <si>
    <t>通天路2-1</t>
  </si>
  <si>
    <t>通天路2-2</t>
  </si>
  <si>
    <t>通天路2-3</t>
  </si>
  <si>
    <t>通天路2-4</t>
  </si>
  <si>
    <t>通天路2-5</t>
  </si>
  <si>
    <t>通天路2-6</t>
  </si>
  <si>
    <t>通天路3-1</t>
  </si>
  <si>
    <t>通天路3-2</t>
  </si>
  <si>
    <t>通天路3-3</t>
  </si>
  <si>
    <t>通天路3-4</t>
  </si>
  <si>
    <t>通天路3-5</t>
  </si>
  <si>
    <t>通天路3-6</t>
  </si>
  <si>
    <t>通天路4-1</t>
  </si>
  <si>
    <t>1|13007|1|1</t>
  </si>
  <si>
    <t>通天路4-2</t>
  </si>
  <si>
    <t>1|13008|1|1</t>
  </si>
  <si>
    <t>通天路4-3</t>
  </si>
  <si>
    <t>1|13009|1|1</t>
  </si>
  <si>
    <t>通天路4-4</t>
  </si>
  <si>
    <t>1|13010|1|1</t>
  </si>
  <si>
    <t>通天路4-5</t>
  </si>
  <si>
    <t>1|13011|1|1</t>
  </si>
  <si>
    <t>通天路4-6</t>
  </si>
  <si>
    <t>1|13012|1|1</t>
  </si>
  <si>
    <t>通天路5-1</t>
  </si>
  <si>
    <t>通天路5-2</t>
  </si>
  <si>
    <t>通天路5-3</t>
  </si>
  <si>
    <t>通天路5-4</t>
  </si>
  <si>
    <t>通天路5-5</t>
  </si>
  <si>
    <t>通天路5-6</t>
  </si>
  <si>
    <t>通天路6-1</t>
  </si>
  <si>
    <t>通天路6-2</t>
  </si>
  <si>
    <t>通天路6-3</t>
  </si>
  <si>
    <t>通天路6-4</t>
  </si>
  <si>
    <t>通天路6-5</t>
  </si>
  <si>
    <t>通天路6-6</t>
  </si>
  <si>
    <t>通天路7-1</t>
  </si>
  <si>
    <t>通天路7-2</t>
  </si>
  <si>
    <t>通天路7-3</t>
  </si>
  <si>
    <t>通天路7-4</t>
  </si>
  <si>
    <t>通天路7-5</t>
  </si>
  <si>
    <t>通天路7-6</t>
  </si>
  <si>
    <t>通天路8-1</t>
  </si>
  <si>
    <t>通天路8-2</t>
  </si>
  <si>
    <t>通天路8-3</t>
  </si>
  <si>
    <t>通天路8-4</t>
  </si>
  <si>
    <t>通天路8-5</t>
  </si>
  <si>
    <t>通天路8-6</t>
  </si>
  <si>
    <t>通天路9-1</t>
  </si>
  <si>
    <t>通天路9-2</t>
  </si>
  <si>
    <t>通天路9-3</t>
  </si>
  <si>
    <t>通天路9-4</t>
  </si>
  <si>
    <t>通天路9-5</t>
  </si>
  <si>
    <t>通天路9-6</t>
  </si>
  <si>
    <t>通天路10-1</t>
  </si>
  <si>
    <t>通天路10-2</t>
  </si>
  <si>
    <t>通天路10-3</t>
  </si>
  <si>
    <t>通天路10-4</t>
  </si>
  <si>
    <t>通天路10-5</t>
  </si>
  <si>
    <t>通天路10-6</t>
  </si>
  <si>
    <t>第一章通天路5星奖励</t>
  </si>
  <si>
    <t>第一章通天路10星奖励</t>
  </si>
  <si>
    <t>1|14207|50|1</t>
  </si>
  <si>
    <t>第一章通天路15星奖励</t>
  </si>
  <si>
    <t>第二章通天路5星奖励</t>
  </si>
  <si>
    <t>第二章通天路10星奖励</t>
  </si>
  <si>
    <t>1|14207|100|1</t>
  </si>
  <si>
    <t>第二章通天路15星奖励</t>
  </si>
  <si>
    <t>第三章通天路5星奖励</t>
  </si>
  <si>
    <t>第三章通天路10星奖励</t>
  </si>
  <si>
    <t>1|14207|150|1</t>
  </si>
  <si>
    <t>第三章通天路15星奖励</t>
  </si>
  <si>
    <t>第四章通天路5星奖励</t>
  </si>
  <si>
    <t>第四章通天路10星奖励</t>
  </si>
  <si>
    <t>1|14207|200|1</t>
  </si>
  <si>
    <t>第四章通天路15星奖励</t>
  </si>
  <si>
    <t>第五章通天路5星奖励</t>
  </si>
  <si>
    <t>第五章通天路10星奖励</t>
  </si>
  <si>
    <t>1|14207|250|1</t>
  </si>
  <si>
    <t>第五章通天路15星奖励</t>
  </si>
  <si>
    <t>第六章通天路5星奖励</t>
  </si>
  <si>
    <t>第六章通天路10星奖励</t>
  </si>
  <si>
    <t>1|14207|300|1</t>
  </si>
  <si>
    <t>第六章通天路15星奖励</t>
  </si>
  <si>
    <t>第七章通天路5星奖励</t>
  </si>
  <si>
    <t>第七章通天路10星奖励</t>
  </si>
  <si>
    <t>1|14207|350|1</t>
  </si>
  <si>
    <t>第七章通天路15星奖励</t>
  </si>
  <si>
    <t>第八章通天路5星奖励</t>
  </si>
  <si>
    <t>第八章通天路10星奖励</t>
  </si>
  <si>
    <t>1|14207|400|1</t>
  </si>
  <si>
    <t>第八章通天路15星奖励</t>
  </si>
  <si>
    <t>第九章通天路5星奖励</t>
  </si>
  <si>
    <t>4|1|260000|1</t>
  </si>
  <si>
    <t>第九章通天路10星奖励</t>
  </si>
  <si>
    <t>1|14207|450|1</t>
  </si>
  <si>
    <t>第九章通天路15星奖励</t>
  </si>
  <si>
    <t>第十章通天路5星奖励</t>
  </si>
  <si>
    <t>4|1|280000|1</t>
  </si>
  <si>
    <t>第十章通天路10星奖励</t>
  </si>
  <si>
    <t>1|14207|500|1</t>
  </si>
  <si>
    <t>第十章通天路15星奖励</t>
  </si>
  <si>
    <t>5个仙晶掉落</t>
  </si>
  <si>
    <t>1|14207|5|1</t>
  </si>
  <si>
    <t>10个仙晶掉落</t>
  </si>
  <si>
    <t>1|14207|10|1</t>
  </si>
  <si>
    <t>帮派签到奖励1</t>
  </si>
  <si>
    <t>4|7|500|1</t>
  </si>
  <si>
    <t>帮派签到奖励2</t>
  </si>
  <si>
    <t>帮派签到奖励3</t>
  </si>
  <si>
    <t>帮派签到奖励4</t>
  </si>
  <si>
    <t>4|7|1500|1</t>
  </si>
  <si>
    <t>4|7|600|1</t>
  </si>
  <si>
    <t>1|14311|5|1</t>
  </si>
  <si>
    <t>第1天奖励</t>
  </si>
  <si>
    <t>1|11018|16|1</t>
  </si>
  <si>
    <t>第2天奖励</t>
  </si>
  <si>
    <t>第3天奖励</t>
  </si>
  <si>
    <t>第4天奖励</t>
  </si>
  <si>
    <t>第5天奖励</t>
  </si>
  <si>
    <t>第6天奖励</t>
  </si>
  <si>
    <t>1|14102|10|1</t>
  </si>
  <si>
    <t>第7天奖励</t>
  </si>
  <si>
    <t>4|4|300|1</t>
  </si>
  <si>
    <t>第8天奖励</t>
  </si>
  <si>
    <t>第9天奖励</t>
  </si>
  <si>
    <t>第10天奖励</t>
  </si>
  <si>
    <t>1|14102|20|1</t>
  </si>
  <si>
    <t>第11天奖励</t>
  </si>
  <si>
    <t>4|5|800|1</t>
  </si>
  <si>
    <t>第12天奖励</t>
  </si>
  <si>
    <t>4|2|3000|1</t>
  </si>
  <si>
    <t>第13天奖励</t>
  </si>
  <si>
    <t>第14天奖励</t>
  </si>
  <si>
    <t>第15天奖励</t>
  </si>
  <si>
    <t>4|4|500|1</t>
  </si>
  <si>
    <t>第16天奖励</t>
  </si>
  <si>
    <t>4|2|4000|1</t>
  </si>
  <si>
    <t>第17天奖励</t>
  </si>
  <si>
    <t>第18天奖励</t>
  </si>
  <si>
    <t>第19天奖励</t>
  </si>
  <si>
    <t>1|14201|150|1</t>
  </si>
  <si>
    <t>第20天奖励</t>
  </si>
  <si>
    <t>第21天奖励</t>
  </si>
  <si>
    <t>1|14107|150|1</t>
  </si>
  <si>
    <t>第22天奖励</t>
  </si>
  <si>
    <t>第23天奖励</t>
  </si>
  <si>
    <t>第24天奖励</t>
  </si>
  <si>
    <t>4|2|6000|1</t>
  </si>
  <si>
    <t>第25天奖励</t>
  </si>
  <si>
    <t>4|5|1000|1</t>
  </si>
  <si>
    <t>第26天奖励</t>
  </si>
  <si>
    <t>4|4|800|1</t>
  </si>
  <si>
    <t>第27天奖励</t>
  </si>
  <si>
    <t>1|14108|3|1</t>
  </si>
  <si>
    <t>第28天奖励</t>
  </si>
  <si>
    <t>4|2|7000|1</t>
  </si>
  <si>
    <t>第29天奖励</t>
  </si>
  <si>
    <t>第30天奖励</t>
  </si>
  <si>
    <t>第1天奖励双倍</t>
  </si>
  <si>
    <t>第3天奖励双倍</t>
  </si>
  <si>
    <t>第7天奖励双倍</t>
  </si>
  <si>
    <t>4|4|600|1</t>
  </si>
  <si>
    <t>第11天奖励双倍</t>
  </si>
  <si>
    <t>4|5|1600|1</t>
  </si>
  <si>
    <t>第15天奖励双倍</t>
  </si>
  <si>
    <t>4|4|1000|1</t>
  </si>
  <si>
    <t>第19天奖励双倍</t>
  </si>
  <si>
    <t>1|14201|300|1</t>
  </si>
  <si>
    <t>第23天奖励双倍</t>
  </si>
  <si>
    <t>1|14101|4|1</t>
  </si>
  <si>
    <t>第27天奖励双倍</t>
  </si>
  <si>
    <t>4|5|2000|1</t>
  </si>
  <si>
    <t>七日登陆第1天</t>
  </si>
  <si>
    <t>七日登陆第2天</t>
  </si>
  <si>
    <t>七日登陆第3天</t>
  </si>
  <si>
    <t>七日登陆第4天</t>
  </si>
  <si>
    <t>七日登陆第5天</t>
  </si>
  <si>
    <t>七日登陆第6天</t>
  </si>
  <si>
    <t>4|2|1500|1</t>
  </si>
  <si>
    <t>七日登陆第7天</t>
  </si>
  <si>
    <t>普通聚仙令</t>
  </si>
  <si>
    <t>金币</t>
  </si>
  <si>
    <t>体力药水</t>
  </si>
  <si>
    <t>精力之心</t>
  </si>
  <si>
    <t>高级聚仙令</t>
  </si>
  <si>
    <t>1|14006|1|1</t>
  </si>
  <si>
    <t>刷新符</t>
  </si>
  <si>
    <t>1|14006|2|1</t>
  </si>
  <si>
    <t>中级经验灵饰</t>
  </si>
  <si>
    <t>6|4502|3|1</t>
  </si>
  <si>
    <t>1|14306|3|1</t>
  </si>
  <si>
    <t>1|14101|8|1</t>
  </si>
  <si>
    <t>1|14306|5|1</t>
  </si>
  <si>
    <t>高级经验灵饰</t>
  </si>
  <si>
    <t>6|4503|2|1</t>
  </si>
  <si>
    <t>4|1|600000|1</t>
  </si>
  <si>
    <t>1|14101|12|1</t>
  </si>
  <si>
    <t>1|14108|12|1</t>
  </si>
  <si>
    <t>元灵晶石</t>
  </si>
  <si>
    <t>4|1|800000|1</t>
  </si>
  <si>
    <t>高级装备精炼石</t>
  </si>
  <si>
    <t>6|4503|4|1</t>
  </si>
  <si>
    <t>6|4503|10|1</t>
  </si>
  <si>
    <t>4|1|1000000|1</t>
  </si>
  <si>
    <t>精魄</t>
  </si>
  <si>
    <t>4|4|400|1</t>
  </si>
  <si>
    <t>1|14102|40|1</t>
  </si>
  <si>
    <t>器魂</t>
  </si>
  <si>
    <t>1|14204|50|1</t>
  </si>
  <si>
    <t>6|4503|15|1</t>
  </si>
  <si>
    <t>4|1|1500000|1</t>
  </si>
  <si>
    <t>1|14101|40|1</t>
  </si>
  <si>
    <t>1|14204|100|1</t>
  </si>
  <si>
    <t>1|14201|250|1</t>
  </si>
  <si>
    <t>钻石</t>
  </si>
  <si>
    <t>1|14003|10|1</t>
  </si>
  <si>
    <t>6|4502|5|1</t>
  </si>
  <si>
    <t>主角等级达到25</t>
  </si>
  <si>
    <t>主角等级达到27</t>
  </si>
  <si>
    <t>主角等级达到29</t>
  </si>
  <si>
    <t>主角等级达到31</t>
  </si>
  <si>
    <t>主角等级达到33</t>
  </si>
  <si>
    <t>1|14312|2|1</t>
  </si>
  <si>
    <t>主角等级达到35</t>
  </si>
  <si>
    <t>1|14313|2|1</t>
  </si>
  <si>
    <t>主角等级达到37</t>
  </si>
  <si>
    <t>1|14005|2|1</t>
  </si>
  <si>
    <t>1|14005|8|1</t>
  </si>
  <si>
    <t>升级技能30次</t>
  </si>
  <si>
    <t>升级技能40次</t>
  </si>
  <si>
    <t>通关花果山第六关</t>
  </si>
  <si>
    <t>通关东海龙宫第三关</t>
  </si>
  <si>
    <t>通关东海龙宫第十关</t>
  </si>
  <si>
    <t>通关阴曹地府第十关</t>
  </si>
  <si>
    <t>通关天宫第十关</t>
  </si>
  <si>
    <t>通关鹰愁涧第十关</t>
  </si>
  <si>
    <t>通关高老庄第十关</t>
  </si>
  <si>
    <t>1|14101|35|1</t>
  </si>
  <si>
    <t>通关流沙河第十关</t>
  </si>
  <si>
    <t>通关精英花果山第六关</t>
  </si>
  <si>
    <t>通关精英东海龙宫第三关</t>
  </si>
  <si>
    <t>通关精英东海龙宫第十关</t>
  </si>
  <si>
    <t>通关精英阴曹地府第十关</t>
  </si>
  <si>
    <t>通关精英天宫第十关</t>
  </si>
  <si>
    <t>通关精英鹰愁涧第十关</t>
  </si>
  <si>
    <t>4|4|700|1</t>
  </si>
  <si>
    <t>通关精英高老庄第十关</t>
  </si>
  <si>
    <t>通关精英流沙河第十关</t>
  </si>
  <si>
    <t>抢夺法宝10次</t>
  </si>
  <si>
    <t>1|14305|2|1</t>
  </si>
  <si>
    <t>抢夺法宝20次</t>
  </si>
  <si>
    <t>1|14305|4|1</t>
  </si>
  <si>
    <t>抢夺法宝30次</t>
  </si>
  <si>
    <t>1|14305|6|1</t>
  </si>
  <si>
    <t>1|14305|8|1</t>
  </si>
  <si>
    <t>抢夺法宝80次</t>
  </si>
  <si>
    <t>抢夺法宝120次</t>
  </si>
  <si>
    <t>1|14306|4|1</t>
  </si>
  <si>
    <t>抢夺法宝180次</t>
  </si>
  <si>
    <t>1|14306|6|1</t>
  </si>
  <si>
    <t>抢夺法宝250次</t>
  </si>
  <si>
    <t>1|14306|8|1</t>
  </si>
  <si>
    <t>灵饰合成5次</t>
  </si>
  <si>
    <t>灵饰合成10次</t>
  </si>
  <si>
    <t>6|4502|2|1</t>
  </si>
  <si>
    <t>灵饰合成20次</t>
  </si>
  <si>
    <t>灵饰合成30次</t>
  </si>
  <si>
    <t>6|4502|4|1</t>
  </si>
  <si>
    <t>灵饰合成50次</t>
  </si>
  <si>
    <t>灵饰合成70次</t>
  </si>
  <si>
    <t>6|4502|6|1</t>
  </si>
  <si>
    <t>灵饰合成100次</t>
  </si>
  <si>
    <t>6|4502|7|1</t>
  </si>
  <si>
    <t>4|3|200|1</t>
  </si>
  <si>
    <t>4|3|300|1</t>
  </si>
  <si>
    <t>4|3|400|1</t>
  </si>
  <si>
    <t>战斗力100000</t>
  </si>
  <si>
    <t>战斗力200000</t>
  </si>
  <si>
    <t>战斗力300000</t>
  </si>
  <si>
    <t>战斗力400000</t>
  </si>
  <si>
    <t>4|2|2500|1</t>
  </si>
  <si>
    <t>战斗力500000</t>
  </si>
  <si>
    <t>战斗力700000</t>
  </si>
  <si>
    <t>4|2|3500|1</t>
  </si>
  <si>
    <t>战斗力1000000</t>
  </si>
  <si>
    <t>普通关卡45星</t>
  </si>
  <si>
    <t>普通关卡90星</t>
  </si>
  <si>
    <t>普通关卡120星</t>
  </si>
  <si>
    <t>普通关卡150星</t>
  </si>
  <si>
    <t>普通关卡180星</t>
  </si>
  <si>
    <t>普通关卡210星</t>
  </si>
  <si>
    <t>灵台斗法挑战10次</t>
  </si>
  <si>
    <t>4|5|300|1</t>
  </si>
  <si>
    <t>灵台斗法挑战20次</t>
  </si>
  <si>
    <t>4|5|400|1</t>
  </si>
  <si>
    <t>灵台斗法挑战30次</t>
  </si>
  <si>
    <t>4|5|500|1</t>
  </si>
  <si>
    <t>灵台斗法挑战40次</t>
  </si>
  <si>
    <t>4|5|600|1</t>
  </si>
  <si>
    <t>灵台斗法挑战50次</t>
  </si>
  <si>
    <t>4|5|700|1</t>
  </si>
  <si>
    <t>灵台斗法挑战60次</t>
  </si>
  <si>
    <t>灵台斗法挑战70次</t>
  </si>
  <si>
    <t>灵台斗法1500名</t>
  </si>
  <si>
    <t>灵台斗法1000名</t>
  </si>
  <si>
    <t>灵台斗法500名</t>
  </si>
  <si>
    <t>灵台斗法100名</t>
  </si>
  <si>
    <t>灵台斗法30名</t>
  </si>
  <si>
    <t>灵台斗法10名</t>
  </si>
  <si>
    <t>灵台斗法3名</t>
  </si>
  <si>
    <t>灵台斗法1名</t>
  </si>
  <si>
    <t>4|1|700000|1</t>
  </si>
  <si>
    <t>上阵所有伙伴等级达到30</t>
  </si>
  <si>
    <t>上阵所有伙伴等级达到35</t>
  </si>
  <si>
    <t>上阵所有伙伴等级达到40</t>
  </si>
  <si>
    <t>上阵所有伙伴等级达到43</t>
  </si>
  <si>
    <t>上阵所有伙伴等级达到45</t>
  </si>
  <si>
    <t>上阵所有伙伴等级达到48</t>
  </si>
  <si>
    <t>上阵所有伙伴等级达到51</t>
  </si>
  <si>
    <t>1|14107|600|1</t>
  </si>
  <si>
    <t>上阵所有伙伴等级达到53</t>
  </si>
  <si>
    <t>1|14107|700|1</t>
  </si>
  <si>
    <t>主角等级达到42</t>
  </si>
  <si>
    <t>主角等级达到44</t>
  </si>
  <si>
    <t>主角等级达到46</t>
  </si>
  <si>
    <t>主角等级达到48</t>
  </si>
  <si>
    <t>主角等级达到51</t>
  </si>
  <si>
    <t>4|2|1750|1</t>
  </si>
  <si>
    <t>主角等级达到53</t>
  </si>
  <si>
    <t>4|2|2250|1</t>
  </si>
  <si>
    <t>主角等级达到55</t>
  </si>
  <si>
    <t>4|2|2750|1</t>
  </si>
  <si>
    <t>灵饰强化5次</t>
  </si>
  <si>
    <t>灵饰强化8次</t>
  </si>
  <si>
    <t>1|14108|15|1</t>
  </si>
  <si>
    <t>灵饰强化12次</t>
  </si>
  <si>
    <t>灵饰强化16次</t>
  </si>
  <si>
    <t>1|14108|25|1</t>
  </si>
  <si>
    <t>灵饰强化24次</t>
  </si>
  <si>
    <t>1|14108|30|1</t>
  </si>
  <si>
    <t>灵饰强化32次</t>
  </si>
  <si>
    <t>1|14108|35|1</t>
  </si>
  <si>
    <t>灵饰强化40次</t>
  </si>
  <si>
    <t>1|14108|40|1</t>
  </si>
  <si>
    <t>装备强化4次</t>
  </si>
  <si>
    <t>装备强化8次</t>
  </si>
  <si>
    <t>装备强化16次</t>
  </si>
  <si>
    <t>装备强化24次</t>
  </si>
  <si>
    <t>装备强化32次</t>
  </si>
  <si>
    <t>装备强化40次</t>
  </si>
  <si>
    <t>装备精炼48次</t>
  </si>
  <si>
    <t>装备精炼64次</t>
  </si>
  <si>
    <t>1|14201|500|1</t>
  </si>
  <si>
    <t>今日登录</t>
  </si>
  <si>
    <t>主角等级</t>
  </si>
  <si>
    <t>登录赠送vip</t>
  </si>
  <si>
    <t>1|14405|6|1</t>
  </si>
  <si>
    <t>1|14405|12|1</t>
  </si>
  <si>
    <t>1|14405|30|1</t>
  </si>
  <si>
    <t>1|14405|120|1</t>
  </si>
  <si>
    <t>1|14405|300|1</t>
  </si>
  <si>
    <t>主角等级达到39</t>
  </si>
  <si>
    <t>主角等级达到41</t>
  </si>
  <si>
    <t>1|14102|50|1</t>
  </si>
  <si>
    <t>主角等级达到43</t>
  </si>
  <si>
    <t>4|2|1400|1</t>
  </si>
  <si>
    <t>主角等级达到45</t>
  </si>
  <si>
    <t>4|2|1600|1</t>
  </si>
  <si>
    <t>主角等级达到47</t>
  </si>
  <si>
    <t>主角等级达到49</t>
  </si>
  <si>
    <t>普通血战第1关第1回奖励主角进阶丹</t>
  </si>
  <si>
    <t>1|16503|2|1</t>
  </si>
  <si>
    <t>普通血战第1关第2回奖励主角进阶丹</t>
  </si>
  <si>
    <t>普通血战第1关第3回奖励主角进阶丹</t>
  </si>
  <si>
    <t>困难血战第1关第1回奖励主角进阶丹</t>
  </si>
  <si>
    <t>1|16503|3|1</t>
  </si>
  <si>
    <t>困难血战第1关第2回奖励主角进阶丹</t>
  </si>
  <si>
    <t>困难血战第1关第3回奖励主角进阶丹</t>
  </si>
  <si>
    <t>普通血战第2关第1回奖励主角进阶丹</t>
  </si>
  <si>
    <t>1|16503|4|1</t>
  </si>
  <si>
    <t>普通血战第2关第2回奖励主角进阶丹</t>
  </si>
  <si>
    <t>普通血战第2关第3回奖励主角进阶丹</t>
  </si>
  <si>
    <t>困难血战第2关第1回奖励主角进阶丹</t>
  </si>
  <si>
    <t>1|16503|6|1</t>
  </si>
  <si>
    <t>困难血战第2关第2回奖励主角进阶丹</t>
  </si>
  <si>
    <t>困难血战第2关第3回奖励主角进阶丹</t>
  </si>
  <si>
    <t>普通血战第3关第1回奖励主角进阶丹</t>
  </si>
  <si>
    <t>普通血战第3关第2回奖励主角进阶丹</t>
  </si>
  <si>
    <t>普通血战第3关第3回奖励主角进阶丹</t>
  </si>
  <si>
    <t>困难血战第3关第1回奖励主角进阶丹</t>
  </si>
  <si>
    <t>1|16503|9|1</t>
  </si>
  <si>
    <t>困难血战第3关第2回奖励主角进阶丹</t>
  </si>
  <si>
    <t>困难血战第3关第3回奖励主角进阶丹</t>
  </si>
  <si>
    <t>普通血战第4关第1回奖励主角进阶丹</t>
  </si>
  <si>
    <t>1|16503|8|1</t>
  </si>
  <si>
    <t>普通血战第4关第2回奖励主角进阶丹</t>
  </si>
  <si>
    <t>普通血战第4关第3回奖励主角进阶丹</t>
  </si>
  <si>
    <t>困难血战第4关第1回奖励主角进阶丹</t>
  </si>
  <si>
    <t>1|16503|12|1</t>
  </si>
  <si>
    <t>困难血战第4关第2回奖励主角进阶丹</t>
  </si>
  <si>
    <t>困难血战第4关第3回奖励主角进阶丹</t>
  </si>
  <si>
    <t>普通血战第5关第1回奖励主角进阶丹</t>
  </si>
  <si>
    <t>1|16503|10|1</t>
  </si>
  <si>
    <t>普通血战第5关第2回奖励主角进阶丹</t>
  </si>
  <si>
    <t>普通血战第5关第3回奖励主角进阶丹</t>
  </si>
  <si>
    <t>困难血战第5关第1回奖励主角进阶丹</t>
  </si>
  <si>
    <t>1|16503|15|1</t>
  </si>
  <si>
    <t>困难血战第5关第2回奖励主角进阶丹</t>
  </si>
  <si>
    <t>困难血战第5关第3回奖励主角进阶丹</t>
  </si>
  <si>
    <t>普通血战第1关第1回奖励通用精炼石</t>
  </si>
  <si>
    <t>1|16005|4|20,1|16005|6|20,1|16005|8|20,1|16005|10|20,1|16005|12|20</t>
  </si>
  <si>
    <t>普通血战第1关第2回奖励通用精炼石</t>
  </si>
  <si>
    <t>普通血战第1关第3回奖励通用精炼石</t>
  </si>
  <si>
    <t>困难血战第1关第1回奖励通用精炼石</t>
  </si>
  <si>
    <t>困难血战第1关第2回奖励通用精炼石</t>
  </si>
  <si>
    <t>困难血战第1关第3回奖励通用精炼石</t>
  </si>
  <si>
    <t>普通血战第2关第1回奖励通用精炼石</t>
  </si>
  <si>
    <t>1|16005|13|20,1|16005|15|20,1|16005|17|20,1|16005|19|20,1|16005|21|20</t>
  </si>
  <si>
    <t>普通血战第2关第2回奖励通用精炼石</t>
  </si>
  <si>
    <t>普通血战第2关第3回奖励通用精炼石</t>
  </si>
  <si>
    <t>困难血战第2关第1回奖励通用精炼石</t>
  </si>
  <si>
    <t>困难血战第2关第2回奖励通用精炼石</t>
  </si>
  <si>
    <t>困难血战第2关第3回奖励通用精炼石</t>
  </si>
  <si>
    <t>普通血战第3关第1回奖励通用精炼石</t>
  </si>
  <si>
    <t>1|16005|21|20,1|16005|23|20,1|16005|25|20,1|16005|27|20,1|16005|29|20</t>
  </si>
  <si>
    <t>普通血战第3关第2回奖励通用精炼石</t>
  </si>
  <si>
    <t>普通血战第3关第3回奖励通用精炼石</t>
  </si>
  <si>
    <t>困难血战第3关第1回奖励通用精炼石</t>
  </si>
  <si>
    <t>困难血战第3关第2回奖励通用精炼石</t>
  </si>
  <si>
    <t>困难血战第3关第3回奖励通用精炼石</t>
  </si>
  <si>
    <t>普通血战第4关第1回奖励通用精炼石</t>
  </si>
  <si>
    <t>1|16005|29|20,1|16005|31|20,1|16005|33|20,1|16005|35|20,1|16005|37|20</t>
  </si>
  <si>
    <t>普通血战第4关第2回奖励通用精炼石</t>
  </si>
  <si>
    <t>普通血战第4关第3回奖励通用精炼石</t>
  </si>
  <si>
    <t>困难血战第4关第1回奖励通用精炼石</t>
  </si>
  <si>
    <t>困难血战第4关第2回奖励通用精炼石</t>
  </si>
  <si>
    <t>困难血战第4关第3回奖励通用精炼石</t>
  </si>
  <si>
    <t>普通血战第5关第1回奖励通用精炼石</t>
  </si>
  <si>
    <t>1|16005|38|20,1|16005|40|20,1|16005|42|20,1|16005|44|20,1|16005|46|20</t>
  </si>
  <si>
    <t>普通血战第5关第2回奖励通用精炼石</t>
  </si>
  <si>
    <t>普通血战第5关第3回奖励通用精炼石</t>
  </si>
  <si>
    <t>困难血战第5关第1回奖励通用精炼石</t>
  </si>
  <si>
    <t>困难血战第5关第2回奖励通用精炼石</t>
  </si>
  <si>
    <t>困难血战第5关第3回奖励通用精炼石</t>
  </si>
  <si>
    <t>普通血战第1关核心精炼材料</t>
  </si>
  <si>
    <t>1|16001|0|5,1|16002|0|5,1|16003|0|5,1|16004|0|5,1|16001|1|3,1|16002|1|3,1|16003|1|3,1|16004|1|3,1|16001|2|2,1|16002|2|2,1|16003|2|2,1|16004|2|2</t>
  </si>
  <si>
    <t>困难血战第1关核心精炼材料</t>
  </si>
  <si>
    <t>1|16001|0|3,1|16002|0|3,1|16003|0|3,1|16004|0|3,1|16001|1|4,1|16002|1|4,1|16003|1|4,1|16004|1|4,1|16001|2|3,1|16002|2|3,1|16003|2|3,1|16004|2|3</t>
  </si>
  <si>
    <t>普通血战第2关核心精炼材料</t>
  </si>
  <si>
    <t>1|16001|0|2,1|16002|0|2,1|16003|0|2,1|16004|0|2,1|16001|1|4,1|16002|1|4,1|16003|1|4,1|16004|1|4,1|16001|2|3,1|16002|2|3,1|16003|2|3,1|16004|2|3,1|16001|3|1,1|16002|3|1,1|16003|3|1,1|16004|3|1</t>
  </si>
  <si>
    <t>困难血战第2关核心精炼材料</t>
  </si>
  <si>
    <t>1|16001|1|3,1|16002|1|3,1|16003|1|3,1|16004|1|3,1|16001|2|4,1|16002|2|4,1|16003|2|4,1|16004|2|4,1|16001|3|3,1|16002|3|3,1|16003|3|3,1|16004|3|3</t>
  </si>
  <si>
    <t>普通血战第3关核心精炼材料</t>
  </si>
  <si>
    <t>1|16001|1|4,1|16002|1|4,1|16003|1|4,1|16004|1|4,1|16001|2|3,1|16002|2|3,1|16003|2|3,1|16004|2|3,1|16001|3|2,1|16002|3|2,1|16003|3|2,1|16004|3|2,1|16001|4|1,1|16002|4|1,1|16003|4|1,1|16004|4|1</t>
  </si>
  <si>
    <t>困难血战第3关核心精炼材料</t>
  </si>
  <si>
    <t>1|16001|2|3,1|16002|2|3,1|16003|2|3,1|16004|2|3,1|16001|3|4,1|16002|3|4,1|16003|3|4,1|16004|3|4,1|16001|4|3,1|16002|4|3,1|16003|4|3,1|16004|4|3</t>
  </si>
  <si>
    <t>普通血战第4关核心精炼材料</t>
  </si>
  <si>
    <t>1|16001|2|5,1|16002|2|5,1|16003|2|5,1|16004|2|5,1|16001|3|3,1|16002|3|3,1|16003|3|3,1|16004|3|3,1|16001|4|2,1|16002|4|2,1|16003|4|2,1|16004|4|2</t>
  </si>
  <si>
    <t>困难血战第4关核心精炼材料</t>
  </si>
  <si>
    <t>1|16001|3|3,1|16002|3|3,1|16003|3|3,1|16004|3|3,1|16001|4|4,1|16002|4|4,1|16003|4|4,1|16004|4|4,1|16001|5|3,1|16002|5|3,1|16003|5|3,1|16004|5|3</t>
  </si>
  <si>
    <t>普通血战第5关核心精炼材料</t>
  </si>
  <si>
    <t>1|16001|2|2,1|16002|2|2,1|16003|2|2,1|16004|2|2,1|16001|3|4,1|16002|3|4,1|16003|3|4,1|16004|3|4,1|16001|4|3,1|16002|4|3,1|16003|4|3,1|16004|4|3,1|16001|5|1,1|16002|5|1,1|16003|5|1,1|16004|5|1</t>
  </si>
  <si>
    <t>困难血战第5关核心精炼材料</t>
  </si>
  <si>
    <t>1|16001|4|3,1|16002|4|3,1|16003|4|3,1|16004|4|3,1|16001|5|4,1|16002|5|4,1|16003|5|4,1|16004|5|4,1|16001|6|3,1|16002|6|3,1|16003|6|3,1|16004|6|3</t>
  </si>
  <si>
    <t>困难血战第1关突破精炼石</t>
  </si>
  <si>
    <t>1|16006|0|67,1|16006|1|33</t>
  </si>
  <si>
    <t>困难血战第2关突破精炼石</t>
  </si>
  <si>
    <t>1|16006|0|33,1|16006|1|67</t>
  </si>
  <si>
    <t>困难血战第3关突破精炼石</t>
  </si>
  <si>
    <t>1|16006|0|30,1|16006|1|40,1|16006|2|30</t>
  </si>
  <si>
    <t>困难血战第4关突破精炼石</t>
  </si>
  <si>
    <t>1|16006|0|27,1|16006|1|33,1|16006|2|20,1|16006|3|20</t>
  </si>
  <si>
    <t>困难血战第5关突破精炼石</t>
  </si>
  <si>
    <t>1|16006|1|54,1|16006|2|26,1|16006|3|20</t>
  </si>
  <si>
    <t>专有精炼箱</t>
  </si>
  <si>
    <t>1|16001|1|1,1|16002|1|1,1|16003|1|1,1|16004|1|1</t>
  </si>
  <si>
    <t>普通进阶箱</t>
  </si>
  <si>
    <t>1|16501|20|13,1|16502|20|7</t>
  </si>
  <si>
    <t>困难进阶箱</t>
  </si>
  <si>
    <t>1|16501|20|7,1|16502|20|13</t>
  </si>
  <si>
    <t>血战5关宝箱</t>
  </si>
  <si>
    <t>血战10关宝箱</t>
  </si>
  <si>
    <t>血战15关宝箱</t>
  </si>
  <si>
    <t>血战20关宝箱</t>
  </si>
  <si>
    <t>1|14311|2|1</t>
  </si>
  <si>
    <t>血战25关宝箱</t>
  </si>
  <si>
    <t>血战30关宝箱</t>
  </si>
  <si>
    <t>1|14311|3|1</t>
  </si>
  <si>
    <t>竞技场排名1名奖励</t>
  </si>
  <si>
    <t>4|5|5000|1</t>
  </si>
  <si>
    <t>竞技场排名2-5名奖励</t>
  </si>
  <si>
    <t>4|5|4000|1</t>
  </si>
  <si>
    <t>竞技场排名6-20名奖励</t>
  </si>
  <si>
    <t>4|5|3500|1</t>
  </si>
  <si>
    <t>竞技场排名21-50名奖励</t>
  </si>
  <si>
    <t>4|5|3000|1</t>
  </si>
  <si>
    <t>竞技场排名51-100名奖励</t>
  </si>
  <si>
    <t>4|5|2500|1</t>
  </si>
  <si>
    <t>竞技场排名101-300名奖励</t>
  </si>
  <si>
    <t>竞技场排名301-500名奖励</t>
  </si>
  <si>
    <t>竞技场排名501-1000名奖励</t>
  </si>
  <si>
    <t>竞技场排名1001-2000名奖励</t>
  </si>
  <si>
    <t>4|1|1000|1</t>
  </si>
  <si>
    <t>竞技场排名2001-5000名奖励</t>
  </si>
  <si>
    <t>竞技场排名5001~10000名奖励</t>
  </si>
  <si>
    <t>竞技场排名51~100名奖励</t>
  </si>
  <si>
    <t>竞技场排名101~500名奖励</t>
  </si>
  <si>
    <t>竞技场排名501~1000名奖励</t>
  </si>
  <si>
    <t>竞技场排名1001~2000名奖励</t>
  </si>
  <si>
    <t>竞技场排名2001~4000名奖励</t>
  </si>
  <si>
    <t>竞技场排名4001~6000名奖励</t>
  </si>
  <si>
    <t>竞技场排名6001~10000名奖励</t>
  </si>
  <si>
    <t>金币日常1</t>
  </si>
  <si>
    <t>金币日常2</t>
  </si>
  <si>
    <t>金币日常3</t>
  </si>
  <si>
    <t>金币日常4</t>
  </si>
  <si>
    <t>金币日常5</t>
  </si>
  <si>
    <t>金币日常6</t>
  </si>
  <si>
    <t>金币日常7</t>
  </si>
  <si>
    <t>金币日常8</t>
  </si>
  <si>
    <t>金币日常9</t>
  </si>
  <si>
    <t>金币日常10</t>
  </si>
  <si>
    <t>金币日常11</t>
  </si>
  <si>
    <t>4|1|550000|1</t>
  </si>
  <si>
    <t>金币日常12</t>
  </si>
  <si>
    <t>金币日常13</t>
  </si>
  <si>
    <t>4|1|650000|1</t>
  </si>
  <si>
    <t>金币日常14</t>
  </si>
  <si>
    <t>金币日常15</t>
  </si>
  <si>
    <t>4|1|750000|1</t>
  </si>
  <si>
    <t>金币日常16</t>
  </si>
  <si>
    <t>金币日常17</t>
  </si>
  <si>
    <t>4|1|850000|1</t>
  </si>
  <si>
    <t>金币日常18</t>
  </si>
  <si>
    <t>4|1|900000|1</t>
  </si>
  <si>
    <t>金币日常19</t>
  </si>
  <si>
    <t>4|1|950000|1</t>
  </si>
  <si>
    <t>金币日常20</t>
  </si>
  <si>
    <t>金币日常21</t>
  </si>
  <si>
    <t>4|1|1050000|1</t>
  </si>
  <si>
    <t>金币日常22</t>
  </si>
  <si>
    <t>4|1|1100000|1</t>
  </si>
  <si>
    <t>金币日常23</t>
  </si>
  <si>
    <t>4|1|1150000|1</t>
  </si>
  <si>
    <t>金币日常24</t>
  </si>
  <si>
    <t>4|1|1200000|1</t>
  </si>
  <si>
    <t>金币日常首次通关奖励1</t>
  </si>
  <si>
    <t>金币日常首次通关奖励2</t>
  </si>
  <si>
    <t>金币日常首次通关奖励3</t>
  </si>
  <si>
    <t>金币日常首次通关奖励4</t>
  </si>
  <si>
    <t>金币日常首次通关奖励5</t>
  </si>
  <si>
    <t>金币日常首次通关奖励6</t>
  </si>
  <si>
    <t>金币日常首次通关奖励7</t>
  </si>
  <si>
    <t>金币日常首次通关奖励8</t>
  </si>
  <si>
    <t>金币日常首次通关奖励9</t>
  </si>
  <si>
    <t>金币日常首次通关奖励10</t>
  </si>
  <si>
    <t>金币日常首次通关奖励11</t>
  </si>
  <si>
    <t>金币日常首次通关奖励12</t>
  </si>
  <si>
    <t>金币日常首次通关奖励13</t>
  </si>
  <si>
    <t>4|1|1300000|1</t>
  </si>
  <si>
    <t>金币日常首次通关奖励14</t>
  </si>
  <si>
    <t>4|1|1400000|1</t>
  </si>
  <si>
    <t>金币日常首次通关奖励15</t>
  </si>
  <si>
    <t>金币日常首次通关奖励16</t>
  </si>
  <si>
    <t>4|1|1600000|1</t>
  </si>
  <si>
    <t>金币日常首次通关奖励17</t>
  </si>
  <si>
    <t>4|1|1700000|1</t>
  </si>
  <si>
    <t>金币日常首次通关奖励18</t>
  </si>
  <si>
    <t>4|1|1800000|1</t>
  </si>
  <si>
    <t>金币日常首次通关奖励19</t>
  </si>
  <si>
    <t>4|1|1900000|1</t>
  </si>
  <si>
    <t>金币日常首次通关奖励20</t>
  </si>
  <si>
    <t>金币日常首次通关奖励21</t>
  </si>
  <si>
    <t>4|1|2100000|1</t>
  </si>
  <si>
    <t>金币日常首次通关奖励22</t>
  </si>
  <si>
    <t>4|1|2200000|1</t>
  </si>
  <si>
    <t>金币日常首次通关奖励23</t>
  </si>
  <si>
    <t>4|1|2300000|1</t>
  </si>
  <si>
    <t>金币日常首次通关奖励24</t>
  </si>
  <si>
    <t>4|1|2400000|1</t>
  </si>
  <si>
    <t>伙伴经验丹日常1</t>
  </si>
  <si>
    <t>1|14002|20|1</t>
  </si>
  <si>
    <t>伙伴经验丹日常2</t>
  </si>
  <si>
    <t>伙伴经验丹日常3</t>
  </si>
  <si>
    <t>1|14002|40|1</t>
  </si>
  <si>
    <t>伙伴经验丹日常4</t>
  </si>
  <si>
    <t>伙伴经验丹日常5</t>
  </si>
  <si>
    <t>1|14003|20|1</t>
  </si>
  <si>
    <t>伙伴经验丹日常6</t>
  </si>
  <si>
    <t>1|14003|22|1</t>
  </si>
  <si>
    <t>伙伴经验丹日常7</t>
  </si>
  <si>
    <t>1|14003|24|1</t>
  </si>
  <si>
    <t>伙伴经验丹日常8</t>
  </si>
  <si>
    <t>1|14003|26|1</t>
  </si>
  <si>
    <t>伙伴经验丹日常9</t>
  </si>
  <si>
    <t>1|14003|28|1</t>
  </si>
  <si>
    <t>伙伴经验丹日常10</t>
  </si>
  <si>
    <t>1|14003|30|1</t>
  </si>
  <si>
    <t>伙伴经验丹日常11</t>
  </si>
  <si>
    <t>1|14003|32|1</t>
  </si>
  <si>
    <t>伙伴经验丹日常12</t>
  </si>
  <si>
    <t>1|14003|34|1</t>
  </si>
  <si>
    <t>伙伴经验丹日常13</t>
  </si>
  <si>
    <t>1|14003|36|1</t>
  </si>
  <si>
    <t>伙伴经验丹日常14</t>
  </si>
  <si>
    <t>1|14003|38|1</t>
  </si>
  <si>
    <t>伙伴经验丹日常15</t>
  </si>
  <si>
    <t>1|14003|40|1</t>
  </si>
  <si>
    <t>伙伴经验丹日常16</t>
  </si>
  <si>
    <t>1|14003|42|1</t>
  </si>
  <si>
    <t>伙伴经验丹日常17</t>
  </si>
  <si>
    <t>1|14003|44|1</t>
  </si>
  <si>
    <t>伙伴经验丹日常18</t>
  </si>
  <si>
    <t>1|14003|46|1</t>
  </si>
  <si>
    <t>伙伴经验丹日常19</t>
  </si>
  <si>
    <t>1|14003|48|1</t>
  </si>
  <si>
    <t>伙伴经验丹日常20</t>
  </si>
  <si>
    <t>伙伴经验丹日常21</t>
  </si>
  <si>
    <t>1|14003|52|1</t>
  </si>
  <si>
    <t>伙伴经验丹日常22</t>
  </si>
  <si>
    <t>1|14003|54|1</t>
  </si>
  <si>
    <t>伙伴经验丹日常23</t>
  </si>
  <si>
    <t>1|14003|56|1</t>
  </si>
  <si>
    <t>伙伴经验丹日常24</t>
  </si>
  <si>
    <t>1|14003|58|1</t>
  </si>
  <si>
    <t>伙伴经验丹日常首次通关奖励1</t>
  </si>
  <si>
    <t>伙伴经验丹日常首次通关奖励2</t>
  </si>
  <si>
    <t>1|14002|60|1</t>
  </si>
  <si>
    <t>伙伴经验丹日常首次通关奖励3</t>
  </si>
  <si>
    <t>1|14002|80|1</t>
  </si>
  <si>
    <t>伙伴经验丹日常首次通关奖励4</t>
  </si>
  <si>
    <t>1|14002|100|1</t>
  </si>
  <si>
    <t>伙伴经验丹日常首次通关奖励5</t>
  </si>
  <si>
    <t>伙伴经验丹日常首次通关奖励6</t>
  </si>
  <si>
    <t>1|14003|25|1</t>
  </si>
  <si>
    <t>伙伴经验丹日常首次通关奖励7</t>
  </si>
  <si>
    <t>伙伴经验丹日常首次通关奖励8</t>
  </si>
  <si>
    <t>1|14003|35|1</t>
  </si>
  <si>
    <t>伙伴经验丹日常首次通关奖励9</t>
  </si>
  <si>
    <t>伙伴经验丹日常首次通关奖励10</t>
  </si>
  <si>
    <t>1|14003|45|1</t>
  </si>
  <si>
    <t>伙伴经验丹日常首次通关奖励11</t>
  </si>
  <si>
    <t>伙伴经验丹日常首次通关奖励12</t>
  </si>
  <si>
    <t>1|14003|55|1</t>
  </si>
  <si>
    <t>1|14003|60|1</t>
  </si>
  <si>
    <t>1|14003|65|1</t>
  </si>
  <si>
    <t>1|14003|70|1</t>
  </si>
  <si>
    <t>1|14003|75|1</t>
  </si>
  <si>
    <t>1|14003|80|1</t>
  </si>
  <si>
    <t>1|14003|85|1</t>
  </si>
  <si>
    <t>1|14003|90|1</t>
  </si>
  <si>
    <t>1|14003|95|1</t>
  </si>
  <si>
    <t>1|14003|100|1</t>
  </si>
  <si>
    <t>伙伴进阶丹日常1</t>
  </si>
  <si>
    <t>伙伴进阶丹日常2</t>
  </si>
  <si>
    <t>伙伴进阶丹日常3</t>
  </si>
  <si>
    <t>伙伴进阶丹日常4</t>
  </si>
  <si>
    <t>伙伴进阶丹日常5</t>
  </si>
  <si>
    <t>1|14107|120|1</t>
  </si>
  <si>
    <t>伙伴进阶丹日常6</t>
  </si>
  <si>
    <t>1|14107|140|1</t>
  </si>
  <si>
    <t>伙伴进阶丹日常7</t>
  </si>
  <si>
    <t>1|14107|160|1</t>
  </si>
  <si>
    <t>伙伴进阶丹日常8</t>
  </si>
  <si>
    <t>1|14107|180|1</t>
  </si>
  <si>
    <t>伙伴进阶丹日常9</t>
  </si>
  <si>
    <t>伙伴进阶丹日常10</t>
  </si>
  <si>
    <t>1|14107|220|1</t>
  </si>
  <si>
    <t>伙伴进阶丹日常11</t>
  </si>
  <si>
    <t>1|14107|240|1</t>
  </si>
  <si>
    <t>伙伴进阶丹日常12</t>
  </si>
  <si>
    <t>1|14107|260|1</t>
  </si>
  <si>
    <t>伙伴进阶丹日常13</t>
  </si>
  <si>
    <t>1|14107|280|1</t>
  </si>
  <si>
    <t>伙伴进阶丹日常14</t>
  </si>
  <si>
    <t>伙伴进阶丹日常15</t>
  </si>
  <si>
    <t>1|14107|320|1</t>
  </si>
  <si>
    <t>伙伴进阶丹日常16</t>
  </si>
  <si>
    <t>1|14107|340|1</t>
  </si>
  <si>
    <t>伙伴进阶丹日常17</t>
  </si>
  <si>
    <t>1|14107|360|1</t>
  </si>
  <si>
    <t>伙伴进阶丹日常18</t>
  </si>
  <si>
    <t>1|14107|380|1</t>
  </si>
  <si>
    <t>伙伴进阶丹日常19</t>
  </si>
  <si>
    <t>伙伴进阶丹日常20</t>
  </si>
  <si>
    <t>1|14107|420|1</t>
  </si>
  <si>
    <t>伙伴进阶丹日常21</t>
  </si>
  <si>
    <t>1|14107|440|1</t>
  </si>
  <si>
    <t>伙伴进阶丹日常22</t>
  </si>
  <si>
    <t>1|14107|460|1</t>
  </si>
  <si>
    <t>伙伴进阶丹日常23</t>
  </si>
  <si>
    <t>1|14107|480|1</t>
  </si>
  <si>
    <t>伙伴进阶丹日常24</t>
  </si>
  <si>
    <t>进阶日常首次通关奖励1</t>
  </si>
  <si>
    <t>进阶日常首次通关奖励2</t>
  </si>
  <si>
    <t>进阶日常首次通关奖励3</t>
  </si>
  <si>
    <t>进阶日常首次通关奖励4</t>
  </si>
  <si>
    <t>进阶日常首次通关奖励5</t>
  </si>
  <si>
    <t>进阶日常首次通关奖励6</t>
  </si>
  <si>
    <t>进阶日常首次通关奖励7</t>
  </si>
  <si>
    <t>进阶日常首次通关奖励8</t>
  </si>
  <si>
    <t>进阶日常首次通关奖励9</t>
  </si>
  <si>
    <t>进阶日常首次通关奖励10</t>
  </si>
  <si>
    <t>进阶日常首次通关奖励11</t>
  </si>
  <si>
    <t>进阶日常首次通关奖励12</t>
  </si>
  <si>
    <t>进阶日常首次通关奖励13</t>
  </si>
  <si>
    <t>进阶日常首次通关奖励14</t>
  </si>
  <si>
    <t>进阶日常首次通关奖励15</t>
  </si>
  <si>
    <t>进阶日常首次通关奖励16</t>
  </si>
  <si>
    <t>进阶日常首次通关奖励17</t>
  </si>
  <si>
    <t>进阶日常首次通关奖励18</t>
  </si>
  <si>
    <t>进阶日常首次通关奖励19</t>
  </si>
  <si>
    <t>进阶日常首次通关奖励20</t>
  </si>
  <si>
    <t>进阶日常首次通关奖励21</t>
  </si>
  <si>
    <t>进阶日常首次通关奖励22</t>
  </si>
  <si>
    <t>进阶日常首次通关奖励23</t>
  </si>
  <si>
    <t>进阶日常首次通关奖励24</t>
  </si>
  <si>
    <t>日常副本掉落-装备普通精炼石1</t>
  </si>
  <si>
    <t>1|16005|80|1</t>
  </si>
  <si>
    <t>日常副本掉落-装备普通精炼石2</t>
  </si>
  <si>
    <t>日常副本掉落-装备普通精炼石3</t>
  </si>
  <si>
    <t>1|16005|120|1</t>
  </si>
  <si>
    <t>日常副本掉落-装备普通精炼石4</t>
  </si>
  <si>
    <t>1|16005|140|1</t>
  </si>
  <si>
    <t>日常副本掉落-装备普通精炼石5</t>
  </si>
  <si>
    <t>1|16005|160|1</t>
  </si>
  <si>
    <t>日常副本掉落-装备普通精炼石6</t>
  </si>
  <si>
    <t>1|16005|180|1</t>
  </si>
  <si>
    <t>日常副本掉落-装备普通精炼石7</t>
  </si>
  <si>
    <t>日常副本掉落-装备普通精炼石8</t>
  </si>
  <si>
    <t>1|16005|220|1</t>
  </si>
  <si>
    <t>日常副本掉落-装备普通精炼石9</t>
  </si>
  <si>
    <t>1|16005|240|1</t>
  </si>
  <si>
    <t>日常副本掉落-装备普通精炼石10</t>
  </si>
  <si>
    <t>1|16005|260|1</t>
  </si>
  <si>
    <t>日常副本掉落-装备普通精炼石11</t>
  </si>
  <si>
    <t>1|16005|280|1</t>
  </si>
  <si>
    <t>日常副本掉落-装备普通精炼石12</t>
  </si>
  <si>
    <t>1|16005|300|1</t>
  </si>
  <si>
    <t>日常副本掉落-装备普通精炼石13</t>
  </si>
  <si>
    <t>1|16005|320|1</t>
  </si>
  <si>
    <t>日常副本掉落-装备普通精炼石14</t>
  </si>
  <si>
    <t>1|16005|340|1</t>
  </si>
  <si>
    <t>日常副本掉落-装备普通精炼石15</t>
  </si>
  <si>
    <t>1|16005|360|1</t>
  </si>
  <si>
    <t>日常副本掉落-装备普通精炼石16</t>
  </si>
  <si>
    <t>1|16005|380|1</t>
  </si>
  <si>
    <t>日常副本掉落-装备普通精炼石17</t>
  </si>
  <si>
    <t>1|16005|400|1</t>
  </si>
  <si>
    <t>日常副本掉落-装备普通精炼石18</t>
  </si>
  <si>
    <t>1|16005|420|1</t>
  </si>
  <si>
    <t>日常副本掉落-装备普通精炼石19</t>
  </si>
  <si>
    <t>1|16005|440|1</t>
  </si>
  <si>
    <t>日常副本掉落-装备普通精炼石20</t>
  </si>
  <si>
    <t>1|16005|460|1</t>
  </si>
  <si>
    <t>日常副本掉落-装备专属精炼石1</t>
  </si>
  <si>
    <t>1|16001|0|1,1|16002|0|1,1|16003|0|1,1|16004|0|1,1|16001|1|1,1|16002|1|1,1|16003|1|1,1|16004|1|1</t>
  </si>
  <si>
    <t>日常副本掉落-装备专属精炼石2</t>
  </si>
  <si>
    <t>日常副本掉落-装备专属精炼石3</t>
  </si>
  <si>
    <t>1|16001|1|1,1|16002|1|1,1|16003|1|1,1|16004|1|1,1|16001|2|1,1|16002|2|1,1|16003|2|1,1|16004|2|1</t>
  </si>
  <si>
    <t>日常副本掉落-装备专属精炼石4</t>
  </si>
  <si>
    <t>1|16001|2|1,1|16002|2|1,1|16003|2|1,1|16004|2|1</t>
  </si>
  <si>
    <t>日常副本掉落-装备专属精炼石5</t>
  </si>
  <si>
    <t>1|16001|2|1,1|16002|2|1,1|16003|2|1,1|16004|2|1,1|16001|3|1,1|16002|3|1,1|16003|3|1,1|16004|3|1</t>
  </si>
  <si>
    <t>日常副本掉落-装备专属精炼石6</t>
  </si>
  <si>
    <t>1|16001|3|1,1|16002|3|1,1|16003|3|1,1|16004|3|1</t>
  </si>
  <si>
    <t>日常副本掉落-装备专属精炼石7</t>
  </si>
  <si>
    <t>1|16001|3|1,1|16002|3|1,1|16003|3|1,1|16004|3|1,1|16001|4|1,1|16002|4|1,1|16003|4|1,1|16004|4|1</t>
  </si>
  <si>
    <t>日常副本掉落-装备专属精炼石8</t>
  </si>
  <si>
    <t>1|16001|4|1,1|16002|4|1,1|16003|4|1,1|16004|4|1</t>
  </si>
  <si>
    <t>日常副本掉落-装备专属精炼石9</t>
  </si>
  <si>
    <t>1|16001|4|1,1|16002|4|1,1|16003|4|1,1|16004|4|1,1|16001|5|1,1|16002|5|1,1|16003|5|1,1|16004|5|1</t>
  </si>
  <si>
    <t>日常副本掉落-装备专属精炼石10</t>
  </si>
  <si>
    <t>1|16001|5|1,1|16002|5|1,1|16003|5|1,1|16004|5|1</t>
  </si>
  <si>
    <t>日常副本掉落-装备专属精炼石11</t>
  </si>
  <si>
    <t>1|16001|5|1,1|16002|5|1,1|16003|5|1,1|16004|5|1,1|16001|6|1,1|16002|6|1,1|16003|6|1,1|16004|6|1</t>
  </si>
  <si>
    <t>日常副本掉落-装备专属精炼石12</t>
  </si>
  <si>
    <t>1|16001|6|1,1|16002|6|1,1|16003|6|1,1|16004|6|1</t>
  </si>
  <si>
    <t>日常副本掉落-装备专属精炼石13</t>
  </si>
  <si>
    <t>1|16001|6|1,1|16002|6|1,1|16003|6|1,1|16004|6|1,1|16001|7|1,1|16002|7|1,1|16003|7|1,1|16004|7|1</t>
  </si>
  <si>
    <t>日常副本掉落-装备专属精炼石14</t>
  </si>
  <si>
    <t>1|16001|7|1,1|16002|7|1,1|16003|7|1,1|16004|7|1</t>
  </si>
  <si>
    <t>日常副本掉落-装备专属精炼石15</t>
  </si>
  <si>
    <t>1|16001|7|1,1|16002|7|1,1|16003|7|1,1|16004|7|1,1|16001|8|1,1|16002|8|1,1|16003|8|1,1|16004|8|1</t>
  </si>
  <si>
    <t>日常副本掉落-装备专属精炼石16</t>
  </si>
  <si>
    <t>1|16001|8|1,1|16002|8|1,1|16003|8|1,1|16004|8|1</t>
  </si>
  <si>
    <t>日常副本掉落-装备专属精炼石17</t>
  </si>
  <si>
    <t>1|16001|8|1,1|16002|8|1,1|16003|8|1,1|16004|8|1,1|16001|9|1,1|16002|9|1,1|16003|9|1,1|16004|9|1</t>
  </si>
  <si>
    <t>日常副本掉落-装备专属精炼石18</t>
  </si>
  <si>
    <t>1|16001|9|1,1|16002|9|1,1|16003|9|1,1|16004|9|1</t>
  </si>
  <si>
    <t>日常副本掉落-装备专属精炼石19</t>
  </si>
  <si>
    <t>1|16001|9|1,1|16002|9|1,1|16003|9|1,1|16004|9|1,1|16001|10|1,1|16002|10|1,1|16003|10|1,1|16004|10|1</t>
  </si>
  <si>
    <t>日常副本掉落-装备专属精炼石20</t>
  </si>
  <si>
    <t>1|16001|10|1,1|16002|10|1,1|16003|10|1,1|16004|10|1</t>
  </si>
  <si>
    <t>日常副本掉落-装备核心精炼石1</t>
  </si>
  <si>
    <t>1|16006|0|80,1|16006|1|20</t>
  </si>
  <si>
    <t>日常副本掉落-装备核心精炼石2</t>
  </si>
  <si>
    <t>1|16006|0|60,1|16006|1|40</t>
  </si>
  <si>
    <t>日常副本掉落-装备核心精炼石3</t>
  </si>
  <si>
    <t>1|16006|0|40,1|16006|1|60</t>
  </si>
  <si>
    <t>日常副本掉落-装备核心精炼石4</t>
  </si>
  <si>
    <t>1|16006|0|20,1|16006|1|80</t>
  </si>
  <si>
    <t>日常副本掉落-装备核心精炼石5</t>
  </si>
  <si>
    <t>1|16006|1|1</t>
  </si>
  <si>
    <t>日常副本掉落-装备核心精炼石6</t>
  </si>
  <si>
    <t>1|16006|1|80,1|16006|2|20</t>
  </si>
  <si>
    <t>日常副本掉落-装备核心精炼石7</t>
  </si>
  <si>
    <t>1|16006|1|60,1|16006|2|40</t>
  </si>
  <si>
    <t>日常副本掉落-装备核心精炼石8</t>
  </si>
  <si>
    <t>1|16006|1|40,1|16006|2|60</t>
  </si>
  <si>
    <t>日常副本掉落-装备核心精炼石9</t>
  </si>
  <si>
    <t>1|16006|1|20,1|16006|2|80</t>
  </si>
  <si>
    <t>日常副本掉落-装备核心精炼石10</t>
  </si>
  <si>
    <t>1|16006|2|1</t>
  </si>
  <si>
    <t>日常副本掉落-装备核心精炼石11</t>
  </si>
  <si>
    <t>1|16006|2|80,1|16006|3|20</t>
  </si>
  <si>
    <t>日常副本掉落-装备核心精炼石12</t>
  </si>
  <si>
    <t>1|16006|2|60,1|16006|3|40</t>
  </si>
  <si>
    <t>日常副本掉落-装备核心精炼石13</t>
  </si>
  <si>
    <t>1|16006|2|40,1|16006|3|60</t>
  </si>
  <si>
    <t>日常副本掉落-装备核心精炼石14</t>
  </si>
  <si>
    <t>1|16006|2|20,1|16006|3|80</t>
  </si>
  <si>
    <t>日常副本掉落-装备核心精炼石15</t>
  </si>
  <si>
    <t>1|16006|3|1</t>
  </si>
  <si>
    <t>日常副本掉落-装备核心精炼石16</t>
  </si>
  <si>
    <t>1|16006|3|80,1|16006|4|20</t>
  </si>
  <si>
    <t>日常副本掉落-装备核心精炼石17</t>
  </si>
  <si>
    <t>1|16006|3|60,1|16006|4|40</t>
  </si>
  <si>
    <t>日常副本掉落-装备核心精炼石18</t>
  </si>
  <si>
    <t>1|16006|3|40,1|16006|4|60</t>
  </si>
  <si>
    <t>日常副本掉落-装备核心精炼石19</t>
  </si>
  <si>
    <t>1|16006|3|20,1|16006|4|80</t>
  </si>
  <si>
    <t>日常副本掉落-装备核心精炼石20</t>
  </si>
  <si>
    <t>1|16006|4|1</t>
  </si>
  <si>
    <t>装备精炼日常首次通关奖励1</t>
  </si>
  <si>
    <t>装备精炼日常首次通关奖励2</t>
  </si>
  <si>
    <t>装备精炼日常首次通关奖励3</t>
  </si>
  <si>
    <t>装备精炼日常首次通关奖励4</t>
  </si>
  <si>
    <t>装备精炼日常首次通关奖励5</t>
  </si>
  <si>
    <t>1|16005|480|1</t>
  </si>
  <si>
    <t>装备精炼日常首次通关奖励6</t>
  </si>
  <si>
    <t>1|16005|540|1</t>
  </si>
  <si>
    <t>装备精炼日常首次通关奖励7</t>
  </si>
  <si>
    <t>1|16005|600|1</t>
  </si>
  <si>
    <t>装备精炼日常首次通关奖励8</t>
  </si>
  <si>
    <t>1|16005|660|1</t>
  </si>
  <si>
    <t>装备精炼日常首次通关奖励9</t>
  </si>
  <si>
    <t>1|16005|720|1</t>
  </si>
  <si>
    <t>装备精炼日常首次通关奖励10</t>
  </si>
  <si>
    <t>1|16005|780|1</t>
  </si>
  <si>
    <t>装备精炼日常首次通关奖励11</t>
  </si>
  <si>
    <t>1|16005|840|1</t>
  </si>
  <si>
    <t>装备精炼日常首次通关奖励12</t>
  </si>
  <si>
    <t>1|16005|900|1</t>
  </si>
  <si>
    <t>装备精炼日常首次通关奖励13</t>
  </si>
  <si>
    <t>1|16005|960|1</t>
  </si>
  <si>
    <t>装备精炼日常首次通关奖励14</t>
  </si>
  <si>
    <t>1|16005|1020|1</t>
  </si>
  <si>
    <t>装备精炼日常首次通关奖励15</t>
  </si>
  <si>
    <t>1|16005|1080|1</t>
  </si>
  <si>
    <t>装备精炼日常首次通关奖励16</t>
  </si>
  <si>
    <t>1|16005|1140|1</t>
  </si>
  <si>
    <t>装备精炼日常首次通关奖励17</t>
  </si>
  <si>
    <t>1|16005|1200|1</t>
  </si>
  <si>
    <t>装备精炼日常首次通关奖励18</t>
  </si>
  <si>
    <t>1|16005|1260|1</t>
  </si>
  <si>
    <t>装备精炼日常首次通关奖励19</t>
  </si>
  <si>
    <t>1|16005|1320|1</t>
  </si>
  <si>
    <t>装备精炼日常首次通关奖励20</t>
  </si>
  <si>
    <t>1|16005|1380|1</t>
  </si>
  <si>
    <t>技能卷轴日常1</t>
  </si>
  <si>
    <t>1|14104|40|1</t>
  </si>
  <si>
    <t>技能卷轴日常2</t>
  </si>
  <si>
    <t>技能卷轴日常3</t>
  </si>
  <si>
    <t>1|14104|60|1</t>
  </si>
  <si>
    <t>技能卷轴日常4</t>
  </si>
  <si>
    <t>1|14104|70|1</t>
  </si>
  <si>
    <t>技能卷轴日常5</t>
  </si>
  <si>
    <t>1|14104|80|1</t>
  </si>
  <si>
    <t>技能卷轴日常6</t>
  </si>
  <si>
    <t>1|14104|90|1</t>
  </si>
  <si>
    <t>技能卷轴日常7</t>
  </si>
  <si>
    <t>技能卷轴日常8</t>
  </si>
  <si>
    <t>1|14104|110|1</t>
  </si>
  <si>
    <t>技能卷轴日常9</t>
  </si>
  <si>
    <t>1|14104|120|1</t>
  </si>
  <si>
    <t>技能卷轴日常10</t>
  </si>
  <si>
    <t>1|14104|130|1</t>
  </si>
  <si>
    <t>技能卷轴日常11</t>
  </si>
  <si>
    <t>1|14104|140|1</t>
  </si>
  <si>
    <t>技能卷轴日常12</t>
  </si>
  <si>
    <t>技能卷轴日常13</t>
  </si>
  <si>
    <t>1|14104|160|1</t>
  </si>
  <si>
    <t>技能卷轴日常14</t>
  </si>
  <si>
    <t>1|14104|170|1</t>
  </si>
  <si>
    <t>技能卷轴日常15</t>
  </si>
  <si>
    <t>1|14104|180|1</t>
  </si>
  <si>
    <t>技能卷轴日常16</t>
  </si>
  <si>
    <t>1|14104|190|1</t>
  </si>
  <si>
    <t>技能卷轴日常17</t>
  </si>
  <si>
    <t>技能卷轴日常18</t>
  </si>
  <si>
    <t>1|14104|210|1</t>
  </si>
  <si>
    <t>技能卷轴日常19</t>
  </si>
  <si>
    <t>1|14104|220|1</t>
  </si>
  <si>
    <t>技能卷轴日常20</t>
  </si>
  <si>
    <t>1|14104|230|1</t>
  </si>
  <si>
    <t>技能卷轴日常21</t>
  </si>
  <si>
    <t>1|14104|240|1</t>
  </si>
  <si>
    <t>技能卷轴日常22</t>
  </si>
  <si>
    <t>1|14104|260|1</t>
  </si>
  <si>
    <t>1|14104|270|1</t>
  </si>
  <si>
    <t>技能卷轴日常首次通关奖励1</t>
  </si>
  <si>
    <t>技能卷轴日常首次通关奖励2</t>
  </si>
  <si>
    <t>技能卷轴日常首次通关奖励3</t>
  </si>
  <si>
    <t>技能卷轴日常首次通关奖励4</t>
  </si>
  <si>
    <t>技能卷轴日常首次通关奖励5</t>
  </si>
  <si>
    <t>技能卷轴日常首次通关奖励6</t>
  </si>
  <si>
    <t>技能卷轴日常首次通关奖励7</t>
  </si>
  <si>
    <t>1|14104|300|1</t>
  </si>
  <si>
    <t>技能卷轴日常首次通关奖励8</t>
  </si>
  <si>
    <t>1|14104|330|1</t>
  </si>
  <si>
    <t>技能卷轴日常首次通关奖励9</t>
  </si>
  <si>
    <t>1|14104|360|1</t>
  </si>
  <si>
    <t>技能卷轴日常首次通关奖励10</t>
  </si>
  <si>
    <t>1|14104|390|1</t>
  </si>
  <si>
    <t>技能卷轴日常首次通关奖励11</t>
  </si>
  <si>
    <t>1|14104|420|1</t>
  </si>
  <si>
    <t>技能卷轴日常首次通关奖励12</t>
  </si>
  <si>
    <t>1|14104|450|1</t>
  </si>
  <si>
    <t>技能卷轴日常首次通关奖励13</t>
  </si>
  <si>
    <t>1|14104|480|1</t>
  </si>
  <si>
    <t>技能卷轴日常首次通关奖励14</t>
  </si>
  <si>
    <t>1|14104|510|1</t>
  </si>
  <si>
    <t>技能卷轴日常首次通关奖励15</t>
  </si>
  <si>
    <t>1|14104|540|1</t>
  </si>
  <si>
    <t>技能卷轴日常首次通关奖励16</t>
  </si>
  <si>
    <t>1|14104|570|1</t>
  </si>
  <si>
    <t>技能卷轴日常首次通关奖励17</t>
  </si>
  <si>
    <t>1|14104|600|1</t>
  </si>
  <si>
    <t>技能卷轴日常首次通关奖励18</t>
  </si>
  <si>
    <t>1|14104|630|1</t>
  </si>
  <si>
    <t>技能卷轴日常首次通关奖励19</t>
  </si>
  <si>
    <t>1|14104|660|1</t>
  </si>
  <si>
    <t>技能卷轴日常首次通关奖励20</t>
  </si>
  <si>
    <t>1|14104|690|1</t>
  </si>
  <si>
    <t>技能卷轴日常首次通关奖励21</t>
  </si>
  <si>
    <t>1|14104|720|1</t>
  </si>
  <si>
    <t>技能卷轴日常首次通关奖励22</t>
  </si>
  <si>
    <t>技能卷轴日常首次通关奖励23</t>
  </si>
  <si>
    <t>1|14104|780|1</t>
  </si>
  <si>
    <t>技能卷轴日常首次通关奖励24</t>
  </si>
  <si>
    <t>1|14104|810|1</t>
  </si>
  <si>
    <t>宝物经验日常1</t>
  </si>
  <si>
    <t>宝物经验日常2</t>
  </si>
  <si>
    <t>6|4502|1|5,6|4502|2|5</t>
  </si>
  <si>
    <t>宝物经验日常3</t>
  </si>
  <si>
    <t>宝物经验日常4</t>
  </si>
  <si>
    <t>6|4502|2|5,6|4502|3|5</t>
  </si>
  <si>
    <t>宝物经验日常5</t>
  </si>
  <si>
    <t>宝物经验日常6</t>
  </si>
  <si>
    <t>6|4502|3|5,6|4502|4|5</t>
  </si>
  <si>
    <t>宝物经验日常7</t>
  </si>
  <si>
    <t>宝物经验日常8</t>
  </si>
  <si>
    <t>6|4502|4|5,6|4502|5|5</t>
  </si>
  <si>
    <t>宝物经验日常9</t>
  </si>
  <si>
    <t>宝物经验日常10</t>
  </si>
  <si>
    <t>6|4502|5|5,6|4502|6|5</t>
  </si>
  <si>
    <t>宝物经验日常11</t>
  </si>
  <si>
    <t>宝物经验日常12</t>
  </si>
  <si>
    <t>6|4502|6|5,6|4502|7|5</t>
  </si>
  <si>
    <t>宝物经验日常13</t>
  </si>
  <si>
    <t>宝物经验日常14</t>
  </si>
  <si>
    <t>6|4502|7|5,6|4502|8|5</t>
  </si>
  <si>
    <t>宝物经验日常15</t>
  </si>
  <si>
    <t>6|4502|8|1</t>
  </si>
  <si>
    <t>宝物经验日常16</t>
  </si>
  <si>
    <t>6|4502|8|5,6|4502|9|5</t>
  </si>
  <si>
    <t>宝物经验日常17</t>
  </si>
  <si>
    <t>6|4502|9|1</t>
  </si>
  <si>
    <t>宝物经验日常18</t>
  </si>
  <si>
    <t>6|4502|9|5,6|4502|10|5</t>
  </si>
  <si>
    <t>宝物经验日常19</t>
  </si>
  <si>
    <t>6|4502|10|1</t>
  </si>
  <si>
    <t>宝物经验日常20</t>
  </si>
  <si>
    <t>6|4502|10|5,6|4502|11|5</t>
  </si>
  <si>
    <t>宝物经验日常21</t>
  </si>
  <si>
    <t>6|4502|11|1</t>
  </si>
  <si>
    <t>宝物经验日常22</t>
  </si>
  <si>
    <t>6|4502|11|5,6|4502|12|5</t>
  </si>
  <si>
    <t>宝物经验日常首次通关奖励1</t>
  </si>
  <si>
    <t>宝物经验日常首次通关奖励2</t>
  </si>
  <si>
    <t>宝物经验日常首次通关奖励3</t>
  </si>
  <si>
    <t>宝物经验日常首次通关奖励4</t>
  </si>
  <si>
    <t>宝物经验日常首次通关奖励5</t>
  </si>
  <si>
    <t>宝物经验日常首次通关奖励6</t>
  </si>
  <si>
    <t>宝物经验日常首次通关奖励7</t>
  </si>
  <si>
    <t>宝物经验日常首次通关奖励8</t>
  </si>
  <si>
    <t>宝物经验日常首次通关奖励9</t>
  </si>
  <si>
    <t>宝物经验日常首次通关奖励10</t>
  </si>
  <si>
    <t>宝物经验日常首次通关奖励11</t>
  </si>
  <si>
    <t>6|4502|12|1</t>
  </si>
  <si>
    <t>宝物经验日常首次通关奖励12</t>
  </si>
  <si>
    <t>6|4502|13|1</t>
  </si>
  <si>
    <t>宝物经验日常首次通关奖励13</t>
  </si>
  <si>
    <t>6|4502|14|1</t>
  </si>
  <si>
    <t>宝物经验日常首次通关奖励14</t>
  </si>
  <si>
    <t>6|4502|15|1</t>
  </si>
  <si>
    <t>宝物经验日常首次通关奖励15</t>
  </si>
  <si>
    <t>6|4502|16|1</t>
  </si>
  <si>
    <t>宝物经验日常首次通关奖励16</t>
  </si>
  <si>
    <t>6|4502|17|1</t>
  </si>
  <si>
    <t>宝物经验日常首次通关奖励17</t>
  </si>
  <si>
    <t>6|4502|18|1</t>
  </si>
  <si>
    <t>宝物经验日常首次通关奖励18</t>
  </si>
  <si>
    <t>6|4502|19|1</t>
  </si>
  <si>
    <t>宝物经验日常首次通关奖励19</t>
  </si>
  <si>
    <t>6|4502|20|1</t>
  </si>
  <si>
    <t>宝物经验日常首次通关奖励20</t>
  </si>
  <si>
    <t>6|4502|21|1</t>
  </si>
  <si>
    <t>宝物经验日常首次通关奖励21</t>
  </si>
  <si>
    <t>6|4502|22|1</t>
  </si>
  <si>
    <t>宝物经验日常首次通关奖励22</t>
  </si>
  <si>
    <t>6|4502|23|1</t>
  </si>
  <si>
    <t>宝物精炼日常1</t>
  </si>
  <si>
    <t>宝物精炼日常2</t>
  </si>
  <si>
    <t>宝物精炼日常3</t>
  </si>
  <si>
    <t>宝物精炼日常4</t>
  </si>
  <si>
    <t>宝物精炼日常5</t>
  </si>
  <si>
    <t>宝物精炼日常6</t>
  </si>
  <si>
    <t>1|14201|600|1</t>
  </si>
  <si>
    <t>宝物精炼日常7</t>
  </si>
  <si>
    <t>1|14201|700|1</t>
  </si>
  <si>
    <t>宝物精炼日常8</t>
  </si>
  <si>
    <t>1|14201|800|1</t>
  </si>
  <si>
    <t>宝物精炼日常9</t>
  </si>
  <si>
    <t>1|14201|900|1</t>
  </si>
  <si>
    <t>宝物精炼日常10</t>
  </si>
  <si>
    <t>1|14201|1000|1</t>
  </si>
  <si>
    <t>宝物精炼日常11</t>
  </si>
  <si>
    <t>1|14201|1100|1</t>
  </si>
  <si>
    <t>宝物精炼日常12</t>
  </si>
  <si>
    <t>1|14201|1200|1</t>
  </si>
  <si>
    <t>宝物精炼日常13</t>
  </si>
  <si>
    <t>1|14201|1300|1</t>
  </si>
  <si>
    <t>宝物精炼日常14</t>
  </si>
  <si>
    <t>1|14201|1400|1</t>
  </si>
  <si>
    <t>宝物精炼日常15</t>
  </si>
  <si>
    <t>1|14201|1500|1</t>
  </si>
  <si>
    <t>宝物精炼日常16</t>
  </si>
  <si>
    <t>1|14201|1600|1</t>
  </si>
  <si>
    <t>宝物精炼日常17</t>
  </si>
  <si>
    <t>1|14201|1700|1</t>
  </si>
  <si>
    <t>宝物精炼日常18</t>
  </si>
  <si>
    <t>1|14201|1800|1</t>
  </si>
  <si>
    <t>宝物精炼日常19</t>
  </si>
  <si>
    <t>1|14201|1900|1</t>
  </si>
  <si>
    <t>宝物精炼日常20</t>
  </si>
  <si>
    <t>1|14201|2000|1</t>
  </si>
  <si>
    <t>宝物精炼日常首次通关奖励1</t>
  </si>
  <si>
    <t>宝物精炼日常首次通关奖励2</t>
  </si>
  <si>
    <t>宝物精炼日常首次通关奖励3</t>
  </si>
  <si>
    <t>宝物精炼日常首次通关奖励4</t>
  </si>
  <si>
    <t>宝物精炼日常首次通关奖励5</t>
  </si>
  <si>
    <t>1|14201|2500|1</t>
  </si>
  <si>
    <t>宝物精炼日常首次通关奖励6</t>
  </si>
  <si>
    <t>1|14201|3000|1</t>
  </si>
  <si>
    <t>宝物精炼日常首次通关奖励7</t>
  </si>
  <si>
    <t>1|14201|3500|1</t>
  </si>
  <si>
    <t>宝物精炼日常首次通关奖励8</t>
  </si>
  <si>
    <t>1|14201|4000|1</t>
  </si>
  <si>
    <t>宝物精炼日常首次通关奖励9</t>
  </si>
  <si>
    <t>1|14201|4500|1</t>
  </si>
  <si>
    <t>宝物精炼日常首次通关奖励10</t>
  </si>
  <si>
    <t>1|14201|5000|1</t>
  </si>
  <si>
    <t>宝物精炼日常首次通关奖励11</t>
  </si>
  <si>
    <t>1|14201|5500|1</t>
  </si>
  <si>
    <t>宝物精炼日常首次通关奖励12</t>
  </si>
  <si>
    <t>1|14201|6000|1</t>
  </si>
  <si>
    <t>宝物精炼日常首次通关奖励13</t>
  </si>
  <si>
    <t>1|14201|6500|1</t>
  </si>
  <si>
    <t>宝物精炼日常首次通关奖励14</t>
  </si>
  <si>
    <t>1|14201|7000|1</t>
  </si>
  <si>
    <t>宝物精炼日常首次通关奖励15</t>
  </si>
  <si>
    <t>1|14201|7500|1</t>
  </si>
  <si>
    <t>宝物精炼日常首次通关奖励16</t>
  </si>
  <si>
    <t>1|14201|8000|1</t>
  </si>
  <si>
    <t>宝物精炼日常首次通关奖励17</t>
  </si>
  <si>
    <t>1|14201|8500|1</t>
  </si>
  <si>
    <t>宝物精炼日常首次通关奖励18</t>
  </si>
  <si>
    <t>1|14201|9000|1</t>
  </si>
  <si>
    <t>宝物精炼日常首次通关奖励19</t>
  </si>
  <si>
    <t>1|14201|9500|1</t>
  </si>
  <si>
    <t>宝物精炼日常首次通关奖励20</t>
  </si>
  <si>
    <t>1|14201|10000|1</t>
  </si>
  <si>
    <t>主角等级达到15</t>
  </si>
  <si>
    <t>1|10004|80|1</t>
  </si>
  <si>
    <t>主角等级达到20</t>
  </si>
  <si>
    <t>主角等级达到30</t>
  </si>
  <si>
    <t>主角等级达到40</t>
  </si>
  <si>
    <t>主角等级达到50</t>
  </si>
  <si>
    <t>第1天登录领奖</t>
  </si>
  <si>
    <t>3|75131|1|1</t>
  </si>
  <si>
    <t>第2天登录领奖</t>
  </si>
  <si>
    <t>3|75132|1|1</t>
  </si>
  <si>
    <t>第3天登录领奖</t>
  </si>
  <si>
    <t>3|75133|1|1</t>
  </si>
  <si>
    <t>第4天登录领奖</t>
  </si>
  <si>
    <t>3|75134|1|1</t>
  </si>
  <si>
    <t>第5天登录领奖</t>
  </si>
  <si>
    <t>3|75135|1|1</t>
  </si>
  <si>
    <t>第6天登录领奖</t>
  </si>
  <si>
    <t>3|75136|1|1</t>
  </si>
  <si>
    <t>第7天登录领奖</t>
  </si>
  <si>
    <t>3|75137|1|1</t>
  </si>
  <si>
    <t>第1天登录领奖—钻石</t>
  </si>
  <si>
    <t>第2天登录领奖—钻石</t>
  </si>
  <si>
    <t>第3天登录领奖—钻石</t>
  </si>
  <si>
    <t>第4天登录领奖—钻石</t>
  </si>
  <si>
    <t>第5天登录领奖—钻石</t>
  </si>
  <si>
    <t>第6天登录领奖—钻石</t>
  </si>
  <si>
    <t>第7天登录领奖—钻石</t>
  </si>
  <si>
    <t>第1天登录领奖—体力丹</t>
  </si>
  <si>
    <t>第2天登录领奖—橙色灵饰碎片箱子</t>
  </si>
  <si>
    <t>第3天登录领奖—普通装备精炼石</t>
  </si>
  <si>
    <t>第4天登录领奖—技能卷轴</t>
  </si>
  <si>
    <t>1|14104|30|1</t>
  </si>
  <si>
    <t>第5天登录领奖—刷新符</t>
  </si>
  <si>
    <t>1|14102|30|1</t>
  </si>
  <si>
    <t>第6天登录领奖—灵饰精炼石</t>
  </si>
  <si>
    <t>第7天登录领奖—体力药和精力药</t>
  </si>
  <si>
    <t>1|14101|2|1,1|14108|2|1</t>
  </si>
  <si>
    <t>第1天登录豪华大礼</t>
  </si>
  <si>
    <t>1|10002|50|1</t>
  </si>
  <si>
    <t>1|11032|20|1</t>
  </si>
  <si>
    <t>第2天登录豪华大礼</t>
  </si>
  <si>
    <t>1|10021|50|1</t>
  </si>
  <si>
    <t>第3天登录豪华大礼</t>
  </si>
  <si>
    <t>1|10001|50|1</t>
  </si>
  <si>
    <t>1|11029|20|1</t>
  </si>
  <si>
    <t>第4天登录豪华大礼</t>
  </si>
  <si>
    <t>1|10020|50|1</t>
  </si>
  <si>
    <t>第5天登录豪华大礼</t>
  </si>
  <si>
    <t>1|10019|50|1</t>
  </si>
  <si>
    <t>1|11031|20|1</t>
  </si>
  <si>
    <t>第6天登录豪华大礼</t>
  </si>
  <si>
    <t>1|10012|50|1</t>
  </si>
  <si>
    <t>第7天登录豪华大礼</t>
  </si>
  <si>
    <t>1|11030|40|1</t>
  </si>
  <si>
    <t>总战力达到50000</t>
  </si>
  <si>
    <t>总战力达到100000</t>
  </si>
  <si>
    <t>总战力达到200000</t>
  </si>
  <si>
    <t>总战力达到400000</t>
  </si>
  <si>
    <t>总战力达到600000</t>
  </si>
  <si>
    <t>总战力达到800000</t>
  </si>
  <si>
    <t>总战力达到1000000</t>
  </si>
  <si>
    <t>主线副本通关第二章</t>
  </si>
  <si>
    <t>1|14003|2|1</t>
  </si>
  <si>
    <t>主线副本通关第四章</t>
  </si>
  <si>
    <t>1|14003|4|1</t>
  </si>
  <si>
    <t>主线副本通关第六章</t>
  </si>
  <si>
    <t>1|14003|6|1</t>
  </si>
  <si>
    <t>主线副本通关第八章</t>
  </si>
  <si>
    <t>1|14003|8|1</t>
  </si>
  <si>
    <t>主线副本通关第十章</t>
  </si>
  <si>
    <t>1|14003|12|1</t>
  </si>
  <si>
    <t>1|14003|14|1</t>
  </si>
  <si>
    <t>1|14003|16|1</t>
  </si>
  <si>
    <t>1|14003|18|1</t>
  </si>
  <si>
    <t>累计强化装备100次</t>
  </si>
  <si>
    <t>累计强化装备200次</t>
  </si>
  <si>
    <t>累计强化装备300次</t>
  </si>
  <si>
    <t>累计强化装备400次</t>
  </si>
  <si>
    <t>累计强化装备500次</t>
  </si>
  <si>
    <t>累计强化装备600次</t>
  </si>
  <si>
    <t>累计强化装备700次</t>
  </si>
  <si>
    <t>累计强化装备800次</t>
  </si>
  <si>
    <t>4|1|320000|1</t>
  </si>
  <si>
    <t>累计强化装备900次</t>
  </si>
  <si>
    <t>累计强化装备1000次</t>
  </si>
  <si>
    <t>灵台斗法3000名</t>
  </si>
  <si>
    <t>灵台斗法300名</t>
  </si>
  <si>
    <t>灵台斗法200名</t>
  </si>
  <si>
    <t>灵台斗法50名</t>
  </si>
  <si>
    <t>灵台斗法20名</t>
  </si>
  <si>
    <t>4|5|7000|1</t>
  </si>
  <si>
    <t>4|5|9000|1</t>
  </si>
  <si>
    <t>灵台斗法5名</t>
  </si>
  <si>
    <t>4|5|10000|1</t>
  </si>
  <si>
    <t>灵饰抢夺20次</t>
  </si>
  <si>
    <t>灵饰抢夺40次</t>
  </si>
  <si>
    <t>灵饰抢夺60次</t>
  </si>
  <si>
    <t>灵饰抢夺80次</t>
  </si>
  <si>
    <t>灵饰抢夺100次</t>
  </si>
  <si>
    <t>灵饰抢夺120次</t>
  </si>
  <si>
    <t>灵饰抢夺140次</t>
  </si>
  <si>
    <t>灵饰抢夺160次</t>
  </si>
  <si>
    <t>灵饰抢夺180次</t>
  </si>
  <si>
    <t>灵饰抢夺200次</t>
  </si>
  <si>
    <t>1|14306|10|1</t>
  </si>
  <si>
    <t>大雁塔最高到达15层</t>
  </si>
  <si>
    <t>大雁塔最高到达20层</t>
  </si>
  <si>
    <t>1|14303|2|1</t>
  </si>
  <si>
    <t>大雁塔最高到达25层</t>
  </si>
  <si>
    <t>大雁塔最高到达30层</t>
  </si>
  <si>
    <t>1|14303|4|1</t>
  </si>
  <si>
    <t>大雁塔最高到达35层</t>
  </si>
  <si>
    <t>大雁塔最高到达40层</t>
  </si>
  <si>
    <t>1|14303|6|1</t>
  </si>
  <si>
    <t>大雁塔最高到达45层</t>
  </si>
  <si>
    <t>大雁塔最高到达50层</t>
  </si>
  <si>
    <t>1|14303|8|1</t>
  </si>
  <si>
    <t>大雁塔最高到达55层</t>
  </si>
  <si>
    <t>大雁塔最高到达60层</t>
  </si>
  <si>
    <t>1|14303|10|1</t>
  </si>
  <si>
    <t>累计灵饰合成10次</t>
  </si>
  <si>
    <t>累计灵饰合成20次</t>
  </si>
  <si>
    <t>累计灵饰合成30次</t>
  </si>
  <si>
    <t>累计灵饰合成40次</t>
  </si>
  <si>
    <t>累计灵饰合成50次</t>
  </si>
  <si>
    <t>累计灵饰合成60次</t>
  </si>
  <si>
    <t>累计灵饰合成70次</t>
  </si>
  <si>
    <t>累计灵饰合成80次</t>
  </si>
  <si>
    <t>累计灵饰合成90次</t>
  </si>
  <si>
    <t>累计灵饰合成100次</t>
  </si>
  <si>
    <t>进行灵台斗法10次</t>
  </si>
  <si>
    <t>1|16005|2|1</t>
  </si>
  <si>
    <t>进行灵台斗法20次</t>
  </si>
  <si>
    <t>1|16005|4|1</t>
  </si>
  <si>
    <t>进行灵台斗法30次</t>
  </si>
  <si>
    <t>1|16005|6|1</t>
  </si>
  <si>
    <t>进行灵台斗法40次</t>
  </si>
  <si>
    <t>进行灵台斗法50次</t>
  </si>
  <si>
    <t>进行灵台斗法60次</t>
  </si>
  <si>
    <t>1|16005|12|1</t>
  </si>
  <si>
    <t>进行灵台斗法70次</t>
  </si>
  <si>
    <t>1|16005|14|1</t>
  </si>
  <si>
    <t>进行灵台斗法80次</t>
  </si>
  <si>
    <t>1|16005|16|1</t>
  </si>
  <si>
    <t>进行灵台斗法90次</t>
  </si>
  <si>
    <t>1|16005|18|1</t>
  </si>
  <si>
    <t>进行灵台斗法100次</t>
  </si>
  <si>
    <t>1|16005|20|1</t>
  </si>
  <si>
    <t>累计装备精炼10次</t>
  </si>
  <si>
    <t>累计装备精炼20次</t>
  </si>
  <si>
    <t>累计装备精炼30次</t>
  </si>
  <si>
    <t>累计装备精炼40次</t>
  </si>
  <si>
    <t>累计装备精炼50次</t>
  </si>
  <si>
    <t>累计装备精炼60次</t>
  </si>
  <si>
    <t>累计装备精炼70次</t>
  </si>
  <si>
    <t>累计装备精炼80次</t>
  </si>
  <si>
    <t>累计装备精炼90次</t>
  </si>
  <si>
    <t>累计装备精炼100次</t>
  </si>
  <si>
    <t>累计进行灵饰强化10次</t>
  </si>
  <si>
    <t>累计进行灵饰强化20次</t>
  </si>
  <si>
    <t>累计进行灵饰强化30次</t>
  </si>
  <si>
    <t>累计进行灵饰强化40次</t>
  </si>
  <si>
    <t>1|14101|3|1</t>
  </si>
  <si>
    <t>累计进行灵饰强化50次</t>
  </si>
  <si>
    <t>累计进行灵饰强化60次</t>
  </si>
  <si>
    <t>累计进行灵饰强化70次</t>
  </si>
  <si>
    <t>累计进行灵饰强化80次</t>
  </si>
  <si>
    <t>累计进行灵饰强化90次</t>
  </si>
  <si>
    <t>累计进行灵饰强化100次</t>
  </si>
  <si>
    <t>上阵伙伴达到等级15级</t>
  </si>
  <si>
    <t>上阵伙伴达到等级20级</t>
  </si>
  <si>
    <t>上阵伙伴达到等级25级</t>
  </si>
  <si>
    <t>上阵伙伴达到等级30级</t>
  </si>
  <si>
    <t>上阵伙伴达到等级35级</t>
  </si>
  <si>
    <t>上阵伙伴达到等级40级</t>
  </si>
  <si>
    <t>上阵伙伴达到等级45级</t>
  </si>
  <si>
    <t>上阵伙伴达到等级50级</t>
  </si>
  <si>
    <t>上阵伙伴达到等级55级</t>
  </si>
  <si>
    <t>上阵伙伴达到等级60级</t>
  </si>
  <si>
    <t>1|14303|5|1</t>
  </si>
  <si>
    <t>1|14303|7|1</t>
  </si>
  <si>
    <t>1|14303|9|1</t>
  </si>
  <si>
    <t>主线副本总星级达到30</t>
  </si>
  <si>
    <t>主线副本总星级达到60</t>
  </si>
  <si>
    <t>主线副本总星级达到90</t>
  </si>
  <si>
    <t>主线副本总星级达到120</t>
  </si>
  <si>
    <t>主线副本总星级达到150</t>
  </si>
  <si>
    <t>主线副本总星级达到180</t>
  </si>
  <si>
    <t>1|14101|6|1</t>
  </si>
  <si>
    <t>主线副本总星级达到210</t>
  </si>
  <si>
    <t>1|14101|7|1</t>
  </si>
  <si>
    <t>主线副本总星级达到240</t>
  </si>
  <si>
    <t>主线副本总星级达到270</t>
  </si>
  <si>
    <t>1|14101|9|1</t>
  </si>
  <si>
    <t>主线副本总星级达到300</t>
  </si>
  <si>
    <t>通关精英副本第1章</t>
  </si>
  <si>
    <t>通关精英副本第2章</t>
  </si>
  <si>
    <t>通关精英副本第3章</t>
  </si>
  <si>
    <t>通关精英副本第4章</t>
  </si>
  <si>
    <t>通关精英副本第5章</t>
  </si>
  <si>
    <t>通关精英副本第6章</t>
  </si>
  <si>
    <t>通关精英副本第7章</t>
  </si>
  <si>
    <t>通关精英副本第8章</t>
  </si>
  <si>
    <t>通关精英副本第9章</t>
  </si>
  <si>
    <t>通关精英副本第10章</t>
  </si>
  <si>
    <t>精英副本总星级达到30</t>
  </si>
  <si>
    <t>精英副本总星级达到60</t>
  </si>
  <si>
    <t>精英副本总星级达到90</t>
  </si>
  <si>
    <t>精英副本总星级达到120</t>
  </si>
  <si>
    <t>精英副本总星级达到150</t>
  </si>
  <si>
    <t>精英副本总星级达到180</t>
  </si>
  <si>
    <t>精英副本总星级达到210</t>
  </si>
  <si>
    <t>精英副本总星级达到240</t>
  </si>
  <si>
    <t>1|14107|800|1</t>
  </si>
  <si>
    <t>精英副本总星级达到270</t>
  </si>
  <si>
    <t>1|14107|900|1</t>
  </si>
  <si>
    <t>精英副本总星级达到300</t>
  </si>
  <si>
    <t>1|14107|1000|1</t>
  </si>
  <si>
    <t>累计登陆1天奖励-钻石</t>
  </si>
  <si>
    <t>累计登陆2天奖励-钻石</t>
  </si>
  <si>
    <t>累计登陆3天奖励-钻石</t>
  </si>
  <si>
    <t>累计登陆4天奖励-钻石</t>
  </si>
  <si>
    <t>4|2|4500|1</t>
  </si>
  <si>
    <t>累计登陆5天奖励-钻石</t>
  </si>
  <si>
    <t>累计登陆6天奖励-钻石</t>
  </si>
  <si>
    <t>4|2|5500|1</t>
  </si>
  <si>
    <t>累计登陆7天奖励-钻石</t>
  </si>
  <si>
    <t>累计登陆8天奖励-钻石</t>
  </si>
  <si>
    <t>4|2|8000|1</t>
  </si>
  <si>
    <t>累计登陆9天奖励-钻石</t>
  </si>
  <si>
    <t>累计登陆10天奖励-钻石</t>
  </si>
  <si>
    <t>4|2|12000|1</t>
  </si>
  <si>
    <t>累计登陆11天奖励-钻石</t>
  </si>
  <si>
    <t>4|2|15000|1</t>
  </si>
  <si>
    <t>累计登陆12天奖励-钻石</t>
  </si>
  <si>
    <t>累计登陆13天奖励-钻石</t>
  </si>
  <si>
    <t>累计登陆14天奖励-钻石</t>
  </si>
  <si>
    <t>累计登陆15天奖励-钻石</t>
  </si>
  <si>
    <t>累计登陆1天奖励-VIP经验</t>
  </si>
  <si>
    <t>1|14405|20|1</t>
  </si>
  <si>
    <t>累计登陆2天奖励-VIP经验</t>
  </si>
  <si>
    <t>1|14405|40|1</t>
  </si>
  <si>
    <t>累计登陆3天奖励-VIP经验</t>
  </si>
  <si>
    <t>1|14405|60|1</t>
  </si>
  <si>
    <t>累计登陆4天奖励-VIP经验</t>
  </si>
  <si>
    <t>1|14405|80|1</t>
  </si>
  <si>
    <t>累计登陆5天奖励-VIP经验</t>
  </si>
  <si>
    <t>累计登陆6天奖励-VIP经验</t>
  </si>
  <si>
    <t>1|14405|180|1</t>
  </si>
  <si>
    <t>累计登陆7天奖励-VIP经验</t>
  </si>
  <si>
    <t>累计登陆8天奖励-VIP经验</t>
  </si>
  <si>
    <t>1|14405|400|1</t>
  </si>
  <si>
    <t>累计登陆9天奖励-VIP经验</t>
  </si>
  <si>
    <t>1|14405|500|1</t>
  </si>
  <si>
    <t>累计登陆10天奖励-VIP经验</t>
  </si>
  <si>
    <t>1|14405|650|1</t>
  </si>
  <si>
    <t>累计登陆11天奖励-VIP经验</t>
  </si>
  <si>
    <t>1|14405|750|1</t>
  </si>
  <si>
    <t>累计登陆12天奖励-VIP经验</t>
  </si>
  <si>
    <t>1|14405|850|1</t>
  </si>
  <si>
    <t>累计登陆13天奖励-VIP经验</t>
  </si>
  <si>
    <t>1|14405|1000|1</t>
  </si>
  <si>
    <t>累计登陆14天奖励-VIP经验</t>
  </si>
  <si>
    <t>1|14405|1200|1</t>
  </si>
  <si>
    <t>累计登陆15天奖励-VIP经验</t>
  </si>
  <si>
    <t>1|14405|1500|1</t>
  </si>
  <si>
    <t>1|14101|2</t>
  </si>
  <si>
    <t>在线奖励_道具-体力药水</t>
  </si>
  <si>
    <t>1|14108|3</t>
  </si>
  <si>
    <t>在线奖励_道具-精力之心</t>
  </si>
  <si>
    <t>1|14107|100</t>
  </si>
  <si>
    <t>在线奖励_道具-元灵晶石</t>
  </si>
  <si>
    <t>1|14104|50</t>
  </si>
  <si>
    <t>在线奖励_道具-技能卷轴</t>
  </si>
  <si>
    <t>1|14003|5</t>
  </si>
  <si>
    <t>在线奖励_道具-高级经验药水</t>
  </si>
  <si>
    <t>1|14003|5|1</t>
  </si>
  <si>
    <t>1|14104|100</t>
  </si>
  <si>
    <t>6|4502|2</t>
  </si>
  <si>
    <t>在线奖励_道具-紫色经验灵饰</t>
  </si>
  <si>
    <t>1|16005|100</t>
  </si>
  <si>
    <t>在线奖励_道具-精炼铸铁</t>
  </si>
  <si>
    <t>1|14003|15</t>
  </si>
  <si>
    <t>1|14003|15|1</t>
  </si>
  <si>
    <t>1|16006|6</t>
  </si>
  <si>
    <t>在线奖励_道具-上古灵玉</t>
  </si>
  <si>
    <t>1|16006|6|1</t>
  </si>
  <si>
    <t>1|16005|160</t>
  </si>
  <si>
    <t>1|16006|8</t>
  </si>
  <si>
    <t>1|16006|8|1</t>
  </si>
  <si>
    <t>1|14201|200</t>
  </si>
  <si>
    <t>在线奖励_道具-灵饰精炼石</t>
  </si>
  <si>
    <t>4|1|20000</t>
  </si>
  <si>
    <t>在线奖励_金币</t>
  </si>
  <si>
    <t>4|1|40000</t>
  </si>
  <si>
    <t>4|1|60000</t>
  </si>
  <si>
    <t>4|1|80000</t>
  </si>
  <si>
    <t>4|1|100000</t>
  </si>
  <si>
    <t>4|1|120000</t>
  </si>
  <si>
    <t>4|1|140000</t>
  </si>
  <si>
    <t>4|1|160000</t>
  </si>
  <si>
    <t>4|1|180000</t>
  </si>
  <si>
    <t>4|1|200000</t>
  </si>
  <si>
    <t>4|1|220000</t>
  </si>
  <si>
    <t>4|1|240000</t>
  </si>
  <si>
    <t>4|1|260000</t>
  </si>
  <si>
    <t>4|1|280000</t>
  </si>
  <si>
    <t>4|1|300000</t>
  </si>
  <si>
    <t>4|2|100</t>
  </si>
  <si>
    <t>在线奖励_钻石</t>
  </si>
  <si>
    <t>4|2|150</t>
  </si>
  <si>
    <t>4|2|200</t>
  </si>
  <si>
    <t>4|2|250</t>
  </si>
  <si>
    <t>4|2|300</t>
  </si>
  <si>
    <t>4|2|350</t>
  </si>
  <si>
    <t>4|2|400</t>
  </si>
  <si>
    <t>4|2|450</t>
  </si>
  <si>
    <t>4|2|500</t>
  </si>
  <si>
    <t>开服基金等级15</t>
  </si>
  <si>
    <t>开服基金等级20</t>
  </si>
  <si>
    <t>4|2|600</t>
  </si>
  <si>
    <t>开服基金等级25</t>
  </si>
  <si>
    <t>4|2|800</t>
  </si>
  <si>
    <t>开服基金等级30</t>
  </si>
  <si>
    <t>4|2|1000</t>
  </si>
  <si>
    <t>开服基金等级35</t>
  </si>
  <si>
    <t>4|2|1200</t>
  </si>
  <si>
    <t>开服基金等级40</t>
  </si>
  <si>
    <t>4|2|1400</t>
  </si>
  <si>
    <t>开服基金等级45</t>
  </si>
  <si>
    <t>4|2|1600</t>
  </si>
  <si>
    <t>开服基金等级50</t>
  </si>
  <si>
    <t>4|2|1800</t>
  </si>
  <si>
    <t>开服基金等级55</t>
  </si>
  <si>
    <t>4|2|1800|1</t>
  </si>
  <si>
    <t>4|2|2000</t>
  </si>
  <si>
    <t>开服基金等级60</t>
  </si>
  <si>
    <t>购买人数达到10即可领取</t>
  </si>
  <si>
    <t>购买人数达到30即可领取</t>
  </si>
  <si>
    <t>购买人数达到50即可领取</t>
  </si>
  <si>
    <t>购买人数达到100即可领取</t>
  </si>
  <si>
    <t>购买人数达到200即可领取</t>
  </si>
  <si>
    <t>购买人数达到500即可领取</t>
  </si>
  <si>
    <t>购买人数达到1000即可领取</t>
  </si>
  <si>
    <t>购买人数达到1500即可领取</t>
  </si>
  <si>
    <t>购买人数达到2000即可领取</t>
  </si>
  <si>
    <t>购买人数达到3000即可领取</t>
  </si>
  <si>
    <t/>
  </si>
  <si>
    <t>4|1|32500</t>
  </si>
  <si>
    <t>5|1101|1</t>
  </si>
  <si>
    <t>5|1102|1</t>
  </si>
  <si>
    <t>5|1103|1</t>
  </si>
  <si>
    <t>5|1104|1</t>
  </si>
  <si>
    <t>5|1105|1</t>
  </si>
  <si>
    <t>5|1106|1</t>
  </si>
  <si>
    <t>5|1107|1</t>
  </si>
  <si>
    <t>5|1108|1</t>
  </si>
  <si>
    <t>5|1109|1</t>
  </si>
  <si>
    <t>5|1110|1</t>
  </si>
  <si>
    <t>5|1111|1</t>
  </si>
  <si>
    <t>5|1112|1</t>
  </si>
  <si>
    <t>5|1113|1</t>
  </si>
  <si>
    <t>5|1114|1</t>
  </si>
  <si>
    <t>5|1115|1</t>
  </si>
  <si>
    <t>5|1116|1</t>
  </si>
  <si>
    <t>5|1117|1</t>
  </si>
  <si>
    <t>5|1118|1</t>
  </si>
  <si>
    <t>5|1119|1</t>
  </si>
  <si>
    <t>5|1120|1</t>
  </si>
  <si>
    <t>5|1121|1</t>
  </si>
  <si>
    <t>5|1122|1</t>
  </si>
  <si>
    <t>5|1123|1</t>
  </si>
  <si>
    <t>5|1124|1</t>
  </si>
  <si>
    <t>5|1125|1</t>
  </si>
  <si>
    <t>5|1126|1</t>
  </si>
  <si>
    <t>5|1127|1</t>
  </si>
  <si>
    <t>5|1128|1</t>
  </si>
  <si>
    <t>5|1130|1</t>
  </si>
  <si>
    <t>5|1131|1</t>
  </si>
  <si>
    <t>5|1132|1</t>
  </si>
  <si>
    <t>5|1134|1</t>
  </si>
  <si>
    <t>5|1135|1</t>
  </si>
  <si>
    <t>5|1136|1</t>
  </si>
  <si>
    <t>5|1137|1</t>
  </si>
  <si>
    <t>5|1138|1</t>
  </si>
  <si>
    <t>5|1139|1</t>
  </si>
  <si>
    <t>5|1140|1</t>
  </si>
  <si>
    <t>5|1141|1</t>
  </si>
  <si>
    <t>5|1142|1</t>
  </si>
  <si>
    <t>5|1143|1</t>
  </si>
  <si>
    <t>5|1146|1</t>
  </si>
  <si>
    <t>5|1147|1</t>
  </si>
  <si>
    <t>5|1148|1</t>
  </si>
  <si>
    <t>5|1152|1</t>
  </si>
  <si>
    <t>5|1153|1</t>
  </si>
  <si>
    <t>5|1154|1</t>
  </si>
  <si>
    <t>5|1155|1</t>
  </si>
  <si>
    <t>5|1156|1</t>
  </si>
  <si>
    <t>5|1157|1</t>
  </si>
  <si>
    <t>5|1158|1</t>
  </si>
  <si>
    <t>5|1159|1</t>
  </si>
  <si>
    <t>5|1162|1</t>
  </si>
  <si>
    <t>5|1163|1</t>
  </si>
  <si>
    <t>5|1164|1</t>
  </si>
  <si>
    <t>5|1165|1</t>
  </si>
  <si>
    <t>5|1166|1</t>
  </si>
  <si>
    <t>5|1167|1</t>
  </si>
  <si>
    <t>5|1168|1</t>
  </si>
  <si>
    <t>5|1169|1</t>
  </si>
  <si>
    <t>5|1170|1</t>
  </si>
  <si>
    <t>5|1171|1</t>
  </si>
  <si>
    <t>5|1176|1</t>
  </si>
  <si>
    <t>5|1177|1</t>
  </si>
  <si>
    <t>5|1178|1</t>
  </si>
  <si>
    <t>5|1179|1</t>
  </si>
  <si>
    <t>5|1180|1</t>
  </si>
  <si>
    <t>5|1181|1</t>
  </si>
  <si>
    <t>5|1182|1</t>
  </si>
  <si>
    <t>5|1185|1</t>
  </si>
  <si>
    <t>5|1186|1</t>
  </si>
  <si>
    <t>5|1187|1</t>
  </si>
  <si>
    <t>5|1188|1</t>
  </si>
  <si>
    <t>1|10001|1</t>
  </si>
  <si>
    <t>1|10002|1</t>
  </si>
  <si>
    <t>1|10003|1</t>
  </si>
  <si>
    <t>1|10004|1</t>
  </si>
  <si>
    <t>1|10005|1</t>
  </si>
  <si>
    <t>1|10006|1</t>
  </si>
  <si>
    <t>1|10007|1</t>
  </si>
  <si>
    <t>1|10008|1</t>
  </si>
  <si>
    <t>1|10009|1</t>
  </si>
  <si>
    <t>1|10010|1</t>
  </si>
  <si>
    <t>1|10011|1</t>
  </si>
  <si>
    <t>1|10012|1</t>
  </si>
  <si>
    <t>1|10013|1</t>
  </si>
  <si>
    <t>1|10014|1</t>
  </si>
  <si>
    <t>1|10015|1</t>
  </si>
  <si>
    <t>1|10016|1</t>
  </si>
  <si>
    <t>1|10017|1</t>
  </si>
  <si>
    <t>1|10018|1</t>
  </si>
  <si>
    <t>1|10019|1</t>
  </si>
  <si>
    <t>1|10020|1</t>
  </si>
  <si>
    <t>1|10021|1</t>
  </si>
  <si>
    <t>1|10022|1</t>
  </si>
  <si>
    <t>1|10023|1</t>
  </si>
  <si>
    <t>1|10024|1</t>
  </si>
  <si>
    <t>1|10025|1</t>
  </si>
  <si>
    <t>1|10026|1</t>
  </si>
  <si>
    <t>1|10027|1</t>
  </si>
  <si>
    <t>1|10028|1</t>
  </si>
  <si>
    <t>1|10101|1</t>
  </si>
  <si>
    <t>1|10030|1</t>
  </si>
  <si>
    <t>1|10031|1</t>
  </si>
  <si>
    <t>1|10032|1</t>
  </si>
  <si>
    <t>1|10033|1</t>
  </si>
  <si>
    <t>1|10034|1</t>
  </si>
  <si>
    <t>1|10035|1</t>
  </si>
  <si>
    <t>1|10036|1</t>
  </si>
  <si>
    <t>1|10037|1</t>
  </si>
  <si>
    <t>1|10038|1</t>
  </si>
  <si>
    <t>1|10039|1</t>
  </si>
  <si>
    <t>1|10040|1</t>
  </si>
  <si>
    <t>1|10041|1</t>
  </si>
  <si>
    <t>1|10042|1</t>
  </si>
  <si>
    <t>1|10043|1</t>
  </si>
  <si>
    <t>1|10046|1</t>
  </si>
  <si>
    <t>1|10047|1</t>
  </si>
  <si>
    <t>1|10048|1</t>
  </si>
  <si>
    <t>1|10052|1</t>
  </si>
  <si>
    <t>1|10053|1</t>
  </si>
  <si>
    <t>1|10054|1</t>
  </si>
  <si>
    <t>1|10055|1</t>
  </si>
  <si>
    <t>1|10056|1</t>
  </si>
  <si>
    <t>1|10057|1</t>
  </si>
  <si>
    <t>1|10058|1</t>
  </si>
  <si>
    <t>1|10059|1</t>
  </si>
  <si>
    <t>1|10062|1</t>
  </si>
  <si>
    <t>1|10063|1</t>
  </si>
  <si>
    <t>2|2001|1</t>
  </si>
  <si>
    <t>2|2002|1</t>
  </si>
  <si>
    <t>2|2003|1</t>
  </si>
  <si>
    <t>2|2004|1</t>
  </si>
  <si>
    <t>2|2021|1</t>
  </si>
  <si>
    <t>2|2022|1</t>
  </si>
  <si>
    <t>2|2023|1</t>
  </si>
  <si>
    <t>2|2024|1</t>
  </si>
  <si>
    <t>2|2025|1</t>
  </si>
  <si>
    <t>2|2026|1</t>
  </si>
  <si>
    <t>2|2027|1</t>
  </si>
  <si>
    <t>2|2028|1</t>
  </si>
  <si>
    <t>2|2041|1</t>
  </si>
  <si>
    <t>2|2042|1</t>
  </si>
  <si>
    <t>2|2043|1</t>
  </si>
  <si>
    <t>2|2044|1</t>
  </si>
  <si>
    <t>2|2045|1</t>
  </si>
  <si>
    <t>2|2046|1</t>
  </si>
  <si>
    <t>2|2047|1</t>
  </si>
  <si>
    <t>2|2048|1</t>
  </si>
  <si>
    <t>2|2061|1</t>
  </si>
  <si>
    <t>2|2062|1</t>
  </si>
  <si>
    <t>2|2063|1</t>
  </si>
  <si>
    <t>2|2064|1</t>
  </si>
  <si>
    <t>2|2065|1</t>
  </si>
  <si>
    <t>2|2066|1</t>
  </si>
  <si>
    <t>2|2067|1</t>
  </si>
  <si>
    <t>2|2068|1</t>
  </si>
  <si>
    <t>2|2069|1</t>
  </si>
  <si>
    <t>2|2070|1</t>
  </si>
  <si>
    <t>2|2071|1</t>
  </si>
  <si>
    <t>2|2072|1</t>
  </si>
  <si>
    <t>1|11001|1</t>
  </si>
  <si>
    <t>1|11002|1</t>
  </si>
  <si>
    <t>1|11003|1</t>
  </si>
  <si>
    <t>1|11004|1</t>
  </si>
  <si>
    <t>1|11005|1</t>
  </si>
  <si>
    <t>1|11006|1</t>
  </si>
  <si>
    <t>1|11007|1</t>
  </si>
  <si>
    <t>1|11008|1</t>
  </si>
  <si>
    <t>1|11009|1</t>
  </si>
  <si>
    <t>1|11010|1</t>
  </si>
  <si>
    <t>1|11011|1</t>
  </si>
  <si>
    <t>1|11012|1</t>
  </si>
  <si>
    <t>1|11013|1</t>
  </si>
  <si>
    <t>1|11014|1</t>
  </si>
  <si>
    <t>1|11015|1</t>
  </si>
  <si>
    <t>1|11016|1</t>
  </si>
  <si>
    <t>1|11017|1</t>
  </si>
  <si>
    <t>1|11018|1</t>
  </si>
  <si>
    <t>1|11019|1</t>
  </si>
  <si>
    <t>1|11020|1</t>
  </si>
  <si>
    <t>1|11021|1</t>
  </si>
  <si>
    <t>1|11022|1</t>
  </si>
  <si>
    <t>1|11023|1</t>
  </si>
  <si>
    <t>1|11024|1</t>
  </si>
  <si>
    <t>1|11025|1</t>
  </si>
  <si>
    <t>1|11026|1</t>
  </si>
  <si>
    <t>1|11027|1</t>
  </si>
  <si>
    <t>1|11028|1</t>
  </si>
  <si>
    <t>6|3001|1</t>
  </si>
  <si>
    <t>6|3002|1</t>
  </si>
  <si>
    <t>6|3003|1</t>
  </si>
  <si>
    <t>6|3004|1</t>
  </si>
  <si>
    <t>6|3005|1</t>
  </si>
  <si>
    <t>6|3006|1</t>
  </si>
  <si>
    <t>6|3007|1</t>
  </si>
  <si>
    <t>6|3008|1</t>
  </si>
  <si>
    <t>6|3009|1</t>
  </si>
  <si>
    <t>6|3010|1</t>
  </si>
  <si>
    <t>6|3011|1</t>
  </si>
  <si>
    <t>6|3012|1</t>
  </si>
  <si>
    <t>6|3013|1</t>
  </si>
  <si>
    <t>6|3014|1</t>
  </si>
  <si>
    <t>6|3015|1</t>
  </si>
  <si>
    <t>6|3016|1</t>
  </si>
  <si>
    <t>6|4501|1</t>
  </si>
  <si>
    <t>6|4502|1</t>
  </si>
  <si>
    <t>6|4503|1</t>
  </si>
  <si>
    <t>1|12001|1</t>
  </si>
  <si>
    <t>1|12002|1</t>
  </si>
  <si>
    <t>1|12003|1</t>
  </si>
  <si>
    <t>1|12004|1</t>
  </si>
  <si>
    <t>1|12005|1</t>
  </si>
  <si>
    <t>1|12006|1</t>
  </si>
  <si>
    <t>1|12007|1</t>
  </si>
  <si>
    <t>1|12008|1</t>
  </si>
  <si>
    <t>1|12009|1</t>
  </si>
  <si>
    <t>1|12010|1</t>
  </si>
  <si>
    <t>1|12011|1</t>
  </si>
  <si>
    <t>1|12012|1</t>
  </si>
  <si>
    <t>1|12013|1</t>
  </si>
  <si>
    <t>1|12014|1</t>
  </si>
  <si>
    <t>1|12015|1</t>
  </si>
  <si>
    <t>1|12016|1</t>
  </si>
  <si>
    <t>1|12017|1</t>
  </si>
  <si>
    <t>1|12018|1</t>
  </si>
  <si>
    <t>1|12019|1</t>
  </si>
  <si>
    <t>1|12020|1</t>
  </si>
  <si>
    <t>1|12021|1</t>
  </si>
  <si>
    <t>1|12022|1</t>
  </si>
  <si>
    <t>1|12023|1</t>
  </si>
  <si>
    <t>1|12024|1</t>
  </si>
  <si>
    <t>1|12025|1</t>
  </si>
  <si>
    <t>1|12026|1</t>
  </si>
  <si>
    <t>1|12027|1</t>
  </si>
  <si>
    <t>1|12028|1</t>
  </si>
  <si>
    <t>1|12029|1</t>
  </si>
  <si>
    <t>1|12030|1</t>
  </si>
  <si>
    <t>1|12031|1</t>
  </si>
  <si>
    <t>1|12032|1</t>
  </si>
  <si>
    <t>1|12033|1</t>
  </si>
  <si>
    <t>1|12034|1</t>
  </si>
  <si>
    <t>1|12035|1</t>
  </si>
  <si>
    <t>1|12036|1</t>
  </si>
  <si>
    <t>1|12037|1</t>
  </si>
  <si>
    <t>1|12038|1</t>
  </si>
  <si>
    <t>1|12039|1</t>
  </si>
  <si>
    <t>1|12040|1</t>
  </si>
  <si>
    <t>1|12041|1</t>
  </si>
  <si>
    <t>1|12042|1</t>
  </si>
  <si>
    <t>1|12043|1</t>
  </si>
  <si>
    <t>1|12044|1</t>
  </si>
  <si>
    <t>1|12045|1</t>
  </si>
  <si>
    <t>1|12046|1</t>
  </si>
  <si>
    <t>1|12047|1</t>
  </si>
  <si>
    <t>1|12048|1</t>
  </si>
  <si>
    <t>1|12049|1</t>
  </si>
  <si>
    <t>1|12050|1</t>
  </si>
  <si>
    <t>1|12051|1</t>
  </si>
  <si>
    <t>1|12052|1</t>
  </si>
  <si>
    <t>1|12053|1</t>
  </si>
  <si>
    <t>1|12054|1</t>
  </si>
  <si>
    <t>1|12055|1</t>
  </si>
  <si>
    <t>1|12056|1</t>
  </si>
  <si>
    <t>1|12057|1</t>
  </si>
  <si>
    <t>1|12058|1</t>
  </si>
  <si>
    <t>1|12059|1</t>
  </si>
  <si>
    <t>1|12060|1</t>
  </si>
  <si>
    <t>1|12061|1</t>
  </si>
  <si>
    <t>1|12062|1</t>
  </si>
  <si>
    <t>1|12063|1</t>
  </si>
  <si>
    <t>1|12064|1</t>
  </si>
  <si>
    <t>1|12065|1</t>
  </si>
  <si>
    <t>1|12066|1</t>
  </si>
  <si>
    <t>1|12074|1</t>
  </si>
  <si>
    <t>1|12075|1</t>
  </si>
  <si>
    <t>1|12076|1</t>
  </si>
  <si>
    <t>1|12077|1</t>
  </si>
  <si>
    <t>1|12078|1</t>
  </si>
  <si>
    <t>1|12070|1</t>
  </si>
  <si>
    <t>1|12071|1</t>
  </si>
  <si>
    <t>1|12072|1</t>
  </si>
  <si>
    <t>1|12073|1</t>
  </si>
  <si>
    <t>1|12067|1</t>
  </si>
  <si>
    <t>1|12068|1</t>
  </si>
  <si>
    <t>1|12069|1</t>
  </si>
  <si>
    <t>1|14001|2</t>
  </si>
  <si>
    <t>1|14002|2</t>
  </si>
  <si>
    <t>1|14003|1</t>
  </si>
  <si>
    <t>1|14101|1</t>
  </si>
  <si>
    <t>1|14106|2</t>
  </si>
  <si>
    <t>1|14107|1</t>
  </si>
  <si>
    <t>4|1|50000</t>
  </si>
  <si>
    <t>1|14107|50</t>
  </si>
  <si>
    <t>4|11|10</t>
  </si>
  <si>
    <t>1|14201|50</t>
  </si>
  <si>
    <t>1|14108|5</t>
  </si>
  <si>
    <t>1|14101|10</t>
  </si>
  <si>
    <t>1|10033|30</t>
  </si>
  <si>
    <t>1|14104|200</t>
  </si>
  <si>
    <t>1|14108|50</t>
  </si>
  <si>
    <t>4|2|40</t>
  </si>
  <si>
    <t>4|1|10000</t>
  </si>
  <si>
    <t>1|11001|20</t>
  </si>
  <si>
    <t>1|14001|10</t>
  </si>
  <si>
    <t>1|14202|15</t>
  </si>
  <si>
    <t>4|1|30000</t>
  </si>
  <si>
    <t>1|11002|20</t>
  </si>
  <si>
    <t>1|14202|30</t>
  </si>
  <si>
    <t>1|14001|50</t>
  </si>
  <si>
    <t>1|11006|30</t>
  </si>
  <si>
    <t>1|14002|30</t>
  </si>
  <si>
    <t>1|14203|30</t>
  </si>
  <si>
    <t>1|14107|200</t>
  </si>
  <si>
    <t>1|11005|30</t>
  </si>
  <si>
    <t>1|14002|50</t>
  </si>
  <si>
    <t>1|14203|50</t>
  </si>
  <si>
    <t>4|1|70000</t>
  </si>
  <si>
    <t>1|14003|50</t>
  </si>
  <si>
    <t>4|1|90000</t>
  </si>
  <si>
    <t>1|14107|300</t>
  </si>
  <si>
    <t>1|14107|350</t>
  </si>
  <si>
    <t>4|1|150000</t>
  </si>
  <si>
    <t>1|14107|400</t>
  </si>
  <si>
    <t>4|1|170000</t>
  </si>
  <si>
    <t>1|14107|450</t>
  </si>
  <si>
    <t>1|14107|500</t>
  </si>
  <si>
    <t>1|14107|550</t>
  </si>
  <si>
    <t>3|26001|1</t>
  </si>
  <si>
    <t>4|2|10</t>
  </si>
  <si>
    <t>3|26020|1</t>
  </si>
  <si>
    <t>3|26023|1</t>
  </si>
  <si>
    <t>3|26026|1</t>
  </si>
  <si>
    <t>1|14201|1</t>
  </si>
  <si>
    <t>1|14104|1</t>
  </si>
  <si>
    <t>1|16005|1</t>
  </si>
  <si>
    <t>1|14108|1</t>
  </si>
  <si>
    <t>1|14104|10</t>
  </si>
  <si>
    <t>1|14201|120</t>
  </si>
  <si>
    <t>1|16005|10</t>
  </si>
  <si>
    <t>1|14005|1</t>
  </si>
  <si>
    <t>4|4|100</t>
  </si>
  <si>
    <t>4|2|20</t>
  </si>
  <si>
    <t>1|14107|20</t>
  </si>
  <si>
    <t>4|10|30</t>
  </si>
  <si>
    <t>4|4|200</t>
  </si>
  <si>
    <t>4|11|500</t>
  </si>
  <si>
    <t>4|2|120</t>
  </si>
  <si>
    <t>1|14502|1</t>
  </si>
  <si>
    <t>1|14302|5</t>
  </si>
  <si>
    <t>1|16005|50</t>
  </si>
  <si>
    <t>1|14201|100</t>
  </si>
  <si>
    <t>1|14303|3</t>
  </si>
  <si>
    <t>4|1|250000</t>
  </si>
  <si>
    <t>4|2|550</t>
  </si>
  <si>
    <t>4|1|350000</t>
  </si>
  <si>
    <t>4|2|650</t>
  </si>
  <si>
    <t>4|1|400000</t>
  </si>
  <si>
    <t>4|2|700</t>
  </si>
  <si>
    <t>4|1|450000</t>
  </si>
  <si>
    <t>4|2|750</t>
  </si>
  <si>
    <t>4|1|500000</t>
  </si>
  <si>
    <t>4|2|850</t>
  </si>
  <si>
    <t>4|2|900</t>
  </si>
  <si>
    <t>4|2|950</t>
  </si>
  <si>
    <t>4|2|1050</t>
  </si>
  <si>
    <t>4|2|1100</t>
  </si>
  <si>
    <t>4|2|1150</t>
  </si>
  <si>
    <t>4|2|1250</t>
  </si>
  <si>
    <t>4|2|60</t>
  </si>
  <si>
    <t>4|2|180</t>
  </si>
  <si>
    <t>4|2|240</t>
  </si>
  <si>
    <t>4|2|360</t>
  </si>
  <si>
    <t>4|2|420</t>
  </si>
  <si>
    <t>4|2|480</t>
  </si>
  <si>
    <t>4|2|540</t>
  </si>
  <si>
    <t>4|2|660</t>
  </si>
  <si>
    <t>4|2|720</t>
  </si>
  <si>
    <t>4|2|780</t>
  </si>
  <si>
    <t>4|2|840</t>
  </si>
  <si>
    <t>4|2|960</t>
  </si>
  <si>
    <t>4|2|1020</t>
  </si>
  <si>
    <t>4|3|1000</t>
  </si>
  <si>
    <t>4|3|1500</t>
  </si>
  <si>
    <t>4|3|2000</t>
  </si>
  <si>
    <t>4|3|2500</t>
  </si>
  <si>
    <t>4|3|3000</t>
  </si>
  <si>
    <t>4|3|3500</t>
  </si>
  <si>
    <t>4|3|4000</t>
  </si>
  <si>
    <t>4|3|4500</t>
  </si>
  <si>
    <t>4|3|5000</t>
  </si>
  <si>
    <t>4|3|5500</t>
  </si>
  <si>
    <t>4|3|6000</t>
  </si>
  <si>
    <t>4|3|6500</t>
  </si>
  <si>
    <t>4|3|7000</t>
  </si>
  <si>
    <t>4|3|7500</t>
  </si>
  <si>
    <t>4|3|8000</t>
  </si>
  <si>
    <t>4|3|8500</t>
  </si>
  <si>
    <t>4|3|9000</t>
  </si>
  <si>
    <t>4|3|9500</t>
  </si>
  <si>
    <t>4|3|10000</t>
  </si>
  <si>
    <t>1|16005|200</t>
  </si>
  <si>
    <t>1|14201|400</t>
  </si>
  <si>
    <t>1|16005|150</t>
  </si>
  <si>
    <t>4|2|50</t>
  </si>
  <si>
    <t>1|14306|2</t>
  </si>
  <si>
    <t>4|2|15</t>
  </si>
  <si>
    <t>4|2|80</t>
  </si>
  <si>
    <t>4|2|130</t>
  </si>
  <si>
    <t>4|2|160</t>
  </si>
  <si>
    <t>1|14104|125</t>
  </si>
  <si>
    <t>1|14104|250</t>
  </si>
  <si>
    <t>1|14104|375</t>
  </si>
  <si>
    <t>1|14104|500</t>
  </si>
  <si>
    <t>1|14104|625</t>
  </si>
  <si>
    <t>1|14104|750</t>
  </si>
  <si>
    <t>1|14004|1</t>
  </si>
  <si>
    <t>1|14004|3</t>
  </si>
  <si>
    <t>1|14004|5</t>
  </si>
  <si>
    <t>1|14104|15</t>
  </si>
  <si>
    <t>1|14104|20</t>
  </si>
  <si>
    <t>1|14104|150</t>
  </si>
  <si>
    <t>1|14101|5</t>
  </si>
  <si>
    <t>1|14101|15</t>
  </si>
  <si>
    <t>1|14101|20</t>
  </si>
  <si>
    <t>1|14101|25</t>
  </si>
  <si>
    <t>1|14101|30</t>
  </si>
  <si>
    <t>1|14005|3</t>
  </si>
  <si>
    <t>1|14005|5</t>
  </si>
  <si>
    <t>1|14005|10</t>
  </si>
  <si>
    <t>1|14006|3</t>
  </si>
  <si>
    <t>1|14006|5</t>
  </si>
  <si>
    <t>1|14006|10</t>
  </si>
  <si>
    <t>1|14108|2</t>
  </si>
  <si>
    <t>1|14108|4</t>
  </si>
  <si>
    <t>1|14108|6</t>
  </si>
  <si>
    <t>1|14108|8</t>
  </si>
  <si>
    <t>1|14108|10</t>
  </si>
  <si>
    <t>1|14108|20</t>
  </si>
  <si>
    <t>1|14004|25</t>
  </si>
  <si>
    <t>1|14004|50</t>
  </si>
  <si>
    <t>1|14004|75</t>
  </si>
  <si>
    <t>1|14004|100</t>
  </si>
  <si>
    <t>1|14004|125</t>
  </si>
  <si>
    <t>1|14201|5</t>
  </si>
  <si>
    <t>1|14201|10</t>
  </si>
  <si>
    <t>1|14201|20</t>
  </si>
  <si>
    <t>1|14201|30</t>
  </si>
  <si>
    <t>1|14201|40</t>
  </si>
  <si>
    <t>1|14201|80</t>
  </si>
  <si>
    <t>1|14205|5</t>
  </si>
  <si>
    <t>1|14205|10</t>
  </si>
  <si>
    <t>1|14205|15</t>
  </si>
  <si>
    <t>1|14205|20</t>
  </si>
  <si>
    <t>1|14205|25</t>
  </si>
  <si>
    <t>1|14205|30</t>
  </si>
  <si>
    <t>4|2|5000</t>
  </si>
  <si>
    <t>3|34101|1</t>
  </si>
  <si>
    <t>3|34102|1</t>
  </si>
  <si>
    <t>3|34103|1</t>
  </si>
  <si>
    <t>3|34104|1</t>
  </si>
  <si>
    <t>3|34105|1</t>
  </si>
  <si>
    <t>3|34106|1</t>
  </si>
  <si>
    <t>3|34107|1</t>
  </si>
  <si>
    <t>3|34108|1</t>
  </si>
  <si>
    <t>3|34109|1</t>
  </si>
  <si>
    <t>3|34110|1</t>
  </si>
  <si>
    <t>3|34111|1</t>
  </si>
  <si>
    <t>3|34112|1</t>
  </si>
  <si>
    <t>3|34113|1</t>
  </si>
  <si>
    <t>3|34114|1</t>
  </si>
  <si>
    <t>3|34115|1</t>
  </si>
  <si>
    <t>3|34116|1</t>
  </si>
  <si>
    <t>3|34117|1</t>
  </si>
  <si>
    <t>3|34118|1</t>
  </si>
  <si>
    <t>3|34119|1</t>
  </si>
  <si>
    <t>1|14307|1</t>
  </si>
  <si>
    <t>1|14308|1</t>
  </si>
  <si>
    <t>1|14309|1</t>
  </si>
  <si>
    <t>1|14310|1</t>
  </si>
  <si>
    <t>1|14301|1</t>
  </si>
  <si>
    <t>1|14302|1</t>
  </si>
  <si>
    <t>1|14303|1</t>
  </si>
  <si>
    <t>1|16503|20</t>
  </si>
  <si>
    <t>4|1|5000</t>
  </si>
  <si>
    <t>4|1|15000</t>
  </si>
  <si>
    <t>4|1|25000</t>
  </si>
  <si>
    <t>4|1|35000</t>
  </si>
  <si>
    <t>4|1|45000</t>
  </si>
  <si>
    <t>4|1|55000</t>
  </si>
  <si>
    <t>4|1|65000</t>
  </si>
  <si>
    <t>4|1|75000</t>
  </si>
  <si>
    <t>4|1|85000</t>
  </si>
  <si>
    <t>4|1|95000</t>
  </si>
  <si>
    <t>4|1|105000</t>
  </si>
  <si>
    <t>4|1|110000</t>
  </si>
  <si>
    <t>4|1|115000</t>
  </si>
  <si>
    <t>4|1|125000</t>
  </si>
  <si>
    <t>4|1|130000</t>
  </si>
  <si>
    <t>4|1|135000</t>
  </si>
  <si>
    <t>4|1|145000</t>
  </si>
  <si>
    <t>4|1|155000</t>
  </si>
  <si>
    <t>4|1|165000</t>
  </si>
  <si>
    <t>4|1|175000</t>
  </si>
  <si>
    <t>4|1|185000</t>
  </si>
  <si>
    <t>4|1|190000</t>
  </si>
  <si>
    <t>4|1|195000</t>
  </si>
  <si>
    <t>4|1|205000</t>
  </si>
  <si>
    <t>4|1|210000</t>
  </si>
  <si>
    <t>4|1|215000</t>
  </si>
  <si>
    <t>4|1|225000</t>
  </si>
  <si>
    <t>4|1|230000</t>
  </si>
  <si>
    <t>4|1|235000</t>
  </si>
  <si>
    <t>4|1|245000</t>
  </si>
  <si>
    <t>1|14102|1</t>
  </si>
  <si>
    <t>1|14311|1</t>
  </si>
  <si>
    <t>1|14306|1</t>
  </si>
  <si>
    <t>1|14102|2</t>
  </si>
  <si>
    <t>1|14320|1</t>
  </si>
  <si>
    <t>1|14102|3</t>
  </si>
  <si>
    <t>1|14107|2</t>
  </si>
  <si>
    <t>1|14107|3</t>
  </si>
  <si>
    <t>1|14107|4</t>
  </si>
  <si>
    <t>1|14202|1</t>
  </si>
  <si>
    <t>1|14202|2</t>
  </si>
  <si>
    <t>1|14203|1</t>
  </si>
  <si>
    <t>1|14203|2</t>
  </si>
  <si>
    <t>1|14204|1</t>
  </si>
  <si>
    <t>1|14204|2</t>
  </si>
  <si>
    <t>1|14001|1</t>
  </si>
  <si>
    <t>1|14001|4</t>
  </si>
  <si>
    <t>1|14001|8</t>
  </si>
  <si>
    <t>1|14001|3</t>
  </si>
  <si>
    <t>1|14001|5</t>
  </si>
  <si>
    <t>1|14001|6</t>
  </si>
  <si>
    <t>1|14002|1</t>
  </si>
  <si>
    <t>1|14002|3</t>
  </si>
  <si>
    <t>1|14003|2</t>
  </si>
  <si>
    <t>5|1193|1</t>
  </si>
  <si>
    <t>1|10034|40</t>
  </si>
  <si>
    <t>1|14002|5</t>
  </si>
  <si>
    <t>1|16005|8</t>
  </si>
  <si>
    <t>1|16001|2</t>
  </si>
  <si>
    <t>1|16002|2</t>
  </si>
  <si>
    <t>1|16003|2</t>
  </si>
  <si>
    <t>1|16004|2</t>
  </si>
  <si>
    <t>1|10041|0</t>
  </si>
  <si>
    <t>1|10033|0</t>
  </si>
  <si>
    <t>2|2002|0</t>
  </si>
  <si>
    <t>1|10034|0</t>
  </si>
  <si>
    <t>2|2001|0</t>
  </si>
  <si>
    <t>2|2003|0</t>
  </si>
  <si>
    <t>2|2004|0</t>
  </si>
  <si>
    <t>1|10038|0</t>
  </si>
  <si>
    <t>1|10040|0</t>
  </si>
  <si>
    <t>1|11002|0</t>
  </si>
  <si>
    <t>1|10036|0</t>
  </si>
  <si>
    <t>1|11001|0</t>
  </si>
  <si>
    <t>1|10039|0</t>
  </si>
  <si>
    <t>1|11003|0</t>
  </si>
  <si>
    <t>1|11004|0</t>
  </si>
  <si>
    <t>1|11006|0</t>
  </si>
  <si>
    <t>1|10107|0</t>
  </si>
  <si>
    <t>1|11005|0</t>
  </si>
  <si>
    <t>1|11007|0</t>
  </si>
  <si>
    <t>1|10032|0</t>
  </si>
  <si>
    <t>1|11008|0</t>
  </si>
  <si>
    <t>1|11010|0</t>
  </si>
  <si>
    <t>1|10023|0</t>
  </si>
  <si>
    <t>1|11009|0</t>
  </si>
  <si>
    <t>1|11011|0</t>
  </si>
  <si>
    <t>1|10024|0</t>
  </si>
  <si>
    <t>1|11012|0</t>
  </si>
  <si>
    <t>1|11014|0</t>
  </si>
  <si>
    <t>1|10022|0</t>
  </si>
  <si>
    <t>1|11013|0</t>
  </si>
  <si>
    <t>1|11016|0</t>
  </si>
  <si>
    <t>1|10006|0</t>
  </si>
  <si>
    <t>1|11015|0</t>
  </si>
  <si>
    <t>1|11018|0</t>
  </si>
  <si>
    <t>1|10004|0</t>
  </si>
  <si>
    <t>1|11017|0</t>
  </si>
  <si>
    <t>1|11020|0</t>
  </si>
  <si>
    <t>1|10021|0</t>
  </si>
  <si>
    <t>1|11019|0</t>
  </si>
  <si>
    <t>1|11022|0</t>
  </si>
  <si>
    <t>1|10013|0</t>
  </si>
  <si>
    <t>1|11021|0</t>
  </si>
  <si>
    <t>1|11024|0</t>
  </si>
  <si>
    <t>1|10001|0</t>
  </si>
  <si>
    <t>1|11023|0</t>
  </si>
  <si>
    <t>1|10011|0</t>
  </si>
  <si>
    <t>1|10017|0</t>
  </si>
  <si>
    <t>1|10005|0</t>
  </si>
  <si>
    <t>1|10010|0</t>
  </si>
  <si>
    <t>1|10020|0</t>
  </si>
  <si>
    <t>1|10018|0</t>
  </si>
  <si>
    <t>1|10003|0</t>
  </si>
  <si>
    <t>1|10014|0</t>
  </si>
  <si>
    <t>1|10015|0</t>
  </si>
  <si>
    <t>1|11026|0</t>
  </si>
  <si>
    <t>1|11025|0</t>
  </si>
  <si>
    <t>1|10016|0</t>
  </si>
  <si>
    <t>1|11028|0</t>
  </si>
  <si>
    <t>1|11027|0</t>
  </si>
  <si>
    <t>1|10030|0</t>
  </si>
  <si>
    <t>1|11030|0</t>
  </si>
  <si>
    <t>1|11029|0</t>
  </si>
  <si>
    <t>1|10108|0</t>
  </si>
  <si>
    <t>1|11032|0</t>
  </si>
  <si>
    <t>1|11031|0</t>
  </si>
  <si>
    <t>4|1|2500</t>
  </si>
  <si>
    <t>4|1|3750</t>
  </si>
  <si>
    <t>4|1|6250</t>
  </si>
  <si>
    <t>4|1|7500</t>
  </si>
  <si>
    <t>4|1|12500</t>
  </si>
  <si>
    <t>4|1|11250</t>
  </si>
  <si>
    <t>4|1|18750</t>
  </si>
  <si>
    <t>4|1|22500</t>
  </si>
  <si>
    <t>4|1|31250</t>
  </si>
  <si>
    <t>4|1|37500</t>
  </si>
  <si>
    <t>4|1|17500</t>
  </si>
  <si>
    <t>4|1|26250</t>
  </si>
  <si>
    <t>4|1|43750</t>
  </si>
  <si>
    <t>4|1|52500</t>
  </si>
  <si>
    <t>4|1|33750</t>
  </si>
  <si>
    <t>4|1|56250</t>
  </si>
  <si>
    <t>4|1|67500</t>
  </si>
  <si>
    <t>4|1|62500</t>
  </si>
  <si>
    <t>4|1|27500</t>
  </si>
  <si>
    <t>4|1|41250</t>
  </si>
  <si>
    <t>4|1|68750</t>
  </si>
  <si>
    <t>4|1|82500</t>
  </si>
  <si>
    <t>4|1|48750</t>
  </si>
  <si>
    <t>4|1|81250</t>
  </si>
  <si>
    <t>4|1|97500</t>
  </si>
  <si>
    <t>4|1|87500</t>
  </si>
  <si>
    <t>4|1|93750</t>
  </si>
  <si>
    <t>4|1|112500</t>
  </si>
  <si>
    <t>4|1|42500</t>
  </si>
  <si>
    <t>4|1|63750</t>
  </si>
  <si>
    <t>4|1|106250</t>
  </si>
  <si>
    <t>4|1|127500</t>
  </si>
  <si>
    <t>4|1|47500</t>
  </si>
  <si>
    <t>4|1|71250</t>
  </si>
  <si>
    <t>4|1|118750</t>
  </si>
  <si>
    <t>4|1|142500</t>
  </si>
  <si>
    <t>4|1|78750</t>
  </si>
  <si>
    <t>4|1|131250</t>
  </si>
  <si>
    <t>4|1|157500</t>
  </si>
  <si>
    <t>4|1|137500</t>
  </si>
  <si>
    <t>4|1|57500</t>
  </si>
  <si>
    <t>4|1|86250</t>
  </si>
  <si>
    <t>4|1|143750</t>
  </si>
  <si>
    <t>4|1|172500</t>
  </si>
  <si>
    <t>4|1|156250</t>
  </si>
  <si>
    <t>4|1|187500</t>
  </si>
  <si>
    <t>4|1|162500</t>
  </si>
  <si>
    <t>4|1|101250</t>
  </si>
  <si>
    <t>4|1|168750</t>
  </si>
  <si>
    <t>4|1|202500</t>
  </si>
  <si>
    <t>4|1|72500</t>
  </si>
  <si>
    <t>4|1|108750</t>
  </si>
  <si>
    <t>4|1|181250</t>
  </si>
  <si>
    <t>4|1|217500</t>
  </si>
  <si>
    <t>4|1|77500</t>
  </si>
  <si>
    <t>4|1|116250</t>
  </si>
  <si>
    <t>4|1|193750</t>
  </si>
  <si>
    <t>4|1|232500</t>
  </si>
  <si>
    <t>4|1|123750</t>
  </si>
  <si>
    <t>4|1|206250</t>
  </si>
  <si>
    <t>4|1|247500</t>
  </si>
  <si>
    <t>4|1|212500</t>
  </si>
  <si>
    <t>4|1|255000</t>
  </si>
  <si>
    <t>4|1|218750</t>
  </si>
  <si>
    <t>4|1|262500</t>
  </si>
  <si>
    <t>4|1|270000</t>
  </si>
  <si>
    <t>4|1|92500</t>
  </si>
  <si>
    <t>4|1|138750</t>
  </si>
  <si>
    <t>4|1|231250</t>
  </si>
  <si>
    <t>4|1|277500</t>
  </si>
  <si>
    <t>4|1|237500</t>
  </si>
  <si>
    <t>4|1|285000</t>
  </si>
  <si>
    <t>4|1|146250</t>
  </si>
  <si>
    <t>4|1|243750</t>
  </si>
  <si>
    <t>4|1|292500</t>
  </si>
  <si>
    <t>4|1|102500</t>
  </si>
  <si>
    <t>4|1|153750</t>
  </si>
  <si>
    <t>4|1|256250</t>
  </si>
  <si>
    <t>4|1|307500</t>
  </si>
  <si>
    <t>4|1|315000</t>
  </si>
  <si>
    <t>4|1|107500</t>
  </si>
  <si>
    <t>4|1|161250</t>
  </si>
  <si>
    <t>4|1|268750</t>
  </si>
  <si>
    <t>4|1|322500</t>
  </si>
  <si>
    <t>4|1|275000</t>
  </si>
  <si>
    <t>4|1|330000</t>
  </si>
  <si>
    <t>4|1|281250</t>
  </si>
  <si>
    <t>4|1|337500</t>
  </si>
  <si>
    <t>4|1|287500</t>
  </si>
  <si>
    <t>4|1|345000</t>
  </si>
  <si>
    <t>4|1|117500</t>
  </si>
  <si>
    <t>4|1|176250</t>
  </si>
  <si>
    <t>4|1|293750</t>
  </si>
  <si>
    <t>4|1|352500</t>
  </si>
  <si>
    <t>4|1|360000</t>
  </si>
  <si>
    <t>4|1|122500</t>
  </si>
  <si>
    <t>4|1|183750</t>
  </si>
  <si>
    <t>4|1|306250</t>
  </si>
  <si>
    <t>4|1|367500</t>
  </si>
  <si>
    <t>4|1|312500</t>
  </si>
  <si>
    <t>4|1|375000</t>
  </si>
  <si>
    <t>1|14107|40</t>
  </si>
  <si>
    <t>1|14107|60</t>
  </si>
  <si>
    <t>1|14107|80</t>
  </si>
  <si>
    <t>4|3|500</t>
  </si>
  <si>
    <t>4|1|8000</t>
  </si>
  <si>
    <t>4|1|11000</t>
  </si>
  <si>
    <t>4|1|14000</t>
  </si>
  <si>
    <t>4|1|17000</t>
  </si>
  <si>
    <t>4|1|23000</t>
  </si>
  <si>
    <t>4|1|26000</t>
  </si>
  <si>
    <t>4|1|29000</t>
  </si>
  <si>
    <t>4|1|32000</t>
  </si>
  <si>
    <t>4|1|38000</t>
  </si>
  <si>
    <t>4|1|41000</t>
  </si>
  <si>
    <t>4|1|44000</t>
  </si>
  <si>
    <t>4|1|47000</t>
  </si>
  <si>
    <t>4|1|53000</t>
  </si>
  <si>
    <t>4|1|56000</t>
  </si>
  <si>
    <t>4|1|59000</t>
  </si>
  <si>
    <t>4|1|62000</t>
  </si>
  <si>
    <t>4|3|550</t>
  </si>
  <si>
    <t>1|14203|10</t>
  </si>
  <si>
    <t>4|3|600</t>
  </si>
  <si>
    <t>1|14203|15</t>
  </si>
  <si>
    <t>4|3|650</t>
  </si>
  <si>
    <t>1|14203|20</t>
  </si>
  <si>
    <t>4|3|700</t>
  </si>
  <si>
    <t>1|14203|25</t>
  </si>
  <si>
    <t>4|3|750</t>
  </si>
  <si>
    <t>4|3|800</t>
  </si>
  <si>
    <t>1|14204|5</t>
  </si>
  <si>
    <t>4|3|900</t>
  </si>
  <si>
    <t>1|14204|10</t>
  </si>
  <si>
    <t>1|14204|15</t>
  </si>
  <si>
    <t>4|3|1100</t>
  </si>
  <si>
    <t>1|14204|20</t>
  </si>
  <si>
    <t>4|3|1200</t>
  </si>
  <si>
    <t>1|14204|25</t>
  </si>
  <si>
    <t>4|3|1300</t>
  </si>
  <si>
    <t>1|14204|30</t>
  </si>
  <si>
    <t>4|3|1400</t>
  </si>
  <si>
    <t>1|14204|35</t>
  </si>
  <si>
    <t>1|14204|40</t>
  </si>
  <si>
    <t>3|50018|1</t>
  </si>
  <si>
    <t>3|12530|1</t>
  </si>
  <si>
    <t>3|12504|1</t>
  </si>
  <si>
    <t>3|12501|1</t>
  </si>
  <si>
    <t>5|1133|1</t>
  </si>
  <si>
    <t>3|50000|1</t>
  </si>
  <si>
    <t>4|1|2000000</t>
  </si>
  <si>
    <t>4|2|10000</t>
  </si>
  <si>
    <t>3|51007|1</t>
  </si>
  <si>
    <t>3|51005|1</t>
  </si>
  <si>
    <t>3|51006|1</t>
  </si>
  <si>
    <t>1|10001|2</t>
  </si>
  <si>
    <t>1|10001|3</t>
  </si>
  <si>
    <t>1|10001|4</t>
  </si>
  <si>
    <t>1|10001|5</t>
  </si>
  <si>
    <t>1|10002|2</t>
  </si>
  <si>
    <t>1|10002|3</t>
  </si>
  <si>
    <t>1|10002|4</t>
  </si>
  <si>
    <t>1|10002|5</t>
  </si>
  <si>
    <t>1|10003|2</t>
  </si>
  <si>
    <t>1|10003|3</t>
  </si>
  <si>
    <t>1|10003|4</t>
  </si>
  <si>
    <t>1|10003|5</t>
  </si>
  <si>
    <t>1|10010|2</t>
  </si>
  <si>
    <t>1|10010|3</t>
  </si>
  <si>
    <t>1|10010|4</t>
  </si>
  <si>
    <t>1|10010|5</t>
  </si>
  <si>
    <t>1|10011|2</t>
  </si>
  <si>
    <t>1|10011|3</t>
  </si>
  <si>
    <t>1|10011|4</t>
  </si>
  <si>
    <t>1|10011|5</t>
  </si>
  <si>
    <t>1|10012|2</t>
  </si>
  <si>
    <t>1|10012|3</t>
  </si>
  <si>
    <t>1|10012|4</t>
  </si>
  <si>
    <t>1|10012|5</t>
  </si>
  <si>
    <t>1|10019|2</t>
  </si>
  <si>
    <t>1|10019|3</t>
  </si>
  <si>
    <t>1|10019|4</t>
  </si>
  <si>
    <t>1|10019|5</t>
  </si>
  <si>
    <t>1|10020|2</t>
  </si>
  <si>
    <t>1|10020|3</t>
  </si>
  <si>
    <t>1|10020|4</t>
  </si>
  <si>
    <t>1|10020|5</t>
  </si>
  <si>
    <t>1|10021|2</t>
  </si>
  <si>
    <t>1|10021|3</t>
  </si>
  <si>
    <t>1|10021|4</t>
  </si>
  <si>
    <t>1|10021|5</t>
  </si>
  <si>
    <t>3|52031|1</t>
  </si>
  <si>
    <t>3|52041|1</t>
  </si>
  <si>
    <t>3|52036|1</t>
  </si>
  <si>
    <t>3|52001|1</t>
  </si>
  <si>
    <t>3|52006|1</t>
  </si>
  <si>
    <t>3|52011|1</t>
  </si>
  <si>
    <t>3|52026|1</t>
  </si>
  <si>
    <t>3|52016|1</t>
  </si>
  <si>
    <t>3|52021|1</t>
  </si>
  <si>
    <t>1|13001|1</t>
  </si>
  <si>
    <t>1|13002|1</t>
  </si>
  <si>
    <t>1|13003|1</t>
  </si>
  <si>
    <t>1|13004|1</t>
  </si>
  <si>
    <t>1|13005|1</t>
  </si>
  <si>
    <t>1|13006|1</t>
  </si>
  <si>
    <t>1|13007|1</t>
  </si>
  <si>
    <t>1|13008|1</t>
  </si>
  <si>
    <t>1|13009|1</t>
  </si>
  <si>
    <t>1|13010|1</t>
  </si>
  <si>
    <t>1|13011|1</t>
  </si>
  <si>
    <t>1|13012|1</t>
  </si>
  <si>
    <t>1|14207|50</t>
  </si>
  <si>
    <t>1|14207|100</t>
  </si>
  <si>
    <t>1|14207|150</t>
  </si>
  <si>
    <t>1|14207|200</t>
  </si>
  <si>
    <t>1|14207|250</t>
  </si>
  <si>
    <t>1|14207|300</t>
  </si>
  <si>
    <t>1|14207|350</t>
  </si>
  <si>
    <t>1|14207|400</t>
  </si>
  <si>
    <t>1|14207|450</t>
  </si>
  <si>
    <t>1|14207|500</t>
  </si>
  <si>
    <t>1|14207|5</t>
  </si>
  <si>
    <t>1|14207|10</t>
  </si>
  <si>
    <t>4|7|500</t>
  </si>
  <si>
    <t>4|7|1500</t>
  </si>
  <si>
    <t>4|7|600</t>
  </si>
  <si>
    <t>1|14311|5</t>
  </si>
  <si>
    <t>1|11018|16</t>
  </si>
  <si>
    <t>1|14102|10</t>
  </si>
  <si>
    <t>4|4|300</t>
  </si>
  <si>
    <t>1|14102|20</t>
  </si>
  <si>
    <t>4|5|800</t>
  </si>
  <si>
    <t>4|2|3000</t>
  </si>
  <si>
    <t>4|4|500</t>
  </si>
  <si>
    <t>4|2|4000</t>
  </si>
  <si>
    <t>1|14201|150</t>
  </si>
  <si>
    <t>1|14107|150</t>
  </si>
  <si>
    <t>4|2|6000</t>
  </si>
  <si>
    <t>4|5|1000</t>
  </si>
  <si>
    <t>4|4|800</t>
  </si>
  <si>
    <t>4|2|7000</t>
  </si>
  <si>
    <t>4|4|600</t>
  </si>
  <si>
    <t>4|5|1600</t>
  </si>
  <si>
    <t>4|4|1000</t>
  </si>
  <si>
    <t>1|14201|300</t>
  </si>
  <si>
    <t>1|14101|4</t>
  </si>
  <si>
    <t>4|5|2000</t>
  </si>
  <si>
    <t>4|2|1500</t>
  </si>
  <si>
    <t>1|14006|1</t>
  </si>
  <si>
    <t>1|14006|2</t>
  </si>
  <si>
    <t>6|4502|3</t>
  </si>
  <si>
    <t>1|14306|3</t>
  </si>
  <si>
    <t>1|14101|8</t>
  </si>
  <si>
    <t>1|14306|5</t>
  </si>
  <si>
    <t>6|4503|2</t>
  </si>
  <si>
    <t>4|1|600000</t>
  </si>
  <si>
    <t>1|14101|12</t>
  </si>
  <si>
    <t>1|14108|12</t>
  </si>
  <si>
    <t>4|1|800000</t>
  </si>
  <si>
    <t>6|4503|4</t>
  </si>
  <si>
    <t>6|4503|10</t>
  </si>
  <si>
    <t>4|1|1000000</t>
  </si>
  <si>
    <t>4|4|400</t>
  </si>
  <si>
    <t>1|14102|40</t>
  </si>
  <si>
    <t>1|14204|50</t>
  </si>
  <si>
    <t>6|4503|15</t>
  </si>
  <si>
    <t>4|1|1500000</t>
  </si>
  <si>
    <t>1|14101|40</t>
  </si>
  <si>
    <t>1|14204|100</t>
  </si>
  <si>
    <t>1|14201|250</t>
  </si>
  <si>
    <t>1|14003|10</t>
  </si>
  <si>
    <t>6|4502|5</t>
  </si>
  <si>
    <t>1|14312|2</t>
  </si>
  <si>
    <t>1|14313|2</t>
  </si>
  <si>
    <t>1|14005|2</t>
  </si>
  <si>
    <t>1|14005|8</t>
  </si>
  <si>
    <t>1|14101|35</t>
  </si>
  <si>
    <t>4|4|700</t>
  </si>
  <si>
    <t>1|14305|2</t>
  </si>
  <si>
    <t>1|14305|4</t>
  </si>
  <si>
    <t>1|14305|6</t>
  </si>
  <si>
    <t>1|14305|8</t>
  </si>
  <si>
    <t>1|14306|4</t>
  </si>
  <si>
    <t>1|14306|6</t>
  </si>
  <si>
    <t>1|14306|8</t>
  </si>
  <si>
    <t>6|4502|4</t>
  </si>
  <si>
    <t>6|4502|6</t>
  </si>
  <si>
    <t>6|4502|7</t>
  </si>
  <si>
    <t>4|3|200</t>
  </si>
  <si>
    <t>4|3|300</t>
  </si>
  <si>
    <t>4|3|400</t>
  </si>
  <si>
    <t>4|2|2500</t>
  </si>
  <si>
    <t>4|2|3500</t>
  </si>
  <si>
    <t>4|5|300</t>
  </si>
  <si>
    <t>4|5|400</t>
  </si>
  <si>
    <t>4|5|500</t>
  </si>
  <si>
    <t>4|5|600</t>
  </si>
  <si>
    <t>4|5|700</t>
  </si>
  <si>
    <t>4|1|700000</t>
  </si>
  <si>
    <t>1|14107|600</t>
  </si>
  <si>
    <t>1|14107|700</t>
  </si>
  <si>
    <t>4|2|1750</t>
  </si>
  <si>
    <t>4|2|2250</t>
  </si>
  <si>
    <t>4|2|2750</t>
  </si>
  <si>
    <t>1|14108|15</t>
  </si>
  <si>
    <t>1|14108|25</t>
  </si>
  <si>
    <t>1|14108|30</t>
  </si>
  <si>
    <t>1|14108|35</t>
  </si>
  <si>
    <t>1|14108|40</t>
  </si>
  <si>
    <t>1|14201|500</t>
  </si>
  <si>
    <t>1|14405|6</t>
  </si>
  <si>
    <t>1|14405|12</t>
  </si>
  <si>
    <t>1|14405|30</t>
  </si>
  <si>
    <t>1|14405|120</t>
  </si>
  <si>
    <t>1|14405|300</t>
  </si>
  <si>
    <t>1|14102|50</t>
  </si>
  <si>
    <t>1|16503|2</t>
  </si>
  <si>
    <t>1|16503|3</t>
  </si>
  <si>
    <t>1|16503|4</t>
  </si>
  <si>
    <t>1|16503|6</t>
  </si>
  <si>
    <t>1|16503|9</t>
  </si>
  <si>
    <t>1|16503|8</t>
  </si>
  <si>
    <t>1|16503|12</t>
  </si>
  <si>
    <t>1|16503|10</t>
  </si>
  <si>
    <t>1|16503|15</t>
  </si>
  <si>
    <t>1|16005|4</t>
  </si>
  <si>
    <t>1|16005|13</t>
  </si>
  <si>
    <t>1|16005|21</t>
  </si>
  <si>
    <t>1|16005|29</t>
  </si>
  <si>
    <t>1|16005|38</t>
  </si>
  <si>
    <t>1|16001|0</t>
  </si>
  <si>
    <t>1|16001|1</t>
  </si>
  <si>
    <t>1|16001|3</t>
  </si>
  <si>
    <t>1|16001|4</t>
  </si>
  <si>
    <t>1|16006|0</t>
  </si>
  <si>
    <t>1|16006|1</t>
  </si>
  <si>
    <t>1|16501|20</t>
  </si>
  <si>
    <t>1|14311|2</t>
  </si>
  <si>
    <t>1|14311|3</t>
  </si>
  <si>
    <t>4|5|5000</t>
  </si>
  <si>
    <t>4|5|4000</t>
  </si>
  <si>
    <t>4|5|3500</t>
  </si>
  <si>
    <t>4|5|3000</t>
  </si>
  <si>
    <t>4|5|2500</t>
  </si>
  <si>
    <t>4|1|1000</t>
  </si>
  <si>
    <t>4|1|550000</t>
  </si>
  <si>
    <t>4|1|650000</t>
  </si>
  <si>
    <t>4|1|750000</t>
  </si>
  <si>
    <t>4|1|850000</t>
  </si>
  <si>
    <t>4|1|900000</t>
  </si>
  <si>
    <t>4|1|950000</t>
  </si>
  <si>
    <t>4|1|1050000</t>
  </si>
  <si>
    <t>4|1|1100000</t>
  </si>
  <si>
    <t>4|1|1150000</t>
  </si>
  <si>
    <t>4|1|1200000</t>
  </si>
  <si>
    <t>4|1|1300000</t>
  </si>
  <si>
    <t>4|1|1400000</t>
  </si>
  <si>
    <t>4|1|1600000</t>
  </si>
  <si>
    <t>4|1|1700000</t>
  </si>
  <si>
    <t>4|1|1800000</t>
  </si>
  <si>
    <t>4|1|1900000</t>
  </si>
  <si>
    <t>4|1|2100000</t>
  </si>
  <si>
    <t>4|1|2200000</t>
  </si>
  <si>
    <t>4|1|2300000</t>
  </si>
  <si>
    <t>4|1|2400000</t>
  </si>
  <si>
    <t>1|14002|20</t>
  </si>
  <si>
    <t>1|14002|40</t>
  </si>
  <si>
    <t>1|14003|20</t>
  </si>
  <si>
    <t>1|14003|22</t>
  </si>
  <si>
    <t>1|14003|24</t>
  </si>
  <si>
    <t>1|14003|26</t>
  </si>
  <si>
    <t>1|14003|28</t>
  </si>
  <si>
    <t>1|14003|30</t>
  </si>
  <si>
    <t>1|14003|32</t>
  </si>
  <si>
    <t>1|14003|34</t>
  </si>
  <si>
    <t>1|14003|36</t>
  </si>
  <si>
    <t>1|14003|38</t>
  </si>
  <si>
    <t>1|14003|40</t>
  </si>
  <si>
    <t>1|14003|42</t>
  </si>
  <si>
    <t>1|14003|44</t>
  </si>
  <si>
    <t>1|14003|46</t>
  </si>
  <si>
    <t>1|14003|48</t>
  </si>
  <si>
    <t>1|14003|52</t>
  </si>
  <si>
    <t>1|14003|54</t>
  </si>
  <si>
    <t>1|14003|56</t>
  </si>
  <si>
    <t>1|14003|58</t>
  </si>
  <si>
    <t>1|14002|60</t>
  </si>
  <si>
    <t>1|14002|80</t>
  </si>
  <si>
    <t>1|14002|100</t>
  </si>
  <si>
    <t>1|14003|25</t>
  </si>
  <si>
    <t>1|14003|35</t>
  </si>
  <si>
    <t>1|14003|45</t>
  </si>
  <si>
    <t>1|14003|55</t>
  </si>
  <si>
    <t>1|14003|60</t>
  </si>
  <si>
    <t>1|14003|65</t>
  </si>
  <si>
    <t>1|14003|70</t>
  </si>
  <si>
    <t>1|14003|75</t>
  </si>
  <si>
    <t>1|14003|80</t>
  </si>
  <si>
    <t>1|14003|85</t>
  </si>
  <si>
    <t>1|14003|90</t>
  </si>
  <si>
    <t>1|14003|95</t>
  </si>
  <si>
    <t>1|14003|100</t>
  </si>
  <si>
    <t>1|14107|120</t>
  </si>
  <si>
    <t>1|14107|140</t>
  </si>
  <si>
    <t>1|14107|160</t>
  </si>
  <si>
    <t>1|14107|180</t>
  </si>
  <si>
    <t>1|14107|220</t>
  </si>
  <si>
    <t>1|14107|240</t>
  </si>
  <si>
    <t>1|14107|260</t>
  </si>
  <si>
    <t>1|14107|280</t>
  </si>
  <si>
    <t>1|14107|320</t>
  </si>
  <si>
    <t>1|14107|340</t>
  </si>
  <si>
    <t>1|14107|360</t>
  </si>
  <si>
    <t>1|14107|380</t>
  </si>
  <si>
    <t>1|14107|420</t>
  </si>
  <si>
    <t>1|14107|440</t>
  </si>
  <si>
    <t>1|14107|460</t>
  </si>
  <si>
    <t>1|14107|480</t>
  </si>
  <si>
    <t>1|16005|80</t>
  </si>
  <si>
    <t>1|16005|120</t>
  </si>
  <si>
    <t>1|16005|140</t>
  </si>
  <si>
    <t>1|16005|180</t>
  </si>
  <si>
    <t>1|16005|220</t>
  </si>
  <si>
    <t>1|16005|240</t>
  </si>
  <si>
    <t>1|16005|260</t>
  </si>
  <si>
    <t>1|16005|280</t>
  </si>
  <si>
    <t>1|16005|300</t>
  </si>
  <si>
    <t>1|16005|320</t>
  </si>
  <si>
    <t>1|16005|340</t>
  </si>
  <si>
    <t>1|16005|360</t>
  </si>
  <si>
    <t>1|16005|380</t>
  </si>
  <si>
    <t>1|16005|400</t>
  </si>
  <si>
    <t>1|16005|420</t>
  </si>
  <si>
    <t>1|16005|440</t>
  </si>
  <si>
    <t>1|16005|460</t>
  </si>
  <si>
    <t>1|16001|5</t>
  </si>
  <si>
    <t>1|16001|6</t>
  </si>
  <si>
    <t>1|16001|7</t>
  </si>
  <si>
    <t>1|16001|8</t>
  </si>
  <si>
    <t>1|16001|9</t>
  </si>
  <si>
    <t>1|16001|10</t>
  </si>
  <si>
    <t>1|16006|2</t>
  </si>
  <si>
    <t>1|16006|3</t>
  </si>
  <si>
    <t>1|16006|4</t>
  </si>
  <si>
    <t>1|16005|480</t>
  </si>
  <si>
    <t>1|16005|540</t>
  </si>
  <si>
    <t>1|16005|600</t>
  </si>
  <si>
    <t>1|16005|660</t>
  </si>
  <si>
    <t>1|16005|720</t>
  </si>
  <si>
    <t>1|16005|780</t>
  </si>
  <si>
    <t>1|16005|840</t>
  </si>
  <si>
    <t>1|16005|900</t>
  </si>
  <si>
    <t>1|16005|960</t>
  </si>
  <si>
    <t>1|16005|1020</t>
  </si>
  <si>
    <t>1|16005|1080</t>
  </si>
  <si>
    <t>1|16005|1140</t>
  </si>
  <si>
    <t>1|16005|1200</t>
  </si>
  <si>
    <t>1|16005|1260</t>
  </si>
  <si>
    <t>1|16005|1320</t>
  </si>
  <si>
    <t>1|16005|1380</t>
  </si>
  <si>
    <t>1|14104|40</t>
  </si>
  <si>
    <t>1|14104|60</t>
  </si>
  <si>
    <t>1|14104|70</t>
  </si>
  <si>
    <t>1|14104|80</t>
  </si>
  <si>
    <t>1|14104|90</t>
  </si>
  <si>
    <t>1|14104|110</t>
  </si>
  <si>
    <t>1|14104|120</t>
  </si>
  <si>
    <t>1|14104|130</t>
  </si>
  <si>
    <t>1|14104|140</t>
  </si>
  <si>
    <t>1|14104|160</t>
  </si>
  <si>
    <t>1|14104|170</t>
  </si>
  <si>
    <t>1|14104|180</t>
  </si>
  <si>
    <t>1|14104|190</t>
  </si>
  <si>
    <t>1|14104|210</t>
  </si>
  <si>
    <t>1|14104|220</t>
  </si>
  <si>
    <t>1|14104|230</t>
  </si>
  <si>
    <t>1|14104|240</t>
  </si>
  <si>
    <t>1|14104|260</t>
  </si>
  <si>
    <t>1|14104|270</t>
  </si>
  <si>
    <t>1|14104|300</t>
  </si>
  <si>
    <t>1|14104|330</t>
  </si>
  <si>
    <t>1|14104|360</t>
  </si>
  <si>
    <t>1|14104|390</t>
  </si>
  <si>
    <t>1|14104|420</t>
  </si>
  <si>
    <t>1|14104|450</t>
  </si>
  <si>
    <t>1|14104|480</t>
  </si>
  <si>
    <t>1|14104|510</t>
  </si>
  <si>
    <t>1|14104|540</t>
  </si>
  <si>
    <t>1|14104|570</t>
  </si>
  <si>
    <t>1|14104|600</t>
  </si>
  <si>
    <t>1|14104|630</t>
  </si>
  <si>
    <t>1|14104|660</t>
  </si>
  <si>
    <t>1|14104|690</t>
  </si>
  <si>
    <t>1|14104|720</t>
  </si>
  <si>
    <t>1|14104|780</t>
  </si>
  <si>
    <t>1|14104|810</t>
  </si>
  <si>
    <t>6|4502|8</t>
  </si>
  <si>
    <t>6|4502|9</t>
  </si>
  <si>
    <t>6|4502|10</t>
  </si>
  <si>
    <t>6|4502|11</t>
  </si>
  <si>
    <t>6|4502|12</t>
  </si>
  <si>
    <t>6|4502|13</t>
  </si>
  <si>
    <t>6|4502|14</t>
  </si>
  <si>
    <t>6|4502|15</t>
  </si>
  <si>
    <t>6|4502|16</t>
  </si>
  <si>
    <t>6|4502|17</t>
  </si>
  <si>
    <t>6|4502|18</t>
  </si>
  <si>
    <t>6|4502|19</t>
  </si>
  <si>
    <t>6|4502|20</t>
  </si>
  <si>
    <t>6|4502|21</t>
  </si>
  <si>
    <t>6|4502|22</t>
  </si>
  <si>
    <t>6|4502|23</t>
  </si>
  <si>
    <t>1|14201|600</t>
  </si>
  <si>
    <t>1|14201|700</t>
  </si>
  <si>
    <t>1|14201|800</t>
  </si>
  <si>
    <t>1|14201|900</t>
  </si>
  <si>
    <t>1|14201|1000</t>
  </si>
  <si>
    <t>1|14201|1100</t>
  </si>
  <si>
    <t>1|14201|1200</t>
  </si>
  <si>
    <t>1|14201|1300</t>
  </si>
  <si>
    <t>1|14201|1400</t>
  </si>
  <si>
    <t>1|14201|1500</t>
  </si>
  <si>
    <t>1|14201|1600</t>
  </si>
  <si>
    <t>1|14201|1700</t>
  </si>
  <si>
    <t>1|14201|1800</t>
  </si>
  <si>
    <t>1|14201|1900</t>
  </si>
  <si>
    <t>1|14201|2000</t>
  </si>
  <si>
    <t>1|14201|2500</t>
  </si>
  <si>
    <t>1|14201|3000</t>
  </si>
  <si>
    <t>1|14201|3500</t>
  </si>
  <si>
    <t>1|14201|4000</t>
  </si>
  <si>
    <t>1|14201|4500</t>
  </si>
  <si>
    <t>1|14201|5000</t>
  </si>
  <si>
    <t>1|14201|5500</t>
  </si>
  <si>
    <t>1|14201|6000</t>
  </si>
  <si>
    <t>1|14201|6500</t>
  </si>
  <si>
    <t>1|14201|7000</t>
  </si>
  <si>
    <t>1|14201|7500</t>
  </si>
  <si>
    <t>1|14201|8000</t>
  </si>
  <si>
    <t>1|14201|8500</t>
  </si>
  <si>
    <t>1|14201|9000</t>
  </si>
  <si>
    <t>1|14201|9500</t>
  </si>
  <si>
    <t>1|14201|10000</t>
  </si>
  <si>
    <t>1|10004|80</t>
  </si>
  <si>
    <t>3|75131|1</t>
  </si>
  <si>
    <t>3|75132|1</t>
  </si>
  <si>
    <t>3|75133|1</t>
  </si>
  <si>
    <t>3|75134|1</t>
  </si>
  <si>
    <t>3|75135|1</t>
  </si>
  <si>
    <t>3|75136|1</t>
  </si>
  <si>
    <t>3|75137|1</t>
  </si>
  <si>
    <t>1|14104|30</t>
  </si>
  <si>
    <t>1|14102|30</t>
  </si>
  <si>
    <t>1|10002|50</t>
  </si>
  <si>
    <t>1|11032|20</t>
  </si>
  <si>
    <t>1|10021|50</t>
  </si>
  <si>
    <t>1|10001|50</t>
  </si>
  <si>
    <t>1|11029|20</t>
  </si>
  <si>
    <t>1|10020|50</t>
  </si>
  <si>
    <t>1|10019|50</t>
  </si>
  <si>
    <t>1|11031|20</t>
  </si>
  <si>
    <t>1|10012|50</t>
  </si>
  <si>
    <t>1|11030|40</t>
  </si>
  <si>
    <t>1|14003|4</t>
  </si>
  <si>
    <t>1|14003|6</t>
  </si>
  <si>
    <t>1|14003|8</t>
  </si>
  <si>
    <t>1|14003|12</t>
  </si>
  <si>
    <t>1|14003|14</t>
  </si>
  <si>
    <t>1|14003|16</t>
  </si>
  <si>
    <t>1|14003|18</t>
  </si>
  <si>
    <t>4|1|320000</t>
  </si>
  <si>
    <t>4|5|7000</t>
  </si>
  <si>
    <t>4|5|9000</t>
  </si>
  <si>
    <t>4|5|10000</t>
  </si>
  <si>
    <t>1|14306|10</t>
  </si>
  <si>
    <t>1|14303|2</t>
  </si>
  <si>
    <t>1|14303|4</t>
  </si>
  <si>
    <t>1|14303|6</t>
  </si>
  <si>
    <t>1|14303|8</t>
  </si>
  <si>
    <t>1|14303|10</t>
  </si>
  <si>
    <t>1|16005|2</t>
  </si>
  <si>
    <t>1|16005|6</t>
  </si>
  <si>
    <t>1|16005|12</t>
  </si>
  <si>
    <t>1|16005|14</t>
  </si>
  <si>
    <t>1|16005|16</t>
  </si>
  <si>
    <t>1|16005|18</t>
  </si>
  <si>
    <t>1|16005|20</t>
  </si>
  <si>
    <t>1|14101|3</t>
  </si>
  <si>
    <t>1|14303|5</t>
  </si>
  <si>
    <t>1|14303|7</t>
  </si>
  <si>
    <t>1|14303|9</t>
  </si>
  <si>
    <t>1|14101|6</t>
  </si>
  <si>
    <t>1|14101|7</t>
  </si>
  <si>
    <t>1|14101|9</t>
  </si>
  <si>
    <t>1|14107|800</t>
  </si>
  <si>
    <t>1|14107|900</t>
  </si>
  <si>
    <t>1|14107|1000</t>
  </si>
  <si>
    <t>4|2|4500</t>
  </si>
  <si>
    <t>4|2|5500</t>
  </si>
  <si>
    <t>4|2|8000</t>
  </si>
  <si>
    <t>4|2|12000</t>
  </si>
  <si>
    <t>4|2|15000</t>
  </si>
  <si>
    <t>1|14405|20</t>
  </si>
  <si>
    <t>1|14405|40</t>
  </si>
  <si>
    <t>1|14405|60</t>
  </si>
  <si>
    <t>1|14405|80</t>
  </si>
  <si>
    <t>1|14405|180</t>
  </si>
  <si>
    <t>1|14405|400</t>
  </si>
  <si>
    <t>1|14405|500</t>
  </si>
  <si>
    <t>1|14405|650</t>
  </si>
  <si>
    <t>1|14405|750</t>
  </si>
  <si>
    <t>1|14405|850</t>
  </si>
  <si>
    <t>1|14405|1000</t>
  </si>
  <si>
    <t>1|14405|1200</t>
  </si>
  <si>
    <t>1|14405|1500</t>
  </si>
  <si>
    <t>4|1|2000,4|3|100</t>
    <phoneticPr fontId="17" type="noConversion"/>
  </si>
  <si>
    <t>大雁塔通关奖励</t>
    <phoneticPr fontId="17" type="noConversion"/>
  </si>
  <si>
    <t>掉落包类型
0-全部抽出（不考虑后面的掉率或权重）
1-抽1个（根据后面的掉率或权重抽取）
2-抽1个（根据权重抽取，但是被抽出的物品会从奖池里去除）</t>
    <phoneticPr fontId="17" type="noConversion"/>
  </si>
  <si>
    <t>4|3|10000|1</t>
    <phoneticPr fontId="17" type="noConversion"/>
  </si>
  <si>
    <t>4|1|2000|1,4|3|100|1</t>
    <phoneticPr fontId="17" type="noConversion"/>
  </si>
  <si>
    <t>主线副本掉落测试用</t>
    <phoneticPr fontId="17" type="noConversion"/>
  </si>
  <si>
    <t>4|10|200,4|1|1000</t>
    <phoneticPr fontId="17" type="noConversion"/>
  </si>
  <si>
    <t>4|10|200|1,4|1|1000|1</t>
    <phoneticPr fontId="17" type="noConversion"/>
  </si>
  <si>
    <t>1-19级招财获得金币</t>
  </si>
  <si>
    <t>20-29级招财获得金币</t>
  </si>
  <si>
    <t>30-39级招财获得金币</t>
  </si>
  <si>
    <t>40-49级招财获得金币</t>
  </si>
  <si>
    <t>50-59级招财获得金币</t>
  </si>
  <si>
    <t>60-69级招财获得金币</t>
  </si>
  <si>
    <t>70-79级招财获得金币</t>
  </si>
  <si>
    <t>80-89级招财获得金币</t>
  </si>
  <si>
    <t>90-99级招财获得金币</t>
  </si>
  <si>
    <t>100-109级招财获得金币</t>
  </si>
  <si>
    <t>110-119级招财获得金币</t>
  </si>
  <si>
    <t>120-129级招财获得金币</t>
  </si>
  <si>
    <t>130-139级招财获得金币</t>
  </si>
  <si>
    <t>140-149级招财获得金币</t>
  </si>
  <si>
    <t>150-159级招财获得金币</t>
  </si>
  <si>
    <t>4|1|20000</t>
    <phoneticPr fontId="17" type="noConversion"/>
  </si>
  <si>
    <t>4|1|30000</t>
    <phoneticPr fontId="17" type="noConversion"/>
  </si>
  <si>
    <t>游历四方领地1奖励</t>
    <phoneticPr fontId="17" type="noConversion"/>
  </si>
  <si>
    <t>游历四方领地2奖励</t>
  </si>
  <si>
    <t>游历四方领地3奖励</t>
  </si>
  <si>
    <t>游历四方领地4奖励</t>
  </si>
  <si>
    <t>游历四方领地5奖励</t>
  </si>
  <si>
    <t>游历四方领地1奖励_武将</t>
    <phoneticPr fontId="17" type="noConversion"/>
  </si>
  <si>
    <t>游历四方领地2奖励_物品</t>
  </si>
  <si>
    <t>游历四方领地1奖励_物品</t>
    <phoneticPr fontId="17" type="noConversion"/>
  </si>
  <si>
    <t>游历四方领地2奖励_武将</t>
  </si>
  <si>
    <t>游历四方领地3奖励_武将</t>
  </si>
  <si>
    <t>游历四方领地3奖励_物品</t>
  </si>
  <si>
    <t>游历四方领地4奖励_武将</t>
  </si>
  <si>
    <t>游历四方领地4奖励_物品</t>
  </si>
  <si>
    <t>游历四方领地5奖励_武将</t>
  </si>
  <si>
    <t>游历四方领地5奖励_物品</t>
  </si>
  <si>
    <t>3|1001103|1|10,3|1001104|1|90</t>
    <phoneticPr fontId="17" type="noConversion"/>
  </si>
  <si>
    <t>3|1001105|1|10,3|1001106|1|90</t>
    <phoneticPr fontId="17" type="noConversion"/>
  </si>
  <si>
    <t>3|1001107|1|10,3|1001108|1|90</t>
    <phoneticPr fontId="17" type="noConversion"/>
  </si>
  <si>
    <t>3|1001109|1|10,3|1001110|1|90</t>
    <phoneticPr fontId="17" type="noConversion"/>
  </si>
  <si>
    <t>[]</t>
    <phoneticPr fontId="17" type="noConversion"/>
  </si>
  <si>
    <t>1|10001|1|10,1|10002|1|10,1|10003|1|10</t>
    <phoneticPr fontId="17" type="noConversion"/>
  </si>
  <si>
    <t>1|10001|1,1|10002|1,1|10003|1</t>
    <phoneticPr fontId="17" type="noConversion"/>
  </si>
  <si>
    <t>1|14002|1,1|14003|1,1|14004|1,1|14104|1,1|16005|1</t>
    <phoneticPr fontId="17" type="noConversion"/>
  </si>
  <si>
    <t>3|1001101|1|10,3|1001102|1|90</t>
    <phoneticPr fontId="17" type="noConversion"/>
  </si>
  <si>
    <t>3|26001|1|30,3|26002|1|6,3|26003|1|3,3|26004|1|3,3|26005|1|10,3|26006|1|20,3|26007|1|10,3|26008|1|10,3|26009|1|5,3|26010|1|3</t>
    <phoneticPr fontId="17" type="noConversion"/>
  </si>
  <si>
    <t>4|1|80000</t>
    <phoneticPr fontId="17" type="noConversion"/>
  </si>
  <si>
    <t>4|1|90000</t>
    <phoneticPr fontId="17" type="noConversion"/>
  </si>
  <si>
    <t>4|33|1</t>
    <phoneticPr fontId="17" type="noConversion"/>
  </si>
  <si>
    <t>4|33|1|1</t>
    <phoneticPr fontId="17" type="noConversion"/>
  </si>
  <si>
    <t>挑战令开启获得挑战次数</t>
    <phoneticPr fontId="17" type="noConversion"/>
  </si>
  <si>
    <t>4|2|1000|1</t>
    <phoneticPr fontId="17" type="noConversion"/>
  </si>
  <si>
    <t>游历四方挑战领地获胜奖励</t>
    <phoneticPr fontId="17" type="noConversion"/>
  </si>
  <si>
    <t>4|2|400</t>
    <phoneticPr fontId="17" type="noConversion"/>
  </si>
  <si>
    <t>3|12530|1|833,3|12531|1|833,3|12532|1|833,3|12533|1|834,3|12534|1|834,3|12535|1|833,3|12536|1|834,3|12537|1|834,3|12538|1|833,3|12539|1|833,3|12540|1|833,3|12541|1|833</t>
  </si>
  <si>
    <t>3|12501|1|111,3|12502|1|111,3|12503|1|111,3|12510|1|111,3|12511|1|112,3|12512|1|111,3|12519|1|111,3|12520|1|111,3|12521|1|111,3|12504|1|9,3|12505|1|9,3|12506|1|9,3|12513|1|9,3|12514|1|9,3|12515|1|9,3|12516|1|9,3|12517|1|9,3|12518|1|9,3|12522|1|9</t>
  </si>
  <si>
    <t>1|14001|2|7,1|14001|3|3</t>
  </si>
  <si>
    <t>1|14002|2|7,1|14002|3|3</t>
  </si>
  <si>
    <t>1|14003|1|7,1|14003|2|3</t>
  </si>
  <si>
    <t>1|14106|2|5,1|14106|3|3,1|14106|4|2</t>
  </si>
  <si>
    <t>1|14107|1|7,1|14107|2|3</t>
  </si>
  <si>
    <t>4|1|50000|4,4|1|800000|3,4|1|100000|2,4|1|200000|1</t>
  </si>
  <si>
    <t>1|14107|50|4,1|14107|100|4,1|14107|400|2</t>
  </si>
  <si>
    <t>1|14201|50|4,1|14201|100|4,1|14201|400|2</t>
  </si>
  <si>
    <t>1|14104|50|4,1|14104|100|4,1|14104|400|2</t>
  </si>
  <si>
    <t>1|14107|3|8,1|14107|0|2</t>
  </si>
  <si>
    <t>1|14107|4|8,1|14107|0|2</t>
  </si>
  <si>
    <t>1|14202|1|8,1|14202|0|2</t>
  </si>
  <si>
    <t>1|14202|2|8,1|14202|0|2</t>
  </si>
  <si>
    <t>1|14203|1|8,1|14203|0|2</t>
  </si>
  <si>
    <t>1|14203|2|8,1|14203|0|2</t>
  </si>
  <si>
    <t>1|14204|1|8,1|14204|0|2</t>
  </si>
  <si>
    <t>1|14204|2|8,1|14204|0|2</t>
  </si>
  <si>
    <t>1|14001|3|2,1|14001|4|6,1|14001|5|2</t>
  </si>
  <si>
    <t>1|14001|4|2,1|14001|5|6,1|14001|6|2</t>
  </si>
  <si>
    <t>1|14001|5|2,1|14001|6|6,1|14001|7|2</t>
  </si>
  <si>
    <t>1|14001|6|2,1|14001|7|6,1|14001|8|2</t>
  </si>
  <si>
    <t>1|14002|3|6,1|14002|4|3,1|14002|5|1</t>
  </si>
  <si>
    <t>1|14003|1|3,1|14003|2|7</t>
  </si>
  <si>
    <t>1|14003|1|3,1|14003|2|6,1|14003|3|1</t>
  </si>
  <si>
    <t>1|14003|1|3,1|14003|2|5,1|14003|3|2</t>
  </si>
  <si>
    <t>1|14003|1|2,1|14003|2|6,1|14003|3|2</t>
  </si>
  <si>
    <t>1|14003|1|1,1|14003|2|7,1|14003|3|2</t>
  </si>
  <si>
    <t>1|14003|1|1,1|14003|2|6,1|14003|3|3</t>
  </si>
  <si>
    <t>1|14003|2|7,1|14003|3|3</t>
  </si>
  <si>
    <t>1|14003|2|6,1|14003|3|4</t>
  </si>
  <si>
    <t>1|14003|2|5,1|14003|3|5</t>
  </si>
  <si>
    <t>1|14003|2|6,1|14003|3|2,1|14003|4|2</t>
  </si>
  <si>
    <t>1|14003|2|5,1|14003|3|3,1|14003|4|2</t>
  </si>
  <si>
    <t>1|14003|2|4,1|14003|3|4,1|14003|4|2</t>
  </si>
  <si>
    <t>1|14003|2|3,1|14003|3|5,1|14003|4|2</t>
  </si>
  <si>
    <t>1|14003|2|2,1|14003|3|6,1|14003|4|2</t>
  </si>
  <si>
    <t>3|12504|1|1,3|12505|1|1,3|12506|1|1,3|12513|1|1,3|12514|1|1,3|12515|1|1,3|12516|1|1,3|12517|1|1,3|12518|1|1,3|12522|1|1</t>
  </si>
  <si>
    <t>3|12501|1|66,3|12502|1|134,3|12503|1|133,3|12510|1|134,3|12511|1|134,3|12512|1|66,3|12519|1|66,3|12520|1|134,3|12521|1|133</t>
  </si>
  <si>
    <t>3|52031|1|1,3|52032|1|6,3|52033|1|2,3|52034|1|14,3|52035|1|6,3|52046|1|4,3|52047|1|4,3|52048|1|4,3|52049|1|4,3|52050|1|4,3|52051|1|4,3|52052|1|4,3|52053|1|4,3|52054|1|4,3|52055|1|4,3|52056|1|4,3|52057|1|4,3|52058|1|4,3|52059|1|4,3|52060|1|4,3|52061|1|4,3|52062|1|4,3|52063|1|4,3|52064|1|4,3|52065|1|4</t>
  </si>
  <si>
    <t>3|52041|1|1,3|52042|1|6,3|52043|1|2,3|52044|1|14,3|52045|1|6,3|52046|1|4,3|52047|1|4,3|52048|1|4,3|52049|1|4,3|52050|1|4,3|52051|1|4,3|52052|1|4,3|52053|1|4,3|52054|1|4,3|52055|1|4,3|52056|1|4,3|52057|1|4,3|52058|1|4,3|52059|1|4,3|52060|1|4,3|52061|1|4,3|52062|1|4,3|52063|1|4,3|52064|1|4,3|52065|1|4</t>
  </si>
  <si>
    <t>3|52036|1|1,3|52037|1|6,3|52038|1|2,3|52039|1|14,3|52040|1|6,3|52046|1|4,3|52047|1|4,3|52048|1|4,3|52049|1|4,3|52050|1|4,3|52051|1|4,3|52052|1|4,3|52053|1|4,3|52054|1|4,3|52055|1|4,3|52056|1|4,3|52057|1|4,3|52058|1|4,3|52059|1|4,3|52060|1|4,3|52061|1|4,3|52062|1|4,3|52063|1|4,3|52064|1|4,3|52065|1|4</t>
  </si>
  <si>
    <t>3|52001|1|1,3|52002|1|6,3|52003|1|2,3|52004|1|14,3|52005|1|6,3|52046|1|4,3|52047|1|4,3|52048|1|4,3|52049|1|4,3|52050|1|4,3|52051|1|4,3|52052|1|4,3|52053|1|4,3|52054|1|4,3|52055|1|4,3|52056|1|4,3|52057|1|4,3|52058|1|4,3|52059|1|4,3|52060|1|4,3|52061|1|4,3|52062|1|4,3|52063|1|4,3|52064|1|4,3|52065|1|4</t>
  </si>
  <si>
    <t>3|52006|1|1,3|52007|1|6,3|52008|1|2,3|52009|1|14,3|52010|1|6,3|52046|1|4,3|52047|1|4,3|52048|1|4,3|52049|1|4,3|52050|1|4,3|52051|1|4,3|52052|1|4,3|52053|1|4,3|52054|1|4,3|52055|1|4,3|52056|1|4,3|52057|1|4,3|52058|1|4,3|52059|1|4,3|52060|1|4,3|52061|1|4,3|52062|1|4,3|52063|1|4,3|52064|1|4,3|52065|1|4</t>
  </si>
  <si>
    <t>3|52011|1|1,3|52012|1|6,3|52013|1|2,3|52014|1|14,3|52015|1|6,3|52046|1|4,3|52047|1|4,3|52048|1|4,3|52049|1|4,3|52050|1|4,3|52051|1|4,3|52052|1|4,3|52053|1|4,3|52054|1|4,3|52055|1|4,3|52056|1|4,3|52057|1|4,3|52058|1|4,3|52059|1|4,3|52060|1|4,3|52061|1|4,3|52062|1|4,3|52063|1|4,3|52064|1|4,3|52065|1|4</t>
  </si>
  <si>
    <t>3|52026|1|1,3|52027|1|6,3|52028|1|2,3|52029|1|14,3|52030|1|6,3|52046|1|4,3|52047|1|4,3|52048|1|4,3|52049|1|4,3|52050|1|4,3|52051|1|4,3|52052|1|4,3|52053|1|4,3|52054|1|4,3|52055|1|4,3|52056|1|4,3|52057|1|4,3|52058|1|4,3|52059|1|4,3|52060|1|4,3|52061|1|4,3|52062|1|4,3|52063|1|4,3|52064|1|4,3|52065|1|4</t>
  </si>
  <si>
    <t>3|52016|1|1,3|52017|1|6,3|52018|1|2,3|52019|1|14,3|52020|1|6,3|52046|1|4,3|52047|1|4,3|52048|1|4,3|52049|1|4,3|52050|1|4,3|52051|1|4,3|52052|1|4,3|52053|1|4,3|52054|1|4,3|52055|1|4,3|52056|1|4,3|52057|1|4,3|52058|1|4,3|52059|1|4,3|52060|1|4,3|52061|1|4,3|52062|1|4,3|52063|1|4,3|52064|1|4,3|52065|1|4</t>
  </si>
  <si>
    <t>3|52021|1|1,3|52022|1|6,3|52023|1|2,3|52024|1|14,3|52025|1|6,3|52046|1|4,3|52047|1|4,3|52048|1|4,3|52049|1|4,3|52050|1|4,3|52051|1|4,3|52052|1|4,3|52053|1|4,3|52054|1|4,3|52055|1|4,3|52056|1|4,3|52057|1|4,3|52058|1|4,3|52059|1|4,3|52060|1|4,3|52061|1|4,3|52062|1|4,3|52063|1|4,3|52064|1|4,3|52065|1|4</t>
  </si>
  <si>
    <t xml:space="preserve">类型|物品ID|数量|概率
第一轮掉落计算，从奖池中按照权重计算掉落物品
类型：
1=道具（game_items）
2=装备(game_equpment)
3=reward(game_reward)
4=资源（currency）
5=伙伴（hero_main）
6=法宝(game_fabao)
</t>
    <phoneticPr fontId="17" type="noConversion"/>
  </si>
  <si>
    <t>奖励显示
类型|物品ID|数量
类型：
1=道具（game_items）
2=装备(game_equpment)
3=reward(game_reward)
4=资源（currency）
5=伙伴（hero_main）
6=法宝(game_fabao)</t>
    <phoneticPr fontId="17" type="noConversion"/>
  </si>
  <si>
    <t>普通血战第6关第1回奖励主角进阶丹</t>
  </si>
  <si>
    <t>普通血战第6关第2回奖励主角进阶丹</t>
  </si>
  <si>
    <t>普通血战第6关第3回奖励主角进阶丹</t>
  </si>
  <si>
    <t>困难血战第6关第1回奖励主角进阶丹</t>
  </si>
  <si>
    <t>困难血战第6关第2回奖励主角进阶丹</t>
  </si>
  <si>
    <t>困难血战第6关第3回奖励主角进阶丹</t>
  </si>
  <si>
    <t>普通血战第6关第1回奖励通用精炼石</t>
  </si>
  <si>
    <t>普通血战第6关第2回奖励通用精炼石</t>
  </si>
  <si>
    <t>普通血战第6关第3回奖励通用精炼石</t>
  </si>
  <si>
    <t>困难血战第6关第1回奖励通用精炼石</t>
  </si>
  <si>
    <t>困难血战第6关第2回奖励通用精炼石</t>
  </si>
  <si>
    <t>困难血战第6关第3回奖励通用精炼石</t>
  </si>
  <si>
    <t>普通血战第6关核心精炼材料</t>
  </si>
  <si>
    <t>困难血战第6关核心精炼材料</t>
  </si>
  <si>
    <t>困难血战第6关突破精炼石</t>
  </si>
  <si>
    <t>1|16503|12|1</t>
    <phoneticPr fontId="17" type="noConversion"/>
  </si>
  <si>
    <t>1|16503|18|1</t>
    <phoneticPr fontId="17" type="noConversion"/>
  </si>
  <si>
    <t xml:space="preserve">类型|物品ID|数量|概率
从奖池中按照权重计算掉落物品
类型：
1=道具（game_items）
2=装备(game_equpment)
3=reward(game_reward)
4=资源（currency）
5=伙伴（hero_main）
6=法宝(game_fabao)
</t>
    <phoneticPr fontId="17" type="noConversion"/>
  </si>
  <si>
    <t>进度宝箱（第一二章）奖励中级经验药水</t>
    <phoneticPr fontId="17" type="noConversion"/>
  </si>
  <si>
    <t>进度宝箱（其他章节）奖励中级经验药水</t>
    <phoneticPr fontId="17" type="noConversion"/>
  </si>
  <si>
    <t>主角1级主线副本经验和金币奖励</t>
    <phoneticPr fontId="17" type="noConversion"/>
  </si>
  <si>
    <t>主角2级主线副本经验和金币奖励</t>
  </si>
  <si>
    <t>主角3级主线副本经验和金币奖励</t>
  </si>
  <si>
    <t>主角4级主线副本经验和金币奖励</t>
  </si>
  <si>
    <t>主角5级主线副本经验和金币奖励</t>
  </si>
  <si>
    <t>主角6级主线副本经验和金币奖励</t>
  </si>
  <si>
    <t>主角7级主线副本经验和金币奖励</t>
  </si>
  <si>
    <t>主角8级主线副本经验和金币奖励</t>
  </si>
  <si>
    <t>主角9级主线副本经验和金币奖励</t>
  </si>
  <si>
    <t>主角10级主线副本经验和金币奖励</t>
  </si>
  <si>
    <t>主角11级主线副本经验和金币奖励</t>
  </si>
  <si>
    <t>主角12级主线副本经验和金币奖励</t>
  </si>
  <si>
    <t>主角13级主线副本经验和金币奖励</t>
  </si>
  <si>
    <t>主角14级主线副本经验和金币奖励</t>
  </si>
  <si>
    <t>主角15级主线副本经验和金币奖励</t>
  </si>
  <si>
    <t>主角16级主线副本经验和金币奖励</t>
  </si>
  <si>
    <t>主角17级主线副本经验和金币奖励</t>
  </si>
  <si>
    <t>主角18级主线副本经验和金币奖励</t>
  </si>
  <si>
    <t>主角19级主线副本经验和金币奖励</t>
  </si>
  <si>
    <t>主角20级主线副本经验和金币奖励</t>
  </si>
  <si>
    <t>主角21级主线副本经验和金币奖励</t>
  </si>
  <si>
    <t>主角22级主线副本经验和金币奖励</t>
  </si>
  <si>
    <t>主角23级主线副本经验和金币奖励</t>
  </si>
  <si>
    <t>主角24级主线副本经验和金币奖励</t>
  </si>
  <si>
    <t>主角25级主线副本经验和金币奖励</t>
  </si>
  <si>
    <t>主角26级主线副本经验和金币奖励</t>
  </si>
  <si>
    <t>主角27级主线副本经验和金币奖励</t>
  </si>
  <si>
    <t>主角28级主线副本经验和金币奖励</t>
  </si>
  <si>
    <t>主角29级主线副本经验和金币奖励</t>
  </si>
  <si>
    <t>主角30级主线副本经验和金币奖励</t>
  </si>
  <si>
    <t>主角31级主线副本经验和金币奖励</t>
  </si>
  <si>
    <t>主角32级主线副本经验和金币奖励</t>
  </si>
  <si>
    <t>主角33级主线副本经验和金币奖励</t>
  </si>
  <si>
    <t>主角34级主线副本经验和金币奖励</t>
  </si>
  <si>
    <t>主角35级主线副本经验和金币奖励</t>
  </si>
  <si>
    <t>主角36级主线副本经验和金币奖励</t>
  </si>
  <si>
    <t>主角37级主线副本经验和金币奖励</t>
  </si>
  <si>
    <t>主角38级主线副本经验和金币奖励</t>
  </si>
  <si>
    <t>主角39级主线副本经验和金币奖励</t>
  </si>
  <si>
    <t>主角40级主线副本经验和金币奖励</t>
  </si>
  <si>
    <t>主角41级主线副本经验和金币奖励</t>
  </si>
  <si>
    <t>主角42级主线副本经验和金币奖励</t>
  </si>
  <si>
    <t>主角43级主线副本经验和金币奖励</t>
  </si>
  <si>
    <t>主角44级主线副本经验和金币奖励</t>
  </si>
  <si>
    <t>主角45级主线副本经验和金币奖励</t>
  </si>
  <si>
    <t>主角46级主线副本经验和金币奖励</t>
  </si>
  <si>
    <t>主角47级主线副本经验和金币奖励</t>
  </si>
  <si>
    <t>主角48级主线副本经验和金币奖励</t>
  </si>
  <si>
    <t>主角49级主线副本经验和金币奖励</t>
  </si>
  <si>
    <t>主角50级主线副本经验和金币奖励</t>
  </si>
  <si>
    <t>主角51级主线副本经验和金币奖励</t>
  </si>
  <si>
    <t>主角52级主线副本经验和金币奖励</t>
  </si>
  <si>
    <t>主角53级主线副本经验和金币奖励</t>
  </si>
  <si>
    <t>主角54级主线副本经验和金币奖励</t>
  </si>
  <si>
    <t>主角55级主线副本经验和金币奖励</t>
  </si>
  <si>
    <t>主角56级主线副本经验和金币奖励</t>
  </si>
  <si>
    <t>主角57级主线副本经验和金币奖励</t>
  </si>
  <si>
    <t>主角58级主线副本经验和金币奖励</t>
  </si>
  <si>
    <t>主角59级主线副本经验和金币奖励</t>
  </si>
  <si>
    <t>主角60级主线副本经验和金币奖励</t>
  </si>
  <si>
    <t>主角61级主线副本经验和金币奖励</t>
  </si>
  <si>
    <t>主角62级主线副本经验和金币奖励</t>
  </si>
  <si>
    <t>主角63级主线副本经验和金币奖励</t>
  </si>
  <si>
    <t>主角64级主线副本经验和金币奖励</t>
  </si>
  <si>
    <t>主角65级主线副本经验和金币奖励</t>
  </si>
  <si>
    <t>主角66级主线副本经验和金币奖励</t>
  </si>
  <si>
    <t>主角67级主线副本经验和金币奖励</t>
  </si>
  <si>
    <t>主角68级主线副本经验和金币奖励</t>
  </si>
  <si>
    <t>主角69级主线副本经验和金币奖励</t>
  </si>
  <si>
    <t>主角70级主线副本经验和金币奖励</t>
  </si>
  <si>
    <t>主角71级主线副本经验和金币奖励</t>
  </si>
  <si>
    <t>主角72级主线副本经验和金币奖励</t>
  </si>
  <si>
    <t>主角73级主线副本经验和金币奖励</t>
  </si>
  <si>
    <t>主角74级主线副本经验和金币奖励</t>
  </si>
  <si>
    <t>主角75级主线副本经验和金币奖励</t>
  </si>
  <si>
    <t>主角76级主线副本经验和金币奖励</t>
  </si>
  <si>
    <t>主角77级主线副本经验和金币奖励</t>
  </si>
  <si>
    <t>主角78级主线副本经验和金币奖励</t>
  </si>
  <si>
    <t>主角79级主线副本经验和金币奖励</t>
  </si>
  <si>
    <t>主角80级主线副本经验和金币奖励</t>
  </si>
  <si>
    <t>主角81级主线副本经验和金币奖励</t>
  </si>
  <si>
    <t>主角82级主线副本经验和金币奖励</t>
  </si>
  <si>
    <t>主角83级主线副本经验和金币奖励</t>
  </si>
  <si>
    <t>主角84级主线副本经验和金币奖励</t>
  </si>
  <si>
    <t>主角85级主线副本经验和金币奖励</t>
  </si>
  <si>
    <t>主角86级主线副本经验和金币奖励</t>
  </si>
  <si>
    <t>主角87级主线副本经验和金币奖励</t>
  </si>
  <si>
    <t>主角88级主线副本经验和金币奖励</t>
  </si>
  <si>
    <t>主角89级主线副本经验和金币奖励</t>
  </si>
  <si>
    <t>主角90级主线副本经验和金币奖励</t>
  </si>
  <si>
    <t>主角91级主线副本经验和金币奖励</t>
  </si>
  <si>
    <t>主角92级主线副本经验和金币奖励</t>
  </si>
  <si>
    <t>主角93级主线副本经验和金币奖励</t>
  </si>
  <si>
    <t>主角94级主线副本经验和金币奖励</t>
  </si>
  <si>
    <t>主角95级主线副本经验和金币奖励</t>
  </si>
  <si>
    <t>主角96级主线副本经验和金币奖励</t>
  </si>
  <si>
    <t>主角97级主线副本经验和金币奖励</t>
  </si>
  <si>
    <t>主角98级主线副本经验和金币奖励</t>
  </si>
  <si>
    <t>主角99级主线副本经验和金币奖励</t>
  </si>
  <si>
    <t>主角100级主线副本经验和金币奖励</t>
  </si>
  <si>
    <t>主角101级主线副本经验和金币奖励</t>
  </si>
  <si>
    <t>主角102级主线副本经验和金币奖励</t>
  </si>
  <si>
    <t>主角103级主线副本经验和金币奖励</t>
  </si>
  <si>
    <t>主角104级主线副本经验和金币奖励</t>
  </si>
  <si>
    <t>主角105级主线副本经验和金币奖励</t>
  </si>
  <si>
    <t>主角106级主线副本经验和金币奖励</t>
  </si>
  <si>
    <t>主角107级主线副本经验和金币奖励</t>
  </si>
  <si>
    <t>主角108级主线副本经验和金币奖励</t>
  </si>
  <si>
    <t>主角109级主线副本经验和金币奖励</t>
  </si>
  <si>
    <t>主角110级主线副本经验和金币奖励</t>
  </si>
  <si>
    <t>主角111级主线副本经验和金币奖励</t>
  </si>
  <si>
    <t>主角112级主线副本经验和金币奖励</t>
  </si>
  <si>
    <t>主角113级主线副本经验和金币奖励</t>
  </si>
  <si>
    <t>主角114级主线副本经验和金币奖励</t>
  </si>
  <si>
    <t>主角115级主线副本经验和金币奖励</t>
  </si>
  <si>
    <t>主角116级主线副本经验和金币奖励</t>
  </si>
  <si>
    <t>主角117级主线副本经验和金币奖励</t>
  </si>
  <si>
    <t>主角118级主线副本经验和金币奖励</t>
  </si>
  <si>
    <t>主角119级主线副本经验和金币奖励</t>
  </si>
  <si>
    <t>主角120级主线副本经验和金币奖励</t>
  </si>
  <si>
    <t>主角121级主线副本经验和金币奖励</t>
  </si>
  <si>
    <t>主角122级主线副本经验和金币奖励</t>
  </si>
  <si>
    <t>主角123级主线副本经验和金币奖励</t>
  </si>
  <si>
    <t>主角124级主线副本经验和金币奖励</t>
  </si>
  <si>
    <t>主角125级主线副本经验和金币奖励</t>
  </si>
  <si>
    <t>主角126级主线副本经验和金币奖励</t>
  </si>
  <si>
    <t>主角127级主线副本经验和金币奖励</t>
  </si>
  <si>
    <t>主角128级主线副本经验和金币奖励</t>
  </si>
  <si>
    <t>主角129级主线副本经验和金币奖励</t>
  </si>
  <si>
    <t>主角130级主线副本经验和金币奖励</t>
  </si>
  <si>
    <t>主角131级主线副本经验和金币奖励</t>
  </si>
  <si>
    <t>主角132级主线副本经验和金币奖励</t>
  </si>
  <si>
    <t>主角133级主线副本经验和金币奖励</t>
  </si>
  <si>
    <t>主角134级主线副本经验和金币奖励</t>
  </si>
  <si>
    <t>主角135级主线副本经验和金币奖励</t>
  </si>
  <si>
    <t>主角136级主线副本经验和金币奖励</t>
  </si>
  <si>
    <t>主角137级主线副本经验和金币奖励</t>
  </si>
  <si>
    <t>主角138级主线副本经验和金币奖励</t>
  </si>
  <si>
    <t>主角139级主线副本经验和金币奖励</t>
  </si>
  <si>
    <t>主角140级主线副本经验和金币奖励</t>
  </si>
  <si>
    <t>主角141级主线副本经验和金币奖励</t>
  </si>
  <si>
    <t>主角142级主线副本经验和金币奖励</t>
  </si>
  <si>
    <t>主角143级主线副本经验和金币奖励</t>
  </si>
  <si>
    <t>主角144级主线副本经验和金币奖励</t>
  </si>
  <si>
    <t>主角145级主线副本经验和金币奖励</t>
  </si>
  <si>
    <t>主角146级主线副本经验和金币奖励</t>
  </si>
  <si>
    <t>主角147级主线副本经验和金币奖励</t>
  </si>
  <si>
    <t>主角148级主线副本经验和金币奖励</t>
  </si>
  <si>
    <t>主角149级主线副本经验和金币奖励</t>
  </si>
  <si>
    <t>主角150级主线副本经验和金币奖励</t>
  </si>
  <si>
    <t>主线小怪副本点进阶丹奖励</t>
    <phoneticPr fontId="17" type="noConversion"/>
  </si>
  <si>
    <t>3|43000|1|1,3|41001|1|1</t>
  </si>
  <si>
    <t>3|43000|1|1,3|41003|1|1</t>
  </si>
  <si>
    <t>3|43000|1|1,3|41006|1|1</t>
  </si>
  <si>
    <t>3|43000|1|1,3|41007|1|1</t>
  </si>
  <si>
    <t>3|43000|1|1,3|41011|1|1</t>
  </si>
  <si>
    <t>3|43000|1|1,3|41012|1|1</t>
  </si>
  <si>
    <t>3|43000|1|1,3|41013|1|1</t>
  </si>
  <si>
    <t>3|43000|1|1,3|41016|1|1</t>
  </si>
  <si>
    <t>1|14001|0,1|14107|0,1|10041|0</t>
  </si>
  <si>
    <t>1|14001|0,1|14107|0,1|10033|0</t>
  </si>
  <si>
    <t>1|14001|0,1|14107|0,2|2002|0</t>
  </si>
  <si>
    <t>1|14001|0,1|14107|0,1|10034|0</t>
  </si>
  <si>
    <t>1|14001|0,1|14107|0,1|10038|0</t>
  </si>
  <si>
    <t>1|14001|0,1|14107|0,1|10040|0</t>
  </si>
  <si>
    <t>1|14001|0,1|14107|0,1|10036|0</t>
  </si>
  <si>
    <t>1|14001|0,1|14107|0,1|10039|0</t>
  </si>
  <si>
    <t>1|14001|0,1|14107|0,1|10018|0</t>
  </si>
  <si>
    <t>1|14001|0,1|14107|0,1|10030|0</t>
  </si>
  <si>
    <t>橙16武将池</t>
    <phoneticPr fontId="17" type="noConversion"/>
  </si>
  <si>
    <t>橙13武将池</t>
    <phoneticPr fontId="17" type="noConversion"/>
  </si>
  <si>
    <t>灵台斗法挑战胜利奖励</t>
    <phoneticPr fontId="17" type="noConversion"/>
  </si>
  <si>
    <t>灵台斗法挑战失败奖励</t>
    <phoneticPr fontId="17" type="noConversion"/>
  </si>
  <si>
    <t>购买5个精力丹</t>
  </si>
  <si>
    <t>购买5个体力丹</t>
  </si>
  <si>
    <t>挑战5次灵台斗法</t>
  </si>
  <si>
    <t>进行3次法宝合成</t>
  </si>
  <si>
    <t>挑战3次大雁塔</t>
  </si>
  <si>
    <t>法宝强化3次</t>
  </si>
  <si>
    <t>进行3次普通聚仙</t>
  </si>
  <si>
    <t>进行1次高级聚仙</t>
  </si>
  <si>
    <t>武将升级1次</t>
  </si>
  <si>
    <t>法宝抢夺5次</t>
  </si>
  <si>
    <t>1|14315|1|1</t>
  </si>
  <si>
    <t>1|14315|1</t>
  </si>
  <si>
    <t>法宝抢夺5次</t>
    <phoneticPr fontId="17" type="noConversion"/>
  </si>
  <si>
    <t>4|38|250|1</t>
    <phoneticPr fontId="17" type="noConversion"/>
  </si>
  <si>
    <t>无底洞奖励-探索值</t>
    <phoneticPr fontId="17" type="noConversion"/>
  </si>
  <si>
    <t>1|14001|30|1</t>
  </si>
  <si>
    <t>1|14002|12|1</t>
  </si>
  <si>
    <t>1|14002|16|1</t>
  </si>
  <si>
    <t>1|14004|13|1</t>
  </si>
  <si>
    <t>1|14004|14|1</t>
  </si>
  <si>
    <t>1|14004|15|1</t>
  </si>
  <si>
    <t>1|14004|16|1</t>
  </si>
  <si>
    <t>1|14004|17|1</t>
  </si>
  <si>
    <t>1|14004|18|1</t>
  </si>
  <si>
    <t>1|14001|30</t>
  </si>
  <si>
    <t>1|14002|12</t>
  </si>
  <si>
    <t>1|14002|16</t>
  </si>
  <si>
    <t>1|14004|13</t>
  </si>
  <si>
    <t>1|14004|14</t>
  </si>
  <si>
    <t>1|14004|15</t>
  </si>
  <si>
    <t>1|14004|16</t>
  </si>
  <si>
    <t>1|14004|17</t>
  </si>
  <si>
    <t>1|14004|18</t>
  </si>
  <si>
    <t>法宝经验日常1</t>
  </si>
  <si>
    <t>法宝经验日常2</t>
  </si>
  <si>
    <t>法宝经验日常3</t>
  </si>
  <si>
    <t>法宝经验日常4</t>
  </si>
  <si>
    <t>法宝经验日常5</t>
  </si>
  <si>
    <t>法宝经验日常6</t>
  </si>
  <si>
    <t>法宝经验日常7</t>
  </si>
  <si>
    <t>法宝经验日常8</t>
  </si>
  <si>
    <t>法宝经验日常9</t>
  </si>
  <si>
    <t>法宝经验日常10</t>
  </si>
  <si>
    <t>法宝经验日常11</t>
  </si>
  <si>
    <t>法宝经验日常12</t>
  </si>
  <si>
    <t>法宝经验日常13</t>
  </si>
  <si>
    <t>法宝经验日常14</t>
  </si>
  <si>
    <t>法宝经验日常15</t>
  </si>
  <si>
    <t>法宝经验日常16</t>
  </si>
  <si>
    <t>法宝经验日常17</t>
  </si>
  <si>
    <t>法宝精炼日常1</t>
  </si>
  <si>
    <t>法宝精炼日常2</t>
  </si>
  <si>
    <t>法宝精炼日常3</t>
  </si>
  <si>
    <t>法宝精炼日常4</t>
  </si>
  <si>
    <t>法宝精炼日常5</t>
  </si>
  <si>
    <t>法宝精炼日常6</t>
  </si>
  <si>
    <t>法宝精炼日常7</t>
  </si>
  <si>
    <t>法宝精炼日常8</t>
  </si>
  <si>
    <t>法宝精炼日常9</t>
  </si>
  <si>
    <t>法宝精炼日常10</t>
  </si>
  <si>
    <t>法宝精炼日常11</t>
  </si>
  <si>
    <t>法宝精炼日常12</t>
  </si>
  <si>
    <t>法宝精炼日常13</t>
  </si>
  <si>
    <t>法宝精炼日常14</t>
  </si>
  <si>
    <t>法宝精炼日常15</t>
  </si>
  <si>
    <t>1|16005|22|1</t>
  </si>
  <si>
    <t>1|16005|26|1</t>
  </si>
  <si>
    <t>1|16005|30|1</t>
  </si>
  <si>
    <t>1|16005|34|1</t>
  </si>
  <si>
    <t>1|16005|38|1</t>
  </si>
  <si>
    <t>1|16005|42|1</t>
  </si>
  <si>
    <t>1|16005|46|1</t>
  </si>
  <si>
    <t>1|16005|54|1</t>
  </si>
  <si>
    <t>1|16005|58|1</t>
  </si>
  <si>
    <t>1|16005|62|1</t>
  </si>
  <si>
    <t>1|16005|66|1</t>
  </si>
  <si>
    <t>1|16005|70|1</t>
  </si>
  <si>
    <t>1|16005|74|1</t>
  </si>
  <si>
    <t>1|16005|22</t>
  </si>
  <si>
    <t>1|16005|26</t>
  </si>
  <si>
    <t>1|16005|30</t>
  </si>
  <si>
    <t>1|16005|34</t>
  </si>
  <si>
    <t>1|16005|42</t>
  </si>
  <si>
    <t>1|16005|46</t>
  </si>
  <si>
    <t>1|16005|54</t>
  </si>
  <si>
    <t>1|16005|58</t>
  </si>
  <si>
    <t>1|16005|62</t>
  </si>
  <si>
    <t>1|16005|66</t>
  </si>
  <si>
    <t>1|16005|70</t>
  </si>
  <si>
    <t>1|16005|74</t>
  </si>
  <si>
    <t>6|4501|4</t>
  </si>
  <si>
    <t>6|4501|5</t>
  </si>
  <si>
    <t>6|4501|6</t>
  </si>
  <si>
    <t>6|4502|1,6|4501|3</t>
  </si>
  <si>
    <t>6|4502|1,6|4501|4</t>
  </si>
  <si>
    <t>6|4502|1,6|4501|5</t>
  </si>
  <si>
    <t>6|4502|1,6|4501|6</t>
  </si>
  <si>
    <t>6|4502|2,6|4501|3</t>
  </si>
  <si>
    <t>6|4502|2,6|4501|4</t>
  </si>
  <si>
    <t>6|4502|2,6|4501|5</t>
  </si>
  <si>
    <t>6|4502|2,6|4501|6</t>
  </si>
  <si>
    <t>6|4502|3,6|4501|3</t>
  </si>
  <si>
    <t>6|4502|3,6|4501|4</t>
  </si>
  <si>
    <t>6|4502|3,6|4501|5</t>
  </si>
  <si>
    <t>6|4502|3,6|4501|6</t>
  </si>
  <si>
    <t>6|4502|4,6|4501|3</t>
  </si>
  <si>
    <t>6|4502|4,6|4501|4</t>
  </si>
  <si>
    <t>6|4501|4|1</t>
  </si>
  <si>
    <t>6|4501|5|1</t>
  </si>
  <si>
    <t>6|4501|6|1</t>
  </si>
  <si>
    <t>6|4502|1|1,6|4501|3|1</t>
  </si>
  <si>
    <t>6|4502|1|1,6|4501|4|1</t>
  </si>
  <si>
    <t>6|4502|1|1,6|4501|5|1</t>
  </si>
  <si>
    <t>6|4502|1|1,6|4501|6|1</t>
  </si>
  <si>
    <t>6|4502|2|1,6|4501|3|1</t>
  </si>
  <si>
    <t>6|4502|2|1,6|4501|4|1</t>
  </si>
  <si>
    <t>6|4502|2|1,6|4501|5|1</t>
  </si>
  <si>
    <t>6|4502|2|1,6|4501|6|1</t>
  </si>
  <si>
    <t>6|4502|3|1,6|4501|3|1</t>
  </si>
  <si>
    <t>6|4502|3|1,6|4501|4|1</t>
  </si>
  <si>
    <t>6|4502|3|1,6|4501|5|1</t>
  </si>
  <si>
    <t>6|4502|3|1,6|4501|6|1</t>
  </si>
  <si>
    <t>6|4502|4|1,6|4501|3|1</t>
  </si>
  <si>
    <t>6|4502|4|1,6|4501|4|1</t>
  </si>
  <si>
    <t>1|14201|60</t>
  </si>
  <si>
    <t>1|14201|90</t>
  </si>
  <si>
    <t>1|14201|180</t>
  </si>
  <si>
    <t>1|14201|210</t>
  </si>
  <si>
    <t>1|14201|240</t>
  </si>
  <si>
    <t>1|14201|270</t>
  </si>
  <si>
    <t>1|14201|330</t>
  </si>
  <si>
    <t>1|14201|360</t>
  </si>
  <si>
    <t>1|14201|390</t>
  </si>
  <si>
    <t>1|14201|420</t>
  </si>
  <si>
    <t>1|14201|450</t>
  </si>
  <si>
    <t>1|14201|60|1</t>
  </si>
  <si>
    <t>1|14201|90|1</t>
  </si>
  <si>
    <t>1|14201|180|1</t>
  </si>
  <si>
    <t>1|14201|210|1</t>
  </si>
  <si>
    <t>1|14201|240|1</t>
  </si>
  <si>
    <t>1|14201|270|1</t>
  </si>
  <si>
    <t>1|14201|330|1</t>
  </si>
  <si>
    <t>1|14201|360|1</t>
  </si>
  <si>
    <t>1|14201|390|1</t>
  </si>
  <si>
    <t>1|14201|420|1</t>
  </si>
  <si>
    <t>1|14201|450|1</t>
  </si>
  <si>
    <t>1|14107|30|1</t>
  </si>
  <si>
    <t>1|14107|42|1</t>
  </si>
  <si>
    <t>1|14107|54|1</t>
  </si>
  <si>
    <t>1|14107|66|1</t>
  </si>
  <si>
    <t>1|14107|78|1</t>
  </si>
  <si>
    <t>1|14107|90|1</t>
  </si>
  <si>
    <t>1|14107|102|1</t>
  </si>
  <si>
    <t>1|14107|114|1</t>
  </si>
  <si>
    <t>1|14107|126|1</t>
  </si>
  <si>
    <t>1|14107|138|1</t>
  </si>
  <si>
    <t>1|14107|162|1</t>
  </si>
  <si>
    <t>1|14107|174|1</t>
  </si>
  <si>
    <t>1|14107|186|1</t>
  </si>
  <si>
    <t>1|14107|198|1</t>
  </si>
  <si>
    <t>1|14107|210|1</t>
  </si>
  <si>
    <t>1|14107|222|1</t>
  </si>
  <si>
    <t>1|14107|30</t>
  </si>
  <si>
    <t>1|14107|42</t>
  </si>
  <si>
    <t>1|14107|54</t>
  </si>
  <si>
    <t>1|14107|66</t>
  </si>
  <si>
    <t>1|14107|78</t>
  </si>
  <si>
    <t>1|14107|90</t>
  </si>
  <si>
    <t>1|14107|102</t>
  </si>
  <si>
    <t>1|14107|114</t>
  </si>
  <si>
    <t>1|14107|126</t>
  </si>
  <si>
    <t>1|14107|138</t>
  </si>
  <si>
    <t>1|14107|162</t>
  </si>
  <si>
    <t>1|14107|174</t>
  </si>
  <si>
    <t>1|14107|186</t>
  </si>
  <si>
    <t>1|14107|198</t>
  </si>
  <si>
    <t>1|14107|210</t>
  </si>
  <si>
    <t>1|14107|222</t>
  </si>
  <si>
    <t>4|1|340000</t>
  </si>
  <si>
    <t>4|1|380000</t>
  </si>
  <si>
    <t>梦魇入侵挑战奖励</t>
    <phoneticPr fontId="17" type="noConversion"/>
  </si>
  <si>
    <t>4|2|300|1</t>
    <phoneticPr fontId="17" type="noConversion"/>
  </si>
  <si>
    <t>4|1|340000|1</t>
  </si>
  <si>
    <t>4|1|380000|1</t>
  </si>
  <si>
    <t>主线进度宝箱奖励1</t>
    <phoneticPr fontId="17" type="noConversion"/>
  </si>
  <si>
    <t>主线进度宝箱奖励2</t>
  </si>
  <si>
    <t>主线进度宝箱奖励3</t>
  </si>
  <si>
    <t>主线进度宝箱奖励4</t>
  </si>
  <si>
    <t>主线进度宝箱奖励5</t>
  </si>
  <si>
    <t>主线进度宝箱奖励6</t>
  </si>
  <si>
    <t>主线进度宝箱奖励7</t>
  </si>
  <si>
    <t>主线进度宝箱奖励8</t>
  </si>
  <si>
    <t>主线进度宝箱奖励9</t>
  </si>
  <si>
    <t>主线进度宝箱奖励10</t>
  </si>
  <si>
    <t>主线进度宝箱奖励11</t>
  </si>
  <si>
    <t>主线进度宝箱奖励12</t>
  </si>
  <si>
    <t>主线进度宝箱奖励13</t>
  </si>
  <si>
    <t>主线进度宝箱奖励14</t>
  </si>
  <si>
    <t>主线进度宝箱奖励15</t>
  </si>
  <si>
    <t>主线进度宝箱奖励16</t>
  </si>
  <si>
    <t>主线进度宝箱奖励17</t>
  </si>
  <si>
    <t>主线进度宝箱奖励18</t>
  </si>
  <si>
    <t>主线进度宝箱奖励19</t>
  </si>
  <si>
    <t>主线进度宝箱奖励20</t>
  </si>
  <si>
    <t>主线进度宝箱奖励21</t>
  </si>
  <si>
    <t>主线进度宝箱奖励22</t>
  </si>
  <si>
    <t>主线进度宝箱奖励23</t>
  </si>
  <si>
    <t>主线进度宝箱奖励24</t>
  </si>
  <si>
    <t>主线进度宝箱奖励25</t>
  </si>
  <si>
    <t>主线进度宝箱奖励26</t>
  </si>
  <si>
    <t>主线进度宝箱奖励27</t>
  </si>
  <si>
    <t>主线进度宝箱奖励28</t>
  </si>
  <si>
    <t>主线进度宝箱奖励29</t>
  </si>
  <si>
    <t>主线进度宝箱奖励30</t>
  </si>
  <si>
    <t>主线进度宝箱奖励31</t>
  </si>
  <si>
    <t>主线进度宝箱奖励32</t>
  </si>
  <si>
    <t>主线进度宝箱奖励33</t>
  </si>
  <si>
    <t>主线进度宝箱奖励34</t>
  </si>
  <si>
    <t>主线进度宝箱奖励35</t>
  </si>
  <si>
    <t>主线进度宝箱奖励36</t>
  </si>
  <si>
    <t>主线进度宝箱奖励37</t>
  </si>
  <si>
    <t>主线进度宝箱奖励38</t>
  </si>
  <si>
    <t>主线进度宝箱奖励39</t>
  </si>
  <si>
    <t>主线进度宝箱奖励40</t>
  </si>
  <si>
    <t>主线进度宝箱奖励41</t>
  </si>
  <si>
    <t>主线进度宝箱奖励42</t>
  </si>
  <si>
    <t>主线进度宝箱奖励43</t>
  </si>
  <si>
    <t>主线进度宝箱奖励44</t>
  </si>
  <si>
    <t>主线进度宝箱奖励45</t>
  </si>
  <si>
    <t>主线进度宝箱奖励46</t>
  </si>
  <si>
    <t>主线进度宝箱奖励47</t>
  </si>
  <si>
    <t>主线进度宝箱奖励48</t>
  </si>
  <si>
    <t>主线进度宝箱奖励49</t>
  </si>
  <si>
    <t>主线进度宝箱奖励50</t>
  </si>
  <si>
    <t>主线进度宝箱奖励51</t>
  </si>
  <si>
    <t>主线进度宝箱奖励52</t>
  </si>
  <si>
    <t>主线进度宝箱奖励53</t>
  </si>
  <si>
    <t>主线进度宝箱奖励54</t>
  </si>
  <si>
    <t>主线进度宝箱奖励55</t>
  </si>
  <si>
    <t>主线进度宝箱奖励56</t>
  </si>
  <si>
    <t>主线进度宝箱奖励57</t>
  </si>
  <si>
    <t>主线进度宝箱奖励58</t>
  </si>
  <si>
    <t>主线进度宝箱奖励59</t>
  </si>
  <si>
    <t>主线进度宝箱奖励60</t>
  </si>
  <si>
    <t>主线进度宝箱奖励61</t>
  </si>
  <si>
    <t>主线进度宝箱奖励62</t>
  </si>
  <si>
    <t>主线进度宝箱奖励63</t>
  </si>
  <si>
    <t>主线进度宝箱奖励64</t>
  </si>
  <si>
    <t>主线进度宝箱奖励65</t>
  </si>
  <si>
    <t>主线进度宝箱奖励66</t>
  </si>
  <si>
    <t>主线进度宝箱奖励67</t>
  </si>
  <si>
    <t>主线进度宝箱奖励68</t>
  </si>
  <si>
    <t>主线进度宝箱奖励69</t>
  </si>
  <si>
    <t>主线进度宝箱奖励70</t>
  </si>
  <si>
    <t>主线进度宝箱奖励71</t>
  </si>
  <si>
    <t>主线进度宝箱奖励72</t>
  </si>
  <si>
    <t>主线进度宝箱奖励73</t>
  </si>
  <si>
    <t>主线进度宝箱奖励74</t>
  </si>
  <si>
    <t>主线进度宝箱奖励75</t>
  </si>
  <si>
    <t>主线进度宝箱奖励76</t>
  </si>
  <si>
    <t>主线进度宝箱奖励77</t>
  </si>
  <si>
    <t>主线进度宝箱奖励78</t>
  </si>
  <si>
    <t>主线进度宝箱奖励79</t>
  </si>
  <si>
    <t>主线进度宝箱奖励80</t>
  </si>
  <si>
    <t>主线进度宝箱奖励81</t>
  </si>
  <si>
    <t>主线进度宝箱奖励82</t>
  </si>
  <si>
    <t>主线进度宝箱奖励83</t>
  </si>
  <si>
    <t>主线进度宝箱奖励84</t>
  </si>
  <si>
    <t>主线进度宝箱奖励85</t>
  </si>
  <si>
    <t>主线进度宝箱奖励86</t>
  </si>
  <si>
    <t>主线进度宝箱奖励87</t>
  </si>
  <si>
    <t>主线进度宝箱奖励88</t>
  </si>
  <si>
    <t>主线进度宝箱奖励89</t>
  </si>
  <si>
    <t>主线进度宝箱奖励90</t>
  </si>
  <si>
    <t>主线进度宝箱奖励91</t>
  </si>
  <si>
    <t>主线进度宝箱奖励92</t>
  </si>
  <si>
    <t>主线进度宝箱奖励93</t>
  </si>
  <si>
    <t>主线进度宝箱奖励94</t>
  </si>
  <si>
    <t>主线进度宝箱奖励95</t>
  </si>
  <si>
    <t>主线进度宝箱奖励96</t>
  </si>
  <si>
    <t>主线进度宝箱奖励97</t>
  </si>
  <si>
    <t>主线进度宝箱奖励98</t>
  </si>
  <si>
    <t>主线进度宝箱奖励99</t>
  </si>
  <si>
    <t>主线进度宝箱奖励100</t>
  </si>
  <si>
    <t>主线进度宝箱奖励101</t>
  </si>
  <si>
    <t>主线进度宝箱奖励102</t>
  </si>
  <si>
    <t>主线进度宝箱奖励103</t>
  </si>
  <si>
    <t>主线进度宝箱奖励104</t>
  </si>
  <si>
    <t>主线进度宝箱奖励105</t>
  </si>
  <si>
    <t>主线进度宝箱奖励106</t>
  </si>
  <si>
    <t>主线进度宝箱奖励107</t>
  </si>
  <si>
    <t>主线进度宝箱奖励108</t>
  </si>
  <si>
    <t>主线进度宝箱奖励109</t>
  </si>
  <si>
    <t>主线进度宝箱奖励110</t>
  </si>
  <si>
    <t>主线进度宝箱奖励111</t>
  </si>
  <si>
    <t>主线进度宝箱奖励112</t>
  </si>
  <si>
    <t>主线进度宝箱奖励113</t>
  </si>
  <si>
    <t>主线进度宝箱奖励114</t>
  </si>
  <si>
    <t>主线进度宝箱奖励115</t>
  </si>
  <si>
    <t>主线进度宝箱奖励116</t>
  </si>
  <si>
    <t>主线进度宝箱奖励117</t>
  </si>
  <si>
    <t>主线进度宝箱奖励118</t>
  </si>
  <si>
    <t>主线进度宝箱奖励119</t>
  </si>
  <si>
    <t>主线进度宝箱奖励120</t>
  </si>
  <si>
    <t>主线进度宝箱奖励121</t>
  </si>
  <si>
    <t>主线进度宝箱奖励122</t>
  </si>
  <si>
    <t>主线进度宝箱奖励123</t>
  </si>
  <si>
    <t>主线进度宝箱奖励124</t>
  </si>
  <si>
    <t>主线进度宝箱奖励125</t>
  </si>
  <si>
    <t>主线进度宝箱奖励126</t>
  </si>
  <si>
    <t>主线进度宝箱奖励127</t>
  </si>
  <si>
    <t>主线进度宝箱奖励128</t>
  </si>
  <si>
    <t>主线进度宝箱奖励129</t>
  </si>
  <si>
    <t>主线进度宝箱奖励130</t>
  </si>
  <si>
    <t>主线进度宝箱奖励131</t>
  </si>
  <si>
    <t>主线进度宝箱奖励132</t>
  </si>
  <si>
    <t>主线进度宝箱奖励133</t>
  </si>
  <si>
    <t>主线进度宝箱奖励134</t>
  </si>
  <si>
    <t>主线进度宝箱奖励135</t>
  </si>
  <si>
    <t>主线进度宝箱奖励136</t>
  </si>
  <si>
    <t>主线进度宝箱奖励137</t>
  </si>
  <si>
    <t>主线进度宝箱奖励138</t>
  </si>
  <si>
    <t>主线进度宝箱奖励139</t>
  </si>
  <si>
    <t>主线进度宝箱奖励140</t>
  </si>
  <si>
    <t>主线进度宝箱奖励141</t>
  </si>
  <si>
    <t>主线进度宝箱奖励142</t>
  </si>
  <si>
    <t>主线进度宝箱奖励143</t>
  </si>
  <si>
    <t>主线进度宝箱奖励144</t>
  </si>
  <si>
    <t>主线进度宝箱奖励145</t>
  </si>
  <si>
    <t>主线进度宝箱奖励146</t>
  </si>
  <si>
    <t>主线进度宝箱奖励147</t>
  </si>
  <si>
    <t>主线进度宝箱奖励148</t>
  </si>
  <si>
    <t>主线进度宝箱奖励149</t>
  </si>
  <si>
    <t>主线进度宝箱奖励150</t>
  </si>
  <si>
    <t>主线进度宝箱奖励151</t>
  </si>
  <si>
    <t>主线进度宝箱奖励152</t>
  </si>
  <si>
    <t>主线进度宝箱奖励153</t>
  </si>
  <si>
    <t>主线进度宝箱奖励154</t>
  </si>
  <si>
    <t>主线进度宝箱奖励155</t>
  </si>
  <si>
    <t>主线进度宝箱奖励156</t>
  </si>
  <si>
    <t>主线进度宝箱奖励157</t>
  </si>
  <si>
    <t>主线进度宝箱奖励158</t>
  </si>
  <si>
    <t>主线进度宝箱奖励159</t>
  </si>
  <si>
    <t>主线进度宝箱奖励160</t>
  </si>
  <si>
    <t>主线进度宝箱奖励161</t>
  </si>
  <si>
    <t>主线进度宝箱奖励162</t>
  </si>
  <si>
    <t>主线进度宝箱奖励163</t>
  </si>
  <si>
    <t>主线进度宝箱奖励164</t>
  </si>
  <si>
    <t>主线进度宝箱奖励165</t>
  </si>
  <si>
    <t>主线进度宝箱奖励166</t>
  </si>
  <si>
    <t>主线进度宝箱奖励167</t>
  </si>
  <si>
    <t>主线进度宝箱奖励168</t>
  </si>
  <si>
    <t>主线进度宝箱奖励169</t>
  </si>
  <si>
    <t>主线进度宝箱奖励170</t>
  </si>
  <si>
    <t>主线进度宝箱奖励171</t>
  </si>
  <si>
    <t>主线进度宝箱奖励172</t>
  </si>
  <si>
    <t>主线进度宝箱奖励173</t>
  </si>
  <si>
    <t>主线进度宝箱奖励174</t>
  </si>
  <si>
    <t>主线进度宝箱奖励175</t>
  </si>
  <si>
    <t>主线进度宝箱奖励176</t>
  </si>
  <si>
    <t>主线进度宝箱奖励177</t>
  </si>
  <si>
    <t>主线进度宝箱奖励178</t>
  </si>
  <si>
    <t>主线进度宝箱奖励179</t>
  </si>
  <si>
    <t>主线进度宝箱奖励180</t>
  </si>
  <si>
    <t>主线进度宝箱奖励181</t>
  </si>
  <si>
    <t>主线进度宝箱奖励182</t>
  </si>
  <si>
    <t>主线进度宝箱奖励183</t>
  </si>
  <si>
    <t>主线进度宝箱奖励184</t>
  </si>
  <si>
    <t>主线进度宝箱奖励185</t>
  </si>
  <si>
    <t>主线进度宝箱奖励186</t>
  </si>
  <si>
    <t>主线进度宝箱奖励187</t>
  </si>
  <si>
    <t>主线进度宝箱奖励188</t>
  </si>
  <si>
    <t>主线进度宝箱奖励189</t>
  </si>
  <si>
    <t>主线进度宝箱奖励190</t>
  </si>
  <si>
    <t>主线进度宝箱奖励191</t>
  </si>
  <si>
    <t>主线进度宝箱奖励192</t>
  </si>
  <si>
    <t>主线进度宝箱奖励193</t>
  </si>
  <si>
    <t>主线进度宝箱奖励194</t>
  </si>
  <si>
    <t>主线进度宝箱奖励195</t>
  </si>
  <si>
    <t>主线进度宝箱奖励196</t>
  </si>
  <si>
    <t>主线进度宝箱奖励197</t>
  </si>
  <si>
    <t>主线进度宝箱奖励198</t>
  </si>
  <si>
    <t>主线进度宝箱奖励199</t>
  </si>
  <si>
    <t>主线进度宝箱奖励200</t>
  </si>
  <si>
    <t>主线进度宝箱奖励201</t>
  </si>
  <si>
    <t>主线进度宝箱奖励202</t>
  </si>
  <si>
    <t>主线进度宝箱奖励203</t>
  </si>
  <si>
    <t>主线进度宝箱奖励204</t>
  </si>
  <si>
    <t>主线进度宝箱奖励205</t>
  </si>
  <si>
    <t>主线进度宝箱奖励206</t>
  </si>
  <si>
    <t>主线进度宝箱奖励207</t>
  </si>
  <si>
    <t>主线进度宝箱奖励208</t>
  </si>
  <si>
    <t>主线进度宝箱奖励209</t>
  </si>
  <si>
    <t>主线进度宝箱奖励210</t>
  </si>
  <si>
    <t>主线进度宝箱奖励211</t>
  </si>
  <si>
    <t>主线进度宝箱奖励212</t>
  </si>
  <si>
    <t>主线进度宝箱奖励213</t>
  </si>
  <si>
    <t>主线进度宝箱奖励214</t>
  </si>
  <si>
    <t>主线进度宝箱奖励215</t>
  </si>
  <si>
    <t>主线进度宝箱奖励216</t>
  </si>
  <si>
    <t>主线进度宝箱奖励217</t>
  </si>
  <si>
    <t>主线进度宝箱奖励218</t>
  </si>
  <si>
    <t>主线进度宝箱奖励219</t>
  </si>
  <si>
    <t>主线进度宝箱奖励220</t>
  </si>
  <si>
    <t>主线进度宝箱奖励221</t>
  </si>
  <si>
    <t>主线进度宝箱奖励222</t>
  </si>
  <si>
    <t>主线进度宝箱奖励223</t>
  </si>
  <si>
    <t>主线进度宝箱奖励224</t>
  </si>
  <si>
    <t>主线进度宝箱奖励225</t>
  </si>
  <si>
    <t>主线进度宝箱奖励226</t>
  </si>
  <si>
    <t>主线进度宝箱奖励227</t>
  </si>
  <si>
    <t>主线进度宝箱奖励228</t>
  </si>
  <si>
    <t>主线进度宝箱奖励229</t>
  </si>
  <si>
    <t>主线进度宝箱奖励230</t>
  </si>
  <si>
    <t>主线进度宝箱奖励231</t>
  </si>
  <si>
    <t>主线进度宝箱奖励232</t>
  </si>
  <si>
    <t>主线进度宝箱奖励233</t>
  </si>
  <si>
    <t>主线进度宝箱奖励234</t>
  </si>
  <si>
    <t>主线进度宝箱奖励235</t>
  </si>
  <si>
    <t>主线进度宝箱奖励236</t>
  </si>
  <si>
    <t>主线进度宝箱奖励237</t>
  </si>
  <si>
    <t>主线进度宝箱奖励238</t>
  </si>
  <si>
    <t>主线进度宝箱奖励239</t>
  </si>
  <si>
    <t>主线进度宝箱奖励240</t>
  </si>
  <si>
    <t>主线进度宝箱奖励241</t>
  </si>
  <si>
    <t>主线进度宝箱奖励242</t>
  </si>
  <si>
    <t>主线进度宝箱奖励243</t>
  </si>
  <si>
    <t>主线进度宝箱奖励244</t>
  </si>
  <si>
    <t>主线进度宝箱奖励245</t>
  </si>
  <si>
    <t>主线进度宝箱奖励246</t>
  </si>
  <si>
    <t>主线进度宝箱奖励247</t>
  </si>
  <si>
    <t>主线进度宝箱奖励248</t>
  </si>
  <si>
    <t>主线进度宝箱奖励249</t>
  </si>
  <si>
    <t>主线进度宝箱奖励250</t>
  </si>
  <si>
    <t>主线进度宝箱奖励251</t>
  </si>
  <si>
    <t>主线进度宝箱奖励252</t>
  </si>
  <si>
    <t>主线进度宝箱奖励253</t>
  </si>
  <si>
    <t>主线进度宝箱奖励254</t>
  </si>
  <si>
    <t>主线进度宝箱奖励255</t>
  </si>
  <si>
    <t>主线进度宝箱奖励256</t>
  </si>
  <si>
    <t>主线进度宝箱奖励257</t>
  </si>
  <si>
    <t>主线进度宝箱奖励258</t>
  </si>
  <si>
    <t>主线进度宝箱奖励259</t>
  </si>
  <si>
    <t>主线进度宝箱奖励260</t>
  </si>
  <si>
    <t>主线进度宝箱奖励261</t>
  </si>
  <si>
    <t>主线进度宝箱奖励262</t>
  </si>
  <si>
    <t>主线进度宝箱奖励263</t>
  </si>
  <si>
    <t>主线进度宝箱奖励264</t>
  </si>
  <si>
    <t>主线进度宝箱奖励265</t>
  </si>
  <si>
    <t>主线进度宝箱奖励266</t>
  </si>
  <si>
    <t>主线进度宝箱奖励267</t>
  </si>
  <si>
    <t>主线进度宝箱奖励268</t>
  </si>
  <si>
    <t>主线进度宝箱奖励269</t>
  </si>
  <si>
    <t>主线进度宝箱奖励270</t>
  </si>
  <si>
    <t>主线进度宝箱奖励271</t>
  </si>
  <si>
    <t>主线进度宝箱奖励272</t>
  </si>
  <si>
    <t>主线进度宝箱奖励273</t>
  </si>
  <si>
    <t>主线进度宝箱奖励274</t>
  </si>
  <si>
    <t>主线进度宝箱奖励275</t>
  </si>
  <si>
    <t>主线进度宝箱奖励276</t>
  </si>
  <si>
    <t>主线进度宝箱奖励277</t>
  </si>
  <si>
    <t>主线进度宝箱奖励278</t>
  </si>
  <si>
    <t>主线进度宝箱奖励279</t>
  </si>
  <si>
    <t>主线进度宝箱奖励280</t>
  </si>
  <si>
    <t>主线进度宝箱奖励281</t>
  </si>
  <si>
    <t>主线进度宝箱奖励282</t>
  </si>
  <si>
    <t>主线进度宝箱奖励283</t>
  </si>
  <si>
    <t>主线进度宝箱奖励284</t>
  </si>
  <si>
    <t>主线进度宝箱奖励285</t>
  </si>
  <si>
    <t>主线进度宝箱奖励286</t>
  </si>
  <si>
    <t>主线进度宝箱奖励287</t>
  </si>
  <si>
    <t>主线进度宝箱奖励288</t>
  </si>
  <si>
    <t>主线进度宝箱奖励289</t>
  </si>
  <si>
    <t>主线进度宝箱奖励290</t>
  </si>
  <si>
    <t>主线进度宝箱奖励291</t>
  </si>
  <si>
    <t>主线进度宝箱奖励292</t>
  </si>
  <si>
    <t>主线进度宝箱奖励293</t>
  </si>
  <si>
    <t>主线进度宝箱奖励294</t>
  </si>
  <si>
    <t>主线进度宝箱奖励295</t>
  </si>
  <si>
    <t>主线进度宝箱奖励296</t>
  </si>
  <si>
    <t>主线进度宝箱奖励297</t>
  </si>
  <si>
    <t>主线进度宝箱奖励298</t>
  </si>
  <si>
    <t>主线进度宝箱奖励299</t>
  </si>
  <si>
    <t>主线进度宝箱奖励300</t>
  </si>
  <si>
    <t>主线进度宝箱奖励301</t>
  </si>
  <si>
    <t>主线进度宝箱奖励302</t>
  </si>
  <si>
    <t>主线进度宝箱奖励303</t>
  </si>
  <si>
    <t>主线进度宝箱奖励304</t>
  </si>
  <si>
    <t>主线进度宝箱奖励305</t>
  </si>
  <si>
    <t>主线进度宝箱奖励306</t>
  </si>
  <si>
    <t>主线进度宝箱奖励307</t>
  </si>
  <si>
    <t>主线进度宝箱奖励308</t>
  </si>
  <si>
    <t>主线进度宝箱奖励309</t>
  </si>
  <si>
    <t>主线进度宝箱奖励310</t>
  </si>
  <si>
    <t>主线进度宝箱奖励311</t>
  </si>
  <si>
    <t>主线进度宝箱奖励312</t>
  </si>
  <si>
    <t>主线进度宝箱奖励313</t>
  </si>
  <si>
    <t>主线进度宝箱奖励314</t>
  </si>
  <si>
    <t>主线进度宝箱奖励315</t>
  </si>
  <si>
    <t>主线进度宝箱奖励316</t>
  </si>
  <si>
    <t>主线进度宝箱奖励317</t>
  </si>
  <si>
    <t>主线进度宝箱奖励318</t>
  </si>
  <si>
    <t>主线进度宝箱奖励319</t>
  </si>
  <si>
    <t>主线进度宝箱奖励320</t>
  </si>
  <si>
    <t>主线进度宝箱奖励321</t>
  </si>
  <si>
    <t>主线进度宝箱奖励322</t>
  </si>
  <si>
    <t>主线进度宝箱奖励323</t>
  </si>
  <si>
    <t>主线进度宝箱奖励324</t>
  </si>
  <si>
    <t>主线进度宝箱奖励325</t>
  </si>
  <si>
    <t>主线进度宝箱奖励326</t>
  </si>
  <si>
    <t>主线进度宝箱奖励327</t>
  </si>
  <si>
    <t>主线进度宝箱奖励328</t>
  </si>
  <si>
    <t>主线进度宝箱奖励329</t>
  </si>
  <si>
    <t>主线进度宝箱奖励330</t>
  </si>
  <si>
    <t>主线进度宝箱奖励331</t>
  </si>
  <si>
    <t>主线进度宝箱奖励332</t>
  </si>
  <si>
    <t>主线进度宝箱奖励333</t>
  </si>
  <si>
    <t>主线进度宝箱奖励334</t>
  </si>
  <si>
    <t>主线进度宝箱奖励335</t>
  </si>
  <si>
    <t>主线进度宝箱奖励336</t>
  </si>
  <si>
    <t>主线进度宝箱奖励337</t>
  </si>
  <si>
    <t>主线进度宝箱奖励338</t>
  </si>
  <si>
    <t>主线进度宝箱奖励339</t>
  </si>
  <si>
    <t>主线进度宝箱奖励340</t>
  </si>
  <si>
    <t>主线进度宝箱奖励341</t>
  </si>
  <si>
    <t>主线进度宝箱奖励342</t>
  </si>
  <si>
    <t>主线进度宝箱奖励343</t>
  </si>
  <si>
    <t>主线进度宝箱奖励344</t>
  </si>
  <si>
    <t>主线进度宝箱奖励345</t>
  </si>
  <si>
    <t>主线进度宝箱奖励346</t>
  </si>
  <si>
    <t>主线进度宝箱奖励347</t>
  </si>
  <si>
    <t>主线进度宝箱奖励348</t>
  </si>
  <si>
    <t>主线进度宝箱奖励349</t>
  </si>
  <si>
    <t>主线进度宝箱奖励350</t>
  </si>
  <si>
    <t>主线进度宝箱奖励351</t>
  </si>
  <si>
    <t>主线进度宝箱奖励352</t>
  </si>
  <si>
    <t>主线进度宝箱奖励353</t>
  </si>
  <si>
    <t>主线进度宝箱奖励354</t>
  </si>
  <si>
    <t>主线进度宝箱奖励355</t>
  </si>
  <si>
    <t>主线进度宝箱奖励356</t>
  </si>
  <si>
    <t>主线进度宝箱奖励357</t>
  </si>
  <si>
    <t>主线进度宝箱奖励358</t>
  </si>
  <si>
    <t>主线进度宝箱奖励359</t>
  </si>
  <si>
    <t>主线进度宝箱奖励360</t>
  </si>
  <si>
    <t>主线进度宝箱奖励361</t>
  </si>
  <si>
    <t>主线进度宝箱奖励362</t>
  </si>
  <si>
    <t>主线进度宝箱奖励363</t>
  </si>
  <si>
    <t>主线进度宝箱奖励364</t>
  </si>
  <si>
    <t>主线进度宝箱奖励365</t>
  </si>
  <si>
    <t>主线进度宝箱奖励366</t>
  </si>
  <si>
    <t>主线进度宝箱奖励367</t>
  </si>
  <si>
    <t>主线进度宝箱奖励368</t>
  </si>
  <si>
    <t>主线进度宝箱奖励369</t>
  </si>
  <si>
    <t>主线进度宝箱奖励370</t>
  </si>
  <si>
    <t>主线进度宝箱奖励371</t>
  </si>
  <si>
    <t>主线进度宝箱奖励372</t>
  </si>
  <si>
    <t>主线进度宝箱奖励373</t>
  </si>
  <si>
    <t>主线进度宝箱奖励374</t>
  </si>
  <si>
    <t>主线进度宝箱奖励375</t>
  </si>
  <si>
    <t>主线进度宝箱奖励376</t>
  </si>
  <si>
    <t>主线进度宝箱奖励377</t>
  </si>
  <si>
    <t>主线进度宝箱奖励378</t>
  </si>
  <si>
    <t>主线进度宝箱奖励379</t>
  </si>
  <si>
    <t>主线进度宝箱奖励380</t>
  </si>
  <si>
    <t>主线进度宝箱奖励381</t>
  </si>
  <si>
    <t>主线进度宝箱奖励382</t>
  </si>
  <si>
    <t>主线进度宝箱奖励383</t>
  </si>
  <si>
    <t>主线进度宝箱奖励384</t>
  </si>
  <si>
    <t>主线进度宝箱奖励385</t>
  </si>
  <si>
    <t>主线进度宝箱奖励386</t>
  </si>
  <si>
    <t>主线进度宝箱奖励387</t>
  </si>
  <si>
    <t>主线进度宝箱奖励388</t>
  </si>
  <si>
    <t>主线进度宝箱奖励389</t>
  </si>
  <si>
    <t>主线进度宝箱奖励390</t>
  </si>
  <si>
    <t>主线进度宝箱奖励391</t>
  </si>
  <si>
    <t>主线进度宝箱奖励392</t>
  </si>
  <si>
    <t>主线进度宝箱奖励393</t>
  </si>
  <si>
    <t>主线进度宝箱奖励394</t>
  </si>
  <si>
    <t>主线进度宝箱奖励395</t>
  </si>
  <si>
    <t>主线进度宝箱奖励396</t>
  </si>
  <si>
    <t>普通月卡领奖</t>
    <phoneticPr fontId="17" type="noConversion"/>
  </si>
  <si>
    <t>高级月卡领奖</t>
    <phoneticPr fontId="17" type="noConversion"/>
  </si>
  <si>
    <t>4|2|100|1</t>
    <phoneticPr fontId="17" type="noConversion"/>
  </si>
  <si>
    <t>午餐晚餐领取体力</t>
    <phoneticPr fontId="17" type="noConversion"/>
  </si>
  <si>
    <t>午餐晚餐领取体力同时有概率获得50钻石</t>
    <phoneticPr fontId="17" type="noConversion"/>
  </si>
  <si>
    <t>中级装备碎片宝箱</t>
    <phoneticPr fontId="17" type="noConversion"/>
  </si>
  <si>
    <t>初级装备碎片宝箱</t>
    <phoneticPr fontId="17" type="noConversion"/>
  </si>
  <si>
    <t>主线副本宝箱奖励1</t>
    <phoneticPr fontId="17" type="noConversion"/>
  </si>
  <si>
    <t>主线副本宝箱奖励2</t>
  </si>
  <si>
    <t>主线副本宝箱奖励3</t>
  </si>
  <si>
    <t>主线副本宝箱奖励4</t>
  </si>
  <si>
    <t>主线副本宝箱奖励5</t>
  </si>
  <si>
    <t>主线副本宝箱奖励6</t>
  </si>
  <si>
    <t>主线副本宝箱奖励7</t>
  </si>
  <si>
    <t>主线副本宝箱奖励8</t>
  </si>
  <si>
    <t>主线副本宝箱奖励9</t>
  </si>
  <si>
    <t>主线副本宝箱奖励10</t>
  </si>
  <si>
    <t>主线副本宝箱奖励11</t>
  </si>
  <si>
    <t>主线副本宝箱奖励12</t>
  </si>
  <si>
    <t>主线副本宝箱奖励13</t>
  </si>
  <si>
    <t>主线副本宝箱奖励14</t>
  </si>
  <si>
    <t>主线副本宝箱奖励15</t>
  </si>
  <si>
    <t>主线副本宝箱奖励16</t>
  </si>
  <si>
    <t>主线副本宝箱奖励17</t>
  </si>
  <si>
    <t>主线副本宝箱奖励18</t>
  </si>
  <si>
    <t>主线副本宝箱奖励19</t>
  </si>
  <si>
    <t>主线副本宝箱奖励20</t>
  </si>
  <si>
    <t>主线副本宝箱奖励21</t>
  </si>
  <si>
    <t>主线副本宝箱奖励22</t>
  </si>
  <si>
    <t>主线副本宝箱奖励23</t>
  </si>
  <si>
    <t>主线副本宝箱奖励24</t>
  </si>
  <si>
    <t>主线副本宝箱奖励25</t>
  </si>
  <si>
    <t>主线副本宝箱奖励26</t>
  </si>
  <si>
    <t>主线副本宝箱奖励27</t>
  </si>
  <si>
    <t>主线副本宝箱奖励28</t>
  </si>
  <si>
    <t>主线副本宝箱奖励29</t>
  </si>
  <si>
    <t>主线副本宝箱奖励30</t>
  </si>
  <si>
    <t>主线副本宝箱奖励31</t>
  </si>
  <si>
    <t>主线副本宝箱奖励32</t>
  </si>
  <si>
    <t>主线副本宝箱奖励33</t>
  </si>
  <si>
    <t>主线副本宝箱奖励34</t>
  </si>
  <si>
    <t>主线副本宝箱奖励35</t>
  </si>
  <si>
    <t>主线副本宝箱奖励36</t>
  </si>
  <si>
    <t>主线副本宝箱奖励37</t>
  </si>
  <si>
    <t>主线副本宝箱奖励38</t>
  </si>
  <si>
    <t>主线副本宝箱奖励39</t>
  </si>
  <si>
    <t>主线副本宝箱奖励40</t>
  </si>
  <si>
    <t>主线副本宝箱奖励41</t>
  </si>
  <si>
    <t>主线副本宝箱奖励42</t>
  </si>
  <si>
    <t>主线副本宝箱奖励43</t>
  </si>
  <si>
    <t>主线副本宝箱奖励44</t>
  </si>
  <si>
    <t>主线副本宝箱奖励45</t>
  </si>
  <si>
    <t>主线副本宝箱奖励46</t>
  </si>
  <si>
    <t>主线副本宝箱奖励47</t>
  </si>
  <si>
    <t>主线副本宝箱奖励48</t>
  </si>
  <si>
    <t>主线副本宝箱奖励49</t>
  </si>
  <si>
    <t>主线副本宝箱奖励50</t>
  </si>
  <si>
    <t>主线副本宝箱奖励51</t>
  </si>
  <si>
    <t>主线副本宝箱奖励52</t>
  </si>
  <si>
    <t>主线副本宝箱奖励53</t>
  </si>
  <si>
    <t>主线副本宝箱奖励54</t>
  </si>
  <si>
    <t>主线副本宝箱奖励55</t>
  </si>
  <si>
    <t>主线副本宝箱奖励56</t>
  </si>
  <si>
    <t>主线副本宝箱奖励57</t>
  </si>
  <si>
    <t>主线副本宝箱奖励58</t>
  </si>
  <si>
    <t>主线副本宝箱奖励59</t>
  </si>
  <si>
    <t>主线副本宝箱奖励60</t>
  </si>
  <si>
    <t>主线副本宝箱奖励61</t>
  </si>
  <si>
    <t>主线副本宝箱奖励62</t>
  </si>
  <si>
    <t>主线副本宝箱奖励63</t>
  </si>
  <si>
    <t>主线副本宝箱奖励64</t>
  </si>
  <si>
    <t>主线副本宝箱奖励65</t>
  </si>
  <si>
    <t>主线副本宝箱奖励66</t>
  </si>
  <si>
    <t>主线副本宝箱奖励67</t>
  </si>
  <si>
    <t>主线副本宝箱奖励68</t>
  </si>
  <si>
    <t>主线副本宝箱奖励69</t>
  </si>
  <si>
    <t>主线副本宝箱奖励70</t>
  </si>
  <si>
    <t>主线副本宝箱奖励71</t>
  </si>
  <si>
    <t>主线副本宝箱奖励72</t>
  </si>
  <si>
    <t>主线副本宝箱奖励73</t>
  </si>
  <si>
    <t>主线副本宝箱奖励74</t>
  </si>
  <si>
    <t>主线副本宝箱奖励75</t>
  </si>
  <si>
    <t>主线副本宝箱奖励76</t>
  </si>
  <si>
    <t>主线副本宝箱奖励77</t>
  </si>
  <si>
    <t>主线副本宝箱奖励78</t>
  </si>
  <si>
    <t>主线副本宝箱奖励79</t>
  </si>
  <si>
    <t>主线副本宝箱奖励80</t>
  </si>
  <si>
    <t>主线副本宝箱奖励81</t>
  </si>
  <si>
    <t>主线副本宝箱奖励82</t>
  </si>
  <si>
    <t>主线副本宝箱奖励83</t>
  </si>
  <si>
    <t>主线副本宝箱奖励84</t>
  </si>
  <si>
    <t>主线副本宝箱奖励85</t>
  </si>
  <si>
    <t>主线副本宝箱奖励86</t>
  </si>
  <si>
    <t>主线副本宝箱奖励87</t>
  </si>
  <si>
    <t>主线副本宝箱奖励88</t>
  </si>
  <si>
    <t>主线副本宝箱奖励89</t>
  </si>
  <si>
    <t>主线副本宝箱奖励90</t>
  </si>
  <si>
    <t>主线副本宝箱奖励91</t>
  </si>
  <si>
    <t>主线副本宝箱奖励92</t>
  </si>
  <si>
    <t>主线副本宝箱奖励93</t>
  </si>
  <si>
    <t>主线副本宝箱奖励94</t>
  </si>
  <si>
    <t>主线副本宝箱奖励95</t>
  </si>
  <si>
    <t>主线副本宝箱奖励96</t>
  </si>
  <si>
    <t>主线副本宝箱奖励97</t>
  </si>
  <si>
    <t>主线副本宝箱奖励98</t>
  </si>
  <si>
    <t>主线副本宝箱奖励99</t>
  </si>
  <si>
    <t>主线副本宝箱奖励100</t>
  </si>
  <si>
    <t>主线副本宝箱奖励101</t>
  </si>
  <si>
    <t>主线副本宝箱奖励102</t>
  </si>
  <si>
    <t>主线副本宝箱奖励103</t>
  </si>
  <si>
    <t>主线副本宝箱奖励104</t>
  </si>
  <si>
    <t>主线副本宝箱奖励105</t>
  </si>
  <si>
    <t>主线副本宝箱奖励106</t>
  </si>
  <si>
    <t>主线副本宝箱奖励107</t>
  </si>
  <si>
    <t>主线副本宝箱奖励108</t>
  </si>
  <si>
    <t>主线副本宝箱奖励109</t>
  </si>
  <si>
    <t>主线副本宝箱奖励110</t>
  </si>
  <si>
    <t>主线副本宝箱奖励111</t>
  </si>
  <si>
    <t>主线副本宝箱奖励112</t>
  </si>
  <si>
    <t>主线副本宝箱奖励113</t>
  </si>
  <si>
    <t>主线副本宝箱奖励114</t>
  </si>
  <si>
    <t>主线副本宝箱奖励115</t>
  </si>
  <si>
    <t>主线副本宝箱奖励116</t>
  </si>
  <si>
    <t>主线副本宝箱奖励117</t>
  </si>
  <si>
    <t>主线副本宝箱奖励118</t>
  </si>
  <si>
    <t>主线副本宝箱奖励119</t>
  </si>
  <si>
    <t>主线副本宝箱奖励120</t>
  </si>
  <si>
    <t>主线副本宝箱奖励121</t>
  </si>
  <si>
    <t>主线副本宝箱奖励122</t>
  </si>
  <si>
    <t>主线副本宝箱奖励123</t>
  </si>
  <si>
    <t>主线副本宝箱奖励124</t>
  </si>
  <si>
    <t>主线副本宝箱奖励125</t>
  </si>
  <si>
    <t>主线副本宝箱奖励126</t>
  </si>
  <si>
    <t>主线副本宝箱奖励127</t>
  </si>
  <si>
    <t>主线副本宝箱奖励128</t>
  </si>
  <si>
    <t>主线副本宝箱奖励129</t>
  </si>
  <si>
    <t>主线副本宝箱奖励130</t>
  </si>
  <si>
    <t>主线副本宝箱奖励131</t>
  </si>
  <si>
    <t>主线副本宝箱奖励132</t>
  </si>
  <si>
    <t>主线副本宝箱奖励133</t>
  </si>
  <si>
    <t>主线副本宝箱奖励134</t>
  </si>
  <si>
    <t>主线副本宝箱奖励135</t>
  </si>
  <si>
    <t>主线副本宝箱奖励136</t>
  </si>
  <si>
    <t>主线副本宝箱奖励137</t>
  </si>
  <si>
    <t>主线副本宝箱奖励138</t>
  </si>
  <si>
    <t>主线副本宝箱奖励139</t>
  </si>
  <si>
    <t>主线副本宝箱奖励140</t>
  </si>
  <si>
    <t>主线副本宝箱奖励141</t>
  </si>
  <si>
    <t>主线副本宝箱奖励142</t>
  </si>
  <si>
    <t>主线副本宝箱奖励143</t>
  </si>
  <si>
    <t>主线副本宝箱奖励144</t>
  </si>
  <si>
    <t>主线副本宝箱奖励145</t>
  </si>
  <si>
    <t>主线副本宝箱奖励146</t>
  </si>
  <si>
    <t>主线副本宝箱奖励147</t>
  </si>
  <si>
    <t>主线副本宝箱奖励148</t>
  </si>
  <si>
    <t>主线副本宝箱奖励149</t>
  </si>
  <si>
    <t>主线副本宝箱奖励150</t>
  </si>
  <si>
    <t>主线副本宝箱奖励151</t>
  </si>
  <si>
    <t>主线副本宝箱奖励152</t>
  </si>
  <si>
    <t>主线副本宝箱奖励153</t>
  </si>
  <si>
    <t>主线副本宝箱奖励154</t>
  </si>
  <si>
    <t>主线副本宝箱奖励155</t>
  </si>
  <si>
    <t>主线副本宝箱奖励156</t>
  </si>
  <si>
    <t>主线副本宝箱奖励157</t>
  </si>
  <si>
    <t>主线副本宝箱奖励158</t>
  </si>
  <si>
    <t>主线副本宝箱奖励159</t>
  </si>
  <si>
    <t>主线副本宝箱奖励160</t>
  </si>
  <si>
    <t>主线副本宝箱奖励161</t>
  </si>
  <si>
    <t>主线副本宝箱奖励162</t>
  </si>
  <si>
    <t>主线副本宝箱奖励163</t>
  </si>
  <si>
    <t>主线副本宝箱奖励164</t>
  </si>
  <si>
    <t>主线副本宝箱奖励165</t>
  </si>
  <si>
    <t>主线副本宝箱奖励166</t>
  </si>
  <si>
    <t>主线副本宝箱奖励167</t>
  </si>
  <si>
    <t>主线副本宝箱奖励168</t>
  </si>
  <si>
    <t>主线副本宝箱奖励169</t>
  </si>
  <si>
    <t>主线副本宝箱奖励170</t>
  </si>
  <si>
    <t>主线副本宝箱奖励171</t>
  </si>
  <si>
    <t>主线副本宝箱奖励172</t>
  </si>
  <si>
    <t>主线副本宝箱奖励173</t>
  </si>
  <si>
    <t>主线副本宝箱奖励174</t>
  </si>
  <si>
    <t>主线副本宝箱奖励175</t>
  </si>
  <si>
    <t>主线副本宝箱奖励176</t>
  </si>
  <si>
    <t>主线副本宝箱奖励177</t>
  </si>
  <si>
    <t>主线副本宝箱奖励178</t>
  </si>
  <si>
    <t>主线副本宝箱奖励179</t>
  </si>
  <si>
    <t>主线副本宝箱奖励180</t>
  </si>
  <si>
    <t>主线副本宝箱奖励181</t>
  </si>
  <si>
    <t>主线副本宝箱奖励182</t>
  </si>
  <si>
    <t>主线副本宝箱奖励183</t>
  </si>
  <si>
    <t>主线副本宝箱奖励184</t>
  </si>
  <si>
    <t>主线副本宝箱奖励185</t>
  </si>
  <si>
    <t>主线副本宝箱奖励186</t>
  </si>
  <si>
    <t>主线副本宝箱奖励187</t>
  </si>
  <si>
    <t>主线副本宝箱奖励188</t>
  </si>
  <si>
    <t>主线副本宝箱奖励189</t>
  </si>
  <si>
    <t>主线副本宝箱奖励190</t>
  </si>
  <si>
    <t>主线副本宝箱奖励191</t>
  </si>
  <si>
    <t>主线副本宝箱奖励192</t>
  </si>
  <si>
    <t>主线副本宝箱奖励193</t>
  </si>
  <si>
    <t>主线副本宝箱奖励194</t>
  </si>
  <si>
    <t>主线副本宝箱奖励195</t>
  </si>
  <si>
    <t>主线副本宝箱奖励196</t>
  </si>
  <si>
    <t>主线副本宝箱奖励197</t>
  </si>
  <si>
    <t>主线副本宝箱奖励198</t>
  </si>
  <si>
    <t>主线副本宝箱奖励199</t>
  </si>
  <si>
    <t>主线副本宝箱奖励200</t>
  </si>
  <si>
    <t>主线副本宝箱奖励201</t>
  </si>
  <si>
    <t>主线副本宝箱奖励202</t>
  </si>
  <si>
    <t>主线副本宝箱奖励203</t>
  </si>
  <si>
    <t>主线副本宝箱奖励204</t>
  </si>
  <si>
    <t>主线副本宝箱奖励205</t>
  </si>
  <si>
    <t>主线副本宝箱奖励206</t>
  </si>
  <si>
    <t>主线副本宝箱奖励207</t>
  </si>
  <si>
    <t>主线副本宝箱奖励208</t>
  </si>
  <si>
    <t>主线副本宝箱奖励209</t>
  </si>
  <si>
    <t>主线副本宝箱奖励210</t>
  </si>
  <si>
    <t>主线副本宝箱奖励211</t>
  </si>
  <si>
    <t>主线副本宝箱奖励212</t>
  </si>
  <si>
    <t>主线副本宝箱奖励213</t>
  </si>
  <si>
    <t>主线副本宝箱奖励214</t>
  </si>
  <si>
    <t>主线副本宝箱奖励215</t>
  </si>
  <si>
    <t>主线副本宝箱奖励216</t>
  </si>
  <si>
    <t>主线副本宝箱奖励217</t>
  </si>
  <si>
    <t>主线副本宝箱奖励218</t>
  </si>
  <si>
    <t>主线副本宝箱奖励219</t>
  </si>
  <si>
    <t>主线副本宝箱奖励220</t>
  </si>
  <si>
    <t>主线副本宝箱奖励221</t>
  </si>
  <si>
    <t>主线副本宝箱奖励222</t>
  </si>
  <si>
    <t>主线副本宝箱奖励223</t>
  </si>
  <si>
    <t>主线副本宝箱奖励224</t>
  </si>
  <si>
    <t>主线副本宝箱奖励225</t>
  </si>
  <si>
    <t>主线副本宝箱奖励226</t>
  </si>
  <si>
    <t>主线副本宝箱奖励227</t>
  </si>
  <si>
    <t>主线副本宝箱奖励228</t>
  </si>
  <si>
    <t>主线副本宝箱奖励229</t>
  </si>
  <si>
    <t>主线副本宝箱奖励230</t>
  </si>
  <si>
    <t>主线副本宝箱奖励231</t>
  </si>
  <si>
    <t>主线副本宝箱奖励232</t>
  </si>
  <si>
    <t>主线副本宝箱奖励233</t>
  </si>
  <si>
    <t>主线副本宝箱奖励234</t>
  </si>
  <si>
    <t>主线副本宝箱奖励235</t>
  </si>
  <si>
    <t>主线副本宝箱奖励236</t>
  </si>
  <si>
    <t>主线副本宝箱奖励237</t>
  </si>
  <si>
    <t>主线副本宝箱奖励238</t>
  </si>
  <si>
    <t>主线副本宝箱奖励239</t>
  </si>
  <si>
    <t>主线副本宝箱奖励240</t>
  </si>
  <si>
    <t>主线副本宝箱奖励241</t>
  </si>
  <si>
    <t>主线副本宝箱奖励242</t>
  </si>
  <si>
    <t>主线副本宝箱奖励243</t>
  </si>
  <si>
    <t>主线副本宝箱奖励244</t>
  </si>
  <si>
    <t>主线副本宝箱奖励245</t>
  </si>
  <si>
    <t>主线副本宝箱奖励246</t>
  </si>
  <si>
    <t>主线副本宝箱奖励247</t>
  </si>
  <si>
    <t>主线副本宝箱奖励248</t>
  </si>
  <si>
    <t>主线副本宝箱奖励249</t>
  </si>
  <si>
    <t>主线副本宝箱奖励250</t>
  </si>
  <si>
    <t>主线副本宝箱奖励251</t>
  </si>
  <si>
    <t>主线副本宝箱奖励252</t>
  </si>
  <si>
    <t>主线副本宝箱奖励253</t>
  </si>
  <si>
    <t>主线副本宝箱奖励254</t>
  </si>
  <si>
    <t>主线副本宝箱奖励255</t>
  </si>
  <si>
    <t>主线副本宝箱奖励256</t>
  </si>
  <si>
    <t>主线副本宝箱奖励257</t>
  </si>
  <si>
    <t>主线副本宝箱奖励258</t>
  </si>
  <si>
    <t>主线副本宝箱奖励259</t>
  </si>
  <si>
    <t>主线副本宝箱奖励260</t>
  </si>
  <si>
    <t>主线副本宝箱奖励261</t>
  </si>
  <si>
    <t>主线副本宝箱奖励262</t>
  </si>
  <si>
    <t>主线副本宝箱奖励263</t>
  </si>
  <si>
    <t>主线副本宝箱奖励264</t>
  </si>
  <si>
    <t>主线副本宝箱奖励265</t>
  </si>
  <si>
    <t>主线副本宝箱奖励266</t>
  </si>
  <si>
    <t>主线副本宝箱奖励267</t>
  </si>
  <si>
    <t>主线副本宝箱奖励268</t>
  </si>
  <si>
    <t>主线副本宝箱奖励269</t>
  </si>
  <si>
    <t>主线副本宝箱奖励270</t>
  </si>
  <si>
    <t>主线副本宝箱奖励271</t>
  </si>
  <si>
    <t>主线副本宝箱奖励272</t>
  </si>
  <si>
    <t>主线副本宝箱奖励273</t>
  </si>
  <si>
    <t>主线副本宝箱奖励274</t>
  </si>
  <si>
    <t>主线副本宝箱奖励275</t>
  </si>
  <si>
    <t>主线副本宝箱奖励276</t>
  </si>
  <si>
    <t>主线副本宝箱奖励277</t>
  </si>
  <si>
    <t>主线副本宝箱奖励278</t>
  </si>
  <si>
    <t>主线副本宝箱奖励279</t>
  </si>
  <si>
    <t>主线副本宝箱奖励280</t>
  </si>
  <si>
    <t>主线副本宝箱奖励281</t>
  </si>
  <si>
    <t>主线副本宝箱奖励282</t>
  </si>
  <si>
    <t>主线副本宝箱奖励283</t>
  </si>
  <si>
    <t>主线副本宝箱奖励284</t>
  </si>
  <si>
    <t>主线副本宝箱奖励285</t>
  </si>
  <si>
    <t>主线副本宝箱奖励286</t>
  </si>
  <si>
    <t>主线副本宝箱奖励287</t>
  </si>
  <si>
    <t>主线副本宝箱奖励288</t>
  </si>
  <si>
    <t>主线副本宝箱奖励289</t>
  </si>
  <si>
    <t>主线副本宝箱奖励290</t>
  </si>
  <si>
    <t>主线副本宝箱奖励291</t>
  </si>
  <si>
    <t>主线副本宝箱奖励292</t>
  </si>
  <si>
    <t>主线副本宝箱奖励293</t>
  </si>
  <si>
    <t>主线副本宝箱奖励294</t>
  </si>
  <si>
    <t>主线副本宝箱奖励295</t>
  </si>
  <si>
    <t>主线副本宝箱奖励296</t>
  </si>
  <si>
    <t>主线副本宝箱奖励297</t>
  </si>
  <si>
    <t>主线副本宝箱奖励298</t>
  </si>
  <si>
    <t>主线副本宝箱奖励299</t>
  </si>
  <si>
    <t>主线副本宝箱奖励300</t>
  </si>
  <si>
    <t>主线副本宝箱奖励301</t>
  </si>
  <si>
    <t>主线副本宝箱奖励302</t>
  </si>
  <si>
    <t>主线副本宝箱奖励303</t>
  </si>
  <si>
    <t>主线副本宝箱奖励304</t>
  </si>
  <si>
    <t>主线副本宝箱奖励305</t>
  </si>
  <si>
    <t>主线副本宝箱奖励306</t>
  </si>
  <si>
    <t>主线副本宝箱奖励307</t>
  </si>
  <si>
    <t>主线副本宝箱奖励308</t>
  </si>
  <si>
    <t>主线副本宝箱奖励309</t>
  </si>
  <si>
    <t>主线副本宝箱奖励310</t>
  </si>
  <si>
    <t>主线副本宝箱奖励311</t>
  </si>
  <si>
    <t>主线副本宝箱奖励312</t>
  </si>
  <si>
    <t>主线副本宝箱奖励313</t>
  </si>
  <si>
    <t>主线副本宝箱奖励314</t>
  </si>
  <si>
    <t>主线副本宝箱奖励315</t>
  </si>
  <si>
    <t>主线副本宝箱奖励316</t>
  </si>
  <si>
    <t>主线副本宝箱奖励317</t>
  </si>
  <si>
    <t>主线副本宝箱奖励318</t>
  </si>
  <si>
    <t>主线副本宝箱奖励319</t>
  </si>
  <si>
    <t>主线副本宝箱奖励320</t>
  </si>
  <si>
    <t>主线副本宝箱奖励321</t>
  </si>
  <si>
    <t>主线副本宝箱奖励322</t>
  </si>
  <si>
    <t>主线副本宝箱奖励323</t>
  </si>
  <si>
    <t>主线副本宝箱奖励324</t>
  </si>
  <si>
    <t>主线副本宝箱奖励325</t>
  </si>
  <si>
    <t>主线副本宝箱奖励326</t>
  </si>
  <si>
    <t>主线副本宝箱奖励327</t>
  </si>
  <si>
    <t>主线副本宝箱奖励328</t>
  </si>
  <si>
    <t>主线副本宝箱奖励329</t>
  </si>
  <si>
    <t>主线副本宝箱奖励330</t>
  </si>
  <si>
    <t>主线副本宝箱奖励331</t>
  </si>
  <si>
    <t>主线副本宝箱奖励332</t>
  </si>
  <si>
    <t>主线副本宝箱奖励333</t>
  </si>
  <si>
    <t>主线副本宝箱奖励334</t>
  </si>
  <si>
    <t>主线副本宝箱奖励335</t>
  </si>
  <si>
    <t>主线副本宝箱奖励336</t>
  </si>
  <si>
    <t>主线副本宝箱奖励337</t>
  </si>
  <si>
    <t>主线副本宝箱奖励338</t>
  </si>
  <si>
    <t>主线副本宝箱奖励339</t>
  </si>
  <si>
    <t>主线副本宝箱奖励340</t>
  </si>
  <si>
    <t>主线副本宝箱奖励341</t>
  </si>
  <si>
    <t>主线副本宝箱奖励342</t>
  </si>
  <si>
    <t>主线副本宝箱奖励343</t>
  </si>
  <si>
    <t>主线副本宝箱奖励344</t>
  </si>
  <si>
    <t>主线副本宝箱奖励345</t>
  </si>
  <si>
    <t>主线副本宝箱奖励346</t>
  </si>
  <si>
    <t>主线副本宝箱奖励347</t>
  </si>
  <si>
    <t>主线副本宝箱奖励348</t>
  </si>
  <si>
    <t>主线副本宝箱奖励349</t>
  </si>
  <si>
    <t>主线副本宝箱奖励350</t>
  </si>
  <si>
    <t>主线副本宝箱奖励351</t>
  </si>
  <si>
    <t>主线副本宝箱奖励352</t>
  </si>
  <si>
    <t>主线副本宝箱奖励353</t>
  </si>
  <si>
    <t>主线副本宝箱奖励354</t>
  </si>
  <si>
    <t>主线副本宝箱奖励355</t>
  </si>
  <si>
    <t>主线副本宝箱奖励356</t>
  </si>
  <si>
    <t>主线副本宝箱奖励357</t>
  </si>
  <si>
    <t>主线副本宝箱奖励358</t>
  </si>
  <si>
    <t>主线副本宝箱奖励359</t>
  </si>
  <si>
    <t>主线副本宝箱奖励360</t>
  </si>
  <si>
    <t>主线副本宝箱奖励361</t>
  </si>
  <si>
    <t>主线副本宝箱奖励362</t>
  </si>
  <si>
    <t>主线副本宝箱奖励363</t>
  </si>
  <si>
    <t>主线副本宝箱奖励364</t>
  </si>
  <si>
    <t>主线副本宝箱奖励365</t>
  </si>
  <si>
    <t>主线副本宝箱奖励366</t>
  </si>
  <si>
    <t>主线副本宝箱奖励367</t>
  </si>
  <si>
    <t>主线副本宝箱奖励368</t>
  </si>
  <si>
    <t>主线副本宝箱奖励369</t>
  </si>
  <si>
    <t>主线副本宝箱奖励370</t>
  </si>
  <si>
    <t>主线副本宝箱奖励371</t>
  </si>
  <si>
    <t>主线副本宝箱奖励372</t>
  </si>
  <si>
    <t>主线副本宝箱奖励373</t>
  </si>
  <si>
    <t>主线副本宝箱奖励374</t>
  </si>
  <si>
    <t>主线副本宝箱奖励375</t>
  </si>
  <si>
    <t>主线副本宝箱奖励376</t>
  </si>
  <si>
    <t>主线副本宝箱奖励377</t>
  </si>
  <si>
    <t>主线副本宝箱奖励378</t>
  </si>
  <si>
    <t>主线副本宝箱奖励379</t>
  </si>
  <si>
    <t>主线副本宝箱奖励380</t>
  </si>
  <si>
    <t>主线副本宝箱奖励381</t>
  </si>
  <si>
    <t>主线副本宝箱奖励382</t>
  </si>
  <si>
    <t>主线副本宝箱奖励383</t>
  </si>
  <si>
    <t>主线副本宝箱奖励384</t>
  </si>
  <si>
    <t>主线副本宝箱奖励385</t>
  </si>
  <si>
    <t>主线副本宝箱奖励386</t>
  </si>
  <si>
    <t>主线副本宝箱奖励387</t>
  </si>
  <si>
    <t>主线副本宝箱奖励388</t>
  </si>
  <si>
    <t>主线副本宝箱奖励389</t>
  </si>
  <si>
    <t>主线副本宝箱奖励390</t>
  </si>
  <si>
    <t>主线副本宝箱奖励391</t>
  </si>
  <si>
    <t>主线副本宝箱奖励392</t>
  </si>
  <si>
    <t>主线副本宝箱奖励393</t>
  </si>
  <si>
    <t>主线副本宝箱奖励394</t>
  </si>
  <si>
    <t>主线副本宝箱奖励395</t>
  </si>
  <si>
    <t>主线副本宝箱奖励396</t>
  </si>
  <si>
    <t>1|14003|1,1|10007|5</t>
  </si>
  <si>
    <t>1|14003|1,1|10034|5</t>
  </si>
  <si>
    <t>1|14003|1,1|10106|5</t>
  </si>
  <si>
    <t>1|14003|1,1|10030|5</t>
  </si>
  <si>
    <t>1|14003|1,1|10103|5</t>
  </si>
  <si>
    <t>1|14003|1,1|10105|5</t>
  </si>
  <si>
    <t>1|14003|1,1|10033|5,1|14300|1</t>
  </si>
  <si>
    <t>1|14003|1,1|10018|5,1|14300|1</t>
  </si>
  <si>
    <t>1|14003|1,1|10104|5,1|14300|1</t>
  </si>
  <si>
    <t>1|14003|1,1|10036|5,1|14300|1</t>
  </si>
  <si>
    <t>1|14003|1,1|10028|5,1|14300|1</t>
  </si>
  <si>
    <t>1|14003|1,1|10041|5,1|14300|1</t>
  </si>
  <si>
    <t>1|14003|1,1|10038|5,1|14300|1</t>
  </si>
  <si>
    <t>1|14003|1,1|10126|5,1|14300|1</t>
  </si>
  <si>
    <t>1|14003|1,1|10039|5,1|14314|1</t>
  </si>
  <si>
    <t>1|14003|1,1|10034|5,1|14314|1</t>
  </si>
  <si>
    <t>1|14003|1,1|10040|5,1|14314|1</t>
  </si>
  <si>
    <t>1|14003|1,1|10106|5,1|14314|1</t>
  </si>
  <si>
    <t>1|14003|1,1|10007|5,1|14314|1</t>
  </si>
  <si>
    <t>1|14003|1,1|10030|5,1|14314|1</t>
  </si>
  <si>
    <t>1|14003|1,1|10103|5,1|14314|1</t>
  </si>
  <si>
    <t>1|14003|1,1|10102|5,1|14314|1</t>
  </si>
  <si>
    <t>1|14003|1,1|10023|5,1|14314|1</t>
  </si>
  <si>
    <t>1|14003|1,1|10017|5,1|14314|1</t>
  </si>
  <si>
    <t>1|14003|1,1|10105|5,1|14314|1</t>
  </si>
  <si>
    <t>1|14003|1,1|10101|5,1|14314|1</t>
  </si>
  <si>
    <t>1|14003|1,1|10033|5,1|14314|1</t>
  </si>
  <si>
    <t>1|14003|1,1|10031|5,1|14314|1</t>
  </si>
  <si>
    <t>1|14003|1,1|10104|5,1|14314|1</t>
  </si>
  <si>
    <t>1|14003|1,1|10037|5,1|14314|1</t>
  </si>
  <si>
    <t>1|14003|1,1|10028|5,1|14314|1</t>
  </si>
  <si>
    <t>1|14003|1,1|10116|5,1|14314|1</t>
  </si>
  <si>
    <t>1|14003|1,1|10018|5,1|14314|1</t>
  </si>
  <si>
    <t>1|14003|1,1|10006|5,1|14314|1</t>
  </si>
  <si>
    <t>1|14003|1,1|10036|5,1|14314|1</t>
  </si>
  <si>
    <t>1|14003|1,1|10041|5,1|14314|1</t>
  </si>
  <si>
    <t>1|14003|1,1|10108|5,1|14314|1</t>
  </si>
  <si>
    <t>1|14003|1,1|10038|5,1|14314|1</t>
  </si>
  <si>
    <t>1|14003|1,1|10022|5,1|14314|1</t>
  </si>
  <si>
    <t>1|14003|1,1|10126|5,1|14314|1</t>
  </si>
  <si>
    <t>1|14003|1,1|10107|5,1|14314|1</t>
  </si>
  <si>
    <t>1|14003|1,1|10014|5,1|14314|1</t>
  </si>
  <si>
    <t>1|14003|1,1|10010|5,1|14314|1</t>
  </si>
  <si>
    <t>1|14003|1,1|10004|5,1|14314|1</t>
  </si>
  <si>
    <t>1|14003|1,1|10035|5,1|14314|1</t>
  </si>
  <si>
    <t>1|14003|1,1|10032|5,1|14314|1</t>
  </si>
  <si>
    <t>1|14003|1,1|10038|5,1|14315|1</t>
  </si>
  <si>
    <t>1|14003|1,1|10108|5,1|14315|1</t>
  </si>
  <si>
    <t>1|14003|1,1|10032|5,1|14315|2</t>
  </si>
  <si>
    <t>1|14003|1,1|10126|5,1|14315|1</t>
  </si>
  <si>
    <t>1|14003|1,1|10022|5,1|14315|1</t>
  </si>
  <si>
    <t>1|14003|1,1|10102|5,1|14315|2</t>
  </si>
  <si>
    <t>1|14003|1,1|10039|5,1|14315|1</t>
  </si>
  <si>
    <t>1|14003|1,1|10107|5,1|14315|1</t>
  </si>
  <si>
    <t>1|14003|1,1|10023|5,1|14315|2</t>
  </si>
  <si>
    <t>1|14003|1,1|10040|5,1|14315|1</t>
  </si>
  <si>
    <t>1|14003|1,1|10014|5,1|14315|1</t>
  </si>
  <si>
    <t>1|14003|1,1|10017|5,1|14315|2</t>
  </si>
  <si>
    <t>1|14003|1,1|10007|5,1|14315|1</t>
  </si>
  <si>
    <t>1|14003|1,1|10010|5,1|14315|1</t>
  </si>
  <si>
    <t>1|14003|1,1|10101|5,1|14315|2</t>
  </si>
  <si>
    <t>1|14003|1,1|10034|5,1|14315|1</t>
  </si>
  <si>
    <t>1|14003|1,1|10004|5,1|14315|1</t>
  </si>
  <si>
    <t>1|14003|1,1|10031|5,1|14315|2</t>
  </si>
  <si>
    <t>1|14003|1,1|10106|5,1|14315|1</t>
  </si>
  <si>
    <t>1|14003|1,1|10035|5,1|14315|1</t>
  </si>
  <si>
    <t>1|14003|1,1|10037|5,1|14315|2</t>
  </si>
  <si>
    <t>1|14003|1,1|10030|5,1|14315|1</t>
  </si>
  <si>
    <t>1|14003|1,1|10032|5,1|14315|1</t>
  </si>
  <si>
    <t>1|14003|1,1|10116|5,1|14315|2</t>
  </si>
  <si>
    <t>1|14003|1,1|10103|5,1|14315|1</t>
  </si>
  <si>
    <t>1|14003|1,1|10102|5,1|14315|1</t>
  </si>
  <si>
    <t>1|14003|1,1|10006|5,1|14315|2</t>
  </si>
  <si>
    <t>1|14003|1,1|10105|5,1|14315|1</t>
  </si>
  <si>
    <t>1|14003|1,1|10023|5,1|14315|1</t>
  </si>
  <si>
    <t>1|14003|1,1|10015|5,1|14315|2</t>
  </si>
  <si>
    <t>1|14003|1,1|10033|5,1|14315|1</t>
  </si>
  <si>
    <t>1|14003|1,1|10017|5,1|14315|1</t>
  </si>
  <si>
    <t>1|14003|1,1|10108|5,1|14315|2</t>
  </si>
  <si>
    <t>1|14003|1,1|10104|5,1|14315|1</t>
  </si>
  <si>
    <t>1|14003|1,1|10101|5,1|14315|1</t>
  </si>
  <si>
    <t>1|14003|1,1|10022|5,1|14315|2</t>
  </si>
  <si>
    <t>1|14003|1,1|10028|5,1|14315|1</t>
  </si>
  <si>
    <t>1|14003|1,1|10031|5,1|14315|1</t>
  </si>
  <si>
    <t>1|14003|1,1|10107|5,1|14315|2</t>
  </si>
  <si>
    <t>1|14003|1,1|10018|5,1|14315|1</t>
  </si>
  <si>
    <t>1|14003|1,1|10037|5,1|14315|1</t>
  </si>
  <si>
    <t>1|14003|1,1|10014|5,1|14315|2</t>
  </si>
  <si>
    <t>1|14003|1,1|10036|5,1|14315|1</t>
  </si>
  <si>
    <t>1|14003|1,1|10116|5,1|14315|1</t>
  </si>
  <si>
    <t>1|14003|1,1|10041|5,1|14315|1</t>
  </si>
  <si>
    <t>1|14003|1,1|10006|5,1|14315|1</t>
  </si>
  <si>
    <t>1|14003|1,1|10035|5,1|14315|2</t>
  </si>
  <si>
    <t>1|14003|1,1|10013|5,1|14315|2</t>
  </si>
  <si>
    <t>1|14003|1,1|10027|5,1|14315|2</t>
  </si>
  <si>
    <t>1|14003|1,1|10112|5,1|14315|2</t>
  </si>
  <si>
    <t>1|14003|1,1|10118|5,1|14315|2</t>
  </si>
  <si>
    <t>1|14003|1,1|10026|5,1|14315|2</t>
  </si>
  <si>
    <t>1|14003|1,1|10003|5,1|14315|2</t>
  </si>
  <si>
    <t>1|14003|1,1|10009|5,1|14315|2</t>
  </si>
  <si>
    <t>1|14003|1,1|10011|5,1|14315|2</t>
  </si>
  <si>
    <t>1|14003|1,1|10016|5,1|14315|2</t>
  </si>
  <si>
    <t>1|14003|1|1,1|10007|5|1</t>
  </si>
  <si>
    <t>1|14003|1|1,1|10034|5|1</t>
  </si>
  <si>
    <t>1|14003|1|1,1|10106|5|1</t>
  </si>
  <si>
    <t>1|14003|1|1,1|10030|5|1</t>
  </si>
  <si>
    <t>1|14003|1|1,1|10103|5|1</t>
  </si>
  <si>
    <t>1|14003|1|1,1|10105|5|1</t>
  </si>
  <si>
    <t>1|14003|1|1,1|10033|5|1,1|14300|1|1</t>
  </si>
  <si>
    <t>1|14003|1|1,1|10018|5|1,1|14300|1|1</t>
  </si>
  <si>
    <t>1|14003|1|1,1|10104|5|1,1|14300|1|1</t>
  </si>
  <si>
    <t>1|14003|1|1,1|10036|5|1,1|14300|1|1</t>
  </si>
  <si>
    <t>1|14003|1|1,1|10028|5|1,1|14300|1|1</t>
  </si>
  <si>
    <t>1|14003|1|1,1|10041|5|1,1|14300|1|1</t>
  </si>
  <si>
    <t>1|14003|1|1,1|10038|5|1,1|14300|1|1</t>
  </si>
  <si>
    <t>1|14003|1|1,1|10126|5|1,1|14300|1|1</t>
  </si>
  <si>
    <t>1|14003|1|1,1|10039|5|1,1|14314|1|1</t>
  </si>
  <si>
    <t>1|14003|1|1,1|10034|5|1,1|14314|1|1</t>
  </si>
  <si>
    <t>1|14003|1|1,1|10040|5|1,1|14314|1|1</t>
  </si>
  <si>
    <t>1|14003|1|1,1|10106|5|1,1|14314|1|1</t>
  </si>
  <si>
    <t>1|14003|1|1,1|10007|5|1,1|14314|1|1</t>
  </si>
  <si>
    <t>1|14003|1|1,1|10030|5|1,1|14314|1|1</t>
  </si>
  <si>
    <t>1|14003|1|1,1|10103|5|1,1|14314|1|1</t>
  </si>
  <si>
    <t>1|14003|1|1,1|10102|5|1,1|14314|1|1</t>
  </si>
  <si>
    <t>1|14003|1|1,1|10023|5|1,1|14314|1|1</t>
  </si>
  <si>
    <t>1|14003|1|1,1|10017|5|1,1|14314|1|1</t>
  </si>
  <si>
    <t>1|14003|1|1,1|10105|5|1,1|14314|1|1</t>
  </si>
  <si>
    <t>1|14003|1|1,1|10101|5|1,1|14314|1|1</t>
  </si>
  <si>
    <t>1|14003|1|1,1|10033|5|1,1|14314|1|1</t>
  </si>
  <si>
    <t>1|14003|1|1,1|10031|5|1,1|14314|1|1</t>
  </si>
  <si>
    <t>1|14003|1|1,1|10104|5|1,1|14314|1|1</t>
  </si>
  <si>
    <t>1|14003|1|1,1|10037|5|1,1|14314|1|1</t>
  </si>
  <si>
    <t>1|14003|1|1,1|10028|5|1,1|14314|1|1</t>
  </si>
  <si>
    <t>1|14003|1|1,1|10116|5|1,1|14314|1|1</t>
  </si>
  <si>
    <t>1|14003|1|1,1|10018|5|1,1|14314|1|1</t>
  </si>
  <si>
    <t>1|14003|1|1,1|10006|5|1,1|14314|1|1</t>
  </si>
  <si>
    <t>1|14003|1|1,1|10036|5|1,1|14314|1|1</t>
  </si>
  <si>
    <t>1|14003|1|1,1|10041|5|1,1|14314|1|1</t>
  </si>
  <si>
    <t>1|14003|1|1,1|10108|5|1,1|14314|1|1</t>
  </si>
  <si>
    <t>1|14003|1|1,1|10038|5|1,1|14314|1|1</t>
  </si>
  <si>
    <t>1|14003|1|1,1|10022|5|1,1|14314|1|1</t>
  </si>
  <si>
    <t>1|14003|1|1,1|10126|5|1,1|14314|1|1</t>
  </si>
  <si>
    <t>1|14003|1|1,1|10107|5|1,1|14314|1|1</t>
  </si>
  <si>
    <t>1|14003|1|1,1|10014|5|1,1|14314|1|1</t>
  </si>
  <si>
    <t>1|14003|1|1,1|10010|5|1,1|14314|1|1</t>
  </si>
  <si>
    <t>1|14003|1|1,1|10004|5|1,1|14314|1|1</t>
  </si>
  <si>
    <t>1|14003|1|1,1|10035|5|1,1|14314|1|1</t>
  </si>
  <si>
    <t>1|14003|1|1,1|10032|5|1,1|14314|1|1</t>
  </si>
  <si>
    <t>1|14003|1|1,1|10038|5|1,1|14315|1|1</t>
  </si>
  <si>
    <t>1|14003|1|1,1|10108|5|1,1|14315|1|1</t>
  </si>
  <si>
    <t>1|14003|1|1,1|10032|5|1,1|14315|2|1</t>
  </si>
  <si>
    <t>1|14003|1|1,1|10126|5|1,1|14315|1|1</t>
  </si>
  <si>
    <t>1|14003|1|1,1|10022|5|1,1|14315|1|1</t>
  </si>
  <si>
    <t>1|14003|1|1,1|10102|5|1,1|14315|2|1</t>
  </si>
  <si>
    <t>1|14003|1|1,1|10039|5|1,1|14315|1|1</t>
  </si>
  <si>
    <t>1|14003|1|1,1|10107|5|1,1|14315|1|1</t>
  </si>
  <si>
    <t>1|14003|1|1,1|10023|5|1,1|14315|2|1</t>
  </si>
  <si>
    <t>1|14003|1|1,1|10040|5|1,1|14315|1|1</t>
  </si>
  <si>
    <t>1|14003|1|1,1|10014|5|1,1|14315|1|1</t>
  </si>
  <si>
    <t>1|14003|1|1,1|10017|5|1,1|14315|2|1</t>
  </si>
  <si>
    <t>1|14003|1|1,1|10007|5|1,1|14315|1|1</t>
  </si>
  <si>
    <t>1|14003|1|1,1|10010|5|1,1|14315|1|1</t>
  </si>
  <si>
    <t>1|14003|1|1,1|10101|5|1,1|14315|2|1</t>
  </si>
  <si>
    <t>1|14003|1|1,1|10034|5|1,1|14315|1|1</t>
  </si>
  <si>
    <t>1|14003|1|1,1|10004|5|1,1|14315|1|1</t>
  </si>
  <si>
    <t>1|14003|1|1,1|10031|5|1,1|14315|2|1</t>
  </si>
  <si>
    <t>1|14003|1|1,1|10106|5|1,1|14315|1|1</t>
  </si>
  <si>
    <t>1|14003|1|1,1|10035|5|1,1|14315|1|1</t>
  </si>
  <si>
    <t>1|14003|1|1,1|10037|5|1,1|14315|2|1</t>
  </si>
  <si>
    <t>1|14003|1|1,1|10030|5|1,1|14315|1|1</t>
  </si>
  <si>
    <t>1|14003|1|1,1|10032|5|1,1|14315|1|1</t>
  </si>
  <si>
    <t>1|14003|1|1,1|10116|5|1,1|14315|2|1</t>
  </si>
  <si>
    <t>1|14003|1|1,1|10103|5|1,1|14315|1|1</t>
  </si>
  <si>
    <t>1|14003|1|1,1|10102|5|1,1|14315|1|1</t>
  </si>
  <si>
    <t>1|14003|1|1,1|10006|5|1,1|14315|2|1</t>
  </si>
  <si>
    <t>1|14003|1|1,1|10105|5|1,1|14315|1|1</t>
  </si>
  <si>
    <t>1|14003|1|1,1|10023|5|1,1|14315|1|1</t>
  </si>
  <si>
    <t>1|14003|1|1,1|10015|5|1,1|14315|2|1</t>
  </si>
  <si>
    <t>1|14003|1|1,1|10033|5|1,1|14315|1|1</t>
  </si>
  <si>
    <t>1|14003|1|1,1|10017|5|1,1|14315|1|1</t>
  </si>
  <si>
    <t>1|14003|1|1,1|10108|5|1,1|14315|2|1</t>
  </si>
  <si>
    <t>1|14003|1|1,1|10104|5|1,1|14315|1|1</t>
  </si>
  <si>
    <t>1|14003|1|1,1|10101|5|1,1|14315|1|1</t>
  </si>
  <si>
    <t>1|14003|1|1,1|10022|5|1,1|14315|2|1</t>
  </si>
  <si>
    <t>1|14003|1|1,1|10028|5|1,1|14315|1|1</t>
  </si>
  <si>
    <t>1|14003|1|1,1|10031|5|1,1|14315|1|1</t>
  </si>
  <si>
    <t>1|14003|1|1,1|10107|5|1,1|14315|2|1</t>
  </si>
  <si>
    <t>1|14003|1|1,1|10018|5|1,1|14315|1|1</t>
  </si>
  <si>
    <t>1|14003|1|1,1|10037|5|1,1|14315|1|1</t>
  </si>
  <si>
    <t>1|14003|1|1,1|10014|5|1,1|14315|2|1</t>
  </si>
  <si>
    <t>1|14003|1|1,1|10036|5|1,1|14315|1|1</t>
  </si>
  <si>
    <t>1|14003|1|1,1|10116|5|1,1|14315|1|1</t>
  </si>
  <si>
    <t>1|14003|1|1,1|10041|5|1,1|14315|1|1</t>
  </si>
  <si>
    <t>1|14003|1|1,1|10006|5|1,1|14315|1|1</t>
  </si>
  <si>
    <t>1|14003|1|1,1|10035|5|1,1|14315|2|1</t>
  </si>
  <si>
    <t>1|14003|1|1,1|10013|5|1,1|14315|2|1</t>
  </si>
  <si>
    <t>1|14003|1|1,1|10027|5|1,1|14315|2|1</t>
  </si>
  <si>
    <t>1|14003|1|1,1|10112|5|1,1|14315|2|1</t>
  </si>
  <si>
    <t>1|14003|1|1,1|10118|5|1,1|14315|2|1</t>
  </si>
  <si>
    <t>1|14003|1|1,1|10026|5|1,1|14315|2|1</t>
  </si>
  <si>
    <t>1|14003|1|1,1|10003|5|1,1|14315|2|1</t>
  </si>
  <si>
    <t>1|14003|1|1,1|10009|5|1,1|14315|2|1</t>
  </si>
  <si>
    <t>1|14003|1|1,1|10011|5|1,1|14315|2|1</t>
  </si>
  <si>
    <t>1|14003|1|1,1|10016|5|1,1|14315|2|1</t>
  </si>
  <si>
    <t>4|1|80000|1</t>
    <phoneticPr fontId="17" type="noConversion"/>
  </si>
  <si>
    <t>4|1|80000</t>
    <phoneticPr fontId="17" type="noConversion"/>
  </si>
  <si>
    <t>帮派进度奖励-金币-29级</t>
  </si>
  <si>
    <t>帮派进度奖励3</t>
  </si>
  <si>
    <t>帮派进度奖励4</t>
  </si>
  <si>
    <t>帮派进度奖励-金币-39级</t>
  </si>
  <si>
    <t>帮派进度奖励-金币-49级</t>
  </si>
  <si>
    <t>帮派进度奖励-金币-59级</t>
  </si>
  <si>
    <t>帮派进度奖励-金币-69级</t>
  </si>
  <si>
    <t>帮派进度奖励-金币-79级</t>
  </si>
  <si>
    <t>帮派进度奖励-金币-89级</t>
  </si>
  <si>
    <t>帮派进度奖励-金币-99级</t>
  </si>
  <si>
    <t>帮派进度奖励-金币-109级</t>
  </si>
  <si>
    <t>帮派进度奖励-金币-119级</t>
  </si>
  <si>
    <t>帮派进度奖励-金币-129级</t>
  </si>
  <si>
    <t>帮派进度奖励-金币-139级</t>
  </si>
  <si>
    <t>帮派进度奖励-金币-149级</t>
  </si>
  <si>
    <t>帮派进度奖励-金币-159级</t>
  </si>
  <si>
    <t>帮派进度奖励-帮派贡献</t>
    <phoneticPr fontId="17" type="noConversion"/>
  </si>
  <si>
    <t>帮派进度奖励-钻石</t>
    <phoneticPr fontId="17" type="noConversion"/>
  </si>
  <si>
    <t>4|37|200|1</t>
    <phoneticPr fontId="17" type="noConversion"/>
  </si>
  <si>
    <t>4|37|400|1</t>
    <phoneticPr fontId="17" type="noConversion"/>
  </si>
  <si>
    <t>4|38|250</t>
    <phoneticPr fontId="17" type="noConversion"/>
  </si>
  <si>
    <t>4|12|50</t>
    <phoneticPr fontId="17" type="noConversion"/>
  </si>
  <si>
    <t>4|2|50</t>
    <phoneticPr fontId="17" type="noConversion"/>
  </si>
  <si>
    <t>4|2|300</t>
    <phoneticPr fontId="17" type="noConversion"/>
  </si>
  <si>
    <t>4|33|1</t>
    <phoneticPr fontId="17" type="noConversion"/>
  </si>
  <si>
    <t>1|14002|5</t>
    <phoneticPr fontId="17" type="noConversion"/>
  </si>
  <si>
    <t>1|14002|1</t>
    <phoneticPr fontId="17" type="noConversion"/>
  </si>
  <si>
    <t>[]</t>
    <phoneticPr fontId="17" type="noConversion"/>
  </si>
  <si>
    <t>3|50000|1</t>
    <phoneticPr fontId="17" type="noConversion"/>
  </si>
  <si>
    <t>3|50000|1</t>
    <phoneticPr fontId="17" type="noConversion"/>
  </si>
  <si>
    <t>4|2|100</t>
    <phoneticPr fontId="17" type="noConversion"/>
  </si>
  <si>
    <t>4|2|1000</t>
    <phoneticPr fontId="17" type="noConversion"/>
  </si>
  <si>
    <t>[]</t>
    <phoneticPr fontId="17" type="noConversion"/>
  </si>
  <si>
    <t>日常任务30积分奖励-29级</t>
    <phoneticPr fontId="17" type="noConversion"/>
  </si>
  <si>
    <t>日常任务60积分奖励-29级</t>
    <phoneticPr fontId="17" type="noConversion"/>
  </si>
  <si>
    <t>日常任务30积分奖励-39级</t>
    <phoneticPr fontId="17" type="noConversion"/>
  </si>
  <si>
    <t>日常任务60积分奖励-39级</t>
    <phoneticPr fontId="17" type="noConversion"/>
  </si>
  <si>
    <t>日常任务30积分奖励-49级</t>
    <phoneticPr fontId="17" type="noConversion"/>
  </si>
  <si>
    <t>日常任务60积分奖励-49级</t>
  </si>
  <si>
    <t>日常任务30积分奖励-59级</t>
  </si>
  <si>
    <t>日常任务30积分奖励-69级</t>
  </si>
  <si>
    <t>日常任务30积分奖励-79级</t>
  </si>
  <si>
    <t>日常任务30积分奖励-89级</t>
  </si>
  <si>
    <t>日常任务30积分奖励-99级</t>
  </si>
  <si>
    <t>日常任务30积分奖励-109级</t>
  </si>
  <si>
    <t>日常任务30积分奖励-119级</t>
  </si>
  <si>
    <t>日常任务30积分奖励-129级</t>
  </si>
  <si>
    <t>日常任务30积分奖励-139级</t>
  </si>
  <si>
    <t>日常任务30积分奖励-149级</t>
  </si>
  <si>
    <t>日常任务30积分奖励-159级</t>
  </si>
  <si>
    <t>日常任务60积分奖励-59级</t>
  </si>
  <si>
    <t>日常任务60积分奖励-69级</t>
  </si>
  <si>
    <t>日常任务60积分奖励-79级</t>
  </si>
  <si>
    <t>日常任务60积分奖励-89级</t>
  </si>
  <si>
    <t>日常任务60积分奖励-99级</t>
  </si>
  <si>
    <t>日常任务60积分奖励-109级</t>
  </si>
  <si>
    <t>日常任务60积分奖励-119级</t>
  </si>
  <si>
    <t>日常任务60积分奖励-129级</t>
  </si>
  <si>
    <t>日常任务60积分奖励-139级</t>
  </si>
  <si>
    <t>日常任务60积分奖励-149级</t>
  </si>
  <si>
    <t>日常任务60积分奖励-159级</t>
  </si>
  <si>
    <t>4|1|20000,4|2|20,1|14101|1</t>
  </si>
  <si>
    <t>4|1|24000,4|2|20,1|14101|1</t>
  </si>
  <si>
    <t>4|1|28000,4|2|20,1|14101|1</t>
  </si>
  <si>
    <t>4|1|32000,4|2|20,1|14101|1</t>
  </si>
  <si>
    <t>4|1|36000,4|2|20,1|14101|1</t>
  </si>
  <si>
    <t>4|1|40000,4|2|20,1|14101|1</t>
  </si>
  <si>
    <t>4|1|44000,4|2|20,1|14101|1</t>
  </si>
  <si>
    <t>4|1|48000,4|2|20,1|14101|1</t>
  </si>
  <si>
    <t>4|1|52000,4|2|20,1|14101|1</t>
  </si>
  <si>
    <t>4|1|56000,4|2|20,1|14101|1</t>
  </si>
  <si>
    <t>4|1|60000,4|2|20,1|14101|1</t>
  </si>
  <si>
    <t>4|1|64000,4|2|20,1|14101|1</t>
  </si>
  <si>
    <t>日常任务90积分奖励</t>
    <phoneticPr fontId="17" type="noConversion"/>
  </si>
  <si>
    <t>日常任务120积分奖励</t>
    <phoneticPr fontId="17" type="noConversion"/>
  </si>
  <si>
    <t>大雁塔5层</t>
    <phoneticPr fontId="17" type="noConversion"/>
  </si>
  <si>
    <t>队伍战斗力达到1万</t>
  </si>
  <si>
    <t>队伍战斗力达到2万</t>
  </si>
  <si>
    <t>队伍战斗力达到3万</t>
  </si>
  <si>
    <t>队伍战斗力达到5万</t>
  </si>
  <si>
    <t>队伍战斗力达到8万</t>
  </si>
  <si>
    <t>队伍战斗力达到12万</t>
  </si>
  <si>
    <t>队伍战斗力达到16万</t>
  </si>
  <si>
    <t>队伍战斗力达到20万</t>
  </si>
  <si>
    <t>队伍战斗力达到25万</t>
  </si>
  <si>
    <t>队伍战斗力达到30万</t>
  </si>
  <si>
    <t>队伍战斗力达到35万</t>
  </si>
  <si>
    <t>队伍战斗力达到40万</t>
  </si>
  <si>
    <t>队伍战斗力达到45万</t>
  </si>
  <si>
    <t>队伍战斗力达到50万</t>
  </si>
  <si>
    <t>队伍战斗力达到55万</t>
  </si>
  <si>
    <t>队伍战斗力达到60万</t>
  </si>
  <si>
    <t>队伍战斗力达到65万</t>
  </si>
  <si>
    <t>队伍战斗力达到70万</t>
  </si>
  <si>
    <t>队伍战斗力达到75万</t>
  </si>
  <si>
    <t>队伍战斗力达到80万</t>
  </si>
  <si>
    <t>队伍战斗力达到85万</t>
  </si>
  <si>
    <t>队伍战斗力达到90万</t>
  </si>
  <si>
    <t>队伍战斗力达到95万</t>
  </si>
  <si>
    <t>队伍战斗力达到100万</t>
  </si>
  <si>
    <t>队伍战斗力达到110万</t>
  </si>
  <si>
    <t>队伍战斗力达到120万</t>
  </si>
  <si>
    <t>队伍战斗力达到130万</t>
  </si>
  <si>
    <t>队伍战斗力达到140万</t>
  </si>
  <si>
    <t>队伍战斗力达到150万</t>
  </si>
  <si>
    <t>队伍战斗力达到160万</t>
  </si>
  <si>
    <t>队伍战斗力达到170万</t>
  </si>
  <si>
    <t>队伍战斗力达到180万</t>
  </si>
  <si>
    <t>队伍战斗力达到190万</t>
  </si>
  <si>
    <t>队伍战斗力达到200万</t>
  </si>
  <si>
    <t>队伍战斗力达到210万</t>
  </si>
  <si>
    <t>队伍战斗力达到220万</t>
  </si>
  <si>
    <t>队伍战斗力达到230万</t>
  </si>
  <si>
    <t>队伍战斗力达到240万</t>
  </si>
  <si>
    <t>队伍战斗力达到250万</t>
  </si>
  <si>
    <t>队伍战斗力达到260万</t>
  </si>
  <si>
    <t>队伍战斗力达到270万</t>
  </si>
  <si>
    <t>队伍战斗力达到280万</t>
  </si>
  <si>
    <t>队伍战斗力达到290万</t>
  </si>
  <si>
    <t>队伍战斗力达到300万</t>
  </si>
  <si>
    <t>4|2|30</t>
  </si>
  <si>
    <t>4|2|30|1</t>
  </si>
  <si>
    <t>1|14311|1,4|2|100,1|14102|5,1|14101|2</t>
  </si>
  <si>
    <t>4|1|12000,4|2|20,1|14101|1</t>
  </si>
  <si>
    <t>4|1|16000,4|2|20,1|14101|1</t>
  </si>
  <si>
    <t>4|1|18000,4|2|30,1|14003|1,1|14101|1</t>
  </si>
  <si>
    <t>4|1|24000,4|2|30,1|14003|1,1|14101|1</t>
  </si>
  <si>
    <t>4|1|30000,4|2|30,1|14003|1,1|14101|1</t>
  </si>
  <si>
    <t>4|1|36000,4|2|30,1|14003|1,1|14101|1</t>
  </si>
  <si>
    <t>4|1|42000,4|2|30,1|14003|1,1|14101|1</t>
  </si>
  <si>
    <t>4|1|48000,4|2|30,1|14003|1,1|14101|1</t>
  </si>
  <si>
    <t>4|1|54000,4|2|30,1|14003|1,1|14101|1</t>
  </si>
  <si>
    <t>4|1|60000,4|2|30,1|14003|1,1|14101|1</t>
  </si>
  <si>
    <t>4|1|66000,4|2|30,1|14003|1,1|14101|1</t>
  </si>
  <si>
    <t>4|1|72000,4|2|30,1|14003|1,1|14101|1</t>
  </si>
  <si>
    <t>4|1|78000,4|2|30,1|14003|1,1|14101|1</t>
  </si>
  <si>
    <t>4|1|84000,4|2|30,1|14003|1,1|14101|1</t>
  </si>
  <si>
    <t>4|1|90000,4|2|30,1|14003|1,1|14101|1</t>
  </si>
  <si>
    <t>初级法宝碎片宝箱</t>
    <phoneticPr fontId="17" type="noConversion"/>
  </si>
  <si>
    <t>主线副本 第1章 第3关道具奖励</t>
  </si>
  <si>
    <t>主线副本 第1章 第6关道具奖励</t>
  </si>
  <si>
    <t>主线副本 第2章 第3关道具奖励</t>
  </si>
  <si>
    <t>主线副本 第2章 第6关道具奖励</t>
  </si>
  <si>
    <t>主线副本 第3章 第6关道具奖励</t>
  </si>
  <si>
    <t>主线副本 第3章 第9关道具奖励</t>
  </si>
  <si>
    <t>主线副本 第4章 第6关道具奖励</t>
  </si>
  <si>
    <t>主线副本 第4章 第9关道具奖励</t>
  </si>
  <si>
    <t>主线副本 第4章 第10关道具奖励</t>
  </si>
  <si>
    <t>主线副本 第5章 第6关道具奖励</t>
  </si>
  <si>
    <t>主线副本 第5章 第9关道具奖励</t>
  </si>
  <si>
    <t>主线副本 第5章 第10关道具奖励</t>
  </si>
  <si>
    <t>主线副本 第6章 第6关道具奖励</t>
  </si>
  <si>
    <t>主线副本 第6章 第9关道具奖励</t>
  </si>
  <si>
    <t>主线副本 第6章 第10关道具奖励</t>
  </si>
  <si>
    <t>主线副本 第7章 第6关道具奖励</t>
  </si>
  <si>
    <t>主线副本 第7章 第9关道具奖励</t>
  </si>
  <si>
    <t>主线副本 第7章 第10关道具奖励</t>
  </si>
  <si>
    <t>主线副本 第8章 第6关道具奖励</t>
  </si>
  <si>
    <t>主线副本 第8章 第9关道具奖励</t>
  </si>
  <si>
    <t>主线副本 第8章 第10关道具奖励</t>
  </si>
  <si>
    <t>主线副本 第9章 第6关道具奖励</t>
  </si>
  <si>
    <t>主线副本 第9章 第9关道具奖励</t>
  </si>
  <si>
    <t>主线副本 第9章 第10关道具奖励</t>
  </si>
  <si>
    <t>主线副本 第10章 第6关道具奖励</t>
  </si>
  <si>
    <t>主线副本 第10章 第9关道具奖励</t>
  </si>
  <si>
    <t>主线副本 第10章 第10关道具奖励</t>
  </si>
  <si>
    <t>主线副本 第11章 第6关道具奖励</t>
  </si>
  <si>
    <t>主线副本 第11章 第9关道具奖励</t>
  </si>
  <si>
    <t>主线副本 第11章 第10关道具奖励</t>
  </si>
  <si>
    <t>主线副本 第12章 第6关道具奖励</t>
  </si>
  <si>
    <t>主线副本 第12章 第9关道具奖励</t>
  </si>
  <si>
    <t>主线副本 第12章 第10关道具奖励</t>
  </si>
  <si>
    <t>主线副本 第13章 第6关道具奖励</t>
  </si>
  <si>
    <t>主线副本 第13章 第9关道具奖励</t>
  </si>
  <si>
    <t>主线副本 第13章 第10关道具奖励</t>
  </si>
  <si>
    <t>主线副本 第14章 第6关道具奖励</t>
  </si>
  <si>
    <t>主线副本 第14章 第9关道具奖励</t>
  </si>
  <si>
    <t>主线副本 第14章 第10关道具奖励</t>
  </si>
  <si>
    <t>主线副本 第15章 第6关道具奖励</t>
  </si>
  <si>
    <t>主线副本 第15章 第9关道具奖励</t>
  </si>
  <si>
    <t>主线副本 第15章 第10关道具奖励</t>
  </si>
  <si>
    <t>主线副本 第16章 第6关道具奖励</t>
  </si>
  <si>
    <t>主线副本 第16章 第9关道具奖励</t>
  </si>
  <si>
    <t>主线副本 第16章 第10关道具奖励</t>
  </si>
  <si>
    <t>主线副本 第17章 第6关道具奖励</t>
  </si>
  <si>
    <t>主线副本 第17章 第9关道具奖励</t>
  </si>
  <si>
    <t>主线副本 第17章 第10关道具奖励</t>
  </si>
  <si>
    <t>主线副本 第18章 第6关道具奖励</t>
  </si>
  <si>
    <t>主线副本 第18章 第9关道具奖励</t>
  </si>
  <si>
    <t>主线副本 第18章 第10关道具奖励</t>
  </si>
  <si>
    <t>主线副本 第19章 第6关道具奖励</t>
  </si>
  <si>
    <t>主线副本 第19章 第9关道具奖励</t>
  </si>
  <si>
    <t>主线副本 第19章 第10关道具奖励</t>
  </si>
  <si>
    <t>主线副本 第20章 第6关道具奖励</t>
  </si>
  <si>
    <t>主线副本 第20章 第9关道具奖励</t>
  </si>
  <si>
    <t>主线副本 第20章 第10关道具奖励</t>
  </si>
  <si>
    <t>主线副本 第21章 第6关道具奖励</t>
  </si>
  <si>
    <t>主线副本 第21章 第9关道具奖励</t>
  </si>
  <si>
    <t>主线副本 第21章 第10关道具奖励</t>
  </si>
  <si>
    <t>主线副本 第22章 第6关道具奖励</t>
  </si>
  <si>
    <t>主线副本 第22章 第9关道具奖励</t>
  </si>
  <si>
    <t>主线副本 第22章 第10关道具奖励</t>
  </si>
  <si>
    <t>主线副本 第23章 第6关道具奖励</t>
  </si>
  <si>
    <t>主线副本 第23章 第9关道具奖励</t>
  </si>
  <si>
    <t>主线副本 第23章 第10关道具奖励</t>
  </si>
  <si>
    <t>主线副本 第24章 第6关道具奖励</t>
  </si>
  <si>
    <t>主线副本 第24章 第9关道具奖励</t>
  </si>
  <si>
    <t>主线副本 第24章 第10关道具奖励</t>
  </si>
  <si>
    <t>主线副本 第25章 第6关道具奖励</t>
  </si>
  <si>
    <t>主线副本 第25章 第9关道具奖励</t>
  </si>
  <si>
    <t>主线副本 第25章 第10关道具奖励</t>
  </si>
  <si>
    <t>主线副本 第26章 第6关道具奖励</t>
  </si>
  <si>
    <t>主线副本 第26章 第9关道具奖励</t>
  </si>
  <si>
    <t>主线副本 第26章 第10关道具奖励</t>
  </si>
  <si>
    <t>主线副本 第27章 第6关道具奖励</t>
  </si>
  <si>
    <t>主线副本 第27章 第9关道具奖励</t>
  </si>
  <si>
    <t>主线副本 第27章 第10关道具奖励</t>
  </si>
  <si>
    <t>主线副本 第28章 第6关道具奖励</t>
  </si>
  <si>
    <t>主线副本 第28章 第9关道具奖励</t>
  </si>
  <si>
    <t>主线副本 第28章 第10关道具奖励</t>
  </si>
  <si>
    <t>主线副本 第29章 第6关道具奖励</t>
  </si>
  <si>
    <t>主线副本 第29章 第9关道具奖励</t>
  </si>
  <si>
    <t>主线副本 第29章 第10关道具奖励</t>
  </si>
  <si>
    <t>主线副本 第30章 第6关道具奖励</t>
  </si>
  <si>
    <t>主线副本 第30章 第9关道具奖励</t>
  </si>
  <si>
    <t>主线副本 第30章 第10关道具奖励</t>
  </si>
  <si>
    <t>主线副本 第31章 第6关道具奖励</t>
  </si>
  <si>
    <t>主线副本 第31章 第9关道具奖励</t>
  </si>
  <si>
    <t>主线副本 第31章 第10关道具奖励</t>
  </si>
  <si>
    <t>主线副本 第32章 第6关道具奖励</t>
  </si>
  <si>
    <t>主线副本 第32章 第9关道具奖励</t>
  </si>
  <si>
    <t>主线副本 第32章 第10关道具奖励</t>
  </si>
  <si>
    <t>主线副本 第33章 第6关道具奖励</t>
  </si>
  <si>
    <t>主线副本 第33章 第9关道具奖励</t>
  </si>
  <si>
    <t>主线副本 第33章 第10关道具奖励</t>
  </si>
  <si>
    <t>主线副本 第34章 第6关道具奖励</t>
  </si>
  <si>
    <t>主线副本 第34章 第9关道具奖励</t>
  </si>
  <si>
    <t>主线副本 第34章 第10关道具奖励</t>
  </si>
  <si>
    <t>主线副本 第35章 第6关道具奖励</t>
  </si>
  <si>
    <t>主线副本 第35章 第9关道具奖励</t>
  </si>
  <si>
    <t>主线副本 第35章 第10关道具奖励</t>
  </si>
  <si>
    <t>主线副本 第36章 第6关道具奖励</t>
  </si>
  <si>
    <t>主线副本 第36章 第9关道具奖励</t>
  </si>
  <si>
    <t>主线副本 第36章 第10关道具奖励</t>
  </si>
  <si>
    <t>主线副本 第37章 第6关道具奖励</t>
  </si>
  <si>
    <t>主线副本 第37章 第9关道具奖励</t>
  </si>
  <si>
    <t>主线副本 第37章 第10关道具奖励</t>
  </si>
  <si>
    <t>主线副本 第38章 第6关道具奖励</t>
  </si>
  <si>
    <t>主线副本 第38章 第9关道具奖励</t>
  </si>
  <si>
    <t>主线副本 第38章 第10关道具奖励</t>
  </si>
  <si>
    <t>主线副本 第39章 第6关道具奖励</t>
  </si>
  <si>
    <t>主线副本 第39章 第9关道具奖励</t>
  </si>
  <si>
    <t>主线副本 第39章 第10关道具奖励</t>
  </si>
  <si>
    <t>主线副本 第40章 第6关道具奖励</t>
  </si>
  <si>
    <t>主线副本 第40章 第9关道具奖励</t>
  </si>
  <si>
    <t>主线副本 第40章 第10关道具奖励</t>
  </si>
  <si>
    <t>主线副本 第41章 第6关道具奖励</t>
  </si>
  <si>
    <t>主线副本 第41章 第9关道具奖励</t>
  </si>
  <si>
    <t>主线副本 第41章 第10关道具奖励</t>
  </si>
  <si>
    <t>主线副本 第42章 第6关道具奖励</t>
  </si>
  <si>
    <t>主线副本 第42章 第9关道具奖励</t>
  </si>
  <si>
    <t>主线副本 第42章 第10关道具奖励</t>
  </si>
  <si>
    <t>主线副本 第43章 第6关道具奖励</t>
  </si>
  <si>
    <t>主线副本 第43章 第9关道具奖励</t>
  </si>
  <si>
    <t>主线副本 第43章 第10关道具奖励</t>
  </si>
  <si>
    <t>主线副本 第44章 第6关道具奖励</t>
  </si>
  <si>
    <t>主线副本 第44章 第9关道具奖励</t>
  </si>
  <si>
    <t>主线副本 第44章 第10关道具奖励</t>
  </si>
  <si>
    <t>主线副本 第45章 第6关道具奖励</t>
  </si>
  <si>
    <t>主线副本 第45章 第9关道具奖励</t>
  </si>
  <si>
    <t>主线副本 第45章 第10关道具奖励</t>
  </si>
  <si>
    <t>主线副本 第46章 第6关道具奖励</t>
  </si>
  <si>
    <t>主线副本 第46章 第9关道具奖励</t>
  </si>
  <si>
    <t>主线副本 第46章 第10关道具奖励</t>
  </si>
  <si>
    <t>主线副本 第47章 第6关道具奖励</t>
  </si>
  <si>
    <t>主线副本 第47章 第9关道具奖励</t>
  </si>
  <si>
    <t>主线副本 第47章 第10关道具奖励</t>
  </si>
  <si>
    <t>主线副本 第48章 第6关道具奖励</t>
  </si>
  <si>
    <t>主线副本 第48章 第9关道具奖励</t>
  </si>
  <si>
    <t>主线副本 第48章 第10关道具奖励</t>
  </si>
  <si>
    <t>主线副本 第49章 第6关道具奖励</t>
  </si>
  <si>
    <t>主线副本 第49章 第9关道具奖励</t>
  </si>
  <si>
    <t>主线副本 第49章 第10关道具奖励</t>
  </si>
  <si>
    <t>主线副本 第50章 第6关道具奖励</t>
  </si>
  <si>
    <t>主线副本 第50章 第9关道具奖励</t>
  </si>
  <si>
    <t>主线副本 第50章 第10关道具奖励</t>
  </si>
  <si>
    <t>主线副本 第51章 第6关道具奖励</t>
  </si>
  <si>
    <t>主线副本 第51章 第9关道具奖励</t>
  </si>
  <si>
    <t>主线副本 第51章 第10关道具奖励</t>
  </si>
  <si>
    <t>主线副本 第52章 第6关道具奖励</t>
  </si>
  <si>
    <t>主线副本 第52章 第9关道具奖励</t>
  </si>
  <si>
    <t>主线副本 第52章 第10关道具奖励</t>
  </si>
  <si>
    <t>主线副本 第53章 第6关道具奖励</t>
  </si>
  <si>
    <t>主线副本 第53章 第9关道具奖励</t>
  </si>
  <si>
    <t>主线副本 第53章 第10关道具奖励</t>
  </si>
  <si>
    <t>主线副本 第54章 第6关道具奖励</t>
  </si>
  <si>
    <t>主线副本 第54章 第9关道具奖励</t>
  </si>
  <si>
    <t>主线副本 第54章 第10关道具奖励</t>
  </si>
  <si>
    <t>主线副本 第55章 第6关道具奖励</t>
  </si>
  <si>
    <t>主线副本 第55章 第9关道具奖励</t>
  </si>
  <si>
    <t>主线副本 第55章 第10关道具奖励</t>
  </si>
  <si>
    <t>主线副本 第56章 第6关道具奖励</t>
  </si>
  <si>
    <t>主线副本 第56章 第9关道具奖励</t>
  </si>
  <si>
    <t>主线副本 第56章 第10关道具奖励</t>
  </si>
  <si>
    <t>主线副本 第57章 第6关道具奖励</t>
  </si>
  <si>
    <t>主线副本 第57章 第9关道具奖励</t>
  </si>
  <si>
    <t>主线副本 第57章 第10关道具奖励</t>
  </si>
  <si>
    <t>主线副本 第58章 第6关道具奖励</t>
  </si>
  <si>
    <t>主线副本 第58章 第9关道具奖励</t>
  </si>
  <si>
    <t>主线副本 第58章 第10关道具奖励</t>
  </si>
  <si>
    <t>主线副本 第59章 第6关道具奖励</t>
  </si>
  <si>
    <t>主线副本 第59章 第9关道具奖励</t>
  </si>
  <si>
    <t>主线副本 第59章 第10关道具奖励</t>
  </si>
  <si>
    <t>主线副本 第60章 第6关道具奖励</t>
  </si>
  <si>
    <t>主线副本 第60章 第9关道具奖励</t>
  </si>
  <si>
    <t>主线副本 第60章 第10关道具奖励</t>
  </si>
  <si>
    <t>主线副本 第61章 第6关道具奖励</t>
  </si>
  <si>
    <t>主线副本 第61章 第9关道具奖励</t>
  </si>
  <si>
    <t>主线副本 第61章 第10关道具奖励</t>
  </si>
  <si>
    <t>主线副本 第62章 第6关道具奖励</t>
  </si>
  <si>
    <t>主线副本 第62章 第9关道具奖励</t>
  </si>
  <si>
    <t>主线副本 第62章 第10关道具奖励</t>
  </si>
  <si>
    <t>主线副本 第63章 第6关道具奖励</t>
  </si>
  <si>
    <t>主线副本 第63章 第9关道具奖励</t>
  </si>
  <si>
    <t>主线副本 第63章 第10关道具奖励</t>
  </si>
  <si>
    <t>主线副本 第64章 第6关道具奖励</t>
  </si>
  <si>
    <t>主线副本 第64章 第9关道具奖励</t>
  </si>
  <si>
    <t>主线副本 第64章 第10关道具奖励</t>
  </si>
  <si>
    <t>主线副本 第65章 第6关道具奖励</t>
  </si>
  <si>
    <t>主线副本 第65章 第9关道具奖励</t>
  </si>
  <si>
    <t>主线副本 第65章 第10关道具奖励</t>
  </si>
  <si>
    <t>主线副本 第66章 第6关道具奖励</t>
  </si>
  <si>
    <t>主线副本 第66章 第9关道具奖励</t>
  </si>
  <si>
    <t>主线副本 第66章 第10关道具奖励</t>
  </si>
  <si>
    <t>主线副本 第67章 第6关道具奖励</t>
  </si>
  <si>
    <t>主线副本 第67章 第9关道具奖励</t>
  </si>
  <si>
    <t>主线副本 第67章 第10关道具奖励</t>
  </si>
  <si>
    <t>每日礼包vip0</t>
    <phoneticPr fontId="17" type="noConversion"/>
  </si>
  <si>
    <t>每日礼包vip1</t>
  </si>
  <si>
    <t>每日礼包vip2</t>
  </si>
  <si>
    <t>每日礼包vip3</t>
  </si>
  <si>
    <t>每日礼包vip4</t>
  </si>
  <si>
    <t>每日礼包vip5</t>
  </si>
  <si>
    <t>每日礼包vip6</t>
  </si>
  <si>
    <t>每日礼包vip7</t>
  </si>
  <si>
    <t>每日礼包vip8</t>
  </si>
  <si>
    <t>每日礼包vip9</t>
  </si>
  <si>
    <t>每日礼包vip10</t>
  </si>
  <si>
    <t>每日礼包vip11</t>
  </si>
  <si>
    <t>每日礼包vip12</t>
  </si>
  <si>
    <t>1|14001|0,1|14107|0,2|2001|0</t>
  </si>
  <si>
    <t>1|14001|0,1|14107|0,2|2003|0</t>
  </si>
  <si>
    <t>1|14001|0,1|14107|0,2|2004|0</t>
  </si>
  <si>
    <t>1|14001|0,1|14107|0,2|2003|0,1|10030|0</t>
  </si>
  <si>
    <t>1|14001|0,1|14107|0,1|11001|1,1|10033|0</t>
  </si>
  <si>
    <t>1|14001|0,1|14107|0,1|10106|0</t>
  </si>
  <si>
    <t>1|14001|0,1|14107|0,1|10103|0</t>
  </si>
  <si>
    <t>1|14001|0,1|14107|0,1|10105|0</t>
  </si>
  <si>
    <t>1|14001|0,1|14107|0,1|10104|0</t>
  </si>
  <si>
    <t>1|14001|0,1|14107|0,1|10028|0</t>
  </si>
  <si>
    <t>1|14001|0,1|14107|0,1|11015|1,1|10118|0</t>
  </si>
  <si>
    <t>1|14001|0,1|14107|0,1|10126|0</t>
  </si>
  <si>
    <t>1|14001|0,1|14107|0,1|11021|1,1|10035|0</t>
  </si>
  <si>
    <t>1|14001|0,1|14107|0,1|11027|1,1|10118|0</t>
  </si>
  <si>
    <t>1|14001|0,1|14107|0,1|11028|1,1|10037|0</t>
  </si>
  <si>
    <t>1|14001|0,1|14107|0,1|11036|1,1|10108|0</t>
  </si>
  <si>
    <t>1|14001|0,1|14107|0,1|11033|1,1|10022|0</t>
  </si>
  <si>
    <t>1|14001|0,1|14107|0,1|11028|1,1|10107|0</t>
  </si>
  <si>
    <t>1|14001|0,1|14107|0,1|11025|1,1|10014|0</t>
  </si>
  <si>
    <t>1|14001|0,1|14107|0,1|11032|1,1|10010|0</t>
  </si>
  <si>
    <t>1|14001|0,1|14107|0,1|11029|1,1|10101|0</t>
  </si>
  <si>
    <t>1|14001|0,1|14107|0,1|11028|1,1|10116|0</t>
  </si>
  <si>
    <t>主线关卡BOSS掉落-扇子精碎片</t>
  </si>
  <si>
    <t>主线关卡BOSS掉落-金钱豹王碎片</t>
  </si>
  <si>
    <t>主线关卡BOSS掉落-墨鱼精碎片</t>
  </si>
  <si>
    <t>主线关卡BOSS掉落-赤脚大仙碎片</t>
  </si>
  <si>
    <t>主线关卡BOSS掉落-泾河龙王碎片</t>
  </si>
  <si>
    <t>主线关卡BOSS掉落-牛头碎片</t>
  </si>
  <si>
    <t>主线关卡BOSS掉落-地藏王碎片</t>
  </si>
  <si>
    <t>主线关卡BOSS掉落-鬼使黑碎片</t>
  </si>
  <si>
    <t>主线关卡BOSS掉落-马面碎片</t>
  </si>
  <si>
    <t>主线关卡BOSS掉落-雷公碎片</t>
  </si>
  <si>
    <t>主线关卡BOSS掉落-鬼使白碎片</t>
  </si>
  <si>
    <t>主线关卡BOSS掉落-赛太岁碎片</t>
  </si>
  <si>
    <t>主线关卡BOSS掉落-混沌碎片</t>
  </si>
  <si>
    <t>主线关卡BOSS掉落-白龙公主碎片</t>
  </si>
  <si>
    <t>主线关卡BOSS掉落-玉兔碎片</t>
  </si>
  <si>
    <t>主线关卡BOSS掉落-玉面夫人碎片</t>
  </si>
  <si>
    <t>主线关卡BOSS掉落-人参娃碎片</t>
  </si>
  <si>
    <t>主线关卡BOSS掉落-小白龙碎片</t>
  </si>
  <si>
    <t>主线关卡BOSS掉落-六耳猕猴碎片</t>
  </si>
  <si>
    <t>主线关卡BOSS掉落-阎罗王碎片</t>
  </si>
  <si>
    <t>主线关卡BOSS掉落-蝎子精碎片</t>
  </si>
  <si>
    <t>主线关卡BOSS掉落-蜘蛛精碎片</t>
  </si>
  <si>
    <t>主线关卡BOSS掉落-女儿国国王碎片</t>
  </si>
  <si>
    <t>主线关卡BOSS掉落-太白金星碎片</t>
  </si>
  <si>
    <t>主线关卡BOSS掉落-羊力大仙碎片</t>
  </si>
  <si>
    <t>主线关卡BOSS掉落-唐三藏碎片</t>
  </si>
  <si>
    <t>主线关卡BOSS掉落-鹿力大仙碎片</t>
  </si>
  <si>
    <t>主线关卡BOSS掉落-红孩儿碎片</t>
  </si>
  <si>
    <t>主线关卡BOSS掉落-玉皇大帝碎片</t>
  </si>
  <si>
    <t>主线关卡BOSS掉落-东海龙王碎片</t>
  </si>
  <si>
    <t>主线关卡BOSS掉落-混世魔王碎片</t>
  </si>
  <si>
    <t>主线关卡BOSS掉落-虎力大仙碎片</t>
  </si>
  <si>
    <t>主线关卡BOSS掉落-弥勒佛碎片</t>
  </si>
  <si>
    <t>主线关卡BOSS掉落-金蝉子碎片</t>
  </si>
  <si>
    <t>主线关卡BOSS掉落-白无常碎片</t>
  </si>
  <si>
    <t>主线关卡BOSS掉落-文殊菩萨碎片</t>
  </si>
  <si>
    <t>主线关卡BOSS掉落-嫦娥碎片</t>
  </si>
  <si>
    <t>主线关卡BOSS掉落-九天玄女碎片</t>
  </si>
  <si>
    <t>主线关卡BOSS掉落-铁扇公主碎片</t>
  </si>
  <si>
    <t>主线关卡BOSS掉落-白骨夫人碎片</t>
  </si>
  <si>
    <t>主线关卡BOSS掉落-行者战甲</t>
  </si>
  <si>
    <t>主线关卡BOSS掉落-雁虞头盔碎片</t>
  </si>
  <si>
    <t>1|10126|1</t>
  </si>
  <si>
    <t>1|10106|1</t>
  </si>
  <si>
    <t>1|10103|1</t>
  </si>
  <si>
    <t>1|10105|1</t>
  </si>
  <si>
    <t>1|10104|1</t>
  </si>
  <si>
    <t>1|10102|1</t>
  </si>
  <si>
    <t>1|10116|1</t>
  </si>
  <si>
    <t>1|10108|1</t>
  </si>
  <si>
    <t>1|10107|1</t>
  </si>
  <si>
    <t>1|10112|1</t>
  </si>
  <si>
    <t>1|10118|1</t>
  </si>
  <si>
    <t>1|11032|1</t>
  </si>
  <si>
    <t>1|11031|1</t>
  </si>
  <si>
    <t>1|11029|1</t>
  </si>
  <si>
    <t>1|11030|1</t>
  </si>
  <si>
    <t>1|11036|1</t>
  </si>
  <si>
    <t>1|11035|1</t>
  </si>
  <si>
    <t>1|11033|1</t>
  </si>
  <si>
    <t>1|11034|1</t>
  </si>
  <si>
    <t>3|43000|1|1,3|41002|1|1</t>
  </si>
  <si>
    <t>3|43000|1|1,3|41004|1|1</t>
  </si>
  <si>
    <t>3|43000|1|1,3|41005|1|1</t>
  </si>
  <si>
    <t>3|43000|1|1,3|41008|1|1</t>
  </si>
  <si>
    <t>3|43000|1|1,3|41009|1|1</t>
  </si>
  <si>
    <t>3|43000|1|1,3|41010|1|1</t>
  </si>
  <si>
    <t>3|43000|1|1,3|41014|1|1</t>
  </si>
  <si>
    <t>3|43000|1|1,3|41015|1|1</t>
  </si>
  <si>
    <t>3|43000|1|1,3|41061|1|1,3|41039|1|1</t>
  </si>
  <si>
    <t>3|43000|1|1,3|41069|1|1,3|41043|1|1</t>
  </si>
  <si>
    <t>3|43000|1|1,3|41066|1|1,3|41019|1|1</t>
  </si>
  <si>
    <t>3|43000|1|1,3|41080|1|1,3|41021|1|1</t>
  </si>
  <si>
    <t>3|43000|1|1,3|41076|1|1,3|41020|1|1</t>
  </si>
  <si>
    <t>主线小怪副本点道具奖励</t>
    <phoneticPr fontId="17" type="noConversion"/>
  </si>
  <si>
    <t>通关大雁塔1层奖励器魂</t>
    <phoneticPr fontId="17" type="noConversion"/>
  </si>
  <si>
    <t>通关大雁塔2层奖励器魂</t>
    <phoneticPr fontId="17" type="noConversion"/>
  </si>
  <si>
    <t>通关大雁塔3层奖励器魂</t>
  </si>
  <si>
    <t>通关大雁塔4层奖励器魂</t>
  </si>
  <si>
    <t>通关大雁塔5层奖励器魂</t>
  </si>
  <si>
    <t>通关大雁塔6层奖励器魂</t>
  </si>
  <si>
    <t>通关大雁塔7层奖励器魂</t>
  </si>
  <si>
    <t>通关大雁塔8层奖励器魂</t>
  </si>
  <si>
    <t>通关大雁塔9层奖励器魂</t>
  </si>
  <si>
    <t>通关大雁塔10层奖励器魂</t>
  </si>
  <si>
    <t>通关大雁塔11层奖励器魂</t>
  </si>
  <si>
    <t>通关大雁塔12层奖励器魂</t>
  </si>
  <si>
    <t>通关大雁塔13层奖励器魂</t>
  </si>
  <si>
    <t>通关大雁塔14层奖励器魂</t>
  </si>
  <si>
    <t>通关大雁塔15层奖励器魂</t>
  </si>
  <si>
    <t>通关大雁塔16层奖励器魂</t>
  </si>
  <si>
    <t>通关大雁塔17层奖励器魂</t>
  </si>
  <si>
    <t>通关大雁塔18层奖励器魂</t>
  </si>
  <si>
    <t>通关大雁塔19层奖励器魂</t>
  </si>
  <si>
    <t>通关大雁塔20层奖励器魂</t>
  </si>
  <si>
    <t>通关大雁塔21层奖励器魂</t>
  </si>
  <si>
    <t>通关大雁塔22层奖励器魂</t>
  </si>
  <si>
    <t>通关大雁塔23层奖励器魂</t>
  </si>
  <si>
    <t>通关大雁塔24层奖励器魂</t>
  </si>
  <si>
    <t>通关大雁塔25层奖励器魂</t>
  </si>
  <si>
    <t>通关大雁塔26层奖励器魂</t>
  </si>
  <si>
    <t>通关大雁塔27层奖励器魂</t>
  </si>
  <si>
    <t>通关大雁塔28层奖励器魂</t>
  </si>
  <si>
    <t>通关大雁塔29层奖励器魂</t>
  </si>
  <si>
    <t>通关大雁塔30层奖励器魂</t>
  </si>
  <si>
    <t>通关大雁塔31层奖励器魂</t>
  </si>
  <si>
    <t>通关大雁塔32层奖励器魂</t>
  </si>
  <si>
    <t>通关大雁塔33层奖励器魂</t>
  </si>
  <si>
    <t>通关大雁塔34层奖励器魂</t>
  </si>
  <si>
    <t>通关大雁塔35层奖励器魂</t>
  </si>
  <si>
    <t>通关大雁塔36层奖励器魂</t>
  </si>
  <si>
    <t>通关大雁塔37层奖励器魂</t>
  </si>
  <si>
    <t>通关大雁塔38层奖励器魂</t>
  </si>
  <si>
    <t>通关大雁塔39层奖励器魂</t>
  </si>
  <si>
    <t>通关大雁塔40层奖励器魂</t>
  </si>
  <si>
    <t>通关大雁塔41层奖励器魂</t>
  </si>
  <si>
    <t>通关大雁塔42层奖励器魂</t>
  </si>
  <si>
    <t>通关大雁塔43层奖励器魂</t>
  </si>
  <si>
    <t>通关大雁塔44层奖励器魂</t>
  </si>
  <si>
    <t>通关大雁塔45层奖励器魂</t>
  </si>
  <si>
    <t>通关大雁塔46层奖励器魂</t>
  </si>
  <si>
    <t>通关大雁塔47层奖励器魂</t>
  </si>
  <si>
    <t>通关大雁塔48层奖励器魂</t>
  </si>
  <si>
    <t>通关大雁塔49层奖励器魂</t>
  </si>
  <si>
    <t>通关大雁塔50层奖励器魂</t>
  </si>
  <si>
    <t>通关大雁塔51层奖励器魂</t>
  </si>
  <si>
    <t>通关大雁塔52层奖励器魂</t>
  </si>
  <si>
    <t>通关大雁塔53层奖励器魂</t>
  </si>
  <si>
    <t>通关大雁塔54层奖励器魂</t>
  </si>
  <si>
    <t>通关大雁塔55层奖励器魂</t>
  </si>
  <si>
    <t>通关大雁塔56层奖励器魂</t>
  </si>
  <si>
    <t>通关大雁塔57层奖励器魂</t>
  </si>
  <si>
    <t>通关大雁塔58层奖励器魂</t>
  </si>
  <si>
    <t>通关大雁塔59层奖励器魂</t>
  </si>
  <si>
    <t>通关大雁塔60层奖励器魂</t>
  </si>
  <si>
    <t>通关大雁塔61层奖励器魂</t>
  </si>
  <si>
    <t>通关大雁塔62层奖励器魂</t>
  </si>
  <si>
    <t>通关大雁塔63层奖励器魂</t>
  </si>
  <si>
    <t>通关大雁塔64层奖励器魂</t>
  </si>
  <si>
    <t>通关大雁塔65层奖励器魂</t>
  </si>
  <si>
    <t>通关大雁塔66层奖励器魂</t>
  </si>
  <si>
    <t>通关大雁塔67层奖励器魂</t>
  </si>
  <si>
    <t>通关大雁塔68层奖励器魂</t>
  </si>
  <si>
    <t>通关大雁塔69层奖励器魂</t>
  </si>
  <si>
    <t>通关大雁塔70层奖励器魂</t>
  </si>
  <si>
    <t>通关大雁塔71层奖励器魂</t>
  </si>
  <si>
    <t>通关大雁塔72层奖励器魂</t>
  </si>
  <si>
    <t>通关大雁塔73层奖励器魂</t>
  </si>
  <si>
    <t>通关大雁塔74层奖励器魂</t>
  </si>
  <si>
    <t>通关大雁塔75层奖励器魂</t>
  </si>
  <si>
    <t>通关大雁塔76层奖励器魂</t>
  </si>
  <si>
    <t>通关大雁塔77层奖励器魂</t>
  </si>
  <si>
    <t>通关大雁塔78层奖励器魂</t>
  </si>
  <si>
    <t>通关大雁塔79层奖励器魂</t>
  </si>
  <si>
    <t>通关大雁塔80层奖励器魂</t>
  </si>
  <si>
    <t>通关大雁塔81层奖励器魂</t>
  </si>
  <si>
    <t>通关大雁塔82层奖励器魂</t>
  </si>
  <si>
    <t>通关大雁塔83层奖励器魂</t>
  </si>
  <si>
    <t>通关大雁塔84层奖励器魂</t>
  </si>
  <si>
    <t>通关大雁塔85层奖励器魂</t>
  </si>
  <si>
    <t>通关大雁塔86层奖励器魂</t>
  </si>
  <si>
    <t>通关大雁塔87层奖励器魂</t>
  </si>
  <si>
    <t>通关大雁塔88层奖励器魂</t>
  </si>
  <si>
    <t>通关大雁塔89层奖励器魂</t>
  </si>
  <si>
    <t>通关大雁塔90层奖励器魂</t>
  </si>
  <si>
    <t>通关大雁塔91层奖励器魂</t>
  </si>
  <si>
    <t>通关大雁塔92层奖励器魂</t>
  </si>
  <si>
    <t>通关大雁塔93层奖励器魂</t>
  </si>
  <si>
    <t>通关大雁塔94层奖励器魂</t>
  </si>
  <si>
    <t>通关大雁塔95层奖励器魂</t>
  </si>
  <si>
    <t>通关大雁塔96层奖励器魂</t>
  </si>
  <si>
    <t>通关大雁塔97层奖励器魂</t>
  </si>
  <si>
    <t>通关大雁塔98层奖励器魂</t>
  </si>
  <si>
    <t>通关大雁塔99层奖励器魂</t>
  </si>
  <si>
    <t>通关大雁塔100层奖励器魂</t>
  </si>
  <si>
    <t>通关大雁塔101层奖励器魂</t>
  </si>
  <si>
    <t>通关大雁塔102层奖励器魂</t>
  </si>
  <si>
    <t>通关大雁塔103层奖励器魂</t>
  </si>
  <si>
    <t>通关大雁塔104层奖励器魂</t>
  </si>
  <si>
    <t>通关大雁塔105层奖励器魂</t>
  </si>
  <si>
    <t>通关大雁塔106层奖励器魂</t>
  </si>
  <si>
    <t>通关大雁塔107层奖励器魂</t>
  </si>
  <si>
    <t>通关大雁塔108层奖励器魂</t>
  </si>
  <si>
    <t>通关大雁塔109层奖励器魂</t>
  </si>
  <si>
    <t>通关大雁塔110层奖励器魂</t>
  </si>
  <si>
    <t>通关大雁塔111层奖励器魂</t>
  </si>
  <si>
    <t>通关大雁塔112层奖励器魂</t>
  </si>
  <si>
    <t>通关大雁塔113层奖励器魂</t>
  </si>
  <si>
    <t>通关大雁塔114层奖励器魂</t>
  </si>
  <si>
    <t>通关大雁塔115层奖励器魂</t>
  </si>
  <si>
    <t>通关大雁塔116层奖励器魂</t>
  </si>
  <si>
    <t>通关大雁塔117层奖励器魂</t>
  </si>
  <si>
    <t>通关大雁塔118层奖励器魂</t>
  </si>
  <si>
    <t>通关大雁塔119层奖励器魂</t>
  </si>
  <si>
    <t>通关大雁塔120层奖励器魂</t>
  </si>
  <si>
    <t>通关大雁塔121层奖励器魂</t>
  </si>
  <si>
    <t>通关大雁塔122层奖励器魂</t>
  </si>
  <si>
    <t>通关大雁塔123层奖励器魂</t>
  </si>
  <si>
    <t>通关大雁塔124层奖励器魂</t>
  </si>
  <si>
    <t>通关大雁塔125层奖励器魂</t>
  </si>
  <si>
    <t>通关大雁塔126层奖励器魂</t>
  </si>
  <si>
    <t>通关大雁塔127层奖励器魂</t>
  </si>
  <si>
    <t>通关大雁塔128层奖励器魂</t>
  </si>
  <si>
    <t>通关大雁塔129层奖励器魂</t>
  </si>
  <si>
    <t>通关大雁塔130层奖励器魂</t>
  </si>
  <si>
    <t>通关大雁塔131层奖励器魂</t>
  </si>
  <si>
    <t>通关大雁塔132层奖励器魂</t>
  </si>
  <si>
    <t>通关大雁塔133层奖励器魂</t>
  </si>
  <si>
    <t>通关大雁塔134层奖励器魂</t>
  </si>
  <si>
    <t>通关大雁塔135层奖励器魂</t>
  </si>
  <si>
    <t>通关大雁塔136层奖励器魂</t>
  </si>
  <si>
    <t>通关大雁塔137层奖励器魂</t>
  </si>
  <si>
    <t>通关大雁塔138层奖励器魂</t>
  </si>
  <si>
    <t>通关大雁塔139层奖励器魂</t>
  </si>
  <si>
    <t>通关大雁塔140层奖励器魂</t>
  </si>
  <si>
    <t>通关大雁塔141层奖励器魂</t>
  </si>
  <si>
    <t>通关大雁塔142层奖励器魂</t>
  </si>
  <si>
    <t>通关大雁塔143层奖励器魂</t>
  </si>
  <si>
    <t>通关大雁塔144层奖励器魂</t>
  </si>
  <si>
    <t>通关大雁塔145层奖励器魂</t>
  </si>
  <si>
    <t>通关大雁塔146层奖励器魂</t>
  </si>
  <si>
    <t>通关大雁塔147层奖励器魂</t>
  </si>
  <si>
    <t>通关大雁塔148层奖励器魂</t>
  </si>
  <si>
    <t>通关大雁塔149层奖励器魂</t>
  </si>
  <si>
    <t>通关大雁塔150层奖励器魂</t>
    <phoneticPr fontId="17" type="noConversion"/>
  </si>
  <si>
    <t>关大雁塔5层额外奖励</t>
    <phoneticPr fontId="17" type="noConversion"/>
  </si>
  <si>
    <t>关大雁塔10层额外奖励</t>
    <phoneticPr fontId="17" type="noConversion"/>
  </si>
  <si>
    <t>关大雁塔15层额外奖励</t>
  </si>
  <si>
    <t>关大雁塔20层额外奖励</t>
  </si>
  <si>
    <t>关大雁塔25层额外奖励</t>
  </si>
  <si>
    <t>关大雁塔30层额外奖励</t>
  </si>
  <si>
    <t>关大雁塔35层额外奖励</t>
  </si>
  <si>
    <t>关大雁塔40层额外奖励</t>
  </si>
  <si>
    <t>关大雁塔45层额外奖励</t>
  </si>
  <si>
    <t>关大雁塔50层额外奖励</t>
  </si>
  <si>
    <t>关大雁塔55层额外奖励</t>
  </si>
  <si>
    <t>关大雁塔60层额外奖励</t>
  </si>
  <si>
    <t>关大雁塔65层额外奖励</t>
  </si>
  <si>
    <t>关大雁塔70层额外奖励</t>
  </si>
  <si>
    <t>关大雁塔75层额外奖励</t>
  </si>
  <si>
    <t>关大雁塔80层额外奖励</t>
  </si>
  <si>
    <t>关大雁塔85层额外奖励</t>
  </si>
  <si>
    <t>关大雁塔90层额外奖励</t>
  </si>
  <si>
    <t>关大雁塔95层额外奖励</t>
  </si>
  <si>
    <t>关大雁塔100层额外奖励</t>
  </si>
  <si>
    <t>1|14300|1</t>
  </si>
  <si>
    <t>1|14201|2</t>
  </si>
  <si>
    <t>1|14314|1</t>
  </si>
  <si>
    <t>1|14201|4</t>
  </si>
  <si>
    <t>关大雁塔105层额外奖励</t>
  </si>
  <si>
    <t>关大雁塔110层额外奖励</t>
  </si>
  <si>
    <t>关大雁塔115层额外奖励</t>
  </si>
  <si>
    <t>关大雁塔120层额外奖励</t>
  </si>
  <si>
    <t>关大雁塔125层额外奖励</t>
  </si>
  <si>
    <t>关大雁塔130层额外奖励</t>
  </si>
  <si>
    <t>关大雁塔135层额外奖励</t>
  </si>
  <si>
    <t>关大雁塔140层额外奖励</t>
  </si>
  <si>
    <t>关大雁塔145层额外奖励</t>
  </si>
  <si>
    <t>关大雁塔150层额外奖励</t>
  </si>
  <si>
    <t>1|14300|1|1</t>
  </si>
  <si>
    <t>1|14201|2|1</t>
  </si>
  <si>
    <t>1|14314|1|1</t>
  </si>
  <si>
    <t>1|14201|4|1</t>
  </si>
  <si>
    <t>今日登陆赠送</t>
  </si>
  <si>
    <t>主角等级到达10级</t>
    <phoneticPr fontId="20" type="noConversion"/>
  </si>
  <si>
    <t>主角等级到达15级</t>
    <phoneticPr fontId="20" type="noConversion"/>
  </si>
  <si>
    <t>主角等级到达20级</t>
    <phoneticPr fontId="20" type="noConversion"/>
  </si>
  <si>
    <t>主角等级到达25级</t>
    <phoneticPr fontId="20" type="noConversion"/>
  </si>
  <si>
    <t>主角等级到达30级</t>
    <phoneticPr fontId="20" type="noConversion"/>
  </si>
  <si>
    <t>通关主线副本第4章</t>
    <phoneticPr fontId="20" type="noConversion"/>
  </si>
  <si>
    <t>通关主线副本第5章</t>
    <phoneticPr fontId="21" type="noConversion"/>
  </si>
  <si>
    <t>通关主线副本第6章</t>
  </si>
  <si>
    <t>通关主线副本第7章</t>
  </si>
  <si>
    <t>通关主线副本第8章</t>
  </si>
  <si>
    <t>通关主线副本第9章</t>
  </si>
  <si>
    <t>通关主线副本第10章</t>
  </si>
  <si>
    <t>通关主线副本第11章</t>
  </si>
  <si>
    <t>通关主线副本第12章</t>
  </si>
  <si>
    <t>上阵伙伴的装备强化至10级</t>
    <phoneticPr fontId="21" type="noConversion"/>
  </si>
  <si>
    <t>上阵伙伴的装备强化至20级</t>
    <phoneticPr fontId="21" type="noConversion"/>
  </si>
  <si>
    <t>上阵伙伴的装备强化至30级</t>
  </si>
  <si>
    <t>上阵伙伴的装备强化至40级</t>
  </si>
  <si>
    <t>上阵伙伴的装备强化至50级</t>
  </si>
  <si>
    <t>上阵伙伴的装备强化至60级</t>
  </si>
  <si>
    <t>大雁塔达到10层</t>
    <phoneticPr fontId="21" type="noConversion"/>
  </si>
  <si>
    <t>大雁塔达到15层</t>
    <phoneticPr fontId="21" type="noConversion"/>
  </si>
  <si>
    <t>大雁塔达到20层</t>
  </si>
  <si>
    <t>大雁塔达到25层</t>
  </si>
  <si>
    <t>大雁塔达到30层</t>
  </si>
  <si>
    <t>主角等级到达35级</t>
    <phoneticPr fontId="21" type="noConversion"/>
  </si>
  <si>
    <t>竞技场最高排名到达第1名</t>
  </si>
  <si>
    <t>竞技场最高排名到达第3名</t>
  </si>
  <si>
    <t>竞技场最高排名到达第10名</t>
  </si>
  <si>
    <t>竞技场最高排名到达第30名</t>
  </si>
  <si>
    <t>竞技场最高排名到达第100名</t>
  </si>
  <si>
    <t>竞技场最高排名到达第500名</t>
  </si>
  <si>
    <t>竞技场最高排名到达第1000名</t>
  </si>
  <si>
    <t>竞技场最高排名到达第3000名</t>
  </si>
  <si>
    <t>累计合成20个法宝</t>
    <phoneticPr fontId="21" type="noConversion"/>
  </si>
  <si>
    <t>累计合成40个法宝</t>
    <phoneticPr fontId="21" type="noConversion"/>
  </si>
  <si>
    <t>累计合成60个法宝</t>
  </si>
  <si>
    <t>累计合成80个法宝</t>
  </si>
  <si>
    <t>累计合成100个法宝</t>
  </si>
  <si>
    <t>挑战夜探无底洞至5层</t>
  </si>
  <si>
    <t>挑战夜探无底洞至10层</t>
    <phoneticPr fontId="21" type="noConversion"/>
  </si>
  <si>
    <t>挑战夜探无底洞至15层</t>
    <phoneticPr fontId="21" type="noConversion"/>
  </si>
  <si>
    <t>挑战夜探无底洞至20层</t>
  </si>
  <si>
    <t>主角等级到达40级</t>
    <phoneticPr fontId="20" type="noConversion"/>
  </si>
  <si>
    <t>上阵伙伴的装备强化至70级</t>
    <phoneticPr fontId="21" type="noConversion"/>
  </si>
  <si>
    <t>上阵伙伴的装备强化至80级</t>
    <phoneticPr fontId="21" type="noConversion"/>
  </si>
  <si>
    <t>上阵伙伴的装备强化至90级</t>
  </si>
  <si>
    <t>上阵伙伴的装备强化至100级</t>
  </si>
  <si>
    <t>大雁塔达到35层</t>
    <phoneticPr fontId="21" type="noConversion"/>
  </si>
  <si>
    <t>大雁塔达到40层</t>
    <phoneticPr fontId="21" type="noConversion"/>
  </si>
  <si>
    <t>大雁塔达到45层</t>
  </si>
  <si>
    <t>大雁塔达到50层</t>
  </si>
  <si>
    <t>大雁塔达到55层</t>
  </si>
  <si>
    <t>大雁塔达到60层</t>
  </si>
  <si>
    <t>上阵伙伴的装备精炼等级到达1级</t>
    <phoneticPr fontId="21" type="noConversion"/>
  </si>
  <si>
    <t>上阵伙伴的装备精炼等级到达2级</t>
    <phoneticPr fontId="21" type="noConversion"/>
  </si>
  <si>
    <t>上阵伙伴的装备精炼等级到达3级</t>
  </si>
  <si>
    <t>上阵伙伴的装备精炼等级到达4级</t>
  </si>
  <si>
    <t>上阵伙伴的装备精炼等级到达5级</t>
  </si>
  <si>
    <t>上阵伙伴的法宝强化等级到达4级</t>
    <phoneticPr fontId="21" type="noConversion"/>
  </si>
  <si>
    <t>上阵伙伴的法宝强化等级到达8级</t>
    <phoneticPr fontId="21" type="noConversion"/>
  </si>
  <si>
    <t>上阵伙伴的法宝强化等级到达12级</t>
  </si>
  <si>
    <t>上阵伙伴的法宝强化等级到达16级</t>
  </si>
  <si>
    <t>上阵伙伴的法宝强化等级到达20级</t>
  </si>
  <si>
    <t>主角等级到达43级</t>
    <phoneticPr fontId="21" type="noConversion"/>
  </si>
  <si>
    <t>累计击杀梦魇20个</t>
    <phoneticPr fontId="21" type="noConversion"/>
  </si>
  <si>
    <t>累计击杀梦魇40个</t>
  </si>
  <si>
    <t>累计击杀梦魇60个</t>
  </si>
  <si>
    <t>累计击杀梦魇80个</t>
  </si>
  <si>
    <t>累计击杀梦魇100个</t>
  </si>
  <si>
    <t>累计进行武将培养10次</t>
    <phoneticPr fontId="21" type="noConversion"/>
  </si>
  <si>
    <t>累计进行武将培养20次</t>
    <phoneticPr fontId="21" type="noConversion"/>
  </si>
  <si>
    <t>累计进行武将培养30次</t>
  </si>
  <si>
    <t>累计进行武将培养40次</t>
  </si>
  <si>
    <t>累计进行武将培养50次</t>
  </si>
  <si>
    <t>上阵伙伴的神兵全部强化至2级</t>
    <phoneticPr fontId="20" type="noConversion"/>
  </si>
  <si>
    <t>上阵伙伴的神兵全部强化至4级</t>
    <phoneticPr fontId="20" type="noConversion"/>
  </si>
  <si>
    <t>上阵伙伴的神兵全部强化至6级</t>
  </si>
  <si>
    <t>上阵伙伴的神兵全部强化至8级</t>
  </si>
  <si>
    <t>上阵伙伴的神兵全部强化至10级</t>
  </si>
  <si>
    <t>上阵伙伴的法宝精炼等级到达1级</t>
    <phoneticPr fontId="21" type="noConversion"/>
  </si>
  <si>
    <t>上阵伙伴的法宝精炼等级到达2级</t>
    <phoneticPr fontId="21" type="noConversion"/>
  </si>
  <si>
    <t>上阵伙伴的法宝精炼等级到达3级</t>
  </si>
  <si>
    <t>上阵伙伴的法宝精炼等级到达4级</t>
  </si>
  <si>
    <t>上阵伙伴的法宝精炼等级到达5级</t>
  </si>
  <si>
    <t>主角等级到达45级</t>
    <phoneticPr fontId="20" type="noConversion"/>
  </si>
  <si>
    <t>通关幻境副本第3章</t>
    <phoneticPr fontId="20" type="noConversion"/>
  </si>
  <si>
    <t>通关幻境副本第4章</t>
    <phoneticPr fontId="21" type="noConversion"/>
  </si>
  <si>
    <t>通关幻境副本第5章</t>
    <phoneticPr fontId="21" type="noConversion"/>
  </si>
  <si>
    <t>通关幻境副本第6章</t>
  </si>
  <si>
    <t>累计击杀梦魇120个</t>
  </si>
  <si>
    <t>累计击杀梦魇140个</t>
  </si>
  <si>
    <t>累计击杀梦魇160个</t>
  </si>
  <si>
    <t>累计击杀梦魇180个</t>
  </si>
  <si>
    <t>累计击杀梦魇200个</t>
  </si>
  <si>
    <t>累计刷新伙伴商店10次</t>
    <phoneticPr fontId="21" type="noConversion"/>
  </si>
  <si>
    <t>累计刷新伙伴商店20次</t>
    <phoneticPr fontId="21" type="noConversion"/>
  </si>
  <si>
    <t>累计刷新伙伴商店30次</t>
  </si>
  <si>
    <t>累计刷新伙伴商店40次</t>
  </si>
  <si>
    <t>累计刷新伙伴商店50次</t>
  </si>
  <si>
    <t>累计刷新伙伴商店60次</t>
  </si>
  <si>
    <t>累计刷新伙伴商店70次</t>
  </si>
  <si>
    <t>累计刷新伙伴商店80次</t>
  </si>
  <si>
    <t>累计刷新伙伴商店90次</t>
  </si>
  <si>
    <t>累计刷新伙伴商店100次</t>
  </si>
  <si>
    <t>上阵伙伴的神兵全部强化至12级</t>
  </si>
  <si>
    <t>上阵伙伴的神兵全部强化至14级</t>
  </si>
  <si>
    <t>上阵伙伴的神兵全部强化至16级</t>
  </si>
  <si>
    <t>上阵伙伴的神兵全部强化至18级</t>
  </si>
  <si>
    <t>上阵伙伴的神兵全部强化至20级</t>
  </si>
  <si>
    <t>累计击杀斩妖夺宝怪物20个</t>
  </si>
  <si>
    <t>累计击杀斩妖夺宝怪物25个</t>
  </si>
  <si>
    <t>累计击杀斩妖夺宝怪物30个</t>
  </si>
  <si>
    <t>上阵伙伴的装备精炼等级到达6级</t>
  </si>
  <si>
    <t>上阵伙伴的装备精炼等级到达7级</t>
  </si>
  <si>
    <t>上阵伙伴的装备精炼等级到达8级</t>
  </si>
  <si>
    <t>上阵伙伴的装备精炼等级到达9级</t>
  </si>
  <si>
    <t>上阵伙伴的装备精炼等级到达10级</t>
  </si>
  <si>
    <t>上阵伙伴的法宝精炼等级到达6级</t>
  </si>
  <si>
    <t>上阵伙伴的法宝精炼等级到达7级</t>
  </si>
  <si>
    <t>上阵伙伴的法宝精炼等级到达8级</t>
  </si>
  <si>
    <t>上阵伙伴的法宝精炼等级到达9级</t>
  </si>
  <si>
    <t>上阵伙伴的法宝精炼等级到达10级</t>
  </si>
  <si>
    <t>上阵伙伴的神兵全部精炼至2级</t>
  </si>
  <si>
    <t>上阵伙伴的神兵全部精炼至4级</t>
  </si>
  <si>
    <t>上阵伙伴的神兵全部精炼至6级</t>
  </si>
  <si>
    <t>上阵伙伴的神兵全部精炼至8级</t>
  </si>
  <si>
    <t>上阵伙伴的神兵全部精炼至10级</t>
  </si>
  <si>
    <t>挑战夜探无底洞至40层</t>
  </si>
  <si>
    <t>挑战夜探无底洞至45层</t>
  </si>
  <si>
    <t>挑战夜探无底洞至50层</t>
  </si>
  <si>
    <t>主角等级到达48级</t>
    <phoneticPr fontId="21" type="noConversion"/>
  </si>
  <si>
    <t>累计击杀斩妖夺宝怪物10个</t>
    <phoneticPr fontId="21" type="noConversion"/>
  </si>
  <si>
    <t>累计击杀斩妖夺宝怪物15个</t>
    <phoneticPr fontId="21" type="noConversion"/>
  </si>
  <si>
    <t>登录领取指定橙将</t>
    <phoneticPr fontId="20" type="noConversion"/>
  </si>
  <si>
    <t>主角等级到达50级</t>
    <phoneticPr fontId="20" type="noConversion"/>
  </si>
  <si>
    <t>战斗力到达250000</t>
    <phoneticPr fontId="21" type="noConversion"/>
  </si>
  <si>
    <t>战斗力到达350000</t>
    <phoneticPr fontId="21" type="noConversion"/>
  </si>
  <si>
    <t>战斗力到达450000</t>
    <phoneticPr fontId="21" type="noConversion"/>
  </si>
  <si>
    <t>战斗力到达550000</t>
    <phoneticPr fontId="21" type="noConversion"/>
  </si>
  <si>
    <t>战斗力到达650000</t>
    <phoneticPr fontId="21" type="noConversion"/>
  </si>
  <si>
    <t>战斗力到达700000</t>
    <phoneticPr fontId="21" type="noConversion"/>
  </si>
  <si>
    <t>战斗力到达750000</t>
    <phoneticPr fontId="21" type="noConversion"/>
  </si>
  <si>
    <t>战斗力到达800000</t>
    <phoneticPr fontId="20" type="noConversion"/>
  </si>
  <si>
    <t>1|14300|2</t>
  </si>
  <si>
    <t>1|14300|4</t>
  </si>
  <si>
    <t>1|14300|6</t>
  </si>
  <si>
    <t>1|14314|4</t>
  </si>
  <si>
    <t>1|14314|5</t>
  </si>
  <si>
    <t>1|14107|250</t>
  </si>
  <si>
    <t>1|14305|10</t>
  </si>
  <si>
    <t>1|14106|5</t>
  </si>
  <si>
    <t>1|14106|10</t>
  </si>
  <si>
    <t>1|14106|15</t>
  </si>
  <si>
    <t>1|14106|20</t>
  </si>
  <si>
    <t>1|14314|6</t>
  </si>
  <si>
    <t>1|14314|7</t>
  </si>
  <si>
    <t>1|14314|8</t>
  </si>
  <si>
    <t>1|14314|9</t>
  </si>
  <si>
    <t>1|14314|10</t>
  </si>
  <si>
    <t>1|16005|40</t>
  </si>
  <si>
    <t>1|16005|60</t>
  </si>
  <si>
    <t>1|17000|20</t>
  </si>
  <si>
    <t>1|17000|40</t>
  </si>
  <si>
    <t>1|17000|60</t>
  </si>
  <si>
    <t>1|17000|80</t>
  </si>
  <si>
    <t>1|17000|100</t>
  </si>
  <si>
    <t>1|16010|1</t>
  </si>
  <si>
    <t>1|16010|2</t>
  </si>
  <si>
    <t>1|16010|3</t>
  </si>
  <si>
    <t>1|16010|4</t>
  </si>
  <si>
    <t>1|16010|5</t>
  </si>
  <si>
    <t>1|17001|10</t>
  </si>
  <si>
    <t>1|17001|20</t>
  </si>
  <si>
    <t>1|17001|30</t>
  </si>
  <si>
    <t>1|17001|40</t>
  </si>
  <si>
    <t>1|17001|50</t>
  </si>
  <si>
    <t>4|4|450</t>
  </si>
  <si>
    <t>4|4|750</t>
  </si>
  <si>
    <t>1|17000|120</t>
  </si>
  <si>
    <t>1|17000|140</t>
  </si>
  <si>
    <t>1|17000|160</t>
  </si>
  <si>
    <t>1|17000|180</t>
  </si>
  <si>
    <t>1|17000|200</t>
  </si>
  <si>
    <t>1|14102|5</t>
  </si>
  <si>
    <t>1|14102|15</t>
  </si>
  <si>
    <t>1|14102|25</t>
  </si>
  <si>
    <t>1|14102|35</t>
  </si>
  <si>
    <t>1|14102|45</t>
  </si>
  <si>
    <t>1|17001|60</t>
  </si>
  <si>
    <t>1|17001|70</t>
  </si>
  <si>
    <t>1|17001|80</t>
  </si>
  <si>
    <t>1|17001|90</t>
  </si>
  <si>
    <t>1|17001|100</t>
  </si>
  <si>
    <t>1|14201|140</t>
  </si>
  <si>
    <t>1|14201|160</t>
  </si>
  <si>
    <t>1|14503|1</t>
  </si>
  <si>
    <t>1|17002|2</t>
  </si>
  <si>
    <t>1|17002|4</t>
  </si>
  <si>
    <t>1|17002|6</t>
  </si>
  <si>
    <t>1|17002|8</t>
  </si>
  <si>
    <t>1|17002|10</t>
  </si>
  <si>
    <t>1|14106|25</t>
  </si>
  <si>
    <t>1|14106|30</t>
  </si>
  <si>
    <t>1|14300|2|1</t>
  </si>
  <si>
    <t>1|14300|4|1</t>
  </si>
  <si>
    <t>1|14300|6|1</t>
  </si>
  <si>
    <t>1|14314|4|1</t>
  </si>
  <si>
    <t>1|14314|5|1</t>
  </si>
  <si>
    <t>1|14107|250|1</t>
  </si>
  <si>
    <t>1|14305|10|1</t>
  </si>
  <si>
    <t>1|14106|5|1</t>
  </si>
  <si>
    <t>1|14106|10|1</t>
  </si>
  <si>
    <t>1|14106|15|1</t>
  </si>
  <si>
    <t>1|14106|20|1</t>
  </si>
  <si>
    <t>1|14314|6|1</t>
  </si>
  <si>
    <t>1|14314|7|1</t>
  </si>
  <si>
    <t>1|14314|8|1</t>
  </si>
  <si>
    <t>1|14314|9|1</t>
  </si>
  <si>
    <t>1|14314|10|1</t>
  </si>
  <si>
    <t>1|16005|40|1</t>
  </si>
  <si>
    <t>1|16005|60|1</t>
  </si>
  <si>
    <t>1|17000|20|1</t>
  </si>
  <si>
    <t>1|17000|40|1</t>
  </si>
  <si>
    <t>1|17000|60|1</t>
  </si>
  <si>
    <t>1|17000|80|1</t>
  </si>
  <si>
    <t>1|17000|100|1</t>
  </si>
  <si>
    <t>1|16010|1|1</t>
  </si>
  <si>
    <t>1|16010|2|1</t>
  </si>
  <si>
    <t>1|16010|3|1</t>
  </si>
  <si>
    <t>1|16010|4|1</t>
  </si>
  <si>
    <t>1|16010|5|1</t>
  </si>
  <si>
    <t>1|17001|10|1</t>
  </si>
  <si>
    <t>1|17001|20|1</t>
  </si>
  <si>
    <t>1|17001|30|1</t>
  </si>
  <si>
    <t>1|17001|40|1</t>
  </si>
  <si>
    <t>1|17001|50|1</t>
  </si>
  <si>
    <t>4|4|450|1</t>
  </si>
  <si>
    <t>4|4|750|1</t>
  </si>
  <si>
    <t>1|17000|120|1</t>
  </si>
  <si>
    <t>1|17000|140|1</t>
  </si>
  <si>
    <t>1|17000|160|1</t>
  </si>
  <si>
    <t>1|17000|180|1</t>
  </si>
  <si>
    <t>1|17000|200|1</t>
  </si>
  <si>
    <t>1|14102|5|1</t>
  </si>
  <si>
    <t>1|14102|15|1</t>
  </si>
  <si>
    <t>1|14102|25|1</t>
  </si>
  <si>
    <t>1|14102|35|1</t>
  </si>
  <si>
    <t>1|14102|45|1</t>
  </si>
  <si>
    <t>1|17001|60|1</t>
  </si>
  <si>
    <t>1|17001|70|1</t>
  </si>
  <si>
    <t>1|17001|80|1</t>
  </si>
  <si>
    <t>1|17001|90|1</t>
  </si>
  <si>
    <t>1|17001|100|1</t>
  </si>
  <si>
    <t>1|14201|140|1</t>
  </si>
  <si>
    <t>1|14201|160|1</t>
  </si>
  <si>
    <t>1|14503|1|1</t>
  </si>
  <si>
    <t>1|17002|2|1</t>
  </si>
  <si>
    <t>1|17002|4|1</t>
  </si>
  <si>
    <t>1|17002|6|1</t>
  </si>
  <si>
    <t>1|17002|8|1</t>
  </si>
  <si>
    <t>1|17002|10|1</t>
  </si>
  <si>
    <t>1|14106|25|1</t>
  </si>
  <si>
    <t>1|14106|30|1</t>
  </si>
  <si>
    <t>雁虞套装宝箱</t>
    <phoneticPr fontId="20" type="noConversion"/>
  </si>
  <si>
    <t>2|2021|1,2|2022|1,2|2023|1,2|2024|1</t>
  </si>
  <si>
    <t>2|2021|1|1,2|2022|1|1,2|2023|1|1,2|2024|1|1</t>
  </si>
  <si>
    <t>4|5|60|1</t>
    <phoneticPr fontId="17" type="noConversion"/>
  </si>
  <si>
    <t>4|37|200</t>
  </si>
  <si>
    <t>4|37|400</t>
  </si>
  <si>
    <t>4|5|60</t>
    <phoneticPr fontId="17" type="noConversion"/>
  </si>
  <si>
    <t>[]</t>
    <phoneticPr fontId="20" type="noConversion"/>
  </si>
  <si>
    <t>蓝色经验法宝</t>
  </si>
  <si>
    <t>紫色经验法宝</t>
  </si>
  <si>
    <t>橙色经验法宝</t>
  </si>
  <si>
    <t>橙色经验法宝碎片1</t>
  </si>
  <si>
    <t>橙色经验法宝碎片2</t>
  </si>
  <si>
    <t>橙色经验法宝碎片3</t>
  </si>
  <si>
    <t>橙色经验法宝碎片4</t>
  </si>
  <si>
    <t>橙色经验法宝碎片5</t>
  </si>
  <si>
    <t>紫色经验法宝碎片1</t>
  </si>
  <si>
    <t>紫色经验法宝碎片2</t>
  </si>
  <si>
    <t>紫色经验法宝碎片3</t>
  </si>
  <si>
    <t>紫色经验法宝碎片4</t>
  </si>
  <si>
    <t>蓝色经验法宝碎片1</t>
  </si>
  <si>
    <t>蓝色经验法宝碎片2</t>
  </si>
  <si>
    <t>蓝色经验法宝碎片3</t>
  </si>
  <si>
    <t>法宝抢夺奖励</t>
  </si>
  <si>
    <t>法宝抢夺结算翻牌奖励-金币</t>
  </si>
  <si>
    <t>法宝抢夺结算翻牌奖励-钻石</t>
  </si>
  <si>
    <t>法宝抢夺结算翻牌奖励-法宝碎片</t>
  </si>
  <si>
    <t>法宝抢夺结算翻牌奖励-进阶丹</t>
  </si>
  <si>
    <t>法宝抢夺结算翻牌奖励-法宝精炼石</t>
  </si>
  <si>
    <t>法宝抢夺结算翻牌奖励-技能卷轴</t>
  </si>
  <si>
    <t>法宝抢夺结算翻牌奖励-装备通用精炼石</t>
  </si>
  <si>
    <t>法宝抢夺结算翻牌奖励-武将碎片（紫色）</t>
  </si>
  <si>
    <t>法宝抢夺结算翻牌奖励-武将碎片（橙色）</t>
  </si>
  <si>
    <t>法宝抢夺结算翻牌奖励-武将碎片（核心橙色）</t>
  </si>
  <si>
    <t>法宝抢夺结算翻牌奖励-装备碎片（蓝色）</t>
  </si>
  <si>
    <t>法宝抢夺结算翻牌奖励-装备碎片（紫色）</t>
  </si>
  <si>
    <t>法宝抢夺结算翻牌奖励-装备碎片（橙色）</t>
  </si>
  <si>
    <t>法宝抢夺结算翻牌奖励-属性法宝碎片（蓝色）</t>
  </si>
  <si>
    <t>法宝抢夺结算翻牌奖励-属性法宝碎片（紫色）</t>
  </si>
  <si>
    <t>法宝抢夺结算翻牌奖励-属性法宝碎片（橙色）</t>
  </si>
  <si>
    <t>法宝抢夺结算翻牌奖励-经验法宝碎片（蓝色）</t>
  </si>
  <si>
    <t>法宝抢夺结算翻牌奖励-经验法宝碎片（紫色）</t>
  </si>
  <si>
    <t>法宝抢夺结算翻牌奖励-经验法宝碎片（橙色）</t>
  </si>
  <si>
    <t>法宝精炼石</t>
  </si>
  <si>
    <t>橙色法宝碎片宝箱</t>
  </si>
  <si>
    <t>橙色攻击法宝碎片宝箱</t>
  </si>
  <si>
    <t>橙色防御法宝碎片宝箱</t>
  </si>
  <si>
    <t>蓝色法宝碎片</t>
  </si>
  <si>
    <t>紫色法宝碎片</t>
  </si>
  <si>
    <t>橙色法宝碎片</t>
  </si>
  <si>
    <t>蓝色经验法宝碎片</t>
  </si>
  <si>
    <t>紫色经验法宝碎片</t>
  </si>
  <si>
    <t>橙色经验法宝碎片</t>
  </si>
  <si>
    <t>中级经验法宝</t>
  </si>
  <si>
    <t>高级经验法宝</t>
  </si>
  <si>
    <t>法宝合成5次</t>
  </si>
  <si>
    <t>法宝合成10次</t>
  </si>
  <si>
    <t>法宝合成20次</t>
  </si>
  <si>
    <t>法宝合成30次</t>
  </si>
  <si>
    <t>法宝合成50次</t>
  </si>
  <si>
    <t>法宝合成70次</t>
  </si>
  <si>
    <t>法宝合成100次</t>
  </si>
  <si>
    <t>法宝强化5次</t>
  </si>
  <si>
    <t>法宝强化8次</t>
  </si>
  <si>
    <t>法宝强化12次</t>
  </si>
  <si>
    <t>法宝强化16次</t>
  </si>
  <si>
    <t>法宝强化24次</t>
  </si>
  <si>
    <t>法宝强化32次</t>
  </si>
  <si>
    <t>法宝强化40次</t>
  </si>
  <si>
    <t>在线奖励_道具-紫色经验法宝</t>
  </si>
  <si>
    <t>在线奖励_道具-法宝精炼石</t>
  </si>
  <si>
    <t>中级法宝碎片宝箱</t>
    <phoneticPr fontId="20" type="noConversion"/>
  </si>
  <si>
    <t>高级法宝碎片宝箱</t>
    <phoneticPr fontId="20" type="noConversion"/>
  </si>
  <si>
    <t>恢复10点精力</t>
  </si>
  <si>
    <t>恢复25点体力</t>
    <phoneticPr fontId="20" type="noConversion"/>
  </si>
  <si>
    <t>4|12|25</t>
    <phoneticPr fontId="17" type="noConversion"/>
  </si>
  <si>
    <t>4|13|10</t>
    <phoneticPr fontId="17" type="noConversion"/>
  </si>
  <si>
    <t>4|12|25|1</t>
    <phoneticPr fontId="17" type="noConversion"/>
  </si>
  <si>
    <t>4|13|10|1</t>
    <phoneticPr fontId="17" type="noConversion"/>
  </si>
  <si>
    <t>获得1个迎战券</t>
    <phoneticPr fontId="20" type="noConversion"/>
  </si>
  <si>
    <t>4|14|1|1</t>
    <phoneticPr fontId="17" type="noConversion"/>
  </si>
  <si>
    <t>4|14|1</t>
    <phoneticPr fontId="17" type="noConversion"/>
  </si>
  <si>
    <t>VIP经验卡-获得100点VIP经验值</t>
    <phoneticPr fontId="20" type="noConversion"/>
  </si>
  <si>
    <t>玩家经验-获得10000点玩家经验值</t>
    <phoneticPr fontId="20" type="noConversion"/>
  </si>
  <si>
    <t>4|10|10000</t>
    <phoneticPr fontId="20" type="noConversion"/>
  </si>
  <si>
    <t>4|10|10000|1</t>
    <phoneticPr fontId="20" type="noConversion"/>
  </si>
  <si>
    <t>4|26|100|1</t>
    <phoneticPr fontId="20" type="noConversion"/>
  </si>
  <si>
    <t>4|26|100</t>
  </si>
  <si>
    <t>大闹三界宝箱奖励</t>
    <phoneticPr fontId="20" type="noConversion"/>
  </si>
  <si>
    <t>40级大闹三界-简单</t>
  </si>
  <si>
    <t>40级大闹三界-困难</t>
  </si>
  <si>
    <t>法宝抢夺结算翻牌奖励-高级经验药</t>
    <phoneticPr fontId="20" type="noConversion"/>
  </si>
  <si>
    <t>法宝抢夺结算翻牌奖励-伙伴经验药</t>
    <phoneticPr fontId="20" type="noConversion"/>
  </si>
  <si>
    <t>[]</t>
  </si>
  <si>
    <t>[]</t>
    <phoneticPr fontId="20" type="noConversion"/>
  </si>
  <si>
    <t>灵台斗法翻牌奖励</t>
    <phoneticPr fontId="20" type="noConversion"/>
  </si>
  <si>
    <t>游历四方-花果山</t>
  </si>
  <si>
    <t>游历四方-东海龙宫</t>
  </si>
  <si>
    <t>游历四方-阴曹地府</t>
  </si>
  <si>
    <t>游历四方-天宫</t>
  </si>
  <si>
    <t>游历四方-火焰山</t>
  </si>
  <si>
    <t>50-59级招财进度宝箱奖励金币</t>
  </si>
  <si>
    <t>60-69级招财进度宝箱奖励金币</t>
  </si>
  <si>
    <t>70-79级招财进度宝箱奖励金币</t>
  </si>
  <si>
    <t>80-89级招财进度宝箱奖励金币</t>
  </si>
  <si>
    <t>90-99级招财进度宝箱奖励金币</t>
  </si>
  <si>
    <t>100-109级招财进度宝箱奖励金币</t>
  </si>
  <si>
    <t>110-119级招财进度宝箱奖励金币</t>
  </si>
  <si>
    <t>120-129级招财进度宝箱奖励金币</t>
  </si>
  <si>
    <t>130-139级招财进度宝箱奖励金币</t>
  </si>
  <si>
    <t>140-149级招财进度宝箱奖励金币</t>
  </si>
  <si>
    <t>150-159级招财进度宝箱奖励金币</t>
  </si>
  <si>
    <t>1|17000|150</t>
  </si>
  <si>
    <t>1|14004|6</t>
  </si>
  <si>
    <t>1|14315|8</t>
  </si>
  <si>
    <t>1|17000|150|1</t>
  </si>
  <si>
    <t>1|14004|6|1</t>
  </si>
  <si>
    <t>1|14315|8|1</t>
  </si>
  <si>
    <t>1|16010|8|1</t>
  </si>
  <si>
    <t>第2天-签到奖励双倍</t>
    <phoneticPr fontId="20" type="noConversion"/>
  </si>
  <si>
    <t>第4天-签到奖励双倍</t>
    <phoneticPr fontId="20" type="noConversion"/>
  </si>
  <si>
    <t>第6天-签到奖励双倍</t>
  </si>
  <si>
    <t>第8天-签到奖励双倍</t>
  </si>
  <si>
    <t>第10天-签到奖励双倍</t>
  </si>
  <si>
    <t>第12天-签到奖励双倍</t>
  </si>
  <si>
    <t>第14天-签到奖励双倍</t>
  </si>
  <si>
    <t>第16天-签到奖励双倍</t>
  </si>
  <si>
    <t>第18天-签到奖励双倍</t>
  </si>
  <si>
    <t>第20天-签到奖励双倍</t>
  </si>
  <si>
    <t>第22天-签到奖励双倍</t>
  </si>
  <si>
    <t>第24天-签到奖励双倍</t>
  </si>
  <si>
    <t>第26天-签到奖励双倍</t>
  </si>
  <si>
    <t>第28天-签到奖励双倍</t>
  </si>
  <si>
    <t>第30天-签到奖励双倍</t>
  </si>
  <si>
    <t>1|17000|300</t>
  </si>
  <si>
    <t>1|14106|80</t>
  </si>
  <si>
    <t>1|17001|160</t>
  </si>
  <si>
    <t>1|14004|12</t>
  </si>
  <si>
    <t>1|14315|16</t>
  </si>
  <si>
    <t>1|16010|16</t>
  </si>
  <si>
    <t>1|17000|500</t>
  </si>
  <si>
    <t>1|17002|30</t>
  </si>
  <si>
    <t>1|17000|300|1</t>
  </si>
  <si>
    <t>1|14106|80|1</t>
  </si>
  <si>
    <t>1|17001|160|1</t>
  </si>
  <si>
    <t>1|14004|12|1</t>
  </si>
  <si>
    <t>1|14315|16|1</t>
  </si>
  <si>
    <t>1|16010|16|1</t>
  </si>
  <si>
    <t>1|17000|500|1</t>
  </si>
  <si>
    <t>1|17002|30|1</t>
  </si>
  <si>
    <t>1|17002|16</t>
  </si>
  <si>
    <t>1|17002|16|1</t>
  </si>
  <si>
    <t>4|29|100</t>
  </si>
  <si>
    <t>1|14211|1</t>
  </si>
  <si>
    <t>1|16005|5</t>
  </si>
  <si>
    <t>1|14201|7</t>
  </si>
  <si>
    <t>1|16005|7</t>
  </si>
  <si>
    <t>1|14003|3</t>
  </si>
  <si>
    <t>4|29|100|1</t>
  </si>
  <si>
    <t>1|14211|1|1</t>
  </si>
  <si>
    <t>1|16005|5|1</t>
  </si>
  <si>
    <t>1|14201|7|1</t>
  </si>
  <si>
    <t>1|16005|7|1</t>
  </si>
  <si>
    <t>1|14003|3|1</t>
  </si>
  <si>
    <t>梦魇入侵奖励中心1</t>
    <phoneticPr fontId="20" type="noConversion"/>
  </si>
  <si>
    <t>梦魇入侵奖励中心2</t>
  </si>
  <si>
    <t>梦魇入侵奖励中心3</t>
  </si>
  <si>
    <t>梦魇入侵奖励中心4</t>
  </si>
  <si>
    <t>梦魇入侵奖励中心5</t>
  </si>
  <si>
    <t>梦魇入侵奖励中心6</t>
  </si>
  <si>
    <t>梦魇入侵奖励中心7</t>
  </si>
  <si>
    <t>梦魇入侵奖励中心8</t>
  </si>
  <si>
    <t>梦魇入侵奖励中心9</t>
  </si>
  <si>
    <t>梦魇入侵奖励中心10</t>
  </si>
  <si>
    <t>梦魇入侵奖励中心11</t>
  </si>
  <si>
    <t>梦魇入侵奖励中心12</t>
  </si>
  <si>
    <t>梦魇入侵奖励中心13</t>
  </si>
  <si>
    <t>梦魇入侵奖励中心14</t>
  </si>
  <si>
    <t>梦魇入侵奖励中心15</t>
  </si>
  <si>
    <t>梦魇入侵奖励中心16</t>
  </si>
  <si>
    <t>梦魇入侵奖励中心17</t>
  </si>
  <si>
    <t>梦魇入侵奖励中心18</t>
  </si>
  <si>
    <t>梦魇入侵奖励中心19</t>
  </si>
  <si>
    <t>梦魇入侵奖励中心20</t>
  </si>
  <si>
    <t>梦魇入侵奖励中心21</t>
  </si>
  <si>
    <t>梦魇入侵奖励中心22</t>
  </si>
  <si>
    <t>梦魇入侵奖励中心23</t>
  </si>
  <si>
    <t>梦魇入侵奖励中心24</t>
  </si>
  <si>
    <t>梦魇入侵奖励中心25</t>
  </si>
  <si>
    <t>梦魇入侵奖励中心26</t>
  </si>
  <si>
    <t>梦魇入侵奖励中心27</t>
  </si>
  <si>
    <t>梦魇入侵奖励中心28</t>
  </si>
  <si>
    <t>梦魇入侵奖励中心29</t>
  </si>
  <si>
    <t>梦魇入侵奖励中心30</t>
  </si>
  <si>
    <t>梦魇入侵奖励中心31</t>
  </si>
  <si>
    <t>梦魇入侵奖励中心32</t>
  </si>
  <si>
    <t>梦魇入侵奖励中心33</t>
  </si>
  <si>
    <t>梦魇入侵奖励中心34</t>
  </si>
  <si>
    <t>梦魇入侵奖励中心35</t>
  </si>
  <si>
    <t>梦魇入侵奖励中心36</t>
  </si>
  <si>
    <t>梦魇入侵奖励中心37</t>
  </si>
  <si>
    <t>梦魇入侵奖励中心38</t>
  </si>
  <si>
    <t>梦魇入侵奖励中心39</t>
  </si>
  <si>
    <t>梦魇入侵奖励中心40</t>
  </si>
  <si>
    <t>梦魇入侵奖励中心41</t>
  </si>
  <si>
    <t>梦魇入侵奖励中心42</t>
  </si>
  <si>
    <t>梦魇入侵奖励中心43</t>
  </si>
  <si>
    <t>梦魇入侵奖励中心44</t>
  </si>
  <si>
    <t>梦魇入侵奖励中心45</t>
  </si>
  <si>
    <t>梦魇入侵奖励中心46</t>
  </si>
  <si>
    <t>梦魇入侵奖励中心47</t>
  </si>
  <si>
    <t>梦魇入侵奖励中心48</t>
  </si>
  <si>
    <t>梦魇入侵奖励中心49</t>
  </si>
  <si>
    <t>梦魇入侵奖励中心50</t>
  </si>
  <si>
    <t>4|10|400,4|1|2000</t>
  </si>
  <si>
    <t>4|10|400|1,4|1|2000|1</t>
  </si>
  <si>
    <t>主线小怪副本点经验丹奖励</t>
    <phoneticPr fontId="17" type="noConversion"/>
  </si>
  <si>
    <t>4|1|1000</t>
    <phoneticPr fontId="20" type="noConversion"/>
  </si>
  <si>
    <t>1千金币宝箱</t>
    <phoneticPr fontId="20" type="noConversion"/>
  </si>
  <si>
    <t>4|1|1000|1</t>
    <phoneticPr fontId="20" type="noConversion"/>
  </si>
  <si>
    <t>4|1|10000,1|14003|2,1|14102|2,1|14101|1,1|14108|1</t>
  </si>
  <si>
    <t>4|1|20000,1|14003|2,1|14102|2,1|14101|2,1|14108|2</t>
  </si>
  <si>
    <t>4|1|30000,1|14003|2,1|14102|2,1|14101|2,1|14108|2</t>
  </si>
  <si>
    <t>4|1|40000,1|14003|3,1|14102|4,1|14101|2,1|14108|2</t>
  </si>
  <si>
    <t>4|1|50000,1|14003|3,1|14102|4,1|14101|3,1|14108|3</t>
  </si>
  <si>
    <t>4|1|60000,1|14003|3,1|14102|4,1|14101|3,1|14108|3</t>
  </si>
  <si>
    <t>4|1|70000,1|14003|4,1|14102|6,1|14101|3,1|14108|3</t>
  </si>
  <si>
    <t>4|1|80000,1|14003|4,1|14102|6,1|14101|4,1|14108|4</t>
  </si>
  <si>
    <t>4|1|90000,1|14003|4,1|14102|6,1|14101|4,1|14108|4</t>
  </si>
  <si>
    <t>4|1|100000,1|14003|4,1|14102|6,1|14101|4,1|14108|4</t>
  </si>
  <si>
    <t>4|1|110000,1|14003|5,1|14102|8,1|14101|5,1|14108|5</t>
  </si>
  <si>
    <t>4|1|120000,1|14003|5,1|14102|8,1|14101|5,1|14108|5</t>
  </si>
  <si>
    <t>4|1|140000,1|14003|5,1|14102|8,1|14101|5,1|14108|5</t>
  </si>
  <si>
    <t>每日礼包vip13</t>
  </si>
  <si>
    <t>每日礼包vip14</t>
  </si>
  <si>
    <t>每日礼包vip15</t>
  </si>
  <si>
    <t>4|1|160000,1|14003|6,1|14102|10,1|14101|6,1|14108|6</t>
  </si>
  <si>
    <t>4|1|180000,1|14003|6,1|14102|10,1|14101|6,1|14108|6</t>
  </si>
  <si>
    <t>4|1|200000,1|14003|6,1|14102|10,1|14101|6,1|14108|6</t>
  </si>
  <si>
    <t>4|1|10000|1,1|14003|2|1,1|14102|2|1,1|14101|1|1,1|14108|1|1</t>
  </si>
  <si>
    <t>4|1|20000|1,1|14003|2|1,1|14102|2|1,1|14101|2|1,1|14108|2|1</t>
  </si>
  <si>
    <t>4|1|30000|1,1|14003|2|1,1|14102|2|1,1|14101|2|1,1|14108|2|1</t>
  </si>
  <si>
    <t>4|1|40000|1,1|14003|3|1,1|14102|4|1,1|14101|2|1,1|14108|2|1</t>
  </si>
  <si>
    <t>4|1|50000|1,1|14003|3|1,1|14102|4|1,1|14101|3|1,1|14108|3|1</t>
  </si>
  <si>
    <t>4|1|60000|1,1|14003|3|1,1|14102|4|1,1|14101|3|1,1|14108|3|1</t>
  </si>
  <si>
    <t>4|1|70000|1,1|14003|4|1,1|14102|6|1,1|14101|3|1,1|14108|3|1</t>
  </si>
  <si>
    <t>4|1|80000|1,1|14003|4|1,1|14102|6|1,1|14101|4|1,1|14108|4|1</t>
  </si>
  <si>
    <t>4|1|90000|1,1|14003|4|1,1|14102|6|1,1|14101|4|1,1|14108|4|1</t>
  </si>
  <si>
    <t>4|1|100000|1,1|14003|4|1,1|14102|6|1,1|14101|4|1,1|14108|4|1</t>
  </si>
  <si>
    <t>4|1|110000|1,1|14003|5|1,1|14102|8|1,1|14101|5|1,1|14108|5|1</t>
  </si>
  <si>
    <t>4|1|120000|1,1|14003|5|1,1|14102|8|1,1|14101|5|1,1|14108|5|1</t>
  </si>
  <si>
    <t>4|1|140000|1,1|14003|5|1,1|14102|8|1,1|14101|5|1,1|14108|5|1</t>
  </si>
  <si>
    <t>4|1|160000|1,1|14003|6|1,1|14102|10|1,1|14101|6|1,1|14108|6|1</t>
  </si>
  <si>
    <t>4|1|180000|1,1|14003|6|1,1|14102|10|1,1|14101|6|1,1|14108|6|1</t>
  </si>
  <si>
    <t>4|1|200000|1,1|14003|6|1,1|14102|10|1,1|14101|6|1,1|14108|6|1</t>
  </si>
  <si>
    <t>1|16600|1|1</t>
  </si>
  <si>
    <t>1|16601|1|1</t>
  </si>
  <si>
    <t>1|16602|1|1</t>
  </si>
  <si>
    <t>1|16603|1|1</t>
  </si>
  <si>
    <t>1|16604|1|1</t>
  </si>
  <si>
    <t>1|16605|1|1</t>
  </si>
  <si>
    <t>1|16606|1|1</t>
  </si>
  <si>
    <t>1|16607|1|1</t>
  </si>
  <si>
    <t>1|16608|1|1</t>
  </si>
  <si>
    <t>1|16609|1|1</t>
  </si>
  <si>
    <t>1|16610|1|1</t>
  </si>
  <si>
    <t>1|16611|1|1</t>
  </si>
  <si>
    <t>1|16612|1|1</t>
  </si>
  <si>
    <t>1|16613|1|1</t>
  </si>
  <si>
    <t>1|16614|1|1</t>
  </si>
  <si>
    <t>1|16615|1|1</t>
  </si>
  <si>
    <t>1|16011|1</t>
    <phoneticPr fontId="20" type="noConversion"/>
  </si>
  <si>
    <t>1|16011|1|1</t>
    <phoneticPr fontId="20" type="noConversion"/>
  </si>
  <si>
    <t>关卡通关章节掉落天雷符</t>
    <phoneticPr fontId="20" type="noConversion"/>
  </si>
  <si>
    <t>1|16600|1</t>
  </si>
  <si>
    <t>1|16601|1</t>
  </si>
  <si>
    <t>1|16602|1</t>
  </si>
  <si>
    <t>1|16603|1</t>
  </si>
  <si>
    <t>1|16604|1</t>
  </si>
  <si>
    <t>1|16605|1</t>
  </si>
  <si>
    <t>1|16606|1</t>
  </si>
  <si>
    <t>1|16607|1</t>
  </si>
  <si>
    <t>1|16608|1</t>
  </si>
  <si>
    <t>1|16609|1</t>
  </si>
  <si>
    <t>1|16610|1</t>
  </si>
  <si>
    <t>1|16611|1</t>
  </si>
  <si>
    <t>1|16612|1</t>
  </si>
  <si>
    <t>1|16613|1</t>
  </si>
  <si>
    <t>1|16614|1</t>
  </si>
  <si>
    <t>1|16615|1</t>
  </si>
  <si>
    <t>精英小怪副本点经验丹奖励</t>
  </si>
  <si>
    <t>精英小怪副本点进阶丹奖励</t>
  </si>
  <si>
    <t>精英小怪副本点道具奖励</t>
  </si>
  <si>
    <t>精英副本 第1章 第3关道具奖励</t>
  </si>
  <si>
    <t>精英副本 第1章 第6关道具奖励</t>
  </si>
  <si>
    <t>精英副本 第2章 第3关道具奖励</t>
  </si>
  <si>
    <t>精英副本 第2章 第6关道具奖励</t>
  </si>
  <si>
    <t>精英副本 第3章 第6关道具奖励</t>
  </si>
  <si>
    <t>精英副本 第3章 第9关道具奖励</t>
  </si>
  <si>
    <t>精英副本 第4章 第6关道具奖励</t>
  </si>
  <si>
    <t>精英副本 第4章 第9关道具奖励</t>
  </si>
  <si>
    <t>精英副本 第4章 第10关道具奖励</t>
  </si>
  <si>
    <t>精英副本 第5章 第6关道具奖励</t>
  </si>
  <si>
    <t>精英副本 第5章 第9关道具奖励</t>
  </si>
  <si>
    <t>精英副本 第5章 第10关道具奖励</t>
  </si>
  <si>
    <t>精英副本 第6章 第6关道具奖励</t>
  </si>
  <si>
    <t>精英副本 第6章 第9关道具奖励</t>
  </si>
  <si>
    <t>精英副本 第6章 第10关道具奖励</t>
  </si>
  <si>
    <t>精英副本 第7章 第6关道具奖励</t>
  </si>
  <si>
    <t>精英副本 第7章 第9关道具奖励</t>
  </si>
  <si>
    <t>精英副本 第7章 第10关道具奖励</t>
  </si>
  <si>
    <t>精英副本 第8章 第6关道具奖励</t>
  </si>
  <si>
    <t>精英副本 第8章 第9关道具奖励</t>
  </si>
  <si>
    <t>精英副本 第8章 第10关道具奖励</t>
  </si>
  <si>
    <t>精英副本 第9章 第6关道具奖励</t>
  </si>
  <si>
    <t>精英副本 第9章 第9关道具奖励</t>
  </si>
  <si>
    <t>精英副本 第9章 第10关道具奖励</t>
  </si>
  <si>
    <t>精英副本 第10章 第6关道具奖励</t>
  </si>
  <si>
    <t>精英副本 第10章 第9关道具奖励</t>
  </si>
  <si>
    <t>精英副本 第10章 第10关道具奖励</t>
  </si>
  <si>
    <t>精英副本 第11章 第6关道具奖励</t>
  </si>
  <si>
    <t>精英副本 第11章 第9关道具奖励</t>
  </si>
  <si>
    <t>精英副本 第11章 第10关道具奖励</t>
  </si>
  <si>
    <t>精英副本 第12章 第6关道具奖励</t>
  </si>
  <si>
    <t>精英副本 第12章 第9关道具奖励</t>
  </si>
  <si>
    <t>精英副本 第12章 第10关道具奖励</t>
  </si>
  <si>
    <t>精英副本 第13章 第6关道具奖励</t>
  </si>
  <si>
    <t>精英副本 第13章 第9关道具奖励</t>
  </si>
  <si>
    <t>精英副本 第13章 第10关道具奖励</t>
  </si>
  <si>
    <t>精英副本 第14章 第6关道具奖励</t>
  </si>
  <si>
    <t>精英副本 第14章 第9关道具奖励</t>
  </si>
  <si>
    <t>精英副本 第14章 第10关道具奖励</t>
  </si>
  <si>
    <t>精英副本 第15章 第6关道具奖励</t>
  </si>
  <si>
    <t>精英副本 第15章 第9关道具奖励</t>
  </si>
  <si>
    <t>精英副本 第15章 第10关道具奖励</t>
  </si>
  <si>
    <t>精英副本 第16章 第6关道具奖励</t>
  </si>
  <si>
    <t>精英副本 第16章 第9关道具奖励</t>
  </si>
  <si>
    <t>精英副本 第16章 第10关道具奖励</t>
  </si>
  <si>
    <t>精英副本 第17章 第6关道具奖励</t>
  </si>
  <si>
    <t>精英副本 第17章 第9关道具奖励</t>
  </si>
  <si>
    <t>精英副本 第17章 第10关道具奖励</t>
  </si>
  <si>
    <t>精英副本 第18章 第6关道具奖励</t>
  </si>
  <si>
    <t>精英副本 第18章 第9关道具奖励</t>
  </si>
  <si>
    <t>精英副本 第18章 第10关道具奖励</t>
  </si>
  <si>
    <t>精英副本 第19章 第6关道具奖励</t>
  </si>
  <si>
    <t>精英副本 第19章 第9关道具奖励</t>
  </si>
  <si>
    <t>精英副本 第19章 第10关道具奖励</t>
  </si>
  <si>
    <t>精英副本 第20章 第6关道具奖励</t>
  </si>
  <si>
    <t>精英副本 第20章 第9关道具奖励</t>
  </si>
  <si>
    <t>精英副本 第20章 第10关道具奖励</t>
  </si>
  <si>
    <t>精英副本 第21章 第6关道具奖励</t>
  </si>
  <si>
    <t>精英副本 第21章 第9关道具奖励</t>
  </si>
  <si>
    <t>精英副本 第21章 第10关道具奖励</t>
  </si>
  <si>
    <t>精英副本 第22章 第6关道具奖励</t>
  </si>
  <si>
    <t>精英副本 第22章 第9关道具奖励</t>
  </si>
  <si>
    <t>精英副本 第22章 第10关道具奖励</t>
  </si>
  <si>
    <t>精英副本 第23章 第6关道具奖励</t>
  </si>
  <si>
    <t>精英副本 第23章 第9关道具奖励</t>
  </si>
  <si>
    <t>精英副本 第23章 第10关道具奖励</t>
  </si>
  <si>
    <t>精英副本 第24章 第6关道具奖励</t>
  </si>
  <si>
    <t>精英副本 第24章 第9关道具奖励</t>
  </si>
  <si>
    <t>精英副本 第24章 第10关道具奖励</t>
  </si>
  <si>
    <t>精英副本 第25章 第6关道具奖励</t>
  </si>
  <si>
    <t>精英副本 第25章 第9关道具奖励</t>
  </si>
  <si>
    <t>精英副本 第25章 第10关道具奖励</t>
  </si>
  <si>
    <t>精英副本 第26章 第6关道具奖励</t>
  </si>
  <si>
    <t>精英副本 第26章 第9关道具奖励</t>
  </si>
  <si>
    <t>精英副本 第26章 第10关道具奖励</t>
  </si>
  <si>
    <t>精英副本 第27章 第6关道具奖励</t>
  </si>
  <si>
    <t>精英副本 第27章 第9关道具奖励</t>
  </si>
  <si>
    <t>精英副本 第27章 第10关道具奖励</t>
  </si>
  <si>
    <t>精英副本 第28章 第6关道具奖励</t>
  </si>
  <si>
    <t>精英副本 第28章 第9关道具奖励</t>
  </si>
  <si>
    <t>精英副本 第28章 第10关道具奖励</t>
  </si>
  <si>
    <t>精英副本 第29章 第6关道具奖励</t>
  </si>
  <si>
    <t>精英副本 第29章 第9关道具奖励</t>
  </si>
  <si>
    <t>精英副本 第29章 第10关道具奖励</t>
  </si>
  <si>
    <t>精英副本 第30章 第6关道具奖励</t>
  </si>
  <si>
    <t>精英副本 第30章 第9关道具奖励</t>
  </si>
  <si>
    <t>精英副本 第30章 第10关道具奖励</t>
  </si>
  <si>
    <t>精英副本 第31章 第6关道具奖励</t>
  </si>
  <si>
    <t>精英副本 第31章 第9关道具奖励</t>
  </si>
  <si>
    <t>精英副本 第31章 第10关道具奖励</t>
  </si>
  <si>
    <t>精英副本 第32章 第6关道具奖励</t>
  </si>
  <si>
    <t>精英副本 第32章 第9关道具奖励</t>
  </si>
  <si>
    <t>精英副本 第32章 第10关道具奖励</t>
  </si>
  <si>
    <t>精英副本 第33章 第6关道具奖励</t>
  </si>
  <si>
    <t>精英副本 第33章 第9关道具奖励</t>
  </si>
  <si>
    <t>精英副本 第33章 第10关道具奖励</t>
  </si>
  <si>
    <t>精英副本 第34章 第6关道具奖励</t>
  </si>
  <si>
    <t>精英副本 第34章 第9关道具奖励</t>
  </si>
  <si>
    <t>精英副本 第34章 第10关道具奖励</t>
  </si>
  <si>
    <t>精英副本 第35章 第6关道具奖励</t>
  </si>
  <si>
    <t>精英副本 第35章 第9关道具奖励</t>
  </si>
  <si>
    <t>精英副本 第35章 第10关道具奖励</t>
  </si>
  <si>
    <t>精英副本 第36章 第6关道具奖励</t>
  </si>
  <si>
    <t>精英副本 第36章 第9关道具奖励</t>
  </si>
  <si>
    <t>精英副本 第36章 第10关道具奖励</t>
  </si>
  <si>
    <t>精英副本 第37章 第6关道具奖励</t>
  </si>
  <si>
    <t>精英副本 第37章 第9关道具奖励</t>
  </si>
  <si>
    <t>精英副本 第37章 第10关道具奖励</t>
  </si>
  <si>
    <t>精英副本 第38章 第6关道具奖励</t>
  </si>
  <si>
    <t>精英副本 第38章 第9关道具奖励</t>
  </si>
  <si>
    <t>精英副本 第38章 第10关道具奖励</t>
  </si>
  <si>
    <t>精英副本 第39章 第6关道具奖励</t>
  </si>
  <si>
    <t>精英副本 第39章 第9关道具奖励</t>
  </si>
  <si>
    <t>精英副本 第39章 第10关道具奖励</t>
  </si>
  <si>
    <t>精英副本 第40章 第6关道具奖励</t>
  </si>
  <si>
    <t>精英副本 第40章 第9关道具奖励</t>
  </si>
  <si>
    <t>精英副本 第40章 第10关道具奖励</t>
  </si>
  <si>
    <t>精英副本 第41章 第6关道具奖励</t>
  </si>
  <si>
    <t>精英副本 第41章 第9关道具奖励</t>
  </si>
  <si>
    <t>精英副本 第41章 第10关道具奖励</t>
  </si>
  <si>
    <t>精英副本 第42章 第6关道具奖励</t>
  </si>
  <si>
    <t>精英副本 第42章 第9关道具奖励</t>
  </si>
  <si>
    <t>精英副本 第42章 第10关道具奖励</t>
  </si>
  <si>
    <t>精英副本 第43章 第6关道具奖励</t>
  </si>
  <si>
    <t>精英副本 第43章 第9关道具奖励</t>
  </si>
  <si>
    <t>精英副本 第43章 第10关道具奖励</t>
  </si>
  <si>
    <t>精英副本 第44章 第6关道具奖励</t>
  </si>
  <si>
    <t>精英副本 第44章 第9关道具奖励</t>
  </si>
  <si>
    <t>精英副本 第44章 第10关道具奖励</t>
  </si>
  <si>
    <t>精英副本 第45章 第6关道具奖励</t>
  </si>
  <si>
    <t>精英副本 第45章 第9关道具奖励</t>
  </si>
  <si>
    <t>精英副本 第45章 第10关道具奖励</t>
  </si>
  <si>
    <t>精英副本 第46章 第6关道具奖励</t>
  </si>
  <si>
    <t>精英副本 第46章 第9关道具奖励</t>
  </si>
  <si>
    <t>精英副本 第46章 第10关道具奖励</t>
  </si>
  <si>
    <t>精英副本 第47章 第6关道具奖励</t>
  </si>
  <si>
    <t>精英副本 第47章 第9关道具奖励</t>
  </si>
  <si>
    <t>精英副本 第47章 第10关道具奖励</t>
  </si>
  <si>
    <t>精英副本 第48章 第6关道具奖励</t>
  </si>
  <si>
    <t>精英副本 第48章 第9关道具奖励</t>
  </si>
  <si>
    <t>精英副本 第48章 第10关道具奖励</t>
  </si>
  <si>
    <t>精英副本 第49章 第6关道具奖励</t>
  </si>
  <si>
    <t>精英副本 第49章 第9关道具奖励</t>
  </si>
  <si>
    <t>精英副本 第49章 第10关道具奖励</t>
  </si>
  <si>
    <t>精英副本 第50章 第6关道具奖励</t>
  </si>
  <si>
    <t>精英副本 第50章 第9关道具奖励</t>
  </si>
  <si>
    <t>精英副本 第50章 第10关道具奖励</t>
  </si>
  <si>
    <t>精英副本 第51章 第6关道具奖励</t>
  </si>
  <si>
    <t>精英副本 第51章 第9关道具奖励</t>
  </si>
  <si>
    <t>精英副本 第51章 第10关道具奖励</t>
  </si>
  <si>
    <t>精英副本 第52章 第6关道具奖励</t>
  </si>
  <si>
    <t>精英副本 第52章 第9关道具奖励</t>
  </si>
  <si>
    <t>精英副本 第52章 第10关道具奖励</t>
  </si>
  <si>
    <t>精英副本 第53章 第6关道具奖励</t>
  </si>
  <si>
    <t>精英副本 第53章 第9关道具奖励</t>
  </si>
  <si>
    <t>精英副本 第53章 第10关道具奖励</t>
  </si>
  <si>
    <t>精英副本 第54章 第6关道具奖励</t>
  </si>
  <si>
    <t>精英副本 第54章 第9关道具奖励</t>
  </si>
  <si>
    <t>精英副本 第54章 第10关道具奖励</t>
  </si>
  <si>
    <t>精英副本 第55章 第6关道具奖励</t>
  </si>
  <si>
    <t>精英副本 第55章 第9关道具奖励</t>
  </si>
  <si>
    <t>精英副本 第55章 第10关道具奖励</t>
  </si>
  <si>
    <t>精英副本 第56章 第6关道具奖励</t>
  </si>
  <si>
    <t>精英副本 第56章 第9关道具奖励</t>
  </si>
  <si>
    <t>精英副本 第56章 第10关道具奖励</t>
  </si>
  <si>
    <t>精英副本 第57章 第6关道具奖励</t>
  </si>
  <si>
    <t>精英副本 第57章 第9关道具奖励</t>
  </si>
  <si>
    <t>精英副本 第57章 第10关道具奖励</t>
  </si>
  <si>
    <t>精英副本 第58章 第6关道具奖励</t>
  </si>
  <si>
    <t>精英副本 第58章 第9关道具奖励</t>
  </si>
  <si>
    <t>精英副本 第58章 第10关道具奖励</t>
  </si>
  <si>
    <t>精英副本 第59章 第6关道具奖励</t>
  </si>
  <si>
    <t>精英副本 第59章 第9关道具奖励</t>
  </si>
  <si>
    <t>精英副本 第59章 第10关道具奖励</t>
  </si>
  <si>
    <t>精英副本 第60章 第6关道具奖励</t>
  </si>
  <si>
    <t>精英副本 第60章 第9关道具奖励</t>
  </si>
  <si>
    <t>精英副本 第60章 第10关道具奖励</t>
  </si>
  <si>
    <t>精英副本 第61章 第6关道具奖励</t>
  </si>
  <si>
    <t>精英副本 第61章 第9关道具奖励</t>
  </si>
  <si>
    <t>精英副本 第61章 第10关道具奖励</t>
  </si>
  <si>
    <t>精英副本 第62章 第6关道具奖励</t>
  </si>
  <si>
    <t>精英副本 第62章 第9关道具奖励</t>
  </si>
  <si>
    <t>精英副本 第62章 第10关道具奖励</t>
  </si>
  <si>
    <t>精英副本 第63章 第6关道具奖励</t>
  </si>
  <si>
    <t>精英副本 第63章 第9关道具奖励</t>
  </si>
  <si>
    <t>精英副本 第63章 第10关道具奖励</t>
  </si>
  <si>
    <t>精英副本 第64章 第6关道具奖励</t>
  </si>
  <si>
    <t>精英副本 第64章 第9关道具奖励</t>
  </si>
  <si>
    <t>精英副本 第64章 第10关道具奖励</t>
  </si>
  <si>
    <t>精英副本 第65章 第6关道具奖励</t>
  </si>
  <si>
    <t>精英副本 第65章 第9关道具奖励</t>
  </si>
  <si>
    <t>精英副本 第65章 第10关道具奖励</t>
  </si>
  <si>
    <t>精英副本 第66章 第6关道具奖励</t>
  </si>
  <si>
    <t>精英副本 第66章 第9关道具奖励</t>
  </si>
  <si>
    <t>精英副本 第66章 第10关道具奖励</t>
  </si>
  <si>
    <t>精英副本 第67章 第6关道具奖励</t>
  </si>
  <si>
    <t>精英副本 第67章 第9关道具奖励</t>
  </si>
  <si>
    <t>精英副本 第67章 第10关道具奖励</t>
  </si>
  <si>
    <t>3|44000|1|1,3|41502|1|1</t>
  </si>
  <si>
    <t>3|44000|1|1,3|41503|1|1</t>
  </si>
  <si>
    <t>3|44000|1|1,3|41504|1|1</t>
  </si>
  <si>
    <t>3|44000|1|1,3|41505|1|1</t>
  </si>
  <si>
    <t>3|44000|1|1,3|41506|1|1</t>
  </si>
  <si>
    <t>3|44000|1|1,3|41507|1|1</t>
  </si>
  <si>
    <t>3|44000|1|1,3|41508|1|1</t>
  </si>
  <si>
    <t>3|44000|1|1,3|41509|1|1</t>
  </si>
  <si>
    <t>3|44000|1|1,3|41510|1|1</t>
  </si>
  <si>
    <t>3|44000|1|1,3|41511|1|1</t>
  </si>
  <si>
    <t>3|44000|1|1,3|41512|1|1</t>
  </si>
  <si>
    <t>3|44000|1|1,3|41513|1|1</t>
  </si>
  <si>
    <t>3|44000|1|1,3|41514|1|1</t>
  </si>
  <si>
    <t>3|44000|1|1,3|41515|1|1</t>
  </si>
  <si>
    <t>3|44000|1|1,3|41516|1|1</t>
  </si>
  <si>
    <t>3|44000|1|1,3|41561|1|1,3|41539|1|1</t>
  </si>
  <si>
    <t>3|44000|1|1,3|41501|1|1</t>
  </si>
  <si>
    <t>3|44000|1|1,3|41569|1|1,3|41543|1|1</t>
  </si>
  <si>
    <t>3|44000|1|1,3|41566|1|1,3|41519|1|1</t>
  </si>
  <si>
    <t>3|44000|1|1,3|41580|1|1,3|41521|1|1</t>
  </si>
  <si>
    <t>3|44000|1|1,3|41576|1|1,3|41520|1|1</t>
  </si>
  <si>
    <t>主角1级法宝抢夺经验和金币奖励</t>
    <phoneticPr fontId="17" type="noConversion"/>
  </si>
  <si>
    <t>主角2级法宝抢夺经验和金币奖励</t>
    <phoneticPr fontId="17" type="noConversion"/>
  </si>
  <si>
    <t>主角3级法宝抢夺经验和金币奖励</t>
  </si>
  <si>
    <t>主角4级法宝抢夺经验和金币奖励</t>
  </si>
  <si>
    <t>主角5级法宝抢夺经验和金币奖励</t>
  </si>
  <si>
    <t>主角6级法宝抢夺经验和金币奖励</t>
  </si>
  <si>
    <t>主角7级法宝抢夺经验和金币奖励</t>
  </si>
  <si>
    <t>主角8级法宝抢夺经验和金币奖励</t>
  </si>
  <si>
    <t>主角9级法宝抢夺经验和金币奖励</t>
  </si>
  <si>
    <t>主角10级法宝抢夺经验和金币奖励</t>
  </si>
  <si>
    <t>主角11级法宝抢夺经验和金币奖励</t>
  </si>
  <si>
    <t>主角12级法宝抢夺经验和金币奖励</t>
  </si>
  <si>
    <t>主角13级法宝抢夺经验和金币奖励</t>
  </si>
  <si>
    <t>主角14级法宝抢夺经验和金币奖励</t>
  </si>
  <si>
    <t>主角15级法宝抢夺经验和金币奖励</t>
  </si>
  <si>
    <t>主角16级法宝抢夺经验和金币奖励</t>
  </si>
  <si>
    <t>主角17级法宝抢夺经验和金币奖励</t>
  </si>
  <si>
    <t>主角18级法宝抢夺经验和金币奖励</t>
  </si>
  <si>
    <t>主角19级法宝抢夺经验和金币奖励</t>
  </si>
  <si>
    <t>主角20级法宝抢夺经验和金币奖励</t>
  </si>
  <si>
    <t>主角21级法宝抢夺经验和金币奖励</t>
  </si>
  <si>
    <t>主角22级法宝抢夺经验和金币奖励</t>
  </si>
  <si>
    <t>主角23级法宝抢夺经验和金币奖励</t>
  </si>
  <si>
    <t>主角24级法宝抢夺经验和金币奖励</t>
  </si>
  <si>
    <t>主角25级法宝抢夺经验和金币奖励</t>
  </si>
  <si>
    <t>主角26级法宝抢夺经验和金币奖励</t>
  </si>
  <si>
    <t>主角27级法宝抢夺经验和金币奖励</t>
  </si>
  <si>
    <t>主角28级法宝抢夺经验和金币奖励</t>
  </si>
  <si>
    <t>主角29级法宝抢夺经验和金币奖励</t>
  </si>
  <si>
    <t>主角30级法宝抢夺经验和金币奖励</t>
  </si>
  <si>
    <t>主角31级法宝抢夺经验和金币奖励</t>
  </si>
  <si>
    <t>主角32级法宝抢夺经验和金币奖励</t>
  </si>
  <si>
    <t>主角33级法宝抢夺经验和金币奖励</t>
  </si>
  <si>
    <t>主角34级法宝抢夺经验和金币奖励</t>
  </si>
  <si>
    <t>主角35级法宝抢夺经验和金币奖励</t>
  </si>
  <si>
    <t>主角36级法宝抢夺经验和金币奖励</t>
  </si>
  <si>
    <t>主角37级法宝抢夺经验和金币奖励</t>
  </si>
  <si>
    <t>主角38级法宝抢夺经验和金币奖励</t>
  </si>
  <si>
    <t>主角39级法宝抢夺经验和金币奖励</t>
  </si>
  <si>
    <t>主角40级法宝抢夺经验和金币奖励</t>
  </si>
  <si>
    <t>主角41级法宝抢夺经验和金币奖励</t>
  </si>
  <si>
    <t>主角42级法宝抢夺经验和金币奖励</t>
  </si>
  <si>
    <t>主角43级法宝抢夺经验和金币奖励</t>
  </si>
  <si>
    <t>主角44级法宝抢夺经验和金币奖励</t>
  </si>
  <si>
    <t>主角45级法宝抢夺经验和金币奖励</t>
  </si>
  <si>
    <t>主角46级法宝抢夺经验和金币奖励</t>
  </si>
  <si>
    <t>主角47级法宝抢夺经验和金币奖励</t>
  </si>
  <si>
    <t>主角48级法宝抢夺经验和金币奖励</t>
  </si>
  <si>
    <t>主角49级法宝抢夺经验和金币奖励</t>
  </si>
  <si>
    <t>主角50级法宝抢夺经验和金币奖励</t>
  </si>
  <si>
    <t>主角51级法宝抢夺经验和金币奖励</t>
  </si>
  <si>
    <t>主角52级法宝抢夺经验和金币奖励</t>
  </si>
  <si>
    <t>主角53级法宝抢夺经验和金币奖励</t>
  </si>
  <si>
    <t>主角54级法宝抢夺经验和金币奖励</t>
  </si>
  <si>
    <t>主角55级法宝抢夺经验和金币奖励</t>
  </si>
  <si>
    <t>主角56级法宝抢夺经验和金币奖励</t>
  </si>
  <si>
    <t>主角57级法宝抢夺经验和金币奖励</t>
  </si>
  <si>
    <t>主角58级法宝抢夺经验和金币奖励</t>
  </si>
  <si>
    <t>主角59级法宝抢夺经验和金币奖励</t>
  </si>
  <si>
    <t>主角60级法宝抢夺经验和金币奖励</t>
  </si>
  <si>
    <t>主角61级法宝抢夺经验和金币奖励</t>
  </si>
  <si>
    <t>主角62级法宝抢夺经验和金币奖励</t>
  </si>
  <si>
    <t>主角63级法宝抢夺经验和金币奖励</t>
  </si>
  <si>
    <t>主角64级法宝抢夺经验和金币奖励</t>
  </si>
  <si>
    <t>主角65级法宝抢夺经验和金币奖励</t>
  </si>
  <si>
    <t>主角66级法宝抢夺经验和金币奖励</t>
  </si>
  <si>
    <t>主角67级法宝抢夺经验和金币奖励</t>
  </si>
  <si>
    <t>主角68级法宝抢夺经验和金币奖励</t>
  </si>
  <si>
    <t>主角69级法宝抢夺经验和金币奖励</t>
  </si>
  <si>
    <t>主角70级法宝抢夺经验和金币奖励</t>
  </si>
  <si>
    <t>主角71级法宝抢夺经验和金币奖励</t>
  </si>
  <si>
    <t>主角72级法宝抢夺经验和金币奖励</t>
  </si>
  <si>
    <t>主角73级法宝抢夺经验和金币奖励</t>
  </si>
  <si>
    <t>主角74级法宝抢夺经验和金币奖励</t>
  </si>
  <si>
    <t>主角75级法宝抢夺经验和金币奖励</t>
  </si>
  <si>
    <t>主角76级法宝抢夺经验和金币奖励</t>
  </si>
  <si>
    <t>主角77级法宝抢夺经验和金币奖励</t>
  </si>
  <si>
    <t>主角78级法宝抢夺经验和金币奖励</t>
  </si>
  <si>
    <t>主角79级法宝抢夺经验和金币奖励</t>
  </si>
  <si>
    <t>主角80级法宝抢夺经验和金币奖励</t>
  </si>
  <si>
    <t>主角81级法宝抢夺经验和金币奖励</t>
  </si>
  <si>
    <t>主角82级法宝抢夺经验和金币奖励</t>
  </si>
  <si>
    <t>主角83级法宝抢夺经验和金币奖励</t>
  </si>
  <si>
    <t>主角84级法宝抢夺经验和金币奖励</t>
  </si>
  <si>
    <t>主角85级法宝抢夺经验和金币奖励</t>
  </si>
  <si>
    <t>主角86级法宝抢夺经验和金币奖励</t>
  </si>
  <si>
    <t>主角87级法宝抢夺经验和金币奖励</t>
  </si>
  <si>
    <t>主角88级法宝抢夺经验和金币奖励</t>
  </si>
  <si>
    <t>主角89级法宝抢夺经验和金币奖励</t>
  </si>
  <si>
    <t>主角90级法宝抢夺经验和金币奖励</t>
  </si>
  <si>
    <t>主角91级法宝抢夺经验和金币奖励</t>
  </si>
  <si>
    <t>主角92级法宝抢夺经验和金币奖励</t>
  </si>
  <si>
    <t>主角93级法宝抢夺经验和金币奖励</t>
  </si>
  <si>
    <t>主角94级法宝抢夺经验和金币奖励</t>
  </si>
  <si>
    <t>主角95级法宝抢夺经验和金币奖励</t>
  </si>
  <si>
    <t>主角96级法宝抢夺经验和金币奖励</t>
  </si>
  <si>
    <t>主角97级法宝抢夺经验和金币奖励</t>
  </si>
  <si>
    <t>主角98级法宝抢夺经验和金币奖励</t>
  </si>
  <si>
    <t>主角99级法宝抢夺经验和金币奖励</t>
  </si>
  <si>
    <t>主角100级法宝抢夺经验和金币奖励</t>
  </si>
  <si>
    <t>主角101级法宝抢夺经验和金币奖励</t>
  </si>
  <si>
    <t>主角102级法宝抢夺经验和金币奖励</t>
  </si>
  <si>
    <t>主角103级法宝抢夺经验和金币奖励</t>
  </si>
  <si>
    <t>主角104级法宝抢夺经验和金币奖励</t>
  </si>
  <si>
    <t>主角105级法宝抢夺经验和金币奖励</t>
  </si>
  <si>
    <t>主角106级法宝抢夺经验和金币奖励</t>
  </si>
  <si>
    <t>主角107级法宝抢夺经验和金币奖励</t>
  </si>
  <si>
    <t>主角108级法宝抢夺经验和金币奖励</t>
  </si>
  <si>
    <t>主角109级法宝抢夺经验和金币奖励</t>
  </si>
  <si>
    <t>主角110级法宝抢夺经验和金币奖励</t>
  </si>
  <si>
    <t>主角111级法宝抢夺经验和金币奖励</t>
  </si>
  <si>
    <t>主角112级法宝抢夺经验和金币奖励</t>
  </si>
  <si>
    <t>主角113级法宝抢夺经验和金币奖励</t>
  </si>
  <si>
    <t>主角114级法宝抢夺经验和金币奖励</t>
  </si>
  <si>
    <t>主角115级法宝抢夺经验和金币奖励</t>
  </si>
  <si>
    <t>主角116级法宝抢夺经验和金币奖励</t>
  </si>
  <si>
    <t>主角117级法宝抢夺经验和金币奖励</t>
  </si>
  <si>
    <t>主角118级法宝抢夺经验和金币奖励</t>
  </si>
  <si>
    <t>主角119级法宝抢夺经验和金币奖励</t>
  </si>
  <si>
    <t>主角120级法宝抢夺经验和金币奖励</t>
  </si>
  <si>
    <t>主角121级法宝抢夺经验和金币奖励</t>
  </si>
  <si>
    <t>主角122级法宝抢夺经验和金币奖励</t>
  </si>
  <si>
    <t>主角123级法宝抢夺经验和金币奖励</t>
  </si>
  <si>
    <t>主角124级法宝抢夺经验和金币奖励</t>
  </si>
  <si>
    <t>主角125级法宝抢夺经验和金币奖励</t>
  </si>
  <si>
    <t>主角126级法宝抢夺经验和金币奖励</t>
  </si>
  <si>
    <t>主角127级法宝抢夺经验和金币奖励</t>
  </si>
  <si>
    <t>主角128级法宝抢夺经验和金币奖励</t>
  </si>
  <si>
    <t>主角129级法宝抢夺经验和金币奖励</t>
  </si>
  <si>
    <t>主角130级法宝抢夺经验和金币奖励</t>
  </si>
  <si>
    <t>主角131级法宝抢夺经验和金币奖励</t>
  </si>
  <si>
    <t>主角132级法宝抢夺经验和金币奖励</t>
  </si>
  <si>
    <t>主角133级法宝抢夺经验和金币奖励</t>
  </si>
  <si>
    <t>主角134级法宝抢夺经验和金币奖励</t>
  </si>
  <si>
    <t>主角135级法宝抢夺经验和金币奖励</t>
  </si>
  <si>
    <t>主角136级法宝抢夺经验和金币奖励</t>
  </si>
  <si>
    <t>主角137级法宝抢夺经验和金币奖励</t>
  </si>
  <si>
    <t>主角138级法宝抢夺经验和金币奖励</t>
  </si>
  <si>
    <t>主角139级法宝抢夺经验和金币奖励</t>
  </si>
  <si>
    <t>主角140级法宝抢夺经验和金币奖励</t>
  </si>
  <si>
    <t>主角141级法宝抢夺经验和金币奖励</t>
  </si>
  <si>
    <t>主角142级法宝抢夺经验和金币奖励</t>
  </si>
  <si>
    <t>主角143级法宝抢夺经验和金币奖励</t>
  </si>
  <si>
    <t>主角144级法宝抢夺经验和金币奖励</t>
  </si>
  <si>
    <t>主角145级法宝抢夺经验和金币奖励</t>
  </si>
  <si>
    <t>主角146级法宝抢夺经验和金币奖励</t>
  </si>
  <si>
    <t>主角147级法宝抢夺经验和金币奖励</t>
  </si>
  <si>
    <t>主角148级法宝抢夺经验和金币奖励</t>
  </si>
  <si>
    <t>主角149级法宝抢夺经验和金币奖励</t>
  </si>
  <si>
    <t>主角150级法宝抢夺经验和金币奖励</t>
  </si>
  <si>
    <t>精英副本宝箱奖励1</t>
  </si>
  <si>
    <t>精英副本宝箱奖励2</t>
  </si>
  <si>
    <t>精英副本宝箱奖励3</t>
  </si>
  <si>
    <t>精英副本宝箱奖励4</t>
  </si>
  <si>
    <t>精英副本宝箱奖励5</t>
  </si>
  <si>
    <t>精英副本宝箱奖励6</t>
  </si>
  <si>
    <t>精英副本宝箱奖励7</t>
  </si>
  <si>
    <t>精英副本宝箱奖励8</t>
  </si>
  <si>
    <t>精英副本宝箱奖励9</t>
  </si>
  <si>
    <t>精英副本宝箱奖励10</t>
  </si>
  <si>
    <t>精英副本宝箱奖励11</t>
  </si>
  <si>
    <t>精英副本宝箱奖励12</t>
  </si>
  <si>
    <t>精英副本宝箱奖励13</t>
  </si>
  <si>
    <t>精英副本宝箱奖励14</t>
  </si>
  <si>
    <t>精英副本宝箱奖励15</t>
  </si>
  <si>
    <t>精英副本宝箱奖励16</t>
  </si>
  <si>
    <t>精英副本宝箱奖励17</t>
  </si>
  <si>
    <t>精英副本宝箱奖励18</t>
  </si>
  <si>
    <t>精英副本宝箱奖励19</t>
  </si>
  <si>
    <t>精英副本宝箱奖励20</t>
  </si>
  <si>
    <t>精英副本宝箱奖励21</t>
  </si>
  <si>
    <t>精英副本宝箱奖励22</t>
  </si>
  <si>
    <t>精英副本宝箱奖励23</t>
  </si>
  <si>
    <t>精英副本宝箱奖励24</t>
  </si>
  <si>
    <t>精英副本宝箱奖励25</t>
  </si>
  <si>
    <t>精英副本宝箱奖励26</t>
  </si>
  <si>
    <t>精英副本宝箱奖励27</t>
  </si>
  <si>
    <t>精英副本宝箱奖励28</t>
  </si>
  <si>
    <t>精英副本宝箱奖励29</t>
  </si>
  <si>
    <t>精英副本宝箱奖励30</t>
  </si>
  <si>
    <t>精英副本宝箱奖励31</t>
  </si>
  <si>
    <t>精英副本宝箱奖励32</t>
  </si>
  <si>
    <t>精英副本宝箱奖励33</t>
  </si>
  <si>
    <t>精英副本宝箱奖励34</t>
  </si>
  <si>
    <t>精英副本宝箱奖励35</t>
  </si>
  <si>
    <t>精英副本宝箱奖励36</t>
  </si>
  <si>
    <t>精英副本宝箱奖励37</t>
  </si>
  <si>
    <t>精英副本宝箱奖励38</t>
  </si>
  <si>
    <t>精英副本宝箱奖励39</t>
  </si>
  <si>
    <t>精英副本宝箱奖励40</t>
  </si>
  <si>
    <t>精英副本宝箱奖励41</t>
  </si>
  <si>
    <t>精英副本宝箱奖励42</t>
  </si>
  <si>
    <t>精英副本宝箱奖励43</t>
  </si>
  <si>
    <t>精英副本宝箱奖励44</t>
  </si>
  <si>
    <t>精英副本宝箱奖励45</t>
  </si>
  <si>
    <t>精英副本宝箱奖励46</t>
  </si>
  <si>
    <t>精英副本宝箱奖励47</t>
  </si>
  <si>
    <t>精英副本宝箱奖励48</t>
  </si>
  <si>
    <t>精英副本宝箱奖励49</t>
  </si>
  <si>
    <t>精英副本宝箱奖励50</t>
  </si>
  <si>
    <t>精英副本宝箱奖励51</t>
  </si>
  <si>
    <t>精英副本宝箱奖励52</t>
  </si>
  <si>
    <t>精英副本宝箱奖励53</t>
  </si>
  <si>
    <t>精英副本宝箱奖励54</t>
  </si>
  <si>
    <t>精英副本宝箱奖励55</t>
  </si>
  <si>
    <t>精英副本宝箱奖励56</t>
  </si>
  <si>
    <t>精英副本宝箱奖励57</t>
  </si>
  <si>
    <t>精英副本宝箱奖励58</t>
  </si>
  <si>
    <t>精英副本宝箱奖励59</t>
  </si>
  <si>
    <t>精英副本宝箱奖励60</t>
  </si>
  <si>
    <t>精英副本宝箱奖励61</t>
  </si>
  <si>
    <t>精英副本宝箱奖励62</t>
  </si>
  <si>
    <t>精英副本宝箱奖励63</t>
  </si>
  <si>
    <t>精英副本宝箱奖励64</t>
  </si>
  <si>
    <t>精英副本宝箱奖励65</t>
  </si>
  <si>
    <t>精英副本宝箱奖励66</t>
  </si>
  <si>
    <t>精英副本宝箱奖励67</t>
  </si>
  <si>
    <t>精英副本宝箱奖励68</t>
  </si>
  <si>
    <t>精英副本宝箱奖励69</t>
  </si>
  <si>
    <t>精英副本宝箱奖励70</t>
  </si>
  <si>
    <t>精英副本宝箱奖励71</t>
  </si>
  <si>
    <t>精英副本宝箱奖励72</t>
  </si>
  <si>
    <t>精英副本宝箱奖励73</t>
  </si>
  <si>
    <t>精英副本宝箱奖励74</t>
  </si>
  <si>
    <t>精英副本宝箱奖励75</t>
  </si>
  <si>
    <t>精英副本宝箱奖励76</t>
  </si>
  <si>
    <t>精英副本宝箱奖励77</t>
  </si>
  <si>
    <t>精英副本宝箱奖励78</t>
  </si>
  <si>
    <t>精英副本宝箱奖励79</t>
  </si>
  <si>
    <t>精英副本宝箱奖励80</t>
  </si>
  <si>
    <t>精英副本宝箱奖励81</t>
  </si>
  <si>
    <t>精英副本宝箱奖励82</t>
  </si>
  <si>
    <t>精英副本宝箱奖励83</t>
  </si>
  <si>
    <t>精英副本宝箱奖励84</t>
  </si>
  <si>
    <t>精英副本宝箱奖励85</t>
  </si>
  <si>
    <t>精英副本宝箱奖励86</t>
  </si>
  <si>
    <t>精英副本宝箱奖励87</t>
  </si>
  <si>
    <t>精英副本宝箱奖励88</t>
  </si>
  <si>
    <t>精英副本宝箱奖励89</t>
  </si>
  <si>
    <t>精英副本宝箱奖励90</t>
  </si>
  <si>
    <t>精英副本宝箱奖励91</t>
  </si>
  <si>
    <t>精英副本宝箱奖励92</t>
  </si>
  <si>
    <t>精英副本宝箱奖励93</t>
  </si>
  <si>
    <t>精英副本宝箱奖励94</t>
  </si>
  <si>
    <t>精英副本宝箱奖励95</t>
  </si>
  <si>
    <t>精英副本宝箱奖励96</t>
  </si>
  <si>
    <t>精英副本宝箱奖励97</t>
  </si>
  <si>
    <t>精英副本宝箱奖励98</t>
  </si>
  <si>
    <t>精英副本宝箱奖励99</t>
  </si>
  <si>
    <t>精英副本宝箱奖励100</t>
  </si>
  <si>
    <t>精英副本宝箱奖励101</t>
  </si>
  <si>
    <t>精英副本宝箱奖励102</t>
  </si>
  <si>
    <t>精英副本宝箱奖励103</t>
  </si>
  <si>
    <t>精英副本宝箱奖励104</t>
  </si>
  <si>
    <t>精英副本宝箱奖励105</t>
  </si>
  <si>
    <t>精英副本宝箱奖励106</t>
  </si>
  <si>
    <t>精英副本宝箱奖励107</t>
  </si>
  <si>
    <t>精英副本宝箱奖励108</t>
  </si>
  <si>
    <t>精英副本宝箱奖励109</t>
  </si>
  <si>
    <t>精英副本宝箱奖励110</t>
  </si>
  <si>
    <t>精英副本宝箱奖励111</t>
  </si>
  <si>
    <t>精英副本宝箱奖励112</t>
  </si>
  <si>
    <t>精英副本宝箱奖励113</t>
  </si>
  <si>
    <t>精英副本宝箱奖励114</t>
  </si>
  <si>
    <t>精英副本宝箱奖励115</t>
  </si>
  <si>
    <t>精英副本宝箱奖励116</t>
  </si>
  <si>
    <t>精英副本宝箱奖励117</t>
  </si>
  <si>
    <t>精英副本宝箱奖励118</t>
  </si>
  <si>
    <t>精英副本宝箱奖励119</t>
  </si>
  <si>
    <t>精英副本宝箱奖励120</t>
  </si>
  <si>
    <t>精英副本宝箱奖励121</t>
  </si>
  <si>
    <t>精英副本宝箱奖励122</t>
  </si>
  <si>
    <t>精英副本宝箱奖励123</t>
  </si>
  <si>
    <t>精英副本宝箱奖励124</t>
  </si>
  <si>
    <t>精英副本宝箱奖励125</t>
  </si>
  <si>
    <t>精英副本宝箱奖励126</t>
  </si>
  <si>
    <t>精英副本宝箱奖励127</t>
  </si>
  <si>
    <t>精英副本宝箱奖励128</t>
  </si>
  <si>
    <t>精英副本宝箱奖励129</t>
  </si>
  <si>
    <t>精英副本宝箱奖励130</t>
  </si>
  <si>
    <t>精英副本宝箱奖励131</t>
  </si>
  <si>
    <t>精英副本宝箱奖励132</t>
  </si>
  <si>
    <t>精英副本宝箱奖励133</t>
  </si>
  <si>
    <t>精英副本宝箱奖励134</t>
  </si>
  <si>
    <t>精英副本宝箱奖励135</t>
  </si>
  <si>
    <t>精英副本宝箱奖励136</t>
  </si>
  <si>
    <t>精英副本宝箱奖励137</t>
  </si>
  <si>
    <t>精英副本宝箱奖励138</t>
  </si>
  <si>
    <t>精英副本宝箱奖励139</t>
  </si>
  <si>
    <t>精英副本宝箱奖励140</t>
  </si>
  <si>
    <t>精英副本宝箱奖励141</t>
  </si>
  <si>
    <t>精英副本宝箱奖励142</t>
  </si>
  <si>
    <t>精英副本宝箱奖励143</t>
  </si>
  <si>
    <t>精英副本宝箱奖励144</t>
  </si>
  <si>
    <t>精英副本宝箱奖励145</t>
  </si>
  <si>
    <t>精英副本宝箱奖励146</t>
  </si>
  <si>
    <t>精英副本宝箱奖励147</t>
  </si>
  <si>
    <t>精英副本宝箱奖励148</t>
  </si>
  <si>
    <t>精英副本宝箱奖励149</t>
  </si>
  <si>
    <t>精英副本宝箱奖励150</t>
  </si>
  <si>
    <t>精英副本宝箱奖励151</t>
  </si>
  <si>
    <t>精英副本宝箱奖励152</t>
  </si>
  <si>
    <t>精英副本宝箱奖励153</t>
  </si>
  <si>
    <t>精英副本宝箱奖励154</t>
  </si>
  <si>
    <t>精英副本宝箱奖励155</t>
  </si>
  <si>
    <t>精英副本宝箱奖励156</t>
  </si>
  <si>
    <t>精英副本宝箱奖励157</t>
  </si>
  <si>
    <t>精英副本宝箱奖励158</t>
  </si>
  <si>
    <t>精英副本宝箱奖励159</t>
  </si>
  <si>
    <t>精英副本宝箱奖励160</t>
  </si>
  <si>
    <t>精英副本宝箱奖励161</t>
  </si>
  <si>
    <t>精英副本宝箱奖励162</t>
  </si>
  <si>
    <t>精英副本宝箱奖励163</t>
  </si>
  <si>
    <t>精英副本宝箱奖励164</t>
  </si>
  <si>
    <t>精英副本宝箱奖励165</t>
  </si>
  <si>
    <t>精英副本宝箱奖励166</t>
  </si>
  <si>
    <t>精英副本宝箱奖励167</t>
  </si>
  <si>
    <t>精英副本宝箱奖励168</t>
  </si>
  <si>
    <t>精英副本宝箱奖励169</t>
  </si>
  <si>
    <t>精英副本宝箱奖励170</t>
  </si>
  <si>
    <t>精英副本宝箱奖励171</t>
  </si>
  <si>
    <t>精英副本宝箱奖励172</t>
  </si>
  <si>
    <t>精英副本宝箱奖励173</t>
  </si>
  <si>
    <t>精英副本宝箱奖励174</t>
  </si>
  <si>
    <t>精英副本宝箱奖励175</t>
  </si>
  <si>
    <t>精英副本宝箱奖励176</t>
  </si>
  <si>
    <t>精英副本宝箱奖励177</t>
  </si>
  <si>
    <t>精英副本宝箱奖励178</t>
  </si>
  <si>
    <t>精英副本宝箱奖励179</t>
  </si>
  <si>
    <t>精英副本宝箱奖励180</t>
  </si>
  <si>
    <t>精英副本宝箱奖励181</t>
  </si>
  <si>
    <t>精英副本宝箱奖励182</t>
  </si>
  <si>
    <t>精英副本宝箱奖励183</t>
  </si>
  <si>
    <t>精英副本宝箱奖励184</t>
  </si>
  <si>
    <t>精英副本宝箱奖励185</t>
  </si>
  <si>
    <t>精英副本宝箱奖励186</t>
  </si>
  <si>
    <t>精英副本宝箱奖励187</t>
  </si>
  <si>
    <t>精英副本宝箱奖励188</t>
  </si>
  <si>
    <t>精英副本宝箱奖励189</t>
  </si>
  <si>
    <t>精英副本宝箱奖励190</t>
  </si>
  <si>
    <t>精英副本宝箱奖励191</t>
  </si>
  <si>
    <t>精英副本宝箱奖励192</t>
  </si>
  <si>
    <t>精英副本宝箱奖励193</t>
  </si>
  <si>
    <t>精英副本宝箱奖励194</t>
  </si>
  <si>
    <t>精英副本宝箱奖励195</t>
  </si>
  <si>
    <t>精英副本宝箱奖励196</t>
  </si>
  <si>
    <t>精英副本宝箱奖励197</t>
  </si>
  <si>
    <t>精英副本宝箱奖励198</t>
  </si>
  <si>
    <t>精英副本宝箱奖励199</t>
  </si>
  <si>
    <t>精英副本宝箱奖励200</t>
  </si>
  <si>
    <t>精英副本宝箱奖励201</t>
  </si>
  <si>
    <t>精英副本宝箱奖励202</t>
  </si>
  <si>
    <t>精英副本宝箱奖励203</t>
  </si>
  <si>
    <t>精英副本宝箱奖励204</t>
  </si>
  <si>
    <t>精英副本宝箱奖励205</t>
  </si>
  <si>
    <t>精英副本宝箱奖励206</t>
  </si>
  <si>
    <t>精英副本宝箱奖励207</t>
  </si>
  <si>
    <t>精英副本宝箱奖励208</t>
  </si>
  <si>
    <t>精英副本宝箱奖励209</t>
  </si>
  <si>
    <t>精英副本宝箱奖励210</t>
  </si>
  <si>
    <t>精英副本宝箱奖励211</t>
  </si>
  <si>
    <t>精英副本宝箱奖励212</t>
  </si>
  <si>
    <t>精英副本宝箱奖励213</t>
  </si>
  <si>
    <t>精英副本宝箱奖励214</t>
  </si>
  <si>
    <t>精英副本宝箱奖励215</t>
  </si>
  <si>
    <t>精英副本宝箱奖励216</t>
  </si>
  <si>
    <t>精英副本宝箱奖励217</t>
  </si>
  <si>
    <t>精英副本宝箱奖励218</t>
  </si>
  <si>
    <t>精英副本宝箱奖励219</t>
  </si>
  <si>
    <t>精英副本宝箱奖励220</t>
  </si>
  <si>
    <t>精英副本宝箱奖励221</t>
  </si>
  <si>
    <t>精英副本宝箱奖励222</t>
  </si>
  <si>
    <t>精英副本宝箱奖励223</t>
  </si>
  <si>
    <t>精英副本宝箱奖励224</t>
  </si>
  <si>
    <t>精英副本宝箱奖励225</t>
  </si>
  <si>
    <t>精英副本宝箱奖励226</t>
  </si>
  <si>
    <t>精英副本宝箱奖励227</t>
  </si>
  <si>
    <t>精英副本宝箱奖励228</t>
  </si>
  <si>
    <t>精英副本宝箱奖励229</t>
  </si>
  <si>
    <t>精英副本宝箱奖励230</t>
  </si>
  <si>
    <t>精英副本宝箱奖励231</t>
  </si>
  <si>
    <t>精英副本宝箱奖励232</t>
  </si>
  <si>
    <t>精英副本宝箱奖励233</t>
  </si>
  <si>
    <t>精英副本宝箱奖励234</t>
  </si>
  <si>
    <t>精英副本宝箱奖励235</t>
  </si>
  <si>
    <t>精英副本宝箱奖励236</t>
  </si>
  <si>
    <t>精英副本宝箱奖励237</t>
  </si>
  <si>
    <t>精英副本宝箱奖励238</t>
  </si>
  <si>
    <t>精英副本宝箱奖励239</t>
  </si>
  <si>
    <t>精英副本宝箱奖励240</t>
  </si>
  <si>
    <t>精英副本宝箱奖励241</t>
  </si>
  <si>
    <t>精英副本宝箱奖励242</t>
  </si>
  <si>
    <t>精英副本宝箱奖励243</t>
  </si>
  <si>
    <t>精英副本宝箱奖励244</t>
  </si>
  <si>
    <t>精英副本宝箱奖励245</t>
  </si>
  <si>
    <t>精英副本宝箱奖励246</t>
  </si>
  <si>
    <t>精英副本宝箱奖励247</t>
  </si>
  <si>
    <t>精英副本宝箱奖励248</t>
  </si>
  <si>
    <t>精英副本宝箱奖励249</t>
  </si>
  <si>
    <t>精英副本宝箱奖励250</t>
  </si>
  <si>
    <t>精英副本宝箱奖励251</t>
  </si>
  <si>
    <t>精英副本宝箱奖励252</t>
  </si>
  <si>
    <t>精英副本宝箱奖励253</t>
  </si>
  <si>
    <t>精英副本宝箱奖励254</t>
  </si>
  <si>
    <t>精英副本宝箱奖励255</t>
  </si>
  <si>
    <t>精英副本宝箱奖励256</t>
  </si>
  <si>
    <t>精英副本宝箱奖励257</t>
  </si>
  <si>
    <t>精英副本宝箱奖励258</t>
  </si>
  <si>
    <t>精英副本宝箱奖励259</t>
  </si>
  <si>
    <t>精英副本宝箱奖励260</t>
  </si>
  <si>
    <t>精英副本宝箱奖励261</t>
  </si>
  <si>
    <t>精英副本宝箱奖励262</t>
  </si>
  <si>
    <t>精英副本宝箱奖励263</t>
  </si>
  <si>
    <t>精英副本宝箱奖励264</t>
  </si>
  <si>
    <t>精英副本宝箱奖励265</t>
  </si>
  <si>
    <t>精英副本宝箱奖励266</t>
  </si>
  <si>
    <t>精英副本宝箱奖励267</t>
  </si>
  <si>
    <t>精英副本宝箱奖励268</t>
  </si>
  <si>
    <t>精英副本宝箱奖励269</t>
  </si>
  <si>
    <t>精英副本宝箱奖励270</t>
  </si>
  <si>
    <t>精英副本宝箱奖励271</t>
  </si>
  <si>
    <t>精英副本宝箱奖励272</t>
  </si>
  <si>
    <t>精英副本宝箱奖励273</t>
  </si>
  <si>
    <t>精英副本宝箱奖励274</t>
  </si>
  <si>
    <t>精英副本宝箱奖励275</t>
  </si>
  <si>
    <t>精英副本宝箱奖励276</t>
  </si>
  <si>
    <t>精英副本宝箱奖励277</t>
  </si>
  <si>
    <t>精英副本宝箱奖励278</t>
  </si>
  <si>
    <t>精英副本宝箱奖励279</t>
  </si>
  <si>
    <t>精英副本宝箱奖励280</t>
  </si>
  <si>
    <t>精英副本宝箱奖励281</t>
  </si>
  <si>
    <t>精英副本宝箱奖励282</t>
  </si>
  <si>
    <t>精英副本宝箱奖励283</t>
  </si>
  <si>
    <t>精英副本宝箱奖励284</t>
  </si>
  <si>
    <t>精英副本宝箱奖励285</t>
  </si>
  <si>
    <t>精英副本宝箱奖励286</t>
  </si>
  <si>
    <t>精英副本宝箱奖励287</t>
  </si>
  <si>
    <t>精英副本宝箱奖励288</t>
  </si>
  <si>
    <t>精英副本宝箱奖励289</t>
  </si>
  <si>
    <t>精英副本宝箱奖励290</t>
  </si>
  <si>
    <t>精英副本宝箱奖励291</t>
  </si>
  <si>
    <t>精英副本宝箱奖励292</t>
  </si>
  <si>
    <t>精英副本宝箱奖励293</t>
  </si>
  <si>
    <t>精英副本宝箱奖励294</t>
  </si>
  <si>
    <t>精英副本宝箱奖励295</t>
  </si>
  <si>
    <t>精英副本宝箱奖励296</t>
  </si>
  <si>
    <t>精英副本宝箱奖励297</t>
  </si>
  <si>
    <t>精英副本宝箱奖励298</t>
  </si>
  <si>
    <t>精英副本宝箱奖励299</t>
  </si>
  <si>
    <t>精英副本宝箱奖励300</t>
  </si>
  <si>
    <t>精英副本宝箱奖励301</t>
  </si>
  <si>
    <t>精英副本宝箱奖励302</t>
  </si>
  <si>
    <t>精英副本宝箱奖励303</t>
  </si>
  <si>
    <t>精英副本宝箱奖励304</t>
  </si>
  <si>
    <t>精英副本宝箱奖励305</t>
  </si>
  <si>
    <t>精英副本宝箱奖励306</t>
  </si>
  <si>
    <t>精英副本宝箱奖励307</t>
  </si>
  <si>
    <t>精英副本宝箱奖励308</t>
  </si>
  <si>
    <t>精英副本宝箱奖励309</t>
  </si>
  <si>
    <t>精英副本宝箱奖励310</t>
  </si>
  <si>
    <t>精英副本宝箱奖励311</t>
  </si>
  <si>
    <t>精英副本宝箱奖励312</t>
  </si>
  <si>
    <t>精英副本宝箱奖励313</t>
  </si>
  <si>
    <t>精英副本宝箱奖励314</t>
  </si>
  <si>
    <t>精英副本宝箱奖励315</t>
  </si>
  <si>
    <t>精英副本宝箱奖励316</t>
  </si>
  <si>
    <t>精英副本宝箱奖励317</t>
  </si>
  <si>
    <t>精英副本宝箱奖励318</t>
  </si>
  <si>
    <t>精英副本宝箱奖励319</t>
  </si>
  <si>
    <t>精英副本宝箱奖励320</t>
  </si>
  <si>
    <t>精英副本宝箱奖励321</t>
  </si>
  <si>
    <t>精英副本宝箱奖励322</t>
  </si>
  <si>
    <t>精英副本宝箱奖励323</t>
  </si>
  <si>
    <t>精英副本宝箱奖励324</t>
  </si>
  <si>
    <t>精英副本宝箱奖励325</t>
  </si>
  <si>
    <t>精英副本宝箱奖励326</t>
  </si>
  <si>
    <t>精英副本宝箱奖励327</t>
  </si>
  <si>
    <t>精英副本宝箱奖励328</t>
  </si>
  <si>
    <t>精英副本宝箱奖励329</t>
  </si>
  <si>
    <t>精英副本宝箱奖励330</t>
  </si>
  <si>
    <t>精英副本宝箱奖励331</t>
  </si>
  <si>
    <t>精英副本宝箱奖励332</t>
  </si>
  <si>
    <t>精英副本宝箱奖励333</t>
  </si>
  <si>
    <t>精英副本宝箱奖励334</t>
  </si>
  <si>
    <t>精英副本宝箱奖励335</t>
  </si>
  <si>
    <t>精英副本宝箱奖励336</t>
  </si>
  <si>
    <t>精英副本宝箱奖励337</t>
  </si>
  <si>
    <t>精英副本宝箱奖励338</t>
  </si>
  <si>
    <t>精英副本宝箱奖励339</t>
  </si>
  <si>
    <t>精英副本宝箱奖励340</t>
  </si>
  <si>
    <t>精英副本宝箱奖励341</t>
  </si>
  <si>
    <t>精英副本宝箱奖励342</t>
  </si>
  <si>
    <t>精英副本宝箱奖励343</t>
  </si>
  <si>
    <t>精英副本宝箱奖励344</t>
  </si>
  <si>
    <t>精英副本宝箱奖励345</t>
  </si>
  <si>
    <t>精英副本宝箱奖励346</t>
  </si>
  <si>
    <t>精英副本宝箱奖励347</t>
  </si>
  <si>
    <t>精英副本宝箱奖励348</t>
  </si>
  <si>
    <t>精英副本宝箱奖励349</t>
  </si>
  <si>
    <t>精英副本宝箱奖励350</t>
  </si>
  <si>
    <t>精英副本宝箱奖励351</t>
  </si>
  <si>
    <t>精英副本宝箱奖励352</t>
  </si>
  <si>
    <t>精英副本宝箱奖励353</t>
  </si>
  <si>
    <t>精英副本宝箱奖励354</t>
  </si>
  <si>
    <t>精英副本宝箱奖励355</t>
  </si>
  <si>
    <t>精英副本宝箱奖励356</t>
  </si>
  <si>
    <t>精英副本宝箱奖励357</t>
  </si>
  <si>
    <t>精英副本宝箱奖励358</t>
  </si>
  <si>
    <t>精英副本宝箱奖励359</t>
  </si>
  <si>
    <t>精英副本宝箱奖励360</t>
  </si>
  <si>
    <t>精英副本宝箱奖励361</t>
  </si>
  <si>
    <t>精英副本宝箱奖励362</t>
  </si>
  <si>
    <t>精英副本宝箱奖励363</t>
  </si>
  <si>
    <t>精英副本宝箱奖励364</t>
  </si>
  <si>
    <t>精英副本宝箱奖励365</t>
  </si>
  <si>
    <t>精英副本宝箱奖励366</t>
  </si>
  <si>
    <t>精英副本宝箱奖励367</t>
  </si>
  <si>
    <t>精英副本宝箱奖励368</t>
  </si>
  <si>
    <t>精英副本宝箱奖励369</t>
  </si>
  <si>
    <t>精英副本宝箱奖励370</t>
  </si>
  <si>
    <t>精英副本宝箱奖励371</t>
  </si>
  <si>
    <t>精英副本宝箱奖励372</t>
  </si>
  <si>
    <t>精英副本宝箱奖励373</t>
  </si>
  <si>
    <t>精英副本宝箱奖励374</t>
  </si>
  <si>
    <t>精英副本宝箱奖励375</t>
  </si>
  <si>
    <t>精英副本宝箱奖励376</t>
  </si>
  <si>
    <t>精英副本宝箱奖励377</t>
  </si>
  <si>
    <t>精英副本宝箱奖励378</t>
  </si>
  <si>
    <t>精英副本宝箱奖励379</t>
  </si>
  <si>
    <t>精英副本宝箱奖励380</t>
  </si>
  <si>
    <t>精英副本宝箱奖励381</t>
  </si>
  <si>
    <t>精英副本宝箱奖励382</t>
  </si>
  <si>
    <t>精英副本宝箱奖励383</t>
  </si>
  <si>
    <t>精英副本宝箱奖励384</t>
  </si>
  <si>
    <t>精英副本宝箱奖励385</t>
  </si>
  <si>
    <t>精英副本宝箱奖励386</t>
  </si>
  <si>
    <t>精英副本宝箱奖励387</t>
  </si>
  <si>
    <t>精英副本宝箱奖励388</t>
  </si>
  <si>
    <t>精英副本宝箱奖励389</t>
  </si>
  <si>
    <t>精英副本宝箱奖励390</t>
  </si>
  <si>
    <t>精英副本宝箱奖励391</t>
  </si>
  <si>
    <t>精英副本宝箱奖励392</t>
  </si>
  <si>
    <t>精英副本宝箱奖励393</t>
  </si>
  <si>
    <t>精英副本宝箱奖励394</t>
  </si>
  <si>
    <t>精英副本宝箱奖励395</t>
  </si>
  <si>
    <t>精英副本宝箱奖励396</t>
  </si>
  <si>
    <t>元灵重塑击破奖励1</t>
    <phoneticPr fontId="20" type="noConversion"/>
  </si>
  <si>
    <t>元灵重塑击破奖励2</t>
    <phoneticPr fontId="20" type="noConversion"/>
  </si>
  <si>
    <t>元灵重塑击破奖励3</t>
  </si>
  <si>
    <t>元灵重塑击破奖励4</t>
  </si>
  <si>
    <t>元灵重塑击破奖励5</t>
  </si>
  <si>
    <t>元灵重塑击破奖励6</t>
  </si>
  <si>
    <t>元灵重塑击破奖励7</t>
  </si>
  <si>
    <t>元灵重塑击破奖励8</t>
  </si>
  <si>
    <t>元灵重塑击破奖励9</t>
  </si>
  <si>
    <t>元灵重塑击破奖励10</t>
  </si>
  <si>
    <t>元灵重塑击破奖励11</t>
  </si>
  <si>
    <t>元灵重塑击破奖励12</t>
  </si>
  <si>
    <t>元灵重塑击破奖励13</t>
  </si>
  <si>
    <t>元灵重塑击破奖励14</t>
  </si>
  <si>
    <t>元灵重塑击破奖励15</t>
  </si>
  <si>
    <t>元灵重塑击破奖励16</t>
  </si>
  <si>
    <t>元灵重塑击破奖励17</t>
  </si>
  <si>
    <t>元灵重塑击破奖励18</t>
  </si>
  <si>
    <t>元灵重塑击破奖励19</t>
  </si>
  <si>
    <t>元灵重塑击破奖励20</t>
  </si>
  <si>
    <t>元灵重塑击破奖励21</t>
  </si>
  <si>
    <t>元灵重塑击破奖励22</t>
  </si>
  <si>
    <t>元灵重塑击破奖励23</t>
  </si>
  <si>
    <t>元灵重塑击破奖励24</t>
  </si>
  <si>
    <t>元灵重塑击破奖励25</t>
  </si>
  <si>
    <t>元灵重塑击破奖励26</t>
  </si>
  <si>
    <t>元灵重塑击破奖励27</t>
  </si>
  <si>
    <t>元灵重塑击破奖励28</t>
  </si>
  <si>
    <t>元灵重塑击破奖励29</t>
  </si>
  <si>
    <t>元灵重塑击破奖励30</t>
  </si>
  <si>
    <t>元灵重塑击破奖励31</t>
  </si>
  <si>
    <t>元灵重塑击破奖励32</t>
  </si>
  <si>
    <t>元灵重塑击破奖励33</t>
  </si>
  <si>
    <t>元灵重塑击破奖励34</t>
  </si>
  <si>
    <t>元灵重塑击破奖励35</t>
  </si>
  <si>
    <t>元灵重塑击破奖励36</t>
  </si>
  <si>
    <t>元灵重塑击破奖励37</t>
  </si>
  <si>
    <t>元灵重塑击破奖励38</t>
  </si>
  <si>
    <t>元灵重塑击破奖励39</t>
  </si>
  <si>
    <t>元灵重塑击破奖励40</t>
  </si>
  <si>
    <t>元灵重塑击破奖励41</t>
  </si>
  <si>
    <t>元灵重塑击破奖励42</t>
  </si>
  <si>
    <t>元灵重塑击破奖励43</t>
  </si>
  <si>
    <t>元灵重塑击破奖励44</t>
  </si>
  <si>
    <t>元灵重塑击破奖励45</t>
  </si>
  <si>
    <t>元灵重塑击破奖励46</t>
  </si>
  <si>
    <t>元灵重塑击破奖励47</t>
  </si>
  <si>
    <t>元灵重塑击破奖励48</t>
  </si>
  <si>
    <t>元灵重塑击破奖励49</t>
  </si>
  <si>
    <t>元灵重塑击破奖励50</t>
  </si>
  <si>
    <t>元灵重塑击破奖励51</t>
  </si>
  <si>
    <t>元灵重塑击破奖励52</t>
  </si>
  <si>
    <t>元灵重塑击破奖励53</t>
  </si>
  <si>
    <t>元灵重塑击破奖励54</t>
  </si>
  <si>
    <t>元灵重塑击破奖励55</t>
  </si>
  <si>
    <t>元灵重塑击破奖励56</t>
  </si>
  <si>
    <t>元灵重塑击破奖励57</t>
  </si>
  <si>
    <t>元灵重塑击破奖励58</t>
  </si>
  <si>
    <t>元灵重塑击破奖励59</t>
  </si>
  <si>
    <t>元灵重塑击破奖励60</t>
  </si>
  <si>
    <t>元灵重塑击破奖励61</t>
  </si>
  <si>
    <t>元灵重塑击破奖励62</t>
  </si>
  <si>
    <t>元灵重塑击破奖励63</t>
  </si>
  <si>
    <t>元灵重塑击破奖励64</t>
  </si>
  <si>
    <t>元灵重塑击破奖励65</t>
  </si>
  <si>
    <t>元灵重塑击破奖励66</t>
  </si>
  <si>
    <t>元灵重塑击破奖励67</t>
  </si>
  <si>
    <t>元灵重塑击破奖励68</t>
  </si>
  <si>
    <t>元灵重塑击破奖励69</t>
  </si>
  <si>
    <t>元灵重塑击破奖励70</t>
  </si>
  <si>
    <t>元灵重塑击破奖励71</t>
  </si>
  <si>
    <t>元灵重塑击破奖励72</t>
  </si>
  <si>
    <t>元灵重塑击破奖励73</t>
  </si>
  <si>
    <t>元灵重塑击破奖励74</t>
  </si>
  <si>
    <t>元灵重塑击破奖励75</t>
  </si>
  <si>
    <t>1|14107|1|1</t>
    <phoneticPr fontId="20" type="noConversion"/>
  </si>
  <si>
    <t>1|14201|1|1</t>
    <phoneticPr fontId="20" type="noConversion"/>
  </si>
  <si>
    <t>1|16005|1|1</t>
    <phoneticPr fontId="20" type="noConversion"/>
  </si>
  <si>
    <t>初级装备碎片宝箱</t>
  </si>
  <si>
    <t>雁虞套装宝箱</t>
  </si>
  <si>
    <t>1|11001|1|3,1|11002|1|3,1|11003|1|3,1|11004|1|3,1|11005|1|3,1|11006|1|3,1|11007|1|3,1|11008|1|3,1|11009|1|3,1|11010|1|3,1|11011|1|3,1|11012|1|3</t>
  </si>
  <si>
    <t>初级法宝碎片宝箱</t>
  </si>
  <si>
    <t>中级法宝碎片宝箱</t>
  </si>
  <si>
    <t>高级法宝碎片宝箱</t>
  </si>
  <si>
    <t>橙色伙伴碎片箱</t>
  </si>
  <si>
    <t>橙色伙伴宝箱</t>
  </si>
  <si>
    <t>极品橙色伙伴宝箱</t>
  </si>
  <si>
    <t>橙13仙将碎片选择箱</t>
  </si>
  <si>
    <t>橙13佛将碎片选择箱</t>
  </si>
  <si>
    <t>橙13妖将碎片选择箱</t>
  </si>
  <si>
    <t>橙13伙伴碎片选择箱</t>
  </si>
  <si>
    <t>橙16仙将碎片选择箱</t>
  </si>
  <si>
    <t>橙16佛将碎片选择箱</t>
  </si>
  <si>
    <t>橙16妖将碎片选择箱</t>
  </si>
  <si>
    <t>橙16伙伴碎片选择箱</t>
  </si>
  <si>
    <t>每日礼包vip0</t>
  </si>
  <si>
    <t>4|12|25</t>
  </si>
  <si>
    <t>恢复25点体力</t>
  </si>
  <si>
    <t>4|12|25|1</t>
  </si>
  <si>
    <t>4|13|10</t>
  </si>
  <si>
    <t>4|13|10|1</t>
  </si>
  <si>
    <t>4|14|1</t>
  </si>
  <si>
    <t>获得1个迎战券</t>
  </si>
  <si>
    <t>4|14|1|1</t>
  </si>
  <si>
    <t>4|33|1</t>
  </si>
  <si>
    <t>挑战令开启获得挑战次数</t>
  </si>
  <si>
    <t>4|33|1|1</t>
  </si>
  <si>
    <t>VIP经验卡-获得100点VIP经验值</t>
  </si>
  <si>
    <t>4|26|100|1</t>
  </si>
  <si>
    <t>4|10|10000</t>
  </si>
  <si>
    <t>玩家经验-获得10000点玩家经验值</t>
  </si>
  <si>
    <t>4|10|10000|1</t>
  </si>
  <si>
    <t>大闹三界宝箱奖励</t>
  </si>
  <si>
    <t>夜探无底洞排名奖励1</t>
    <phoneticPr fontId="20" type="noConversion"/>
  </si>
  <si>
    <t>夜探无底洞排名奖励2</t>
  </si>
  <si>
    <t>夜探无底洞排名奖励3</t>
  </si>
  <si>
    <t>夜探无底洞排名奖励4</t>
  </si>
  <si>
    <t>夜探无底洞排名奖励5</t>
  </si>
  <si>
    <t>夜探无底洞排名奖励6</t>
  </si>
  <si>
    <t>夜探无底洞排名奖励7</t>
  </si>
  <si>
    <t>夜探无底洞排名奖励8</t>
  </si>
  <si>
    <t>夜探无底洞排名奖励9</t>
  </si>
  <si>
    <t>夜探无底洞排名奖励10</t>
  </si>
  <si>
    <t>4|38|3000</t>
  </si>
  <si>
    <t>4|38|2800</t>
  </si>
  <si>
    <t>4|38|2600</t>
  </si>
  <si>
    <t>4|38|2400</t>
  </si>
  <si>
    <t>4|38|2200</t>
  </si>
  <si>
    <t>4|38|2000</t>
  </si>
  <si>
    <t>4|38|1750</t>
  </si>
  <si>
    <t>4|38|1500</t>
  </si>
  <si>
    <t>4|38|1250</t>
  </si>
  <si>
    <t>4|38|1000</t>
  </si>
  <si>
    <t>4|38|3000|1</t>
  </si>
  <si>
    <t>4|38|2800|1</t>
  </si>
  <si>
    <t>4|38|2600|1</t>
  </si>
  <si>
    <t>4|38|2400|1</t>
  </si>
  <si>
    <t>4|38|2200|1</t>
  </si>
  <si>
    <t>4|38|2000|1</t>
  </si>
  <si>
    <t>4|38|1750|1</t>
  </si>
  <si>
    <t>4|38|1500|1</t>
  </si>
  <si>
    <t>4|38|1250|1</t>
  </si>
  <si>
    <t>4|38|1000|1</t>
  </si>
  <si>
    <t>竞技场排行榜奖励1</t>
    <phoneticPr fontId="20" type="noConversion"/>
  </si>
  <si>
    <t>竞技场排行榜奖励2</t>
  </si>
  <si>
    <t>竞技场排行榜奖励3</t>
  </si>
  <si>
    <t>竞技场排行榜奖励4</t>
  </si>
  <si>
    <t>竞技场排行榜奖励5</t>
  </si>
  <si>
    <t>竞技场排行榜奖励6</t>
  </si>
  <si>
    <t>竞技场排行榜奖励7</t>
  </si>
  <si>
    <t>竞技场排行榜奖励8</t>
  </si>
  <si>
    <t>竞技场排行榜奖励9</t>
  </si>
  <si>
    <t>竞技场排行榜奖励10</t>
  </si>
  <si>
    <t>4|29|5000</t>
  </si>
  <si>
    <t>4|29|4800</t>
  </si>
  <si>
    <t>4|29|4500</t>
  </si>
  <si>
    <t>4|29|4200</t>
  </si>
  <si>
    <t>4|29|4000</t>
  </si>
  <si>
    <t>4|29|3600</t>
  </si>
  <si>
    <t>4|29|3300</t>
  </si>
  <si>
    <t>4|29|3000</t>
  </si>
  <si>
    <t>4|29|2500</t>
  </si>
  <si>
    <t>4|29|2000</t>
  </si>
  <si>
    <t>世界BOSS排行榜奖励1</t>
    <phoneticPr fontId="20" type="noConversion"/>
  </si>
  <si>
    <t>世界BOSS排行榜奖励2</t>
  </si>
  <si>
    <t>世界BOSS排行榜奖励3</t>
  </si>
  <si>
    <t>世界BOSS排行榜奖励4</t>
  </si>
  <si>
    <t>世界BOSS排行榜奖励5</t>
  </si>
  <si>
    <t>世界BOSS排行榜奖励6</t>
  </si>
  <si>
    <t>世界BOSS排行榜奖励7</t>
  </si>
  <si>
    <t>世界BOSS排行榜奖励8</t>
  </si>
  <si>
    <t>世界BOSS排行榜奖励9</t>
  </si>
  <si>
    <t>世界BOSS排行榜奖励10</t>
  </si>
  <si>
    <t>4|29|5000|1</t>
  </si>
  <si>
    <t>4|29|4800|1</t>
  </si>
  <si>
    <t>4|29|4500|1</t>
  </si>
  <si>
    <t>4|29|4200|1</t>
  </si>
  <si>
    <t>4|29|4000|1</t>
  </si>
  <si>
    <t>4|29|3600|1</t>
  </si>
  <si>
    <t>4|29|3300|1</t>
  </si>
  <si>
    <t>4|29|3000|1</t>
  </si>
  <si>
    <t>4|29|2500|1</t>
  </si>
  <si>
    <t>4|29|2000|1</t>
  </si>
  <si>
    <t>4|29|4600</t>
  </si>
  <si>
    <t>4|29|4300</t>
  </si>
  <si>
    <t>4|29|3800</t>
  </si>
  <si>
    <t>4|29|3400</t>
  </si>
  <si>
    <t>4|29|3200</t>
  </si>
  <si>
    <t>4|29|2600</t>
  </si>
  <si>
    <t>4|29|2300</t>
  </si>
  <si>
    <t>梦魇入侵排行榜奖励1</t>
    <phoneticPr fontId="20" type="noConversion"/>
  </si>
  <si>
    <t>梦魇入侵排行榜奖励2</t>
  </si>
  <si>
    <t>梦魇入侵排行榜奖励3</t>
  </si>
  <si>
    <t>梦魇入侵排行榜奖励4</t>
  </si>
  <si>
    <t>梦魇入侵排行榜奖励5</t>
  </si>
  <si>
    <t>梦魇入侵排行榜奖励6</t>
  </si>
  <si>
    <t>梦魇入侵排行榜奖励7</t>
  </si>
  <si>
    <t>梦魇入侵排行榜奖励8</t>
  </si>
  <si>
    <t>梦魇入侵排行榜奖励9</t>
  </si>
  <si>
    <t>梦魇入侵排行榜奖励10</t>
  </si>
  <si>
    <t>梦魇入侵排行榜奖励11</t>
  </si>
  <si>
    <t>梦魇入侵排行榜奖励12</t>
  </si>
  <si>
    <t>梦魇入侵排行榜奖励13</t>
  </si>
  <si>
    <t>4|29|4600|1</t>
  </si>
  <si>
    <t>4|29|4300|1</t>
  </si>
  <si>
    <t>4|29|3800|1</t>
  </si>
  <si>
    <t>4|29|3400|1</t>
  </si>
  <si>
    <t>4|29|3200|1</t>
  </si>
  <si>
    <t>4|29|2600|1</t>
  </si>
  <si>
    <t>4|29|2300|1</t>
  </si>
  <si>
    <t>主角达到10级</t>
  </si>
  <si>
    <t>主角达到20级</t>
  </si>
  <si>
    <t>主角达到30级</t>
  </si>
  <si>
    <t>主角达到40级</t>
  </si>
  <si>
    <t>主角达到50级</t>
  </si>
  <si>
    <t>主角达到60级</t>
  </si>
  <si>
    <t>主角达到70级</t>
  </si>
  <si>
    <t>主角达到80级</t>
  </si>
  <si>
    <t>主角达到90级</t>
  </si>
  <si>
    <t>主角达到100级</t>
  </si>
  <si>
    <t>主角达到110级</t>
  </si>
  <si>
    <t>主角达到120级</t>
  </si>
  <si>
    <t>主角达到130级</t>
  </si>
  <si>
    <t>主角达到140级</t>
  </si>
  <si>
    <t>主角达到150级</t>
  </si>
  <si>
    <t>通关主线副本第1章</t>
  </si>
  <si>
    <t>通关主线副本第2章</t>
  </si>
  <si>
    <t>通关主线副本第3章</t>
  </si>
  <si>
    <t>通关主线副本第4章</t>
  </si>
  <si>
    <t>通关主线副本第5章</t>
  </si>
  <si>
    <t>通关主线副本第13章</t>
  </si>
  <si>
    <t>通关主线副本第14章</t>
  </si>
  <si>
    <t>通关主线副本第15章</t>
  </si>
  <si>
    <t>通关主线副本第16章</t>
  </si>
  <si>
    <t>通关主线副本第17章</t>
  </si>
  <si>
    <t>通关主线副本第18章</t>
  </si>
  <si>
    <t>通关主线副本第19章</t>
  </si>
  <si>
    <t>通关主线副本第20章</t>
  </si>
  <si>
    <t>通关主线副本第21章</t>
  </si>
  <si>
    <t>通关主线副本第22章</t>
  </si>
  <si>
    <t>通关主线副本第23章</t>
  </si>
  <si>
    <t>通关主线副本第24章</t>
  </si>
  <si>
    <t>通关主线副本第25章</t>
  </si>
  <si>
    <t>通关主线副本第26章</t>
  </si>
  <si>
    <t>通关主线副本第27章</t>
  </si>
  <si>
    <t>通关主线副本第28章</t>
  </si>
  <si>
    <t>通关主线副本第29章</t>
  </si>
  <si>
    <t>通关主线副本第30章</t>
  </si>
  <si>
    <t>通关主线副本第31章</t>
  </si>
  <si>
    <t>通关主线副本第32章</t>
  </si>
  <si>
    <t>通关主线副本第33章</t>
  </si>
  <si>
    <t>通关主线副本第34章</t>
  </si>
  <si>
    <t>通关主线副本第35章</t>
  </si>
  <si>
    <t>通关主线副本第36章</t>
  </si>
  <si>
    <t>通关主线副本第37章</t>
  </si>
  <si>
    <t>通关主线副本第38章</t>
  </si>
  <si>
    <t>通关主线副本第39章</t>
  </si>
  <si>
    <t>通关主线副本第40章</t>
  </si>
  <si>
    <t>通关主线副本第41章</t>
  </si>
  <si>
    <t>通关主线副本第42章</t>
  </si>
  <si>
    <t>通关主线副本第43章</t>
  </si>
  <si>
    <t>通关主线副本第44章</t>
  </si>
  <si>
    <t>通关主线副本第45章</t>
  </si>
  <si>
    <t>通关主线副本第46章</t>
  </si>
  <si>
    <t>通关主线副本第47章</t>
  </si>
  <si>
    <t>通关主线副本第48章</t>
  </si>
  <si>
    <t>通关主线副本第49章</t>
  </si>
  <si>
    <t>通关主线副本第50章</t>
  </si>
  <si>
    <t>通关主线副本第51章</t>
  </si>
  <si>
    <t>通关主线副本第52章</t>
  </si>
  <si>
    <t>通关主线副本第53章</t>
  </si>
  <si>
    <t>通关主线副本第54章</t>
  </si>
  <si>
    <t>通关主线副本第55章</t>
  </si>
  <si>
    <t>通关主线副本第56章</t>
  </si>
  <si>
    <t>通关主线副本第57章</t>
  </si>
  <si>
    <t>通关主线副本第58章</t>
  </si>
  <si>
    <t>通关主线副本第59章</t>
  </si>
  <si>
    <t>通关主线副本第60章</t>
  </si>
  <si>
    <t>通关主线副本第61章</t>
  </si>
  <si>
    <t>通关主线副本第62章</t>
  </si>
  <si>
    <t>通关主线副本第63章</t>
  </si>
  <si>
    <t>通关主线副本第64章</t>
  </si>
  <si>
    <t>通关主线副本第65章</t>
  </si>
  <si>
    <t>通关主线副本第66章</t>
  </si>
  <si>
    <t>通关主线副本第67章</t>
  </si>
  <si>
    <t>通关主线副本第68章</t>
  </si>
  <si>
    <t>通关主线副本第69章</t>
  </si>
  <si>
    <t>通关主线副本第70章</t>
  </si>
  <si>
    <t>通关主线副本第71章</t>
  </si>
  <si>
    <t>通关主线副本第72章</t>
  </si>
  <si>
    <t>通关主线副本第73章</t>
  </si>
  <si>
    <t>通关主线副本第74章</t>
  </si>
  <si>
    <t>通关主线副本第75章</t>
  </si>
  <si>
    <t>通关主线副本第76章</t>
  </si>
  <si>
    <t>通关主线副本第77章</t>
  </si>
  <si>
    <t>通关主线副本第78章</t>
  </si>
  <si>
    <t>通关主线副本第79章</t>
  </si>
  <si>
    <t>通关主线副本第80章</t>
  </si>
  <si>
    <t>通关主线副本第81章</t>
  </si>
  <si>
    <t>通关主线副本第82章</t>
  </si>
  <si>
    <t>通关主线副本第83章</t>
  </si>
  <si>
    <t>通关主线副本第84章</t>
  </si>
  <si>
    <t>通关主线副本第85章</t>
  </si>
  <si>
    <t>通关主线副本第86章</t>
  </si>
  <si>
    <t>通关主线副本第87章</t>
  </si>
  <si>
    <t>通关主线副本第88章</t>
  </si>
  <si>
    <t>通关主线副本第89章</t>
  </si>
  <si>
    <t>通关主线副本第90章</t>
  </si>
  <si>
    <t>通关主线副本第91章</t>
  </si>
  <si>
    <t>通关主线副本第92章</t>
  </si>
  <si>
    <t>通关主线副本第93章</t>
  </si>
  <si>
    <t>通关主线副本第94章</t>
  </si>
  <si>
    <t>通关主线副本第95章</t>
  </si>
  <si>
    <t>通关主线副本第96章</t>
  </si>
  <si>
    <t>通关主线副本第97章</t>
  </si>
  <si>
    <t>通关主线副本第98章</t>
  </si>
  <si>
    <t>通关主线副本第99章</t>
  </si>
  <si>
    <t>通关主线副本第100章</t>
  </si>
  <si>
    <t>主线副本达到50星</t>
  </si>
  <si>
    <t>主线副本达到100星</t>
  </si>
  <si>
    <t>主线副本达到150星</t>
  </si>
  <si>
    <t>主线副本达到200星</t>
  </si>
  <si>
    <t>主线副本达到250星</t>
  </si>
  <si>
    <t>主线副本达到300星</t>
  </si>
  <si>
    <t>主线副本达到350星</t>
  </si>
  <si>
    <t>主线副本达到400星</t>
  </si>
  <si>
    <t>主线副本达到450星</t>
  </si>
  <si>
    <t>主线副本达到500星</t>
  </si>
  <si>
    <t>主线副本达到550星</t>
  </si>
  <si>
    <t>主线副本达到600星</t>
  </si>
  <si>
    <t>主线副本达到650星</t>
  </si>
  <si>
    <t>主线副本达到700星</t>
  </si>
  <si>
    <t>主线副本达到750星</t>
  </si>
  <si>
    <t>主线副本达到800星</t>
  </si>
  <si>
    <t>主线副本达到850星</t>
  </si>
  <si>
    <t>主线副本达到900星</t>
  </si>
  <si>
    <t>主线副本达到950星</t>
  </si>
  <si>
    <t>主线副本达到1000星</t>
  </si>
  <si>
    <t>主线副本达到1050星</t>
  </si>
  <si>
    <t>主线副本达到1100星</t>
  </si>
  <si>
    <t>主线副本达到1150星</t>
  </si>
  <si>
    <t>主线副本达到1200星</t>
  </si>
  <si>
    <t>主线副本达到1250星</t>
  </si>
  <si>
    <t>主线副本达到1300星</t>
  </si>
  <si>
    <t>主线副本达到1350星</t>
  </si>
  <si>
    <t>主线副本达到1400星</t>
  </si>
  <si>
    <t>主线副本达到1450星</t>
  </si>
  <si>
    <t>主线副本达到1500星</t>
  </si>
  <si>
    <t>主线副本达到1550星</t>
  </si>
  <si>
    <t>主线副本达到1600星</t>
  </si>
  <si>
    <t>主线副本达到1650星</t>
  </si>
  <si>
    <t>主线副本达到1700星</t>
  </si>
  <si>
    <t>主线副本达到1750星</t>
  </si>
  <si>
    <t>主线副本达到1800星</t>
  </si>
  <si>
    <t>主线副本达到1850星</t>
  </si>
  <si>
    <t>主线副本达到1900星</t>
  </si>
  <si>
    <t>主线副本达到1950星</t>
  </si>
  <si>
    <t>主线副本达到2000星</t>
  </si>
  <si>
    <t>主线副本达到2050星</t>
  </si>
  <si>
    <t>主线副本达到2100星</t>
  </si>
  <si>
    <t>主线副本达到2150星</t>
  </si>
  <si>
    <t>主线副本达到2200星</t>
  </si>
  <si>
    <t>主线副本达到2250星</t>
  </si>
  <si>
    <t>主线副本达到2300星</t>
  </si>
  <si>
    <t>主线副本达到2350星</t>
  </si>
  <si>
    <t>主线副本达到2400星</t>
  </si>
  <si>
    <t>主线副本达到2450星</t>
  </si>
  <si>
    <t>主线副本达到2500星</t>
  </si>
  <si>
    <t>通关精英副本第11章</t>
  </si>
  <si>
    <t>通关精英副本第12章</t>
  </si>
  <si>
    <t>通关精英副本第13章</t>
  </si>
  <si>
    <t>通关精英副本第14章</t>
  </si>
  <si>
    <t>通关精英副本第15章</t>
  </si>
  <si>
    <t>通关精英副本第16章</t>
  </si>
  <si>
    <t>通关精英副本第17章</t>
  </si>
  <si>
    <t>通关精英副本第18章</t>
  </si>
  <si>
    <t>通关精英副本第19章</t>
  </si>
  <si>
    <t>通关精英副本第20章</t>
  </si>
  <si>
    <t>通关精英副本第21章</t>
  </si>
  <si>
    <t>通关精英副本第22章</t>
  </si>
  <si>
    <t>通关精英副本第23章</t>
  </si>
  <si>
    <t>通关精英副本第24章</t>
  </si>
  <si>
    <t>通关精英副本第25章</t>
  </si>
  <si>
    <t>通关精英副本第26章</t>
  </si>
  <si>
    <t>通关精英副本第27章</t>
  </si>
  <si>
    <t>通关精英副本第28章</t>
  </si>
  <si>
    <t>通关精英副本第29章</t>
  </si>
  <si>
    <t>通关精英副本第30章</t>
  </si>
  <si>
    <t>通关精英副本第31章</t>
  </si>
  <si>
    <t>通关精英副本第32章</t>
  </si>
  <si>
    <t>通关精英副本第33章</t>
  </si>
  <si>
    <t>通关精英副本第34章</t>
  </si>
  <si>
    <t>通关精英副本第35章</t>
  </si>
  <si>
    <t>通关精英副本第36章</t>
  </si>
  <si>
    <t>通关精英副本第37章</t>
  </si>
  <si>
    <t>通关精英副本第38章</t>
  </si>
  <si>
    <t>通关精英副本第39章</t>
  </si>
  <si>
    <t>通关精英副本第40章</t>
  </si>
  <si>
    <t>精英副本达到20星</t>
  </si>
  <si>
    <t>精英副本达到40星</t>
  </si>
  <si>
    <t>精英副本达到60星</t>
  </si>
  <si>
    <t>精英副本达到80星</t>
  </si>
  <si>
    <t>精英副本达到100星</t>
  </si>
  <si>
    <t>精英副本达到120星</t>
  </si>
  <si>
    <t>精英副本达到140星</t>
  </si>
  <si>
    <t>精英副本达到160星</t>
  </si>
  <si>
    <t>精英副本达到180星</t>
  </si>
  <si>
    <t>精英副本达到200星</t>
  </si>
  <si>
    <t>精英副本达到220星</t>
  </si>
  <si>
    <t>精英副本达到240星</t>
  </si>
  <si>
    <t>精英副本达到260星</t>
  </si>
  <si>
    <t>精英副本达到280星</t>
  </si>
  <si>
    <t>精英副本达到300星</t>
  </si>
  <si>
    <t>精英副本达到320星</t>
  </si>
  <si>
    <t>精英副本达到340星</t>
  </si>
  <si>
    <t>精英副本达到360星</t>
  </si>
  <si>
    <t>精英副本达到380星</t>
  </si>
  <si>
    <t>精英副本达到400星</t>
  </si>
  <si>
    <t>队伍战斗力达到10000</t>
  </si>
  <si>
    <t>队伍战斗力达到20000</t>
  </si>
  <si>
    <t>队伍战斗力达到30000</t>
  </si>
  <si>
    <t>队伍战斗力达到35000</t>
  </si>
  <si>
    <t>队伍战斗力达到40000</t>
  </si>
  <si>
    <t>队伍战斗力达到45000</t>
  </si>
  <si>
    <t>队伍战斗力达到50000</t>
  </si>
  <si>
    <t>队伍战斗力达到55000</t>
  </si>
  <si>
    <t>队伍战斗力达到60000</t>
  </si>
  <si>
    <t>队伍战斗力达到65000</t>
  </si>
  <si>
    <t>队伍战斗力达到70000</t>
  </si>
  <si>
    <t>队伍战斗力达到75000</t>
  </si>
  <si>
    <t>队伍战斗力达到80000</t>
  </si>
  <si>
    <t>队伍战斗力达到85000</t>
  </si>
  <si>
    <t>队伍战斗力达到90000</t>
  </si>
  <si>
    <t>队伍战斗力达到95000</t>
  </si>
  <si>
    <t>队伍战斗力达到100000</t>
  </si>
  <si>
    <t>队伍战斗力达到150000</t>
  </si>
  <si>
    <t>队伍战斗力达到200000</t>
  </si>
  <si>
    <t>队伍战斗力达到250000</t>
  </si>
  <si>
    <t>队伍战斗力达到300000</t>
  </si>
  <si>
    <t>队伍战斗力达到350000</t>
  </si>
  <si>
    <t>队伍战斗力达到400000</t>
  </si>
  <si>
    <t>队伍战斗力达到450000</t>
  </si>
  <si>
    <t>队伍战斗力达到500000</t>
  </si>
  <si>
    <t>队伍战斗力达到550000</t>
  </si>
  <si>
    <t>队伍战斗力达到600000</t>
  </si>
  <si>
    <t>队伍战斗力达到650000</t>
  </si>
  <si>
    <t>队伍战斗力达到700000</t>
  </si>
  <si>
    <t>队伍战斗力达到750000</t>
  </si>
  <si>
    <t>队伍战斗力达到800000</t>
  </si>
  <si>
    <t>队伍战斗力达到850000</t>
  </si>
  <si>
    <t>队伍战斗力达到900000</t>
  </si>
  <si>
    <t>队伍战斗力达到950000</t>
  </si>
  <si>
    <t>队伍战斗力达到1000000</t>
  </si>
  <si>
    <t>队伍战斗力达到1100000</t>
  </si>
  <si>
    <t>队伍战斗力达到1200000</t>
  </si>
  <si>
    <t>队伍战斗力达到1300000</t>
  </si>
  <si>
    <t>队伍战斗力达到1400000</t>
  </si>
  <si>
    <t>队伍战斗力达到1500000</t>
  </si>
  <si>
    <t>队伍战斗力达到1600000</t>
  </si>
  <si>
    <t>队伍战斗力达到1700000</t>
  </si>
  <si>
    <t>队伍战斗力达到1800000</t>
  </si>
  <si>
    <t>队伍战斗力达到1900000</t>
  </si>
  <si>
    <t>队伍战斗力达到2000000</t>
  </si>
  <si>
    <t>队伍战斗力达到2100000</t>
  </si>
  <si>
    <t>队伍战斗力达到2200000</t>
  </si>
  <si>
    <t>队伍战斗力达到2300000</t>
  </si>
  <si>
    <t>队伍战斗力达到2400000</t>
  </si>
  <si>
    <t>队伍战斗力达到2500000</t>
  </si>
  <si>
    <t>队伍战斗力达到2600000</t>
  </si>
  <si>
    <t>队伍战斗力达到2700000</t>
  </si>
  <si>
    <t>队伍战斗力达到2800000</t>
  </si>
  <si>
    <t>队伍战斗力达到2900000</t>
  </si>
  <si>
    <t>队伍战斗力达到3000000</t>
  </si>
  <si>
    <t>队伍战斗力达到3100000</t>
  </si>
  <si>
    <t>队伍战斗力达到3200000</t>
  </si>
  <si>
    <t>队伍战斗力达到3300000</t>
  </si>
  <si>
    <t>队伍战斗力达到3400000</t>
  </si>
  <si>
    <t>队伍战斗力达到3500000</t>
  </si>
  <si>
    <t>累计登陆2天</t>
  </si>
  <si>
    <t>累计登陆3天</t>
  </si>
  <si>
    <t>累计登陆4天</t>
  </si>
  <si>
    <t>累计登陆5天</t>
  </si>
  <si>
    <t>累计登陆6天</t>
  </si>
  <si>
    <t>累计登陆7天</t>
  </si>
  <si>
    <t>累计登陆8天</t>
  </si>
  <si>
    <t>累计登陆9天</t>
  </si>
  <si>
    <t>累计登陆10天</t>
  </si>
  <si>
    <t>累计登陆11天</t>
  </si>
  <si>
    <t>累计登陆12天</t>
  </si>
  <si>
    <t>累计登陆13天</t>
  </si>
  <si>
    <t>累计登陆14天</t>
  </si>
  <si>
    <t>累计登陆15天</t>
  </si>
  <si>
    <t>累计登陆16天</t>
  </si>
  <si>
    <t>累计登陆17天</t>
  </si>
  <si>
    <t>累计登陆18天</t>
  </si>
  <si>
    <t>累计登陆19天</t>
  </si>
  <si>
    <t>累计登陆20天</t>
  </si>
  <si>
    <t>累计登陆21天</t>
  </si>
  <si>
    <t>累计登陆22天</t>
  </si>
  <si>
    <t>累计登陆23天</t>
  </si>
  <si>
    <t>累计登陆24天</t>
  </si>
  <si>
    <t>累计登陆25天</t>
  </si>
  <si>
    <t>累计登陆26天</t>
  </si>
  <si>
    <t>累计登陆27天</t>
  </si>
  <si>
    <t>累计登陆28天</t>
  </si>
  <si>
    <t>累计登陆29天</t>
  </si>
  <si>
    <t>累计登陆30天</t>
  </si>
  <si>
    <t>累计登陆32天</t>
  </si>
  <si>
    <t>累计登陆34天</t>
  </si>
  <si>
    <t>累计登陆36天</t>
  </si>
  <si>
    <t>累计登陆38天</t>
  </si>
  <si>
    <t>累计登陆40天</t>
  </si>
  <si>
    <t>累计登陆42天</t>
  </si>
  <si>
    <t>累计登陆44天</t>
  </si>
  <si>
    <t>累计登陆46天</t>
  </si>
  <si>
    <t>累计登陆48天</t>
  </si>
  <si>
    <t>累计登陆50天</t>
  </si>
  <si>
    <t>累计登陆52天</t>
  </si>
  <si>
    <t>累计登陆54天</t>
  </si>
  <si>
    <t>累计登陆56天</t>
  </si>
  <si>
    <t>累计登陆58天</t>
  </si>
  <si>
    <t>累计登陆60天</t>
  </si>
  <si>
    <t>累计登陆65天</t>
  </si>
  <si>
    <t>累计登陆70天</t>
  </si>
  <si>
    <t>累计登陆75天</t>
  </si>
  <si>
    <t>累计登陆80天</t>
  </si>
  <si>
    <t>累计登陆85天</t>
  </si>
  <si>
    <t>累计登陆90天</t>
  </si>
  <si>
    <t>累计登陆95天</t>
  </si>
  <si>
    <t>累计登陆100天</t>
  </si>
  <si>
    <t>累计登陆105天</t>
  </si>
  <si>
    <t>累计登陆110天</t>
  </si>
  <si>
    <t>累计登陆115天</t>
  </si>
  <si>
    <t>累计登陆120天</t>
  </si>
  <si>
    <t>累计登陆125天</t>
  </si>
  <si>
    <t>累计登陆130天</t>
  </si>
  <si>
    <t>累计登陆135天</t>
  </si>
  <si>
    <t>累计登陆140天</t>
  </si>
  <si>
    <t>累计登陆145天</t>
  </si>
  <si>
    <t>累计登陆150天</t>
  </si>
  <si>
    <t>累计登陆155天</t>
  </si>
  <si>
    <t>累计登陆160天</t>
  </si>
  <si>
    <t>累计登陆165天</t>
  </si>
  <si>
    <t>累计登陆170天</t>
  </si>
  <si>
    <t>累计登陆175天</t>
  </si>
  <si>
    <t>累计登陆180天</t>
  </si>
  <si>
    <t>累计登陆185天</t>
  </si>
  <si>
    <t>累计登陆190天</t>
  </si>
  <si>
    <t>累计登陆195天</t>
  </si>
  <si>
    <t>累计登陆200天</t>
  </si>
  <si>
    <t>累计登陆205天</t>
  </si>
  <si>
    <t>累计登陆210天</t>
  </si>
  <si>
    <t>累计登陆215天</t>
  </si>
  <si>
    <t>累计登陆220天</t>
  </si>
  <si>
    <t>累计登陆225天</t>
  </si>
  <si>
    <t>累计登陆230天</t>
  </si>
  <si>
    <t>累计登陆235天</t>
  </si>
  <si>
    <t>累计登陆240天</t>
  </si>
  <si>
    <t>累计登陆245天</t>
  </si>
  <si>
    <t>累计登陆250天</t>
  </si>
  <si>
    <t>累计登陆255天</t>
  </si>
  <si>
    <t>累计登陆260天</t>
  </si>
  <si>
    <t>累计登陆265天</t>
  </si>
  <si>
    <t>累计登陆270天</t>
  </si>
  <si>
    <t>累计登陆275天</t>
  </si>
  <si>
    <t>累计登陆280天</t>
  </si>
  <si>
    <t>累计登陆285天</t>
  </si>
  <si>
    <t>累计登陆290天</t>
  </si>
  <si>
    <t>累计登陆295天</t>
  </si>
  <si>
    <t>累计登陆300天</t>
  </si>
  <si>
    <t>累计登陆305天</t>
  </si>
  <si>
    <t>累计登陆310天</t>
  </si>
  <si>
    <t>累计登陆315天</t>
  </si>
  <si>
    <t>累计登陆320天</t>
  </si>
  <si>
    <t>累计登陆325天</t>
  </si>
  <si>
    <t>累计登陆330天</t>
  </si>
  <si>
    <t>累计登陆335天</t>
  </si>
  <si>
    <t>累计登陆340天</t>
  </si>
  <si>
    <t>累计登陆345天</t>
  </si>
  <si>
    <t>累计登陆350天</t>
  </si>
  <si>
    <t>累计登陆355天</t>
  </si>
  <si>
    <t>累计登陆360天</t>
  </si>
  <si>
    <t>累计登陆365天</t>
  </si>
  <si>
    <t>累计登陆370天</t>
  </si>
  <si>
    <t>累计登陆375天</t>
  </si>
  <si>
    <t>累计登陆380天</t>
  </si>
  <si>
    <t>累计登陆385天</t>
  </si>
  <si>
    <t>累计登陆390天</t>
  </si>
  <si>
    <t>累计登陆395天</t>
  </si>
  <si>
    <t>累计登陆400天</t>
  </si>
  <si>
    <t>累计登陆405天</t>
  </si>
  <si>
    <t>累计登陆410天</t>
  </si>
  <si>
    <t>累计登陆415天</t>
  </si>
  <si>
    <t>累计登陆420天</t>
  </si>
  <si>
    <t>累计登陆425天</t>
  </si>
  <si>
    <t>累计登陆430天</t>
  </si>
  <si>
    <t>累计登陆435天</t>
  </si>
  <si>
    <t>累计登陆440天</t>
  </si>
  <si>
    <t>累计登陆445天</t>
  </si>
  <si>
    <t>累计登陆450天</t>
  </si>
  <si>
    <t>累计登陆455天</t>
  </si>
  <si>
    <t>累计登陆460天</t>
  </si>
  <si>
    <t>累计登陆465天</t>
  </si>
  <si>
    <t>累计登陆470天</t>
  </si>
  <si>
    <t>累计登陆475天</t>
  </si>
  <si>
    <t>累计登陆480天</t>
  </si>
  <si>
    <t>累计登陆485天</t>
  </si>
  <si>
    <t>累计登陆490天</t>
  </si>
  <si>
    <t>累计登陆495天</t>
  </si>
  <si>
    <t>累计登陆500天</t>
  </si>
  <si>
    <t>累计登陆505天</t>
  </si>
  <si>
    <t>累计登陆510天</t>
  </si>
  <si>
    <t>累计登陆515天</t>
  </si>
  <si>
    <t>累计登陆520天</t>
  </si>
  <si>
    <t>累计登陆525天</t>
  </si>
  <si>
    <t>累计登陆530天</t>
  </si>
  <si>
    <t>累计登陆535天</t>
  </si>
  <si>
    <t>累计登陆540天</t>
  </si>
  <si>
    <t>累计登陆545天</t>
  </si>
  <si>
    <t>累计登陆550天</t>
  </si>
  <si>
    <t>累计登陆555天</t>
  </si>
  <si>
    <t>累计登陆560天</t>
  </si>
  <si>
    <t>累计登陆565天</t>
  </si>
  <si>
    <t>累计登陆570天</t>
  </si>
  <si>
    <t>累计登陆575天</t>
  </si>
  <si>
    <t>累计登陆580天</t>
  </si>
  <si>
    <t>累计登陆585天</t>
  </si>
  <si>
    <t>累计登陆590天</t>
  </si>
  <si>
    <t>累计登陆595天</t>
  </si>
  <si>
    <t>累计登陆600天</t>
  </si>
  <si>
    <t>累计登陆605天</t>
  </si>
  <si>
    <t>累计登陆610天</t>
  </si>
  <si>
    <t>累计登陆615天</t>
  </si>
  <si>
    <t>累计登陆620天</t>
  </si>
  <si>
    <t>累计登陆625天</t>
  </si>
  <si>
    <t>累计登陆630天</t>
  </si>
  <si>
    <t>累计登陆635天</t>
  </si>
  <si>
    <t>累计登陆640天</t>
  </si>
  <si>
    <t>累计登陆645天</t>
  </si>
  <si>
    <t>伙伴等级最高达到10级</t>
  </si>
  <si>
    <t>伙伴等级最高达到20级</t>
  </si>
  <si>
    <t>伙伴等级最高达到30级</t>
  </si>
  <si>
    <t>伙伴等级最高达到40级</t>
  </si>
  <si>
    <t>伙伴等级最高达到50级</t>
  </si>
  <si>
    <t>伙伴等级最高达到60级</t>
  </si>
  <si>
    <t>伙伴等级最高达到70级</t>
  </si>
  <si>
    <t>伙伴等级最高达到80级</t>
  </si>
  <si>
    <t>伙伴等级最高达到90级</t>
  </si>
  <si>
    <t>伙伴等级最高达到100级</t>
  </si>
  <si>
    <t>伙伴等级最高达到110级</t>
  </si>
  <si>
    <t>伙伴等级最高达到120级</t>
  </si>
  <si>
    <t>伙伴等级最高达到130级</t>
  </si>
  <si>
    <t>伙伴等级最高达到140级</t>
  </si>
  <si>
    <t>伙伴等级最高达到150级</t>
  </si>
  <si>
    <t>大雁塔达到5层</t>
  </si>
  <si>
    <t>大雁塔达到10层</t>
  </si>
  <si>
    <t>大雁塔达到15层</t>
  </si>
  <si>
    <t>大雁塔达到35层</t>
  </si>
  <si>
    <t>大雁塔达到40层</t>
  </si>
  <si>
    <t>大雁塔达到65层</t>
  </si>
  <si>
    <t>大雁塔达到70层</t>
  </si>
  <si>
    <t>大雁塔达到75层</t>
  </si>
  <si>
    <t>大雁塔达到80层</t>
  </si>
  <si>
    <t>大雁塔达到85层</t>
  </si>
  <si>
    <t>大雁塔达到90层</t>
  </si>
  <si>
    <t>大雁塔达到95层</t>
  </si>
  <si>
    <t>大雁塔达到100层</t>
  </si>
  <si>
    <t>装备强化最高达到2级</t>
  </si>
  <si>
    <t>装备强化最高达到4级</t>
  </si>
  <si>
    <t>装备强化最高达到6级</t>
  </si>
  <si>
    <t>装备强化最高达到8级</t>
  </si>
  <si>
    <t>装备强化最高达到10级</t>
  </si>
  <si>
    <t>装备强化最高达到12级</t>
  </si>
  <si>
    <t>装备强化最高达到14级</t>
  </si>
  <si>
    <t>装备强化最高达到16级</t>
  </si>
  <si>
    <t>装备强化最高达到18级</t>
  </si>
  <si>
    <t>装备强化最高达到20级</t>
  </si>
  <si>
    <t>装备强化最高达到22级</t>
  </si>
  <si>
    <t>装备强化最高达到24级</t>
  </si>
  <si>
    <t>装备强化最高达到26级</t>
  </si>
  <si>
    <t>装备强化最高达到28级</t>
  </si>
  <si>
    <t>装备强化最高达到30级</t>
  </si>
  <si>
    <t>装备强化最高达到32级</t>
  </si>
  <si>
    <t>装备强化最高达到34级</t>
  </si>
  <si>
    <t>装备强化最高达到36级</t>
  </si>
  <si>
    <t>装备强化最高达到38级</t>
  </si>
  <si>
    <t>装备强化最高达到40级</t>
  </si>
  <si>
    <t>装备强化最高达到42级</t>
  </si>
  <si>
    <t>装备强化最高达到44级</t>
  </si>
  <si>
    <t>装备强化最高达到46级</t>
  </si>
  <si>
    <t>装备强化最高达到48级</t>
  </si>
  <si>
    <t>装备强化最高达到50级</t>
  </si>
  <si>
    <t>装备强化最高达到52级</t>
  </si>
  <si>
    <t>装备强化最高达到54级</t>
  </si>
  <si>
    <t>装备强化最高达到56级</t>
  </si>
  <si>
    <t>装备强化最高达到58级</t>
  </si>
  <si>
    <t>装备强化最高达到60级</t>
  </si>
  <si>
    <t>装备强化最高达到62级</t>
  </si>
  <si>
    <t>装备强化最高达到64级</t>
  </si>
  <si>
    <t>装备强化最高达到66级</t>
  </si>
  <si>
    <t>装备强化最高达到68级</t>
  </si>
  <si>
    <t>装备强化最高达到70级</t>
  </si>
  <si>
    <t>装备强化最高达到72级</t>
  </si>
  <si>
    <t>装备强化最高达到74级</t>
  </si>
  <si>
    <t>装备强化最高达到76级</t>
  </si>
  <si>
    <t>装备强化最高达到78级</t>
  </si>
  <si>
    <t>装备强化最高达到80级</t>
  </si>
  <si>
    <t>装备强化最高达到82级</t>
  </si>
  <si>
    <t>装备强化最高达到84级</t>
  </si>
  <si>
    <t>装备强化最高达到86级</t>
  </si>
  <si>
    <t>装备强化最高达到88级</t>
  </si>
  <si>
    <t>装备强化最高达到90级</t>
  </si>
  <si>
    <t>装备强化最高达到92级</t>
  </si>
  <si>
    <t>装备强化最高达到94级</t>
  </si>
  <si>
    <t>装备强化最高达到96级</t>
  </si>
  <si>
    <t>装备强化最高达到98级</t>
  </si>
  <si>
    <t>装备强化最高达到100级</t>
  </si>
  <si>
    <t>装备强化最高达到102级</t>
  </si>
  <si>
    <t>装备强化最高达到104级</t>
  </si>
  <si>
    <t>装备强化最高达到106级</t>
  </si>
  <si>
    <t>装备强化最高达到108级</t>
  </si>
  <si>
    <t>装备强化最高达到110级</t>
  </si>
  <si>
    <t>装备强化最高达到112级</t>
  </si>
  <si>
    <t>装备强化最高达到114级</t>
  </si>
  <si>
    <t>装备强化最高达到116级</t>
  </si>
  <si>
    <t>装备强化最高达到118级</t>
  </si>
  <si>
    <t>装备强化最高达到120级</t>
  </si>
  <si>
    <t>装备强化最高达到122级</t>
  </si>
  <si>
    <t>装备强化最高达到124级</t>
  </si>
  <si>
    <t>装备强化最高达到126级</t>
  </si>
  <si>
    <t>装备强化最高达到128级</t>
  </si>
  <si>
    <t>装备强化最高达到130级</t>
  </si>
  <si>
    <t>装备强化最高达到132级</t>
  </si>
  <si>
    <t>装备强化最高达到134级</t>
  </si>
  <si>
    <t>装备强化最高达到136级</t>
  </si>
  <si>
    <t>装备强化最高达到138级</t>
  </si>
  <si>
    <t>装备强化最高达到140级</t>
  </si>
  <si>
    <t>装备强化最高达到142级</t>
  </si>
  <si>
    <t>装备强化最高达到144级</t>
  </si>
  <si>
    <t>装备强化最高达到146级</t>
  </si>
  <si>
    <t>装备强化最高达到148级</t>
  </si>
  <si>
    <t>装备强化最高达到150级</t>
  </si>
  <si>
    <t>装备强化最高达到152级</t>
  </si>
  <si>
    <t>装备强化最高达到154级</t>
  </si>
  <si>
    <t>装备强化最高达到156级</t>
  </si>
  <si>
    <t>装备强化最高达到158级</t>
  </si>
  <si>
    <t>装备强化最高达到160级</t>
  </si>
  <si>
    <t>装备强化最高达到162级</t>
  </si>
  <si>
    <t>装备强化最高达到164级</t>
  </si>
  <si>
    <t>装备强化最高达到166级</t>
  </si>
  <si>
    <t>装备强化最高达到168级</t>
  </si>
  <si>
    <t>装备强化最高达到170级</t>
  </si>
  <si>
    <t>装备强化最高达到172级</t>
  </si>
  <si>
    <t>装备强化最高达到174级</t>
  </si>
  <si>
    <t>装备强化最高达到176级</t>
  </si>
  <si>
    <t>装备强化最高达到178级</t>
  </si>
  <si>
    <t>装备强化最高达到180级</t>
  </si>
  <si>
    <t>装备强化最高达到182级</t>
  </si>
  <si>
    <t>装备强化最高达到184级</t>
  </si>
  <si>
    <t>装备强化最高达到186级</t>
  </si>
  <si>
    <t>装备强化最高达到188级</t>
  </si>
  <si>
    <t>装备强化最高达到190级</t>
  </si>
  <si>
    <t>装备强化最高达到192级</t>
  </si>
  <si>
    <t>装备强化最高达到194级</t>
  </si>
  <si>
    <t>装备强化最高达到196级</t>
  </si>
  <si>
    <t>装备强化最高达到198级</t>
  </si>
  <si>
    <t>装备强化最高达到200级</t>
  </si>
  <si>
    <t>装备强化最高达到202级</t>
  </si>
  <si>
    <t>装备强化最高达到204级</t>
  </si>
  <si>
    <t>装备强化最高达到206级</t>
  </si>
  <si>
    <t>装备强化最高达到208级</t>
  </si>
  <si>
    <t>装备强化最高达到210级</t>
  </si>
  <si>
    <t>装备强化最高达到212级</t>
  </si>
  <si>
    <t>装备强化最高达到214级</t>
  </si>
  <si>
    <t>装备强化最高达到216级</t>
  </si>
  <si>
    <t>装备强化最高达到218级</t>
  </si>
  <si>
    <t>装备强化最高达到220级</t>
  </si>
  <si>
    <t>装备强化最高达到222级</t>
  </si>
  <si>
    <t>装备强化最高达到224级</t>
  </si>
  <si>
    <t>装备强化最高达到226级</t>
  </si>
  <si>
    <t>装备强化最高达到228级</t>
  </si>
  <si>
    <t>装备强化最高达到230级</t>
  </si>
  <si>
    <t>装备强化最高达到232级</t>
  </si>
  <si>
    <t>装备强化最高达到234级</t>
  </si>
  <si>
    <t>装备强化最高达到236级</t>
  </si>
  <si>
    <t>装备强化最高达到238级</t>
  </si>
  <si>
    <t>装备强化最高达到240级</t>
  </si>
  <si>
    <t>装备强化最高达到242级</t>
  </si>
  <si>
    <t>装备强化最高达到244级</t>
  </si>
  <si>
    <t>装备强化最高达到246级</t>
  </si>
  <si>
    <t>装备强化最高达到248级</t>
  </si>
  <si>
    <t>装备强化最高达到250级</t>
  </si>
  <si>
    <t>装备强化最高达到252级</t>
  </si>
  <si>
    <t>装备强化最高达到254级</t>
  </si>
  <si>
    <t>装备强化最高达到256级</t>
  </si>
  <si>
    <t>装备强化最高达到258级</t>
  </si>
  <si>
    <t>装备强化最高达到260级</t>
  </si>
  <si>
    <t>装备强化最高达到262级</t>
  </si>
  <si>
    <t>装备强化最高达到264级</t>
  </si>
  <si>
    <t>装备强化最高达到266级</t>
  </si>
  <si>
    <t>装备强化最高达到268级</t>
  </si>
  <si>
    <t>装备强化最高达到270级</t>
  </si>
  <si>
    <t>装备强化最高达到272级</t>
  </si>
  <si>
    <t>装备强化最高达到274级</t>
  </si>
  <si>
    <t>装备强化最高达到276级</t>
  </si>
  <si>
    <t>装备强化最高达到278级</t>
  </si>
  <si>
    <t>装备强化最高达到280级</t>
  </si>
  <si>
    <t>装备强化最高达到282级</t>
  </si>
  <si>
    <t>装备强化最高达到284级</t>
  </si>
  <si>
    <t>装备强化最高达到286级</t>
  </si>
  <si>
    <t>装备强化最高达到288级</t>
  </si>
  <si>
    <t>装备强化最高达到290级</t>
  </si>
  <si>
    <t>装备强化最高达到292级</t>
  </si>
  <si>
    <t>装备强化最高达到294级</t>
  </si>
  <si>
    <t>装备强化最高达到296级</t>
  </si>
  <si>
    <t>装备强化最高达到298级</t>
  </si>
  <si>
    <t>装备强化最高达到300级</t>
  </si>
  <si>
    <t>精英副本达到420星</t>
  </si>
  <si>
    <t>精英副本达到440星</t>
  </si>
  <si>
    <t>精英副本达到460星</t>
  </si>
  <si>
    <t>精英副本达到480星</t>
  </si>
  <si>
    <t>精英副本达到500星</t>
  </si>
  <si>
    <t>精英副本达到520星</t>
  </si>
  <si>
    <t>精英副本达到540星</t>
  </si>
  <si>
    <t>精英副本达到560星</t>
  </si>
  <si>
    <t>精英副本达到580星</t>
  </si>
  <si>
    <t>精英副本达到600星</t>
  </si>
  <si>
    <t>精英副本达到620星</t>
  </si>
  <si>
    <t>精英副本达到640星</t>
  </si>
  <si>
    <t>精英副本达到660星</t>
  </si>
  <si>
    <t>精英副本达到680星</t>
  </si>
  <si>
    <t>精英副本达到700星</t>
  </si>
  <si>
    <t>精英副本达到720星</t>
  </si>
  <si>
    <t>精英副本达到740星</t>
  </si>
  <si>
    <t>精英副本达到760星</t>
  </si>
  <si>
    <t>精英副本达到780星</t>
  </si>
  <si>
    <t>精英副本达到800星</t>
  </si>
  <si>
    <t>精英副本达到820星</t>
  </si>
  <si>
    <t>精英副本达到840星</t>
  </si>
  <si>
    <t>精英副本达到860星</t>
  </si>
  <si>
    <t>精英副本达到880星</t>
  </si>
  <si>
    <t>精英副本达到900星</t>
  </si>
  <si>
    <t>精英副本达到920星</t>
  </si>
  <si>
    <t>精英副本达到940星</t>
  </si>
  <si>
    <t>精英副本达到960星</t>
  </si>
  <si>
    <t>精英副本达到980星</t>
  </si>
  <si>
    <t>精英副本达到1000星</t>
  </si>
  <si>
    <t>精英副本达到1020星</t>
  </si>
  <si>
    <t>精英副本达到1040星</t>
  </si>
  <si>
    <t>精英副本达到1060星</t>
  </si>
  <si>
    <t>精英副本达到1080星</t>
  </si>
  <si>
    <t>精英副本达到1100星</t>
  </si>
  <si>
    <t>精英副本达到1120星</t>
  </si>
  <si>
    <t>精英副本达到1140星</t>
  </si>
  <si>
    <t>精英副本达到1160星</t>
  </si>
  <si>
    <t>精英副本达到1180星</t>
  </si>
  <si>
    <t>精英副本达到1200星</t>
  </si>
  <si>
    <t>精英副本达到1220星</t>
  </si>
  <si>
    <t>精英副本达到1240星</t>
  </si>
  <si>
    <t>精英副本达到1260星</t>
  </si>
  <si>
    <t>精英副本达到1280星</t>
  </si>
  <si>
    <t>精英副本达到1300星</t>
  </si>
  <si>
    <t>精英副本达到1320星</t>
  </si>
  <si>
    <t>精英副本达到1340星</t>
  </si>
  <si>
    <t>精英副本达到1360星</t>
  </si>
  <si>
    <t>精英副本达到1380星</t>
  </si>
  <si>
    <t>精英副本达到1400星</t>
  </si>
  <si>
    <t>精英副本达到1420星</t>
  </si>
  <si>
    <t>精英副本达到1440星</t>
  </si>
  <si>
    <t>精英副本达到1460星</t>
  </si>
  <si>
    <t>精英副本达到1480星</t>
  </si>
  <si>
    <t>精英副本达到1500星</t>
  </si>
  <si>
    <t>精英副本达到1520星</t>
  </si>
  <si>
    <t>精英副本达到1540星</t>
  </si>
  <si>
    <t>精英副本达到1560星</t>
  </si>
  <si>
    <t>精英副本达到1580星</t>
  </si>
  <si>
    <t>精英副本达到1600星</t>
  </si>
  <si>
    <t>通关精英副本第41章</t>
  </si>
  <si>
    <t>通关精英副本第42章</t>
  </si>
  <si>
    <t>通关精英副本第43章</t>
  </si>
  <si>
    <t>通关精英副本第44章</t>
  </si>
  <si>
    <t>通关精英副本第45章</t>
  </si>
  <si>
    <t>通关精英副本第46章</t>
  </si>
  <si>
    <t>通关精英副本第47章</t>
  </si>
  <si>
    <t>通关精英副本第48章</t>
  </si>
  <si>
    <t>通关精英副本第49章</t>
  </si>
  <si>
    <t>通关精英副本第50章</t>
  </si>
  <si>
    <t>通关精英副本第51章</t>
  </si>
  <si>
    <t>通关精英副本第52章</t>
  </si>
  <si>
    <t>通关精英副本第53章</t>
  </si>
  <si>
    <t>通关精英副本第54章</t>
  </si>
  <si>
    <t>通关精英副本第55章</t>
  </si>
  <si>
    <t>通关精英副本第56章</t>
  </si>
  <si>
    <t>通关精英副本第57章</t>
  </si>
  <si>
    <t>通关精英副本第58章</t>
  </si>
  <si>
    <t>通关精英副本第59章</t>
  </si>
  <si>
    <t>通关精英副本第60章</t>
  </si>
  <si>
    <t>通关精英副本第61章</t>
  </si>
  <si>
    <t>通关精英副本第62章</t>
  </si>
  <si>
    <t>通关精英副本第63章</t>
  </si>
  <si>
    <t>通关精英副本第64章</t>
  </si>
  <si>
    <t>通关精英副本第65章</t>
  </si>
  <si>
    <t>通关精英副本第66章</t>
  </si>
  <si>
    <t>通关精英副本第67章</t>
  </si>
  <si>
    <t>通关精英副本第68章</t>
  </si>
  <si>
    <t>通关精英副本第69章</t>
  </si>
  <si>
    <t>通关精英副本第70章</t>
  </si>
  <si>
    <t>通关精英副本第71章</t>
  </si>
  <si>
    <t>通关精英副本第72章</t>
  </si>
  <si>
    <t>通关精英副本第73章</t>
  </si>
  <si>
    <t>通关精英副本第74章</t>
  </si>
  <si>
    <t>通关精英副本第75章</t>
  </si>
  <si>
    <t>通关精英副本第76章</t>
  </si>
  <si>
    <t>通关精英副本第77章</t>
  </si>
  <si>
    <t>通关精英副本第78章</t>
  </si>
  <si>
    <t>通关精英副本第79章</t>
  </si>
  <si>
    <t>通关精英副本第80章</t>
  </si>
  <si>
    <t>通关精英副本第81章</t>
  </si>
  <si>
    <t>通关精英副本第82章</t>
  </si>
  <si>
    <t>通关精英副本第83章</t>
  </si>
  <si>
    <t>通关精英副本第84章</t>
  </si>
  <si>
    <t>通关精英副本第85章</t>
  </si>
  <si>
    <t>通关精英副本第86章</t>
  </si>
  <si>
    <t>通关精英副本第87章</t>
  </si>
  <si>
    <t>通关精英副本第88章</t>
  </si>
  <si>
    <t>通关精英副本第89章</t>
  </si>
  <si>
    <t>通关精英副本第90章</t>
  </si>
  <si>
    <t>通关精英副本第91章</t>
  </si>
  <si>
    <t>通关精英副本第92章</t>
  </si>
  <si>
    <t>通关精英副本第93章</t>
  </si>
  <si>
    <t>通关精英副本第94章</t>
  </si>
  <si>
    <t>通关精英副本第95章</t>
  </si>
  <si>
    <t>通关精英副本第96章</t>
  </si>
  <si>
    <t>通关精英副本第97章</t>
  </si>
  <si>
    <t>通关精英副本第98章</t>
  </si>
  <si>
    <t>通关精英副本第99章</t>
  </si>
  <si>
    <t>通关精英副本第100章</t>
  </si>
  <si>
    <t>通关精英副本第101章</t>
  </si>
  <si>
    <t>通关精英副本第102章</t>
  </si>
  <si>
    <t>通关精英副本第103章</t>
  </si>
  <si>
    <t>通关精英副本第104章</t>
  </si>
  <si>
    <t>通关精英副本第105章</t>
  </si>
  <si>
    <t>通关精英副本第106章</t>
  </si>
  <si>
    <t>通关精英副本第107章</t>
  </si>
  <si>
    <t>通关精英副本第108章</t>
  </si>
  <si>
    <t>通关精英副本第109章</t>
  </si>
  <si>
    <t>通关精英副本第110章</t>
  </si>
  <si>
    <t>通关精英副本第111章</t>
  </si>
  <si>
    <t>通关精英副本第112章</t>
  </si>
  <si>
    <t>通关精英副本第113章</t>
  </si>
  <si>
    <t>通关精英副本第114章</t>
  </si>
  <si>
    <t>通关精英副本第115章</t>
  </si>
  <si>
    <t>通关精英副本第116章</t>
  </si>
  <si>
    <t>通关精英副本第117章</t>
  </si>
  <si>
    <t>通关精英副本第118章</t>
  </si>
  <si>
    <t>通关精英副本第119章</t>
  </si>
  <si>
    <t>通关精英副本第120章</t>
  </si>
  <si>
    <t>通关精英副本第121章</t>
  </si>
  <si>
    <t>通关精英副本第122章</t>
  </si>
  <si>
    <t>通关精英副本第123章</t>
  </si>
  <si>
    <t>通关精英副本第124章</t>
  </si>
  <si>
    <t>通关精英副本第125章</t>
  </si>
  <si>
    <t>通关精英副本第126章</t>
  </si>
  <si>
    <t>通关精英副本第127章</t>
  </si>
  <si>
    <t>通关精英副本第128章</t>
  </si>
  <si>
    <t>通关精英副本第129章</t>
  </si>
  <si>
    <t>通关精英副本第130章</t>
  </si>
  <si>
    <t>1|12001|1|1</t>
    <phoneticPr fontId="20" type="noConversion"/>
  </si>
  <si>
    <t>1|12002|1|1</t>
    <phoneticPr fontId="20" type="noConversion"/>
  </si>
  <si>
    <t>1|12003|1|1</t>
    <phoneticPr fontId="20" type="noConversion"/>
  </si>
  <si>
    <t>1|12014|1|1</t>
    <phoneticPr fontId="20" type="noConversion"/>
  </si>
  <si>
    <t>1|12015|1|1</t>
    <phoneticPr fontId="20" type="noConversion"/>
  </si>
  <si>
    <t>1|12016|1|1</t>
    <phoneticPr fontId="20" type="noConversion"/>
  </si>
  <si>
    <t>神兵强化石日常1</t>
    <phoneticPr fontId="20" type="noConversion"/>
  </si>
  <si>
    <t>神兵强化石日常2</t>
  </si>
  <si>
    <t>神兵强化石日常3</t>
  </si>
  <si>
    <t>神兵强化石日常4</t>
  </si>
  <si>
    <t>神兵强化石日常5</t>
  </si>
  <si>
    <t>神兵强化石日常6</t>
  </si>
  <si>
    <t>神兵强化石日常7</t>
  </si>
  <si>
    <t>神兵强化石日常8</t>
  </si>
  <si>
    <t>神兵强化石日常9</t>
  </si>
  <si>
    <t>神兵强化石日常10</t>
  </si>
  <si>
    <t>神兵强化石日常11</t>
  </si>
  <si>
    <t>神兵强化石日常12</t>
  </si>
  <si>
    <t>神兵强化石日常13</t>
  </si>
  <si>
    <t>神兵强化石日常14</t>
  </si>
  <si>
    <t>神兵强化石日常15</t>
  </si>
  <si>
    <t>神兵强化石日常16</t>
  </si>
  <si>
    <t>神兵强化石日常17</t>
  </si>
  <si>
    <t>神兵强化石日常18</t>
  </si>
  <si>
    <t>神兵强化石日常19</t>
  </si>
  <si>
    <t>神兵强化石日常20</t>
  </si>
  <si>
    <t>神兵强化石日常21</t>
  </si>
  <si>
    <t>神兵强化石日常22</t>
  </si>
  <si>
    <t>神兵强化石日常23</t>
  </si>
  <si>
    <t>神兵强化石日常24</t>
  </si>
  <si>
    <t>1|17000|16</t>
    <phoneticPr fontId="20" type="noConversion"/>
  </si>
  <si>
    <t>1|17000|24</t>
    <phoneticPr fontId="20" type="noConversion"/>
  </si>
  <si>
    <t>1|17000|32</t>
  </si>
  <si>
    <t>1|17000|48</t>
  </si>
  <si>
    <t>1|17000|56</t>
  </si>
  <si>
    <t>1|17000|64</t>
  </si>
  <si>
    <t>1|17000|72</t>
  </si>
  <si>
    <t>1|17000|88</t>
  </si>
  <si>
    <t>1|17000|96</t>
  </si>
  <si>
    <t>1|17000|104</t>
  </si>
  <si>
    <t>1|17000|112</t>
  </si>
  <si>
    <t>1|17000|128</t>
  </si>
  <si>
    <t>1|17000|136</t>
  </si>
  <si>
    <t>1|17000|144</t>
  </si>
  <si>
    <t>1|17000|152</t>
  </si>
  <si>
    <t>1|17000|168</t>
  </si>
  <si>
    <t>1|17000|176</t>
  </si>
  <si>
    <t>1|17000|184</t>
  </si>
  <si>
    <t>1|17000|192</t>
  </si>
  <si>
    <t>1|17000|16|1</t>
  </si>
  <si>
    <t>1|17000|24|1</t>
  </si>
  <si>
    <t>1|17000|32|1</t>
  </si>
  <si>
    <t>1|17000|48|1</t>
  </si>
  <si>
    <t>1|17000|56|1</t>
  </si>
  <si>
    <t>1|17000|64|1</t>
  </si>
  <si>
    <t>1|17000|72|1</t>
  </si>
  <si>
    <t>1|17000|88|1</t>
  </si>
  <si>
    <t>1|17000|96|1</t>
  </si>
  <si>
    <t>1|17000|104|1</t>
  </si>
  <si>
    <t>1|17000|112|1</t>
  </si>
  <si>
    <t>1|17000|128|1</t>
  </si>
  <si>
    <t>1|17000|136|1</t>
  </si>
  <si>
    <t>1|17000|144|1</t>
  </si>
  <si>
    <t>1|17000|152|1</t>
  </si>
  <si>
    <t>1|17000|168|1</t>
  </si>
  <si>
    <t>1|17000|176|1</t>
  </si>
  <si>
    <t>1|17000|184|1</t>
  </si>
  <si>
    <t>1|17000|192|1</t>
  </si>
  <si>
    <t>普通聚仙首抽-玉兔</t>
    <phoneticPr fontId="20" type="noConversion"/>
  </si>
  <si>
    <t>13橙色伙伴碎片宝箱</t>
    <phoneticPr fontId="20" type="noConversion"/>
  </si>
  <si>
    <t>16橙色伙伴碎片宝箱</t>
    <phoneticPr fontId="20" type="noConversion"/>
  </si>
  <si>
    <t>display_props_id</t>
    <phoneticPr fontId="20" type="noConversion"/>
  </si>
  <si>
    <t>掉落包类型
0-全部抽出（不考虑后面的掉率或权重）
1-抽1个（根据后面的掉率或权重抽取）
2-抽1个（根据权重抽取，但是被抽出的物品会从奖池里去除）
3-选择宝箱（多个奖励里面选1个，前端发type,id,数量，后端处理发奖，不是发送位置来处理）</t>
    <phoneticPr fontId="17" type="noConversion"/>
  </si>
  <si>
    <t>4|1|6000</t>
  </si>
  <si>
    <t>4|1|12000</t>
  </si>
  <si>
    <t>4|1|6000|1</t>
  </si>
  <si>
    <t>4|1|12000|1</t>
  </si>
  <si>
    <t>斩妖夺宝最后宝箱奖励</t>
    <phoneticPr fontId="20" type="noConversion"/>
  </si>
  <si>
    <t>4|1|100000,4|2|100,4|39|400,1|14107|200,6|4502|2,1|14201|100,1|16005|100,1|17000|100,1|17001|50,1|14004|5</t>
  </si>
  <si>
    <t>4|1|100000|1,4|2|100|1,4|39|400|1,1|14107|200|1,6|4502|2|1,1|14201|100|1,1|16005|100|1,1|17000|100|1,1|17001|50|1,1|14004|5|1</t>
  </si>
  <si>
    <t>斩妖夺宝随机宝箱奖励</t>
    <phoneticPr fontId="20" type="noConversion"/>
  </si>
  <si>
    <t>4|1|10000</t>
    <phoneticPr fontId="20" type="noConversion"/>
  </si>
  <si>
    <t>普通聚仙获得金币并抽取武将</t>
    <phoneticPr fontId="20" type="noConversion"/>
  </si>
  <si>
    <t>高级聚仙获得金币并抽取武将</t>
    <phoneticPr fontId="20" type="noConversion"/>
  </si>
  <si>
    <t>高级聚仙获得金币并必掉橙将</t>
    <phoneticPr fontId="20" type="noConversion"/>
  </si>
  <si>
    <t>1|17001|200</t>
  </si>
  <si>
    <t>1|17001|200|1</t>
  </si>
  <si>
    <t>1|17002|200</t>
  </si>
  <si>
    <t>1|17002|200|1</t>
  </si>
  <si>
    <t>1|11025|1,1|11026|1,1|11027|1,1|11028|1,1|11029|1,1|11030|1,1|11031|1,1|11032|1,1|11033|1,1|11034|1,1|11035|1,1|11036|1</t>
  </si>
  <si>
    <t>橙色装备碎片选择箱</t>
  </si>
  <si>
    <t>橙色法宝碎片选择箱</t>
  </si>
  <si>
    <t>今日登陆赠送-神兵精炼石</t>
  </si>
  <si>
    <t>今日登陆赠送-神兵突破石</t>
  </si>
  <si>
    <t>今日登陆赠送-橙装碎片选择箱</t>
    <phoneticPr fontId="21" type="noConversion"/>
  </si>
  <si>
    <t>今日登陆赠送-橙装碎片选择箱</t>
    <phoneticPr fontId="21" type="noConversion"/>
  </si>
  <si>
    <t>今日登陆赠送-神兵精炼石</t>
    <phoneticPr fontId="21" type="noConversion"/>
  </si>
  <si>
    <t>今日登陆赠送-神兵突破石</t>
    <phoneticPr fontId="21" type="noConversion"/>
  </si>
  <si>
    <t>1|14513|20</t>
    <phoneticPr fontId="21" type="noConversion"/>
  </si>
  <si>
    <t>1|14513|20|1</t>
    <phoneticPr fontId="21" type="noConversion"/>
  </si>
  <si>
    <t>1|14513|20</t>
    <phoneticPr fontId="21" type="noConversion"/>
  </si>
  <si>
    <t>1|17001|200</t>
    <phoneticPr fontId="21" type="noConversion"/>
  </si>
  <si>
    <t>1|17001|200|1</t>
    <phoneticPr fontId="21" type="noConversion"/>
  </si>
  <si>
    <t>1|17002|200</t>
    <phoneticPr fontId="21" type="noConversion"/>
  </si>
  <si>
    <t>1|17002|200|1</t>
    <phoneticPr fontId="21" type="noConversion"/>
  </si>
  <si>
    <t>4|1|10000</t>
    <phoneticPr fontId="20" type="noConversion"/>
  </si>
  <si>
    <t>4|1|1000</t>
    <phoneticPr fontId="21" type="noConversion"/>
  </si>
  <si>
    <t>今日登陆赠送-神兵突破石</t>
    <phoneticPr fontId="21" type="noConversion"/>
  </si>
  <si>
    <t>今日登陆赠送-VIP经验</t>
    <phoneticPr fontId="21" type="noConversion"/>
  </si>
  <si>
    <t>4|26|500</t>
  </si>
  <si>
    <t>4|26|1000</t>
  </si>
  <si>
    <t>4|26|1500</t>
  </si>
  <si>
    <t>4|26|2000</t>
  </si>
  <si>
    <t>4|26|3000</t>
  </si>
  <si>
    <t>4|26|500|1</t>
  </si>
  <si>
    <t>4|26|1000|1</t>
  </si>
  <si>
    <t>4|26|1500|1</t>
  </si>
  <si>
    <t>4|26|2000|1</t>
  </si>
  <si>
    <t>4|26|3000|1</t>
  </si>
  <si>
    <t>4|2|200|1</t>
    <phoneticPr fontId="21" type="noConversion"/>
  </si>
  <si>
    <t>4|2|200</t>
    <phoneticPr fontId="21" type="noConversion"/>
  </si>
  <si>
    <t>4|4|400</t>
    <phoneticPr fontId="21" type="noConversion"/>
  </si>
  <si>
    <t>4|4|500|1</t>
    <phoneticPr fontId="21" type="noConversion"/>
  </si>
  <si>
    <t>4|4|500</t>
    <phoneticPr fontId="21" type="noConversion"/>
  </si>
  <si>
    <t>4|2|400|1</t>
    <phoneticPr fontId="21" type="noConversion"/>
  </si>
  <si>
    <t>4|2|400</t>
    <phoneticPr fontId="21" type="noConversion"/>
  </si>
  <si>
    <t>4|2|600</t>
    <phoneticPr fontId="21" type="noConversion"/>
  </si>
  <si>
    <t>4|2|600|1</t>
    <phoneticPr fontId="21" type="noConversion"/>
  </si>
  <si>
    <t>4|2|800|1</t>
    <phoneticPr fontId="21" type="noConversion"/>
  </si>
  <si>
    <t>4|2|800</t>
    <phoneticPr fontId="21" type="noConversion"/>
  </si>
  <si>
    <t>4|2|200|1</t>
    <phoneticPr fontId="21" type="noConversion"/>
  </si>
  <si>
    <t>挑战夜探无底洞至25层</t>
  </si>
  <si>
    <t>挑战夜探无底洞至30层</t>
  </si>
  <si>
    <t>挑战夜探无底洞至35层</t>
  </si>
  <si>
    <t>挑战夜探无底洞至55层</t>
  </si>
  <si>
    <t>挑战夜探无底洞至60层</t>
  </si>
  <si>
    <t>1|14106|30|1</t>
    <phoneticPr fontId="21" type="noConversion"/>
  </si>
  <si>
    <t>1|14106|40|1</t>
    <phoneticPr fontId="21" type="noConversion"/>
  </si>
  <si>
    <t>1|14106|40|1</t>
    <phoneticPr fontId="21" type="noConversion"/>
  </si>
  <si>
    <t>1|14106|25|1</t>
    <phoneticPr fontId="21" type="noConversion"/>
  </si>
  <si>
    <t>1|14106|40</t>
    <phoneticPr fontId="21" type="noConversion"/>
  </si>
  <si>
    <t>1|14106|30</t>
    <phoneticPr fontId="21" type="noConversion"/>
  </si>
  <si>
    <t>上阵伙伴的神兵全部精炼至12级</t>
  </si>
  <si>
    <t>上阵伙伴的神兵全部精炼至14级</t>
  </si>
  <si>
    <t>上阵伙伴的神兵全部精炼至16级</t>
  </si>
  <si>
    <t>上阵伙伴的神兵全部精炼至18级</t>
  </si>
  <si>
    <t>上阵伙伴的神兵全部精炼至20级</t>
  </si>
  <si>
    <t>1|17002|12</t>
  </si>
  <si>
    <t>1|17002|14</t>
  </si>
  <si>
    <t>1|17002|18</t>
  </si>
  <si>
    <t>1|17002|20</t>
  </si>
  <si>
    <t>1|17002|12|1</t>
  </si>
  <si>
    <t>1|17002|14|1</t>
  </si>
  <si>
    <t>1|17002|18|1</t>
  </si>
  <si>
    <t>1|17002|20|1</t>
  </si>
  <si>
    <t>4|4|400|1</t>
    <phoneticPr fontId="21" type="noConversion"/>
  </si>
  <si>
    <t>4|4|200|1</t>
    <phoneticPr fontId="21" type="noConversion"/>
  </si>
  <si>
    <t>4|4|200|1</t>
    <phoneticPr fontId="21" type="noConversion"/>
  </si>
  <si>
    <t>4|2|1000</t>
    <phoneticPr fontId="21" type="noConversion"/>
  </si>
  <si>
    <t>4|2|4000|1</t>
    <phoneticPr fontId="21" type="noConversion"/>
  </si>
  <si>
    <t>4|2|6000|1</t>
    <phoneticPr fontId="21" type="noConversion"/>
  </si>
  <si>
    <t>4|2|10000</t>
    <phoneticPr fontId="21" type="noConversion"/>
  </si>
  <si>
    <t>4|2|10000|1</t>
    <phoneticPr fontId="21" type="noConversion"/>
  </si>
  <si>
    <t>1|14106|30</t>
    <phoneticPr fontId="21" type="noConversion"/>
  </si>
  <si>
    <t>1|14106|30|1</t>
    <phoneticPr fontId="21" type="noConversion"/>
  </si>
  <si>
    <t>4|2|120|1</t>
    <phoneticPr fontId="17" type="noConversion"/>
  </si>
  <si>
    <t>4|2|120</t>
    <phoneticPr fontId="17" type="noConversion"/>
  </si>
  <si>
    <t>橙16品防御伙伴选择箱</t>
    <phoneticPr fontId="17" type="noConversion"/>
  </si>
  <si>
    <t>橙16品输出伙伴选择箱</t>
    <phoneticPr fontId="17" type="noConversion"/>
  </si>
  <si>
    <t>橙16品伙伴选择箱</t>
    <phoneticPr fontId="17" type="noConversion"/>
  </si>
  <si>
    <t>橙16品伙伴随机箱</t>
    <phoneticPr fontId="17" type="noConversion"/>
  </si>
  <si>
    <t>橙13品防御伙伴选择箱</t>
    <phoneticPr fontId="17" type="noConversion"/>
  </si>
  <si>
    <t>橙13品输出伙伴选择箱</t>
    <phoneticPr fontId="17" type="noConversion"/>
  </si>
  <si>
    <t>橙13品辅助伙伴选择箱</t>
    <phoneticPr fontId="17" type="noConversion"/>
  </si>
  <si>
    <t>橙13品伙伴选择箱</t>
    <phoneticPr fontId="17" type="noConversion"/>
  </si>
  <si>
    <t>橙13品伙伴随机箱</t>
    <phoneticPr fontId="17" type="noConversion"/>
  </si>
  <si>
    <t>破军套装选择箱</t>
    <phoneticPr fontId="17" type="noConversion"/>
  </si>
  <si>
    <t>烛天套装选择箱</t>
    <phoneticPr fontId="17" type="noConversion"/>
  </si>
  <si>
    <t>太虚套装选择箱</t>
    <phoneticPr fontId="17" type="noConversion"/>
  </si>
  <si>
    <t>封魂套装选择箱</t>
    <phoneticPr fontId="17" type="noConversion"/>
  </si>
  <si>
    <t>游龙套装选择箱</t>
    <phoneticPr fontId="17" type="noConversion"/>
  </si>
  <si>
    <t>蚩灵套装选择箱</t>
    <phoneticPr fontId="17" type="noConversion"/>
  </si>
  <si>
    <t>岚影套装宝箱</t>
    <phoneticPr fontId="17" type="noConversion"/>
  </si>
  <si>
    <t>朔雪套装宝箱</t>
    <phoneticPr fontId="17" type="noConversion"/>
  </si>
  <si>
    <t>橙色法宝选择箱</t>
    <phoneticPr fontId="17" type="noConversion"/>
  </si>
  <si>
    <t>行者战靴</t>
  </si>
  <si>
    <t>青锋战甲</t>
  </si>
  <si>
    <t>青锋长剑</t>
  </si>
  <si>
    <t>青锋头盔</t>
  </si>
  <si>
    <t>青锋战靴</t>
  </si>
  <si>
    <t>赤血战甲</t>
  </si>
  <si>
    <t>赤血长剑</t>
  </si>
  <si>
    <t>赤血头盔</t>
  </si>
  <si>
    <t>赤血战靴</t>
  </si>
  <si>
    <t>雁虞战甲</t>
  </si>
  <si>
    <t>雁虞长剑</t>
  </si>
  <si>
    <t>雁虞头盔</t>
  </si>
  <si>
    <t>雁虞战靴</t>
  </si>
  <si>
    <t>岚影战甲</t>
  </si>
  <si>
    <t>岚影长剑</t>
  </si>
  <si>
    <t>岚影头盔</t>
  </si>
  <si>
    <t>岚影战靴</t>
  </si>
  <si>
    <t>朔雪战甲</t>
  </si>
  <si>
    <t>朔雪长剑</t>
  </si>
  <si>
    <t>朔雪头盔</t>
  </si>
  <si>
    <t>朔雪战靴</t>
  </si>
  <si>
    <t>封魂战甲</t>
  </si>
  <si>
    <t>封魂长剑</t>
  </si>
  <si>
    <t>封魂头盔</t>
  </si>
  <si>
    <t>封魂战靴</t>
  </si>
  <si>
    <t>游龙战甲</t>
  </si>
  <si>
    <t>游龙长剑</t>
  </si>
  <si>
    <t>游龙头盔</t>
  </si>
  <si>
    <t>游龙战靴</t>
  </si>
  <si>
    <t>蚩灵战甲</t>
  </si>
  <si>
    <t>蚩灵长剑</t>
  </si>
  <si>
    <t>蚩灵头盔</t>
  </si>
  <si>
    <t>蚩灵战靴</t>
  </si>
  <si>
    <t>破军战甲</t>
  </si>
  <si>
    <t>破军长剑</t>
  </si>
  <si>
    <t>破军头盔</t>
  </si>
  <si>
    <t>破军战靴</t>
  </si>
  <si>
    <t>烛天战甲</t>
  </si>
  <si>
    <t>烛天长剑</t>
  </si>
  <si>
    <t>烛天头盔</t>
  </si>
  <si>
    <t>烛天战靴</t>
  </si>
  <si>
    <t>太虚战甲</t>
  </si>
  <si>
    <t>太虚长剑</t>
  </si>
  <si>
    <t>太虚头盔</t>
  </si>
  <si>
    <t>太虚战靴</t>
  </si>
  <si>
    <t>GM战甲</t>
  </si>
  <si>
    <t>GM长剑</t>
  </si>
  <si>
    <t>GM头盔</t>
  </si>
  <si>
    <t>GM战靴</t>
  </si>
  <si>
    <t>类型</t>
    <phoneticPr fontId="17" type="noConversion"/>
  </si>
  <si>
    <r>
      <t>物品I</t>
    </r>
    <r>
      <rPr>
        <sz val="11"/>
        <color indexed="8"/>
        <rFont val="宋体"/>
        <family val="3"/>
        <charset val="134"/>
      </rPr>
      <t>D</t>
    </r>
    <phoneticPr fontId="17" type="noConversion"/>
  </si>
  <si>
    <t>数量</t>
    <phoneticPr fontId="17" type="noConversion"/>
  </si>
  <si>
    <t>|</t>
    <phoneticPr fontId="17" type="noConversion"/>
  </si>
  <si>
    <t>概率</t>
    <phoneticPr fontId="17" type="noConversion"/>
  </si>
  <si>
    <t>奖励显示
类型|物品ID|数量
类型：
1=道具（game_items）
2=装备(game_equpment)
3=reward(game_reward)
4=资源（currency）
5=伙伴（hero_main）
6=法宝(game_fabao)</t>
    <phoneticPr fontId="17" type="noConversion"/>
  </si>
  <si>
    <t>英雄ID
[字符串]
调用角色的唯一ID
1101-1500伙伴
1500-2000特殊伙伴（助战或者新手引导）
2000以上临时伙伴</t>
    <phoneticPr fontId="17" type="noConversion"/>
  </si>
  <si>
    <t>npc_id</t>
  </si>
  <si>
    <t>player</t>
  </si>
  <si>
    <t>player2</t>
  </si>
  <si>
    <t>英雄名称
[字符串]</t>
    <phoneticPr fontId="17" type="noConversion"/>
  </si>
  <si>
    <t>斗战胜佛</t>
    <phoneticPr fontId="17" type="noConversion"/>
  </si>
  <si>
    <t>托塔天王</t>
    <phoneticPr fontId="17" type="noConversion"/>
  </si>
  <si>
    <t>金蝉子</t>
  </si>
  <si>
    <t>黑无常</t>
  </si>
  <si>
    <t>牛魔王</t>
    <phoneticPr fontId="17" type="noConversion"/>
  </si>
  <si>
    <t>孙悟空</t>
    <phoneticPr fontId="17" type="noConversion"/>
  </si>
  <si>
    <t>白无常</t>
  </si>
  <si>
    <t>沙和尚</t>
    <phoneticPr fontId="17" type="noConversion"/>
  </si>
  <si>
    <t>龙帝</t>
  </si>
  <si>
    <t>八部天龙</t>
    <phoneticPr fontId="17" type="noConversion"/>
  </si>
  <si>
    <t>观世音</t>
    <phoneticPr fontId="17" type="noConversion"/>
  </si>
  <si>
    <t>鹿力大仙</t>
    <phoneticPr fontId="17" type="noConversion"/>
  </si>
  <si>
    <t>人参娃</t>
    <phoneticPr fontId="17" type="noConversion"/>
  </si>
  <si>
    <t>阎罗王</t>
  </si>
  <si>
    <t>女儿国国王</t>
  </si>
  <si>
    <t>彩蝶仙童</t>
    <phoneticPr fontId="17" type="noConversion"/>
  </si>
  <si>
    <t>引魂仙子</t>
  </si>
  <si>
    <t>牛头</t>
  </si>
  <si>
    <t>马面</t>
  </si>
  <si>
    <t>雷公</t>
  </si>
  <si>
    <t>琴仙</t>
  </si>
  <si>
    <t>初始资质（不参与数值计算，仅用于显示）
[整型]</t>
  </si>
  <si>
    <t>辅助</t>
  </si>
  <si>
    <t>防御</t>
  </si>
  <si>
    <t>战斗定位
1=辅助
2=远程
3=近战
4=防御
5=主角</t>
    <phoneticPr fontId="17" type="noConversion"/>
  </si>
  <si>
    <t>英雄职业描述(直接调用game_jobs表格里面的id)
1=辅助
2=法师
3=战士
4=防御
5=刺客
6=主角</t>
    <phoneticPr fontId="17" type="noConversion"/>
  </si>
  <si>
    <t>hero_jobs</t>
  </si>
  <si>
    <t>观世音</t>
  </si>
  <si>
    <t>人参娃</t>
  </si>
  <si>
    <t>彩蝶仙童</t>
  </si>
  <si>
    <t>输出</t>
  </si>
  <si>
    <t xml:space="preserve">英雄ID
</t>
  </si>
  <si>
    <t>英雄名称
[字符串]</t>
  </si>
  <si>
    <t>英雄类型
1=仙
2=妖
3=佛</t>
  </si>
  <si>
    <t>初始品质        
1=绿色       
2=蓝色     
3=紫色        
4=橙色        
5=红色</t>
  </si>
  <si>
    <t>初始资质</t>
  </si>
  <si>
    <t>攻击类型</t>
  </si>
  <si>
    <t>职业定位</t>
  </si>
  <si>
    <t>职业特点</t>
  </si>
  <si>
    <t>斗战胜佛</t>
  </si>
  <si>
    <t>佛</t>
  </si>
  <si>
    <t>物理</t>
  </si>
  <si>
    <t>主力输出</t>
  </si>
  <si>
    <t>法术</t>
  </si>
  <si>
    <t>辅助型输出</t>
  </si>
  <si>
    <t>伤害减免T</t>
  </si>
  <si>
    <t>降低伤害T</t>
  </si>
  <si>
    <t>控制输出</t>
  </si>
  <si>
    <t>八部天龙</t>
  </si>
  <si>
    <t>治疗</t>
  </si>
  <si>
    <t>MT</t>
  </si>
  <si>
    <t>伤害吸收+自身百分比回血</t>
  </si>
  <si>
    <t>物理输出+燃烧流血</t>
  </si>
  <si>
    <t>法术伤害</t>
  </si>
  <si>
    <t>物理输出</t>
  </si>
  <si>
    <t>法术输出</t>
  </si>
  <si>
    <t>伤害减免</t>
  </si>
  <si>
    <t>控制-昏迷</t>
  </si>
  <si>
    <t>仙</t>
  </si>
  <si>
    <t>功能型输出</t>
  </si>
  <si>
    <t>闪避T</t>
  </si>
  <si>
    <t>辅助奶</t>
  </si>
  <si>
    <t>主力奶</t>
  </si>
  <si>
    <t>伤害吸收</t>
  </si>
  <si>
    <t>回血（自身百分比）</t>
  </si>
  <si>
    <t>控制</t>
  </si>
  <si>
    <t>护盾</t>
  </si>
  <si>
    <t>法术-暴力</t>
  </si>
  <si>
    <t>鬼使黑</t>
  </si>
  <si>
    <t>鬼使白</t>
  </si>
  <si>
    <t>妖</t>
  </si>
  <si>
    <t>防御T</t>
  </si>
  <si>
    <t>伤害吸收T</t>
  </si>
  <si>
    <t>物理-高爆发</t>
  </si>
  <si>
    <t>物理-高攻速，流血</t>
  </si>
  <si>
    <t>护盾-伤害吸收</t>
  </si>
  <si>
    <t>毒-中毒掉血</t>
  </si>
  <si>
    <t>法术-高伤害</t>
  </si>
  <si>
    <t>物理-近战攻速快</t>
  </si>
  <si>
    <t>物理-近战流血dbuff</t>
  </si>
  <si>
    <t>物理-远程</t>
  </si>
  <si>
    <t>扇子精</t>
  </si>
  <si>
    <t>玉兔</t>
  </si>
  <si>
    <t>蟹将</t>
  </si>
  <si>
    <t>治疗</t>
    <phoneticPr fontId="17" type="noConversion"/>
  </si>
  <si>
    <t>2|2064|1,2|2063|1,2|2062|1,2|2061|1</t>
  </si>
  <si>
    <t>2|2068|1,2|2067|1,2|2066|1,2|2065|1</t>
  </si>
  <si>
    <t>2|2072|1,2|2071|1,2|2070|1,2|2069|1</t>
  </si>
  <si>
    <t>2|2044|1,2|2043|1,2|2042|1,2|2041|1</t>
  </si>
  <si>
    <t>2|2048|1,2|2047|1,2|2046|1,2|2045|1</t>
  </si>
  <si>
    <t>2|2052|1,2|2051|1,2|2050|1,2|2049|1</t>
  </si>
  <si>
    <t>破军战甲碎片</t>
  </si>
  <si>
    <t>破军长剑碎片</t>
  </si>
  <si>
    <t>破军头盔碎片</t>
  </si>
  <si>
    <t>破军战靴碎片</t>
  </si>
  <si>
    <t>烛天战甲碎片</t>
  </si>
  <si>
    <t>烛天长剑碎片</t>
  </si>
  <si>
    <t>烛天头盔碎片</t>
  </si>
  <si>
    <t>烛天战靴碎片</t>
  </si>
  <si>
    <t>太虚战甲碎片</t>
  </si>
  <si>
    <t>太虚长剑碎片</t>
  </si>
  <si>
    <t>太虚头盔碎片</t>
  </si>
  <si>
    <t>太虚战靴碎片</t>
  </si>
  <si>
    <t>,</t>
    <phoneticPr fontId="17" type="noConversion"/>
  </si>
  <si>
    <t>紫金铃</t>
  </si>
  <si>
    <t>阴阳镜</t>
  </si>
  <si>
    <t>混元镜</t>
  </si>
  <si>
    <t>幻光铃</t>
  </si>
  <si>
    <t>6|3012|1,6|3011|1,6|3013|1,6|3014|1</t>
  </si>
  <si>
    <t>第1次招财获得金币</t>
    <phoneticPr fontId="21" type="noConversion"/>
  </si>
  <si>
    <t>第2次招财获得金币</t>
  </si>
  <si>
    <t>第3次招财获得金币</t>
  </si>
  <si>
    <t>第4次招财获得金币</t>
  </si>
  <si>
    <t>第5次招财获得金币</t>
  </si>
  <si>
    <t>第6次招财获得金币</t>
  </si>
  <si>
    <t>第7次招财获得金币</t>
  </si>
  <si>
    <t>第8次招财获得金币</t>
  </si>
  <si>
    <t>第9次招财获得金币</t>
  </si>
  <si>
    <t>第10次招财获得金币</t>
  </si>
  <si>
    <t>第11次招财获得金币</t>
  </si>
  <si>
    <t>第12次招财获得金币</t>
  </si>
  <si>
    <t>第13次招财获得金币</t>
  </si>
  <si>
    <t>第14次招财获得金币</t>
  </si>
  <si>
    <t>第15次招财获得金币</t>
  </si>
  <si>
    <t>第16次招财获得金币</t>
  </si>
  <si>
    <t>第17次招财获得金币</t>
  </si>
  <si>
    <t>第18次招财获得金币</t>
  </si>
  <si>
    <t>第19次招财获得金币</t>
  </si>
  <si>
    <t>第20次招财获得金币</t>
  </si>
  <si>
    <t>第21次招财获得金币</t>
  </si>
  <si>
    <t>第22次招财获得金币</t>
  </si>
  <si>
    <t>第23次招财获得金币</t>
  </si>
  <si>
    <t>第24次招财获得金币</t>
  </si>
  <si>
    <t>第25次招财获得金币</t>
  </si>
  <si>
    <t>第26次招财获得金币</t>
  </si>
  <si>
    <t>第27次招财获得金币</t>
  </si>
  <si>
    <t>第28次招财获得金币</t>
  </si>
  <si>
    <t>第29次招财获得金币</t>
  </si>
  <si>
    <t>第30次招财获得金币</t>
  </si>
  <si>
    <t>第31次招财获得金币</t>
  </si>
  <si>
    <t>第32次招财获得金币</t>
  </si>
  <si>
    <t>第33次招财获得金币</t>
  </si>
  <si>
    <t>第34次招财获得金币</t>
  </si>
  <si>
    <t>第35次招财获得金币</t>
  </si>
  <si>
    <t>第36次招财获得金币</t>
  </si>
  <si>
    <t>第37次招财获得金币</t>
  </si>
  <si>
    <t>第38次招财获得金币</t>
  </si>
  <si>
    <t>第39次招财获得金币</t>
  </si>
  <si>
    <t>第40次招财获得金币</t>
  </si>
  <si>
    <t>第41次招财获得金币</t>
  </si>
  <si>
    <t>第42次招财获得金币</t>
  </si>
  <si>
    <t>第43次招财获得金币</t>
  </si>
  <si>
    <t>第44次招财获得金币</t>
  </si>
  <si>
    <t>第45次招财获得金币</t>
  </si>
  <si>
    <t>第46次招财获得金币</t>
  </si>
  <si>
    <t>第47次招财获得金币</t>
  </si>
  <si>
    <t>第48次招财获得金币</t>
  </si>
  <si>
    <t>第49次招财获得金币</t>
  </si>
  <si>
    <t>第50次招财获得金币</t>
  </si>
  <si>
    <t>第1个招财进度宝箱奖励金币</t>
    <phoneticPr fontId="20" type="noConversion"/>
  </si>
  <si>
    <t>第2个招财进度宝箱奖励金币</t>
  </si>
  <si>
    <t>第3个招财进度宝箱奖励金币</t>
  </si>
  <si>
    <t>第4个招财进度宝箱奖励金币</t>
  </si>
  <si>
    <t>4|1|100000|1</t>
    <phoneticPr fontId="21" type="noConversion"/>
  </si>
  <si>
    <t>4|1|200000|1</t>
    <phoneticPr fontId="21" type="noConversion"/>
  </si>
  <si>
    <t>4|10|10|1,4|1|40|1</t>
  </si>
  <si>
    <t>4|10|20|1,4|1|80|1</t>
  </si>
  <si>
    <t>4|10|30|1,4|1|120|1</t>
  </si>
  <si>
    <t>4|10|40|1,4|1|160|1</t>
  </si>
  <si>
    <t>4|10|50|1,4|1|200|1</t>
  </si>
  <si>
    <t>4|10|60|1,4|1|240|1</t>
  </si>
  <si>
    <t>4|10|70|1,4|1|280|1</t>
  </si>
  <si>
    <t>4|10|80|1,4|1|320|1</t>
  </si>
  <si>
    <t>4|10|90|1,4|1|360|1</t>
  </si>
  <si>
    <t>4|10|100|1,4|1|400|1</t>
  </si>
  <si>
    <t>4|10|110|1,4|1|440|1</t>
  </si>
  <si>
    <t>4|10|120|1,4|1|480|1</t>
  </si>
  <si>
    <t>4|10|130|1,4|1|520|1</t>
  </si>
  <si>
    <t>4|10|140|1,4|1|560|1</t>
  </si>
  <si>
    <t>4|10|150|1,4|1|600|1</t>
  </si>
  <si>
    <t>4|10|160|1,4|1|640|1</t>
  </si>
  <si>
    <t>4|10|170|1,4|1|680|1</t>
  </si>
  <si>
    <t>4|10|180|1,4|1|720|1</t>
  </si>
  <si>
    <t>4|10|190|1,4|1|760|1</t>
  </si>
  <si>
    <t>4|10|200|1,4|1|800|1</t>
  </si>
  <si>
    <t>4|10|210|1,4|1|840|1</t>
  </si>
  <si>
    <t>4|10|220|1,4|1|880|1</t>
  </si>
  <si>
    <t>4|10|230|1,4|1|920|1</t>
  </si>
  <si>
    <t>4|10|240|1,4|1|960|1</t>
  </si>
  <si>
    <t>4|10|250|1,4|1|1000|1</t>
  </si>
  <si>
    <t>4|10|260|1,4|1|1040|1</t>
  </si>
  <si>
    <t>4|10|270|1,4|1|1080|1</t>
  </si>
  <si>
    <t>4|10|280|1,4|1|1120|1</t>
  </si>
  <si>
    <t>4|10|290|1,4|1|1160|1</t>
  </si>
  <si>
    <t>4|10|300|1,4|1|1200|1</t>
  </si>
  <si>
    <t>4|10|310|1,4|1|1240|1</t>
  </si>
  <si>
    <t>4|10|320|1,4|1|1280|1</t>
  </si>
  <si>
    <t>4|10|330|1,4|1|1320|1</t>
  </si>
  <si>
    <t>4|10|340|1,4|1|1360|1</t>
  </si>
  <si>
    <t>4|10|350|1,4|1|1400|1</t>
  </si>
  <si>
    <t>4|10|360|1,4|1|1440|1</t>
  </si>
  <si>
    <t>4|10|370|1,4|1|1480|1</t>
  </si>
  <si>
    <t>4|10|380|1,4|1|1520|1</t>
  </si>
  <si>
    <t>4|10|390|1,4|1|1560|1</t>
  </si>
  <si>
    <t>4|10|400|1,4|1|1600|1</t>
  </si>
  <si>
    <t>4|10|410|1,4|1|1640|1</t>
  </si>
  <si>
    <t>4|10|420|1,4|1|1680|1</t>
  </si>
  <si>
    <t>4|10|430|1,4|1|1720|1</t>
  </si>
  <si>
    <t>4|10|440|1,4|1|1760|1</t>
  </si>
  <si>
    <t>4|10|450|1,4|1|1800|1</t>
  </si>
  <si>
    <t>4|10|460|1,4|1|1840|1</t>
  </si>
  <si>
    <t>4|10|470|1,4|1|1880|1</t>
  </si>
  <si>
    <t>4|10|480|1,4|1|1920|1</t>
  </si>
  <si>
    <t>4|10|490|1,4|1|1960|1</t>
  </si>
  <si>
    <t>4|10|500|1,4|1|2000|1</t>
  </si>
  <si>
    <t>4|10|510|1,4|1|2040|1</t>
  </si>
  <si>
    <t>4|10|520|1,4|1|2080|1</t>
  </si>
  <si>
    <t>4|10|530|1,4|1|2120|1</t>
  </si>
  <si>
    <t>4|10|540|1,4|1|2160|1</t>
  </si>
  <si>
    <t>4|10|550|1,4|1|2200|1</t>
  </si>
  <si>
    <t>4|10|560|1,4|1|2240|1</t>
  </si>
  <si>
    <t>4|10|570|1,4|1|2280|1</t>
  </si>
  <si>
    <t>4|10|580|1,4|1|2320|1</t>
  </si>
  <si>
    <t>4|10|590|1,4|1|2360|1</t>
  </si>
  <si>
    <t>4|10|600|1,4|1|2400|1</t>
  </si>
  <si>
    <t>4|10|610|1,4|1|2440|1</t>
  </si>
  <si>
    <t>4|10|620|1,4|1|2480|1</t>
  </si>
  <si>
    <t>4|10|630|1,4|1|2520|1</t>
  </si>
  <si>
    <t>4|10|640|1,4|1|2560|1</t>
  </si>
  <si>
    <t>4|10|650|1,4|1|2600|1</t>
  </si>
  <si>
    <t>4|10|660|1,4|1|2640|1</t>
  </si>
  <si>
    <t>4|10|670|1,4|1|2680|1</t>
  </si>
  <si>
    <t>4|10|680|1,4|1|2720|1</t>
  </si>
  <si>
    <t>4|10|690|1,4|1|2760|1</t>
  </si>
  <si>
    <t>4|10|700|1,4|1|2800|1</t>
  </si>
  <si>
    <t>4|10|710|1,4|1|2840|1</t>
  </si>
  <si>
    <t>4|10|720|1,4|1|2880|1</t>
  </si>
  <si>
    <t>4|10|730|1,4|1|2920|1</t>
  </si>
  <si>
    <t>4|10|740|1,4|1|2960|1</t>
  </si>
  <si>
    <t>4|10|750|1,4|1|3000|1</t>
  </si>
  <si>
    <t>4|10|760|1,4|1|3040|1</t>
  </si>
  <si>
    <t>4|10|770|1,4|1|3080|1</t>
  </si>
  <si>
    <t>4|10|780|1,4|1|3120|1</t>
  </si>
  <si>
    <t>4|10|790|1,4|1|3160|1</t>
  </si>
  <si>
    <t>4|10|800|1,4|1|3200|1</t>
  </si>
  <si>
    <t>4|10|810|1,4|1|3240|1</t>
  </si>
  <si>
    <t>4|10|820|1,4|1|3280|1</t>
  </si>
  <si>
    <t>4|10|830|1,4|1|3320|1</t>
  </si>
  <si>
    <t>4|10|840|1,4|1|3360|1</t>
  </si>
  <si>
    <t>4|10|850|1,4|1|3400|1</t>
  </si>
  <si>
    <t>4|10|860|1,4|1|3440|1</t>
  </si>
  <si>
    <t>4|10|870|1,4|1|3480|1</t>
  </si>
  <si>
    <t>4|10|880|1,4|1|3520|1</t>
  </si>
  <si>
    <t>4|10|890|1,4|1|3560|1</t>
  </si>
  <si>
    <t>4|10|900|1,4|1|3600|1</t>
  </si>
  <si>
    <t>4|10|910|1,4|1|3640|1</t>
  </si>
  <si>
    <t>4|10|920|1,4|1|3680|1</t>
  </si>
  <si>
    <t>4|10|930|1,4|1|3720|1</t>
  </si>
  <si>
    <t>4|10|940|1,4|1|3760|1</t>
  </si>
  <si>
    <t>4|10|950|1,4|1|3800|1</t>
  </si>
  <si>
    <t>4|10|960|1,4|1|3840|1</t>
  </si>
  <si>
    <t>4|10|970|1,4|1|3880|1</t>
  </si>
  <si>
    <t>4|10|980|1,4|1|3920|1</t>
  </si>
  <si>
    <t>4|10|990|1,4|1|3960|1</t>
  </si>
  <si>
    <t>4|10|1000|1,4|1|4000|1</t>
  </si>
  <si>
    <t>4|10|1010|1,4|1|4040|1</t>
  </si>
  <si>
    <t>4|10|1020|1,4|1|4080|1</t>
  </si>
  <si>
    <t>4|10|1030|1,4|1|4120|1</t>
  </si>
  <si>
    <t>4|10|1040|1,4|1|4160|1</t>
  </si>
  <si>
    <t>4|10|1050|1,4|1|4200|1</t>
  </si>
  <si>
    <t>4|10|1060|1,4|1|4240|1</t>
  </si>
  <si>
    <t>4|10|1070|1,4|1|4280|1</t>
  </si>
  <si>
    <t>4|10|1080|1,4|1|4320|1</t>
  </si>
  <si>
    <t>4|10|1090|1,4|1|4360|1</t>
  </si>
  <si>
    <t>4|10|1100|1,4|1|4400|1</t>
  </si>
  <si>
    <t>4|10|1110|1,4|1|4440|1</t>
  </si>
  <si>
    <t>4|10|1120|1,4|1|4480|1</t>
  </si>
  <si>
    <t>4|10|1130|1,4|1|4520|1</t>
  </si>
  <si>
    <t>4|10|1140|1,4|1|4560|1</t>
  </si>
  <si>
    <t>4|10|1150|1,4|1|4600|1</t>
  </si>
  <si>
    <t>4|10|1160|1,4|1|4640|1</t>
  </si>
  <si>
    <t>4|10|1170|1,4|1|4680|1</t>
  </si>
  <si>
    <t>4|10|1180|1,4|1|4720|1</t>
  </si>
  <si>
    <t>4|10|1190|1,4|1|4760|1</t>
  </si>
  <si>
    <t>4|10|1200|1,4|1|4800|1</t>
  </si>
  <si>
    <t>4|10|1210|1,4|1|4840|1</t>
  </si>
  <si>
    <t>4|10|1220|1,4|1|4880|1</t>
  </si>
  <si>
    <t>4|10|1230|1,4|1|4920|1</t>
  </si>
  <si>
    <t>4|10|1240|1,4|1|4960|1</t>
  </si>
  <si>
    <t>4|10|1250|1,4|1|5000|1</t>
  </si>
  <si>
    <t>4|10|1260|1,4|1|5040|1</t>
  </si>
  <si>
    <t>4|10|1270|1,4|1|5080|1</t>
  </si>
  <si>
    <t>4|10|1280|1,4|1|5120|1</t>
  </si>
  <si>
    <t>4|10|1290|1,4|1|5160|1</t>
  </si>
  <si>
    <t>4|10|1300|1,4|1|5200|1</t>
  </si>
  <si>
    <t>4|10|1310|1,4|1|5240|1</t>
  </si>
  <si>
    <t>4|10|1320|1,4|1|5280|1</t>
  </si>
  <si>
    <t>4|10|1330|1,4|1|5320|1</t>
  </si>
  <si>
    <t>4|10|1340|1,4|1|5360|1</t>
  </si>
  <si>
    <t>4|10|1350|1,4|1|5400|1</t>
  </si>
  <si>
    <t>4|10|1360|1,4|1|5440|1</t>
  </si>
  <si>
    <t>4|10|1370|1,4|1|5480|1</t>
  </si>
  <si>
    <t>4|10|1380|1,4|1|5520|1</t>
  </si>
  <si>
    <t>4|10|1390|1,4|1|5560|1</t>
  </si>
  <si>
    <t>4|10|1400|1,4|1|5600|1</t>
  </si>
  <si>
    <t>4|10|1410|1,4|1|5640|1</t>
  </si>
  <si>
    <t>4|10|1420|1,4|1|5680|1</t>
  </si>
  <si>
    <t>4|10|1430|1,4|1|5720|1</t>
  </si>
  <si>
    <t>4|10|1440|1,4|1|5760|1</t>
  </si>
  <si>
    <t>4|10|1450|1,4|1|5800|1</t>
  </si>
  <si>
    <t>4|10|1460|1,4|1|5840|1</t>
  </si>
  <si>
    <t>4|10|1470|1,4|1|5880|1</t>
  </si>
  <si>
    <t>4|10|1480|1,4|1|5920|1</t>
  </si>
  <si>
    <t>4|10|1490|1,4|1|5960|1</t>
  </si>
  <si>
    <t>4|10|1500|1,4|1|6000|1</t>
  </si>
  <si>
    <t>4|10|10,4|1|40</t>
  </si>
  <si>
    <t>4|10|20,4|1|80</t>
  </si>
  <si>
    <t>4|10|30,4|1|120</t>
  </si>
  <si>
    <t>4|10|40,4|1|160</t>
  </si>
  <si>
    <t>4|10|50,4|1|200</t>
  </si>
  <si>
    <t>4|10|60,4|1|240</t>
  </si>
  <si>
    <t>4|10|70,4|1|280</t>
  </si>
  <si>
    <t>4|10|80,4|1|320</t>
  </si>
  <si>
    <t>4|10|90,4|1|360</t>
  </si>
  <si>
    <t>4|10|100,4|1|400</t>
  </si>
  <si>
    <t>4|10|110,4|1|440</t>
  </si>
  <si>
    <t>4|10|120,4|1|480</t>
  </si>
  <si>
    <t>4|10|130,4|1|520</t>
  </si>
  <si>
    <t>4|10|140,4|1|560</t>
  </si>
  <si>
    <t>4|10|150,4|1|600</t>
  </si>
  <si>
    <t>4|10|160,4|1|640</t>
  </si>
  <si>
    <t>4|10|170,4|1|680</t>
  </si>
  <si>
    <t>4|10|180,4|1|720</t>
  </si>
  <si>
    <t>4|10|190,4|1|760</t>
  </si>
  <si>
    <t>4|10|200,4|1|800</t>
  </si>
  <si>
    <t>4|10|210,4|1|840</t>
  </si>
  <si>
    <t>4|10|220,4|1|880</t>
  </si>
  <si>
    <t>4|10|230,4|1|920</t>
  </si>
  <si>
    <t>4|10|240,4|1|960</t>
  </si>
  <si>
    <t>4|10|250,4|1|1000</t>
  </si>
  <si>
    <t>4|10|260,4|1|1040</t>
  </si>
  <si>
    <t>4|10|270,4|1|1080</t>
  </si>
  <si>
    <t>4|10|280,4|1|1120</t>
  </si>
  <si>
    <t>4|10|290,4|1|1160</t>
  </si>
  <si>
    <t>4|10|300,4|1|1200</t>
  </si>
  <si>
    <t>4|10|310,4|1|1240</t>
  </si>
  <si>
    <t>4|10|320,4|1|1280</t>
  </si>
  <si>
    <t>4|10|330,4|1|1320</t>
  </si>
  <si>
    <t>4|10|340,4|1|1360</t>
  </si>
  <si>
    <t>4|10|350,4|1|1400</t>
  </si>
  <si>
    <t>4|10|360,4|1|1440</t>
  </si>
  <si>
    <t>4|10|370,4|1|1480</t>
  </si>
  <si>
    <t>4|10|380,4|1|1520</t>
  </si>
  <si>
    <t>4|10|390,4|1|1560</t>
  </si>
  <si>
    <t>4|10|400,4|1|1600</t>
  </si>
  <si>
    <t>4|10|410,4|1|1640</t>
  </si>
  <si>
    <t>4|10|420,4|1|1680</t>
  </si>
  <si>
    <t>4|10|430,4|1|1720</t>
  </si>
  <si>
    <t>4|10|440,4|1|1760</t>
  </si>
  <si>
    <t>4|10|450,4|1|1800</t>
  </si>
  <si>
    <t>4|10|460,4|1|1840</t>
  </si>
  <si>
    <t>4|10|470,4|1|1880</t>
  </si>
  <si>
    <t>4|10|480,4|1|1920</t>
  </si>
  <si>
    <t>4|10|490,4|1|1960</t>
  </si>
  <si>
    <t>4|10|500,4|1|2000</t>
  </si>
  <si>
    <t>4|10|510,4|1|2040</t>
  </si>
  <si>
    <t>4|10|520,4|1|2080</t>
  </si>
  <si>
    <t>4|10|530,4|1|2120</t>
  </si>
  <si>
    <t>4|10|540,4|1|2160</t>
  </si>
  <si>
    <t>4|10|550,4|1|2200</t>
  </si>
  <si>
    <t>4|10|560,4|1|2240</t>
  </si>
  <si>
    <t>4|10|570,4|1|2280</t>
  </si>
  <si>
    <t>4|10|580,4|1|2320</t>
  </si>
  <si>
    <t>4|10|590,4|1|2360</t>
  </si>
  <si>
    <t>4|10|600,4|1|2400</t>
  </si>
  <si>
    <t>4|10|610,4|1|2440</t>
  </si>
  <si>
    <t>4|10|620,4|1|2480</t>
  </si>
  <si>
    <t>4|10|630,4|1|2520</t>
  </si>
  <si>
    <t>4|10|640,4|1|2560</t>
  </si>
  <si>
    <t>4|10|650,4|1|2600</t>
  </si>
  <si>
    <t>4|10|660,4|1|2640</t>
  </si>
  <si>
    <t>4|10|670,4|1|2680</t>
  </si>
  <si>
    <t>4|10|680,4|1|2720</t>
  </si>
  <si>
    <t>4|10|690,4|1|2760</t>
  </si>
  <si>
    <t>4|10|700,4|1|2800</t>
  </si>
  <si>
    <t>4|10|710,4|1|2840</t>
  </si>
  <si>
    <t>4|10|720,4|1|2880</t>
  </si>
  <si>
    <t>4|10|730,4|1|2920</t>
  </si>
  <si>
    <t>4|10|740,4|1|2960</t>
  </si>
  <si>
    <t>4|10|750,4|1|3000</t>
  </si>
  <si>
    <t>4|10|760,4|1|3040</t>
  </si>
  <si>
    <t>4|10|770,4|1|3080</t>
  </si>
  <si>
    <t>4|10|780,4|1|3120</t>
  </si>
  <si>
    <t>4|10|790,4|1|3160</t>
  </si>
  <si>
    <t>4|10|800,4|1|3200</t>
  </si>
  <si>
    <t>4|10|810,4|1|3240</t>
  </si>
  <si>
    <t>4|10|820,4|1|3280</t>
  </si>
  <si>
    <t>4|10|830,4|1|3320</t>
  </si>
  <si>
    <t>4|10|840,4|1|3360</t>
  </si>
  <si>
    <t>4|10|850,4|1|3400</t>
  </si>
  <si>
    <t>4|10|860,4|1|3440</t>
  </si>
  <si>
    <t>4|10|870,4|1|3480</t>
  </si>
  <si>
    <t>4|10|880,4|1|3520</t>
  </si>
  <si>
    <t>4|10|890,4|1|3560</t>
  </si>
  <si>
    <t>4|10|900,4|1|3600</t>
  </si>
  <si>
    <t>4|10|910,4|1|3640</t>
  </si>
  <si>
    <t>4|10|920,4|1|3680</t>
  </si>
  <si>
    <t>4|10|930,4|1|3720</t>
  </si>
  <si>
    <t>4|10|940,4|1|3760</t>
  </si>
  <si>
    <t>4|10|950,4|1|3800</t>
  </si>
  <si>
    <t>4|10|960,4|1|3840</t>
  </si>
  <si>
    <t>4|10|970,4|1|3880</t>
  </si>
  <si>
    <t>4|10|980,4|1|3920</t>
  </si>
  <si>
    <t>4|10|990,4|1|3960</t>
  </si>
  <si>
    <t>4|10|1000,4|1|4000</t>
  </si>
  <si>
    <t>4|10|1010,4|1|4040</t>
  </si>
  <si>
    <t>4|10|1020,4|1|4080</t>
  </si>
  <si>
    <t>4|10|1030,4|1|4120</t>
  </si>
  <si>
    <t>4|10|1040,4|1|4160</t>
  </si>
  <si>
    <t>4|10|1050,4|1|4200</t>
  </si>
  <si>
    <t>4|10|1060,4|1|4240</t>
  </si>
  <si>
    <t>4|10|1070,4|1|4280</t>
  </si>
  <si>
    <t>4|10|1080,4|1|4320</t>
  </si>
  <si>
    <t>4|10|1090,4|1|4360</t>
  </si>
  <si>
    <t>4|10|1100,4|1|4400</t>
  </si>
  <si>
    <t>4|10|1110,4|1|4440</t>
  </si>
  <si>
    <t>4|10|1120,4|1|4480</t>
  </si>
  <si>
    <t>4|10|1130,4|1|4520</t>
  </si>
  <si>
    <t>4|10|1140,4|1|4560</t>
  </si>
  <si>
    <t>4|10|1150,4|1|4600</t>
  </si>
  <si>
    <t>4|10|1160,4|1|4640</t>
  </si>
  <si>
    <t>4|10|1170,4|1|4680</t>
  </si>
  <si>
    <t>4|10|1180,4|1|4720</t>
  </si>
  <si>
    <t>4|10|1190,4|1|4760</t>
  </si>
  <si>
    <t>4|10|1200,4|1|4800</t>
  </si>
  <si>
    <t>4|10|1210,4|1|4840</t>
  </si>
  <si>
    <t>4|10|1220,4|1|4880</t>
  </si>
  <si>
    <t>4|10|1230,4|1|4920</t>
  </si>
  <si>
    <t>4|10|1240,4|1|4960</t>
  </si>
  <si>
    <t>4|10|1250,4|1|5000</t>
  </si>
  <si>
    <t>4|10|1260,4|1|5040</t>
  </si>
  <si>
    <t>4|10|1270,4|1|5080</t>
  </si>
  <si>
    <t>4|10|1280,4|1|5120</t>
  </si>
  <si>
    <t>4|10|1290,4|1|5160</t>
  </si>
  <si>
    <t>4|10|1300,4|1|5200</t>
  </si>
  <si>
    <t>4|10|1310,4|1|5240</t>
  </si>
  <si>
    <t>4|10|1320,4|1|5280</t>
  </si>
  <si>
    <t>4|10|1330,4|1|5320</t>
  </si>
  <si>
    <t>4|10|1340,4|1|5360</t>
  </si>
  <si>
    <t>4|10|1350,4|1|5400</t>
  </si>
  <si>
    <t>4|10|1360,4|1|5440</t>
  </si>
  <si>
    <t>4|10|1370,4|1|5480</t>
  </si>
  <si>
    <t>4|10|1380,4|1|5520</t>
  </si>
  <si>
    <t>4|10|1390,4|1|5560</t>
  </si>
  <si>
    <t>4|10|1400,4|1|5600</t>
  </si>
  <si>
    <t>4|10|1410,4|1|5640</t>
  </si>
  <si>
    <t>4|10|1420,4|1|5680</t>
  </si>
  <si>
    <t>4|10|1430,4|1|5720</t>
  </si>
  <si>
    <t>4|10|1440,4|1|5760</t>
  </si>
  <si>
    <t>4|10|1450,4|1|5800</t>
  </si>
  <si>
    <t>4|10|1460,4|1|5840</t>
  </si>
  <si>
    <t>4|10|1470,4|1|5880</t>
  </si>
  <si>
    <t>4|10|1480,4|1|5920</t>
  </si>
  <si>
    <t>4|10|1490,4|1|5960</t>
  </si>
  <si>
    <t>4|10|1500,4|1|6000</t>
  </si>
  <si>
    <t>4|10|5|1,4|1|2000|1</t>
  </si>
  <si>
    <t>4|10|10|1,4|1|2000|1</t>
  </si>
  <si>
    <t>4|10|15|1,4|1|2000|1</t>
  </si>
  <si>
    <t>4|10|20|1,4|1|2000|1</t>
  </si>
  <si>
    <t>4|10|25|1,4|1|2000|1</t>
  </si>
  <si>
    <t>4|10|30|1,4|1|2000|1</t>
  </si>
  <si>
    <t>4|10|35|1,4|1|2000|1</t>
  </si>
  <si>
    <t>4|10|40|1,4|1|2000|1</t>
  </si>
  <si>
    <t>4|10|45|1,4|1|2000|1</t>
  </si>
  <si>
    <t>4|10|50|1,4|1|2000|1</t>
  </si>
  <si>
    <t>4|10|55|1,4|1|2000|1</t>
  </si>
  <si>
    <t>4|10|60|1,4|1|2000|1</t>
  </si>
  <si>
    <t>4|10|65|1,4|1|2000|1</t>
  </si>
  <si>
    <t>4|10|70|1,4|1|2000|1</t>
  </si>
  <si>
    <t>4|10|75|1,4|1|2000|1</t>
  </si>
  <si>
    <t>4|10|80|1,4|1|2000|1</t>
  </si>
  <si>
    <t>4|10|85|1,4|1|2000|1</t>
  </si>
  <si>
    <t>4|10|90|1,4|1|2000|1</t>
  </si>
  <si>
    <t>4|10|95|1,4|1|2000|1</t>
  </si>
  <si>
    <t>4|10|100|1,4|1|2000|1</t>
  </si>
  <si>
    <t>4|10|105|1,4|1|2000|1</t>
  </si>
  <si>
    <t>4|10|110|1,4|1|2000|1</t>
  </si>
  <si>
    <t>4|10|115|1,4|1|2000|1</t>
  </si>
  <si>
    <t>4|10|120|1,4|1|2000|1</t>
  </si>
  <si>
    <t>4|10|125|1,4|1|2000|1</t>
  </si>
  <si>
    <t>4|10|130|1,4|1|2000|1</t>
  </si>
  <si>
    <t>4|10|135|1,4|1|2000|1</t>
  </si>
  <si>
    <t>4|10|140|1,4|1|2000|1</t>
  </si>
  <si>
    <t>4|10|145|1,4|1|2000|1</t>
  </si>
  <si>
    <t>4|10|150|1,4|1|2000|1</t>
  </si>
  <si>
    <t>4|10|155|1,4|1|2000|1</t>
  </si>
  <si>
    <t>4|10|160|1,4|1|2000|1</t>
  </si>
  <si>
    <t>4|10|165|1,4|1|2000|1</t>
  </si>
  <si>
    <t>4|10|170|1,4|1|2000|1</t>
  </si>
  <si>
    <t>4|10|175|1,4|1|2000|1</t>
  </si>
  <si>
    <t>4|10|180|1,4|1|2000|1</t>
  </si>
  <si>
    <t>4|10|185|1,4|1|2000|1</t>
  </si>
  <si>
    <t>4|10|190|1,4|1|2000|1</t>
  </si>
  <si>
    <t>4|10|195|1,4|1|2000|1</t>
  </si>
  <si>
    <t>4|10|200|1,4|1|2000|1</t>
  </si>
  <si>
    <t>4|10|205|1,4|1|2000|1</t>
  </si>
  <si>
    <t>4|10|210|1,4|1|2000|1</t>
  </si>
  <si>
    <t>4|10|215|1,4|1|2000|1</t>
  </si>
  <si>
    <t>4|10|220|1,4|1|2000|1</t>
  </si>
  <si>
    <t>4|10|225|1,4|1|2000|1</t>
  </si>
  <si>
    <t>4|10|230|1,4|1|2000|1</t>
  </si>
  <si>
    <t>4|10|235|1,4|1|2000|1</t>
  </si>
  <si>
    <t>4|10|240|1,4|1|2000|1</t>
  </si>
  <si>
    <t>4|10|245|1,4|1|2000|1</t>
  </si>
  <si>
    <t>4|10|250|1,4|1|2000|1</t>
  </si>
  <si>
    <t>4|10|255|1,4|1|2000|1</t>
  </si>
  <si>
    <t>4|10|260|1,4|1|2000|1</t>
  </si>
  <si>
    <t>4|10|265|1,4|1|2000|1</t>
  </si>
  <si>
    <t>4|10|270|1,4|1|2000|1</t>
  </si>
  <si>
    <t>4|10|275|1,4|1|2000|1</t>
  </si>
  <si>
    <t>4|10|280|1,4|1|2000|1</t>
  </si>
  <si>
    <t>4|10|285|1,4|1|2000|1</t>
  </si>
  <si>
    <t>4|10|290|1,4|1|2000|1</t>
  </si>
  <si>
    <t>4|10|295|1,4|1|2000|1</t>
  </si>
  <si>
    <t>4|10|300|1,4|1|2000|1</t>
  </si>
  <si>
    <t>4|10|305|1,4|1|2000|1</t>
  </si>
  <si>
    <t>4|10|310|1,4|1|2000|1</t>
  </si>
  <si>
    <t>4|10|315|1,4|1|2000|1</t>
  </si>
  <si>
    <t>4|10|320|1,4|1|2000|1</t>
  </si>
  <si>
    <t>4|10|325|1,4|1|2000|1</t>
  </si>
  <si>
    <t>4|10|330|1,4|1|2000|1</t>
  </si>
  <si>
    <t>4|10|335|1,4|1|2000|1</t>
  </si>
  <si>
    <t>4|10|340|1,4|1|2000|1</t>
  </si>
  <si>
    <t>4|10|345|1,4|1|2000|1</t>
  </si>
  <si>
    <t>4|10|350|1,4|1|2000|1</t>
  </si>
  <si>
    <t>4|10|355|1,4|1|2000|1</t>
  </si>
  <si>
    <t>4|10|360|1,4|1|2000|1</t>
  </si>
  <si>
    <t>4|10|365|1,4|1|2000|1</t>
  </si>
  <si>
    <t>4|10|370|1,4|1|2000|1</t>
  </si>
  <si>
    <t>4|10|375|1,4|1|2000|1</t>
  </si>
  <si>
    <t>4|10|380|1,4|1|2000|1</t>
  </si>
  <si>
    <t>4|10|385|1,4|1|2000|1</t>
  </si>
  <si>
    <t>4|10|390|1,4|1|2000|1</t>
  </si>
  <si>
    <t>4|10|395|1,4|1|2000|1</t>
  </si>
  <si>
    <t>4|10|405|1,4|1|2000|1</t>
  </si>
  <si>
    <t>4|10|410|1,4|1|2000|1</t>
  </si>
  <si>
    <t>4|10|415|1,4|1|2000|1</t>
  </si>
  <si>
    <t>4|10|420|1,4|1|2000|1</t>
  </si>
  <si>
    <t>4|10|425|1,4|1|2000|1</t>
  </si>
  <si>
    <t>4|10|430|1,4|1|2000|1</t>
  </si>
  <si>
    <t>4|10|435|1,4|1|2000|1</t>
  </si>
  <si>
    <t>4|10|440|1,4|1|2000|1</t>
  </si>
  <si>
    <t>4|10|445|1,4|1|2000|1</t>
  </si>
  <si>
    <t>4|10|450|1,4|1|2000|1</t>
  </si>
  <si>
    <t>4|10|455|1,4|1|2000|1</t>
  </si>
  <si>
    <t>4|10|460|1,4|1|2000|1</t>
  </si>
  <si>
    <t>4|10|465|1,4|1|2000|1</t>
  </si>
  <si>
    <t>4|10|470|1,4|1|2000|1</t>
  </si>
  <si>
    <t>4|10|475|1,4|1|2000|1</t>
  </si>
  <si>
    <t>4|10|480|1,4|1|2000|1</t>
  </si>
  <si>
    <t>4|10|485|1,4|1|2000|1</t>
  </si>
  <si>
    <t>4|10|490|1,4|1|2000|1</t>
  </si>
  <si>
    <t>4|10|495|1,4|1|2000|1</t>
  </si>
  <si>
    <t>4|10|505|1,4|1|2000|1</t>
  </si>
  <si>
    <t>4|10|510|1,4|1|2000|1</t>
  </si>
  <si>
    <t>4|10|515|1,4|1|2000|1</t>
  </si>
  <si>
    <t>4|10|520|1,4|1|2000|1</t>
  </si>
  <si>
    <t>4|10|525|1,4|1|2000|1</t>
  </si>
  <si>
    <t>4|10|530|1,4|1|2000|1</t>
  </si>
  <si>
    <t>4|10|535|1,4|1|2000|1</t>
  </si>
  <si>
    <t>4|10|540|1,4|1|2000|1</t>
  </si>
  <si>
    <t>4|10|545|1,4|1|2000|1</t>
  </si>
  <si>
    <t>4|10|550|1,4|1|2000|1</t>
  </si>
  <si>
    <t>4|10|555|1,4|1|2000|1</t>
  </si>
  <si>
    <t>4|10|560|1,4|1|2000|1</t>
  </si>
  <si>
    <t>4|10|565|1,4|1|2000|1</t>
  </si>
  <si>
    <t>4|10|570|1,4|1|2000|1</t>
  </si>
  <si>
    <t>4|10|575|1,4|1|2000|1</t>
  </si>
  <si>
    <t>4|10|580|1,4|1|2000|1</t>
  </si>
  <si>
    <t>4|10|585|1,4|1|2000|1</t>
  </si>
  <si>
    <t>4|10|590|1,4|1|2000|1</t>
  </si>
  <si>
    <t>4|10|595|1,4|1|2000|1</t>
  </si>
  <si>
    <t>4|10|600|1,4|1|2000|1</t>
  </si>
  <si>
    <t>4|10|605|1,4|1|2000|1</t>
  </si>
  <si>
    <t>4|10|610|1,4|1|2000|1</t>
  </si>
  <si>
    <t>4|10|615|1,4|1|2000|1</t>
  </si>
  <si>
    <t>4|10|620|1,4|1|2000|1</t>
  </si>
  <si>
    <t>4|10|625|1,4|1|2000|1</t>
  </si>
  <si>
    <t>4|10|630|1,4|1|2000|1</t>
  </si>
  <si>
    <t>4|10|635|1,4|1|2000|1</t>
  </si>
  <si>
    <t>4|10|640|1,4|1|2000|1</t>
  </si>
  <si>
    <t>4|10|645|1,4|1|2000|1</t>
  </si>
  <si>
    <t>4|10|650|1,4|1|2000|1</t>
  </si>
  <si>
    <t>4|10|655|1,4|1|2000|1</t>
  </si>
  <si>
    <t>4|10|660|1,4|1|2000|1</t>
  </si>
  <si>
    <t>4|10|665|1,4|1|2000|1</t>
  </si>
  <si>
    <t>4|10|670|1,4|1|2000|1</t>
  </si>
  <si>
    <t>4|10|675|1,4|1|2000|1</t>
  </si>
  <si>
    <t>4|10|680|1,4|1|2000|1</t>
  </si>
  <si>
    <t>4|10|685|1,4|1|2000|1</t>
  </si>
  <si>
    <t>4|10|690|1,4|1|2000|1</t>
  </si>
  <si>
    <t>4|10|695|1,4|1|2000|1</t>
  </si>
  <si>
    <t>4|10|700|1,4|1|2000|1</t>
  </si>
  <si>
    <t>4|10|705|1,4|1|2000|1</t>
  </si>
  <si>
    <t>4|10|710|1,4|1|2000|1</t>
  </si>
  <si>
    <t>4|10|715|1,4|1|2000|1</t>
  </si>
  <si>
    <t>4|10|720|1,4|1|2000|1</t>
  </si>
  <si>
    <t>4|10|725|1,4|1|2000|1</t>
  </si>
  <si>
    <t>4|10|730|1,4|1|2000|1</t>
  </si>
  <si>
    <t>4|10|735|1,4|1|2000|1</t>
  </si>
  <si>
    <t>4|10|740|1,4|1|2000|1</t>
  </si>
  <si>
    <t>4|10|745|1,4|1|2000|1</t>
  </si>
  <si>
    <t>4|10|750|1,4|1|2000|1</t>
  </si>
  <si>
    <t>4|10|5,4|1|2000</t>
  </si>
  <si>
    <t>4|10|10,4|1|2000</t>
  </si>
  <si>
    <t>4|10|15,4|1|2000</t>
  </si>
  <si>
    <t>4|10|20,4|1|2000</t>
  </si>
  <si>
    <t>4|10|25,4|1|2000</t>
  </si>
  <si>
    <t>4|10|30,4|1|2000</t>
  </si>
  <si>
    <t>4|10|35,4|1|2000</t>
  </si>
  <si>
    <t>4|10|40,4|1|2000</t>
  </si>
  <si>
    <t>4|10|45,4|1|2000</t>
  </si>
  <si>
    <t>4|10|50,4|1|2000</t>
  </si>
  <si>
    <t>4|10|55,4|1|2000</t>
  </si>
  <si>
    <t>4|10|60,4|1|2000</t>
  </si>
  <si>
    <t>4|10|65,4|1|2000</t>
  </si>
  <si>
    <t>4|10|70,4|1|2000</t>
  </si>
  <si>
    <t>4|10|75,4|1|2000</t>
  </si>
  <si>
    <t>4|10|80,4|1|2000</t>
  </si>
  <si>
    <t>4|10|85,4|1|2000</t>
  </si>
  <si>
    <t>4|10|90,4|1|2000</t>
  </si>
  <si>
    <t>4|10|95,4|1|2000</t>
  </si>
  <si>
    <t>4|10|100,4|1|2000</t>
  </si>
  <si>
    <t>4|10|105,4|1|2000</t>
  </si>
  <si>
    <t>4|10|110,4|1|2000</t>
  </si>
  <si>
    <t>4|10|115,4|1|2000</t>
  </si>
  <si>
    <t>4|10|120,4|1|2000</t>
  </si>
  <si>
    <t>4|10|125,4|1|2000</t>
  </si>
  <si>
    <t>4|10|130,4|1|2000</t>
  </si>
  <si>
    <t>4|10|135,4|1|2000</t>
  </si>
  <si>
    <t>4|10|140,4|1|2000</t>
  </si>
  <si>
    <t>4|10|145,4|1|2000</t>
  </si>
  <si>
    <t>4|10|150,4|1|2000</t>
  </si>
  <si>
    <t>4|10|155,4|1|2000</t>
  </si>
  <si>
    <t>4|10|160,4|1|2000</t>
  </si>
  <si>
    <t>4|10|165,4|1|2000</t>
  </si>
  <si>
    <t>4|10|170,4|1|2000</t>
  </si>
  <si>
    <t>4|10|175,4|1|2000</t>
  </si>
  <si>
    <t>4|10|180,4|1|2000</t>
  </si>
  <si>
    <t>4|10|185,4|1|2000</t>
  </si>
  <si>
    <t>4|10|190,4|1|2000</t>
  </si>
  <si>
    <t>4|10|195,4|1|2000</t>
  </si>
  <si>
    <t>4|10|200,4|1|2000</t>
  </si>
  <si>
    <t>4|10|205,4|1|2000</t>
  </si>
  <si>
    <t>4|10|210,4|1|2000</t>
  </si>
  <si>
    <t>4|10|215,4|1|2000</t>
  </si>
  <si>
    <t>4|10|220,4|1|2000</t>
  </si>
  <si>
    <t>4|10|225,4|1|2000</t>
  </si>
  <si>
    <t>4|10|230,4|1|2000</t>
  </si>
  <si>
    <t>4|10|235,4|1|2000</t>
  </si>
  <si>
    <t>4|10|240,4|1|2000</t>
  </si>
  <si>
    <t>4|10|245,4|1|2000</t>
  </si>
  <si>
    <t>4|10|250,4|1|2000</t>
  </si>
  <si>
    <t>4|10|255,4|1|2000</t>
  </si>
  <si>
    <t>4|10|260,4|1|2000</t>
  </si>
  <si>
    <t>4|10|265,4|1|2000</t>
  </si>
  <si>
    <t>4|10|270,4|1|2000</t>
  </si>
  <si>
    <t>4|10|275,4|1|2000</t>
  </si>
  <si>
    <t>4|10|280,4|1|2000</t>
  </si>
  <si>
    <t>4|10|285,4|1|2000</t>
  </si>
  <si>
    <t>4|10|290,4|1|2000</t>
  </si>
  <si>
    <t>4|10|295,4|1|2000</t>
  </si>
  <si>
    <t>4|10|300,4|1|2000</t>
  </si>
  <si>
    <t>4|10|305,4|1|2000</t>
  </si>
  <si>
    <t>4|10|310,4|1|2000</t>
  </si>
  <si>
    <t>4|10|315,4|1|2000</t>
  </si>
  <si>
    <t>4|10|320,4|1|2000</t>
  </si>
  <si>
    <t>4|10|325,4|1|2000</t>
  </si>
  <si>
    <t>4|10|330,4|1|2000</t>
  </si>
  <si>
    <t>4|10|335,4|1|2000</t>
  </si>
  <si>
    <t>4|10|340,4|1|2000</t>
  </si>
  <si>
    <t>4|10|345,4|1|2000</t>
  </si>
  <si>
    <t>4|10|350,4|1|2000</t>
  </si>
  <si>
    <t>4|10|355,4|1|2000</t>
  </si>
  <si>
    <t>4|10|360,4|1|2000</t>
  </si>
  <si>
    <t>4|10|365,4|1|2000</t>
  </si>
  <si>
    <t>4|10|370,4|1|2000</t>
  </si>
  <si>
    <t>4|10|375,4|1|2000</t>
  </si>
  <si>
    <t>4|10|380,4|1|2000</t>
  </si>
  <si>
    <t>4|10|385,4|1|2000</t>
  </si>
  <si>
    <t>4|10|390,4|1|2000</t>
  </si>
  <si>
    <t>4|10|395,4|1|2000</t>
  </si>
  <si>
    <t>4|10|405,4|1|2000</t>
  </si>
  <si>
    <t>4|10|410,4|1|2000</t>
  </si>
  <si>
    <t>4|10|415,4|1|2000</t>
  </si>
  <si>
    <t>4|10|420,4|1|2000</t>
  </si>
  <si>
    <t>4|10|425,4|1|2000</t>
  </si>
  <si>
    <t>4|10|430,4|1|2000</t>
  </si>
  <si>
    <t>4|10|435,4|1|2000</t>
  </si>
  <si>
    <t>4|10|440,4|1|2000</t>
  </si>
  <si>
    <t>4|10|445,4|1|2000</t>
  </si>
  <si>
    <t>4|10|450,4|1|2000</t>
  </si>
  <si>
    <t>4|10|455,4|1|2000</t>
  </si>
  <si>
    <t>4|10|460,4|1|2000</t>
  </si>
  <si>
    <t>4|10|465,4|1|2000</t>
  </si>
  <si>
    <t>4|10|470,4|1|2000</t>
  </si>
  <si>
    <t>4|10|475,4|1|2000</t>
  </si>
  <si>
    <t>4|10|480,4|1|2000</t>
  </si>
  <si>
    <t>4|10|485,4|1|2000</t>
  </si>
  <si>
    <t>4|10|490,4|1|2000</t>
  </si>
  <si>
    <t>4|10|495,4|1|2000</t>
  </si>
  <si>
    <t>4|10|505,4|1|2000</t>
  </si>
  <si>
    <t>4|10|510,4|1|2000</t>
  </si>
  <si>
    <t>4|10|515,4|1|2000</t>
  </si>
  <si>
    <t>4|10|520,4|1|2000</t>
  </si>
  <si>
    <t>4|10|525,4|1|2000</t>
  </si>
  <si>
    <t>4|10|530,4|1|2000</t>
  </si>
  <si>
    <t>4|10|535,4|1|2000</t>
  </si>
  <si>
    <t>4|10|540,4|1|2000</t>
  </si>
  <si>
    <t>4|10|545,4|1|2000</t>
  </si>
  <si>
    <t>4|10|550,4|1|2000</t>
  </si>
  <si>
    <t>4|10|555,4|1|2000</t>
  </si>
  <si>
    <t>4|10|560,4|1|2000</t>
  </si>
  <si>
    <t>4|10|565,4|1|2000</t>
  </si>
  <si>
    <t>4|10|570,4|1|2000</t>
  </si>
  <si>
    <t>4|10|575,4|1|2000</t>
  </si>
  <si>
    <t>4|10|580,4|1|2000</t>
  </si>
  <si>
    <t>4|10|585,4|1|2000</t>
  </si>
  <si>
    <t>4|10|590,4|1|2000</t>
  </si>
  <si>
    <t>4|10|595,4|1|2000</t>
  </si>
  <si>
    <t>4|10|600,4|1|2000</t>
  </si>
  <si>
    <t>4|10|605,4|1|2000</t>
  </si>
  <si>
    <t>4|10|610,4|1|2000</t>
  </si>
  <si>
    <t>4|10|615,4|1|2000</t>
  </si>
  <si>
    <t>4|10|620,4|1|2000</t>
  </si>
  <si>
    <t>4|10|625,4|1|2000</t>
  </si>
  <si>
    <t>4|10|630,4|1|2000</t>
  </si>
  <si>
    <t>4|10|635,4|1|2000</t>
  </si>
  <si>
    <t>4|10|640,4|1|2000</t>
  </si>
  <si>
    <t>4|10|645,4|1|2000</t>
  </si>
  <si>
    <t>4|10|650,4|1|2000</t>
  </si>
  <si>
    <t>4|10|655,4|1|2000</t>
  </si>
  <si>
    <t>4|10|660,4|1|2000</t>
  </si>
  <si>
    <t>4|10|665,4|1|2000</t>
  </si>
  <si>
    <t>4|10|670,4|1|2000</t>
  </si>
  <si>
    <t>4|10|675,4|1|2000</t>
  </si>
  <si>
    <t>4|10|680,4|1|2000</t>
  </si>
  <si>
    <t>4|10|685,4|1|2000</t>
  </si>
  <si>
    <t>4|10|690,4|1|2000</t>
  </si>
  <si>
    <t>4|10|695,4|1|2000</t>
  </si>
  <si>
    <t>4|10|700,4|1|2000</t>
  </si>
  <si>
    <t>4|10|705,4|1|2000</t>
  </si>
  <si>
    <t>4|10|710,4|1|2000</t>
  </si>
  <si>
    <t>4|10|715,4|1|2000</t>
  </si>
  <si>
    <t>4|10|720,4|1|2000</t>
  </si>
  <si>
    <t>4|10|725,4|1|2000</t>
  </si>
  <si>
    <t>4|10|730,4|1|2000</t>
  </si>
  <si>
    <t>4|10|735,4|1|2000</t>
  </si>
  <si>
    <t>4|10|740,4|1|2000</t>
  </si>
  <si>
    <t>4|10|745,4|1|2000</t>
  </si>
  <si>
    <t>4|10|750,4|1|2000</t>
  </si>
  <si>
    <t>4|1|250000|1,4|5|5000|1</t>
  </si>
  <si>
    <t>4|1|225000|1,4|5|4800|1</t>
  </si>
  <si>
    <t>4|1|200000|1,4|5|4500|1</t>
  </si>
  <si>
    <t>4|1|180000|1,4|5|4200|1</t>
  </si>
  <si>
    <t>4|1|160000|1,4|5|4000|1</t>
  </si>
  <si>
    <t>4|1|140000|1,4|5|3600|1</t>
  </si>
  <si>
    <t>4|1|120000|1,4|5|3300|1</t>
  </si>
  <si>
    <t>4|1|100000|1,4|5|3000|1</t>
  </si>
  <si>
    <t>4|1|75000|1,4|5|2500|1</t>
  </si>
  <si>
    <t>4|1|50000|1,4|5|2000|1</t>
  </si>
  <si>
    <t>4|1|250000,4|5|5000</t>
  </si>
  <si>
    <t>4|1|225000,4|5|4800</t>
  </si>
  <si>
    <t>4|1|200000,4|5|4500</t>
  </si>
  <si>
    <t>4|1|180000,4|5|4200</t>
  </si>
  <si>
    <t>4|1|160000,4|5|4000</t>
  </si>
  <si>
    <t>4|1|140000,4|5|3600</t>
  </si>
  <si>
    <t>4|1|120000,4|5|3300</t>
  </si>
  <si>
    <t>4|1|100000,4|5|3000</t>
  </si>
  <si>
    <t>4|1|75000,4|5|2500</t>
  </si>
  <si>
    <t>4|1|50000,4|5|2000</t>
  </si>
  <si>
    <t>4|1|10000|1</t>
    <phoneticPr fontId="21" type="noConversion"/>
  </si>
  <si>
    <t>1|14003|1|30</t>
    <phoneticPr fontId="20" type="noConversion"/>
  </si>
  <si>
    <t>4|2|10|10,4|1|10000|10,1|16005|2|10,1|14107|10|10,1|14305|1|6,6|4501|2|10,1|17000|2|10,1|14102|1|10,1|14201|2|10,1|14003|1|10,1|14101|1|2,1|14108|1|2</t>
  </si>
  <si>
    <t>大闹三界宝箱奖励-铜钱</t>
    <phoneticPr fontId="21" type="noConversion"/>
  </si>
  <si>
    <t>大闹三界宝箱奖励-洗炼丹</t>
    <phoneticPr fontId="21" type="noConversion"/>
  </si>
  <si>
    <t>大闹三界宝箱奖励-洗炼突破丹</t>
    <phoneticPr fontId="21" type="noConversion"/>
  </si>
  <si>
    <t>主角达到15级</t>
  </si>
  <si>
    <t>主角达到25级</t>
  </si>
  <si>
    <t>主角达到35级</t>
  </si>
  <si>
    <t>主角达到45级</t>
  </si>
  <si>
    <t>主角达到55级</t>
  </si>
  <si>
    <t>主角达到65级</t>
  </si>
  <si>
    <t>主角达到75级</t>
  </si>
  <si>
    <t>主角达到85级</t>
  </si>
  <si>
    <t>主角达到95级</t>
  </si>
  <si>
    <t>主角达到105级</t>
  </si>
  <si>
    <t>主角达到115级</t>
  </si>
  <si>
    <t>主角达到125级</t>
  </si>
  <si>
    <t>主角达到135级</t>
  </si>
  <si>
    <t>主角达到145级</t>
  </si>
  <si>
    <t>主角达到155级</t>
  </si>
  <si>
    <t>主角达到160级</t>
  </si>
  <si>
    <t>主角达到165级</t>
  </si>
  <si>
    <t>主角达到170级</t>
  </si>
  <si>
    <t>主角达到175级</t>
  </si>
  <si>
    <t>主角达到180级</t>
  </si>
  <si>
    <t>主角达到185级</t>
  </si>
  <si>
    <t>主角达到190级</t>
  </si>
  <si>
    <t>主角达到195级</t>
  </si>
  <si>
    <t>主角达到200级</t>
  </si>
  <si>
    <t>主角达到205级</t>
  </si>
  <si>
    <t>主角达到210级</t>
  </si>
  <si>
    <t>主角达到215级</t>
  </si>
  <si>
    <t>主角达到220级</t>
  </si>
  <si>
    <t>主角达到225级</t>
  </si>
  <si>
    <t>主角达到230级</t>
  </si>
  <si>
    <t>主角达到235级</t>
  </si>
  <si>
    <t>主角达到240级</t>
  </si>
  <si>
    <t>主角达到245级</t>
  </si>
  <si>
    <t>主角达到250级</t>
  </si>
  <si>
    <t>主角达到255级</t>
  </si>
  <si>
    <t>主角达到260级</t>
  </si>
  <si>
    <t>主角达到265级</t>
  </si>
  <si>
    <t>主角达到270级</t>
  </si>
  <si>
    <t>主角达到275级</t>
  </si>
  <si>
    <t>主角达到280级</t>
  </si>
  <si>
    <t>主角达到285级</t>
  </si>
  <si>
    <t>主角达到290级</t>
  </si>
  <si>
    <t>主角达到295级</t>
  </si>
  <si>
    <t>主角达到300级</t>
  </si>
  <si>
    <t>主角达到305级</t>
  </si>
  <si>
    <t>主角达到310级</t>
  </si>
  <si>
    <t>主角达到315级</t>
  </si>
  <si>
    <t>主角达到320级</t>
  </si>
  <si>
    <t>主角达到325级</t>
  </si>
  <si>
    <t>主角达到330级</t>
  </si>
  <si>
    <t>主角达到335级</t>
  </si>
  <si>
    <t>主角达到340级</t>
  </si>
  <si>
    <t>主角达到345级</t>
  </si>
  <si>
    <t>主角达到350级</t>
  </si>
  <si>
    <t>主角达到355级</t>
  </si>
  <si>
    <t>主角达到360级</t>
  </si>
  <si>
    <t>主角达到365级</t>
  </si>
  <si>
    <t>主角达到370级</t>
  </si>
  <si>
    <t>主角达到375级</t>
  </si>
  <si>
    <t>主角达到5级</t>
  </si>
  <si>
    <t>1|14211|2</t>
  </si>
  <si>
    <t>1|14211|3</t>
  </si>
  <si>
    <t>1|14211|2|1</t>
  </si>
  <si>
    <t>1|14201|6|1</t>
  </si>
  <si>
    <t>1|17001|5|1</t>
  </si>
  <si>
    <t>1|14211|3|1</t>
  </si>
  <si>
    <t>1|14201|6</t>
  </si>
  <si>
    <t>1|17001|5</t>
  </si>
  <si>
    <t>1|17001|2|1</t>
  </si>
  <si>
    <t>1|14201|3|1</t>
  </si>
  <si>
    <t>1|16005|3|1</t>
  </si>
  <si>
    <t>1|17001|3|1</t>
  </si>
  <si>
    <t>1|17001|4|1</t>
  </si>
  <si>
    <t>1|17001|2</t>
  </si>
  <si>
    <t>1|14201|3</t>
  </si>
  <si>
    <t>1|16005|3</t>
  </si>
  <si>
    <t>1|17001|3</t>
  </si>
  <si>
    <t>1|17001|4</t>
  </si>
  <si>
    <t>4|10|1520,4|1|6080</t>
  </si>
  <si>
    <t>4|10|1540,4|1|6160</t>
  </si>
  <si>
    <t>4|10|1560,4|1|6240</t>
  </si>
  <si>
    <t>4|10|1580,4|1|6320</t>
  </si>
  <si>
    <t>4|10|1600,4|1|6400</t>
  </si>
  <si>
    <t>4|10|1620,4|1|6480</t>
  </si>
  <si>
    <t>4|10|1640,4|1|6560</t>
  </si>
  <si>
    <t>4|10|1660,4|1|6640</t>
  </si>
  <si>
    <t>4|10|1680,4|1|6720</t>
  </si>
  <si>
    <t>4|10|1700,4|1|6800</t>
  </si>
  <si>
    <t>4|10|1720,4|1|6880</t>
  </si>
  <si>
    <t>4|10|1740,4|1|6960</t>
  </si>
  <si>
    <t>4|10|1760,4|1|7040</t>
  </si>
  <si>
    <t>4|10|1780,4|1|7120</t>
  </si>
  <si>
    <t>4|10|1800,4|1|7200</t>
  </si>
  <si>
    <t>4|10|1820,4|1|7280</t>
  </si>
  <si>
    <t>4|10|1840,4|1|7360</t>
  </si>
  <si>
    <t>4|10|1860,4|1|7440</t>
  </si>
  <si>
    <t>4|10|1880,4|1|7520</t>
  </si>
  <si>
    <t>4|10|1900,4|1|7600</t>
  </si>
  <si>
    <t>4|10|1920,4|1|7680</t>
  </si>
  <si>
    <t>4|10|1940,4|1|7760</t>
  </si>
  <si>
    <t>4|10|1960,4|1|7840</t>
  </si>
  <si>
    <t>4|10|1980,4|1|7920</t>
  </si>
  <si>
    <t>4|10|2000,4|1|8000</t>
  </si>
  <si>
    <t>4|10|2020,4|1|8080</t>
  </si>
  <si>
    <t>4|10|2040,4|1|8160</t>
  </si>
  <si>
    <t>4|10|2060,4|1|8240</t>
  </si>
  <si>
    <t>4|10|2080,4|1|8320</t>
  </si>
  <si>
    <t>4|10|2100,4|1|8400</t>
  </si>
  <si>
    <t>4|10|2120,4|1|8480</t>
  </si>
  <si>
    <t>4|10|2140,4|1|8560</t>
  </si>
  <si>
    <t>4|10|2160,4|1|8640</t>
  </si>
  <si>
    <t>4|10|2180,4|1|8720</t>
  </si>
  <si>
    <t>4|10|2200,4|1|8800</t>
  </si>
  <si>
    <t>4|10|2220,4|1|8880</t>
  </si>
  <si>
    <t>4|10|2240,4|1|8960</t>
  </si>
  <si>
    <t>4|10|2260,4|1|9040</t>
  </si>
  <si>
    <t>4|10|2280,4|1|9120</t>
  </si>
  <si>
    <t>4|10|2300,4|1|9200</t>
  </si>
  <si>
    <t>4|10|2320,4|1|9280</t>
  </si>
  <si>
    <t>4|10|2340,4|1|9360</t>
  </si>
  <si>
    <t>4|10|2360,4|1|9440</t>
  </si>
  <si>
    <t>4|10|2380,4|1|9520</t>
  </si>
  <si>
    <t>4|10|2400,4|1|9600</t>
  </si>
  <si>
    <t>4|10|2420,4|1|9680</t>
  </si>
  <si>
    <t>4|10|2440,4|1|9760</t>
  </si>
  <si>
    <t>4|10|2460,4|1|9840</t>
  </si>
  <si>
    <t>4|10|2480,4|1|9920</t>
  </si>
  <si>
    <t>4|10|2500,4|1|10000</t>
  </si>
  <si>
    <t>4|10|2520,4|1|10080</t>
  </si>
  <si>
    <t>4|10|2540,4|1|10160</t>
  </si>
  <si>
    <t>4|10|2560,4|1|10240</t>
  </si>
  <si>
    <t>4|10|2580,4|1|10320</t>
  </si>
  <si>
    <t>4|10|2600,4|1|10400</t>
  </si>
  <si>
    <t>4|10|2620,4|1|10480</t>
  </si>
  <si>
    <t>4|10|2640,4|1|10560</t>
  </si>
  <si>
    <t>4|10|2660,4|1|10640</t>
  </si>
  <si>
    <t>4|10|2680,4|1|10720</t>
  </si>
  <si>
    <t>4|10|2700,4|1|10800</t>
  </si>
  <si>
    <t>4|10|2720,4|1|10880</t>
  </si>
  <si>
    <t>4|10|2740,4|1|10960</t>
  </si>
  <si>
    <t>4|10|2760,4|1|11040</t>
  </si>
  <si>
    <t>4|10|2780,4|1|11120</t>
  </si>
  <si>
    <t>4|10|2800,4|1|11200</t>
  </si>
  <si>
    <t>4|10|2820,4|1|11280</t>
  </si>
  <si>
    <t>4|10|2840,4|1|11360</t>
  </si>
  <si>
    <t>4|10|2860,4|1|11440</t>
  </si>
  <si>
    <t>4|10|2880,4|1|11520</t>
  </si>
  <si>
    <t>4|10|2900,4|1|11600</t>
  </si>
  <si>
    <t>4|10|2920,4|1|11680</t>
  </si>
  <si>
    <t>4|10|2940,4|1|11760</t>
  </si>
  <si>
    <t>4|10|2960,4|1|11840</t>
  </si>
  <si>
    <t>4|10|2980,4|1|11920</t>
  </si>
  <si>
    <t>4|10|3000,4|1|12000</t>
  </si>
  <si>
    <t>4|10|1520|1,4|1|6080|1</t>
  </si>
  <si>
    <t>4|10|1540|1,4|1|6160|1</t>
  </si>
  <si>
    <t>4|10|1560|1,4|1|6240|1</t>
  </si>
  <si>
    <t>4|10|1580|1,4|1|6320|1</t>
  </si>
  <si>
    <t>4|10|1600|1,4|1|6400|1</t>
  </si>
  <si>
    <t>4|10|1620|1,4|1|6480|1</t>
  </si>
  <si>
    <t>4|10|1640|1,4|1|6560|1</t>
  </si>
  <si>
    <t>4|10|1660|1,4|1|6640|1</t>
  </si>
  <si>
    <t>4|10|1680|1,4|1|6720|1</t>
  </si>
  <si>
    <t>4|10|1700|1,4|1|6800|1</t>
  </si>
  <si>
    <t>4|10|1720|1,4|1|6880|1</t>
  </si>
  <si>
    <t>4|10|1740|1,4|1|6960|1</t>
  </si>
  <si>
    <t>4|10|1760|1,4|1|7040|1</t>
  </si>
  <si>
    <t>4|10|1780|1,4|1|7120|1</t>
  </si>
  <si>
    <t>4|10|1800|1,4|1|7200|1</t>
  </si>
  <si>
    <t>4|10|1820|1,4|1|7280|1</t>
  </si>
  <si>
    <t>4|10|1840|1,4|1|7360|1</t>
  </si>
  <si>
    <t>4|10|1860|1,4|1|7440|1</t>
  </si>
  <si>
    <t>4|10|1880|1,4|1|7520|1</t>
  </si>
  <si>
    <t>4|10|1900|1,4|1|7600|1</t>
  </si>
  <si>
    <t>4|10|1920|1,4|1|7680|1</t>
  </si>
  <si>
    <t>4|10|1940|1,4|1|7760|1</t>
  </si>
  <si>
    <t>4|10|1960|1,4|1|7840|1</t>
  </si>
  <si>
    <t>4|10|1980|1,4|1|7920|1</t>
  </si>
  <si>
    <t>4|10|2000|1,4|1|8000|1</t>
  </si>
  <si>
    <t>4|10|2020|1,4|1|8080|1</t>
  </si>
  <si>
    <t>4|10|2040|1,4|1|8160|1</t>
  </si>
  <si>
    <t>4|10|2060|1,4|1|8240|1</t>
  </si>
  <si>
    <t>4|10|2080|1,4|1|8320|1</t>
  </si>
  <si>
    <t>4|10|2100|1,4|1|8400|1</t>
  </si>
  <si>
    <t>4|10|2120|1,4|1|8480|1</t>
  </si>
  <si>
    <t>4|10|2140|1,4|1|8560|1</t>
  </si>
  <si>
    <t>4|10|2160|1,4|1|8640|1</t>
  </si>
  <si>
    <t>4|10|2180|1,4|1|8720|1</t>
  </si>
  <si>
    <t>4|10|2200|1,4|1|8800|1</t>
  </si>
  <si>
    <t>4|10|2220|1,4|1|8880|1</t>
  </si>
  <si>
    <t>4|10|2240|1,4|1|8960|1</t>
  </si>
  <si>
    <t>4|10|2260|1,4|1|9040|1</t>
  </si>
  <si>
    <t>4|10|2280|1,4|1|9120|1</t>
  </si>
  <si>
    <t>4|10|2300|1,4|1|9200|1</t>
  </si>
  <si>
    <t>4|10|2320|1,4|1|9280|1</t>
  </si>
  <si>
    <t>4|10|2340|1,4|1|9360|1</t>
  </si>
  <si>
    <t>4|10|2360|1,4|1|9440|1</t>
  </si>
  <si>
    <t>4|10|2380|1,4|1|9520|1</t>
  </si>
  <si>
    <t>4|10|2400|1,4|1|9600|1</t>
  </si>
  <si>
    <t>4|10|2420|1,4|1|9680|1</t>
  </si>
  <si>
    <t>4|10|2440|1,4|1|9760|1</t>
  </si>
  <si>
    <t>4|10|2460|1,4|1|9840|1</t>
  </si>
  <si>
    <t>4|10|2480|1,4|1|9920|1</t>
  </si>
  <si>
    <t>4|10|2500|1,4|1|10000|1</t>
  </si>
  <si>
    <t>4|10|2520|1,4|1|10080|1</t>
  </si>
  <si>
    <t>4|10|2540|1,4|1|10160|1</t>
  </si>
  <si>
    <t>4|10|2560|1,4|1|10240|1</t>
  </si>
  <si>
    <t>4|10|2580|1,4|1|10320|1</t>
  </si>
  <si>
    <t>4|10|2600|1,4|1|10400|1</t>
  </si>
  <si>
    <t>4|10|2620|1,4|1|10480|1</t>
  </si>
  <si>
    <t>4|10|2640|1,4|1|10560|1</t>
  </si>
  <si>
    <t>4|10|2660|1,4|1|10640|1</t>
  </si>
  <si>
    <t>4|10|2680|1,4|1|10720|1</t>
  </si>
  <si>
    <t>4|10|2700|1,4|1|10800|1</t>
  </si>
  <si>
    <t>4|10|2720|1,4|1|10880|1</t>
  </si>
  <si>
    <t>4|10|2740|1,4|1|10960|1</t>
  </si>
  <si>
    <t>4|10|2760|1,4|1|11040|1</t>
  </si>
  <si>
    <t>4|10|2780|1,4|1|11120|1</t>
  </si>
  <si>
    <t>4|10|2800|1,4|1|11200|1</t>
  </si>
  <si>
    <t>4|10|2820|1,4|1|11280|1</t>
  </si>
  <si>
    <t>4|10|2840|1,4|1|11360|1</t>
  </si>
  <si>
    <t>4|10|2860|1,4|1|11440|1</t>
  </si>
  <si>
    <t>4|10|2880|1,4|1|11520|1</t>
  </si>
  <si>
    <t>4|10|2900|1,4|1|11600|1</t>
  </si>
  <si>
    <t>4|10|2920|1,4|1|11680|1</t>
  </si>
  <si>
    <t>4|10|2940|1,4|1|11760|1</t>
  </si>
  <si>
    <t>4|10|2960|1,4|1|11840|1</t>
  </si>
  <si>
    <t>4|10|2980|1,4|1|11920|1</t>
  </si>
  <si>
    <t>4|10|3000|1,4|1|12000|1</t>
  </si>
  <si>
    <t>1|10042|1|1,1|10043|1|1,1|10046|1|1,1|10047|1|1,1|10048|1|1,1|10055|1|1,1|10056|1|1,1|10057|1|1,1|10058|1|1,1|10059|1|1,1|10062|1|1,1|10063|1|1,1|10405|1|1,1|10406|1|1,1|10407|1|1,1|10408|1|1,1|10918|1|1</t>
  </si>
  <si>
    <t>主角等级达到15级</t>
  </si>
  <si>
    <t>主角等级达到20级</t>
  </si>
  <si>
    <t>主角等级达到25级</t>
  </si>
  <si>
    <t>主角等级达到35级</t>
  </si>
  <si>
    <t>主角等级达到45级</t>
  </si>
  <si>
    <t>主角等级达到55级</t>
  </si>
  <si>
    <t>主角等级达到60级</t>
  </si>
  <si>
    <t>购买人数达到300即可领取</t>
  </si>
  <si>
    <t>购买人数达到5000即可领取</t>
  </si>
  <si>
    <t>2|2061|1</t>
    <phoneticPr fontId="21" type="noConversion"/>
  </si>
  <si>
    <t>2|2061|1|1</t>
    <phoneticPr fontId="21" type="noConversion"/>
  </si>
  <si>
    <t>[]</t>
    <phoneticPr fontId="21" type="noConversion"/>
  </si>
  <si>
    <t>[]</t>
    <phoneticPr fontId="21" type="noConversion"/>
  </si>
  <si>
    <t>法宝抢夺结算翻牌奖励-经验法宝碎片</t>
    <phoneticPr fontId="21" type="noConversion"/>
  </si>
  <si>
    <t>累计充值100元</t>
  </si>
  <si>
    <t>累计充值200元</t>
  </si>
  <si>
    <t>累计充值300元</t>
  </si>
  <si>
    <t>累计充值400元</t>
  </si>
  <si>
    <t>累计充值500元</t>
  </si>
  <si>
    <t>大雁塔最高达到30层</t>
  </si>
  <si>
    <t>大雁塔最高达到35层</t>
  </si>
  <si>
    <t>大雁塔最高达到40层</t>
  </si>
  <si>
    <t>大雁塔最高达到45层</t>
  </si>
  <si>
    <t>1|17000|50</t>
  </si>
  <si>
    <t>1|17000|50|1</t>
  </si>
  <si>
    <t>累计充值600元</t>
  </si>
  <si>
    <t>累计充值800元</t>
  </si>
  <si>
    <t>大闹三界通关地狱道简单难度</t>
  </si>
  <si>
    <t>大闹三界通关地狱道困难难度</t>
  </si>
  <si>
    <t>1|16010|20|1</t>
  </si>
  <si>
    <t>上阵伙伴穿戴的20件装备精炼等级到达2级</t>
  </si>
  <si>
    <t>上阵伙伴穿戴的20件装备精炼等级到达4级</t>
  </si>
  <si>
    <t>累计充值1000元</t>
  </si>
  <si>
    <t>累计充值1200元</t>
  </si>
  <si>
    <t>精英副本通关第二章</t>
  </si>
  <si>
    <t>精英副本通关第四章</t>
  </si>
  <si>
    <t>精英副本通关第六章</t>
  </si>
  <si>
    <t>精英副本通关第八章</t>
  </si>
  <si>
    <t>精英副本通关第十章</t>
  </si>
  <si>
    <t>精英副本通关第十二章</t>
  </si>
  <si>
    <t>精英副本通关第十四章</t>
  </si>
  <si>
    <t>精英副本通关第十六章</t>
  </si>
  <si>
    <t>大雁塔最高达到50层</t>
  </si>
  <si>
    <t>累计充值2000元</t>
  </si>
  <si>
    <t>4|5|1500</t>
  </si>
  <si>
    <t>4|5|1500|1</t>
  </si>
  <si>
    <t>1|14523|1,1|14504|1</t>
  </si>
  <si>
    <t>7日活动大礼包（2）</t>
    <phoneticPr fontId="17" type="noConversion"/>
  </si>
  <si>
    <t>1|14523|1|1,1|14504|1|1</t>
  </si>
  <si>
    <t>1|14306|20,1|14108|2</t>
  </si>
  <si>
    <t>7日活动大礼包（3）</t>
  </si>
  <si>
    <t>1|14306|20|1,1|14108|2|1</t>
  </si>
  <si>
    <t>1|14306|30,1|14107|1000</t>
  </si>
  <si>
    <t>7日活动大礼包（4）</t>
  </si>
  <si>
    <t>1|14306|30|1,1|14107|1000|1</t>
  </si>
  <si>
    <t>1|14303|20,1|17001|400</t>
  </si>
  <si>
    <t>7日活动大礼包（5）</t>
  </si>
  <si>
    <t>1|14303|20|1,1|17001|400|1</t>
  </si>
  <si>
    <t>1|14529|1,1|17001|400</t>
  </si>
  <si>
    <t>7日活动大礼包（6）</t>
  </si>
  <si>
    <t>1|14529|1|1,1|17001|400|1</t>
  </si>
  <si>
    <t>1|14303|10,1|16005|800,1|16010|100</t>
  </si>
  <si>
    <t>7日活动大礼包（7）</t>
  </si>
  <si>
    <t>1|14303|10|1,1|16005|800|1,1|16010|100|1</t>
  </si>
  <si>
    <t>1|14303|20,1|16005|1200,1|16010|200</t>
  </si>
  <si>
    <t>7日活动大礼包（8）</t>
  </si>
  <si>
    <t>1|14303|20|1,1|16005|1200|1,1|16010|200|1</t>
  </si>
  <si>
    <t>1|14506|60,4|4|2000,1|14102|150</t>
  </si>
  <si>
    <t>7日活动大礼包（9）</t>
  </si>
  <si>
    <t>1|14506|60|1,4|4|2000|1,1|14102|150|1</t>
  </si>
  <si>
    <t>1|14506|100,4|4|3000,1|14102|200</t>
  </si>
  <si>
    <t>7日活动大礼包（10）</t>
  </si>
  <si>
    <t>1|14506|100|1,4|4|3000|1,1|14102|200|1</t>
  </si>
  <si>
    <t>1|14550|15,1|14201|1000</t>
  </si>
  <si>
    <t>7日活动大礼包（11）</t>
  </si>
  <si>
    <t>1|14550|15|1,1|14201|1000|1</t>
  </si>
  <si>
    <t>1|14550|20,1|14201|1200</t>
  </si>
  <si>
    <t>7日活动大礼包（12）</t>
  </si>
  <si>
    <t>1|14550|20|1,1|14201|1200|1</t>
  </si>
  <si>
    <t>1|14535|10,1|17002|80</t>
  </si>
  <si>
    <t>7日活动大礼包（13）</t>
  </si>
  <si>
    <t>1|14535|10|1,1|17002|80|1</t>
  </si>
  <si>
    <t>1|14529|1,1|17002|120</t>
  </si>
  <si>
    <t>7日活动大礼包（14）</t>
  </si>
  <si>
    <t>1|14529|1|1,1|17002|120|1</t>
  </si>
  <si>
    <t>橙色法宝随机箱</t>
    <phoneticPr fontId="17" type="noConversion"/>
  </si>
  <si>
    <t>6|3005|1,6|3006|1,6|3007|1,6|3008|1,6|3011|1,6|3012|1,6|3013|1,6|3014|1,6|4503|1,6|4504|1</t>
  </si>
  <si>
    <t>高级法宝随机箱</t>
    <phoneticPr fontId="17" type="noConversion"/>
  </si>
  <si>
    <t>6|3005|1|1,6|3006|1|1,6|3007|1|1,6|3008|1|1,6|3011|1|1,6|3012|1|1,6|3013|1|1,6|3014|1|1,6|4503|1|1,6|4504|1|1</t>
  </si>
  <si>
    <t>橙色装备选择箱</t>
    <phoneticPr fontId="21" type="noConversion"/>
  </si>
  <si>
    <t>4|10|50,4|1|1000</t>
  </si>
  <si>
    <t>4|1|2000,4|3|100</t>
  </si>
  <si>
    <t>4|5|100,4|1|2000</t>
  </si>
  <si>
    <t>4|1|96000,4|2|20,1|14003|1,1|14101|1</t>
  </si>
  <si>
    <t>1|14001|0,1|14107|0</t>
  </si>
  <si>
    <t>1|12037|1,1|12042|1,1|12047|1,1|12052|1</t>
  </si>
  <si>
    <t>1|10001|1,1|10002|1,1|10003|1</t>
  </si>
  <si>
    <t>1|14002|1,1|14003|1,1|14004|1,1|14104|1,1|16005|1</t>
  </si>
  <si>
    <t>2|2061|1,2|2062|1,2|2063|1,2|2064|1</t>
  </si>
  <si>
    <t>4|10|50|1,4|1|1000|1</t>
  </si>
  <si>
    <t>4|1|2000|1,4|3|100|1</t>
  </si>
  <si>
    <t>4|12|50|1,3|25901|1|1</t>
  </si>
  <si>
    <t>4|2|50|50,4|2|0|50</t>
  </si>
  <si>
    <t>4|5|100|1,4|1|2000|1</t>
  </si>
  <si>
    <t>4|2|10|50,4|2|20|30,4|2|50|20</t>
  </si>
  <si>
    <t>1|12001|1|1,1|12002|1|1,1|12003|1|1,1|12004|1|1,1|12005|1|1,1|12006|1|1</t>
  </si>
  <si>
    <t>4|39|500|1,4|39|1000|1,4|39|1500|1,4|39|2000|1,4|39|2500|1</t>
  </si>
  <si>
    <t>1|14311|1|1,4|2|100|1,1|14102|5|1,1|14101|2|1</t>
  </si>
  <si>
    <t>4|1|12000|1,4|2|20|1,1|14101|1|1</t>
  </si>
  <si>
    <t>4|1|16000|1,4|2|20|1,1|14101|1|1</t>
  </si>
  <si>
    <t>4|1|20000|1,4|2|20|1,1|14101|1|1</t>
  </si>
  <si>
    <t>4|1|24000|1,4|2|20|1,1|14101|1|1</t>
  </si>
  <si>
    <t>4|1|28000|1,4|2|20|1,1|14101|1|1</t>
  </si>
  <si>
    <t>4|1|32000|1,4|2|20|1,1|14101|1|1</t>
  </si>
  <si>
    <t>4|1|36000|1,4|2|20|1,1|14101|1|1</t>
  </si>
  <si>
    <t>4|1|40000|1,4|2|20|1,1|14101|1|1</t>
  </si>
  <si>
    <t>4|1|44000|1,4|2|20|1,1|14101|1|1</t>
  </si>
  <si>
    <t>4|1|48000|1,4|2|20|1,1|14101|1|1</t>
  </si>
  <si>
    <t>4|1|52000|1,4|2|20|1,1|14101|1|1</t>
  </si>
  <si>
    <t>4|1|56000|1,4|2|20|1,1|14101|1|1</t>
  </si>
  <si>
    <t>4|1|60000|1,4|2|20|1,1|14101|1|1</t>
  </si>
  <si>
    <t>4|1|64000|1,4|2|20|1,1|14101|1|1</t>
  </si>
  <si>
    <t>4|1|18000|1,4|2|30|1,1|14003|1|1,1|14101|1|1</t>
  </si>
  <si>
    <t>4|1|24000|1,4|2|30|1,1|14003|1|1,1|14101|1|1</t>
  </si>
  <si>
    <t>4|1|30000|1,4|2|30|1,1|14003|1|1,1|14101|1|1</t>
  </si>
  <si>
    <t>4|1|36000|1,4|2|30|1,1|14003|1|1,1|14101|1|1</t>
  </si>
  <si>
    <t>4|1|42000|1,4|2|30|1,1|14003|1|1,1|14101|1|1</t>
  </si>
  <si>
    <t>4|1|48000|1,4|2|30|1,1|14003|1|1,1|14101|1|1</t>
  </si>
  <si>
    <t>4|1|54000|1,4|2|30|1,1|14003|1|1,1|14101|1|1</t>
  </si>
  <si>
    <t>4|1|60000|1,4|2|30|1,1|14003|1|1,1|14101|1|1</t>
  </si>
  <si>
    <t>4|1|66000|1,4|2|30|1,1|14003|1|1,1|14101|1|1</t>
  </si>
  <si>
    <t>4|1|72000|1,4|2|30|1,1|14003|1|1,1|14101|1|1</t>
  </si>
  <si>
    <t>4|1|78000|1,4|2|30|1,1|14003|1|1,1|14101|1|1</t>
  </si>
  <si>
    <t>4|1|84000|1,4|2|30|1,1|14003|1|1,1|14101|1|1</t>
  </si>
  <si>
    <t>4|1|90000|1,4|2|30|1,1|14003|1|1,1|14101|1|1</t>
  </si>
  <si>
    <t>4|1|96000|1,4|2|20|1,1|14003|1|1,1|14101|1|1</t>
  </si>
  <si>
    <t>1|14001|1|45,1|14001|2|30,1|14001|3|25</t>
  </si>
  <si>
    <t>1|14107|1|60,1|14107|2|30,1|14107|3|10</t>
  </si>
  <si>
    <t>3|42998|1|1,3|42999|1|1</t>
  </si>
  <si>
    <t>1|14001|2|30,1|14001|3|40,1|14001|4|30</t>
  </si>
  <si>
    <t>1|14107|2|50,1|14107|3|30,1|14107|4|20</t>
  </si>
  <si>
    <t>3|43998|1|1,3|43999|1|1</t>
  </si>
  <si>
    <t>3|49015|1|70,3|49016|1|20,3|49017|1|10</t>
  </si>
  <si>
    <t>4|1|1000|1,4|1|2000|1,4|1|3000|1,4|1|4000|1,4|1|5000|1</t>
  </si>
  <si>
    <t>1|14106|10|1,1|14106|12|1,1|14106|15|1,1|14106|18|1,1|14106|20|1</t>
  </si>
  <si>
    <t>1|16010|2|1,1|16010|3|1,1|16010|4|1,1|16010|5|1,1|16010|6|1</t>
  </si>
  <si>
    <t>3|49112|1|95,3|49113|1|5</t>
  </si>
  <si>
    <t>3|49112|1|75,3|49113|1|20,3|49114|1|5</t>
  </si>
  <si>
    <t>3|49112|1|20,3|49113|1|40,3|49114|1|40</t>
  </si>
  <si>
    <t>1|12037|1|1,1|12042|1|1,1|12047|1|1,1|12052|1|1</t>
  </si>
  <si>
    <t>3|50018|1|75,3|50019|1|20,3|50020|1|5</t>
  </si>
  <si>
    <t>3|50018|1|20,3|50019|1|40,3|50020|1|40</t>
  </si>
  <si>
    <t>3|50008|1|80,3|50009|1|20</t>
  </si>
  <si>
    <t>3|50000|1|75,3|50002|1|20,3|50003|1|5</t>
  </si>
  <si>
    <t>3|50000|1|30,3|50002|1|40,3|50003|1|30</t>
  </si>
  <si>
    <t>1|12001|1|1,1|12002|1|1,1|12003|1|1,1|12004|1|1,1|12005|1|1,1|12006|1|1,1|12067|1|1,1|12068|1|1,1|12069|1|1</t>
  </si>
  <si>
    <t>3|50000|1|95,3|50002|1|5</t>
  </si>
  <si>
    <t>3|50018|1|95,3|50019|1|5</t>
  </si>
  <si>
    <t>3|51007|1|5,3|51008|1|30,3|51010|1|65</t>
  </si>
  <si>
    <t>4|1|1000|1,5|1141|1|1</t>
  </si>
  <si>
    <t>3|51007|1|20,3|51008|1|80</t>
  </si>
  <si>
    <t>4|1|1000|1,3|51001|1|1</t>
  </si>
  <si>
    <t>4|1|10000|1,3|51002|1|1</t>
  </si>
  <si>
    <t>3|1001101|1|10,3|1001102|1|90</t>
  </si>
  <si>
    <t>3|1001103|1|10,3|1001104|1|90</t>
  </si>
  <si>
    <t>3|1001105|1|10,3|1001106|1|90</t>
  </si>
  <si>
    <t>3|1001107|1|10,3|1001108|1|90</t>
  </si>
  <si>
    <t>3|1001109|1|10,3|1001110|1|90</t>
  </si>
  <si>
    <t>1|10001|1|10,1|10002|1|10,1|10003|1|10</t>
  </si>
  <si>
    <t>2|2064|1|1,2|2063|1|1,2|2062|1|1,2|2061|1|1</t>
  </si>
  <si>
    <t>2|2068|1|1,2|2067|1|1,2|2066|1|1,2|2065|1|1</t>
  </si>
  <si>
    <t>2|2072|1|1,2|2071|1|1,2|2070|1|1,2|2069|1|1</t>
  </si>
  <si>
    <t>2|2044|1|1,2|2043|1|1,2|2042|1|1,2|2041|1|1</t>
  </si>
  <si>
    <t>2|2048|1|1,2|2047|1|1,2|2046|1|1,2|2045|1|1</t>
  </si>
  <si>
    <t>2|2052|1|1,2|2051|1|1,2|2050|1|1,2|2049|1|1</t>
  </si>
  <si>
    <t>2|2028|1|1,2|2027|1|1,2|2026|1|1,2|2025|1|1</t>
  </si>
  <si>
    <t>2|2032|1|1,2|2031|1|1,2|2030|1|1,2|2029|1|1</t>
  </si>
  <si>
    <t>6|3012|1|1,6|3011|1|1,6|3013|1|1,6|3014|1|1</t>
  </si>
  <si>
    <t>2|2061|1|1,2|2062|1|1,2|2063|1|1,2|2064|1|1</t>
  </si>
  <si>
    <t>5|1119|1,5|1121|1,5|1102|1</t>
    <phoneticPr fontId="21" type="noConversion"/>
  </si>
  <si>
    <t>5|1119|1|1,5|1121|1|1,5|1102|1|1</t>
    <phoneticPr fontId="21" type="noConversion"/>
  </si>
  <si>
    <t>5|1208|1|1,5|1202|1|1,5|1104|1|1</t>
    <phoneticPr fontId="21" type="noConversion"/>
  </si>
  <si>
    <t>第1次10连抽-彩蝶仙童，人参娃，玉皇大帝</t>
    <phoneticPr fontId="20" type="noConversion"/>
  </si>
  <si>
    <t>4|1|10000|1,3|51020|1|1</t>
    <phoneticPr fontId="21" type="noConversion"/>
  </si>
  <si>
    <t>第10次连抽-彩蝶仙童，人参娃，玉皇大帝</t>
    <phoneticPr fontId="20" type="noConversion"/>
  </si>
  <si>
    <t>第2次10连抽送橙16-龙帝，白无常，沙和尚</t>
    <phoneticPr fontId="21" type="noConversion"/>
  </si>
  <si>
    <t>4|1|10000|1,3|51021|1|1</t>
    <phoneticPr fontId="21" type="noConversion"/>
  </si>
  <si>
    <t>4|1|10000|1,3|51022|1|1</t>
    <phoneticPr fontId="21" type="noConversion"/>
  </si>
  <si>
    <t>5|1110|1|1,5|1207|1|1,5|1201|1|1,5|1106|1|1,5|1131|1|1,5|1137|1|1</t>
    <phoneticPr fontId="21" type="noConversion"/>
  </si>
  <si>
    <t>第15次抽-红孩儿，引魂仙子，阎罗王，太白金星，蝎子精，蜘蛛精</t>
  </si>
  <si>
    <t>第15次抽-红孩儿，引魂仙子，阎罗王，太白金星，蝎子精，蜘蛛精</t>
    <phoneticPr fontId="21" type="noConversion"/>
  </si>
  <si>
    <t>4|3|100|1,4|1|1000|1</t>
  </si>
  <si>
    <t>4|3|120|1,4|1|1000|1</t>
  </si>
  <si>
    <t>4|3|140|1,4|1|1000|1</t>
  </si>
  <si>
    <t>4|3|160|1,4|1|1000|1</t>
  </si>
  <si>
    <t>4|3|180|1,4|1|1000|1</t>
  </si>
  <si>
    <t>4|3|200|1,4|1|1000|1</t>
  </si>
  <si>
    <t>4|3|220|1,4|1|1000|1</t>
  </si>
  <si>
    <t>4|3|240|1,4|1|1000|1</t>
  </si>
  <si>
    <t>4|3|260|1,4|1|1000|1</t>
  </si>
  <si>
    <t>4|3|280|1,4|1|1000|1</t>
  </si>
  <si>
    <t>4|3|300|1,4|1|1000|1</t>
  </si>
  <si>
    <t>4|3|320|1,4|1|1000|1</t>
  </si>
  <si>
    <t>4|3|340|1,4|1|1000|1</t>
  </si>
  <si>
    <t>4|3|360|1,4|1|1000|1</t>
  </si>
  <si>
    <t>4|3|380|1,4|1|1000|1</t>
  </si>
  <si>
    <t>4|3|400|1,4|1|1000|1</t>
  </si>
  <si>
    <t>4|3|420|1,4|1|1000|1</t>
  </si>
  <si>
    <t>4|3|440|1,4|1|1000|1</t>
  </si>
  <si>
    <t>4|3|460|1,4|1|1000|1</t>
  </si>
  <si>
    <t>4|3|480|1,4|1|1000|1</t>
  </si>
  <si>
    <t>4|3|500|1,4|1|1000|1</t>
  </si>
  <si>
    <t>4|3|520|1,4|1|1000|1</t>
  </si>
  <si>
    <t>4|3|540|1,4|1|1000|1</t>
  </si>
  <si>
    <t>4|3|560|1,4|1|1000|1</t>
  </si>
  <si>
    <t>4|3|580|1,4|1|1000|1</t>
  </si>
  <si>
    <t>4|3|600|1,4|1|1000|1</t>
  </si>
  <si>
    <t>4|3|620|1,4|1|1000|1</t>
  </si>
  <si>
    <t>4|3|640|1,4|1|1000|1</t>
  </si>
  <si>
    <t>4|3|660|1,4|1|1000|1</t>
  </si>
  <si>
    <t>4|3|680|1,4|1|1000|1</t>
  </si>
  <si>
    <t>4|3|100,4|1|1000</t>
  </si>
  <si>
    <t>4|3|120,4|1|1000</t>
  </si>
  <si>
    <t>4|3|140,4|1|1000</t>
  </si>
  <si>
    <t>4|3|160,4|1|1000</t>
  </si>
  <si>
    <t>4|3|180,4|1|1000</t>
  </si>
  <si>
    <t>4|3|200,4|1|1000</t>
  </si>
  <si>
    <t>4|3|220,4|1|1000</t>
  </si>
  <si>
    <t>4|3|240,4|1|1000</t>
  </si>
  <si>
    <t>4|3|260,4|1|1000</t>
  </si>
  <si>
    <t>4|3|280,4|1|1000</t>
  </si>
  <si>
    <t>4|3|300,4|1|1000</t>
  </si>
  <si>
    <t>4|3|320,4|1|1000</t>
  </si>
  <si>
    <t>4|3|340,4|1|1000</t>
  </si>
  <si>
    <t>4|3|360,4|1|1000</t>
  </si>
  <si>
    <t>4|3|380,4|1|1000</t>
  </si>
  <si>
    <t>4|3|400,4|1|1000</t>
  </si>
  <si>
    <t>4|3|420,4|1|1000</t>
  </si>
  <si>
    <t>4|3|440,4|1|1000</t>
  </si>
  <si>
    <t>4|3|460,4|1|1000</t>
  </si>
  <si>
    <t>4|3|480,4|1|1000</t>
  </si>
  <si>
    <t>4|3|500,4|1|1000</t>
  </si>
  <si>
    <t>4|3|520,4|1|1000</t>
  </si>
  <si>
    <t>4|3|540,4|1|1000</t>
  </si>
  <si>
    <t>4|3|560,4|1|1000</t>
  </si>
  <si>
    <t>4|3|580,4|1|1000</t>
  </si>
  <si>
    <t>4|3|600,4|1|1000</t>
  </si>
  <si>
    <t>4|3|620,4|1|1000</t>
  </si>
  <si>
    <t>4|3|640,4|1|1000</t>
  </si>
  <si>
    <t>4|3|660,4|1|1000</t>
  </si>
  <si>
    <t>4|3|680,4|1|1000</t>
  </si>
  <si>
    <t>第51次招财获得金币</t>
  </si>
  <si>
    <t>第52次招财获得金币</t>
  </si>
  <si>
    <t>第53次招财获得金币</t>
  </si>
  <si>
    <t>第54次招财获得金币</t>
  </si>
  <si>
    <t>第55次招财获得金币</t>
  </si>
  <si>
    <t>第56次招财获得金币</t>
  </si>
  <si>
    <t>第57次招财获得金币</t>
  </si>
  <si>
    <t>第58次招财获得金币</t>
  </si>
  <si>
    <t>第59次招财获得金币</t>
  </si>
  <si>
    <t>第60次招财获得金币</t>
  </si>
  <si>
    <t>第61次招财获得金币</t>
  </si>
  <si>
    <t>第62次招财获得金币</t>
  </si>
  <si>
    <t>第63次招财获得金币</t>
  </si>
  <si>
    <t>第64次招财获得金币</t>
  </si>
  <si>
    <t>第65次招财获得金币</t>
  </si>
  <si>
    <t>第66次招财获得金币</t>
  </si>
  <si>
    <t>第67次招财获得金币</t>
  </si>
  <si>
    <t>第68次招财获得金币</t>
  </si>
  <si>
    <t>第69次招财获得金币</t>
  </si>
  <si>
    <t>第70次招财获得金币</t>
  </si>
  <si>
    <t>第71次招财获得金币</t>
  </si>
  <si>
    <t>第72次招财获得金币</t>
  </si>
  <si>
    <t>第73次招财获得金币</t>
  </si>
  <si>
    <t>第74次招财获得金币</t>
  </si>
  <si>
    <t>第75次招财获得金币</t>
  </si>
  <si>
    <t>第76次招财获得金币</t>
  </si>
  <si>
    <t>第77次招财获得金币</t>
  </si>
  <si>
    <t>第78次招财获得金币</t>
  </si>
  <si>
    <t>第79次招财获得金币</t>
  </si>
  <si>
    <t>第80次招财获得金币</t>
  </si>
  <si>
    <t>第81次招财获得金币</t>
  </si>
  <si>
    <t>第82次招财获得金币</t>
  </si>
  <si>
    <t>第83次招财获得金币</t>
  </si>
  <si>
    <t>第84次招财获得金币</t>
  </si>
  <si>
    <t>第85次招财获得金币</t>
  </si>
  <si>
    <t>第86次招财获得金币</t>
  </si>
  <si>
    <t>第87次招财获得金币</t>
  </si>
  <si>
    <t>第88次招财获得金币</t>
  </si>
  <si>
    <t>第89次招财获得金币</t>
  </si>
  <si>
    <t>第90次招财获得金币</t>
  </si>
  <si>
    <t>第91次招财获得金币</t>
  </si>
  <si>
    <t>第92次招财获得金币</t>
  </si>
  <si>
    <t>第93次招财获得金币</t>
  </si>
  <si>
    <t>第94次招财获得金币</t>
  </si>
  <si>
    <t>第95次招财获得金币</t>
  </si>
  <si>
    <t>第96次招财获得金币</t>
  </si>
  <si>
    <t>第97次招财获得金币</t>
  </si>
  <si>
    <t>第98次招财获得金币</t>
  </si>
  <si>
    <t>第99次招财获得金币</t>
  </si>
  <si>
    <t>第100次招财获得金币</t>
  </si>
  <si>
    <t>(孙悟空,紫霞,哪吒)三选一</t>
  </si>
  <si>
    <t>首充极品橙将选择箱</t>
  </si>
  <si>
    <t>首充奖励</t>
    <phoneticPr fontId="20" type="noConversion"/>
  </si>
  <si>
    <t>紫色法宝随机箱</t>
    <phoneticPr fontId="17" type="noConversion"/>
  </si>
  <si>
    <t>6|3005|1|1,6|3006|1|1,6|3007|1|1,6|3008|1|1</t>
    <phoneticPr fontId="21" type="noConversion"/>
  </si>
  <si>
    <t>[]</t>
    <phoneticPr fontId="21" type="noConversion"/>
  </si>
  <si>
    <t>1|14555|1|1,1|14101|1|1,1|14108|1|1,4|1|100000|1</t>
    <phoneticPr fontId="20" type="noConversion"/>
  </si>
  <si>
    <t>单笔充值1元</t>
  </si>
  <si>
    <t>单笔充值6元</t>
  </si>
  <si>
    <t>单笔充值30元</t>
  </si>
  <si>
    <t>单笔充值98元</t>
  </si>
  <si>
    <t>单笔充值168元</t>
  </si>
  <si>
    <t>单笔充值268元</t>
  </si>
  <si>
    <t>单笔充值648元</t>
    <phoneticPr fontId="21" type="noConversion"/>
  </si>
  <si>
    <t>1|14522|1,1|14107|1000,4|1|400000</t>
  </si>
  <si>
    <t>1|14517|1,1|14107|1000,4|1|500000</t>
  </si>
  <si>
    <t>1|14522|1|1,1|14107|1000|1,4|1|400000|1</t>
  </si>
  <si>
    <t>1|14517|1|1,1|14107|1000|1,4|1|500000|1</t>
  </si>
  <si>
    <t>累计登陆1天</t>
  </si>
  <si>
    <t>4|2|100,4|26|20</t>
  </si>
  <si>
    <t>4|2|200,4|26|20</t>
  </si>
  <si>
    <t>4|2|300,4|26|20</t>
  </si>
  <si>
    <t>4|2|400,4|26|60</t>
  </si>
  <si>
    <t>4|2|500,4|26|60</t>
  </si>
  <si>
    <t>4|2|600,4|26|60</t>
  </si>
  <si>
    <t>4|2|700,4|26|60</t>
  </si>
  <si>
    <t>4|2|800,4|26|60</t>
  </si>
  <si>
    <t>4|2|100|1,4|26|20|1</t>
  </si>
  <si>
    <t>4|2|200|1,4|26|20|1</t>
  </si>
  <si>
    <t>4|2|300|1,4|26|20|1</t>
  </si>
  <si>
    <t>4|2|400|1,4|26|60|1</t>
  </si>
  <si>
    <t>4|2|500|1,4|26|60|1</t>
  </si>
  <si>
    <t>4|2|600|1,4|26|60|1</t>
  </si>
  <si>
    <t>4|2|700|1,4|26|60|1</t>
  </si>
  <si>
    <t>4|2|800|1,4|26|60|1</t>
  </si>
  <si>
    <t>1|14555|1,1|14101|1,1|14108|1,4|1|100000</t>
    <phoneticPr fontId="21" type="noConversion"/>
  </si>
  <si>
    <t>每日礼包vip16</t>
  </si>
  <si>
    <t>[]</t>
    <phoneticPr fontId="21" type="noConversion"/>
  </si>
  <si>
    <t>4|1|10000|1,3|51019|1|1</t>
    <phoneticPr fontId="21" type="noConversion"/>
  </si>
  <si>
    <t>开服战力第8天排名奖励1</t>
    <phoneticPr fontId="21" type="noConversion"/>
  </si>
  <si>
    <t>开服战力第8天排名奖励2</t>
  </si>
  <si>
    <t>开服战力第8天排名奖励3</t>
  </si>
  <si>
    <t>开服战力第8天排名奖励4</t>
  </si>
  <si>
    <t>开服战力第8天排名奖励5</t>
  </si>
  <si>
    <t>开服战力第8天排名奖励6</t>
  </si>
  <si>
    <t>开服战力第8天排名奖励7</t>
  </si>
  <si>
    <t>开服战力第8天排名奖励8</t>
  </si>
  <si>
    <t>开服战力第8天排名奖励9</t>
  </si>
  <si>
    <t>开服战力第8天排名奖励10</t>
  </si>
  <si>
    <t>第1次高级聚仙-玉面夫人</t>
    <phoneticPr fontId="20" type="noConversion"/>
  </si>
  <si>
    <t>4|1|10000|1,5|1138|1|1</t>
    <phoneticPr fontId="21" type="noConversion"/>
  </si>
  <si>
    <t>4|2|30|1,4|1|30000|1,1|14003|1|1</t>
  </si>
  <si>
    <t>4|2|60|1,4|1|40000|1,1|14003|1|1,1|14107|100|1</t>
  </si>
  <si>
    <t>4|2|90|1,4|1|50000|1,1|14003|1|1,1|14005|1|1</t>
  </si>
  <si>
    <t>4|2|40|1,4|1|30000|1,1|14003|1|1</t>
  </si>
  <si>
    <t>4|2|70|1,4|1|40000|1,1|14003|1|1,1|14107|125|1</t>
  </si>
  <si>
    <t>4|2|100|1,4|1|50000|1,1|14003|1|1,1|14005|1|1</t>
  </si>
  <si>
    <t>4|2|50|1,4|1|30000|1,1|14003|1|1</t>
  </si>
  <si>
    <t>4|2|80|1,4|1|40000|1,1|14003|1|1,1|14107|150|1</t>
  </si>
  <si>
    <t>4|2|110|1,4|1|50000|1,1|14003|1|1,1|14006|1|1</t>
  </si>
  <si>
    <t>4|2|60|1,4|1|30000|1,1|14003|1|1</t>
  </si>
  <si>
    <t>4|2|90|1,4|1|40000|1,1|14003|1|1,1|14107|175|1</t>
  </si>
  <si>
    <t>4|2|120|1,4|1|50000|1,1|14003|1|1,1|14006|1|1</t>
  </si>
  <si>
    <t>4|2|70|1,4|1|30000|1,1|14003|1|1</t>
  </si>
  <si>
    <t>4|2|100|1,4|1|40000|1,1|14003|1|1,1|14107|190|1</t>
  </si>
  <si>
    <t>4|2|130|1,4|1|50000|1,1|14003|1|1,1|14006|1|1</t>
  </si>
  <si>
    <t>4|2|75|1,4|1|30000|1,1|14003|1|1</t>
  </si>
  <si>
    <t>4|2|105|1,4|1|40000|1,1|14003|1|1,1|14107|200|1</t>
  </si>
  <si>
    <t>4|2|135|1,4|1|50000|1,1|14003|1|1,1|14006|1|1</t>
  </si>
  <si>
    <t>4|2|80|1,4|1|30000|1,1|14003|1|1</t>
  </si>
  <si>
    <t>4|2|110|1,4|1|40000|1,1|14003|1|1,1|14107|210|1</t>
  </si>
  <si>
    <t>4|2|140|1,4|1|50000|1,1|14003|1|1,1|14006|1|1</t>
  </si>
  <si>
    <t>4|2|85|1,4|1|30000|1,1|14003|1|1</t>
  </si>
  <si>
    <t>4|2|115|1,4|1|40000|1,1|14003|1|1,1|14107|220|1</t>
  </si>
  <si>
    <t>4|2|145|1,4|1|50000|1,1|14003|1|1,1|14006|1|1</t>
  </si>
  <si>
    <t>4|2|90|1,4|1|30000|1,1|14003|1|1</t>
  </si>
  <si>
    <t>4|2|120|1,4|1|40000|1,1|14003|1|1,1|14107|230|1</t>
  </si>
  <si>
    <t>4|2|150|1,4|1|50000|1,1|14003|1|1,1|14006|1|1</t>
  </si>
  <si>
    <t>4|2|95|1,4|1|30000|1,1|14003|1|1</t>
  </si>
  <si>
    <t>4|2|125|1,4|1|40000|1,1|14003|1|1,1|14107|240|1</t>
  </si>
  <si>
    <t>4|2|155|1,4|1|50000|1,1|14003|1|1,1|14006|1|1</t>
  </si>
  <si>
    <t>4|2|100|1,4|1|30000|1,1|14003|1|1</t>
  </si>
  <si>
    <t>4|2|130|1,4|1|40000|1,1|14003|1|1,1|14107|250|1</t>
  </si>
  <si>
    <t>4|2|160|1,4|1|50000|1,1|14003|1|1,1|14006|1|1</t>
  </si>
  <si>
    <t>4|2|105|1,4|1|30000|1,1|14003|1|1</t>
  </si>
  <si>
    <t>4|2|135|1,4|1|40000|1,1|14003|1|1,1|14107|260|1</t>
  </si>
  <si>
    <t>4|2|165|1,4|1|50000|1,1|14003|1|1,1|14006|1|1</t>
  </si>
  <si>
    <t>4|2|110|1,4|1|30000|1,1|14003|1|1</t>
  </si>
  <si>
    <t>4|2|140|1,4|1|40000|1,1|14003|1|1,1|14107|270|1</t>
  </si>
  <si>
    <t>4|2|170|1,4|1|50000|1,1|14003|1|1,1|14006|1|1</t>
  </si>
  <si>
    <t>4|2|115|1,4|1|30000|1,1|14003|1|1</t>
  </si>
  <si>
    <t>4|2|145|1,4|1|40000|1,1|14003|1|1,1|14107|280|1</t>
  </si>
  <si>
    <t>4|2|175|1,4|1|50000|1,1|14003|1|1,1|14006|1|1</t>
  </si>
  <si>
    <t>4|2|120|1,4|1|30000|1,1|14003|1|1</t>
  </si>
  <si>
    <t>4|2|150|1,4|1|40000|1,1|14003|1|1,1|14107|290|1</t>
  </si>
  <si>
    <t>4|2|180|1,4|1|50000|1,1|14003|1|1,1|14006|1|1</t>
  </si>
  <si>
    <t>4|2|125|1,4|1|30000|1,1|14003|1|1</t>
  </si>
  <si>
    <t>4|2|155|1,4|1|40000|1,1|14003|1|1,1|14107|300|1</t>
  </si>
  <si>
    <t>4|2|185|1,4|1|50000|1,1|14003|1|1,1|14006|1|1</t>
  </si>
  <si>
    <t>4|2|130|1,4|1|30000|1,1|14003|1|1</t>
  </si>
  <si>
    <t>4|2|160|1,4|1|40000|1,1|14003|1|1,1|14107|310|1</t>
  </si>
  <si>
    <t>4|2|190|1,4|1|50000|1,1|14003|1|1,1|14006|1|1</t>
  </si>
  <si>
    <t>4|2|135|1,4|1|30000|1,1|14003|1|1</t>
  </si>
  <si>
    <t>4|2|165|1,4|1|40000|1,1|14003|1|1,1|14107|320|1</t>
  </si>
  <si>
    <t>4|2|195|1,4|1|50000|1,1|14003|1|1,1|14006|1|1</t>
  </si>
  <si>
    <t>4|2|140|1,4|1|30000|1,1|14003|1|1</t>
  </si>
  <si>
    <t>4|2|170|1,4|1|40000|1,1|14003|1|1,1|14107|330|1</t>
  </si>
  <si>
    <t>4|2|200|1,4|1|50000|1,1|14003|1|1,1|14006|1|1</t>
  </si>
  <si>
    <t>4|2|145|1,4|1|30000|1,1|14003|1|1</t>
  </si>
  <si>
    <t>4|2|175|1,4|1|40000|1,1|14003|1|1,1|14107|340|1</t>
  </si>
  <si>
    <t>4|2|205|1,4|1|50000|1,1|14003|1|1,1|14006|1|1</t>
  </si>
  <si>
    <t>4|2|150|1,4|1|30000|1,1|14003|1|1</t>
  </si>
  <si>
    <t>4|2|180|1,4|1|40000|1,1|14003|1|1,1|14107|350|1</t>
  </si>
  <si>
    <t>4|2|210|1,4|1|50000|1,1|14003|1|1,1|14006|1|1</t>
  </si>
  <si>
    <t>4|2|155|1,4|1|30000|1,1|14003|1|1</t>
  </si>
  <si>
    <t>4|2|185|1,4|1|40000|1,1|14003|1|1,1|14107|360|1</t>
  </si>
  <si>
    <t>4|2|215|1,4|1|50000|1,1|14003|1|1,1|14006|1|1</t>
  </si>
  <si>
    <t>4|2|160|1,4|1|30000|1,1|14003|1|1</t>
  </si>
  <si>
    <t>4|2|190|1,4|1|40000|1,1|14003|1|1,1|14107|370|1</t>
  </si>
  <si>
    <t>4|2|220|1,4|1|50000|1,1|14003|1|1,1|14006|1|1</t>
  </si>
  <si>
    <t>4|2|165|1,4|1|30000|1,1|14003|1|1</t>
  </si>
  <si>
    <t>4|2|195|1,4|1|40000|1,1|14003|1|1,1|14107|380|1</t>
  </si>
  <si>
    <t>4|2|225|1,4|1|50000|1,1|14003|1|1,1|14006|1|1</t>
  </si>
  <si>
    <t>4|2|170|1,4|1|30000|1,1|14003|1|1</t>
  </si>
  <si>
    <t>4|2|200|1,4|1|40000|1,1|14003|1|1,1|14107|390|1</t>
  </si>
  <si>
    <t>4|2|230|1,4|1|50000|1,1|14003|1|1,1|14006|1|1</t>
  </si>
  <si>
    <t>4|2|175|1,4|1|30000|1,1|14003|1|1</t>
  </si>
  <si>
    <t>4|2|205|1,4|1|40000|1,1|14003|1|1,1|14107|400|1</t>
  </si>
  <si>
    <t>4|2|235|1,4|1|50000|1,1|14003|1|1,1|14006|1|1</t>
  </si>
  <si>
    <t>4|2|180|1,4|1|30000|1,1|14003|1|1</t>
  </si>
  <si>
    <t>4|2|210|1,4|1|40000|1,1|14003|1|1,1|14107|410|1</t>
  </si>
  <si>
    <t>4|2|240|1,4|1|50000|1,1|14003|1|1,1|14006|1|1</t>
  </si>
  <si>
    <t>4|2|185|1,4|1|30000|1,1|14003|1|1</t>
  </si>
  <si>
    <t>4|2|215|1,4|1|40000|1,1|14003|1|1,1|14107|420|1</t>
  </si>
  <si>
    <t>4|2|245|1,4|1|50000|1,1|14003|1|1,1|14006|1|1</t>
  </si>
  <si>
    <t>4|2|190|1,4|1|30000|1,1|14003|1|1</t>
  </si>
  <si>
    <t>4|2|220|1,4|1|40000|1,1|14003|1|1,1|14107|430|1</t>
  </si>
  <si>
    <t>4|2|250|1,4|1|50000|1,1|14003|1|1,1|14006|1|1</t>
  </si>
  <si>
    <t>4|2|195|1,4|1|30000|1,1|14003|1|1</t>
  </si>
  <si>
    <t>4|2|225|1,4|1|40000|1,1|14003|1|1,1|14107|440|1</t>
  </si>
  <si>
    <t>4|2|255|1,4|1|50000|1,1|14003|1|1,1|14006|1|1</t>
  </si>
  <si>
    <t>4|2|200|1,4|1|30000|1,1|14003|1|1</t>
  </si>
  <si>
    <t>4|2|230|1,4|1|40000|1,1|14003|1|1,1|14107|450|1</t>
  </si>
  <si>
    <t>4|2|260|1,4|1|50000|1,1|14003|1|1,1|14006|1|1</t>
  </si>
  <si>
    <t>4|2|205|1,4|1|30000|1,1|14003|1|1</t>
  </si>
  <si>
    <t>4|2|235|1,4|1|40000|1,1|14003|1|1,1|14107|460|1</t>
  </si>
  <si>
    <t>4|2|265|1,4|1|50000|1,1|14003|1|1,1|14006|1|1</t>
  </si>
  <si>
    <t>4|2|210|1,4|1|30000|1,1|14003|1|1</t>
  </si>
  <si>
    <t>4|2|240|1,4|1|40000|1,1|14003|1|1,1|14107|470|1</t>
  </si>
  <si>
    <t>4|2|270|1,4|1|50000|1,1|14003|1|1,1|14006|1|1</t>
  </si>
  <si>
    <t>4|2|215|1,4|1|30000|1,1|14003|1|1</t>
  </si>
  <si>
    <t>4|2|245|1,4|1|40000|1,1|14003|1|1,1|14107|480|1</t>
  </si>
  <si>
    <t>4|2|275|1,4|1|50000|1,1|14003|1|1,1|14006|1|1</t>
  </si>
  <si>
    <t>4|2|220|1,4|1|30000|1,1|14003|1|1</t>
  </si>
  <si>
    <t>4|2|250|1,4|1|40000|1,1|14003|1|1,1|14107|490|1</t>
  </si>
  <si>
    <t>4|2|280|1,4|1|50000|1,1|14003|1|1,1|14006|1|1</t>
  </si>
  <si>
    <t>4|2|225|1,4|1|30000|1,1|14003|1|1</t>
  </si>
  <si>
    <t>4|2|255|1,4|1|40000|1,1|14003|1|1,1|14107|500|1</t>
  </si>
  <si>
    <t>4|2|285|1,4|1|50000|1,1|14003|1|1,1|14006|1|1</t>
  </si>
  <si>
    <t>4|2|230|1,4|1|30000|1,1|14003|1|1</t>
  </si>
  <si>
    <t>4|2|260|1,4|1|40000|1,1|14003|1|1,1|14107|510|1</t>
  </si>
  <si>
    <t>4|2|290|1,4|1|50000|1,1|14003|1|1,1|14006|1|1</t>
  </si>
  <si>
    <t>4|2|235|1,4|1|30000|1,1|14003|1|1</t>
  </si>
  <si>
    <t>4|2|265|1,4|1|40000|1,1|14003|1|1,1|14107|520|1</t>
  </si>
  <si>
    <t>4|2|295|1,4|1|50000|1,1|14003|1|1,1|14006|1|1</t>
  </si>
  <si>
    <t>4|2|240|1,4|1|30000|1,1|14003|1|1</t>
  </si>
  <si>
    <t>4|2|270|1,4|1|40000|1,1|14003|1|1,1|14107|530|1</t>
  </si>
  <si>
    <t>4|2|300|1,4|1|50000|1,1|14003|1|1,1|14006|1|1</t>
  </si>
  <si>
    <t>4|2|245|1,4|1|30000|1,1|14003|1|1</t>
  </si>
  <si>
    <t>4|2|275|1,4|1|40000|1,1|14003|1|1,1|14107|540|1</t>
  </si>
  <si>
    <t>4|2|305|1,4|1|50000|1,1|14003|1|1,1|14006|1|1</t>
  </si>
  <si>
    <t>4|2|250|1,4|1|30000|1,1|14003|1|1</t>
  </si>
  <si>
    <t>4|2|280|1,4|1|40000|1,1|14003|1|1,1|14107|550|1</t>
  </si>
  <si>
    <t>4|2|310|1,4|1|50000|1,1|14003|1|1,1|14006|1|1</t>
  </si>
  <si>
    <t>4|2|255|1,4|1|30000|1,1|14003|1|1</t>
  </si>
  <si>
    <t>4|2|285|1,4|1|40000|1,1|14003|1|1,1|14107|560|1</t>
  </si>
  <si>
    <t>4|2|315|1,4|1|50000|1,1|14003|1|1,1|14006|1|1</t>
  </si>
  <si>
    <t>4|2|260|1,4|1|30000|1,1|14003|1|1</t>
  </si>
  <si>
    <t>4|2|290|1,4|1|40000|1,1|14003|1|1,1|14107|570|1</t>
  </si>
  <si>
    <t>4|2|320|1,4|1|50000|1,1|14003|1|1,1|14006|1|1</t>
  </si>
  <si>
    <t>4|2|265|1,4|1|30000|1,1|14003|1|1</t>
  </si>
  <si>
    <t>4|2|295|1,4|1|40000|1,1|14003|1|1,1|14107|580|1</t>
  </si>
  <si>
    <t>4|2|325|1,4|1|50000|1,1|14003|1|1,1|14006|1|1</t>
  </si>
  <si>
    <t>4|2|270|1,4|1|30000|1,1|14003|1|1</t>
  </si>
  <si>
    <t>4|2|300|1,4|1|40000|1,1|14003|1|1,1|14107|590|1</t>
  </si>
  <si>
    <t>4|2|330|1,4|1|50000|1,1|14003|1|1,1|14006|1|1</t>
  </si>
  <si>
    <t>4|2|275|1,4|1|30000|1,1|14003|1|1</t>
  </si>
  <si>
    <t>4|2|305|1,4|1|40000|1,1|14003|1|1,1|14107|600|1</t>
  </si>
  <si>
    <t>4|2|335|1,4|1|50000|1,1|14003|1|1,1|14006|1|1</t>
  </si>
  <si>
    <t>4|2|280|1,4|1|30000|1,1|14003|1|1</t>
  </si>
  <si>
    <t>4|2|310|1,4|1|40000|1,1|14003|1|1,1|14107|610|1</t>
  </si>
  <si>
    <t>4|2|340|1,4|1|50000|1,1|14003|1|1,1|14006|1|1</t>
  </si>
  <si>
    <t>4|2|285|1,4|1|30000|1,1|14003|1|1</t>
  </si>
  <si>
    <t>4|2|315|1,4|1|40000|1,1|14003|1|1,1|14107|620|1</t>
  </si>
  <si>
    <t>4|2|345|1,4|1|50000|1,1|14003|1|1,1|14006|1|1</t>
  </si>
  <si>
    <t>4|2|290|1,4|1|30000|1,1|14003|1|1</t>
  </si>
  <si>
    <t>4|2|320|1,4|1|40000|1,1|14003|1|1,1|14107|630|1</t>
  </si>
  <si>
    <t>4|2|350|1,4|1|50000|1,1|14003|1|1,1|14006|1|1</t>
  </si>
  <si>
    <t>4|2|295|1,4|1|30000|1,1|14003|1|1</t>
  </si>
  <si>
    <t>4|2|325|1,4|1|40000|1,1|14003|1|1,1|14107|640|1</t>
  </si>
  <si>
    <t>4|2|355|1,4|1|50000|1,1|14003|1|1,1|14006|1|1</t>
  </si>
  <si>
    <t>4|2|300|1,4|1|30000|1,1|14003|1|1</t>
  </si>
  <si>
    <t>4|2|330|1,4|1|40000|1,1|14003|1|1,1|14107|650|1</t>
  </si>
  <si>
    <t>4|2|360|1,4|1|50000|1,1|14003|1|1,1|14006|1|1</t>
  </si>
  <si>
    <t>4|2|305|1,4|1|30000|1,1|14003|1|1</t>
  </si>
  <si>
    <t>4|2|335|1,4|1|40000|1,1|14003|1|1,1|14107|660|1</t>
  </si>
  <si>
    <t>4|2|365|1,4|1|50000|1,1|14003|1|1,1|14006|1|1</t>
  </si>
  <si>
    <t>4|2|310|1,4|1|30000|1,1|14003|1|1</t>
  </si>
  <si>
    <t>4|2|340|1,4|1|40000|1,1|14003|1|1,1|14107|670|1</t>
  </si>
  <si>
    <t>4|2|370|1,4|1|50000|1,1|14003|1|1,1|14006|1|1</t>
  </si>
  <si>
    <t>4|2|315|1,4|1|30000|1,1|14003|1|1</t>
  </si>
  <si>
    <t>4|2|345|1,4|1|40000|1,1|14003|1|1,1|14107|680|1</t>
  </si>
  <si>
    <t>4|2|375|1,4|1|50000|1,1|14003|1|1,1|14006|1|1</t>
  </si>
  <si>
    <t>4|2|320|1,4|1|30000|1,1|14003|1|1</t>
  </si>
  <si>
    <t>4|2|350|1,4|1|40000|1,1|14003|1|1,1|14107|690|1</t>
  </si>
  <si>
    <t>4|2|380|1,4|1|50000|1,1|14003|1|1,1|14006|1|1</t>
  </si>
  <si>
    <t>4|2|325|1,4|1|30000|1,1|14003|1|1</t>
  </si>
  <si>
    <t>4|2|355|1,4|1|40000|1,1|14003|1|1,1|14107|700|1</t>
  </si>
  <si>
    <t>4|2|385|1,4|1|50000|1,1|14003|1|1,1|14006|1|1</t>
  </si>
  <si>
    <t>4|2|330|1,4|1|30000|1,1|14003|1|1</t>
  </si>
  <si>
    <t>4|2|360|1,4|1|40000|1,1|14003|1|1,1|14107|710|1</t>
  </si>
  <si>
    <t>4|2|390|1,4|1|50000|1,1|14003|1|1,1|14006|1|1</t>
  </si>
  <si>
    <t>4|2|335|1,4|1|30000|1,1|14003|1|1</t>
  </si>
  <si>
    <t>4|2|365|1,4|1|40000|1,1|14003|1|1,1|14107|720|1</t>
  </si>
  <si>
    <t>4|2|395|1,4|1|50000|1,1|14003|1|1,1|14006|1|1</t>
  </si>
  <si>
    <t>4|2|340|1,4|1|30000|1,1|14003|1|1</t>
  </si>
  <si>
    <t>4|2|370|1,4|1|40000|1,1|14003|1|1,1|14107|730|1</t>
  </si>
  <si>
    <t>4|2|400|1,4|1|50000|1,1|14003|1|1,1|14006|1|1</t>
  </si>
  <si>
    <t>4|2|345|1,4|1|30000|1,1|14003|1|1</t>
  </si>
  <si>
    <t>4|2|375|1,4|1|40000|1,1|14003|1|1,1|14107|740|1</t>
  </si>
  <si>
    <t>4|2|405|1,4|1|50000|1,1|14003|1|1,1|14006|1|1</t>
  </si>
  <si>
    <t>4|2|350|1,4|1|30000|1,1|14003|1|1</t>
  </si>
  <si>
    <t>4|2|380|1,4|1|40000|1,1|14003|1|1,1|14107|750|1</t>
  </si>
  <si>
    <t>4|2|410|1,4|1|50000|1,1|14003|1|1,1|14006|1|1</t>
  </si>
  <si>
    <t>4|2|355|1,4|1|30000|1,1|14003|1|1</t>
  </si>
  <si>
    <t>4|2|385|1,4|1|40000|1,1|14003|1|1,1|14107|760|1</t>
  </si>
  <si>
    <t>4|2|415|1,4|1|50000|1,1|14003|1|1,1|14006|1|1</t>
  </si>
  <si>
    <t>4|2|360|1,4|1|30000|1,1|14003|1|1</t>
  </si>
  <si>
    <t>4|2|390|1,4|1|40000|1,1|14003|1|1,1|14107|770|1</t>
  </si>
  <si>
    <t>4|2|420|1,4|1|50000|1,1|14003|1|1,1|14006|1|1</t>
  </si>
  <si>
    <t>4|2|365|1,4|1|30000|1,1|14003|1|1</t>
  </si>
  <si>
    <t>4|2|395|1,4|1|40000|1,1|14003|1|1,1|14107|780|1</t>
  </si>
  <si>
    <t>4|2|425|1,4|1|50000|1,1|14003|1|1,1|14006|1|1</t>
  </si>
  <si>
    <t>4|2|370|1,4|1|30000|1,1|14003|1|1</t>
  </si>
  <si>
    <t>4|2|400|1,4|1|40000|1,1|14003|1|1,1|14107|790|1</t>
  </si>
  <si>
    <t>4|2|430|1,4|1|50000|1,1|14003|1|1,1|14006|1|1</t>
  </si>
  <si>
    <t>4|2|375|1,4|1|30000|1,1|14003|1|1</t>
  </si>
  <si>
    <t>4|2|405|1,4|1|40000|1,1|14003|1|1,1|14107|800|1</t>
  </si>
  <si>
    <t>4|2|435|1,4|1|50000|1,1|14003|1|1,1|14006|1|1</t>
  </si>
  <si>
    <t>4|2|30,4|1|30000,1|14003|1</t>
  </si>
  <si>
    <t>4|2|60,4|1|40000,1|14003|1,1|14107|100</t>
  </si>
  <si>
    <t>4|2|90,4|1|50000,1|14003|1,1|14005|1</t>
  </si>
  <si>
    <t>4|2|40,4|1|30000,1|14003|1</t>
  </si>
  <si>
    <t>4|2|70,4|1|40000,1|14003|1,1|14107|125</t>
  </si>
  <si>
    <t>4|2|100,4|1|50000,1|14003|1,1|14005|1</t>
  </si>
  <si>
    <t>4|2|50,4|1|30000,1|14003|1</t>
  </si>
  <si>
    <t>4|2|80,4|1|40000,1|14003|1,1|14107|150</t>
  </si>
  <si>
    <t>4|2|110,4|1|50000,1|14003|1,1|14006|1</t>
  </si>
  <si>
    <t>4|2|60,4|1|30000,1|14003|1</t>
  </si>
  <si>
    <t>4|2|90,4|1|40000,1|14003|1,1|14107|175</t>
  </si>
  <si>
    <t>4|2|120,4|1|50000,1|14003|1,1|14006|1</t>
  </si>
  <si>
    <t>4|2|70,4|1|30000,1|14003|1</t>
  </si>
  <si>
    <t>4|2|100,4|1|40000,1|14003|1,1|14107|190</t>
  </si>
  <si>
    <t>4|2|130,4|1|50000,1|14003|1,1|14006|1</t>
  </si>
  <si>
    <t>4|2|75,4|1|30000,1|14003|1</t>
  </si>
  <si>
    <t>4|2|105,4|1|40000,1|14003|1,1|14107|200</t>
  </si>
  <si>
    <t>4|2|135,4|1|50000,1|14003|1,1|14006|1</t>
  </si>
  <si>
    <t>4|2|80,4|1|30000,1|14003|1</t>
  </si>
  <si>
    <t>4|2|110,4|1|40000,1|14003|1,1|14107|210</t>
  </si>
  <si>
    <t>4|2|140,4|1|50000,1|14003|1,1|14006|1</t>
  </si>
  <si>
    <t>4|2|85,4|1|30000,1|14003|1</t>
  </si>
  <si>
    <t>4|2|115,4|1|40000,1|14003|1,1|14107|220</t>
  </si>
  <si>
    <t>4|2|145,4|1|50000,1|14003|1,1|14006|1</t>
  </si>
  <si>
    <t>4|2|90,4|1|30000,1|14003|1</t>
  </si>
  <si>
    <t>4|2|120,4|1|40000,1|14003|1,1|14107|230</t>
  </si>
  <si>
    <t>4|2|150,4|1|50000,1|14003|1,1|14006|1</t>
  </si>
  <si>
    <t>4|2|95,4|1|30000,1|14003|1</t>
  </si>
  <si>
    <t>4|2|125,4|1|40000,1|14003|1,1|14107|240</t>
  </si>
  <si>
    <t>4|2|155,4|1|50000,1|14003|1,1|14006|1</t>
  </si>
  <si>
    <t>4|2|100,4|1|30000,1|14003|1</t>
  </si>
  <si>
    <t>4|2|130,4|1|40000,1|14003|1,1|14107|250</t>
  </si>
  <si>
    <t>4|2|160,4|1|50000,1|14003|1,1|14006|1</t>
  </si>
  <si>
    <t>4|2|105,4|1|30000,1|14003|1</t>
  </si>
  <si>
    <t>4|2|135,4|1|40000,1|14003|1,1|14107|260</t>
  </si>
  <si>
    <t>4|2|165,4|1|50000,1|14003|1,1|14006|1</t>
  </si>
  <si>
    <t>4|2|110,4|1|30000,1|14003|1</t>
  </si>
  <si>
    <t>4|2|140,4|1|40000,1|14003|1,1|14107|270</t>
  </si>
  <si>
    <t>4|2|170,4|1|50000,1|14003|1,1|14006|1</t>
  </si>
  <si>
    <t>4|2|115,4|1|30000,1|14003|1</t>
  </si>
  <si>
    <t>4|2|145,4|1|40000,1|14003|1,1|14107|280</t>
  </si>
  <si>
    <t>4|2|175,4|1|50000,1|14003|1,1|14006|1</t>
  </si>
  <si>
    <t>4|2|120,4|1|30000,1|14003|1</t>
  </si>
  <si>
    <t>4|2|150,4|1|40000,1|14003|1,1|14107|290</t>
  </si>
  <si>
    <t>4|2|180,4|1|50000,1|14003|1,1|14006|1</t>
  </si>
  <si>
    <t>4|2|125,4|1|30000,1|14003|1</t>
  </si>
  <si>
    <t>4|2|155,4|1|40000,1|14003|1,1|14107|300</t>
  </si>
  <si>
    <t>4|2|185,4|1|50000,1|14003|1,1|14006|1</t>
  </si>
  <si>
    <t>4|2|130,4|1|30000,1|14003|1</t>
  </si>
  <si>
    <t>4|2|160,4|1|40000,1|14003|1,1|14107|310</t>
  </si>
  <si>
    <t>4|2|190,4|1|50000,1|14003|1,1|14006|1</t>
  </si>
  <si>
    <t>4|2|135,4|1|30000,1|14003|1</t>
  </si>
  <si>
    <t>4|2|165,4|1|40000,1|14003|1,1|14107|320</t>
  </si>
  <si>
    <t>4|2|195,4|1|50000,1|14003|1,1|14006|1</t>
  </si>
  <si>
    <t>4|2|140,4|1|30000,1|14003|1</t>
  </si>
  <si>
    <t>4|2|170,4|1|40000,1|14003|1,1|14107|330</t>
  </si>
  <si>
    <t>4|2|200,4|1|50000,1|14003|1,1|14006|1</t>
  </si>
  <si>
    <t>4|2|145,4|1|30000,1|14003|1</t>
  </si>
  <si>
    <t>4|2|175,4|1|40000,1|14003|1,1|14107|340</t>
  </si>
  <si>
    <t>4|2|205,4|1|50000,1|14003|1,1|14006|1</t>
  </si>
  <si>
    <t>4|2|150,4|1|30000,1|14003|1</t>
  </si>
  <si>
    <t>4|2|180,4|1|40000,1|14003|1,1|14107|350</t>
  </si>
  <si>
    <t>4|2|210,4|1|50000,1|14003|1,1|14006|1</t>
  </si>
  <si>
    <t>4|2|155,4|1|30000,1|14003|1</t>
  </si>
  <si>
    <t>4|2|185,4|1|40000,1|14003|1,1|14107|360</t>
  </si>
  <si>
    <t>4|2|215,4|1|50000,1|14003|1,1|14006|1</t>
  </si>
  <si>
    <t>4|2|160,4|1|30000,1|14003|1</t>
  </si>
  <si>
    <t>4|2|190,4|1|40000,1|14003|1,1|14107|370</t>
  </si>
  <si>
    <t>4|2|220,4|1|50000,1|14003|1,1|14006|1</t>
  </si>
  <si>
    <t>4|2|165,4|1|30000,1|14003|1</t>
  </si>
  <si>
    <t>4|2|195,4|1|40000,1|14003|1,1|14107|380</t>
  </si>
  <si>
    <t>4|2|225,4|1|50000,1|14003|1,1|14006|1</t>
  </si>
  <si>
    <t>4|2|170,4|1|30000,1|14003|1</t>
  </si>
  <si>
    <t>4|2|200,4|1|40000,1|14003|1,1|14107|390</t>
  </si>
  <si>
    <t>4|2|230,4|1|50000,1|14003|1,1|14006|1</t>
  </si>
  <si>
    <t>4|2|175,4|1|30000,1|14003|1</t>
  </si>
  <si>
    <t>4|2|205,4|1|40000,1|14003|1,1|14107|400</t>
  </si>
  <si>
    <t>4|2|235,4|1|50000,1|14003|1,1|14006|1</t>
  </si>
  <si>
    <t>4|2|180,4|1|30000,1|14003|1</t>
  </si>
  <si>
    <t>4|2|210,4|1|40000,1|14003|1,1|14107|410</t>
  </si>
  <si>
    <t>4|2|240,4|1|50000,1|14003|1,1|14006|1</t>
  </si>
  <si>
    <t>4|2|185,4|1|30000,1|14003|1</t>
  </si>
  <si>
    <t>4|2|215,4|1|40000,1|14003|1,1|14107|420</t>
  </si>
  <si>
    <t>4|2|245,4|1|50000,1|14003|1,1|14006|1</t>
  </si>
  <si>
    <t>4|2|190,4|1|30000,1|14003|1</t>
  </si>
  <si>
    <t>4|2|220,4|1|40000,1|14003|1,1|14107|430</t>
  </si>
  <si>
    <t>4|2|250,4|1|50000,1|14003|1,1|14006|1</t>
  </si>
  <si>
    <t>4|2|195,4|1|30000,1|14003|1</t>
  </si>
  <si>
    <t>4|2|225,4|1|40000,1|14003|1,1|14107|440</t>
  </si>
  <si>
    <t>4|2|255,4|1|50000,1|14003|1,1|14006|1</t>
  </si>
  <si>
    <t>4|2|200,4|1|30000,1|14003|1</t>
  </si>
  <si>
    <t>4|2|230,4|1|40000,1|14003|1,1|14107|450</t>
  </si>
  <si>
    <t>4|2|260,4|1|50000,1|14003|1,1|14006|1</t>
  </si>
  <si>
    <t>4|2|205,4|1|30000,1|14003|1</t>
  </si>
  <si>
    <t>4|2|235,4|1|40000,1|14003|1,1|14107|460</t>
  </si>
  <si>
    <t>4|2|265,4|1|50000,1|14003|1,1|14006|1</t>
  </si>
  <si>
    <t>4|2|210,4|1|30000,1|14003|1</t>
  </si>
  <si>
    <t>4|2|240,4|1|40000,1|14003|1,1|14107|470</t>
  </si>
  <si>
    <t>4|2|270,4|1|50000,1|14003|1,1|14006|1</t>
  </si>
  <si>
    <t>4|2|215,4|1|30000,1|14003|1</t>
  </si>
  <si>
    <t>4|2|245,4|1|40000,1|14003|1,1|14107|480</t>
  </si>
  <si>
    <t>4|2|275,4|1|50000,1|14003|1,1|14006|1</t>
  </si>
  <si>
    <t>4|2|220,4|1|30000,1|14003|1</t>
  </si>
  <si>
    <t>4|2|250,4|1|40000,1|14003|1,1|14107|490</t>
  </si>
  <si>
    <t>4|2|280,4|1|50000,1|14003|1,1|14006|1</t>
  </si>
  <si>
    <t>4|2|225,4|1|30000,1|14003|1</t>
  </si>
  <si>
    <t>4|2|255,4|1|40000,1|14003|1,1|14107|500</t>
  </si>
  <si>
    <t>4|2|285,4|1|50000,1|14003|1,1|14006|1</t>
  </si>
  <si>
    <t>4|2|230,4|1|30000,1|14003|1</t>
  </si>
  <si>
    <t>4|2|260,4|1|40000,1|14003|1,1|14107|510</t>
  </si>
  <si>
    <t>4|2|290,4|1|50000,1|14003|1,1|14006|1</t>
  </si>
  <si>
    <t>4|2|235,4|1|30000,1|14003|1</t>
  </si>
  <si>
    <t>4|2|265,4|1|40000,1|14003|1,1|14107|520</t>
  </si>
  <si>
    <t>4|2|295,4|1|50000,1|14003|1,1|14006|1</t>
  </si>
  <si>
    <t>4|2|240,4|1|30000,1|14003|1</t>
  </si>
  <si>
    <t>4|2|270,4|1|40000,1|14003|1,1|14107|530</t>
  </si>
  <si>
    <t>4|2|300,4|1|50000,1|14003|1,1|14006|1</t>
  </si>
  <si>
    <t>4|2|245,4|1|30000,1|14003|1</t>
  </si>
  <si>
    <t>4|2|275,4|1|40000,1|14003|1,1|14107|540</t>
  </si>
  <si>
    <t>4|2|305,4|1|50000,1|14003|1,1|14006|1</t>
  </si>
  <si>
    <t>4|2|250,4|1|30000,1|14003|1</t>
  </si>
  <si>
    <t>4|2|280,4|1|40000,1|14003|1,1|14107|550</t>
  </si>
  <si>
    <t>4|2|310,4|1|50000,1|14003|1,1|14006|1</t>
  </si>
  <si>
    <t>4|2|255,4|1|30000,1|14003|1</t>
  </si>
  <si>
    <t>4|2|285,4|1|40000,1|14003|1,1|14107|560</t>
  </si>
  <si>
    <t>4|2|315,4|1|50000,1|14003|1,1|14006|1</t>
  </si>
  <si>
    <t>4|2|260,4|1|30000,1|14003|1</t>
  </si>
  <si>
    <t>4|2|290,4|1|40000,1|14003|1,1|14107|570</t>
  </si>
  <si>
    <t>4|2|320,4|1|50000,1|14003|1,1|14006|1</t>
  </si>
  <si>
    <t>4|2|265,4|1|30000,1|14003|1</t>
  </si>
  <si>
    <t>4|2|295,4|1|40000,1|14003|1,1|14107|580</t>
  </si>
  <si>
    <t>4|2|325,4|1|50000,1|14003|1,1|14006|1</t>
  </si>
  <si>
    <t>4|2|270,4|1|30000,1|14003|1</t>
  </si>
  <si>
    <t>4|2|300,4|1|40000,1|14003|1,1|14107|590</t>
  </si>
  <si>
    <t>4|2|330,4|1|50000,1|14003|1,1|14006|1</t>
  </si>
  <si>
    <t>4|2|275,4|1|30000,1|14003|1</t>
  </si>
  <si>
    <t>4|2|305,4|1|40000,1|14003|1,1|14107|600</t>
  </si>
  <si>
    <t>4|2|335,4|1|50000,1|14003|1,1|14006|1</t>
  </si>
  <si>
    <t>4|2|280,4|1|30000,1|14003|1</t>
  </si>
  <si>
    <t>4|2|310,4|1|40000,1|14003|1,1|14107|610</t>
  </si>
  <si>
    <t>4|2|340,4|1|50000,1|14003|1,1|14006|1</t>
  </si>
  <si>
    <t>4|2|285,4|1|30000,1|14003|1</t>
  </si>
  <si>
    <t>4|2|315,4|1|40000,1|14003|1,1|14107|620</t>
  </si>
  <si>
    <t>4|2|345,4|1|50000,1|14003|1,1|14006|1</t>
  </si>
  <si>
    <t>4|2|290,4|1|30000,1|14003|1</t>
  </si>
  <si>
    <t>4|2|320,4|1|40000,1|14003|1,1|14107|630</t>
  </si>
  <si>
    <t>4|2|350,4|1|50000,1|14003|1,1|14006|1</t>
  </si>
  <si>
    <t>4|2|295,4|1|30000,1|14003|1</t>
  </si>
  <si>
    <t>4|2|325,4|1|40000,1|14003|1,1|14107|640</t>
  </si>
  <si>
    <t>4|2|355,4|1|50000,1|14003|1,1|14006|1</t>
  </si>
  <si>
    <t>4|2|300,4|1|30000,1|14003|1</t>
  </si>
  <si>
    <t>4|2|330,4|1|40000,1|14003|1,1|14107|650</t>
  </si>
  <si>
    <t>4|2|360,4|1|50000,1|14003|1,1|14006|1</t>
  </si>
  <si>
    <t>4|2|305,4|1|30000,1|14003|1</t>
  </si>
  <si>
    <t>4|2|335,4|1|40000,1|14003|1,1|14107|660</t>
  </si>
  <si>
    <t>4|2|365,4|1|50000,1|14003|1,1|14006|1</t>
  </si>
  <si>
    <t>4|2|310,4|1|30000,1|14003|1</t>
  </si>
  <si>
    <t>4|2|340,4|1|40000,1|14003|1,1|14107|670</t>
  </si>
  <si>
    <t>4|2|370,4|1|50000,1|14003|1,1|14006|1</t>
  </si>
  <si>
    <t>4|2|315,4|1|30000,1|14003|1</t>
  </si>
  <si>
    <t>4|2|345,4|1|40000,1|14003|1,1|14107|680</t>
  </si>
  <si>
    <t>4|2|375,4|1|50000,1|14003|1,1|14006|1</t>
  </si>
  <si>
    <t>4|2|320,4|1|30000,1|14003|1</t>
  </si>
  <si>
    <t>4|2|350,4|1|40000,1|14003|1,1|14107|690</t>
  </si>
  <si>
    <t>4|2|380,4|1|50000,1|14003|1,1|14006|1</t>
  </si>
  <si>
    <t>4|2|325,4|1|30000,1|14003|1</t>
  </si>
  <si>
    <t>4|2|355,4|1|40000,1|14003|1,1|14107|700</t>
  </si>
  <si>
    <t>4|2|385,4|1|50000,1|14003|1,1|14006|1</t>
  </si>
  <si>
    <t>4|2|330,4|1|30000,1|14003|1</t>
  </si>
  <si>
    <t>4|2|360,4|1|40000,1|14003|1,1|14107|710</t>
  </si>
  <si>
    <t>4|2|390,4|1|50000,1|14003|1,1|14006|1</t>
  </si>
  <si>
    <t>4|2|335,4|1|30000,1|14003|1</t>
  </si>
  <si>
    <t>4|2|365,4|1|40000,1|14003|1,1|14107|720</t>
  </si>
  <si>
    <t>4|2|395,4|1|50000,1|14003|1,1|14006|1</t>
  </si>
  <si>
    <t>4|2|340,4|1|30000,1|14003|1</t>
  </si>
  <si>
    <t>4|2|370,4|1|40000,1|14003|1,1|14107|730</t>
  </si>
  <si>
    <t>4|2|400,4|1|50000,1|14003|1,1|14006|1</t>
  </si>
  <si>
    <t>4|2|345,4|1|30000,1|14003|1</t>
  </si>
  <si>
    <t>4|2|375,4|1|40000,1|14003|1,1|14107|740</t>
  </si>
  <si>
    <t>4|2|405,4|1|50000,1|14003|1,1|14006|1</t>
  </si>
  <si>
    <t>4|2|350,4|1|30000,1|14003|1</t>
  </si>
  <si>
    <t>4|2|380,4|1|40000,1|14003|1,1|14107|750</t>
  </si>
  <si>
    <t>4|2|410,4|1|50000,1|14003|1,1|14006|1</t>
  </si>
  <si>
    <t>4|2|355,4|1|30000,1|14003|1</t>
  </si>
  <si>
    <t>4|2|385,4|1|40000,1|14003|1,1|14107|760</t>
  </si>
  <si>
    <t>4|2|415,4|1|50000,1|14003|1,1|14006|1</t>
  </si>
  <si>
    <t>4|2|360,4|1|30000,1|14003|1</t>
  </si>
  <si>
    <t>4|2|390,4|1|40000,1|14003|1,1|14107|770</t>
  </si>
  <si>
    <t>4|2|420,4|1|50000,1|14003|1,1|14006|1</t>
  </si>
  <si>
    <t>4|2|365,4|1|30000,1|14003|1</t>
  </si>
  <si>
    <t>4|2|395,4|1|40000,1|14003|1,1|14107|780</t>
  </si>
  <si>
    <t>4|2|425,4|1|50000,1|14003|1,1|14006|1</t>
  </si>
  <si>
    <t>4|2|370,4|1|30000,1|14003|1</t>
  </si>
  <si>
    <t>4|2|400,4|1|40000,1|14003|1,1|14107|790</t>
  </si>
  <si>
    <t>4|2|430,4|1|50000,1|14003|1,1|14006|1</t>
  </si>
  <si>
    <t>4|2|375,4|1|30000,1|14003|1</t>
  </si>
  <si>
    <t>4|2|405,4|1|40000,1|14003|1,1|14107|800</t>
  </si>
  <si>
    <t>4|2|435,4|1|50000,1|14003|1,1|14006|1</t>
  </si>
  <si>
    <t>4|1|60000|1,1|14003|2|1,1|14102|10|1</t>
  </si>
  <si>
    <t>4|1|80000|1,1|14003|2|1,4|4|180|1</t>
  </si>
  <si>
    <t>4|1|80000|1,1|14003|2|1,4|4|200|1</t>
  </si>
  <si>
    <t>4|1|80000|1,1|14003|2|1,4|4|220|1</t>
  </si>
  <si>
    <t>4|1|80000|1,1|14003|2|1,4|4|240|1</t>
  </si>
  <si>
    <t>4|1|80000|1,1|14003|2|1,4|4|260|1</t>
  </si>
  <si>
    <t>4|1|80000|1,1|14003|2|1,4|4|270|1</t>
  </si>
  <si>
    <t>4|1|80000|1,1|14003|2|1,4|4|280|1</t>
  </si>
  <si>
    <t>4|1|80000|1,1|14003|2|1,4|4|290|1</t>
  </si>
  <si>
    <t>4|1|80000|1,1|14003|2|1,4|4|300|1</t>
  </si>
  <si>
    <t>4|1|80000|1,1|14003|2|1,4|4|310|1</t>
  </si>
  <si>
    <t>4|1|80000|1,1|14003|2|1,4|4|320|1</t>
  </si>
  <si>
    <t>4|1|80000|1,1|14003|2|1,4|4|330|1</t>
  </si>
  <si>
    <t>4|1|80000|1,1|14003|2|1,4|4|340|1</t>
  </si>
  <si>
    <t>4|1|80000|1,1|14003|2|1,4|4|350|1</t>
  </si>
  <si>
    <t>4|1|80000|1,1|14003|2|1,4|4|360|1</t>
  </si>
  <si>
    <t>4|1|80000|1,1|14003|2|1,4|4|370|1</t>
  </si>
  <si>
    <t>4|1|80000|1,1|14003|2|1,4|4|380|1</t>
  </si>
  <si>
    <t>4|1|80000|1,1|14003|2|1,4|4|390|1</t>
  </si>
  <si>
    <t>4|1|80000|1,1|14003|2|1,4|4|400|1</t>
  </si>
  <si>
    <t>4|1|80000|1,1|14003|2|1,4|4|410|1</t>
  </si>
  <si>
    <t>4|1|80000|1,1|14003|2|1,4|4|420|1</t>
  </si>
  <si>
    <t>4|1|80000|1,1|14003|2|1,4|4|430|1</t>
  </si>
  <si>
    <t>4|1|80000|1,1|14003|2|1,4|4|440|1</t>
  </si>
  <si>
    <t>4|1|80000|1,1|14003|2|1,4|4|450|1</t>
  </si>
  <si>
    <t>4|1|80000|1,1|14003|2|1,4|4|460|1</t>
  </si>
  <si>
    <t>4|1|80000|1,1|14003|2|1,4|4|470|1</t>
  </si>
  <si>
    <t>4|1|80000|1,1|14003|2|1,4|4|480|1</t>
  </si>
  <si>
    <t>4|1|80000|1,1|14003|2|1,4|4|490|1</t>
  </si>
  <si>
    <t>4|1|80000|1,1|14003|2|1,4|4|500|1</t>
  </si>
  <si>
    <t>4|1|80000|1,1|14003|2|1,4|4|510|1</t>
  </si>
  <si>
    <t>4|1|80000|1,1|14003|2|1,4|4|520|1</t>
  </si>
  <si>
    <t>4|1|80000|1,1|14003|2|1,4|4|530|1</t>
  </si>
  <si>
    <t>4|1|80000|1,1|14003|2|1,4|4|540|1</t>
  </si>
  <si>
    <t>4|1|80000|1,1|14003|2|1,4|4|550|1</t>
  </si>
  <si>
    <t>4|1|80000|1,1|14003|2|1,4|4|560|1</t>
  </si>
  <si>
    <t>4|1|80000|1,1|14003|2|1,4|4|570|1</t>
  </si>
  <si>
    <t>4|1|80000|1,1|14003|2|1,4|4|580|1</t>
  </si>
  <si>
    <t>4|1|80000|1,1|14003|2|1,4|4|590|1</t>
  </si>
  <si>
    <t>4|1|80000|1,1|14003|2|1,4|4|600|1</t>
  </si>
  <si>
    <t>4|1|80000|1,1|14003|2|1,4|4|610|1</t>
  </si>
  <si>
    <t>4|1|80000|1,1|14003|2|1,4|4|620|1</t>
  </si>
  <si>
    <t>4|1|80000|1,1|14003|2|1,4|4|630|1</t>
  </si>
  <si>
    <t>4|1|80000|1,1|14003|2|1,4|4|640|1</t>
  </si>
  <si>
    <t>4|1|80000|1,1|14003|2|1,4|4|650|1</t>
  </si>
  <si>
    <t>4|1|80000|1,1|14003|2|1,4|4|660|1</t>
  </si>
  <si>
    <t>4|1|80000|1,1|14003|2|1,4|4|670|1</t>
  </si>
  <si>
    <t>4|1|80000|1,1|14003|2|1,4|4|680|1</t>
  </si>
  <si>
    <t>4|1|80000|1,1|14003|2|1,4|4|690|1</t>
  </si>
  <si>
    <t>4|1|80000|1,1|14003|2|1,4|4|700|1</t>
  </si>
  <si>
    <t>4|1|80000|1,1|14003|2|1,4|4|710|1</t>
  </si>
  <si>
    <t>4|1|80000|1,1|14003|2|1,4|4|720|1</t>
  </si>
  <si>
    <t>4|1|80000|1,1|14003|2|1,4|4|730|1</t>
  </si>
  <si>
    <t>4|1|80000|1,1|14003|2|1,4|4|740|1</t>
  </si>
  <si>
    <t>4|1|80000|1,1|14003|2|1,4|4|750|1</t>
  </si>
  <si>
    <t>4|1|80000|1,1|14003|2|1,4|4|760|1</t>
  </si>
  <si>
    <t>4|1|80000|1,1|14003|2|1,4|4|770|1</t>
  </si>
  <si>
    <t>4|1|80000|1,1|14003|2|1,4|4|780|1</t>
  </si>
  <si>
    <t>4|1|80000|1,1|14003|2|1,4|4|790|1</t>
  </si>
  <si>
    <t>4|1|80000|1,1|14003|2|1,4|4|800|1</t>
  </si>
  <si>
    <t>4|1|80000|1,1|14003|2|1,4|4|810|1</t>
  </si>
  <si>
    <t>4|1|80000|1,1|14003|2|1,4|4|820|1</t>
  </si>
  <si>
    <t>4|1|80000|1,1|14003|2|1,4|4|830|1</t>
  </si>
  <si>
    <t>4|1|80000|1,1|14003|2|1,4|4|840|1</t>
  </si>
  <si>
    <t>4|1|80000|1,1|14003|2|1,4|4|850|1</t>
  </si>
  <si>
    <t>4|1|80000|1,1|14003|2|1,4|4|860|1</t>
  </si>
  <si>
    <t>4|1|80000|1,1|14003|2|1,4|4|870|1</t>
  </si>
  <si>
    <t>4|1|60000,1|14003|2,1|14102|10</t>
  </si>
  <si>
    <t>4|1|80000,1|14003|2,4|4|180</t>
  </si>
  <si>
    <t>4|1|80000,1|14003|2,4|4|200</t>
  </si>
  <si>
    <t>4|1|80000,1|14003|2,4|4|220</t>
  </si>
  <si>
    <t>4|1|80000,1|14003|2,4|4|240</t>
  </si>
  <si>
    <t>4|1|80000,1|14003|2,4|4|260</t>
  </si>
  <si>
    <t>4|1|80000,1|14003|2,4|4|270</t>
  </si>
  <si>
    <t>4|1|80000,1|14003|2,4|4|280</t>
  </si>
  <si>
    <t>4|1|80000,1|14003|2,4|4|290</t>
  </si>
  <si>
    <t>4|1|80000,1|14003|2,4|4|300</t>
  </si>
  <si>
    <t>4|1|80000,1|14003|2,4|4|310</t>
  </si>
  <si>
    <t>4|1|80000,1|14003|2,4|4|320</t>
  </si>
  <si>
    <t>4|1|80000,1|14003|2,4|4|330</t>
  </si>
  <si>
    <t>4|1|80000,1|14003|2,4|4|340</t>
  </si>
  <si>
    <t>4|1|80000,1|14003|2,4|4|350</t>
  </si>
  <si>
    <t>4|1|80000,1|14003|2,4|4|360</t>
  </si>
  <si>
    <t>4|1|80000,1|14003|2,4|4|370</t>
  </si>
  <si>
    <t>4|1|80000,1|14003|2,4|4|380</t>
  </si>
  <si>
    <t>4|1|80000,1|14003|2,4|4|390</t>
  </si>
  <si>
    <t>4|1|80000,1|14003|2,4|4|400</t>
  </si>
  <si>
    <t>4|1|80000,1|14003|2,4|4|410</t>
  </si>
  <si>
    <t>4|1|80000,1|14003|2,4|4|420</t>
  </si>
  <si>
    <t>4|1|80000,1|14003|2,4|4|430</t>
  </si>
  <si>
    <t>4|1|80000,1|14003|2,4|4|440</t>
  </si>
  <si>
    <t>4|1|80000,1|14003|2,4|4|450</t>
  </si>
  <si>
    <t>4|1|80000,1|14003|2,4|4|460</t>
  </si>
  <si>
    <t>4|1|80000,1|14003|2,4|4|470</t>
  </si>
  <si>
    <t>4|1|80000,1|14003|2,4|4|480</t>
  </si>
  <si>
    <t>4|1|80000,1|14003|2,4|4|490</t>
  </si>
  <si>
    <t>4|1|80000,1|14003|2,4|4|500</t>
  </si>
  <si>
    <t>4|1|80000,1|14003|2,4|4|510</t>
  </si>
  <si>
    <t>4|1|80000,1|14003|2,4|4|520</t>
  </si>
  <si>
    <t>4|1|80000,1|14003|2,4|4|530</t>
  </si>
  <si>
    <t>4|1|80000,1|14003|2,4|4|540</t>
  </si>
  <si>
    <t>4|1|80000,1|14003|2,4|4|550</t>
  </si>
  <si>
    <t>4|1|80000,1|14003|2,4|4|560</t>
  </si>
  <si>
    <t>4|1|80000,1|14003|2,4|4|570</t>
  </si>
  <si>
    <t>4|1|80000,1|14003|2,4|4|580</t>
  </si>
  <si>
    <t>4|1|80000,1|14003|2,4|4|590</t>
  </si>
  <si>
    <t>4|1|80000,1|14003|2,4|4|600</t>
  </si>
  <si>
    <t>4|1|80000,1|14003|2,4|4|610</t>
  </si>
  <si>
    <t>4|1|80000,1|14003|2,4|4|620</t>
  </si>
  <si>
    <t>4|1|80000,1|14003|2,4|4|630</t>
  </si>
  <si>
    <t>4|1|80000,1|14003|2,4|4|640</t>
  </si>
  <si>
    <t>4|1|80000,1|14003|2,4|4|650</t>
  </si>
  <si>
    <t>4|1|80000,1|14003|2,4|4|660</t>
  </si>
  <si>
    <t>4|1|80000,1|14003|2,4|4|670</t>
  </si>
  <si>
    <t>4|1|80000,1|14003|2,4|4|680</t>
  </si>
  <si>
    <t>4|1|80000,1|14003|2,4|4|690</t>
  </si>
  <si>
    <t>4|1|80000,1|14003|2,4|4|700</t>
  </si>
  <si>
    <t>4|1|80000,1|14003|2,4|4|710</t>
  </si>
  <si>
    <t>4|1|80000,1|14003|2,4|4|720</t>
  </si>
  <si>
    <t>4|1|80000,1|14003|2,4|4|730</t>
  </si>
  <si>
    <t>4|1|80000,1|14003|2,4|4|740</t>
  </si>
  <si>
    <t>4|1|80000,1|14003|2,4|4|750</t>
  </si>
  <si>
    <t>4|1|80000,1|14003|2,4|4|760</t>
  </si>
  <si>
    <t>4|1|80000,1|14003|2,4|4|770</t>
  </si>
  <si>
    <t>4|1|80000,1|14003|2,4|4|780</t>
  </si>
  <si>
    <t>4|1|80000,1|14003|2,4|4|790</t>
  </si>
  <si>
    <t>4|1|80000,1|14003|2,4|4|800</t>
  </si>
  <si>
    <t>4|1|80000,1|14003|2,4|4|810</t>
  </si>
  <si>
    <t>4|1|80000,1|14003|2,4|4|820</t>
  </si>
  <si>
    <t>4|1|80000,1|14003|2,4|4|830</t>
  </si>
  <si>
    <t>4|1|80000,1|14003|2,4|4|840</t>
  </si>
  <si>
    <t>4|1|80000,1|14003|2,4|4|850</t>
  </si>
  <si>
    <t>4|1|80000,1|14003|2,4|4|860</t>
  </si>
  <si>
    <t>4|1|80000,1|14003|2,4|4|870</t>
  </si>
  <si>
    <t>4|2|50|1,4|1|20000|1</t>
  </si>
  <si>
    <t>1|14101|2|1,4|1|20000|1</t>
  </si>
  <si>
    <t>4|5|150|1,4|1|20000|1</t>
  </si>
  <si>
    <t>1|14108|2|1,4|1|20000|1</t>
  </si>
  <si>
    <t>1|14315|1|1,4|1|20000|1</t>
  </si>
  <si>
    <t>1|14005|1|1,4|1|20000|1</t>
  </si>
  <si>
    <t>4|4|150|1,4|1|20000|1</t>
  </si>
  <si>
    <t>1|14003|2|1,4|1|20000|1</t>
  </si>
  <si>
    <t>4|2|50,4|1|20000</t>
  </si>
  <si>
    <t>1|14101|2,4|1|20000</t>
  </si>
  <si>
    <t>4|5|150,4|1|20000</t>
  </si>
  <si>
    <t>1|14108|2,4|1|20000</t>
  </si>
  <si>
    <t>1|14315|1,4|1|20000</t>
  </si>
  <si>
    <t>1|14005|1,4|1|20000</t>
  </si>
  <si>
    <t>4|4|150,4|1|20000</t>
  </si>
  <si>
    <t>1|14003|2,4|1|20000</t>
  </si>
  <si>
    <t>4|1|40000|1</t>
    <phoneticPr fontId="21" type="noConversion"/>
  </si>
  <si>
    <t>4|1|40000</t>
    <phoneticPr fontId="21" type="noConversion"/>
  </si>
  <si>
    <t>5|1208|1|1,5|1202|1|1,5|1104|1|1</t>
  </si>
  <si>
    <t>5|1208|1,5|1202|1,5|1104|1</t>
    <phoneticPr fontId="21" type="noConversion"/>
  </si>
  <si>
    <t>伙伴等级最高达到15级</t>
  </si>
  <si>
    <t>伙伴等级最高达到25级</t>
  </si>
  <si>
    <t>伙伴等级最高达到35级</t>
  </si>
  <si>
    <t>伙伴等级最高达到45级</t>
  </si>
  <si>
    <t>伙伴等级最高达到55级</t>
  </si>
  <si>
    <t>伙伴等级最高达到65级</t>
  </si>
  <si>
    <t>伙伴等级最高达到75级</t>
  </si>
  <si>
    <t>伙伴等级最高达到85级</t>
  </si>
  <si>
    <t>伙伴等级最高达到95级</t>
  </si>
  <si>
    <t>伙伴等级最高达到105级</t>
  </si>
  <si>
    <t>伙伴等级最高达到115级</t>
  </si>
  <si>
    <t>伙伴等级最高达到125级</t>
  </si>
  <si>
    <t>伙伴等级最高达到135级</t>
  </si>
  <si>
    <t>伙伴等级最高达到145级</t>
  </si>
  <si>
    <t>伙伴等级最高达到155级</t>
  </si>
  <si>
    <t>伙伴等级最高达到160级</t>
  </si>
  <si>
    <t>伙伴等级最高达到165级</t>
  </si>
  <si>
    <t>伙伴等级最高达到170级</t>
  </si>
  <si>
    <t>伙伴等级最高达到175级</t>
  </si>
  <si>
    <t>伙伴等级最高达到180级</t>
  </si>
  <si>
    <t>伙伴等级最高达到185级</t>
  </si>
  <si>
    <t>伙伴等级最高达到190级</t>
  </si>
  <si>
    <t>伙伴等级最高达到195级</t>
  </si>
  <si>
    <t>伙伴等级最高达到200级</t>
  </si>
  <si>
    <t>伙伴等级最高达到205级</t>
  </si>
  <si>
    <t>伙伴等级最高达到210级</t>
  </si>
  <si>
    <t>伙伴等级最高达到215级</t>
  </si>
  <si>
    <t>伙伴等级最高达到220级</t>
  </si>
  <si>
    <t>伙伴等级最高达到225级</t>
  </si>
  <si>
    <t>伙伴等级最高达到230级</t>
  </si>
  <si>
    <t>伙伴等级最高达到235级</t>
  </si>
  <si>
    <t>伙伴等级最高达到240级</t>
  </si>
  <si>
    <t>伙伴等级最高达到245级</t>
  </si>
  <si>
    <t>伙伴等级最高达到250级</t>
  </si>
  <si>
    <t>伙伴等级最高达到255级</t>
  </si>
  <si>
    <t>伙伴等级最高达到260级</t>
  </si>
  <si>
    <t>伙伴等级最高达到265级</t>
  </si>
  <si>
    <t>伙伴等级最高达到270级</t>
  </si>
  <si>
    <t>伙伴等级最高达到275级</t>
  </si>
  <si>
    <t>伙伴等级最高达到280级</t>
  </si>
  <si>
    <t>伙伴等级最高达到285级</t>
  </si>
  <si>
    <t>伙伴等级最高达到290级</t>
  </si>
  <si>
    <t>伙伴等级最高达到295级</t>
  </si>
  <si>
    <t>伙伴等级最高达到300级</t>
  </si>
  <si>
    <t>伙伴等级最高达到305级</t>
  </si>
  <si>
    <t>伙伴等级最高达到310级</t>
  </si>
  <si>
    <t>伙伴等级最高达到315级</t>
  </si>
  <si>
    <t>伙伴等级最高达到320级</t>
  </si>
  <si>
    <t>伙伴等级最高达到325级</t>
  </si>
  <si>
    <t>伙伴等级最高达到330级</t>
  </si>
  <si>
    <t>伙伴等级最高达到335级</t>
  </si>
  <si>
    <t>伙伴等级最高达到340级</t>
  </si>
  <si>
    <t>伙伴等级最高达到345级</t>
  </si>
  <si>
    <t>伙伴等级最高达到350级</t>
  </si>
  <si>
    <t>伙伴等级最高达到355级</t>
  </si>
  <si>
    <t>伙伴等级最高达到360级</t>
  </si>
  <si>
    <t>伙伴等级最高达到365级</t>
  </si>
  <si>
    <t>伙伴等级最高达到370级</t>
  </si>
  <si>
    <t>伙伴等级最高达到375级</t>
  </si>
  <si>
    <t>伙伴等级最高达到5级</t>
  </si>
  <si>
    <t>(彩蝶仙童,人参娃,玉皇大帝)随机宝箱</t>
    <phoneticPr fontId="21" type="noConversion"/>
  </si>
  <si>
    <t>2|2043|1,4|1|50000</t>
  </si>
  <si>
    <t>2|2042|1,1|14101|2,4|1|100000</t>
  </si>
  <si>
    <t>1|14318|4,1|14108|2,4|1|200000</t>
  </si>
  <si>
    <t>1|14318|4,4|39|10000,4|1|300000</t>
  </si>
  <si>
    <t>2|2041|1,2|2044|1,4|3|10000</t>
  </si>
  <si>
    <t>2|2043|1|1,4|1|50000|1</t>
  </si>
  <si>
    <t>2|2042|1|1,1|14101|2|1,4|1|100000|1</t>
  </si>
  <si>
    <t>1|14318|4|1,1|14108|2|1,4|1|200000|1</t>
  </si>
  <si>
    <t>1|14318|4|1,4|39|10000|1,4|1|300000|1</t>
  </si>
  <si>
    <t>2|2041|1|1,2|2044|1|1,4|3|10000|1</t>
  </si>
  <si>
    <t>4|2|10|1</t>
    <phoneticPr fontId="17" type="noConversion"/>
  </si>
  <si>
    <t>4|2|20|1</t>
    <phoneticPr fontId="17" type="noConversion"/>
  </si>
  <si>
    <t>1|17000|10</t>
  </si>
  <si>
    <t>4|29|200</t>
  </si>
  <si>
    <t>1|17000|30</t>
  </si>
  <si>
    <t>4|29|300</t>
  </si>
  <si>
    <t>4|29|400</t>
  </si>
  <si>
    <t>4|29|500</t>
  </si>
  <si>
    <t>1|17001|6</t>
  </si>
  <si>
    <t>1|17000|10|1</t>
  </si>
  <si>
    <t>4|29|200|1</t>
  </si>
  <si>
    <t>1|17000|30|1</t>
  </si>
  <si>
    <t>4|29|300|1</t>
  </si>
  <si>
    <t>4|29|400|1</t>
  </si>
  <si>
    <t>4|29|500|1</t>
  </si>
  <si>
    <t>1|17001|6|1</t>
  </si>
  <si>
    <t>[]</t>
    <phoneticPr fontId="21" type="noConversion"/>
  </si>
  <si>
    <t>1|10027|1|1,1|10112|1|1,1|10113|1|1,1|10114|1|1,1|10115|1|1</t>
    <phoneticPr fontId="21" type="noConversion"/>
  </si>
  <si>
    <t>1|10027|1,1|10112|1,1|10113|1,1|10114|1,1|10115|1</t>
    <phoneticPr fontId="21" type="noConversion"/>
  </si>
  <si>
    <t>1|10008|1|1,1|10119|1|1,1|10002|1|1,1|10118|1|1,1|10003|1|1</t>
    <phoneticPr fontId="21" type="noConversion"/>
  </si>
  <si>
    <t>1|10008|1,1|10119|1,1|10002|1,1|10118|1,1|10003|1</t>
    <phoneticPr fontId="21" type="noConversion"/>
  </si>
  <si>
    <t>1|14507|1|1,1|14508|1|1,1|14509|1|1</t>
    <phoneticPr fontId="21" type="noConversion"/>
  </si>
  <si>
    <t>1|14507|1,1|14508|1,1|14509|1</t>
    <phoneticPr fontId="21" type="noConversion"/>
  </si>
  <si>
    <t>1|10026|1|1,1|10022|1|1,1|10025|1|1,1|10010|1|1,1|10116|1|1,1|10102|1|1,1|10107|1|1</t>
    <phoneticPr fontId="21" type="noConversion"/>
  </si>
  <si>
    <t>1|10009|1|1,1|10004|1|1,1|10007|1|1,1|10035|1|1,1|10023|1|1,1|10101|1|1,1|10006|1|1</t>
  </si>
  <si>
    <t>1|10016|1|1,1|10017|1|1,1|10014|1|1,1|10032|1|1,1|10031|1|1,1|10037|1|1,1|10108|1|1</t>
    <phoneticPr fontId="21" type="noConversion"/>
  </si>
  <si>
    <t>1|10009|1,1|10004|1,1|10007|1,1|10035|1,1|10023|1,1|10101|1,1|10006|1</t>
    <phoneticPr fontId="21" type="noConversion"/>
  </si>
  <si>
    <t>1|10026|1,1|10022|1,1|10025|1,1|10010|1,1|10116|1,1|10102|1,1|10107|1</t>
    <phoneticPr fontId="21" type="noConversion"/>
  </si>
  <si>
    <t>1|10016|1,1|10017|1,1|10014|1,1|10032|1,1|10031|1,1|10037|1,1|10108|1</t>
    <phoneticPr fontId="21" type="noConversion"/>
  </si>
  <si>
    <t>1|14510|1|1,1|14511|1|1,1|14512|1|1</t>
    <phoneticPr fontId="21" type="noConversion"/>
  </si>
  <si>
    <t>1|14510|1,1|14511|1,1|14512|1</t>
    <phoneticPr fontId="21" type="noConversion"/>
  </si>
  <si>
    <t>1|10015|1|1,1|10022|1|1,1|10025|1|1,1|10010|1|1,1|10116|1|1,1|10102|1|1,1|10107|1|1,1|10009|1|1,1|10004|1|1,1|10007|1|1,1|10035|1|1,1|10023|1|1,1|10101|1|1,1|10006|1|1,1|10016|1|1,1|10017|1|1,1|10014|1|1,1|10032|1|1,1|10031|1|1,1|10037|1|1,1|10108|1|1</t>
  </si>
  <si>
    <t>1|10011|1|1,1|10112|1|1,1|10113|1|1,1|10114|1|1,1|10115|1|1,1|10008|1|1,1|10119|1|1,1|10002|1|1,1|10118|1|1,1|10003|1|1,1|10012|1|1,1|10013|1|1,1|10020|1|1,1|10024|1|1,1|10015|1|1</t>
  </si>
  <si>
    <t>1|10108|1|1,1|10018|1|1,1|10036|1|1,1|10028|1|1,1|10092|1|1,1|10052|1|1,1|10034|1|1,1|10033|1|1,1|10103|1|1,1|10104|1|1,1|10106|1|1,1|10105|1|1,1|10039|1|1,1|10040|1|1,1|10038|1|1,1|10126|1|1,1|10041|1|1,1|10404|1|1</t>
  </si>
  <si>
    <t>紫色伙伴碎片箱</t>
    <phoneticPr fontId="21" type="noConversion"/>
  </si>
  <si>
    <t>蓝色伙伴碎片箱（给的紫色将，不给蓝的，这个不要用）</t>
    <phoneticPr fontId="20" type="noConversion"/>
  </si>
  <si>
    <t>5|1127|1|1,5|1212|1|1,5|1213|1|1,5|1214|1|1,5|1215|1|1,5|1108|1|1,5|1219|1|1,5|1102|1|1,5|1218|1|1,5|1103|1|1,5|1111|1|1,5|1112|1|1,5|1113|1|1,5|1120|1|1,5|1115|1|1</t>
  </si>
  <si>
    <t>5|1126|1|1,5|1122|1|1,5|1125|1|1,5|1110|1|1,5|1216|1|1,5|1202|1|1,5|1207|1|1,5|1109|1|1,5|1104|1|1,5|1107|1|1,5|1135|1|1,5|1123|1|1,5|1201|1|1,5|1106|1|1,5|1116|1|1,5|1117|1|1,5|1114|1|1,5|1132|1|1,5|1131|1|1,5|1137|1|1,5|1208|1|1</t>
  </si>
  <si>
    <t>5|1130|1|1,5|1118|1|1,5|1136|1|1,5|1128|1|1,5|1192|1|1,5|1152|1|1,5|1134|1|1,5|1133|1|1,5|1203|1|1,5|1204|1|1,5|1206|1|1,5|1205|1|1,5|1139|1|1,5|1140|1|1,5|1138|1|1,5|1226|1|1,5|1141|1|1,5|1504|1|1</t>
  </si>
  <si>
    <t>5|1142|1|1,5|1143|1|1,5|1146|1|1,5|1147|1|1,5|1148|1|1,5|1155|1|1,5|1156|1|1,5|1157|1|1,5|1158|1|1,5|1159|1|1,5|1162|1|1,5|1163|1|1,5|1505|1|1,5|1506|1|1,5|1507|1|1,5|1508|1|1,5|2018|1|1</t>
  </si>
  <si>
    <t>5|1153|1|1,5|1154|1|1,5|1164|1|1,5|1165|1|1,5|1166|1|1,5|1167|1|1,5|1168|1|1,5|1169|1|1,5|1170|1|1,5|1171|1|1,5|1176|1|1,5|1177|1|1,5|1178|1|1,5|1179|1|1,5|1180|1|1,5|1181|1|1,5|1182|1|1,5|1185|1|1,5|1186|1|1,5|1187|1|1,5|1188|1|1,5|1193|1|1,5|1194|1|1,5|1217|1|1,5|1501|1|1,5|1502|1|1,5|1503|1|1</t>
  </si>
  <si>
    <t>5|1127|1,5|1212|1,5|1108|1,5|1219|1,5|1113|1,5|1120|1</t>
  </si>
  <si>
    <t>5|1127|1|1,5|1212|1|1,5|1108|1|1,5|1219|1|1,5|1113|1|1,5|1120|1|1</t>
  </si>
  <si>
    <t>5|1214|1,5|1102|1,5|1112|1,5|1213|1,5|1218|1,5|1111|1</t>
  </si>
  <si>
    <t>橙16辅助伙伴选择箱</t>
  </si>
  <si>
    <t>5|1215|1|1,5|1103|1|1,5|1115|1|1</t>
  </si>
  <si>
    <t>5|1215|1,5|1103|1,5|1115|1</t>
  </si>
  <si>
    <t>1|14515|1|1,1|14516|1|1,1|14558|1|1</t>
    <phoneticPr fontId="21" type="noConversion"/>
  </si>
  <si>
    <t>1|14515|1,1|14516|1,1|14558|1</t>
    <phoneticPr fontId="21" type="noConversion"/>
  </si>
  <si>
    <t>5|1214|1|1,5|1102|1|1,5|1112|1|1,5|1213|1|1,5|1218|1|1,5|1111|1|1</t>
    <phoneticPr fontId="21" type="noConversion"/>
  </si>
  <si>
    <t>5|1127|1|1,5|1212|1|1,5|1108|1|1,5|1219|1|1,5|1113|1|1,5|1120|1|1,5|1214|1|1,5|1102|1|1,5|1112|1|1,5|1213|1|1,5|1218|1|1,5|1111|1|1,5|1215|1|1,5|1103|1|1,5|1115|1|1</t>
    <phoneticPr fontId="21" type="noConversion"/>
  </si>
  <si>
    <t>[]</t>
    <phoneticPr fontId="21" type="noConversion"/>
  </si>
  <si>
    <t>5|1122|1,5|1125|1,5|1107|1,5|1135|1,5|1117|1,5|1132|1</t>
  </si>
  <si>
    <t>5|1110|1,5|1202|1,5|1104|1,5|1123|1,5|1114|1,5|1216|1,5|1207|1,5|1201|1,5|1106|1,5|1131|1,5|1137|1,5|1208|1</t>
  </si>
  <si>
    <t>1|14519|1|1,1|14520|1|1,1|14521|1|1</t>
    <phoneticPr fontId="21" type="noConversion"/>
  </si>
  <si>
    <t>1|14519|1,1|14520|1,1|14521|1</t>
    <phoneticPr fontId="21" type="noConversion"/>
  </si>
  <si>
    <t>5|1122|1|1,5|1125|1|1,5|1107|1|1,5|1135|1|1,5|1117|1|1,5|1132|1|1</t>
    <phoneticPr fontId="21" type="noConversion"/>
  </si>
  <si>
    <t>5|1110|1|1,5|1202|1|1,5|1104|1|1,5|1123|1|1,5|1114|1|1,5|1216|1|1,5|1207|1|1,5|1201|1|1,5|1106|1|1,5|1131|1|1,5|1137|1|1,5|1208|1|1</t>
    <phoneticPr fontId="21" type="noConversion"/>
  </si>
  <si>
    <t>5|1126|1|1,5|1109|1|1,5|1116|1|1</t>
    <phoneticPr fontId="21" type="noConversion"/>
  </si>
  <si>
    <t>5|1122|1|1,5|1125|1|1,5|1107|1|1,5|1135|1|1,5|1117|1|1,5|1132|1|1,5|1110|1|1,5|1202|1|1,5|1104|1|1,5|1123|1|1,5|1114|1|1,5|1216|1|1,5|1207|1|1,5|1201|1|1,5|1106|1|1,5|1131|1|1,5|1137|1|1,5|1208|1|1,5|1126|1|1,5|1109|1|1,5|1116|1|1</t>
    <phoneticPr fontId="21" type="noConversion"/>
  </si>
  <si>
    <t>1|11025|1|1,1|11026|1|1,1|11027|1|1,1|11028|1|1</t>
    <phoneticPr fontId="21" type="noConversion"/>
  </si>
  <si>
    <t>1|11025|1,1|11026|1,1|11027|1,1|11028|1</t>
    <phoneticPr fontId="21" type="noConversion"/>
  </si>
  <si>
    <t>橙色散装碎片选择箱</t>
    <phoneticPr fontId="17" type="noConversion"/>
  </si>
  <si>
    <t>橙色散件装备碎片随机箱</t>
    <phoneticPr fontId="21" type="noConversion"/>
  </si>
  <si>
    <t>橙色套装装备碎片随机箱</t>
    <phoneticPr fontId="21" type="noConversion"/>
  </si>
  <si>
    <t>1|11029|1|1,1|11030|1|1,1|11031|1|1,1|11032|1|1,1|11033|1|1,1|11034|1|1,1|11035|1|1,1|11036|1|1</t>
  </si>
  <si>
    <t>3|55441|1|150,3|55442|1|100</t>
    <phoneticPr fontId="21" type="noConversion"/>
  </si>
  <si>
    <t>橙装碎片随机箱</t>
    <phoneticPr fontId="17" type="noConversion"/>
  </si>
  <si>
    <t>[]</t>
    <phoneticPr fontId="21" type="noConversion"/>
  </si>
  <si>
    <t>橙色装备随机箱</t>
    <phoneticPr fontId="17" type="noConversion"/>
  </si>
  <si>
    <t>橙色套装随机箱</t>
    <phoneticPr fontId="21" type="noConversion"/>
  </si>
  <si>
    <t>橙色散装随机箱</t>
    <phoneticPr fontId="21" type="noConversion"/>
  </si>
  <si>
    <t>2|2064|1|1,2|2063|1|1,2|2062|1|1,2|2061|1|1</t>
    <phoneticPr fontId="21" type="noConversion"/>
  </si>
  <si>
    <t>2|2068|1|1,2|2067|1|1,2|2066|1|1,2|2065|1|1,2|2072|1|1,2|2071|1|1,2|2070|1|1,2|2069|1|1</t>
    <phoneticPr fontId="21" type="noConversion"/>
  </si>
  <si>
    <t>3|55443|1|150,3|55444|1|100</t>
    <phoneticPr fontId="21" type="noConversion"/>
  </si>
  <si>
    <t>5|1211|1,5|1121|1</t>
  </si>
  <si>
    <t>5|1101|1,5|1105|1</t>
  </si>
  <si>
    <t>5|1119|1,5|1124|1</t>
  </si>
  <si>
    <t>5|1211|1|1,5|1121|1|1</t>
    <phoneticPr fontId="21" type="noConversion"/>
  </si>
  <si>
    <t>[]</t>
    <phoneticPr fontId="21" type="noConversion"/>
  </si>
  <si>
    <t>5|1119|1|1,5|1124|1|1</t>
    <phoneticPr fontId="21" type="noConversion"/>
  </si>
  <si>
    <t>5|1101|1|1,5|1105|1|1,5|1211|1|1,5|1121|1|1,5|1119|1|1,5|1124|1|1</t>
    <phoneticPr fontId="21" type="noConversion"/>
  </si>
  <si>
    <t>1|10111|1,1|10021|1</t>
  </si>
  <si>
    <t>1|10001|1,1|10005|1</t>
  </si>
  <si>
    <t>1|10019|1,1|10024|1</t>
  </si>
  <si>
    <t>1|10001|1|1,1|10005|1|1</t>
    <phoneticPr fontId="21" type="noConversion"/>
  </si>
  <si>
    <t>5|1101|1|1,5|1105|1|1</t>
    <phoneticPr fontId="21" type="noConversion"/>
  </si>
  <si>
    <t>5|1101|1,5|1105|1,5|1211|1,5|1121|1,5|1119|1,5|1124|1</t>
    <phoneticPr fontId="21" type="noConversion"/>
  </si>
  <si>
    <t>1|10111|1|1,1|10021|1|1</t>
    <phoneticPr fontId="21" type="noConversion"/>
  </si>
  <si>
    <t>1|10019|1|1,1|10024|1|1</t>
    <phoneticPr fontId="21" type="noConversion"/>
  </si>
  <si>
    <t>1|10001|1|1,1|10005|1|1,1|10111|1|1,1|10021|1|1,1|10019|1|1,1|10024|1|1</t>
    <phoneticPr fontId="21" type="noConversion"/>
  </si>
  <si>
    <t>1|10001|1,1|10005|1,1|10111|1,1|10021|1,1|10019|1,1|10024|1</t>
    <phoneticPr fontId="21" type="noConversion"/>
  </si>
  <si>
    <t>1|14003|1|1,1|10034|40|1</t>
  </si>
  <si>
    <t>1|14003|1|1,1|10033|5|1,1|11004|5|1</t>
  </si>
  <si>
    <t>1|14003|1|1,1|10018|5|1,1|11003|5|1</t>
  </si>
  <si>
    <t>1|14003|1|1,1|10028|5|1,1|11001|5|1</t>
  </si>
  <si>
    <t>1|14003|1,1|10034|40</t>
  </si>
  <si>
    <t>1|14003|1,1|10033|5,1|11004|5</t>
  </si>
  <si>
    <t>1|14003|1,1|10018|5,1|11003|5</t>
  </si>
  <si>
    <t>1|14003|1,1|10028|5,1|11001|5</t>
  </si>
  <si>
    <t>1|14314|2</t>
  </si>
  <si>
    <t>1|14315|2</t>
  </si>
  <si>
    <t>1|14314|2|1</t>
  </si>
  <si>
    <t>1|14315|2|1</t>
  </si>
  <si>
    <t>40级大闹三界-简单-洗炼丹</t>
  </si>
  <si>
    <t>40级大闹三界-困难-洗炼丹</t>
  </si>
  <si>
    <t>50级大闹三界-简单-洗炼丹</t>
  </si>
  <si>
    <t>50级大闹三界-困难-洗炼丹</t>
  </si>
  <si>
    <t>60级大闹三界-简单-洗炼丹</t>
  </si>
  <si>
    <t>60级大闹三界-困难-洗炼丹</t>
  </si>
  <si>
    <t>70级大闹三界-简单-洗炼丹</t>
  </si>
  <si>
    <t>70级大闹三界-困难-洗炼丹</t>
  </si>
  <si>
    <t>80级大闹三界-简单-洗炼丹</t>
  </si>
  <si>
    <t>80级大闹三界-困难-洗炼丹</t>
  </si>
  <si>
    <t>[]</t>
    <phoneticPr fontId="21" type="noConversion"/>
  </si>
  <si>
    <t>[]</t>
    <phoneticPr fontId="21" type="noConversion"/>
  </si>
  <si>
    <t>90级大闹三界-困难-洗炼丹</t>
    <phoneticPr fontId="21" type="noConversion"/>
  </si>
  <si>
    <t>100级大闹三界-简单-洗炼丹</t>
    <phoneticPr fontId="21" type="noConversion"/>
  </si>
  <si>
    <t>[]</t>
    <phoneticPr fontId="21" type="noConversion"/>
  </si>
  <si>
    <t>[]</t>
    <phoneticPr fontId="21" type="noConversion"/>
  </si>
  <si>
    <t>110级大闹三界-简单-洗炼丹</t>
  </si>
  <si>
    <t>120级大闹三界-简单-洗炼丹</t>
  </si>
  <si>
    <t>130级大闹三界-简单-洗炼丹</t>
  </si>
  <si>
    <t>140级大闹三界-简单-洗炼丹</t>
  </si>
  <si>
    <t>40级大闹三界-简单-洗炼突破丹</t>
  </si>
  <si>
    <t>40级大闹三界-困难-洗炼突破丹</t>
  </si>
  <si>
    <t>50级大闹三界-简单-洗炼突破丹</t>
  </si>
  <si>
    <t>50级大闹三界-困难-洗炼突破丹</t>
  </si>
  <si>
    <t>60级大闹三界-简单-洗炼突破丹</t>
  </si>
  <si>
    <t>60级大闹三界-困难-洗炼突破丹</t>
  </si>
  <si>
    <t>70级大闹三界-简单-洗炼突破丹</t>
  </si>
  <si>
    <t>70级大闹三界-困难-洗炼突破丹</t>
  </si>
  <si>
    <t>80级大闹三界-简单-洗炼突破丹</t>
  </si>
  <si>
    <t>80级大闹三界-困难-洗炼突破丹</t>
  </si>
  <si>
    <t>90级大闹三界-困难-洗炼突破丹</t>
  </si>
  <si>
    <t>100级大闹三界-简单-洗炼突破丹</t>
  </si>
  <si>
    <t>110级大闹三界-简单-洗炼突破丹</t>
  </si>
  <si>
    <t>120级大闹三界-简单-洗炼突破丹</t>
  </si>
  <si>
    <t>130级大闹三界-简单-洗炼突破丹</t>
  </si>
  <si>
    <t>140级大闹三界-简单-洗炼突破丹</t>
  </si>
  <si>
    <t>1|16001|4</t>
    <phoneticPr fontId="17" type="noConversion"/>
  </si>
  <si>
    <t>1|16503|12</t>
    <phoneticPr fontId="17" type="noConversion"/>
  </si>
  <si>
    <t>1|16503|12|1</t>
    <phoneticPr fontId="17" type="noConversion"/>
  </si>
  <si>
    <t>1|16503|18</t>
    <phoneticPr fontId="17" type="noConversion"/>
  </si>
  <si>
    <t>1|16503|18|1</t>
    <phoneticPr fontId="17" type="noConversion"/>
  </si>
  <si>
    <t>1|16005|46</t>
    <phoneticPr fontId="17" type="noConversion"/>
  </si>
  <si>
    <t>1|16001|3</t>
    <phoneticPr fontId="17" type="noConversion"/>
  </si>
  <si>
    <t>1|16001|5</t>
    <phoneticPr fontId="17" type="noConversion"/>
  </si>
  <si>
    <t>1|16006|2</t>
    <phoneticPr fontId="17" type="noConversion"/>
  </si>
  <si>
    <t>1|14106|4|1</t>
  </si>
  <si>
    <t>1|14106|6|1</t>
  </si>
  <si>
    <t>1|14106|8|1</t>
  </si>
  <si>
    <t>1|14106|12|1</t>
  </si>
  <si>
    <t>1|14106|14|1</t>
  </si>
  <si>
    <t>1|14106|16|1</t>
  </si>
  <si>
    <t>1|14106|18|1</t>
  </si>
  <si>
    <t>1|14106|22|1</t>
  </si>
  <si>
    <t>1|14106|24|1</t>
  </si>
  <si>
    <t>1|16010|6|1</t>
  </si>
  <si>
    <t>1|16010|10|1</t>
  </si>
  <si>
    <t>1|16010|12|1</t>
  </si>
  <si>
    <t>1|16010|14|1</t>
  </si>
  <si>
    <t>1|16010|18|1</t>
  </si>
  <si>
    <t>1|16010|22|1</t>
  </si>
  <si>
    <t>1|16010|24|1</t>
  </si>
  <si>
    <t>1|14106|4,1|16010|4</t>
    <phoneticPr fontId="21" type="noConversion"/>
  </si>
  <si>
    <t>1|14106|6,1|16010|6</t>
  </si>
  <si>
    <t>1|14106|8,1|16010|8</t>
  </si>
  <si>
    <t>1|14106|10,1|16010|10</t>
  </si>
  <si>
    <t>1|14106|12,1|16010|12</t>
  </si>
  <si>
    <t>1|14106|14,1|16010|14</t>
  </si>
  <si>
    <t>1|14106|16,1|16010|16</t>
  </si>
  <si>
    <t>1|14106|18,1|16010|18</t>
  </si>
  <si>
    <t>1|14106|20,1|16010|20</t>
  </si>
  <si>
    <t>1|14106|22,1|16010|22</t>
  </si>
  <si>
    <t>1|14106|24,1|16010|24</t>
  </si>
  <si>
    <t>1|14106|4|1,1|16010|4|1</t>
  </si>
  <si>
    <t>1|14106|6|1,1|16010|6|1</t>
  </si>
  <si>
    <t>1|14106|8|1,1|16010|8|1</t>
  </si>
  <si>
    <t>1|14106|10|1,1|16010|10|1</t>
  </si>
  <si>
    <t>1|14106|12|1,1|16010|12|1</t>
  </si>
  <si>
    <t>1|14106|14|1,1|16010|14|1</t>
  </si>
  <si>
    <t>1|14106|16|1,1|16010|16|1</t>
  </si>
  <si>
    <t>1|14106|18|1,1|16010|18|1</t>
  </si>
  <si>
    <t>1|14106|20|1,1|16010|20|1</t>
  </si>
  <si>
    <t>1|14106|22|1,1|16010|22|1</t>
  </si>
  <si>
    <t>1|14106|24|1,1|16010|24|1</t>
  </si>
  <si>
    <t>4|29|250</t>
    <phoneticPr fontId="17" type="noConversion"/>
  </si>
  <si>
    <t>4|29|250|1</t>
    <phoneticPr fontId="17" type="noConversion"/>
  </si>
  <si>
    <t>4|2|30|1</t>
    <phoneticPr fontId="17" type="noConversion"/>
  </si>
  <si>
    <t>4|2|40|1</t>
    <phoneticPr fontId="17" type="noConversion"/>
  </si>
  <si>
    <t>4|2|10</t>
    <phoneticPr fontId="21" type="noConversion"/>
  </si>
  <si>
    <t>4|2|20</t>
    <phoneticPr fontId="21" type="noConversion"/>
  </si>
  <si>
    <t>4|2|30</t>
    <phoneticPr fontId="21" type="noConversion"/>
  </si>
  <si>
    <t>4|2|40</t>
    <phoneticPr fontId="21" type="noConversion"/>
  </si>
  <si>
    <t>1|14569|1,1|14570|1</t>
    <phoneticPr fontId="21" type="noConversion"/>
  </si>
  <si>
    <t>1|14569|1|1,1|14570|1|1</t>
    <phoneticPr fontId="21" type="noConversion"/>
  </si>
  <si>
    <t>5|1121|1,5|1105|1,5|1124|1</t>
    <phoneticPr fontId="21" type="noConversion"/>
  </si>
  <si>
    <t>5|1211|1,5|1101|1,5|1119|1</t>
    <phoneticPr fontId="21" type="noConversion"/>
  </si>
  <si>
    <t>5|1211|1|1,5|1101|1|1,5|1119|1|1</t>
    <phoneticPr fontId="21" type="noConversion"/>
  </si>
  <si>
    <t>5|1121|1|1,5|1105|1|1,5|1124|1|1</t>
    <phoneticPr fontId="21" type="noConversion"/>
  </si>
  <si>
    <t>4|1|420000</t>
  </si>
  <si>
    <t>4|1|440000</t>
  </si>
  <si>
    <t>4|1|460000</t>
  </si>
  <si>
    <t>4|1|480000</t>
  </si>
  <si>
    <t>4|1|520000</t>
  </si>
  <si>
    <t>4|1|540000</t>
  </si>
  <si>
    <t>4|1|560000</t>
  </si>
  <si>
    <t>4|1|580000</t>
  </si>
  <si>
    <t>4|1|620000</t>
  </si>
  <si>
    <t>4|1|640000</t>
  </si>
  <si>
    <t>4|1|660000</t>
  </si>
  <si>
    <t>4|1|680000</t>
  </si>
  <si>
    <t>4|1|420000|1</t>
  </si>
  <si>
    <t>4|1|440000|1</t>
  </si>
  <si>
    <t>4|1|460000|1</t>
  </si>
  <si>
    <t>4|1|480000|1</t>
  </si>
  <si>
    <t>4|1|520000|1</t>
  </si>
  <si>
    <t>4|1|540000|1</t>
  </si>
  <si>
    <t>4|1|560000|1</t>
  </si>
  <si>
    <t>4|1|580000|1</t>
  </si>
  <si>
    <t>4|1|620000|1</t>
  </si>
  <si>
    <t>4|1|640000|1</t>
  </si>
  <si>
    <t>4|1|660000|1</t>
  </si>
  <si>
    <t>4|1|680000|1</t>
  </si>
  <si>
    <t>4|1|300000</t>
    <phoneticPr fontId="21" type="noConversion"/>
  </si>
  <si>
    <t>4|1|400000</t>
    <phoneticPr fontId="21" type="noConversion"/>
  </si>
  <si>
    <t>4|1|300000|1</t>
    <phoneticPr fontId="21" type="noConversion"/>
  </si>
  <si>
    <t>4|1|400000|1</t>
    <phoneticPr fontId="21" type="noConversion"/>
  </si>
  <si>
    <t>3|51006|1|80,3|51005|1|20</t>
    <phoneticPr fontId="21" type="noConversion"/>
  </si>
  <si>
    <t>4|1|10000|1,3|51003|1|1</t>
    <phoneticPr fontId="21" type="noConversion"/>
  </si>
  <si>
    <t>3|51006|1|50,3|51007|1|300,3|51008|1|650</t>
    <phoneticPr fontId="21" type="noConversion"/>
  </si>
  <si>
    <t>高级聚仙获得金币并抽取武将（不出橙16伙伴）</t>
    <phoneticPr fontId="20" type="noConversion"/>
  </si>
  <si>
    <t>高级抽卡（不出橙16伙伴）</t>
    <phoneticPr fontId="21" type="noConversion"/>
  </si>
  <si>
    <t>红色仙将选择箱</t>
    <phoneticPr fontId="17" type="noConversion"/>
  </si>
  <si>
    <t>红色佛将选择箱</t>
    <phoneticPr fontId="17" type="noConversion"/>
  </si>
  <si>
    <t>红色妖将选择箱</t>
    <phoneticPr fontId="17" type="noConversion"/>
  </si>
  <si>
    <t>红色伙伴选择箱</t>
    <phoneticPr fontId="17" type="noConversion"/>
  </si>
  <si>
    <t>红色伙伴随机箱</t>
    <phoneticPr fontId="17" type="noConversion"/>
  </si>
  <si>
    <t>红色仙将碎片选择箱</t>
    <phoneticPr fontId="17" type="noConversion"/>
  </si>
  <si>
    <t>红色佛将碎片选择箱</t>
    <phoneticPr fontId="17" type="noConversion"/>
  </si>
  <si>
    <t>红色妖将碎片选择箱</t>
    <phoneticPr fontId="17" type="noConversion"/>
  </si>
  <si>
    <t>红色伙伴碎片选择箱</t>
    <phoneticPr fontId="17" type="noConversion"/>
  </si>
  <si>
    <t>红色伙伴碎片随机箱</t>
    <phoneticPr fontId="17" type="noConversion"/>
  </si>
  <si>
    <t>近战红将选择箱</t>
    <phoneticPr fontId="17" type="noConversion"/>
  </si>
  <si>
    <t>远程红将选择箱</t>
    <phoneticPr fontId="17" type="noConversion"/>
  </si>
  <si>
    <t>橙16仙将神兵选择箱</t>
  </si>
  <si>
    <t>橙16佛将神兵选择箱</t>
  </si>
  <si>
    <t>橙16妖将神兵选择箱</t>
  </si>
  <si>
    <t>橙13仙将神兵选择箱</t>
  </si>
  <si>
    <t>橙13佛将神兵选择箱</t>
  </si>
  <si>
    <t>橙13妖将神兵选择箱</t>
  </si>
  <si>
    <t>红色神兵碎片选择箱</t>
    <phoneticPr fontId="17" type="noConversion"/>
  </si>
  <si>
    <t>橙16神兵碎片选择箱</t>
    <phoneticPr fontId="17" type="noConversion"/>
  </si>
  <si>
    <t>橙13神兵碎片选择箱</t>
    <phoneticPr fontId="17" type="noConversion"/>
  </si>
  <si>
    <t>1|17104|1,1|17124|1,1|17105|1,1|17114|1,1|17113|1,1|17116|1</t>
  </si>
  <si>
    <t>1|17109|1,1|17110|1,1|17118|1,1|17119|1,1|17125|1</t>
  </si>
  <si>
    <t>1|17106|1,1|17111|1,1|17103|1,1|17115|1,1|17120|1</t>
  </si>
  <si>
    <t>1|17122|1,1|17112|1,1|17107|1,1|17108|1,1|17140|1</t>
  </si>
  <si>
    <t>1|17117|1,1|17142|1,1|17131|1,1|17127|1,1|17138|1,1|17132|1,1|17143|1</t>
  </si>
  <si>
    <t>1|17121|1,1|17128|1,1|17144|1,1|17129|1,1|17133|1,1|17135|1,1|17139|1</t>
  </si>
  <si>
    <t>1|17123|1,1|17134|1,1|17126|1,1|17130|1,1|17136|1,1|17137|1,1|17141|1</t>
  </si>
  <si>
    <t>1|17123|1|1,1|17134|1|1,1|17126|1|1,1|17130|1|1,1|17136|1|1,1|17137|1|1,1|17141|1|1</t>
  </si>
  <si>
    <t>1|17104|1|1,1|17124|1|1,1|17105|1|1,1|17114|1|1,1|17113|1|1,1|17116|1|1</t>
  </si>
  <si>
    <t>1|14575|1|1,1|14576|1|1,1|14577|1|1</t>
    <phoneticPr fontId="21" type="noConversion"/>
  </si>
  <si>
    <t>1|14578|1|1,1|14579|1|1,1|14580|1|1</t>
    <phoneticPr fontId="21" type="noConversion"/>
  </si>
  <si>
    <t>1|14575|1,1|14576|1,1|14577|1</t>
  </si>
  <si>
    <t>1|14578|1,1|14579|1,1|14580|1</t>
  </si>
  <si>
    <t>红色神兵碎片随机箱</t>
    <phoneticPr fontId="17" type="noConversion"/>
  </si>
  <si>
    <t>橙16神兵碎片随机箱</t>
    <phoneticPr fontId="17" type="noConversion"/>
  </si>
  <si>
    <t>橙13神兵碎片随机箱</t>
    <phoneticPr fontId="17" type="noConversion"/>
  </si>
  <si>
    <t>[]</t>
    <phoneticPr fontId="21" type="noConversion"/>
  </si>
  <si>
    <t>1|17121|1|1,1|17128|1|1,1|17144|1|1,1|17129|1|1,1|17133|1|1,1|17135|1|1,1|17139|1|1</t>
    <phoneticPr fontId="21" type="noConversion"/>
  </si>
  <si>
    <t>1|17121|1|1,1|17128|1|1,1|17144|1|1,1|17129|1|1,1|17133|1|1,1|17135|1|1,1|17139|1|1,1|17121|1|1,1|17128|1|1,1|17144|1|1,1|17129|1|1,1|17133|1|1,1|17135|1|1,1|17139|1|1,1|17123|1|1,1|17134|1|1,1|17126|1|1,1|17130|1|1,1|17136|1|1,1|17137|1|1,1|17141|1|1</t>
    <phoneticPr fontId="21" type="noConversion"/>
  </si>
  <si>
    <t>1|17106|1|1,1|17111|1|1,1|17103|1|1,1|17115|1|1,1|17120|1|1</t>
    <phoneticPr fontId="21" type="noConversion"/>
  </si>
  <si>
    <t>1|17109|1|1,1|17110|1|1,1|17118|1|1,1|17119|1|1,1|17125|1|1</t>
    <phoneticPr fontId="21" type="noConversion"/>
  </si>
  <si>
    <t>1|17122|1|1,1|17112|1|1,1|17107|1|1,1|17108|1|1,1|17140|1|1</t>
    <phoneticPr fontId="21" type="noConversion"/>
  </si>
  <si>
    <t>1|17106|1|1,1|17111|1|1,1|17103|1|1,1|17115|1|1,1|17120|1|1,1|17109|1|1,1|17110|1|1,1|17118|1|1,1|17119|1|1,1|17125|1|1,1|17122|1|1,1|17112|1|1,1|17107|1|1,1|17108|1|1,1|17140|1|1</t>
    <phoneticPr fontId="21" type="noConversion"/>
  </si>
  <si>
    <t>(混世魔王,东海龙王，迦叶)三选一</t>
    <phoneticPr fontId="21" type="noConversion"/>
  </si>
  <si>
    <t>5|1132|1,5|1135|1,5|1125|1</t>
    <phoneticPr fontId="21" type="noConversion"/>
  </si>
  <si>
    <t>5|1132|1|1,5|1135|1|1,5|1125|1|1</t>
    <phoneticPr fontId="21" type="noConversion"/>
  </si>
  <si>
    <t>等级到达25级</t>
  </si>
  <si>
    <t>等级到达30级</t>
  </si>
  <si>
    <t>战斗力到达300000</t>
  </si>
  <si>
    <t>主线副本通关第十二章</t>
  </si>
  <si>
    <t>主线副本通关第十四章</t>
  </si>
  <si>
    <t>主线副本通关第十六章</t>
  </si>
  <si>
    <t>主线副本通关第十八章</t>
  </si>
  <si>
    <t>上阵五名伙伴全部穿戴蓝色以上装备（包括蓝色）</t>
  </si>
  <si>
    <t>上阵五名伙伴穿戴装备强化至30级</t>
  </si>
  <si>
    <t>上阵五名伙伴穿戴装备强化至40级</t>
  </si>
  <si>
    <t>上阵五名伙伴穿戴装备强化至50级</t>
  </si>
  <si>
    <t>上阵五名伙伴穿戴装备强化至60级</t>
  </si>
  <si>
    <t>上阵3名橙色伙伴</t>
  </si>
  <si>
    <t>上阵4名橙色伙伴</t>
  </si>
  <si>
    <t>顶级聚仙10次</t>
  </si>
  <si>
    <t>顶级聚仙20次</t>
  </si>
  <si>
    <t>顶级聚仙30次</t>
  </si>
  <si>
    <t>顶级聚仙50次</t>
  </si>
  <si>
    <t>顶级聚仙100次</t>
  </si>
  <si>
    <t>顶级聚仙150次</t>
  </si>
  <si>
    <t>顶级聚仙200次</t>
  </si>
  <si>
    <t>等级到达36级</t>
  </si>
  <si>
    <t>战斗力到达400000</t>
  </si>
  <si>
    <t>灵台斗法最高排名到达第1名</t>
  </si>
  <si>
    <t>灵台斗法最高排名到达第3名</t>
  </si>
  <si>
    <t>灵台斗法最高排名到达第10名</t>
  </si>
  <si>
    <t>灵台斗法最高排名到达第30名</t>
  </si>
  <si>
    <t>灵台斗法最高排名到达第100名</t>
  </si>
  <si>
    <t>灵台斗法最高排名到达第500名</t>
  </si>
  <si>
    <t>灵台斗法最高排名到达第1000名</t>
  </si>
  <si>
    <t>灵台斗法最高排名到达第3000名</t>
  </si>
  <si>
    <t>上阵所有伙伴进阶等级+2</t>
  </si>
  <si>
    <t>上阵所有伙伴进阶等级+3</t>
  </si>
  <si>
    <t>合成10个法宝</t>
  </si>
  <si>
    <t>合成20个法宝</t>
  </si>
  <si>
    <t>穿戴法宝最高强化等级到达10级</t>
  </si>
  <si>
    <t>穿戴法宝最高强化等级到达20级</t>
  </si>
  <si>
    <t>上阵五名伙伴穿戴法宝强化至5级</t>
  </si>
  <si>
    <t>上阵五名伙伴穿戴法宝强化至10级</t>
  </si>
  <si>
    <t>等级到达40级</t>
  </si>
  <si>
    <t>战斗力到达600000</t>
  </si>
  <si>
    <t>上阵伙伴穿戴的20件装备精炼等级到达6级</t>
  </si>
  <si>
    <t>上阵伙伴穿戴的20件装备精炼等级到达8级</t>
  </si>
  <si>
    <t>上阵伙伴穿戴的20件装备精炼等级到达10级</t>
  </si>
  <si>
    <t>上阵伙伴穿戴的20件装备精炼等级到达15级</t>
  </si>
  <si>
    <t>穿戴装备最高精炼等级到达5级</t>
  </si>
  <si>
    <t>穿戴装备最高精炼等级到达10级</t>
  </si>
  <si>
    <t>穿戴装备最高精炼等级到达15级</t>
  </si>
  <si>
    <t>穿戴装备最高精炼等级到达20级</t>
  </si>
  <si>
    <t>等级到达44级</t>
  </si>
  <si>
    <t>战斗力到达800000</t>
  </si>
  <si>
    <t>所有上阵伙伴神兵强化等级到达5级</t>
  </si>
  <si>
    <t>所有上阵伙伴神兵强化等级到达10级</t>
  </si>
  <si>
    <t>所有上阵伙伴神兵强化等级到达15级</t>
  </si>
  <si>
    <t>所有上阵伙伴神兵强化等级到达20级</t>
  </si>
  <si>
    <t>上阵伙伴中神兵强化最高等级到达5级</t>
  </si>
  <si>
    <t>上阵伙伴中神兵强化最高等级到达10级</t>
  </si>
  <si>
    <t>上阵伙伴中神兵强化最高等级到达15级</t>
  </si>
  <si>
    <t>上阵伙伴中神兵强化最高等级到达20级</t>
  </si>
  <si>
    <t>上阵伙伴中神兵强化最高等级到达30级</t>
  </si>
  <si>
    <t>上阵伙伴中神兵强化最高等级到达40级</t>
  </si>
  <si>
    <t>任意1件神兵进阶+1</t>
  </si>
  <si>
    <t>累计击杀梦魇怪物1个</t>
  </si>
  <si>
    <t>累计击杀梦魇怪物5个</t>
  </si>
  <si>
    <t>累计击杀梦魇怪物10个</t>
  </si>
  <si>
    <t>累计击杀梦魇怪物15个</t>
  </si>
  <si>
    <t>累计击杀梦魇怪物20个</t>
  </si>
  <si>
    <t>累计击杀梦魇怪物30个</t>
  </si>
  <si>
    <t>累计击杀梦魇怪物40个</t>
  </si>
  <si>
    <t>梦魇入侵每日最高累计伤害到达40000000</t>
  </si>
  <si>
    <t>梦魇入侵每日最高累计伤害到达80000000</t>
  </si>
  <si>
    <t>梦魇入侵每日最高累计伤害到达120000000</t>
  </si>
  <si>
    <t>梦魇入侵每日最高累计伤害到达160000000</t>
  </si>
  <si>
    <t>累计充值1500元</t>
  </si>
  <si>
    <t>等级到达46级</t>
  </si>
  <si>
    <t>战斗力到达100万</t>
  </si>
  <si>
    <t>伙伴洗炼10次</t>
  </si>
  <si>
    <t>伙伴洗炼30次</t>
  </si>
  <si>
    <t>伙伴洗炼50次</t>
  </si>
  <si>
    <t>伙伴商铺刷新10次</t>
  </si>
  <si>
    <t>伙伴商铺刷新20次</t>
  </si>
  <si>
    <t>伙伴商铺刷新30次</t>
  </si>
  <si>
    <t>伙伴商铺刷新40次</t>
  </si>
  <si>
    <t>伙伴商铺刷新50次</t>
  </si>
  <si>
    <t>伙伴商铺刷新80次</t>
  </si>
  <si>
    <t>伙伴商铺刷新120次</t>
  </si>
  <si>
    <t>伙伴商铺中购买5次商品</t>
  </si>
  <si>
    <t>伙伴商铺中购买10次商品</t>
  </si>
  <si>
    <t>伙伴商铺中购买15次商品</t>
  </si>
  <si>
    <t>伙伴商铺中购买20次商品</t>
  </si>
  <si>
    <t>伙伴商铺中购买30次商品</t>
  </si>
  <si>
    <t>伙伴商铺中购买50次商品</t>
  </si>
  <si>
    <t>累计充值3000元</t>
  </si>
  <si>
    <t>等级到达48级</t>
  </si>
  <si>
    <t>战斗力到达120万</t>
  </si>
  <si>
    <t>精英副本通关第十五章</t>
  </si>
  <si>
    <t>全身10件法宝精炼等级到达1级</t>
  </si>
  <si>
    <t>全身10件法宝精炼等级到达2级</t>
  </si>
  <si>
    <t>全身10件法宝精炼等级到达3级</t>
  </si>
  <si>
    <t>全身10件法宝精炼等级到达4级</t>
  </si>
  <si>
    <t>穿戴法宝中精炼最高等级到达3级</t>
  </si>
  <si>
    <t>穿戴法宝中精炼最高等级到达4级</t>
  </si>
  <si>
    <t>累计充值4000元</t>
  </si>
  <si>
    <t>累计充值5000元</t>
  </si>
  <si>
    <t>登陆领取指定红色伙伴</t>
  </si>
  <si>
    <t>等级到达55级</t>
  </si>
  <si>
    <t>战斗力到达150万</t>
  </si>
  <si>
    <t>灵台商铺消耗1000斗神玉</t>
  </si>
  <si>
    <t>灵台商铺消耗2000斗神玉</t>
  </si>
  <si>
    <t>装备商铺消耗1000陨铁</t>
  </si>
  <si>
    <t>装备商铺消耗2000陨铁</t>
  </si>
  <si>
    <t>神兵商铺消耗1000梦魂沙</t>
  </si>
  <si>
    <t>神兵商铺消耗2000梦魂沙</t>
  </si>
  <si>
    <t>伙伴商铺消耗1000精魂</t>
  </si>
  <si>
    <t>伙伴商铺消耗2000精魂</t>
  </si>
  <si>
    <t>妖灵商铺消耗1000妖灵</t>
  </si>
  <si>
    <t>妖灵商铺消耗2000妖灵</t>
  </si>
  <si>
    <t>普通商铺消耗1000元宝</t>
  </si>
  <si>
    <t>普通商铺消耗2000元宝</t>
  </si>
  <si>
    <t>主线副本通关第二十五章</t>
  </si>
  <si>
    <t>主线副本通关第二十八章</t>
  </si>
  <si>
    <t>主线副本通关第三十章</t>
  </si>
  <si>
    <t>1|14523|1,1|14101|10</t>
  </si>
  <si>
    <t>1|14517|1,1|14108|10</t>
  </si>
  <si>
    <t>4|2|100,1|14101|1</t>
  </si>
  <si>
    <t>1|14553|1</t>
  </si>
  <si>
    <t>1|14004|5,1|14101|5</t>
  </si>
  <si>
    <t>1|14522|1</t>
  </si>
  <si>
    <t>1|14516|1</t>
  </si>
  <si>
    <t>1|14515|1</t>
  </si>
  <si>
    <t>1|14562|1</t>
  </si>
  <si>
    <t>1|14523|1|1,1|14101|10|1</t>
  </si>
  <si>
    <t>1|14517|1|1,1|14108|10|1</t>
  </si>
  <si>
    <t>4|2|100|1,1|14101|1|1</t>
  </si>
  <si>
    <t>1|14553|1|1</t>
  </si>
  <si>
    <t>1|14004|5|1,1|14101|5|1</t>
  </si>
  <si>
    <t>1|14522|1|1</t>
  </si>
  <si>
    <t>1|14516|1|1</t>
  </si>
  <si>
    <t>1|14515|1|1</t>
  </si>
  <si>
    <t>1|14562|1|1</t>
  </si>
  <si>
    <t>1|14306|10,1|14101|10,1|14108|10</t>
  </si>
  <si>
    <t>1|14535|2,6|4503|5</t>
  </si>
  <si>
    <t>4|2|150,1|14306|1</t>
  </si>
  <si>
    <t>4|5|900</t>
  </si>
  <si>
    <t>1|14306|10|1,1|14101|10|1,1|14108|10|1</t>
  </si>
  <si>
    <t>1|14535|2|1,6|4503|5|1</t>
  </si>
  <si>
    <t>4|2|150|1,1|14306|1|1</t>
  </si>
  <si>
    <t>4|5|900|1</t>
  </si>
  <si>
    <t>1|14315|10|1,1|16005|200|1</t>
  </si>
  <si>
    <t>1|14527|1|1</t>
  </si>
  <si>
    <t>4|2|200|1,1|16005|20|1</t>
  </si>
  <si>
    <t>1|14315|3|1</t>
  </si>
  <si>
    <t>1|14315|10,1|16005|200</t>
  </si>
  <si>
    <t>1|14527|1</t>
  </si>
  <si>
    <t>4|2|200,1|16005|20</t>
  </si>
  <si>
    <t>1|14315|3</t>
  </si>
  <si>
    <t>4|2|250,1|17000|100</t>
  </si>
  <si>
    <t>1|17000|400</t>
  </si>
  <si>
    <t>1|17000|600</t>
  </si>
  <si>
    <t>4|2|250|1,1|17000|100|1</t>
  </si>
  <si>
    <t>1|17000|400|1</t>
  </si>
  <si>
    <t>1|17000|600|1</t>
  </si>
  <si>
    <t>4|4|1000,1|14102|100,1|14106|100</t>
  </si>
  <si>
    <t>4|4|2000,1|14102|100,1|14106|200</t>
  </si>
  <si>
    <t>4|2|300,1|14102|30</t>
  </si>
  <si>
    <t>1|14106|50</t>
  </si>
  <si>
    <t>4|4|1000|1,1|14102|100|1,1|14106|100|1</t>
  </si>
  <si>
    <t>4|4|2000|1,1|14102|100|1,1|14106|200|1</t>
  </si>
  <si>
    <t>4|2|300|1,1|14102|30|1</t>
  </si>
  <si>
    <t>1|14106|50|1</t>
  </si>
  <si>
    <t>1|14535|4,1|14201|1000</t>
  </si>
  <si>
    <t>1|14535|12,1|14201|2000</t>
  </si>
  <si>
    <t>4|2|400,1|14201|50</t>
  </si>
  <si>
    <t>1|14315|5</t>
  </si>
  <si>
    <t>1|14306|1,1|14201|100</t>
  </si>
  <si>
    <t>1|14306|2,1|14201|200</t>
  </si>
  <si>
    <t>1|14306|5,1|14201|600</t>
  </si>
  <si>
    <t>1|14306|6,1|14201|800</t>
  </si>
  <si>
    <t>1|14306|3,1|14201|300</t>
  </si>
  <si>
    <t>1|14306|4,1|14201|500</t>
  </si>
  <si>
    <t>1|14535|4|1,1|14201|1000|1</t>
  </si>
  <si>
    <t>1|14535|12|1,1|14201|2000|1</t>
  </si>
  <si>
    <t>4|2|400|1,1|14201|50|1</t>
  </si>
  <si>
    <t>1|14315|5|1</t>
  </si>
  <si>
    <t>1|14306|1|1,1|14201|100|1</t>
  </si>
  <si>
    <t>1|14306|2|1,1|14201|200|1</t>
  </si>
  <si>
    <t>1|14306|5|1,1|14201|600|1</t>
  </si>
  <si>
    <t>1|14306|6|1,1|14201|800|1</t>
  </si>
  <si>
    <t>1|14306|3|1,1|14201|300|1</t>
  </si>
  <si>
    <t>1|14306|4|1,1|14201|500|1</t>
  </si>
  <si>
    <t>1|14562|1,1|14527|1,4|1|5000000</t>
  </si>
  <si>
    <t>1|14562|2,1|14572|100,4|1|10000000</t>
  </si>
  <si>
    <t>4|2|500,1|14101|2,1|14108|2</t>
  </si>
  <si>
    <t>1|14569|1</t>
  </si>
  <si>
    <t>4|5|200</t>
  </si>
  <si>
    <t>4|39|200</t>
  </si>
  <si>
    <t>4|39|300</t>
  </si>
  <si>
    <t>4|1|300000,1|14004|5</t>
  </si>
  <si>
    <t>1|14562|1|1,1|14527|1|1,4|1|5000000|1</t>
  </si>
  <si>
    <t>1|14562|2|1,1|14572|100|1,4|1|10000000|1</t>
  </si>
  <si>
    <t>4|2|500|1,1|14101|2|1,1|14108|2|1</t>
  </si>
  <si>
    <t>1|14569|1|1</t>
  </si>
  <si>
    <t>4|5|200|1</t>
  </si>
  <si>
    <t>4|39|200|1</t>
  </si>
  <si>
    <t>4|39|300|1</t>
  </si>
  <si>
    <t>4|1|300000|1,1|14004|5|1</t>
  </si>
  <si>
    <t>5|1126|1,5|1109|1,5|1116|1</t>
    <phoneticPr fontId="21" type="noConversion"/>
  </si>
  <si>
    <t>2|2022|1|1</t>
    <phoneticPr fontId="21" type="noConversion"/>
  </si>
  <si>
    <t>2|2022|1</t>
    <phoneticPr fontId="21" type="noConversion"/>
  </si>
  <si>
    <t>1|14003|1|1,2|2002|1|1,2|2004|1|1</t>
  </si>
  <si>
    <t>1|14003|1|1,2|2001|1|1,2|2003|1|1</t>
  </si>
  <si>
    <t>1|14003|1,2|2002|1,2|2004|1</t>
  </si>
  <si>
    <t>1|14003|1,2|2001|1,2|2003|1</t>
  </si>
  <si>
    <t>1|14311|1,4|2|50,1|14003|1,1|14108|2</t>
    <phoneticPr fontId="21" type="noConversion"/>
  </si>
  <si>
    <t>1|14311|1|1,4|2|50|1,1|14003|1|1,1|14108|2|1</t>
    <phoneticPr fontId="21" type="noConversion"/>
  </si>
  <si>
    <t>1|14211|10,1|17000|1000</t>
    <phoneticPr fontId="21" type="noConversion"/>
  </si>
  <si>
    <t>1|14211|20,1|17000|2000</t>
    <phoneticPr fontId="21" type="noConversion"/>
  </si>
  <si>
    <t>1|14211|10|1,1|17000|1000|1</t>
    <phoneticPr fontId="21" type="noConversion"/>
  </si>
  <si>
    <t>1|14211|20|1,1|17000|2000|1</t>
    <phoneticPr fontId="21" type="noConversion"/>
  </si>
  <si>
    <t>橙13伙伴碎片箱</t>
    <phoneticPr fontId="17" type="noConversion"/>
  </si>
  <si>
    <t>橙16伙伴碎片箱</t>
    <phoneticPr fontId="17" type="noConversion"/>
  </si>
  <si>
    <t>3|49203|1|90,3|49204|1|10</t>
    <phoneticPr fontId="21" type="noConversion"/>
  </si>
  <si>
    <t>1|10027|1|1,1|10112|1|1,1|10113|1|1,1|10114|1|1,1|10115|1|1,1|10008|1|1,1|10119|1|1,1|10002|1|1,1|10118|1|1,1|10003|1|1,1|10011|1|1,1|10012|1|1,1|10013|1|1,1|10020|1|1,1|10015|1|1</t>
  </si>
  <si>
    <t>1|10011|1|1,1|10012|1|1,1|10013|1|1,1|10020|1|1,1|10015|1|1</t>
  </si>
  <si>
    <t>1|10011|1,1|10012|1,1|10013|1,1|10020|1,1|10015|1</t>
  </si>
  <si>
    <t>第20次抽送橙16-龙帝，白无常，铁扇公主</t>
    <phoneticPr fontId="20" type="noConversion"/>
  </si>
  <si>
    <t>5|1213|1|1,5|1218|1|1,5|1111|1|1</t>
    <phoneticPr fontId="21" type="noConversion"/>
  </si>
  <si>
    <t>1|14535|1</t>
  </si>
  <si>
    <t>1|16010|10</t>
  </si>
  <si>
    <t>1|14535|1|1</t>
  </si>
  <si>
    <t>1|14106|60</t>
  </si>
  <si>
    <t>1|14106|100</t>
  </si>
  <si>
    <t>1|16010|20</t>
  </si>
  <si>
    <t>第6天双倍奖励</t>
    <phoneticPr fontId="21" type="noConversion"/>
  </si>
  <si>
    <t>第9天双倍奖励</t>
    <phoneticPr fontId="21" type="noConversion"/>
  </si>
  <si>
    <t>第15天双倍奖励</t>
    <phoneticPr fontId="21" type="noConversion"/>
  </si>
  <si>
    <t>第21天双倍奖励</t>
    <phoneticPr fontId="21" type="noConversion"/>
  </si>
  <si>
    <t>第27天双倍奖励</t>
    <phoneticPr fontId="21" type="noConversion"/>
  </si>
  <si>
    <t>1|14106|60|1</t>
  </si>
  <si>
    <t>1|14106|100|1</t>
  </si>
  <si>
    <t>4|1|80000,1|14106|20</t>
  </si>
  <si>
    <t>4|1|100000,1|14106|25</t>
  </si>
  <si>
    <t>4|1|120000,1|14106|30,1|16005|20</t>
  </si>
  <si>
    <t>4|1|140000,1|14106|35,1|16005|24,1|14201|20</t>
  </si>
  <si>
    <t>4|1|160000,1|14106|40,1|16005|28,1|14201|26,1|17001|20</t>
  </si>
  <si>
    <t>4|1|180000,1|14106|45,1|16005|32,1|14201|32,1|17001|25</t>
  </si>
  <si>
    <t>4|1|200000,1|14106|50,1|16005|36,1|14201|38,1|17001|30</t>
  </si>
  <si>
    <t>4|1|220000,1|14106|55,1|16005|40,1|14201|44,1|17001|35</t>
  </si>
  <si>
    <t>4|1|240000,1|14106|60,1|16005|44,1|14201|50,1|17001|40</t>
  </si>
  <si>
    <t>4|1|260000,1|14106|65,1|16005|48,1|14201|56,1|17001|45</t>
  </si>
  <si>
    <t>4|1|280000,1|14106|70,1|16005|52,1|14201|62,1|17001|50</t>
  </si>
  <si>
    <t>4|1|300000,1|14106|75,1|16005|56,1|14201|68,1|17001|55</t>
  </si>
  <si>
    <t>4|1|320000,1|14106|80,1|16005|60,1|14201|74,1|17001|60</t>
  </si>
  <si>
    <t>4|1|340000,1|14106|85,1|16005|64,1|14201|80,1|17001|65</t>
  </si>
  <si>
    <t>4|1|80000|1,1|14106|20|1</t>
  </si>
  <si>
    <t>4|1|100000|1,1|14106|25|1</t>
  </si>
  <si>
    <t>4|1|120000|1,1|14106|30|1,1|16005|20|1</t>
  </si>
  <si>
    <t>4|1|140000|1,1|14106|35|1,1|16005|24|1,1|14201|20|1</t>
  </si>
  <si>
    <t>4|1|160000|1,1|14106|40|1,1|16005|28|1,1|14201|26|1,1|17001|20|1</t>
  </si>
  <si>
    <t>4|1|180000|1,1|14106|45|1,1|16005|32|1,1|14201|32|1,1|17001|25|1</t>
  </si>
  <si>
    <t>4|1|200000|1,1|14106|50|1,1|16005|36|1,1|14201|38|1,1|17001|30|1</t>
  </si>
  <si>
    <t>4|1|220000|1,1|14106|55|1,1|16005|40|1,1|14201|44|1,1|17001|35|1</t>
  </si>
  <si>
    <t>4|1|240000|1,1|14106|60|1,1|16005|44|1,1|14201|50|1,1|17001|40|1</t>
  </si>
  <si>
    <t>4|1|260000|1,1|14106|65|1,1|16005|48|1,1|14201|56|1,1|17001|45|1</t>
  </si>
  <si>
    <t>4|1|280000|1,1|14106|70|1,1|16005|52|1,1|14201|62|1,1|17001|50|1</t>
  </si>
  <si>
    <t>4|1|300000|1,1|14106|75|1,1|16005|56|1,1|14201|68|1,1|17001|55|1</t>
  </si>
  <si>
    <t>4|1|320000|1,1|14106|80|1,1|16005|60|1,1|14201|74|1,1|17001|60|1</t>
  </si>
  <si>
    <t>4|1|340000|1,1|14106|85|1,1|16005|64|1,1|14201|80|1,1|17001|65|1</t>
  </si>
  <si>
    <t>1|11014|15</t>
  </si>
  <si>
    <t>1|11014|15|1</t>
  </si>
  <si>
    <t>近战红将碎片选择箱</t>
  </si>
  <si>
    <t>远程红将碎片选择箱</t>
  </si>
  <si>
    <t>1|10111|1|1,1|10001|1|1,1|10019|1|1</t>
    <phoneticPr fontId="21" type="noConversion"/>
  </si>
  <si>
    <t>1|10111|1,1|10001|1,1|10019|1</t>
    <phoneticPr fontId="21" type="noConversion"/>
  </si>
  <si>
    <t>1|10021|1,1|10005|1,1|10024|1</t>
    <phoneticPr fontId="21" type="noConversion"/>
  </si>
  <si>
    <t>1|10021|1|1,1|10005|1|1,1|10024|1|1</t>
    <phoneticPr fontId="21" type="noConversion"/>
  </si>
  <si>
    <t>1|16005|1000,1|14201|1000,1|17001|1000,1|16010|500,4|1|5000000</t>
  </si>
  <si>
    <t>1|16005|900,1|14201|900,1|17001|900,1|16010|450,4|1|4500000</t>
  </si>
  <si>
    <t>1|16005|800,1|14201|800,1|17001|800,1|16010|400,4|1|4000000</t>
  </si>
  <si>
    <t>1|16005|700,1|14201|700,1|17001|700,1|16010|350,4|1|3500000</t>
  </si>
  <si>
    <t>1|16005|600,1|14201|600,1|17001|600,1|16010|300,4|1|3000000</t>
  </si>
  <si>
    <t>1|16005|500,1|14201|500,1|17001|500,1|16010|250,4|1|2500000</t>
  </si>
  <si>
    <t>1|16005|400,1|14201|400,1|17001|400,1|16010|200,4|1|2000000</t>
  </si>
  <si>
    <t>1|16005|300,1|14201|300,1|17001|300,1|16010|150,4|1|1500000</t>
  </si>
  <si>
    <t>1|16005|200,1|14201|200,1|17001|200,1|16010|100,4|1|1000000</t>
  </si>
  <si>
    <t>1|16005|1000|1,1|14201|1000|1,1|17001|1000|1,1|16010|500|1,4|1|5000000|1</t>
  </si>
  <si>
    <t>1|16005|900|1,1|14201|900|1,1|17001|900|1,1|16010|450|1,4|1|4500000|1</t>
  </si>
  <si>
    <t>1|16005|800|1,1|14201|800|1,1|17001|800|1,1|16010|400|1,4|1|4000000|1</t>
  </si>
  <si>
    <t>1|16005|700|1,1|14201|700|1,1|17001|700|1,1|16010|350|1,4|1|3500000|1</t>
  </si>
  <si>
    <t>1|16005|600|1,1|14201|600|1,1|17001|600|1,1|16010|300|1,4|1|3000000|1</t>
  </si>
  <si>
    <t>1|16005|500|1,1|14201|500|1,1|17001|500|1,1|16010|250|1,4|1|2500000|1</t>
  </si>
  <si>
    <t>1|16005|400|1,1|14201|400|1,1|17001|400|1,1|16010|200|1,4|1|2000000|1</t>
  </si>
  <si>
    <t>1|16005|300|1,1|14201|300|1,1|17001|300|1,1|16010|150|1,4|1|1500000|1</t>
  </si>
  <si>
    <t>1|16005|200|1,1|14201|200|1,1|17001|200|1,1|16010|100|1,4|1|1000000|1</t>
  </si>
  <si>
    <t>5|1208|1,5|1216|1,5|1106|1</t>
    <phoneticPr fontId="21" type="noConversion"/>
  </si>
  <si>
    <t>5|1208|1|1,5|1216|1|1,5|1106|1|1</t>
    <phoneticPr fontId="21" type="noConversion"/>
  </si>
  <si>
    <t>1|17117|1|1,1|17142|1|1,1|17131|1|1,1|17127|1|1,1|17138|1|1,1|17132|1|1,1|17143|1|1</t>
    <phoneticPr fontId="21" type="noConversion"/>
  </si>
  <si>
    <t>主线关卡BOSS掉落-赤血战甲碎片</t>
  </si>
  <si>
    <t>主线关卡BOSS掉落-青锋长剑碎片</t>
  </si>
  <si>
    <t>主线关卡BOSS掉落-无影战靴碎片</t>
  </si>
  <si>
    <t>主线关卡BOSS掉落-破魔战甲碎片</t>
  </si>
  <si>
    <t>主线关卡BOSS掉落-破魔长剑碎片</t>
  </si>
  <si>
    <t>主线关卡BOSS掉落-破魔头盔碎片</t>
  </si>
  <si>
    <t>主线关卡BOSS掉落-破魔战靴碎片</t>
  </si>
  <si>
    <t>主线关卡BOSS掉落-护卫战甲碎片</t>
  </si>
  <si>
    <t>主线关卡BOSS掉落-护卫长剑碎片</t>
  </si>
  <si>
    <t>主线关卡BOSS掉落-护卫头盔碎片</t>
  </si>
  <si>
    <t>主线关卡BOSS掉落-护卫战靴碎片</t>
  </si>
  <si>
    <t>主线关卡BOSS掉落-连云战甲碎片</t>
  </si>
  <si>
    <t>主线关卡BOSS掉落-紫阳长剑碎片</t>
  </si>
  <si>
    <t>主线关卡BOSS掉落-耀日头盔碎片</t>
  </si>
  <si>
    <t>主线关卡BOSS掉落-雷霆战靴碎片</t>
  </si>
  <si>
    <t>主线关卡BOSS掉落-封魔战甲碎片</t>
  </si>
  <si>
    <t>主线关卡BOSS掉落-封魔长剑碎片</t>
  </si>
  <si>
    <t>主线关卡BOSS掉落-封魔头盔碎片</t>
  </si>
  <si>
    <t>主线关卡BOSS掉落-封魔战靴碎片</t>
  </si>
  <si>
    <t>主线关卡BOSS掉落-磐石战甲碎片</t>
  </si>
  <si>
    <t>主线关卡BOSS掉落-磐石长剑碎片</t>
  </si>
  <si>
    <t>主线关卡BOSS掉落-磐石头盔碎片</t>
  </si>
  <si>
    <t>主线关卡BOSS掉落-磐石战靴碎片</t>
  </si>
  <si>
    <t>主线关卡BOSS掉落-血魔战甲碎片</t>
  </si>
  <si>
    <t>主线关卡BOSS掉落-赤霄长剑碎片</t>
  </si>
  <si>
    <t>主线关卡BOSS掉落-麒麟头盔碎片</t>
  </si>
  <si>
    <t>主线关卡BOSS掉落-兽魂战靴碎片</t>
  </si>
  <si>
    <t>主线关卡BOSS掉落-降魔战甲碎片</t>
  </si>
  <si>
    <t>主线关卡BOSS掉落-降魔长剑碎片</t>
  </si>
  <si>
    <t>主线关卡BOSS掉落-降魔头盔碎片</t>
  </si>
  <si>
    <t>主线关卡BOSS掉落-降魔战靴碎片</t>
  </si>
  <si>
    <t>主线关卡BOSS掉落-天罡战甲碎片</t>
  </si>
  <si>
    <t>主线关卡BOSS掉落-天罡长剑碎片</t>
  </si>
  <si>
    <t>主线关卡BOSS掉落-天罡头盔碎片</t>
  </si>
  <si>
    <t>主线关卡BOSS掉落-天罡战靴碎片</t>
  </si>
  <si>
    <t>3|43000|1|1,3|41018|1|1</t>
  </si>
  <si>
    <t>3|43000|1|1,3|41017|1|1</t>
  </si>
  <si>
    <t>3|43000|1|1,3|41065|1|1,3|41028|1|1</t>
  </si>
  <si>
    <t>3|43000|1|1,3|41076|1|1,3|41034|1|1</t>
  </si>
  <si>
    <t>3|43000|1|1,3|41075|1|1,3|41035|1|1</t>
  </si>
  <si>
    <t>3|43000|1|1,3|41072|1|1,3|41038|1|1</t>
  </si>
  <si>
    <t>3|43000|1|1,3|41070|1|1,3|41020|1|1</t>
  </si>
  <si>
    <t>精英关卡BOSS掉落-行者战甲</t>
  </si>
  <si>
    <t>精英关卡BOSS掉落-赤血战甲碎片</t>
  </si>
  <si>
    <t>精英关卡BOSS掉落-青锋长剑碎片</t>
  </si>
  <si>
    <t>精英关卡BOSS掉落-雁虞头盔碎片</t>
  </si>
  <si>
    <t>精英关卡BOSS掉落-无影战靴碎片</t>
  </si>
  <si>
    <t>精英关卡BOSS掉落-破魔战甲碎片</t>
  </si>
  <si>
    <t>精英关卡BOSS掉落-破魔长剑碎片</t>
  </si>
  <si>
    <t>精英关卡BOSS掉落-破魔头盔碎片</t>
  </si>
  <si>
    <t>精英关卡BOSS掉落-破魔战靴碎片</t>
  </si>
  <si>
    <t>精英关卡BOSS掉落-护卫战甲碎片</t>
  </si>
  <si>
    <t>精英关卡BOSS掉落-护卫长剑碎片</t>
  </si>
  <si>
    <t>精英关卡BOSS掉落-护卫头盔碎片</t>
  </si>
  <si>
    <t>精英关卡BOSS掉落-护卫战靴碎片</t>
  </si>
  <si>
    <t>精英关卡BOSS掉落-连云战甲碎片</t>
  </si>
  <si>
    <t>精英关卡BOSS掉落-紫阳长剑碎片</t>
  </si>
  <si>
    <t>精英关卡BOSS掉落-耀日头盔碎片</t>
  </si>
  <si>
    <t>精英关卡BOSS掉落-雷霆战靴碎片</t>
  </si>
  <si>
    <t>精英关卡BOSS掉落-封魔战甲碎片</t>
  </si>
  <si>
    <t>精英关卡BOSS掉落-封魔长剑碎片</t>
  </si>
  <si>
    <t>精英关卡BOSS掉落-封魔头盔碎片</t>
  </si>
  <si>
    <t>精英关卡BOSS掉落-封魔战靴碎片</t>
  </si>
  <si>
    <t>精英关卡BOSS掉落-磐石战甲碎片</t>
  </si>
  <si>
    <t>精英关卡BOSS掉落-磐石长剑碎片</t>
  </si>
  <si>
    <t>精英关卡BOSS掉落-磐石头盔碎片</t>
  </si>
  <si>
    <t>精英关卡BOSS掉落-磐石战靴碎片</t>
  </si>
  <si>
    <t>精英关卡BOSS掉落-血魔战甲碎片</t>
  </si>
  <si>
    <t>精英关卡BOSS掉落-赤霄长剑碎片</t>
  </si>
  <si>
    <t>精英关卡BOSS掉落-麒麟头盔碎片</t>
  </si>
  <si>
    <t>精英关卡BOSS掉落-兽魂战靴碎片</t>
  </si>
  <si>
    <t>精英关卡BOSS掉落-降魔战甲碎片</t>
  </si>
  <si>
    <t>精英关卡BOSS掉落-降魔长剑碎片</t>
  </si>
  <si>
    <t>精英关卡BOSS掉落-降魔头盔碎片</t>
  </si>
  <si>
    <t>精英关卡BOSS掉落-降魔战靴碎片</t>
  </si>
  <si>
    <t>精英关卡BOSS掉落-天罡战甲碎片</t>
  </si>
  <si>
    <t>精英关卡BOSS掉落-天罡长剑碎片</t>
  </si>
  <si>
    <t>精英关卡BOSS掉落-天罡头盔碎片</t>
  </si>
  <si>
    <t>精英关卡BOSS掉落-天罡战靴碎片</t>
  </si>
  <si>
    <t>1|10404|0|750,1|10404|1|250</t>
  </si>
  <si>
    <t>1|10126|0|750,1|10126|1|250</t>
  </si>
  <si>
    <t>1|10106|0|750,1|10106|1|250</t>
  </si>
  <si>
    <t>1|10105|0|750,1|10105|1|250</t>
  </si>
  <si>
    <t>1|10104|0|750,1|10104|1|250</t>
  </si>
  <si>
    <t>1|10103|0|750,1|10103|1|250</t>
  </si>
  <si>
    <t>1|10092|0|750,1|10092|1|250</t>
  </si>
  <si>
    <t>1|10052|0|750,1|10052|1|250</t>
  </si>
  <si>
    <t>1|10041|0|750,1|10041|1|250</t>
  </si>
  <si>
    <t>1|10040|0|750,1|10040|1|250</t>
  </si>
  <si>
    <t>1|10039|0|750,1|10039|1|250</t>
  </si>
  <si>
    <t>1|10038|0|750,1|10038|1|250</t>
  </si>
  <si>
    <t>1|10036|0|750,1|10036|1|250</t>
  </si>
  <si>
    <t>1|10034|0|750,1|10034|1|250</t>
  </si>
  <si>
    <t>1|10033|0|750,1|10033|1|250</t>
  </si>
  <si>
    <t>1|10030|0|750,1|10030|1|250</t>
  </si>
  <si>
    <t>1|10028|0|750,1|10028|1|250</t>
  </si>
  <si>
    <t>1|10018|0|750,1|10018|1|250</t>
  </si>
  <si>
    <t>1|10116|0|850,1|10116|1|150</t>
  </si>
  <si>
    <t>1|10108|0|850,1|10108|1|150</t>
  </si>
  <si>
    <t>1|10107|0|850,1|10107|1|150</t>
  </si>
  <si>
    <t>1|10102|0|850,1|10102|1|150</t>
  </si>
  <si>
    <t>1|10101|0|850,1|10101|1|150</t>
  </si>
  <si>
    <t>1|10037|0|850,1|10037|1|150</t>
  </si>
  <si>
    <t>1|10035|0|850,1|10035|1|150</t>
  </si>
  <si>
    <t>1|10032|0|850,1|10032|1|150</t>
  </si>
  <si>
    <t>1|10031|0|850,1|10031|1|150</t>
  </si>
  <si>
    <t>1|10026|0|850,1|10026|1|150</t>
  </si>
  <si>
    <t>1|10025|0|850,1|10025|1|150</t>
  </si>
  <si>
    <t>1|10023|0|850,1|10023|1|150</t>
  </si>
  <si>
    <t>1|10022|0|850,1|10022|1|150</t>
  </si>
  <si>
    <t>1|10017|0|850,1|10017|1|150</t>
  </si>
  <si>
    <t>1|10016|0|850,1|10016|1|150</t>
  </si>
  <si>
    <t>1|10014|0|850,1|10014|1|150</t>
  </si>
  <si>
    <t>1|10010|0|850,1|10010|1|150</t>
  </si>
  <si>
    <t>1|10009|0|850,1|10009|1|150</t>
  </si>
  <si>
    <t>1|10007|0|850,1|10007|1|150</t>
  </si>
  <si>
    <t>1|10006|0|850,1|10006|1|150</t>
  </si>
  <si>
    <t>1|10004|0|850,1|10004|1|150</t>
  </si>
  <si>
    <t>1|10003|0|875,1|10003|1|125</t>
  </si>
  <si>
    <t>1|10119|0|875,1|10119|1|125</t>
  </si>
  <si>
    <t>1|10015|0|875,1|10015|1|125</t>
  </si>
  <si>
    <t>1|10115|0|875,1|10115|1|125</t>
  </si>
  <si>
    <t>1|10012|0|875,1|10012|1|125</t>
  </si>
  <si>
    <t>1|10113|0|875,1|10113|1|125</t>
  </si>
  <si>
    <t>1|10020|0|875,1|10020|1|125</t>
  </si>
  <si>
    <t>1|10013|0|875,1|10013|1|125</t>
  </si>
  <si>
    <t>1|10008|0|875,1|10008|1|125</t>
  </si>
  <si>
    <t>1|10027|0|875,1|10027|1|125</t>
  </si>
  <si>
    <t>1|10118|0|875,1|10118|1|125</t>
  </si>
  <si>
    <t>1|10002|0|875,1|10002|1|125</t>
  </si>
  <si>
    <t>1|10112|0|875,1|10112|1|125</t>
  </si>
  <si>
    <t>1|10114|0|875,1|10114|1|125</t>
  </si>
  <si>
    <t>1|10011|0|875,1|10011|1|125</t>
  </si>
  <si>
    <t>2|2001|0|750,2|2001|1|250</t>
  </si>
  <si>
    <t>2|2002|0|750,2|2002|1|250</t>
  </si>
  <si>
    <t>2|2003|0|750,2|2003|1|250</t>
  </si>
  <si>
    <t>2|2004|0|750,2|2004|1|250</t>
  </si>
  <si>
    <t>1|11001|0|500,1|11001|1|500</t>
  </si>
  <si>
    <t>1|11002|0|500,1|11002|1|500</t>
  </si>
  <si>
    <t>1|11003|0|500,1|11003|1|500</t>
  </si>
  <si>
    <t>1|11004|0|500,1|11004|1|500</t>
  </si>
  <si>
    <t>1|11005|0|667,1|11005|1|333</t>
  </si>
  <si>
    <t>1|11006|0|667,1|11006|1|333</t>
  </si>
  <si>
    <t>1|11007|0|667,1|11007|1|333</t>
  </si>
  <si>
    <t>1|11008|0|667,1|11008|1|333</t>
  </si>
  <si>
    <t>1|11009|0|667,1|11009|1|333</t>
  </si>
  <si>
    <t>1|11010|0|667,1|11010|1|333</t>
  </si>
  <si>
    <t>1|11011|0|667,1|11011|1|333</t>
  </si>
  <si>
    <t>1|11012|0|667,1|11012|1|333</t>
  </si>
  <si>
    <t>1|11013|0|875,1|11013|1|125</t>
  </si>
  <si>
    <t>1|11014|0|875,1|11014|1|125</t>
  </si>
  <si>
    <t>1|11015|0|875,1|11015|1|125</t>
  </si>
  <si>
    <t>1|11016|0|875,1|11016|1|125</t>
  </si>
  <si>
    <t>1|11017|0|917,1|11017|1|83</t>
  </si>
  <si>
    <t>1|11018|0|917,1|11018|1|83</t>
  </si>
  <si>
    <t>1|11019|0|917,1|11019|1|83</t>
  </si>
  <si>
    <t>1|11020|0|917,1|11020|1|83</t>
  </si>
  <si>
    <t>1|11021|0|917,1|11021|1|83</t>
  </si>
  <si>
    <t>1|11022|0|917,1|11022|1|83</t>
  </si>
  <si>
    <t>1|11023|0|917,1|11023|1|83</t>
  </si>
  <si>
    <t>1|11024|0|917,1|11024|1|83</t>
  </si>
  <si>
    <t>1|11025|0|950,1|11025|1|50</t>
  </si>
  <si>
    <t>1|11026|0|950,1|11026|1|50</t>
  </si>
  <si>
    <t>1|11027|0|950,1|11027|1|50</t>
  </si>
  <si>
    <t>1|11028|0|950,1|11028|1|50</t>
  </si>
  <si>
    <t>1|11029|0|967,1|11029|1|33</t>
  </si>
  <si>
    <t>1|11030|0|967,1|11030|1|33</t>
  </si>
  <si>
    <t>1|11031|0|967,1|11031|1|33</t>
  </si>
  <si>
    <t>1|11032|0|967,1|11032|1|33</t>
  </si>
  <si>
    <t>1|11033|0|967,1|11033|1|33</t>
  </si>
  <si>
    <t>1|11034|0|967,1|11034|1|33</t>
  </si>
  <si>
    <t>1|11035|0|967,1|11035|1|33</t>
  </si>
  <si>
    <t>1|11036|0|967,1|11036|1|33</t>
  </si>
  <si>
    <t>精英关卡BOSS掉落-扇子精碎片</t>
  </si>
  <si>
    <t>精英关卡BOSS掉落-金钱豹王碎片</t>
  </si>
  <si>
    <t>精英关卡BOSS掉落-墨鱼精碎片</t>
  </si>
  <si>
    <t>精英关卡BOSS掉落-赤脚大仙碎片</t>
  </si>
  <si>
    <t>精英关卡BOSS掉落-泾河龙王碎片</t>
  </si>
  <si>
    <t>精英关卡BOSS掉落-牛头碎片</t>
  </si>
  <si>
    <t>精英关卡BOSS掉落-地藏王碎片</t>
  </si>
  <si>
    <t>精英关卡BOSS掉落-鬼使黑碎片</t>
  </si>
  <si>
    <t>精英关卡BOSS掉落-马面碎片</t>
  </si>
  <si>
    <t>精英关卡BOSS掉落-雷公碎片</t>
  </si>
  <si>
    <t>精英关卡BOSS掉落-鬼使白碎片</t>
  </si>
  <si>
    <t>精英关卡BOSS掉落-赛太岁碎片</t>
  </si>
  <si>
    <t>精英关卡BOSS掉落-混沌碎片</t>
  </si>
  <si>
    <t>精英关卡BOSS掉落-白龙公主碎片</t>
  </si>
  <si>
    <t>精英关卡BOSS掉落-玉兔碎片</t>
  </si>
  <si>
    <t>精英关卡BOSS掉落-玉面夫人碎片</t>
  </si>
  <si>
    <t>精英关卡BOSS掉落-人参娃碎片</t>
  </si>
  <si>
    <t>精英关卡BOSS掉落-小白龙碎片</t>
  </si>
  <si>
    <t>精英关卡BOSS掉落-六耳猕猴碎片</t>
  </si>
  <si>
    <t>精英关卡BOSS掉落-阎罗王碎片</t>
  </si>
  <si>
    <t>精英关卡BOSS掉落-蝎子精碎片</t>
  </si>
  <si>
    <t>精英关卡BOSS掉落-蜘蛛精碎片</t>
  </si>
  <si>
    <t>精英关卡BOSS掉落-女儿国国王碎片</t>
  </si>
  <si>
    <t>精英关卡BOSS掉落-太白金星碎片</t>
  </si>
  <si>
    <t>精英关卡BOSS掉落-羊力大仙碎片</t>
  </si>
  <si>
    <t>精英关卡BOSS掉落-唐三藏碎片</t>
  </si>
  <si>
    <t>精英关卡BOSS掉落-鹿力大仙碎片</t>
  </si>
  <si>
    <t>精英关卡BOSS掉落-红孩儿碎片</t>
  </si>
  <si>
    <t>精英关卡BOSS掉落-玉皇大帝碎片</t>
  </si>
  <si>
    <t>精英关卡BOSS掉落-东海龙王碎片</t>
  </si>
  <si>
    <t>精英关卡BOSS掉落-混世魔王碎片</t>
  </si>
  <si>
    <t>精英关卡BOSS掉落-虎力大仙碎片</t>
  </si>
  <si>
    <t>精英关卡BOSS掉落-弥勒佛碎片</t>
  </si>
  <si>
    <t>精英关卡BOSS掉落-金蝉子碎片</t>
  </si>
  <si>
    <t>精英关卡BOSS掉落-白无常碎片</t>
  </si>
  <si>
    <t>精英关卡BOSS掉落-文殊菩萨碎片</t>
  </si>
  <si>
    <t>精英关卡BOSS掉落-嫦娥碎片</t>
  </si>
  <si>
    <t>精英关卡BOSS掉落-九天玄女碎片</t>
  </si>
  <si>
    <t>精英关卡BOSS掉落-铁扇公主碎片</t>
  </si>
  <si>
    <t>精英关卡BOSS掉落-白骨夫人碎片</t>
  </si>
  <si>
    <t>主线关卡BOSS掉落-蟹将碎片</t>
  </si>
  <si>
    <t>主线关卡BOSS掉落-琴仙碎片</t>
  </si>
  <si>
    <t>主线关卡BOSS掉落-黑熊精碎片</t>
  </si>
  <si>
    <t>主线关卡BOSS掉落-彩蝶仙童碎片</t>
  </si>
  <si>
    <t>主线关卡BOSS掉落-引魂仙子碎片</t>
  </si>
  <si>
    <t>主线关卡BOSS掉落-迦叶碎片</t>
  </si>
  <si>
    <t>主线关卡BOSS掉落-黑无常碎片</t>
  </si>
  <si>
    <t>主线关卡BOSS掉落-观世音碎片</t>
  </si>
  <si>
    <t>主线关卡BOSS掉落-牛魔王碎片</t>
  </si>
  <si>
    <t>主线关卡BOSS掉落-龙帝碎片</t>
  </si>
  <si>
    <t>主线关卡BOSS掉落-猪八戒碎片</t>
  </si>
  <si>
    <t>主线关卡BOSS掉落-托塔天王碎片</t>
  </si>
  <si>
    <t>主线关卡BOSS掉落-哪吒碎片</t>
  </si>
  <si>
    <t>主线关卡BOSS掉落-八部天龙碎片</t>
  </si>
  <si>
    <t>主线关卡BOSS掉落-精铁长剑</t>
  </si>
  <si>
    <t>主线关卡BOSS掉落-虹影头盔</t>
  </si>
  <si>
    <t>主线关卡BOSS掉落-千里战靴</t>
  </si>
  <si>
    <t>精英关卡BOSS掉落-蟹将碎片</t>
  </si>
  <si>
    <t>精英关卡BOSS掉落-琴仙碎片</t>
  </si>
  <si>
    <t>精英关卡BOSS掉落-黑熊精碎片</t>
  </si>
  <si>
    <t>精英关卡BOSS掉落-彩蝶仙童碎片</t>
  </si>
  <si>
    <t>精英关卡BOSS掉落-引魂仙子碎片</t>
  </si>
  <si>
    <t>精英关卡BOSS掉落-迦叶碎片</t>
  </si>
  <si>
    <t>精英关卡BOSS掉落-黑无常碎片</t>
  </si>
  <si>
    <t>精英关卡BOSS掉落-观世音碎片</t>
  </si>
  <si>
    <t>精英关卡BOSS掉落-牛魔王碎片</t>
  </si>
  <si>
    <t>精英关卡BOSS掉落-龙帝碎片</t>
  </si>
  <si>
    <t>精英关卡BOSS掉落-猪八戒碎片</t>
  </si>
  <si>
    <t>精英关卡BOSS掉落-托塔天王碎片</t>
  </si>
  <si>
    <t>精英关卡BOSS掉落-哪吒碎片</t>
  </si>
  <si>
    <t>精英关卡BOSS掉落-八部天龙碎片</t>
  </si>
  <si>
    <t>精英关卡BOSS掉落-精铁长剑</t>
  </si>
  <si>
    <t>精英关卡BOSS掉落-虹影头盔</t>
  </si>
  <si>
    <t>精英关卡BOSS掉落-千里战靴</t>
  </si>
  <si>
    <t>50级大闹三界-简单</t>
  </si>
  <si>
    <t>50级大闹三界-困难</t>
  </si>
  <si>
    <t>60级大闹三界-简单</t>
  </si>
  <si>
    <t>60级大闹三界-困难</t>
  </si>
  <si>
    <t>70级大闹三界-简单</t>
  </si>
  <si>
    <t>70级大闹三界-困难</t>
  </si>
  <si>
    <t>80级大闹三界-简单</t>
  </si>
  <si>
    <t>80级大闹三界-困难</t>
  </si>
  <si>
    <t>90级大闹三界-简单</t>
  </si>
  <si>
    <t>90级大闹三界-困难</t>
  </si>
  <si>
    <t>100级大闹三界-简单</t>
  </si>
  <si>
    <t>100级大闹三界-困难</t>
  </si>
  <si>
    <t>110级大闹三界-简单</t>
  </si>
  <si>
    <t>110级大闹三界-困难</t>
  </si>
  <si>
    <t>120级大闹三界-简单</t>
  </si>
  <si>
    <t>120级大闹三界-困难</t>
  </si>
  <si>
    <t>130级大闹三界-简单</t>
  </si>
  <si>
    <t>130级大闹三界-困难</t>
  </si>
  <si>
    <t>140级大闹三界-简单</t>
  </si>
  <si>
    <t>140级大闹三界-困难</t>
  </si>
  <si>
    <t>1|10404|0|500,1|10404|1|500</t>
  </si>
  <si>
    <t>1|10126|0|500,1|10126|1|500</t>
  </si>
  <si>
    <t>1|10106|0|500,1|10106|1|500</t>
  </si>
  <si>
    <t>1|10105|0|500,1|10105|1|500</t>
  </si>
  <si>
    <t>1|10104|0|500,1|10104|1|500</t>
  </si>
  <si>
    <t>1|10103|0|500,1|10103|1|500</t>
  </si>
  <si>
    <t>1|10092|0|500,1|10092|1|500</t>
  </si>
  <si>
    <t>1|10052|0|500,1|10052|1|500</t>
  </si>
  <si>
    <t>1|10041|0|500,1|10041|1|500</t>
  </si>
  <si>
    <t>1|10040|0|500,1|10040|1|500</t>
  </si>
  <si>
    <t>1|10039|0|500,1|10039|1|500</t>
  </si>
  <si>
    <t>1|10038|0|500,1|10038|1|500</t>
  </si>
  <si>
    <t>1|10036|0|500,1|10036|1|500</t>
  </si>
  <si>
    <t>1|10034|0|500,1|10034|1|500</t>
  </si>
  <si>
    <t>1|10033|0|500,1|10033|1|500</t>
  </si>
  <si>
    <t>1|10030|0|500,1|10030|1|500</t>
  </si>
  <si>
    <t>1|10028|0|500,1|10028|1|500</t>
  </si>
  <si>
    <t>1|10018|0|500,1|10018|1|500</t>
  </si>
  <si>
    <t>1|10116|0|700,1|10116|1|300</t>
  </si>
  <si>
    <t>1|10108|0|700,1|10108|1|300</t>
  </si>
  <si>
    <t>1|10107|0|700,1|10107|1|300</t>
  </si>
  <si>
    <t>1|10102|0|700,1|10102|1|300</t>
  </si>
  <si>
    <t>1|10101|0|700,1|10101|1|300</t>
  </si>
  <si>
    <t>1|10037|0|700,1|10037|1|300</t>
  </si>
  <si>
    <t>1|10035|0|700,1|10035|1|300</t>
  </si>
  <si>
    <t>1|10032|0|700,1|10032|1|300</t>
  </si>
  <si>
    <t>1|10031|0|700,1|10031|1|300</t>
  </si>
  <si>
    <t>1|10026|0|700,1|10026|1|300</t>
  </si>
  <si>
    <t>1|10025|0|700,1|10025|1|300</t>
  </si>
  <si>
    <t>1|10023|0|700,1|10023|1|300</t>
  </si>
  <si>
    <t>1|10022|0|700,1|10022|1|300</t>
  </si>
  <si>
    <t>1|10017|0|700,1|10017|1|300</t>
  </si>
  <si>
    <t>1|10016|0|700,1|10016|1|300</t>
  </si>
  <si>
    <t>1|10014|0|700,1|10014|1|300</t>
  </si>
  <si>
    <t>1|10010|0|700,1|10010|1|300</t>
  </si>
  <si>
    <t>1|10009|0|700,1|10009|1|300</t>
  </si>
  <si>
    <t>1|10007|0|700,1|10007|1|300</t>
  </si>
  <si>
    <t>1|10006|0|700,1|10006|1|300</t>
  </si>
  <si>
    <t>1|10004|0|700,1|10004|1|300</t>
  </si>
  <si>
    <t>1|10003|0|750,1|10003|1|250</t>
  </si>
  <si>
    <t>1|10119|0|750,1|10119|1|250</t>
  </si>
  <si>
    <t>1|10015|0|750,1|10015|1|250</t>
  </si>
  <si>
    <t>1|10115|0|750,1|10115|1|250</t>
  </si>
  <si>
    <t>1|10012|0|750,1|10012|1|250</t>
  </si>
  <si>
    <t>1|10113|0|750,1|10113|1|250</t>
  </si>
  <si>
    <t>1|10020|0|750,1|10020|1|250</t>
  </si>
  <si>
    <t>1|10013|0|750,1|10013|1|250</t>
  </si>
  <si>
    <t>1|10008|0|750,1|10008|1|250</t>
  </si>
  <si>
    <t>1|10027|0|750,1|10027|1|250</t>
  </si>
  <si>
    <t>1|10118|0|750,1|10118|1|250</t>
  </si>
  <si>
    <t>1|10002|0|750,1|10002|1|250</t>
  </si>
  <si>
    <t>1|10112|0|750,1|10112|1|250</t>
  </si>
  <si>
    <t>1|10114|0|750,1|10114|1|250</t>
  </si>
  <si>
    <t>1|10011|0|750,1|10011|1|250</t>
  </si>
  <si>
    <t>2|2001|0|500,2|2001|1|500</t>
  </si>
  <si>
    <t>2|2002|0|500,2|2002|1|500</t>
  </si>
  <si>
    <t>2|2003|0|500,2|2003|1|500</t>
  </si>
  <si>
    <t>2|2004|0|500,2|2004|1|500</t>
  </si>
  <si>
    <t>1|11001|0|0,1|11001|1|1000</t>
  </si>
  <si>
    <t>1|11002|0|0,1|11002|1|1000</t>
  </si>
  <si>
    <t>1|11003|0|0,1|11003|1|1000</t>
  </si>
  <si>
    <t>1|11004|0|0,1|11004|1|1000</t>
  </si>
  <si>
    <t>1|11005|0|334,1|11005|1|666</t>
  </si>
  <si>
    <t>1|11006|0|334,1|11006|1|666</t>
  </si>
  <si>
    <t>1|11007|0|334,1|11007|1|666</t>
  </si>
  <si>
    <t>1|11008|0|334,1|11008|1|666</t>
  </si>
  <si>
    <t>1|11009|0|334,1|11009|1|666</t>
  </si>
  <si>
    <t>1|11010|0|334,1|11010|1|666</t>
  </si>
  <si>
    <t>1|11011|0|334,1|11011|1|666</t>
  </si>
  <si>
    <t>1|11012|0|334,1|11012|1|666</t>
  </si>
  <si>
    <t>1|11013|0|750,1|11013|1|250</t>
  </si>
  <si>
    <t>1|11014|0|750,1|11014|1|250</t>
  </si>
  <si>
    <t>1|11015|0|750,1|11015|1|250</t>
  </si>
  <si>
    <t>1|11016|0|750,1|11016|1|250</t>
  </si>
  <si>
    <t>1|11017|0|834,1|11017|1|166</t>
  </si>
  <si>
    <t>1|11018|0|834,1|11018|1|166</t>
  </si>
  <si>
    <t>1|11019|0|834,1|11019|1|166</t>
  </si>
  <si>
    <t>1|11020|0|834,1|11020|1|166</t>
  </si>
  <si>
    <t>1|11021|0|834,1|11021|1|166</t>
  </si>
  <si>
    <t>1|11022|0|834,1|11022|1|166</t>
  </si>
  <si>
    <t>1|11023|0|834,1|11023|1|166</t>
  </si>
  <si>
    <t>1|11024|0|834,1|11024|1|166</t>
  </si>
  <si>
    <t>1|11025|0|900,1|11025|1|100</t>
  </si>
  <si>
    <t>1|11026|0|900,1|11026|1|100</t>
  </si>
  <si>
    <t>1|11027|0|900,1|11027|1|100</t>
  </si>
  <si>
    <t>1|11028|0|900,1|11028|1|100</t>
  </si>
  <si>
    <t>1|11029|0|934,1|11029|1|66</t>
  </si>
  <si>
    <t>1|11030|0|934,1|11030|1|66</t>
  </si>
  <si>
    <t>1|11031|0|934,1|11031|1|66</t>
  </si>
  <si>
    <t>1|11032|0|934,1|11032|1|66</t>
  </si>
  <si>
    <t>1|11033|0|934,1|11033|1|66</t>
  </si>
  <si>
    <t>1|11034|0|934,1|11034|1|66</t>
  </si>
  <si>
    <t>1|11035|0|934,1|11035|1|66</t>
  </si>
  <si>
    <t>1|11036|0|934,1|11036|1|66</t>
  </si>
  <si>
    <t>1|10404|1</t>
  </si>
  <si>
    <t>1|10092|1</t>
  </si>
  <si>
    <t>1|10119|1</t>
  </si>
  <si>
    <t>1|10115|1</t>
  </si>
  <si>
    <t>1|10113|1</t>
  </si>
  <si>
    <t>1|10114|1</t>
  </si>
  <si>
    <t>3|43000|1|1,3|41060|1|1</t>
  </si>
  <si>
    <t>3|43000|1|1,3|41062|1|1</t>
  </si>
  <si>
    <t>3|43000|1|1,3|41063|1|1</t>
  </si>
  <si>
    <t>3|43000|1|1,3|41061|1|1</t>
  </si>
  <si>
    <t>3|43000|1|1,3|41060|1|1,3|41001|1|1</t>
  </si>
  <si>
    <t>3|43000|1|1,3|41062|1|1,3|41016|1|1</t>
  </si>
  <si>
    <t>3|43000|1|1,3|41063|1|1,3|41018|1|1</t>
  </si>
  <si>
    <t>3|43000|1|1,3|41067|1|1,3|41002|1|1</t>
  </si>
  <si>
    <t>3|43000|1|1,3|41064|1|1,3|41005|1|1</t>
  </si>
  <si>
    <t>3|43000|1|1,3|41075|1|1,3|41006|1|1</t>
  </si>
  <si>
    <t>3|43000|1|1,3|41074|1|1,3|41027|1|1</t>
  </si>
  <si>
    <t>3|43000|1|1,3|41072|1|1,3|41007|1|1</t>
  </si>
  <si>
    <t>3|43000|1|1,3|41073|1|1,3|41023|1|1</t>
  </si>
  <si>
    <t>3|43000|1|1,3|41071|1|1,3|41009|1|1</t>
  </si>
  <si>
    <t>3|43000|1|1,3|41068|1|1,3|41012|1|1</t>
  </si>
  <si>
    <t>3|43000|1|1,3|41069|1|1,3|41031|1|1</t>
  </si>
  <si>
    <t>3|43000|1|1,3|41067|1|1,3|41013|1|1</t>
  </si>
  <si>
    <t>3|43000|1|1,3|41066|1|1,3|41021|1|1</t>
  </si>
  <si>
    <t>3|43000|1|1,3|41064|1|1,3|41015|1|1</t>
  </si>
  <si>
    <t>3|43000|1|1,3|41065|1|1,3|41036|1|1</t>
  </si>
  <si>
    <t>3|43000|1|1,3|41074|1|1,3|41040|1|1</t>
  </si>
  <si>
    <t>3|43000|1|1,3|41073|1|1,3|41041|1|1</t>
  </si>
  <si>
    <t>3|43000|1|1,3|41071|1|1,3|41022|1|1</t>
  </si>
  <si>
    <t>3|43000|1|1,3|41070|1|1,3|41042|1|1</t>
  </si>
  <si>
    <t>3|43000|1|1,3|41068|1|1,3|41030|1|1</t>
  </si>
  <si>
    <t>3|43000|1|1,3|41079|1|1,3|41032|1|1</t>
  </si>
  <si>
    <t>3|43000|1|1,3|41078|1|1,3|41044|1|1</t>
  </si>
  <si>
    <t>3|43000|1|1,3|41077|1|1,3|41045|1|1</t>
  </si>
  <si>
    <t>3|43000|1|1,3|41083|1|1,3|41029|1|1</t>
  </si>
  <si>
    <t>3|43000|1|1,3|41082|1|1,3|41046|1|1</t>
  </si>
  <si>
    <t>3|43000|1|1,3|41080|1|1,3|41037|1|1</t>
  </si>
  <si>
    <t>3|43000|1|1,3|41081|1|1,3|41047|1|1</t>
  </si>
  <si>
    <t>3|43000|1|1,3|41087|1|1,3|41026|1|1</t>
  </si>
  <si>
    <t>3|43000|1|1,3|41086|1|1,3|41048|1|1</t>
  </si>
  <si>
    <t>3|43000|1|1,3|41084|1|1,3|41025|1|1</t>
  </si>
  <si>
    <t>3|43000|1|1,3|41085|1|1,3|41049|1|1</t>
  </si>
  <si>
    <t>3|43000|1|1,3|41079|1|1,3|41024|1|1</t>
  </si>
  <si>
    <t>3|43000|1|1,3|41078|1|1,3|41050|1|1</t>
  </si>
  <si>
    <t>3|43000|1|1,3|41076|1|1,3|41033|1|1</t>
  </si>
  <si>
    <t>3|43000|1|1,3|41077|1|1,3|41051|1|1</t>
  </si>
  <si>
    <t>3|43000|1|1,3|41083|1|1,3|41039|1|1</t>
  </si>
  <si>
    <t>3|43000|1|1,3|41082|1|1,3|41052|1|1</t>
  </si>
  <si>
    <t>3|43000|1|1,3|41080|1|1,3|41019|1|1</t>
  </si>
  <si>
    <t>3|43000|1|1,3|41081|1|1,3|41053|1|1</t>
  </si>
  <si>
    <t>3|43000|1|1,3|41087|1|1,3|41028|1|1</t>
  </si>
  <si>
    <t>3|43000|1|1,3|41086|1|1,3|41054|1|1</t>
  </si>
  <si>
    <t>3|43000|1|1,3|41084|1|1,3|41027|1|1</t>
  </si>
  <si>
    <t>3|43000|1|1,3|41085|1|1,3|41040|1|1</t>
  </si>
  <si>
    <t>3|43000|1|1,3|41079|1|1,3|41023|1|1</t>
  </si>
  <si>
    <t>3|43000|1|1,3|41078|1|1,3|41041|1|1</t>
  </si>
  <si>
    <t>3|43000|1|1,3|41077|1|1,3|41042|1|1</t>
  </si>
  <si>
    <t>3|43000|1|1,3|41083|1|1,3|41031|1|1</t>
  </si>
  <si>
    <t>3|43000|1|1,3|41082|1|1,3|41043|1|1</t>
  </si>
  <si>
    <t>3|43000|1|1,3|41081|1|1,3|41044|1|1</t>
  </si>
  <si>
    <t>3|43000|1|1,3|41087|1|1,3|41036|1|1</t>
  </si>
  <si>
    <t>3|43000|1|1,3|41086|1|1,3|41045|1|1</t>
  </si>
  <si>
    <t>3|43000|1|1,3|41084|1|1,3|41035|1|1</t>
  </si>
  <si>
    <t>3|43000|1|1,3|41085|1|1,3|41046|1|1</t>
  </si>
  <si>
    <t>3|43000|1|1,3|41079|1|1,3|41038|1|1</t>
  </si>
  <si>
    <t>3|43000|1|1,3|41078|1|1,3|41047|1|1</t>
  </si>
  <si>
    <t>3|43000|1|1,3|41076|1|1,3|41022|1|1</t>
  </si>
  <si>
    <t>3|43000|1|1,3|41077|1|1,3|41048|1|1</t>
  </si>
  <si>
    <t>3|43000|1|1,3|41083|1|1,3|41030|1|1</t>
  </si>
  <si>
    <t>3|43000|1|1,3|41082|1|1,3|41049|1|1</t>
  </si>
  <si>
    <t>3|43000|1|1,3|41080|1|1,3|41032|1|1</t>
  </si>
  <si>
    <t>3|43000|1|1,3|41081|1|1,3|41050|1|1</t>
  </si>
  <si>
    <t>3|43000|1|1,3|41087|1|1,3|41034|1|1</t>
  </si>
  <si>
    <t>3|43000|1|1,3|41086|1|1,3|41051|1|1</t>
  </si>
  <si>
    <t>3|43000|1|1,3|41084|1|1,3|41029|1|1</t>
  </si>
  <si>
    <t>3|43000|1|1,3|41085|1|1,3|41052|1|1</t>
  </si>
  <si>
    <t>3|43000|1|1,3|41091|1|1,3|41037|1|1</t>
  </si>
  <si>
    <t>3|43000|1|1,3|41090|1|1,3|41053|1|1</t>
  </si>
  <si>
    <t>3|43000|1|1,3|41088|1|1,3|41026|1|1</t>
  </si>
  <si>
    <t>3|43000|1|1,3|41089|1|1,3|41054|1|1</t>
  </si>
  <si>
    <t>3|43000|1|1,3|41095|1|1,3|41025|1|1</t>
  </si>
  <si>
    <t>3|43000|1|1,3|41094|1|1,3|41040|1|1</t>
  </si>
  <si>
    <t>3|43000|1|1,3|41092|1|1,3|41024|1|1</t>
  </si>
  <si>
    <t>3|43000|1|1,3|41093|1|1,3|41041|1|1</t>
  </si>
  <si>
    <t>3|43000|1|1,3|41099|1|1,3|41033|1|1</t>
  </si>
  <si>
    <t>3|43000|1|1,3|41098|1|1,3|41042|1|1</t>
  </si>
  <si>
    <t>3|43000|1|1,3|41096|1|1,3|41039|1|1</t>
  </si>
  <si>
    <t>3|43000|1|1,3|41097|1|1,3|41043|1|1</t>
  </si>
  <si>
    <t>3|43000|1|1,3|41091|1|1,3|41019|1|1</t>
  </si>
  <si>
    <t>3|43000|1|1,3|41090|1|1,3|41044|1|1</t>
  </si>
  <si>
    <t>3|43000|1|1,3|41088|1|1,3|41028|1|1</t>
  </si>
  <si>
    <t>3|43000|1|1,3|41089|1|1,3|41045|1|1</t>
  </si>
  <si>
    <t>3|43000|1|1,3|41095|1|1,3|41027|1|1</t>
  </si>
  <si>
    <t>3|43000|1|1,3|41094|1|1,3|41046|1|1</t>
  </si>
  <si>
    <t>3|43000|1|1,3|41092|1|1,3|41023|1|1</t>
  </si>
  <si>
    <t>3|43000|1|1,3|41093|1|1,3|41047|1|1</t>
  </si>
  <si>
    <t>3|43000|1|1,3|41099|1|1,3|41020|1|1</t>
  </si>
  <si>
    <t>3|43000|1|1,3|41098|1|1,3|41048|1|1</t>
  </si>
  <si>
    <t>3|43000|1|1,3|41096|1|1,3|41031|1|1</t>
  </si>
  <si>
    <t>3|43000|1|1,3|41097|1|1,3|41049|1|1</t>
  </si>
  <si>
    <t>3|43000|1|1,3|41091|1|1,3|41021|1|1</t>
  </si>
  <si>
    <t>3|43000|1|1,3|41090|1|1,3|41050|1|1</t>
  </si>
  <si>
    <t>3|43000|1|1,3|41088|1|1,3|41036|1|1</t>
  </si>
  <si>
    <t>3|43000|1|1,3|41089|1|1,3|41051|1|1</t>
  </si>
  <si>
    <t>3|43000|1|1,3|41095|1|1,3|41035|1|1</t>
  </si>
  <si>
    <t>3|43000|1|1,3|41094|1|1,3|41052|1|1</t>
  </si>
  <si>
    <t>3|43000|1|1,3|41092|1|1,3|41038|1|1</t>
  </si>
  <si>
    <t>3|43000|1|1,3|41093|1|1,3|41053|1|1</t>
  </si>
  <si>
    <t>3|43000|1|1,3|41099|1|1,3|41022|1|1</t>
  </si>
  <si>
    <t>3|43000|1|1,3|41098|1|1,3|41054|1|1</t>
  </si>
  <si>
    <t>3|43000|1|1,3|41096|1|1,3|41030|1|1</t>
  </si>
  <si>
    <t>3|43000|1|1,3|41097|1|1,3|41040|1|1</t>
  </si>
  <si>
    <t>3|43000|1|1,3|41091|1|1,3|41032|1|1</t>
  </si>
  <si>
    <t>3|43000|1|1,3|41090|1|1,3|41041|1|1</t>
  </si>
  <si>
    <t>3|43000|1|1,3|41088|1|1,3|41034|1|1</t>
  </si>
  <si>
    <t>3|43000|1|1,3|41089|1|1,3|41042|1|1</t>
  </si>
  <si>
    <t>3|43000|1|1,3|41095|1|1,3|41029|1|1</t>
  </si>
  <si>
    <t>3|43000|1|1,3|41094|1|1,3|41043|1|1</t>
  </si>
  <si>
    <t>3|43000|1|1,3|41092|1|1,3|41037|1|1</t>
  </si>
  <si>
    <t>3|43000|1|1,3|41093|1|1,3|41044|1|1</t>
  </si>
  <si>
    <t>3|43000|1|1,3|41099|1|1,3|41026|1|1</t>
  </si>
  <si>
    <t>3|43000|1|1,3|41098|1|1,3|41045|1|1</t>
  </si>
  <si>
    <t>3|43000|1|1,3|41096|1|1,3|41025|1|1</t>
  </si>
  <si>
    <t>3|43000|1|1,3|41097|1|1,3|41046|1|1</t>
  </si>
  <si>
    <t>3|43000|1|1,3|41091|1|1,3|41024|1|1</t>
  </si>
  <si>
    <t>3|43000|1|1,3|41090|1|1,3|41047|1|1</t>
  </si>
  <si>
    <t>3|43000|1|1,3|41088|1|1,3|41033|1|1</t>
  </si>
  <si>
    <t>3|43000|1|1,3|41089|1|1,3|41048|1|1</t>
  </si>
  <si>
    <t>3|43000|1|1,3|41095|1|1,3|41039|1|1</t>
  </si>
  <si>
    <t>3|43000|1|1,3|41094|1|1,3|41049|1|1</t>
  </si>
  <si>
    <t>1|14001|0,1|14107|0,2|2001|0,1|10404|0</t>
  </si>
  <si>
    <t>1|14001|0,1|14107|0,2|2004|0,1|10018|0</t>
  </si>
  <si>
    <t>1|14001|0,1|14107|0,2|2002|0,1|10004|0</t>
  </si>
  <si>
    <t>1|14001|0,1|14107|0,1|11004|1,1|10126|0</t>
  </si>
  <si>
    <t>1|14001|0,1|14107|0,1|11003|1,1|10116|0</t>
  </si>
  <si>
    <t>1|14001|0,1|14107|0,1|10052|0</t>
  </si>
  <si>
    <t>1|14001|0,1|14107|0,1|11001|1,1|10104|0</t>
  </si>
  <si>
    <t>1|14001|0,1|14107|0,1|11002|1,1|10026|0</t>
  </si>
  <si>
    <t>1|14001|0,1|14107|0,1|11012|1,1|10103|0</t>
  </si>
  <si>
    <t>1|14001|0,1|14107|0,1|11011|1,1|10031|0</t>
  </si>
  <si>
    <t>1|14001|0,1|14107|0,1|11009|1,1|10092|0</t>
  </si>
  <si>
    <t>1|14001|0,1|14107|0,1|11010|1,1|10101|0</t>
  </si>
  <si>
    <t>1|14001|0,1|14107|0,1|11008|1,1|10041|0</t>
  </si>
  <si>
    <t>1|14001|0,1|14107|0,1|11007|1,1|10108|0</t>
  </si>
  <si>
    <t>1|14001|0,1|14107|0,1|11005|1,1|10038|0</t>
  </si>
  <si>
    <t>1|14001|0,1|14107|0,1|11006|1,1|10022|0</t>
  </si>
  <si>
    <t>1|14001|0,1|14107|0,1|11004|1,1|10036|0</t>
  </si>
  <si>
    <t>1|14001|0,1|14107|0,1|11003|1,1|10107|0</t>
  </si>
  <si>
    <t>1|14001|0,1|14107|0,1|11002|1,1|10009|0</t>
  </si>
  <si>
    <t>1|14001|0,1|14107|0,1|11012|1,1|10010|0</t>
  </si>
  <si>
    <t>1|14001|0,1|14107|0,1|11011|1,1|10003|0</t>
  </si>
  <si>
    <t>1|14001|0,1|14107|0,1|11009|1,1|10006|0</t>
  </si>
  <si>
    <t>1|14001|0,1|14107|0,1|11010|1,1|10119|0</t>
  </si>
  <si>
    <t>1|14001|0,1|14107|0,1|10092|0</t>
  </si>
  <si>
    <t>1|14001|0,1|14107|0,1|11008|1,1|10102|0</t>
  </si>
  <si>
    <t>1|14001|0,1|14107|0,1|11007|1,1|10015|0</t>
  </si>
  <si>
    <t>1|14001|0,1|14107|0,1|11005|1,1|10023|0</t>
  </si>
  <si>
    <t>1|14001|0,1|14107|0,1|11006|1,1|10115|0</t>
  </si>
  <si>
    <t>1|14001|0,1|14107|0,1|11016|1,1|10017|0</t>
  </si>
  <si>
    <t>1|14001|0,1|14107|0,1|11015|1,1|10012|0</t>
  </si>
  <si>
    <t>1|14001|0,1|14107|0,1|11013|1,1|10014|0</t>
  </si>
  <si>
    <t>1|14001|0,1|14107|0,1|11014|1,1|10113|0</t>
  </si>
  <si>
    <t>1|14001|0,1|14107|0,1|11020|1,1|10025|0</t>
  </si>
  <si>
    <t>1|14001|0,1|14107|0,1|11019|1,1|10020|0</t>
  </si>
  <si>
    <t>1|14001|0,1|14107|0,1|11017|1,1|10007|0</t>
  </si>
  <si>
    <t>1|14001|0,1|14107|0,1|11018|1,1|10013|0</t>
  </si>
  <si>
    <t>1|14001|0,1|14107|0,1|10404|0</t>
  </si>
  <si>
    <t>1|14001|0,1|14107|0,1|11024|1,1|10032|0</t>
  </si>
  <si>
    <t>1|14001|0,1|14107|0,1|11023|1,1|10008|0</t>
  </si>
  <si>
    <t>1|14001|0,1|14107|0,1|11022|1,1|10027|0</t>
  </si>
  <si>
    <t>1|14001|0,1|14107|0,1|11016|1,1|10037|0</t>
  </si>
  <si>
    <t>1|14001|0,1|14107|0,1|11013|1,1|10016|0</t>
  </si>
  <si>
    <t>1|14001|0,1|14107|0,1|11014|1,1|10002|0</t>
  </si>
  <si>
    <t>1|14001|0,1|14107|0,1|11020|1,1|10004|0</t>
  </si>
  <si>
    <t>1|14001|0,1|14107|0,1|11019|1,1|10112|0</t>
  </si>
  <si>
    <t>1|14001|0,1|14107|0,1|11017|1,1|10116|0</t>
  </si>
  <si>
    <t>1|14001|0,1|14107|0,1|11018|1,1|10114|0</t>
  </si>
  <si>
    <t>1|14001|0,1|14107|0,1|11024|1,1|10026|0</t>
  </si>
  <si>
    <t>1|14001|0,1|14107|0,1|11023|1,1|10011|0</t>
  </si>
  <si>
    <t>1|14001|0,1|14107|0,1|11021|1,1|10031|0</t>
  </si>
  <si>
    <t>1|14001|0,1|14107|0,1|11022|1,1|10003|0</t>
  </si>
  <si>
    <t>1|14001|0,1|14107|0,1|11016|1,1|10101|0</t>
  </si>
  <si>
    <t>1|14001|0,1|14107|0,1|11015|1,1|10119|0</t>
  </si>
  <si>
    <t>1|14001|0,1|14107|0,1|11013|1,1|10108|0</t>
  </si>
  <si>
    <t>1|14001|0,1|14107|0,1|11014|1,1|10015|0</t>
  </si>
  <si>
    <t>1|14001|0,1|14107|0,1|11020|1,1|10022|0</t>
  </si>
  <si>
    <t>1|14001|0,1|14107|0,1|11019|1,1|10115|0</t>
  </si>
  <si>
    <t>1|14001|0,1|14107|0,1|11017|1,1|10107|0</t>
  </si>
  <si>
    <t>1|14001|0,1|14107|0,1|11018|1,1|10012|0</t>
  </si>
  <si>
    <t>1|14001|0,1|14107|0,1|11024|1,1|10009|0</t>
  </si>
  <si>
    <t>1|14001|0,1|14107|0,1|11023|1,1|10113|0</t>
  </si>
  <si>
    <t>1|14001|0,1|14107|0,1|11021|1,1|10010|0</t>
  </si>
  <si>
    <t>1|14001|0,1|14107|0,1|11022|1,1|10020|0</t>
  </si>
  <si>
    <t>1|14001|0,1|14107|0,1|11016|1,1|10006|0</t>
  </si>
  <si>
    <t>1|14001|0,1|14107|0,1|11015|1,1|10013|0</t>
  </si>
  <si>
    <t>1|14001|0,1|14107|0,1|11013|1,1|10102|0</t>
  </si>
  <si>
    <t>1|14001|0,1|14107|0,1|11014|1,1|10008|0</t>
  </si>
  <si>
    <t>1|14001|0,1|14107|0,1|11020|1,1|10023|0</t>
  </si>
  <si>
    <t>1|14001|0,1|14107|0,1|11019|1,1|10027|0</t>
  </si>
  <si>
    <t>1|14001|0,1|14107|0,1|11017|1,1|10017|0</t>
  </si>
  <si>
    <t>1|14001|0,1|14107|0,1|11018|1,1|10118|0</t>
  </si>
  <si>
    <t>1|14001|0,1|14107|0,1|11024|1,1|10014|0</t>
  </si>
  <si>
    <t>1|14001|0,1|14107|0,1|11023|1,1|10002|0</t>
  </si>
  <si>
    <t>1|14001|0,1|14107|0,1|11021|1,1|10025|0</t>
  </si>
  <si>
    <t>1|14001|0,1|14107|0,1|11022|1,1|10112|0</t>
  </si>
  <si>
    <t>1|14001|0,1|14107|0,1|11028|1,1|10007|0</t>
  </si>
  <si>
    <t>1|14001|0,1|14107|0,1|11027|1,1|10114|0</t>
  </si>
  <si>
    <t>1|14001|0,1|14107|0,1|11025|1,1|10032|0</t>
  </si>
  <si>
    <t>1|14001|0,1|14107|0,1|11026|1,1|10011|0</t>
  </si>
  <si>
    <t>1|14001|0,1|14107|0,1|11032|1,1|10035|0</t>
  </si>
  <si>
    <t>1|14001|0,1|14107|0,1|11031|1,1|10003|0</t>
  </si>
  <si>
    <t>1|14001|0,1|14107|0,1|11029|1,1|10037|0</t>
  </si>
  <si>
    <t>1|14001|0,1|14107|0,1|11030|1,1|10119|0</t>
  </si>
  <si>
    <t>1|14001|0,1|14107|0,1|11036|1,1|10016|0</t>
  </si>
  <si>
    <t>1|14001|0,1|14107|0,1|11035|1,1|10015|0</t>
  </si>
  <si>
    <t>1|14001|0,1|14107|0,1|11033|1,1|10004|0</t>
  </si>
  <si>
    <t>1|14001|0,1|14107|0,1|11034|1,1|10115|0</t>
  </si>
  <si>
    <t>1|14001|0,1|14107|0,1|11027|1,1|10012|0</t>
  </si>
  <si>
    <t>1|14001|0,1|14107|0,1|11025|1,1|10026|0</t>
  </si>
  <si>
    <t>1|14001|0,1|14107|0,1|11026|1,1|10113|0</t>
  </si>
  <si>
    <t>1|14001|0,1|14107|0,1|11032|1,1|10031|0</t>
  </si>
  <si>
    <t>1|14001|0,1|14107|0,1|11031|1,1|10020|0</t>
  </si>
  <si>
    <t>1|14001|0,1|14107|0,1|11030|1,1|10013|0</t>
  </si>
  <si>
    <t>1|14001|0,1|14107|0,1|11035|1,1|10008|0</t>
  </si>
  <si>
    <t>1|14001|0,1|14107|0,1|11034|1,1|10027|0</t>
  </si>
  <si>
    <t>1|14001|0,1|14107|0,1|11025|1,1|10009|0</t>
  </si>
  <si>
    <t>1|14001|0,1|14107|0,1|11026|1,1|10002|0</t>
  </si>
  <si>
    <t>1|14001|0,1|14107|0,1|11031|1,1|10112|0</t>
  </si>
  <si>
    <t>1|14001|0,1|14107|0,1|11029|1,1|10006|0</t>
  </si>
  <si>
    <t>1|14001|0,1|14107|0,1|11030|1,1|10114|0</t>
  </si>
  <si>
    <t>1|14001|0,1|14107|0,1|11036|1,1|10102|0</t>
  </si>
  <si>
    <t>1|14001|0,1|14107|0,1|11035|1,1|10011|0</t>
  </si>
  <si>
    <t>1|14001|0,1|14107|0,1|11033|1,1|10023|0</t>
  </si>
  <si>
    <t>1|14001|0,1|14107|0,1|11034|1,1|10003|0</t>
  </si>
  <si>
    <t>1|14001|0,1|14107|0,1|11028|1,1|10017|0</t>
  </si>
  <si>
    <t>1|14001|0,1|14107|0,1|11027|1,1|10119|0</t>
  </si>
  <si>
    <t>1|14001|0,1|14107|0,1|11026|1,1|10015|0</t>
  </si>
  <si>
    <t>1|14001|0,1|14107|0,1|11032|1,1|10025|0</t>
  </si>
  <si>
    <t>1|14001|0,1|14107|0,1|11031|1,1|10115|0</t>
  </si>
  <si>
    <t>1|14001|0,1|14107|0,1|11029|1,1|10007|0</t>
  </si>
  <si>
    <t>1|14001|0,1|14107|0,1|11030|1,1|10012|0</t>
  </si>
  <si>
    <t>1|14001|0,1|14107|0,1|11036|1,1|10032|0</t>
  </si>
  <si>
    <t>1|14001|0,1|14107|0,1|11035|1,1|10113|0</t>
  </si>
  <si>
    <t>1|14001|0,1|14107|0,1|11033|1,1|10035|0</t>
  </si>
  <si>
    <t>1|14001|0,1|14107|0,1|11034|1,1|10020|0</t>
  </si>
  <si>
    <t>1|14001|0,1|14107|0,1|11027|1,1|10013|0</t>
  </si>
  <si>
    <t>1|14001|0,1|14107|0,1|11025|1,1|10016|0</t>
  </si>
  <si>
    <t>1|14001|0,1|14107|0,1|11026|1,1|10008|0</t>
  </si>
  <si>
    <t>1|14001|0,1|14107|0,1|11032|1,1|10004|0</t>
  </si>
  <si>
    <t>1|14001|0,1|14107|0,1|11031|1,1|10027|0</t>
  </si>
  <si>
    <t>3|44000|1|1,3|41560|1|1</t>
  </si>
  <si>
    <t>3|44000|1|1,3|41562|1|1</t>
  </si>
  <si>
    <t>3|44000|1|1,3|41563|1|1</t>
  </si>
  <si>
    <t>3|44000|1|1,3|41561|1|1</t>
  </si>
  <si>
    <t>3|44000|1|1,3|41560|1|1,3|41501|1|1</t>
  </si>
  <si>
    <t>3|44000|1|1,3|41562|1|1,3|41516|1|1</t>
  </si>
  <si>
    <t>3|44000|1|1,3|41563|1|1,3|41518|1|1</t>
  </si>
  <si>
    <t>3|44000|1|1,3|41567|1|1,3|41502|1|1</t>
  </si>
  <si>
    <t>3|44000|1|1,3|41564|1|1,3|41505|1|1</t>
  </si>
  <si>
    <t>3|44000|1|1,3|41565|1|1,3|41528|1|1</t>
  </si>
  <si>
    <t>3|44000|1|1,3|41575|1|1,3|41506|1|1</t>
  </si>
  <si>
    <t>3|44000|1|1,3|41574|1|1,3|41527|1|1</t>
  </si>
  <si>
    <t>3|44000|1|1,3|41572|1|1,3|41507|1|1</t>
  </si>
  <si>
    <t>3|44000|1|1,3|41573|1|1,3|41523|1|1</t>
  </si>
  <si>
    <t>3|44000|1|1,3|41571|1|1,3|41509|1|1</t>
  </si>
  <si>
    <t>3|44000|1|1,3|41570|1|1,3|41520|1|1</t>
  </si>
  <si>
    <t>3|44000|1|1,3|41568|1|1,3|41512|1|1</t>
  </si>
  <si>
    <t>3|44000|1|1,3|41569|1|1,3|41531|1|1</t>
  </si>
  <si>
    <t>3|44000|1|1,3|41518|1|1</t>
  </si>
  <si>
    <t>3|44000|1|1,3|41567|1|1,3|41513|1|1</t>
  </si>
  <si>
    <t>3|44000|1|1,3|41566|1|1,3|41521|1|1</t>
  </si>
  <si>
    <t>3|44000|1|1,3|41564|1|1,3|41515|1|1</t>
  </si>
  <si>
    <t>3|44000|1|1,3|41565|1|1,3|41536|1|1</t>
  </si>
  <si>
    <t>3|44000|1|1,3|41575|1|1,3|41535|1|1</t>
  </si>
  <si>
    <t>3|44000|1|1,3|41574|1|1,3|41540|1|1</t>
  </si>
  <si>
    <t>3|44000|1|1,3|41572|1|1,3|41538|1|1</t>
  </si>
  <si>
    <t>3|44000|1|1,3|41573|1|1,3|41541|1|1</t>
  </si>
  <si>
    <t>3|44000|1|1,3|41571|1|1,3|41522|1|1</t>
  </si>
  <si>
    <t>3|44000|1|1,3|41570|1|1,3|41542|1|1</t>
  </si>
  <si>
    <t>3|44000|1|1,3|41568|1|1,3|41530|1|1</t>
  </si>
  <si>
    <t>3|44000|1|1,3|41579|1|1,3|41532|1|1</t>
  </si>
  <si>
    <t>3|44000|1|1,3|41578|1|1,3|41544|1|1</t>
  </si>
  <si>
    <t>3|44000|1|1,3|41576|1|1,3|41534|1|1</t>
  </si>
  <si>
    <t>3|44000|1|1,3|41577|1|1,3|41545|1|1</t>
  </si>
  <si>
    <t>3|44000|1|1,3|41583|1|1,3|41529|1|1</t>
  </si>
  <si>
    <t>3|44000|1|1,3|41582|1|1,3|41546|1|1</t>
  </si>
  <si>
    <t>3|44000|1|1,3|41517|1|1</t>
  </si>
  <si>
    <t>3|44000|1|1,3|41580|1|1,3|41537|1|1</t>
  </si>
  <si>
    <t>3|44000|1|1,3|41581|1|1,3|41547|1|1</t>
  </si>
  <si>
    <t>3|44000|1|1,3|41587|1|1,3|41526|1|1</t>
  </si>
  <si>
    <t>3|44000|1|1,3|41586|1|1,3|41548|1|1</t>
  </si>
  <si>
    <t>3|44000|1|1,3|41584|1|1,3|41525|1|1</t>
  </si>
  <si>
    <t>3|44000|1|1,3|41585|1|1,3|41549|1|1</t>
  </si>
  <si>
    <t>3|44000|1|1,3|41579|1|1,3|41524|1|1</t>
  </si>
  <si>
    <t>3|44000|1|1,3|41578|1|1,3|41550|1|1</t>
  </si>
  <si>
    <t>3|44000|1|1,3|41576|1|1,3|41533|1|1</t>
  </si>
  <si>
    <t>3|44000|1|1,3|41577|1|1,3|41551|1|1</t>
  </si>
  <si>
    <t>3|44000|1|1,3|41583|1|1,3|41539|1|1</t>
  </si>
  <si>
    <t>3|44000|1|1,3|41582|1|1,3|41552|1|1</t>
  </si>
  <si>
    <t>3|44000|1|1,3|41580|1|1,3|41519|1|1</t>
  </si>
  <si>
    <t>3|44000|1|1,3|41581|1|1,3|41553|1|1</t>
  </si>
  <si>
    <t>3|44000|1|1,3|41587|1|1,3|41528|1|1</t>
  </si>
  <si>
    <t>3|44000|1|1,3|41586|1|1,3|41554|1|1</t>
  </si>
  <si>
    <t>3|44000|1|1,3|41584|1|1,3|41527|1|1</t>
  </si>
  <si>
    <t>3|44000|1|1,3|41585|1|1,3|41540|1|1</t>
  </si>
  <si>
    <t>3|44000|1|1,3|41579|1|1,3|41523|1|1</t>
  </si>
  <si>
    <t>3|44000|1|1,3|41578|1|1,3|41541|1|1</t>
  </si>
  <si>
    <t>3|44000|1|1,3|41577|1|1,3|41542|1|1</t>
  </si>
  <si>
    <t>3|44000|1|1,3|41583|1|1,3|41531|1|1</t>
  </si>
  <si>
    <t>3|44000|1|1,3|41582|1|1,3|41543|1|1</t>
  </si>
  <si>
    <t>3|44000|1|1,3|41581|1|1,3|41544|1|1</t>
  </si>
  <si>
    <t>3|44000|1|1,3|41587|1|1,3|41536|1|1</t>
  </si>
  <si>
    <t>3|44000|1|1,3|41586|1|1,3|41545|1|1</t>
  </si>
  <si>
    <t>3|44000|1|1,3|41584|1|1,3|41535|1|1</t>
  </si>
  <si>
    <t>3|44000|1|1,3|41585|1|1,3|41546|1|1</t>
  </si>
  <si>
    <t>3|44000|1|1,3|41579|1|1,3|41538|1|1</t>
  </si>
  <si>
    <t>3|44000|1|1,3|41578|1|1,3|41547|1|1</t>
  </si>
  <si>
    <t>3|44000|1|1,3|41576|1|1,3|41522|1|1</t>
  </si>
  <si>
    <t>3|44000|1|1,3|41577|1|1,3|41548|1|1</t>
  </si>
  <si>
    <t>3|44000|1|1,3|41583|1|1,3|41530|1|1</t>
  </si>
  <si>
    <t>3|44000|1|1,3|41582|1|1,3|41549|1|1</t>
  </si>
  <si>
    <t>3|44000|1|1,3|41580|1|1,3|41532|1|1</t>
  </si>
  <si>
    <t>3|44000|1|1,3|41581|1|1,3|41550|1|1</t>
  </si>
  <si>
    <t>3|44000|1|1,3|41587|1|1,3|41534|1|1</t>
  </si>
  <si>
    <t>3|44000|1|1,3|41586|1|1,3|41551|1|1</t>
  </si>
  <si>
    <t>3|44000|1|1,3|41584|1|1,3|41529|1|1</t>
  </si>
  <si>
    <t>3|44000|1|1,3|41585|1|1,3|41552|1|1</t>
  </si>
  <si>
    <t>3|44000|1|1,3|41591|1|1,3|41537|1|1</t>
  </si>
  <si>
    <t>3|44000|1|1,3|41590|1|1,3|41553|1|1</t>
  </si>
  <si>
    <t>3|44000|1|1,3|41588|1|1,3|41526|1|1</t>
  </si>
  <si>
    <t>3|44000|1|1,3|41589|1|1,3|41554|1|1</t>
  </si>
  <si>
    <t>3|44000|1|1,3|41595|1|1,3|41525|1|1</t>
  </si>
  <si>
    <t>3|44000|1|1,3|41594|1|1,3|41540|1|1</t>
  </si>
  <si>
    <t>3|44000|1|1,3|41592|1|1,3|41524|1|1</t>
  </si>
  <si>
    <t>3|44000|1|1,3|41593|1|1,3|41541|1|1</t>
  </si>
  <si>
    <t>3|44000|1|1,3|41599|1|1,3|41533|1|1</t>
  </si>
  <si>
    <t>3|44000|1|1,3|41598|1|1,3|41542|1|1</t>
  </si>
  <si>
    <t>3|44000|1|1,3|41596|1|1,3|41539|1|1</t>
  </si>
  <si>
    <t>3|44000|1|1,3|41597|1|1,3|41543|1|1</t>
  </si>
  <si>
    <t>3|44000|1|1,3|41591|1|1,3|41519|1|1</t>
  </si>
  <si>
    <t>3|44000|1|1,3|41590|1|1,3|41544|1|1</t>
  </si>
  <si>
    <t>3|44000|1|1,3|41588|1|1,3|41528|1|1</t>
  </si>
  <si>
    <t>3|44000|1|1,3|41589|1|1,3|41545|1|1</t>
  </si>
  <si>
    <t>3|44000|1|1,3|41595|1|1,3|41527|1|1</t>
  </si>
  <si>
    <t>3|44000|1|1,3|41594|1|1,3|41546|1|1</t>
  </si>
  <si>
    <t>3|44000|1|1,3|41592|1|1,3|41523|1|1</t>
  </si>
  <si>
    <t>3|44000|1|1,3|41593|1|1,3|41547|1|1</t>
  </si>
  <si>
    <t>3|44000|1|1,3|41599|1|1,3|41520|1|1</t>
  </si>
  <si>
    <t>3|44000|1|1,3|41598|1|1,3|41548|1|1</t>
  </si>
  <si>
    <t>3|44000|1|1,3|41596|1|1,3|41531|1|1</t>
  </si>
  <si>
    <t>3|44000|1|1,3|41597|1|1,3|41549|1|1</t>
  </si>
  <si>
    <t>3|44000|1|1,3|41591|1|1,3|41521|1|1</t>
  </si>
  <si>
    <t>3|44000|1|1,3|41590|1|1,3|41550|1|1</t>
  </si>
  <si>
    <t>3|44000|1|1,3|41588|1|1,3|41536|1|1</t>
  </si>
  <si>
    <t>3|44000|1|1,3|41589|1|1,3|41551|1|1</t>
  </si>
  <si>
    <t>3|44000|1|1,3|41595|1|1,3|41535|1|1</t>
  </si>
  <si>
    <t>3|44000|1|1,3|41594|1|1,3|41552|1|1</t>
  </si>
  <si>
    <t>3|44000|1|1,3|41592|1|1,3|41538|1|1</t>
  </si>
  <si>
    <t>3|44000|1|1,3|41593|1|1,3|41553|1|1</t>
  </si>
  <si>
    <t>3|44000|1|1,3|41599|1|1,3|41522|1|1</t>
  </si>
  <si>
    <t>3|44000|1|1,3|41598|1|1,3|41554|1|1</t>
  </si>
  <si>
    <t>3|44000|1|1,3|41596|1|1,3|41530|1|1</t>
  </si>
  <si>
    <t>3|44000|1|1,3|41597|1|1,3|41540|1|1</t>
  </si>
  <si>
    <t>3|44000|1|1,3|41591|1|1,3|41532|1|1</t>
  </si>
  <si>
    <t>3|44000|1|1,3|41590|1|1,3|41541|1|1</t>
  </si>
  <si>
    <t>3|44000|1|1,3|41588|1|1,3|41534|1|1</t>
  </si>
  <si>
    <t>3|44000|1|1,3|41589|1|1,3|41542|1|1</t>
  </si>
  <si>
    <t>3|44000|1|1,3|41595|1|1,3|41529|1|1</t>
  </si>
  <si>
    <t>3|44000|1|1,3|41594|1|1,3|41543|1|1</t>
  </si>
  <si>
    <t>3|44000|1|1,3|41592|1|1,3|41537|1|1</t>
  </si>
  <si>
    <t>3|44000|1|1,3|41593|1|1,3|41544|1|1</t>
  </si>
  <si>
    <t>3|44000|1|1,3|41599|1|1,3|41526|1|1</t>
  </si>
  <si>
    <t>3|44000|1|1,3|41598|1|1,3|41545|1|1</t>
  </si>
  <si>
    <t>3|44000|1|1,3|41596|1|1,3|41525|1|1</t>
  </si>
  <si>
    <t>3|44000|1|1,3|41597|1|1,3|41546|1|1</t>
  </si>
  <si>
    <t>3|44000|1|1,3|41591|1|1,3|41524|1|1</t>
  </si>
  <si>
    <t>3|44000|1|1,3|41590|1|1,3|41547|1|1</t>
  </si>
  <si>
    <t>3|44000|1|1,3|41588|1|1,3|41533|1|1</t>
  </si>
  <si>
    <t>3|44000|1|1,3|41589|1|1,3|41548|1|1</t>
  </si>
  <si>
    <t>3|44000|1|1,3|41595|1|1,3|41539|1|1</t>
  </si>
  <si>
    <t>3|44000|1|1,3|41594|1|1,3|41549|1|1</t>
  </si>
  <si>
    <t>1|14003|1|1,1|10113|5|1,1|14315|2|1</t>
  </si>
  <si>
    <t>1|14003|1,1|10113|5,1|14315|2</t>
  </si>
  <si>
    <t>1|10114|1|1,1|10002|1|1,1|10012|1|1</t>
  </si>
  <si>
    <t>1|10112|1|1,1|10008|1|1,1|10020|1|1</t>
  </si>
  <si>
    <t>1|10115|1|1,1|10003|1|1,1|10015|1|1</t>
  </si>
  <si>
    <t>1|10027|1|1,1|10119|1|1,1|10013|1|1</t>
  </si>
  <si>
    <t>1|10113|1|1,1|10118|1|1,1|10011|1|1</t>
  </si>
  <si>
    <t>八部天龙碎片，哪吒碎片，牛魔王碎片</t>
  </si>
  <si>
    <t>金蝉子碎片，托塔天王碎片，猪八戒碎片</t>
  </si>
  <si>
    <t>观世音碎片，嫦娥碎片，羊力大仙碎片</t>
  </si>
  <si>
    <t>弥勒佛碎片，黑无常碎片，虎力大仙碎片</t>
  </si>
  <si>
    <t>龙帝碎片，白无常碎片，铁扇公主碎片</t>
  </si>
  <si>
    <t>[]</t>
    <phoneticPr fontId="21" type="noConversion"/>
  </si>
  <si>
    <t>元旦彩蛋</t>
    <phoneticPr fontId="21" type="noConversion"/>
  </si>
  <si>
    <t>4|2|18|13,4|2|188|2,1|14106|5|10,1|16010|5|10,1|16005|5|10,1|14201|5|10,1|17001|5|10,1|14584|5|2,1|14505|5|15,1|14315|1|18</t>
  </si>
  <si>
    <t>红色法宝碎片选择箱</t>
    <phoneticPr fontId="17" type="noConversion"/>
  </si>
  <si>
    <t>红色法宝选择箱</t>
    <phoneticPr fontId="17" type="noConversion"/>
  </si>
  <si>
    <t>红色装备碎片选择箱</t>
    <phoneticPr fontId="17" type="noConversion"/>
  </si>
  <si>
    <t>红色装备选择箱</t>
    <phoneticPr fontId="17" type="noConversion"/>
  </si>
  <si>
    <t>1|12085|1,1|12091|1,1|12097|1,1|12103|1</t>
    <phoneticPr fontId="21" type="noConversion"/>
  </si>
  <si>
    <t>1|12085|1|1,1|12091|1|1,1|12097|1|1,1|12103|1|1</t>
    <phoneticPr fontId="21" type="noConversion"/>
  </si>
  <si>
    <t>6|3017|1,6|3018|1,6|3019|1,6|3020|1</t>
    <phoneticPr fontId="21" type="noConversion"/>
  </si>
  <si>
    <t>6|3017|1|1,6|3018|1|1,6|3019|1|1,6|3020|1|1</t>
    <phoneticPr fontId="21" type="noConversion"/>
  </si>
  <si>
    <t>1|11037|1,1|11038|1,1|11039|1,1|11040|1</t>
    <phoneticPr fontId="21" type="noConversion"/>
  </si>
  <si>
    <t>1|11037|1|1,1|11038|1|1,1|11039|1|1,1|11040|1|1</t>
    <phoneticPr fontId="21" type="noConversion"/>
  </si>
  <si>
    <t>2|2081|1,2|2082|1,2|2083|1,2|2084|1</t>
    <phoneticPr fontId="21" type="noConversion"/>
  </si>
  <si>
    <t>2|2081|1|1,2|2082|1|1,2|2083|1|1,2|2084|1|1</t>
    <phoneticPr fontId="21" type="noConversion"/>
  </si>
  <si>
    <t>3|51005|1|4,3|51006|1|46,3|51007|1|300,3|51008|1|650</t>
    <phoneticPr fontId="21" type="noConversion"/>
  </si>
  <si>
    <t>橙色套装选择箱</t>
  </si>
  <si>
    <t>1|14527|1,1|14528|1</t>
    <phoneticPr fontId="21" type="noConversion"/>
  </si>
  <si>
    <t>1|14527|1|1,1|14528|1|1</t>
    <phoneticPr fontId="21" type="noConversion"/>
  </si>
  <si>
    <t>掉落组ID
[字符串]
角色10001~15000
装备15001~20000
法宝20001~25000
道具25001~30000
任务30001~40000
关卡40001~50000
宝箱50001~51000
抽卡51001~52000
超级聚仙52001~53000
通天60001~62000
签到和七日奖励65001~69000
血战奖励70001~72000
邮件和竞技奖励72001~75000
开服七日活动奖励75001-79999
普通活动-累计登陆奖励 80000-89999</t>
    <phoneticPr fontId="17" type="noConversion"/>
  </si>
  <si>
    <t>新服彩蛋</t>
    <phoneticPr fontId="21" type="noConversion"/>
  </si>
  <si>
    <t>1|14302|5|13,4|2|688|2,1|14106|5|10,1|16010|5|10,1|16005|5|10,1|14201|5|10,1|17001|5|10,1|14584|5|2,1|14505|5|15,1|14315|1|18</t>
  </si>
  <si>
    <t>1|14003|1|1,1|10039|5|1</t>
  </si>
  <si>
    <t>1|14003|1|1,1|10034|5|1,2|2022|1|1</t>
  </si>
  <si>
    <t>1|14003|1|1,1|10103|5|1,2|2021|1|1</t>
  </si>
  <si>
    <t>1|14003|1|1,1|10040|5|1</t>
  </si>
  <si>
    <t>1|14003|1|1,1|10106|5|1,2|2024|1|1</t>
  </si>
  <si>
    <t>1|14003|1|1,1|10105|5|1,2|2023|1|1</t>
  </si>
  <si>
    <t>1|14003|1|1,1|10030|5|1,1|11006|20|1</t>
  </si>
  <si>
    <t>1|14003|1|1,1|10033|5|1,1|11005|20|1</t>
  </si>
  <si>
    <t>1|14003|1|1,1|10103|5|1,1|11008|20|1</t>
  </si>
  <si>
    <t>1|14003|1|1,1|10104|5|1,1|11007|20|1</t>
  </si>
  <si>
    <t>1|14003|1|1,1|10105|5|1,1|11002|5|1</t>
  </si>
  <si>
    <t>1|14003|1|1,1|10104|5|1,1|11010|5|1</t>
  </si>
  <si>
    <t>1|14003|1|1,1|10036|5|1,1|11009|5|1</t>
  </si>
  <si>
    <t>1|14003|1|1,1|10028|5|1,1|11012|5|1</t>
  </si>
  <si>
    <t>1|14003|1|1,1|10041|5|1,1|11011|5|1</t>
  </si>
  <si>
    <t>1|14003|1|1,1|10014|5|1,1|11014|5|1</t>
  </si>
  <si>
    <t>1|14003|1|1,1|10010|5|1,1|11013|5|1</t>
  </si>
  <si>
    <t>1|14003|1|1,1|10004|5|1,1|11016|5|1</t>
  </si>
  <si>
    <t>1|14003|1|1,1|10035|5|1,1|11015|5|1</t>
  </si>
  <si>
    <t>1|14003|1|1,1|10032|5|1,1|11018|5|1</t>
  </si>
  <si>
    <t>1|14003|1|1,1|10102|5|1,1|11017|5|1</t>
  </si>
  <si>
    <t>1|14003|1|1,1|10023|5|1,1|11020|5|1</t>
  </si>
  <si>
    <t>1|14003|1|1,1|10017|5|1,1|11019|5|1</t>
  </si>
  <si>
    <t>1|14003|1|1,1|10101|5|1,1|11022|5|1</t>
  </si>
  <si>
    <t>1|14003|1|1,1|10031|5|1,1|11021|5|1</t>
  </si>
  <si>
    <t>1|14003|1|1,1|10037|5|1,1|11024|5|1</t>
  </si>
  <si>
    <t>1|14003|1|1,1|10116|5|1,1|11023|5|1</t>
  </si>
  <si>
    <t>1|14003|1|1,1|10006|5|1,1|11026|2|1</t>
  </si>
  <si>
    <t>1|14003|1,1|10039|5</t>
  </si>
  <si>
    <t>1|14003|1,1|10034|5,2|2022|1</t>
  </si>
  <si>
    <t>1|14003|1,1|10103|5,2|2021|1</t>
  </si>
  <si>
    <t>1|14003|1,1|10040|5</t>
  </si>
  <si>
    <t>1|14003|1,1|10106|5,2|2024|1</t>
  </si>
  <si>
    <t>1|14003|1,1|10105|5,2|2023|1</t>
  </si>
  <si>
    <t>1|14003|1,1|10030|5,1|11006|20</t>
  </si>
  <si>
    <t>1|14003|1,1|10033|5,1|11005|20</t>
  </si>
  <si>
    <t>1|14003|1,1|10103|5,1|11008|20</t>
  </si>
  <si>
    <t>1|14003|1,1|10104|5,1|11007|20</t>
  </si>
  <si>
    <t>1|14003|1,1|10105|5,1|11002|5</t>
  </si>
  <si>
    <t>1|14003|1,1|10104|5,1|11010|5</t>
  </si>
  <si>
    <t>1|14003|1,1|10036|5,1|11009|5</t>
  </si>
  <si>
    <t>1|14003|1,1|10028|5,1|11012|5</t>
  </si>
  <si>
    <t>1|14003|1,1|10041|5,1|11011|5</t>
  </si>
  <si>
    <t>1|14003|1,1|10014|5,1|11014|5</t>
  </si>
  <si>
    <t>1|14003|1,1|10010|5,1|11013|5</t>
  </si>
  <si>
    <t>1|14003|1,1|10004|5,1|11016|5</t>
  </si>
  <si>
    <t>1|14003|1,1|10035|5,1|11015|5</t>
  </si>
  <si>
    <t>1|14003|1,1|10032|5,1|11018|5</t>
  </si>
  <si>
    <t>1|14003|1,1|10102|5,1|11017|5</t>
  </si>
  <si>
    <t>1|14003|1,1|10023|5,1|11020|5</t>
  </si>
  <si>
    <t>1|14003|1,1|10017|5,1|11019|5</t>
  </si>
  <si>
    <t>1|14003|1,1|10101|5,1|11022|5</t>
  </si>
  <si>
    <t>1|14003|1,1|10031|5,1|11021|5</t>
  </si>
  <si>
    <t>1|14003|1,1|10037|5,1|11024|5</t>
  </si>
  <si>
    <t>1|14003|1,1|10116|5,1|11023|5</t>
  </si>
  <si>
    <t>1|14003|1,1|10006|5,1|11026|2</t>
  </si>
  <si>
    <t>橙色套装碎片</t>
  </si>
  <si>
    <t>橙色散装碎片</t>
  </si>
  <si>
    <t>紫色套装碎片</t>
  </si>
  <si>
    <t>紫色散装碎片</t>
    <phoneticPr fontId="21" type="noConversion"/>
  </si>
  <si>
    <t>蓝色散装碎片</t>
    <phoneticPr fontId="21" type="noConversion"/>
  </si>
  <si>
    <t>蓝色套装碎片</t>
    <phoneticPr fontId="21" type="noConversion"/>
  </si>
  <si>
    <t>1|11001|1|1,1|11002|1|1,1|11003|1|1,1|11004|1|1</t>
    <phoneticPr fontId="21" type="noConversion"/>
  </si>
  <si>
    <t>1|11005|1|1,1|11006|1|1,1|11007|1|1,1|11008|1|1,1|11009|1|1,1|11010|1|1,1|11011|1|1,1|11012|1|1</t>
    <phoneticPr fontId="21" type="noConversion"/>
  </si>
  <si>
    <t>1|11013|1|1,1|11014|1|1,1|11015|1|1,1|11016|1|1</t>
    <phoneticPr fontId="21" type="noConversion"/>
  </si>
  <si>
    <t>1|11017|1|1,1|11018|1|1,1|11019|1|1,1|11020|1|1,1|11021|1|1,1|11022|1|1,1|11023|1|1,1|11024|1|1</t>
    <phoneticPr fontId="21" type="noConversion"/>
  </si>
  <si>
    <t>1|11025|1|1,1|11026|1|1,1|11027|1|1,1|11028|1|1</t>
    <phoneticPr fontId="21" type="noConversion"/>
  </si>
  <si>
    <t>1|11029|1|1,1|11030|1|1,1|11031|1|1,1|11032|1|1</t>
    <phoneticPr fontId="21" type="noConversion"/>
  </si>
  <si>
    <t>2|2021|1|1,2|2022|1|1,2|2023|1|1,2|2024|1|1</t>
    <phoneticPr fontId="21" type="noConversion"/>
  </si>
  <si>
    <t>2|2025|1|1,2|2026|1|1,2|2027|1|1,2|2028|1|1,2|2029|1|1,2|2030|1|1,2|2031|1|1,2|2032|1|1</t>
    <phoneticPr fontId="21" type="noConversion"/>
  </si>
  <si>
    <t>蓝色套装</t>
    <phoneticPr fontId="21" type="noConversion"/>
  </si>
  <si>
    <t>蓝色散装</t>
    <phoneticPr fontId="21" type="noConversion"/>
  </si>
  <si>
    <t>3|49021|1|50,3|49022|1|45,3|49021|1|5</t>
    <phoneticPr fontId="21" type="noConversion"/>
  </si>
  <si>
    <t>3|49018|1|5,3|49019|1|15,3|49020|1|20,3|49021|1|30,3|49022|1|30</t>
  </si>
  <si>
    <t>3|49018|1|5,3|49019|1|10,3|49020|1|30,3|49021|1|40,3|49024|1|5,3|49025|1|10</t>
  </si>
  <si>
    <t>1|14003|1|1,1|10092|5|1,1|14300|1|1</t>
  </si>
  <si>
    <t>1|14003|1|1,1|10052|5|1,1|14300|1|1</t>
  </si>
  <si>
    <t>1|14003|1|1,1|10404|5|1,1|14300|1|1</t>
  </si>
  <si>
    <t>1|14003|1|1,1|10092|5|1,1|14314|1|1</t>
  </si>
  <si>
    <t>1|14003|1|1,1|10052|5|1,1|14314|1|1</t>
  </si>
  <si>
    <t>1|14003|1|1,1|10404|5|1,1|14314|1|1</t>
  </si>
  <si>
    <t>1|14003|1|1,1|10108|5|1,1|11025|2|1</t>
  </si>
  <si>
    <t>1|14003|1|1,1|10022|5|1,1|11028|2|1</t>
  </si>
  <si>
    <t>1|14003|1|1,1|10107|5|1,1|11027|2|1</t>
  </si>
  <si>
    <t>1|14003|1|1,1|10026|5|1,1|11030|2|1</t>
  </si>
  <si>
    <t>1|14003|1|1,1|10007|5|1,1|11029|2|1</t>
  </si>
  <si>
    <t>1|14003|1|1,1|10025|5|1,1|11032|2|1</t>
  </si>
  <si>
    <t>1|14003|1|1,1|10009|5|1,1|11031|2|1</t>
  </si>
  <si>
    <t>1|14003|1|1,1|10016|5|1,1|11034|2|1</t>
  </si>
  <si>
    <t>1|14003|1|1,1|10014|5|1,1|11033|2|1</t>
  </si>
  <si>
    <t>1|14003|1|1,1|10010|5|1,1|11036|2|1</t>
  </si>
  <si>
    <t>1|14003|1|1,1|10026|5|1,1|14314|1|1</t>
  </si>
  <si>
    <t>1|14003|1|1,1|10004|5|1,1|11035|2|1</t>
  </si>
  <si>
    <t>1|14003|1|1,1|10025|5|1,1|14314|1|1</t>
  </si>
  <si>
    <t>1|14003|1|1,1|10009|5|1,1|14314|1|1</t>
  </si>
  <si>
    <t>1|14003|1|1,1|10016|5|1,1|14314|1|1</t>
  </si>
  <si>
    <t>1|14003|1|1,1|10007|5|1,1|14315|2|1</t>
  </si>
  <si>
    <t>1|14003|1|1,1|10025|5|1,1|14315|2|1</t>
  </si>
  <si>
    <t>1|14003|1|1,1|10026|5|1,1|14315|1|1</t>
  </si>
  <si>
    <t>1|14003|1|1,1|10119|5|1,1|14315|2|1</t>
  </si>
  <si>
    <t>1|14003|1|1,1|10092|5|1,1|14315|1|1</t>
  </si>
  <si>
    <t>1|14003|1|1,1|10025|5|1,1|14315|1|1</t>
  </si>
  <si>
    <t>1|14003|1|1,1|10052|5|1,1|14315|1|1</t>
  </si>
  <si>
    <t>1|14003|1|1,1|10009|5|1,1|14315|1|1</t>
  </si>
  <si>
    <t>1|14003|1|1,1|10115|5|1,1|14315|2|1</t>
  </si>
  <si>
    <t>1|14003|1|1,1|10404|5|1,1|14315|1|1</t>
  </si>
  <si>
    <t>1|14003|1|1,1|10016|5|1,1|14315|1|1</t>
  </si>
  <si>
    <t>1|14003|1|1,1|10020|5|1,1|14315|2|1</t>
  </si>
  <si>
    <t>1|14003|1|1,1|10008|5|1,1|14315|2|1</t>
  </si>
  <si>
    <t>1|14003|1|1,1|10012|5|1,1|14315|2|1</t>
  </si>
  <si>
    <t>1|14003|1|1,1|10114|5|1,1|14315|2|1</t>
  </si>
  <si>
    <t>1|14003|1|1,1|10002|5|1,1|14315|2|1</t>
  </si>
  <si>
    <t>1|14003|1,1|10092|5,1|14300|1</t>
  </si>
  <si>
    <t>1|14003|1,1|10052|5,1|14300|1</t>
  </si>
  <si>
    <t>1|14003|1,1|10404|5,1|14300|1</t>
  </si>
  <si>
    <t>1|14003|1,1|10092|5,1|14314|1</t>
  </si>
  <si>
    <t>1|14003|1,1|10052|5,1|14314|1</t>
  </si>
  <si>
    <t>1|14003|1,1|10404|5,1|14314|1</t>
  </si>
  <si>
    <t>1|14003|1,1|10108|5,1|11025|2</t>
  </si>
  <si>
    <t>1|14003|1,1|10022|5,1|11028|2</t>
  </si>
  <si>
    <t>1|14003|1,1|10107|5,1|11027|2</t>
  </si>
  <si>
    <t>1|14003|1,1|10026|5,1|11030|2</t>
  </si>
  <si>
    <t>1|14003|1,1|10007|5,1|11029|2</t>
  </si>
  <si>
    <t>1|14003|1,1|10025|5,1|11032|2</t>
  </si>
  <si>
    <t>1|14003|1,1|10009|5,1|11031|2</t>
  </si>
  <si>
    <t>1|14003|1,1|10016|5,1|11034|2</t>
  </si>
  <si>
    <t>1|14003|1,1|10014|5,1|11033|2</t>
  </si>
  <si>
    <t>1|14003|1,1|10010|5,1|11036|2</t>
  </si>
  <si>
    <t>1|14003|1,1|10026|5,1|14314|1</t>
  </si>
  <si>
    <t>1|14003|1,1|10004|5,1|11035|2</t>
  </si>
  <si>
    <t>1|14003|1,1|10025|5,1|14314|1</t>
  </si>
  <si>
    <t>1|14003|1,1|10009|5,1|14314|1</t>
  </si>
  <si>
    <t>1|14003|1,1|10016|5,1|14314|1</t>
  </si>
  <si>
    <t>1|14003|1,1|10007|5,1|14315|2</t>
  </si>
  <si>
    <t>1|14003|1,1|10025|5,1|14315|2</t>
  </si>
  <si>
    <t>1|14003|1,1|10026|5,1|14315|1</t>
  </si>
  <si>
    <t>1|14003|1,1|10119|5,1|14315|2</t>
  </si>
  <si>
    <t>1|14003|1,1|10092|5,1|14315|1</t>
  </si>
  <si>
    <t>1|14003|1,1|10025|5,1|14315|1</t>
  </si>
  <si>
    <t>1|14003|1,1|10052|5,1|14315|1</t>
  </si>
  <si>
    <t>1|14003|1,1|10009|5,1|14315|1</t>
  </si>
  <si>
    <t>1|14003|1,1|10115|5,1|14315|2</t>
  </si>
  <si>
    <t>1|14003|1,1|10404|5,1|14315|1</t>
  </si>
  <si>
    <t>1|14003|1,1|10016|5,1|14315|1</t>
  </si>
  <si>
    <t>1|14003|1,1|10020|5,1|14315|2</t>
  </si>
  <si>
    <t>1|14003|1,1|10008|5,1|14315|2</t>
  </si>
  <si>
    <t>1|14003|1,1|10012|5,1|14315|2</t>
  </si>
  <si>
    <t>1|14003|1,1|10114|5,1|14315|2</t>
  </si>
  <si>
    <t>1|14003|1,1|10002|5,1|14315|2</t>
  </si>
  <si>
    <t>精英副本 1-9章掉落 初级经验药和聚魂珠</t>
    <phoneticPr fontId="21" type="noConversion"/>
  </si>
  <si>
    <t>精英副本 10-19章掉落 初级经验药和聚魂珠</t>
    <phoneticPr fontId="21" type="noConversion"/>
  </si>
  <si>
    <t>精英副本 20-29章掉落 初级经验药和聚魂珠</t>
    <phoneticPr fontId="21" type="noConversion"/>
  </si>
  <si>
    <t>精英副本 30-39章掉落 初级经验药和聚魂珠</t>
    <phoneticPr fontId="21" type="noConversion"/>
  </si>
  <si>
    <t>精英副本 40-49章掉落 初级经验药和聚魂珠</t>
    <phoneticPr fontId="21" type="noConversion"/>
  </si>
  <si>
    <t>精英副本 59章之后掉落 初级经验药和聚魂珠</t>
    <phoneticPr fontId="21" type="noConversion"/>
  </si>
  <si>
    <t>精英副本 1-9章掉落 初级经验药</t>
  </si>
  <si>
    <t>精英副本 10-19章掉落 初级经验药</t>
  </si>
  <si>
    <t>精英副本 20-29章掉落 初级经验药</t>
  </si>
  <si>
    <t>精英副本 30-39章掉落 初级经验药</t>
  </si>
  <si>
    <t>精英副本 40-49章掉落 初级经验药</t>
  </si>
  <si>
    <t>精英副本 59章之后掉落 初级经验药</t>
  </si>
  <si>
    <t>1|14001|2|50,1|14001|3|50</t>
  </si>
  <si>
    <t>1|14001|3|65,1|14001|4|35</t>
  </si>
  <si>
    <t>1|14001|3|30,1|14001|4|40,1|14001|5|30</t>
  </si>
  <si>
    <t>1|14001|3|20,1|14001|4|30,1|14001|5|50</t>
  </si>
  <si>
    <t>1|14001|3|20,1|14001|4|30,1|14001|5|30,1|14001|6|20</t>
  </si>
  <si>
    <t>3|44911|1|1,1|14322|5|1</t>
  </si>
  <si>
    <t>1|14001|0,1|14322|5</t>
  </si>
  <si>
    <t>[]</t>
    <phoneticPr fontId="21" type="noConversion"/>
  </si>
  <si>
    <t>3|44912|1|1,1|14322|9|1</t>
  </si>
  <si>
    <t>3|44913|1|1,1|14322|14|1</t>
  </si>
  <si>
    <t>3|44914|1|1,1|14322|20|1</t>
  </si>
  <si>
    <t>3|44915|1|1,1|14322|27|1</t>
  </si>
  <si>
    <t>3|44916|1|1,1|14322|35|1</t>
  </si>
  <si>
    <t>聚魂珠</t>
  </si>
  <si>
    <t>4|45|5|1,4|45|6|1,4|45|7|1,4|45|8|1,4|45|9|1,4|45|10|1,4|45|11|1,4|45|12|1,4|45|13|1,4|45|14|1,4|45|15|1</t>
  </si>
  <si>
    <t>4|1|100000|1,4|2|100|1,1|14107|100|1,4|45|1000|1</t>
  </si>
  <si>
    <t>4|1|100000|1,4|2|120|1,1|14107|125|1,4|45|1000|1</t>
  </si>
  <si>
    <t>4|1|100000|1,4|2|120|1,1|14107|125|1,4|45|1500|1</t>
  </si>
  <si>
    <t>4|1|100000|1,4|2|140|1,1|14107|150|1,4|45|1500|1</t>
  </si>
  <si>
    <t>4|1|100000|1,4|2|160|1,1|14107|175|1,4|45|1500|1</t>
  </si>
  <si>
    <t>4|1|100000|1,4|2|180|1,1|14107|190|1,4|45|1500|1</t>
  </si>
  <si>
    <t>4|1|100000|1,4|2|200|1,1|14107|200|1,4|45|1500|1</t>
  </si>
  <si>
    <t>4|1|100000|1,4|2|200|1,1|14107|200|1,4|45|2000|1</t>
  </si>
  <si>
    <t>4|1|100000|1,4|2|220|1,1|14107|210|1,4|45|2000|1</t>
  </si>
  <si>
    <t>4|1|100000|1,4|2|240|1,1|14107|220|1,4|45|2000|1</t>
  </si>
  <si>
    <t>4|1|100000|1,4|2|260|1,1|14107|230|1,4|45|2000|1</t>
  </si>
  <si>
    <t>4|1|100000|1,4|2|280|1,1|14107|240|1,4|45|2000|1</t>
  </si>
  <si>
    <t>4|1|100000|1,4|2|300|1,1|14107|250|1,4|45|2000|1</t>
  </si>
  <si>
    <t>4|1|100000|1,4|2|320|1,1|14107|260|1,4|45|2000|1</t>
  </si>
  <si>
    <t>4|1|100000|1,4|2|340|1,1|14107|270|1,4|45|2000|1</t>
  </si>
  <si>
    <t>4|1|100000|1,4|2|360|1,1|14107|280|1,4|45|2000|1</t>
  </si>
  <si>
    <t>4|1|100000|1,4|2|380|1,1|14107|290|1,4|45|2000|1</t>
  </si>
  <si>
    <t>4|1|100000|1,4|2|400|1,1|14107|300|1,4|45|2000|1</t>
  </si>
  <si>
    <t>4|1|100000|1,4|2|420|1,1|14107|310|1,4|45|2000|1</t>
  </si>
  <si>
    <t>4|1|100000|1,4|2|440|1,1|14107|320|1,4|45|2000|1</t>
  </si>
  <si>
    <t>4|1|100000|1,4|2|460|1,1|14107|330|1,4|45|2000|1</t>
  </si>
  <si>
    <t>4|1|100000|1,4|2|480|1,1|14107|340|1,4|45|2000|1</t>
  </si>
  <si>
    <t>4|1|100000|1,4|2|500|1,1|14107|350|1,4|45|2000|1</t>
  </si>
  <si>
    <t>4|1|100000|1,4|2|520|1,1|14107|360|1,4|45|2000|1</t>
  </si>
  <si>
    <t>4|1|100000|1,4|2|540|1,1|14107|370|1,4|45|2000|1</t>
  </si>
  <si>
    <t>4|1|100000|1,4|2|560|1,1|14107|380|1,4|45|2000|1</t>
  </si>
  <si>
    <t>4|1|100000|1,4|2|580|1,1|14107|390|1,4|45|2000|1</t>
  </si>
  <si>
    <t>4|1|100000|1,4|2|600|1,1|14107|400|1,4|45|2000|1</t>
  </si>
  <si>
    <t>4|1|100000|1,4|2|620|1,1|14107|410|1,4|45|2000|1</t>
  </si>
  <si>
    <t>4|1|100000|1,4|2|640|1,1|14107|420|1,4|45|2000|1</t>
  </si>
  <si>
    <t>4|1|100000|1,4|2|660|1,1|14107|430|1,4|45|2000|1</t>
  </si>
  <si>
    <t>4|1|100000|1,4|2|680|1,1|14107|440|1,4|45|2000|1</t>
  </si>
  <si>
    <t>4|1|100000|1,4|2|700|1,1|14107|450|1,4|45|2000|1</t>
  </si>
  <si>
    <t>4|1|100000|1,4|2|720|1,1|14107|460|1,4|45|2000|1</t>
  </si>
  <si>
    <t>4|1|100000|1,4|2|740|1,1|14107|470|1,4|45|2000|1</t>
  </si>
  <si>
    <t>4|1|100000|1,4|2|760|1,1|14107|480|1,4|45|2000|1</t>
  </si>
  <si>
    <t>4|1|100000|1,4|2|780|1,1|14107|490|1,4|45|2000|1</t>
  </si>
  <si>
    <t>4|1|100000|1,4|2|800|1,1|14107|500|1,4|45|2000|1</t>
  </si>
  <si>
    <t>4|1|100000|1,4|2|820|1,1|14107|510|1,4|45|2000|1</t>
  </si>
  <si>
    <t>4|1|100000|1,4|2|840|1,1|14107|520|1,4|45|2000|1</t>
  </si>
  <si>
    <t>4|1|100000|1,4|2|860|1,1|14107|530|1,4|45|2000|1</t>
  </si>
  <si>
    <t>4|1|100000|1,4|2|880|1,1|14107|540|1,4|45|2000|1</t>
  </si>
  <si>
    <t>4|1|100000|1,4|2|900|1,1|14107|550|1,4|45|2000|1</t>
  </si>
  <si>
    <t>4|1|100000|1,4|2|920|1,1|14107|560|1,4|45|2000|1</t>
  </si>
  <si>
    <t>4|1|100000|1,4|2|940|1,1|14107|570|1,4|45|2000|1</t>
  </si>
  <si>
    <t>4|1|100000|1,4|2|960|1,1|14107|580|1,4|45|2000|1</t>
  </si>
  <si>
    <t>4|1|100000|1,4|2|980|1,1|14107|590|1,4|45|2000|1</t>
  </si>
  <si>
    <t>4|1|100000|1,4|2|1000|1,1|14107|600|1,4|45|2000|1</t>
  </si>
  <si>
    <t>4|1|100000|1,4|2|1000|1,1|14107|610|1,4|45|2000|1</t>
  </si>
  <si>
    <t>4|1|100000|1,4|2|1000|1,1|14107|620|1,4|45|2000|1</t>
  </si>
  <si>
    <t>4|1|100000|1,4|2|1000|1,1|14107|630|1,4|45|2000|1</t>
  </si>
  <si>
    <t>4|1|100000|1,4|2|1000|1,1|14107|640|1,4|45|2000|1</t>
  </si>
  <si>
    <t>4|1|100000|1,4|2|1000|1,1|14107|650|1,4|45|2000|1</t>
  </si>
  <si>
    <t>4|1|100000|1,4|2|1000|1,1|14107|660|1,4|45|2000|1</t>
  </si>
  <si>
    <t>4|1|100000|1,4|2|1000|1,1|14107|670|1,4|45|2000|1</t>
  </si>
  <si>
    <t>4|1|100000|1,4|2|1000|1,1|14107|680|1,4|45|2000|1</t>
  </si>
  <si>
    <t>4|1|100000|1,4|2|1000|1,1|14107|690|1,4|45|2000|1</t>
  </si>
  <si>
    <t>4|1|100000|1,4|2|1000|1,1|14107|700|1,4|45|2000|1</t>
  </si>
  <si>
    <t>4|1|100000|1,4|2|1000|1,1|14107|710|1,4|45|2000|1</t>
  </si>
  <si>
    <t>4|1|100000|1,4|2|1000|1,1|14107|720|1,4|45|2000|1</t>
  </si>
  <si>
    <t>4|1|100000|1,4|2|1000|1,1|14107|730|1,4|45|2000|1</t>
  </si>
  <si>
    <t>4|1|100000|1,4|2|1000|1,1|14107|740|1,4|45|2000|1</t>
  </si>
  <si>
    <t>4|1|100000|1,4|2|1000|1,1|14107|750|1,4|45|2000|1</t>
  </si>
  <si>
    <t>4|1|100000|1,4|2|1000|1,1|14107|760|1,4|45|2000|1</t>
  </si>
  <si>
    <t>4|1|100000|1,4|2|1000|1,1|14107|770|1,4|45|2000|1</t>
  </si>
  <si>
    <t>4|1|100000|1,4|2|1000|1,1|14107|780|1,4|45|2000|1</t>
  </si>
  <si>
    <t>4|1|100000|1,4|2|1000|1,1|14107|790|1,4|45|2000|1</t>
  </si>
  <si>
    <t>4|1|100000|1,4|2|1000|1,1|14107|800|1,4|45|2000|1</t>
  </si>
  <si>
    <t>4|1|100000,4|2|100,1|14107|100,4|45|1000</t>
  </si>
  <si>
    <t>4|1|100000,4|2|120,1|14107|125,4|45|1000</t>
  </si>
  <si>
    <t>4|1|100000,4|2|120,1|14107|125,4|45|1500</t>
  </si>
  <si>
    <t>4|1|100000,4|2|140,1|14107|150,4|45|1500</t>
  </si>
  <si>
    <t>4|1|100000,4|2|160,1|14107|175,4|45|1500</t>
  </si>
  <si>
    <t>4|1|100000,4|2|180,1|14107|190,4|45|1500</t>
  </si>
  <si>
    <t>4|1|100000,4|2|200,1|14107|200,4|45|1500</t>
  </si>
  <si>
    <t>4|1|100000,4|2|200,1|14107|200,4|45|2000</t>
  </si>
  <si>
    <t>4|1|100000,4|2|220,1|14107|210,4|45|2000</t>
  </si>
  <si>
    <t>4|1|100000,4|2|240,1|14107|220,4|45|2000</t>
  </si>
  <si>
    <t>4|1|100000,4|2|260,1|14107|230,4|45|2000</t>
  </si>
  <si>
    <t>4|1|100000,4|2|280,1|14107|240,4|45|2000</t>
  </si>
  <si>
    <t>4|1|100000,4|2|300,1|14107|250,4|45|2000</t>
  </si>
  <si>
    <t>4|1|100000,4|2|320,1|14107|260,4|45|2000</t>
  </si>
  <si>
    <t>4|1|100000,4|2|340,1|14107|270,4|45|2000</t>
  </si>
  <si>
    <t>4|1|100000,4|2|360,1|14107|280,4|45|2000</t>
  </si>
  <si>
    <t>4|1|100000,4|2|380,1|14107|290,4|45|2000</t>
  </si>
  <si>
    <t>4|1|100000,4|2|400,1|14107|300,4|45|2000</t>
  </si>
  <si>
    <t>4|1|100000,4|2|420,1|14107|310,4|45|2000</t>
  </si>
  <si>
    <t>4|1|100000,4|2|440,1|14107|320,4|45|2000</t>
  </si>
  <si>
    <t>4|1|100000,4|2|460,1|14107|330,4|45|2000</t>
  </si>
  <si>
    <t>4|1|100000,4|2|480,1|14107|340,4|45|2000</t>
  </si>
  <si>
    <t>4|1|100000,4|2|500,1|14107|350,4|45|2000</t>
  </si>
  <si>
    <t>4|1|100000,4|2|520,1|14107|360,4|45|2000</t>
  </si>
  <si>
    <t>4|1|100000,4|2|540,1|14107|370,4|45|2000</t>
  </si>
  <si>
    <t>4|1|100000,4|2|560,1|14107|380,4|45|2000</t>
  </si>
  <si>
    <t>4|1|100000,4|2|580,1|14107|390,4|45|2000</t>
  </si>
  <si>
    <t>4|1|100000,4|2|600,1|14107|400,4|45|2000</t>
  </si>
  <si>
    <t>4|1|100000,4|2|620,1|14107|410,4|45|2000</t>
  </si>
  <si>
    <t>4|1|100000,4|2|640,1|14107|420,4|45|2000</t>
  </si>
  <si>
    <t>4|1|100000,4|2|660,1|14107|430,4|45|2000</t>
  </si>
  <si>
    <t>4|1|100000,4|2|680,1|14107|440,4|45|2000</t>
  </si>
  <si>
    <t>4|1|100000,4|2|700,1|14107|450,4|45|2000</t>
  </si>
  <si>
    <t>4|1|100000,4|2|720,1|14107|460,4|45|2000</t>
  </si>
  <si>
    <t>4|1|100000,4|2|740,1|14107|470,4|45|2000</t>
  </si>
  <si>
    <t>4|1|100000,4|2|760,1|14107|480,4|45|2000</t>
  </si>
  <si>
    <t>4|1|100000,4|2|780,1|14107|490,4|45|2000</t>
  </si>
  <si>
    <t>4|1|100000,4|2|800,1|14107|500,4|45|2000</t>
  </si>
  <si>
    <t>4|1|100000,4|2|820,1|14107|510,4|45|2000</t>
  </si>
  <si>
    <t>4|1|100000,4|2|840,1|14107|520,4|45|2000</t>
  </si>
  <si>
    <t>4|1|100000,4|2|860,1|14107|530,4|45|2000</t>
  </si>
  <si>
    <t>4|1|100000,4|2|880,1|14107|540,4|45|2000</t>
  </si>
  <si>
    <t>4|1|100000,4|2|900,1|14107|550,4|45|2000</t>
  </si>
  <si>
    <t>4|1|100000,4|2|920,1|14107|560,4|45|2000</t>
  </si>
  <si>
    <t>4|1|100000,4|2|940,1|14107|570,4|45|2000</t>
  </si>
  <si>
    <t>4|1|100000,4|2|960,1|14107|580,4|45|2000</t>
  </si>
  <si>
    <t>4|1|100000,4|2|980,1|14107|590,4|45|2000</t>
  </si>
  <si>
    <t>4|1|100000,4|2|1000,1|14107|600,4|45|2000</t>
  </si>
  <si>
    <t>4|1|100000,4|2|1000,1|14107|610,4|45|2000</t>
  </si>
  <si>
    <t>4|1|100000,4|2|1000,1|14107|620,4|45|2000</t>
  </si>
  <si>
    <t>4|1|100000,4|2|1000,1|14107|630,4|45|2000</t>
  </si>
  <si>
    <t>4|1|100000,4|2|1000,1|14107|640,4|45|2000</t>
  </si>
  <si>
    <t>4|1|100000,4|2|1000,1|14107|650,4|45|2000</t>
  </si>
  <si>
    <t>4|1|100000,4|2|1000,1|14107|660,4|45|2000</t>
  </si>
  <si>
    <t>4|1|100000,4|2|1000,1|14107|670,4|45|2000</t>
  </si>
  <si>
    <t>4|1|100000,4|2|1000,1|14107|680,4|45|2000</t>
  </si>
  <si>
    <t>4|1|100000,4|2|1000,1|14107|690,4|45|2000</t>
  </si>
  <si>
    <t>4|1|100000,4|2|1000,1|14107|700,4|45|2000</t>
  </si>
  <si>
    <t>4|1|100000,4|2|1000,1|14107|710,4|45|2000</t>
  </si>
  <si>
    <t>4|1|100000,4|2|1000,1|14107|720,4|45|2000</t>
  </si>
  <si>
    <t>4|1|100000,4|2|1000,1|14107|730,4|45|2000</t>
  </si>
  <si>
    <t>4|1|100000,4|2|1000,1|14107|740,4|45|2000</t>
  </si>
  <si>
    <t>4|1|100000,4|2|1000,1|14107|750,4|45|2000</t>
  </si>
  <si>
    <t>4|1|100000,4|2|1000,1|14107|760,4|45|2000</t>
  </si>
  <si>
    <t>4|1|100000,4|2|1000,1|14107|770,4|45|2000</t>
  </si>
  <si>
    <t>4|1|100000,4|2|1000,1|14107|780,4|45|2000</t>
  </si>
  <si>
    <t>4|1|100000,4|2|1000,1|14107|790,4|45|2000</t>
  </si>
  <si>
    <t>4|1|100000,4|2|1000,1|14107|800,4|45|2000</t>
  </si>
  <si>
    <t>2|2045|1|1</t>
    <phoneticPr fontId="21" type="noConversion"/>
  </si>
  <si>
    <t>购买人数达到800即可领取</t>
    <phoneticPr fontId="21" type="noConversion"/>
  </si>
  <si>
    <t>1|14001|0,1|14322|9</t>
    <phoneticPr fontId="21" type="noConversion"/>
  </si>
  <si>
    <t>1|14001|0,1|14322|14</t>
    <phoneticPr fontId="21" type="noConversion"/>
  </si>
  <si>
    <t>1|14001|0,1|14322|20</t>
    <phoneticPr fontId="21" type="noConversion"/>
  </si>
  <si>
    <t>1|14001|0,1|14322|27</t>
    <phoneticPr fontId="21" type="noConversion"/>
  </si>
  <si>
    <t>1|14001|0,1|14322|35</t>
    <phoneticPr fontId="21" type="noConversion"/>
  </si>
  <si>
    <t>15体力-主角1级精英副本经验和金币奖励</t>
    <phoneticPr fontId="21" type="noConversion"/>
  </si>
  <si>
    <t>15体力-主角2级精英副本经验和金币奖励</t>
    <phoneticPr fontId="21" type="noConversion"/>
  </si>
  <si>
    <t>15体力-主角3级精英副本经验和金币奖励</t>
  </si>
  <si>
    <t>15体力-主角4级精英副本经验和金币奖励</t>
  </si>
  <si>
    <t>15体力-主角5级精英副本经验和金币奖励</t>
  </si>
  <si>
    <t>15体力-主角6级精英副本经验和金币奖励</t>
  </si>
  <si>
    <t>15体力-主角7级精英副本经验和金币奖励</t>
  </si>
  <si>
    <t>15体力-主角8级精英副本经验和金币奖励</t>
  </si>
  <si>
    <t>15体力-主角9级精英副本经验和金币奖励</t>
  </si>
  <si>
    <t>15体力-主角10级精英副本经验和金币奖励</t>
  </si>
  <si>
    <t>15体力-主角11级精英副本经验和金币奖励</t>
  </si>
  <si>
    <t>15体力-主角12级精英副本经验和金币奖励</t>
  </si>
  <si>
    <t>15体力-主角13级精英副本经验和金币奖励</t>
  </si>
  <si>
    <t>15体力-主角14级精英副本经验和金币奖励</t>
  </si>
  <si>
    <t>15体力-主角15级精英副本经验和金币奖励</t>
  </si>
  <si>
    <t>15体力-主角16级精英副本经验和金币奖励</t>
  </si>
  <si>
    <t>15体力-主角17级精英副本经验和金币奖励</t>
  </si>
  <si>
    <t>15体力-主角18级精英副本经验和金币奖励</t>
  </si>
  <si>
    <t>15体力-主角19级精英副本经验和金币奖励</t>
  </si>
  <si>
    <t>15体力-主角20级精英副本经验和金币奖励</t>
  </si>
  <si>
    <t>15体力-主角21级精英副本经验和金币奖励</t>
  </si>
  <si>
    <t>15体力-主角22级精英副本经验和金币奖励</t>
  </si>
  <si>
    <t>15体力-主角23级精英副本经验和金币奖励</t>
  </si>
  <si>
    <t>15体力-主角24级精英副本经验和金币奖励</t>
  </si>
  <si>
    <t>15体力-主角25级精英副本经验和金币奖励</t>
  </si>
  <si>
    <t>15体力-主角26级精英副本经验和金币奖励</t>
  </si>
  <si>
    <t>15体力-主角27级精英副本经验和金币奖励</t>
  </si>
  <si>
    <t>15体力-主角28级精英副本经验和金币奖励</t>
  </si>
  <si>
    <t>15体力-主角29级精英副本经验和金币奖励</t>
  </si>
  <si>
    <t>15体力-主角30级精英副本经验和金币奖励</t>
  </si>
  <si>
    <t>15体力-主角31级精英副本经验和金币奖励</t>
  </si>
  <si>
    <t>15体力-主角32级精英副本经验和金币奖励</t>
  </si>
  <si>
    <t>15体力-主角33级精英副本经验和金币奖励</t>
  </si>
  <si>
    <t>15体力-主角34级精英副本经验和金币奖励</t>
  </si>
  <si>
    <t>15体力-主角35级精英副本经验和金币奖励</t>
  </si>
  <si>
    <t>15体力-主角36级精英副本经验和金币奖励</t>
  </si>
  <si>
    <t>15体力-主角37级精英副本经验和金币奖励</t>
  </si>
  <si>
    <t>15体力-主角38级精英副本经验和金币奖励</t>
  </si>
  <si>
    <t>15体力-主角39级精英副本经验和金币奖励</t>
  </si>
  <si>
    <t>15体力-主角40级精英副本经验和金币奖励</t>
  </si>
  <si>
    <t>15体力-主角41级精英副本经验和金币奖励</t>
  </si>
  <si>
    <t>15体力-主角42级精英副本经验和金币奖励</t>
  </si>
  <si>
    <t>15体力-主角43级精英副本经验和金币奖励</t>
  </si>
  <si>
    <t>15体力-主角44级精英副本经验和金币奖励</t>
  </si>
  <si>
    <t>15体力-主角45级精英副本经验和金币奖励</t>
  </si>
  <si>
    <t>15体力-主角46级精英副本经验和金币奖励</t>
  </si>
  <si>
    <t>15体力-主角47级精英副本经验和金币奖励</t>
  </si>
  <si>
    <t>15体力-主角48级精英副本经验和金币奖励</t>
  </si>
  <si>
    <t>15体力-主角49级精英副本经验和金币奖励</t>
  </si>
  <si>
    <t>15体力-主角50级精英副本经验和金币奖励</t>
  </si>
  <si>
    <t>15体力-主角51级精英副本经验和金币奖励</t>
  </si>
  <si>
    <t>15体力-主角52级精英副本经验和金币奖励</t>
  </si>
  <si>
    <t>15体力-主角53级精英副本经验和金币奖励</t>
  </si>
  <si>
    <t>15体力-主角54级精英副本经验和金币奖励</t>
  </si>
  <si>
    <t>15体力-主角55级精英副本经验和金币奖励</t>
  </si>
  <si>
    <t>15体力-主角56级精英副本经验和金币奖励</t>
  </si>
  <si>
    <t>15体力-主角57级精英副本经验和金币奖励</t>
  </si>
  <si>
    <t>15体力-主角58级精英副本经验和金币奖励</t>
  </si>
  <si>
    <t>15体力-主角59级精英副本经验和金币奖励</t>
  </si>
  <si>
    <t>15体力-主角60级精英副本经验和金币奖励</t>
  </si>
  <si>
    <t>15体力-主角61级精英副本经验和金币奖励</t>
  </si>
  <si>
    <t>15体力-主角62级精英副本经验和金币奖励</t>
  </si>
  <si>
    <t>15体力-主角63级精英副本经验和金币奖励</t>
  </si>
  <si>
    <t>15体力-主角64级精英副本经验和金币奖励</t>
  </si>
  <si>
    <t>15体力-主角65级精英副本经验和金币奖励</t>
  </si>
  <si>
    <t>15体力-主角66级精英副本经验和金币奖励</t>
  </si>
  <si>
    <t>15体力-主角67级精英副本经验和金币奖励</t>
  </si>
  <si>
    <t>15体力-主角68级精英副本经验和金币奖励</t>
  </si>
  <si>
    <t>15体力-主角69级精英副本经验和金币奖励</t>
  </si>
  <si>
    <t>15体力-主角70级精英副本经验和金币奖励</t>
  </si>
  <si>
    <t>15体力-主角71级精英副本经验和金币奖励</t>
  </si>
  <si>
    <t>15体力-主角72级精英副本经验和金币奖励</t>
  </si>
  <si>
    <t>15体力-主角73级精英副本经验和金币奖励</t>
  </si>
  <si>
    <t>15体力-主角74级精英副本经验和金币奖励</t>
  </si>
  <si>
    <t>15体力-主角75级精英副本经验和金币奖励</t>
  </si>
  <si>
    <t>15体力-主角76级精英副本经验和金币奖励</t>
  </si>
  <si>
    <t>15体力-主角77级精英副本经验和金币奖励</t>
  </si>
  <si>
    <t>15体力-主角78级精英副本经验和金币奖励</t>
  </si>
  <si>
    <t>15体力-主角79级精英副本经验和金币奖励</t>
  </si>
  <si>
    <t>15体力-主角80级精英副本经验和金币奖励</t>
  </si>
  <si>
    <t>15体力-主角81级精英副本经验和金币奖励</t>
  </si>
  <si>
    <t>15体力-主角82级精英副本经验和金币奖励</t>
  </si>
  <si>
    <t>15体力-主角83级精英副本经验和金币奖励</t>
  </si>
  <si>
    <t>15体力-主角84级精英副本经验和金币奖励</t>
  </si>
  <si>
    <t>15体力-主角85级精英副本经验和金币奖励</t>
  </si>
  <si>
    <t>15体力-主角86级精英副本经验和金币奖励</t>
  </si>
  <si>
    <t>15体力-主角87级精英副本经验和金币奖励</t>
  </si>
  <si>
    <t>15体力-主角88级精英副本经验和金币奖励</t>
  </si>
  <si>
    <t>15体力-主角89级精英副本经验和金币奖励</t>
  </si>
  <si>
    <t>15体力-主角90级精英副本经验和金币奖励</t>
  </si>
  <si>
    <t>15体力-主角91级精英副本经验和金币奖励</t>
  </si>
  <si>
    <t>15体力-主角92级精英副本经验和金币奖励</t>
  </si>
  <si>
    <t>15体力-主角93级精英副本经验和金币奖励</t>
  </si>
  <si>
    <t>15体力-主角94级精英副本经验和金币奖励</t>
  </si>
  <si>
    <t>15体力-主角95级精英副本经验和金币奖励</t>
  </si>
  <si>
    <t>15体力-主角96级精英副本经验和金币奖励</t>
  </si>
  <si>
    <t>15体力-主角97级精英副本经验和金币奖励</t>
  </si>
  <si>
    <t>15体力-主角98级精英副本经验和金币奖励</t>
  </si>
  <si>
    <t>15体力-主角99级精英副本经验和金币奖励</t>
  </si>
  <si>
    <t>15体力-主角100级精英副本经验和金币奖励</t>
  </si>
  <si>
    <t>15体力-主角101级精英副本经验和金币奖励</t>
  </si>
  <si>
    <t>15体力-主角102级精英副本经验和金币奖励</t>
  </si>
  <si>
    <t>15体力-主角103级精英副本经验和金币奖励</t>
  </si>
  <si>
    <t>15体力-主角104级精英副本经验和金币奖励</t>
  </si>
  <si>
    <t>15体力-主角105级精英副本经验和金币奖励</t>
  </si>
  <si>
    <t>15体力-主角106级精英副本经验和金币奖励</t>
  </si>
  <si>
    <t>15体力-主角107级精英副本经验和金币奖励</t>
  </si>
  <si>
    <t>15体力-主角108级精英副本经验和金币奖励</t>
  </si>
  <si>
    <t>15体力-主角109级精英副本经验和金币奖励</t>
  </si>
  <si>
    <t>15体力-主角110级精英副本经验和金币奖励</t>
  </si>
  <si>
    <t>15体力-主角111级精英副本经验和金币奖励</t>
  </si>
  <si>
    <t>15体力-主角112级精英副本经验和金币奖励</t>
  </si>
  <si>
    <t>15体力-主角113级精英副本经验和金币奖励</t>
  </si>
  <si>
    <t>15体力-主角114级精英副本经验和金币奖励</t>
  </si>
  <si>
    <t>15体力-主角115级精英副本经验和金币奖励</t>
  </si>
  <si>
    <t>15体力-主角116级精英副本经验和金币奖励</t>
  </si>
  <si>
    <t>15体力-主角117级精英副本经验和金币奖励</t>
  </si>
  <si>
    <t>15体力-主角118级精英副本经验和金币奖励</t>
  </si>
  <si>
    <t>15体力-主角119级精英副本经验和金币奖励</t>
  </si>
  <si>
    <t>15体力-主角120级精英副本经验和金币奖励</t>
  </si>
  <si>
    <t>15体力-主角121级精英副本经验和金币奖励</t>
  </si>
  <si>
    <t>15体力-主角122级精英副本经验和金币奖励</t>
  </si>
  <si>
    <t>15体力-主角123级精英副本经验和金币奖励</t>
  </si>
  <si>
    <t>15体力-主角124级精英副本经验和金币奖励</t>
  </si>
  <si>
    <t>15体力-主角125级精英副本经验和金币奖励</t>
  </si>
  <si>
    <t>15体力-主角126级精英副本经验和金币奖励</t>
  </si>
  <si>
    <t>15体力-主角127级精英副本经验和金币奖励</t>
  </si>
  <si>
    <t>15体力-主角128级精英副本经验和金币奖励</t>
  </si>
  <si>
    <t>15体力-主角129级精英副本经验和金币奖励</t>
  </si>
  <si>
    <t>15体力-主角130级精英副本经验和金币奖励</t>
  </si>
  <si>
    <t>15体力-主角131级精英副本经验和金币奖励</t>
  </si>
  <si>
    <t>15体力-主角132级精英副本经验和金币奖励</t>
  </si>
  <si>
    <t>15体力-主角133级精英副本经验和金币奖励</t>
  </si>
  <si>
    <t>15体力-主角134级精英副本经验和金币奖励</t>
  </si>
  <si>
    <t>15体力-主角135级精英副本经验和金币奖励</t>
  </si>
  <si>
    <t>15体力-主角136级精英副本经验和金币奖励</t>
  </si>
  <si>
    <t>15体力-主角137级精英副本经验和金币奖励</t>
  </si>
  <si>
    <t>15体力-主角138级精英副本经验和金币奖励</t>
  </si>
  <si>
    <t>15体力-主角139级精英副本经验和金币奖励</t>
  </si>
  <si>
    <t>15体力-主角140级精英副本经验和金币奖励</t>
  </si>
  <si>
    <t>15体力-主角141级精英副本经验和金币奖励</t>
  </si>
  <si>
    <t>15体力-主角142级精英副本经验和金币奖励</t>
  </si>
  <si>
    <t>15体力-主角143级精英副本经验和金币奖励</t>
  </si>
  <si>
    <t>15体力-主角144级精英副本经验和金币奖励</t>
  </si>
  <si>
    <t>15体力-主角145级精英副本经验和金币奖励</t>
  </si>
  <si>
    <t>15体力-主角146级精英副本经验和金币奖励</t>
  </si>
  <si>
    <t>15体力-主角147级精英副本经验和金币奖励</t>
  </si>
  <si>
    <t>15体力-主角148级精英副本经验和金币奖励</t>
  </si>
  <si>
    <t>15体力-主角149级精英副本经验和金币奖励</t>
  </si>
  <si>
    <t>15体力-主角150级精英副本经验和金币奖励</t>
  </si>
  <si>
    <t>20体力-主角1级精英副本经验和金币奖励</t>
  </si>
  <si>
    <t>20体力-主角2级精英副本经验和金币奖励</t>
  </si>
  <si>
    <t>20体力-主角3级精英副本经验和金币奖励</t>
  </si>
  <si>
    <t>20体力-主角4级精英副本经验和金币奖励</t>
  </si>
  <si>
    <t>20体力-主角5级精英副本经验和金币奖励</t>
  </si>
  <si>
    <t>20体力-主角6级精英副本经验和金币奖励</t>
  </si>
  <si>
    <t>20体力-主角7级精英副本经验和金币奖励</t>
  </si>
  <si>
    <t>20体力-主角8级精英副本经验和金币奖励</t>
  </si>
  <si>
    <t>20体力-主角9级精英副本经验和金币奖励</t>
  </si>
  <si>
    <t>20体力-主角10级精英副本经验和金币奖励</t>
  </si>
  <si>
    <t>20体力-主角11级精英副本经验和金币奖励</t>
  </si>
  <si>
    <t>20体力-主角12级精英副本经验和金币奖励</t>
  </si>
  <si>
    <t>20体力-主角13级精英副本经验和金币奖励</t>
  </si>
  <si>
    <t>20体力-主角14级精英副本经验和金币奖励</t>
  </si>
  <si>
    <t>20体力-主角15级精英副本经验和金币奖励</t>
  </si>
  <si>
    <t>20体力-主角16级精英副本经验和金币奖励</t>
  </si>
  <si>
    <t>20体力-主角17级精英副本经验和金币奖励</t>
  </si>
  <si>
    <t>20体力-主角18级精英副本经验和金币奖励</t>
  </si>
  <si>
    <t>20体力-主角19级精英副本经验和金币奖励</t>
  </si>
  <si>
    <t>20体力-主角20级精英副本经验和金币奖励</t>
  </si>
  <si>
    <t>20体力-主角21级精英副本经验和金币奖励</t>
  </si>
  <si>
    <t>20体力-主角22级精英副本经验和金币奖励</t>
  </si>
  <si>
    <t>20体力-主角23级精英副本经验和金币奖励</t>
  </si>
  <si>
    <t>20体力-主角24级精英副本经验和金币奖励</t>
  </si>
  <si>
    <t>20体力-主角25级精英副本经验和金币奖励</t>
  </si>
  <si>
    <t>20体力-主角26级精英副本经验和金币奖励</t>
  </si>
  <si>
    <t>20体力-主角27级精英副本经验和金币奖励</t>
  </si>
  <si>
    <t>20体力-主角28级精英副本经验和金币奖励</t>
  </si>
  <si>
    <t>20体力-主角29级精英副本经验和金币奖励</t>
  </si>
  <si>
    <t>20体力-主角30级精英副本经验和金币奖励</t>
  </si>
  <si>
    <t>20体力-主角31级精英副本经验和金币奖励</t>
  </si>
  <si>
    <t>20体力-主角32级精英副本经验和金币奖励</t>
  </si>
  <si>
    <t>20体力-主角33级精英副本经验和金币奖励</t>
  </si>
  <si>
    <t>20体力-主角34级精英副本经验和金币奖励</t>
  </si>
  <si>
    <t>20体力-主角35级精英副本经验和金币奖励</t>
  </si>
  <si>
    <t>20体力-主角36级精英副本经验和金币奖励</t>
  </si>
  <si>
    <t>20体力-主角37级精英副本经验和金币奖励</t>
  </si>
  <si>
    <t>20体力-主角38级精英副本经验和金币奖励</t>
  </si>
  <si>
    <t>20体力-主角39级精英副本经验和金币奖励</t>
  </si>
  <si>
    <t>20体力-主角40级精英副本经验和金币奖励</t>
  </si>
  <si>
    <t>20体力-主角41级精英副本经验和金币奖励</t>
  </si>
  <si>
    <t>20体力-主角42级精英副本经验和金币奖励</t>
  </si>
  <si>
    <t>20体力-主角43级精英副本经验和金币奖励</t>
  </si>
  <si>
    <t>20体力-主角44级精英副本经验和金币奖励</t>
  </si>
  <si>
    <t>20体力-主角45级精英副本经验和金币奖励</t>
  </si>
  <si>
    <t>20体力-主角46级精英副本经验和金币奖励</t>
  </si>
  <si>
    <t>20体力-主角47级精英副本经验和金币奖励</t>
  </si>
  <si>
    <t>20体力-主角48级精英副本经验和金币奖励</t>
  </si>
  <si>
    <t>20体力-主角49级精英副本经验和金币奖励</t>
  </si>
  <si>
    <t>20体力-主角50级精英副本经验和金币奖励</t>
  </si>
  <si>
    <t>20体力-主角51级精英副本经验和金币奖励</t>
  </si>
  <si>
    <t>20体力-主角52级精英副本经验和金币奖励</t>
  </si>
  <si>
    <t>20体力-主角53级精英副本经验和金币奖励</t>
  </si>
  <si>
    <t>20体力-主角54级精英副本经验和金币奖励</t>
  </si>
  <si>
    <t>20体力-主角55级精英副本经验和金币奖励</t>
  </si>
  <si>
    <t>20体力-主角56级精英副本经验和金币奖励</t>
  </si>
  <si>
    <t>20体力-主角57级精英副本经验和金币奖励</t>
  </si>
  <si>
    <t>20体力-主角58级精英副本经验和金币奖励</t>
  </si>
  <si>
    <t>20体力-主角59级精英副本经验和金币奖励</t>
  </si>
  <si>
    <t>20体力-主角60级精英副本经验和金币奖励</t>
  </si>
  <si>
    <t>20体力-主角61级精英副本经验和金币奖励</t>
  </si>
  <si>
    <t>20体力-主角62级精英副本经验和金币奖励</t>
  </si>
  <si>
    <t>20体力-主角63级精英副本经验和金币奖励</t>
  </si>
  <si>
    <t>20体力-主角64级精英副本经验和金币奖励</t>
  </si>
  <si>
    <t>20体力-主角65级精英副本经验和金币奖励</t>
  </si>
  <si>
    <t>20体力-主角66级精英副本经验和金币奖励</t>
  </si>
  <si>
    <t>20体力-主角67级精英副本经验和金币奖励</t>
  </si>
  <si>
    <t>20体力-主角68级精英副本经验和金币奖励</t>
  </si>
  <si>
    <t>20体力-主角69级精英副本经验和金币奖励</t>
  </si>
  <si>
    <t>20体力-主角70级精英副本经验和金币奖励</t>
  </si>
  <si>
    <t>20体力-主角71级精英副本经验和金币奖励</t>
  </si>
  <si>
    <t>20体力-主角72级精英副本经验和金币奖励</t>
  </si>
  <si>
    <t>20体力-主角73级精英副本经验和金币奖励</t>
  </si>
  <si>
    <t>20体力-主角74级精英副本经验和金币奖励</t>
  </si>
  <si>
    <t>20体力-主角75级精英副本经验和金币奖励</t>
  </si>
  <si>
    <t>20体力-主角76级精英副本经验和金币奖励</t>
  </si>
  <si>
    <t>20体力-主角77级精英副本经验和金币奖励</t>
  </si>
  <si>
    <t>20体力-主角78级精英副本经验和金币奖励</t>
  </si>
  <si>
    <t>20体力-主角79级精英副本经验和金币奖励</t>
  </si>
  <si>
    <t>20体力-主角80级精英副本经验和金币奖励</t>
  </si>
  <si>
    <t>20体力-主角81级精英副本经验和金币奖励</t>
  </si>
  <si>
    <t>20体力-主角82级精英副本经验和金币奖励</t>
  </si>
  <si>
    <t>20体力-主角83级精英副本经验和金币奖励</t>
  </si>
  <si>
    <t>20体力-主角84级精英副本经验和金币奖励</t>
  </si>
  <si>
    <t>20体力-主角85级精英副本经验和金币奖励</t>
  </si>
  <si>
    <t>20体力-主角86级精英副本经验和金币奖励</t>
  </si>
  <si>
    <t>20体力-主角87级精英副本经验和金币奖励</t>
  </si>
  <si>
    <t>20体力-主角88级精英副本经验和金币奖励</t>
  </si>
  <si>
    <t>20体力-主角89级精英副本经验和金币奖励</t>
  </si>
  <si>
    <t>20体力-主角90级精英副本经验和金币奖励</t>
  </si>
  <si>
    <t>20体力-主角91级精英副本经验和金币奖励</t>
  </si>
  <si>
    <t>20体力-主角92级精英副本经验和金币奖励</t>
  </si>
  <si>
    <t>20体力-主角93级精英副本经验和金币奖励</t>
  </si>
  <si>
    <t>20体力-主角94级精英副本经验和金币奖励</t>
  </si>
  <si>
    <t>20体力-主角95级精英副本经验和金币奖励</t>
  </si>
  <si>
    <t>20体力-主角96级精英副本经验和金币奖励</t>
  </si>
  <si>
    <t>20体力-主角97级精英副本经验和金币奖励</t>
  </si>
  <si>
    <t>20体力-主角98级精英副本经验和金币奖励</t>
  </si>
  <si>
    <t>20体力-主角99级精英副本经验和金币奖励</t>
  </si>
  <si>
    <t>20体力-主角100级精英副本经验和金币奖励</t>
  </si>
  <si>
    <t>20体力-主角101级精英副本经验和金币奖励</t>
  </si>
  <si>
    <t>20体力-主角102级精英副本经验和金币奖励</t>
  </si>
  <si>
    <t>20体力-主角103级精英副本经验和金币奖励</t>
  </si>
  <si>
    <t>20体力-主角104级精英副本经验和金币奖励</t>
  </si>
  <si>
    <t>20体力-主角105级精英副本经验和金币奖励</t>
  </si>
  <si>
    <t>20体力-主角106级精英副本经验和金币奖励</t>
  </si>
  <si>
    <t>20体力-主角107级精英副本经验和金币奖励</t>
  </si>
  <si>
    <t>20体力-主角108级精英副本经验和金币奖励</t>
  </si>
  <si>
    <t>20体力-主角109级精英副本经验和金币奖励</t>
  </si>
  <si>
    <t>20体力-主角110级精英副本经验和金币奖励</t>
  </si>
  <si>
    <t>20体力-主角111级精英副本经验和金币奖励</t>
  </si>
  <si>
    <t>20体力-主角112级精英副本经验和金币奖励</t>
  </si>
  <si>
    <t>20体力-主角113级精英副本经验和金币奖励</t>
  </si>
  <si>
    <t>20体力-主角114级精英副本经验和金币奖励</t>
  </si>
  <si>
    <t>20体力-主角115级精英副本经验和金币奖励</t>
  </si>
  <si>
    <t>20体力-主角116级精英副本经验和金币奖励</t>
  </si>
  <si>
    <t>20体力-主角117级精英副本经验和金币奖励</t>
  </si>
  <si>
    <t>20体力-主角118级精英副本经验和金币奖励</t>
  </si>
  <si>
    <t>20体力-主角119级精英副本经验和金币奖励</t>
  </si>
  <si>
    <t>20体力-主角120级精英副本经验和金币奖励</t>
  </si>
  <si>
    <t>20体力-主角121级精英副本经验和金币奖励</t>
  </si>
  <si>
    <t>20体力-主角122级精英副本经验和金币奖励</t>
  </si>
  <si>
    <t>20体力-主角123级精英副本经验和金币奖励</t>
  </si>
  <si>
    <t>20体力-主角124级精英副本经验和金币奖励</t>
  </si>
  <si>
    <t>20体力-主角125级精英副本经验和金币奖励</t>
  </si>
  <si>
    <t>20体力-主角126级精英副本经验和金币奖励</t>
  </si>
  <si>
    <t>20体力-主角127级精英副本经验和金币奖励</t>
  </si>
  <si>
    <t>20体力-主角128级精英副本经验和金币奖励</t>
  </si>
  <si>
    <t>20体力-主角129级精英副本经验和金币奖励</t>
  </si>
  <si>
    <t>20体力-主角130级精英副本经验和金币奖励</t>
  </si>
  <si>
    <t>20体力-主角131级精英副本经验和金币奖励</t>
  </si>
  <si>
    <t>20体力-主角132级精英副本经验和金币奖励</t>
  </si>
  <si>
    <t>20体力-主角133级精英副本经验和金币奖励</t>
  </si>
  <si>
    <t>20体力-主角134级精英副本经验和金币奖励</t>
  </si>
  <si>
    <t>20体力-主角135级精英副本经验和金币奖励</t>
  </si>
  <si>
    <t>20体力-主角136级精英副本经验和金币奖励</t>
  </si>
  <si>
    <t>20体力-主角137级精英副本经验和金币奖励</t>
  </si>
  <si>
    <t>20体力-主角138级精英副本经验和金币奖励</t>
  </si>
  <si>
    <t>20体力-主角139级精英副本经验和金币奖励</t>
  </si>
  <si>
    <t>20体力-主角140级精英副本经验和金币奖励</t>
  </si>
  <si>
    <t>20体力-主角141级精英副本经验和金币奖励</t>
  </si>
  <si>
    <t>20体力-主角142级精英副本经验和金币奖励</t>
  </si>
  <si>
    <t>20体力-主角143级精英副本经验和金币奖励</t>
  </si>
  <si>
    <t>20体力-主角144级精英副本经验和金币奖励</t>
  </si>
  <si>
    <t>20体力-主角145级精英副本经验和金币奖励</t>
  </si>
  <si>
    <t>20体力-主角146级精英副本经验和金币奖励</t>
  </si>
  <si>
    <t>20体力-主角147级精英副本经验和金币奖励</t>
  </si>
  <si>
    <t>20体力-主角148级精英副本经验和金币奖励</t>
  </si>
  <si>
    <t>20体力-主角149级精英副本经验和金币奖励</t>
  </si>
  <si>
    <t>20体力-主角150级精英副本经验和金币奖励</t>
  </si>
  <si>
    <t>25体力-主角1级精英副本经验和金币奖励</t>
  </si>
  <si>
    <t>25体力-主角2级精英副本经验和金币奖励</t>
  </si>
  <si>
    <t>25体力-主角3级精英副本经验和金币奖励</t>
  </si>
  <si>
    <t>25体力-主角4级精英副本经验和金币奖励</t>
  </si>
  <si>
    <t>25体力-主角5级精英副本经验和金币奖励</t>
  </si>
  <si>
    <t>25体力-主角6级精英副本经验和金币奖励</t>
  </si>
  <si>
    <t>25体力-主角7级精英副本经验和金币奖励</t>
  </si>
  <si>
    <t>25体力-主角8级精英副本经验和金币奖励</t>
  </si>
  <si>
    <t>25体力-主角9级精英副本经验和金币奖励</t>
  </si>
  <si>
    <t>25体力-主角10级精英副本经验和金币奖励</t>
  </si>
  <si>
    <t>25体力-主角11级精英副本经验和金币奖励</t>
  </si>
  <si>
    <t>25体力-主角12级精英副本经验和金币奖励</t>
  </si>
  <si>
    <t>25体力-主角13级精英副本经验和金币奖励</t>
  </si>
  <si>
    <t>25体力-主角14级精英副本经验和金币奖励</t>
  </si>
  <si>
    <t>25体力-主角15级精英副本经验和金币奖励</t>
  </si>
  <si>
    <t>25体力-主角16级精英副本经验和金币奖励</t>
  </si>
  <si>
    <t>25体力-主角17级精英副本经验和金币奖励</t>
  </si>
  <si>
    <t>25体力-主角18级精英副本经验和金币奖励</t>
  </si>
  <si>
    <t>25体力-主角19级精英副本经验和金币奖励</t>
  </si>
  <si>
    <t>25体力-主角20级精英副本经验和金币奖励</t>
  </si>
  <si>
    <t>25体力-主角21级精英副本经验和金币奖励</t>
  </si>
  <si>
    <t>25体力-主角22级精英副本经验和金币奖励</t>
  </si>
  <si>
    <t>25体力-主角23级精英副本经验和金币奖励</t>
  </si>
  <si>
    <t>25体力-主角24级精英副本经验和金币奖励</t>
  </si>
  <si>
    <t>25体力-主角25级精英副本经验和金币奖励</t>
  </si>
  <si>
    <t>25体力-主角26级精英副本经验和金币奖励</t>
  </si>
  <si>
    <t>25体力-主角27级精英副本经验和金币奖励</t>
  </si>
  <si>
    <t>25体力-主角28级精英副本经验和金币奖励</t>
  </si>
  <si>
    <t>25体力-主角29级精英副本经验和金币奖励</t>
  </si>
  <si>
    <t>25体力-主角30级精英副本经验和金币奖励</t>
  </si>
  <si>
    <t>25体力-主角31级精英副本经验和金币奖励</t>
  </si>
  <si>
    <t>25体力-主角32级精英副本经验和金币奖励</t>
  </si>
  <si>
    <t>25体力-主角33级精英副本经验和金币奖励</t>
  </si>
  <si>
    <t>25体力-主角34级精英副本经验和金币奖励</t>
  </si>
  <si>
    <t>25体力-主角35级精英副本经验和金币奖励</t>
  </si>
  <si>
    <t>25体力-主角36级精英副本经验和金币奖励</t>
  </si>
  <si>
    <t>25体力-主角37级精英副本经验和金币奖励</t>
  </si>
  <si>
    <t>25体力-主角38级精英副本经验和金币奖励</t>
  </si>
  <si>
    <t>25体力-主角39级精英副本经验和金币奖励</t>
  </si>
  <si>
    <t>25体力-主角40级精英副本经验和金币奖励</t>
  </si>
  <si>
    <t>25体力-主角41级精英副本经验和金币奖励</t>
  </si>
  <si>
    <t>25体力-主角42级精英副本经验和金币奖励</t>
  </si>
  <si>
    <t>25体力-主角43级精英副本经验和金币奖励</t>
  </si>
  <si>
    <t>25体力-主角44级精英副本经验和金币奖励</t>
  </si>
  <si>
    <t>25体力-主角45级精英副本经验和金币奖励</t>
  </si>
  <si>
    <t>25体力-主角46级精英副本经验和金币奖励</t>
  </si>
  <si>
    <t>25体力-主角47级精英副本经验和金币奖励</t>
  </si>
  <si>
    <t>25体力-主角48级精英副本经验和金币奖励</t>
  </si>
  <si>
    <t>25体力-主角49级精英副本经验和金币奖励</t>
  </si>
  <si>
    <t>25体力-主角50级精英副本经验和金币奖励</t>
  </si>
  <si>
    <t>25体力-主角51级精英副本经验和金币奖励</t>
  </si>
  <si>
    <t>25体力-主角52级精英副本经验和金币奖励</t>
  </si>
  <si>
    <t>25体力-主角53级精英副本经验和金币奖励</t>
  </si>
  <si>
    <t>25体力-主角54级精英副本经验和金币奖励</t>
  </si>
  <si>
    <t>25体力-主角55级精英副本经验和金币奖励</t>
  </si>
  <si>
    <t>25体力-主角56级精英副本经验和金币奖励</t>
  </si>
  <si>
    <t>25体力-主角57级精英副本经验和金币奖励</t>
  </si>
  <si>
    <t>25体力-主角58级精英副本经验和金币奖励</t>
  </si>
  <si>
    <t>25体力-主角59级精英副本经验和金币奖励</t>
  </si>
  <si>
    <t>25体力-主角60级精英副本经验和金币奖励</t>
  </si>
  <si>
    <t>25体力-主角61级精英副本经验和金币奖励</t>
  </si>
  <si>
    <t>25体力-主角62级精英副本经验和金币奖励</t>
  </si>
  <si>
    <t>25体力-主角63级精英副本经验和金币奖励</t>
  </si>
  <si>
    <t>25体力-主角64级精英副本经验和金币奖励</t>
  </si>
  <si>
    <t>25体力-主角65级精英副本经验和金币奖励</t>
  </si>
  <si>
    <t>25体力-主角66级精英副本经验和金币奖励</t>
  </si>
  <si>
    <t>25体力-主角67级精英副本经验和金币奖励</t>
  </si>
  <si>
    <t>25体力-主角68级精英副本经验和金币奖励</t>
  </si>
  <si>
    <t>25体力-主角69级精英副本经验和金币奖励</t>
  </si>
  <si>
    <t>25体力-主角70级精英副本经验和金币奖励</t>
  </si>
  <si>
    <t>25体力-主角71级精英副本经验和金币奖励</t>
  </si>
  <si>
    <t>25体力-主角72级精英副本经验和金币奖励</t>
  </si>
  <si>
    <t>25体力-主角73级精英副本经验和金币奖励</t>
  </si>
  <si>
    <t>25体力-主角74级精英副本经验和金币奖励</t>
  </si>
  <si>
    <t>25体力-主角75级精英副本经验和金币奖励</t>
  </si>
  <si>
    <t>25体力-主角76级精英副本经验和金币奖励</t>
  </si>
  <si>
    <t>25体力-主角77级精英副本经验和金币奖励</t>
  </si>
  <si>
    <t>25体力-主角78级精英副本经验和金币奖励</t>
  </si>
  <si>
    <t>25体力-主角79级精英副本经验和金币奖励</t>
  </si>
  <si>
    <t>25体力-主角80级精英副本经验和金币奖励</t>
  </si>
  <si>
    <t>25体力-主角81级精英副本经验和金币奖励</t>
  </si>
  <si>
    <t>25体力-主角82级精英副本经验和金币奖励</t>
  </si>
  <si>
    <t>25体力-主角83级精英副本经验和金币奖励</t>
  </si>
  <si>
    <t>25体力-主角84级精英副本经验和金币奖励</t>
  </si>
  <si>
    <t>25体力-主角85级精英副本经验和金币奖励</t>
  </si>
  <si>
    <t>25体力-主角86级精英副本经验和金币奖励</t>
  </si>
  <si>
    <t>25体力-主角87级精英副本经验和金币奖励</t>
  </si>
  <si>
    <t>25体力-主角88级精英副本经验和金币奖励</t>
  </si>
  <si>
    <t>25体力-主角89级精英副本经验和金币奖励</t>
  </si>
  <si>
    <t>25体力-主角90级精英副本经验和金币奖励</t>
  </si>
  <si>
    <t>25体力-主角91级精英副本经验和金币奖励</t>
  </si>
  <si>
    <t>25体力-主角92级精英副本经验和金币奖励</t>
  </si>
  <si>
    <t>25体力-主角93级精英副本经验和金币奖励</t>
  </si>
  <si>
    <t>25体力-主角94级精英副本经验和金币奖励</t>
  </si>
  <si>
    <t>25体力-主角95级精英副本经验和金币奖励</t>
  </si>
  <si>
    <t>25体力-主角96级精英副本经验和金币奖励</t>
  </si>
  <si>
    <t>25体力-主角97级精英副本经验和金币奖励</t>
  </si>
  <si>
    <t>25体力-主角98级精英副本经验和金币奖励</t>
  </si>
  <si>
    <t>25体力-主角99级精英副本经验和金币奖励</t>
  </si>
  <si>
    <t>25体力-主角100级精英副本经验和金币奖励</t>
  </si>
  <si>
    <t>25体力-主角101级精英副本经验和金币奖励</t>
  </si>
  <si>
    <t>25体力-主角102级精英副本经验和金币奖励</t>
  </si>
  <si>
    <t>25体力-主角103级精英副本经验和金币奖励</t>
  </si>
  <si>
    <t>25体力-主角104级精英副本经验和金币奖励</t>
  </si>
  <si>
    <t>25体力-主角105级精英副本经验和金币奖励</t>
  </si>
  <si>
    <t>25体力-主角106级精英副本经验和金币奖励</t>
  </si>
  <si>
    <t>25体力-主角107级精英副本经验和金币奖励</t>
  </si>
  <si>
    <t>25体力-主角108级精英副本经验和金币奖励</t>
  </si>
  <si>
    <t>25体力-主角109级精英副本经验和金币奖励</t>
  </si>
  <si>
    <t>25体力-主角110级精英副本经验和金币奖励</t>
  </si>
  <si>
    <t>25体力-主角111级精英副本经验和金币奖励</t>
  </si>
  <si>
    <t>25体力-主角112级精英副本经验和金币奖励</t>
  </si>
  <si>
    <t>25体力-主角113级精英副本经验和金币奖励</t>
  </si>
  <si>
    <t>25体力-主角114级精英副本经验和金币奖励</t>
  </si>
  <si>
    <t>25体力-主角115级精英副本经验和金币奖励</t>
  </si>
  <si>
    <t>25体力-主角116级精英副本经验和金币奖励</t>
  </si>
  <si>
    <t>25体力-主角117级精英副本经验和金币奖励</t>
  </si>
  <si>
    <t>25体力-主角118级精英副本经验和金币奖励</t>
  </si>
  <si>
    <t>25体力-主角119级精英副本经验和金币奖励</t>
  </si>
  <si>
    <t>25体力-主角120级精英副本经验和金币奖励</t>
  </si>
  <si>
    <t>25体力-主角121级精英副本经验和金币奖励</t>
  </si>
  <si>
    <t>25体力-主角122级精英副本经验和金币奖励</t>
  </si>
  <si>
    <t>25体力-主角123级精英副本经验和金币奖励</t>
  </si>
  <si>
    <t>25体力-主角124级精英副本经验和金币奖励</t>
  </si>
  <si>
    <t>25体力-主角125级精英副本经验和金币奖励</t>
  </si>
  <si>
    <t>25体力-主角126级精英副本经验和金币奖励</t>
  </si>
  <si>
    <t>25体力-主角127级精英副本经验和金币奖励</t>
  </si>
  <si>
    <t>25体力-主角128级精英副本经验和金币奖励</t>
  </si>
  <si>
    <t>25体力-主角129级精英副本经验和金币奖励</t>
  </si>
  <si>
    <t>25体力-主角130级精英副本经验和金币奖励</t>
  </si>
  <si>
    <t>25体力-主角131级精英副本经验和金币奖励</t>
  </si>
  <si>
    <t>25体力-主角132级精英副本经验和金币奖励</t>
  </si>
  <si>
    <t>25体力-主角133级精英副本经验和金币奖励</t>
  </si>
  <si>
    <t>25体力-主角134级精英副本经验和金币奖励</t>
  </si>
  <si>
    <t>25体力-主角135级精英副本经验和金币奖励</t>
  </si>
  <si>
    <t>25体力-主角136级精英副本经验和金币奖励</t>
  </si>
  <si>
    <t>25体力-主角137级精英副本经验和金币奖励</t>
  </si>
  <si>
    <t>25体力-主角138级精英副本经验和金币奖励</t>
  </si>
  <si>
    <t>25体力-主角139级精英副本经验和金币奖励</t>
  </si>
  <si>
    <t>25体力-主角140级精英副本经验和金币奖励</t>
  </si>
  <si>
    <t>25体力-主角141级精英副本经验和金币奖励</t>
  </si>
  <si>
    <t>25体力-主角142级精英副本经验和金币奖励</t>
  </si>
  <si>
    <t>25体力-主角143级精英副本经验和金币奖励</t>
  </si>
  <si>
    <t>25体力-主角144级精英副本经验和金币奖励</t>
  </si>
  <si>
    <t>25体力-主角145级精英副本经验和金币奖励</t>
  </si>
  <si>
    <t>25体力-主角146级精英副本经验和金币奖励</t>
  </si>
  <si>
    <t>25体力-主角147级精英副本经验和金币奖励</t>
  </si>
  <si>
    <t>25体力-主角148级精英副本经验和金币奖励</t>
  </si>
  <si>
    <t>25体力-主角149级精英副本经验和金币奖励</t>
  </si>
  <si>
    <t>25体力-主角150级精英副本经验和金币奖励</t>
  </si>
  <si>
    <t>30体力-主角1级精英副本经验和金币奖励</t>
  </si>
  <si>
    <t>30体力-主角2级精英副本经验和金币奖励</t>
  </si>
  <si>
    <t>30体力-主角3级精英副本经验和金币奖励</t>
  </si>
  <si>
    <t>30体力-主角4级精英副本经验和金币奖励</t>
  </si>
  <si>
    <t>30体力-主角5级精英副本经验和金币奖励</t>
  </si>
  <si>
    <t>30体力-主角6级精英副本经验和金币奖励</t>
  </si>
  <si>
    <t>30体力-主角7级精英副本经验和金币奖励</t>
  </si>
  <si>
    <t>30体力-主角8级精英副本经验和金币奖励</t>
  </si>
  <si>
    <t>30体力-主角9级精英副本经验和金币奖励</t>
  </si>
  <si>
    <t>30体力-主角10级精英副本经验和金币奖励</t>
  </si>
  <si>
    <t>30体力-主角11级精英副本经验和金币奖励</t>
  </si>
  <si>
    <t>30体力-主角12级精英副本经验和金币奖励</t>
  </si>
  <si>
    <t>30体力-主角13级精英副本经验和金币奖励</t>
  </si>
  <si>
    <t>30体力-主角14级精英副本经验和金币奖励</t>
  </si>
  <si>
    <t>30体力-主角15级精英副本经验和金币奖励</t>
  </si>
  <si>
    <t>30体力-主角16级精英副本经验和金币奖励</t>
  </si>
  <si>
    <t>30体力-主角17级精英副本经验和金币奖励</t>
  </si>
  <si>
    <t>30体力-主角18级精英副本经验和金币奖励</t>
  </si>
  <si>
    <t>30体力-主角19级精英副本经验和金币奖励</t>
  </si>
  <si>
    <t>30体力-主角20级精英副本经验和金币奖励</t>
  </si>
  <si>
    <t>30体力-主角21级精英副本经验和金币奖励</t>
  </si>
  <si>
    <t>30体力-主角22级精英副本经验和金币奖励</t>
  </si>
  <si>
    <t>30体力-主角23级精英副本经验和金币奖励</t>
  </si>
  <si>
    <t>30体力-主角24级精英副本经验和金币奖励</t>
  </si>
  <si>
    <t>30体力-主角25级精英副本经验和金币奖励</t>
  </si>
  <si>
    <t>30体力-主角26级精英副本经验和金币奖励</t>
  </si>
  <si>
    <t>30体力-主角27级精英副本经验和金币奖励</t>
  </si>
  <si>
    <t>30体力-主角28级精英副本经验和金币奖励</t>
  </si>
  <si>
    <t>30体力-主角29级精英副本经验和金币奖励</t>
  </si>
  <si>
    <t>30体力-主角30级精英副本经验和金币奖励</t>
  </si>
  <si>
    <t>30体力-主角31级精英副本经验和金币奖励</t>
  </si>
  <si>
    <t>30体力-主角32级精英副本经验和金币奖励</t>
  </si>
  <si>
    <t>30体力-主角33级精英副本经验和金币奖励</t>
  </si>
  <si>
    <t>30体力-主角34级精英副本经验和金币奖励</t>
  </si>
  <si>
    <t>30体力-主角35级精英副本经验和金币奖励</t>
  </si>
  <si>
    <t>30体力-主角36级精英副本经验和金币奖励</t>
  </si>
  <si>
    <t>30体力-主角37级精英副本经验和金币奖励</t>
  </si>
  <si>
    <t>30体力-主角38级精英副本经验和金币奖励</t>
  </si>
  <si>
    <t>30体力-主角39级精英副本经验和金币奖励</t>
  </si>
  <si>
    <t>30体力-主角40级精英副本经验和金币奖励</t>
  </si>
  <si>
    <t>30体力-主角41级精英副本经验和金币奖励</t>
  </si>
  <si>
    <t>30体力-主角42级精英副本经验和金币奖励</t>
  </si>
  <si>
    <t>30体力-主角43级精英副本经验和金币奖励</t>
  </si>
  <si>
    <t>30体力-主角44级精英副本经验和金币奖励</t>
  </si>
  <si>
    <t>30体力-主角45级精英副本经验和金币奖励</t>
  </si>
  <si>
    <t>30体力-主角46级精英副本经验和金币奖励</t>
  </si>
  <si>
    <t>30体力-主角47级精英副本经验和金币奖励</t>
  </si>
  <si>
    <t>30体力-主角48级精英副本经验和金币奖励</t>
  </si>
  <si>
    <t>30体力-主角49级精英副本经验和金币奖励</t>
  </si>
  <si>
    <t>30体力-主角50级精英副本经验和金币奖励</t>
  </si>
  <si>
    <t>30体力-主角51级精英副本经验和金币奖励</t>
  </si>
  <si>
    <t>30体力-主角52级精英副本经验和金币奖励</t>
  </si>
  <si>
    <t>30体力-主角53级精英副本经验和金币奖励</t>
  </si>
  <si>
    <t>30体力-主角54级精英副本经验和金币奖励</t>
  </si>
  <si>
    <t>30体力-主角55级精英副本经验和金币奖励</t>
  </si>
  <si>
    <t>30体力-主角56级精英副本经验和金币奖励</t>
  </si>
  <si>
    <t>30体力-主角57级精英副本经验和金币奖励</t>
  </si>
  <si>
    <t>30体力-主角58级精英副本经验和金币奖励</t>
  </si>
  <si>
    <t>30体力-主角59级精英副本经验和金币奖励</t>
  </si>
  <si>
    <t>30体力-主角60级精英副本经验和金币奖励</t>
  </si>
  <si>
    <t>30体力-主角61级精英副本经验和金币奖励</t>
  </si>
  <si>
    <t>30体力-主角62级精英副本经验和金币奖励</t>
  </si>
  <si>
    <t>30体力-主角63级精英副本经验和金币奖励</t>
  </si>
  <si>
    <t>30体力-主角64级精英副本经验和金币奖励</t>
  </si>
  <si>
    <t>30体力-主角65级精英副本经验和金币奖励</t>
  </si>
  <si>
    <t>30体力-主角66级精英副本经验和金币奖励</t>
  </si>
  <si>
    <t>30体力-主角67级精英副本经验和金币奖励</t>
  </si>
  <si>
    <t>30体力-主角68级精英副本经验和金币奖励</t>
  </si>
  <si>
    <t>30体力-主角69级精英副本经验和金币奖励</t>
  </si>
  <si>
    <t>30体力-主角70级精英副本经验和金币奖励</t>
  </si>
  <si>
    <t>30体力-主角71级精英副本经验和金币奖励</t>
  </si>
  <si>
    <t>30体力-主角72级精英副本经验和金币奖励</t>
  </si>
  <si>
    <t>30体力-主角73级精英副本经验和金币奖励</t>
  </si>
  <si>
    <t>30体力-主角74级精英副本经验和金币奖励</t>
  </si>
  <si>
    <t>30体力-主角75级精英副本经验和金币奖励</t>
  </si>
  <si>
    <t>30体力-主角76级精英副本经验和金币奖励</t>
  </si>
  <si>
    <t>30体力-主角77级精英副本经验和金币奖励</t>
  </si>
  <si>
    <t>30体力-主角78级精英副本经验和金币奖励</t>
  </si>
  <si>
    <t>30体力-主角79级精英副本经验和金币奖励</t>
  </si>
  <si>
    <t>30体力-主角80级精英副本经验和金币奖励</t>
  </si>
  <si>
    <t>30体力-主角81级精英副本经验和金币奖励</t>
  </si>
  <si>
    <t>30体力-主角82级精英副本经验和金币奖励</t>
  </si>
  <si>
    <t>30体力-主角83级精英副本经验和金币奖励</t>
  </si>
  <si>
    <t>30体力-主角84级精英副本经验和金币奖励</t>
  </si>
  <si>
    <t>30体力-主角85级精英副本经验和金币奖励</t>
  </si>
  <si>
    <t>30体力-主角86级精英副本经验和金币奖励</t>
  </si>
  <si>
    <t>30体力-主角87级精英副本经验和金币奖励</t>
  </si>
  <si>
    <t>30体力-主角88级精英副本经验和金币奖励</t>
  </si>
  <si>
    <t>30体力-主角89级精英副本经验和金币奖励</t>
  </si>
  <si>
    <t>30体力-主角90级精英副本经验和金币奖励</t>
  </si>
  <si>
    <t>30体力-主角91级精英副本经验和金币奖励</t>
  </si>
  <si>
    <t>30体力-主角92级精英副本经验和金币奖励</t>
  </si>
  <si>
    <t>30体力-主角93级精英副本经验和金币奖励</t>
  </si>
  <si>
    <t>30体力-主角94级精英副本经验和金币奖励</t>
  </si>
  <si>
    <t>30体力-主角95级精英副本经验和金币奖励</t>
  </si>
  <si>
    <t>30体力-主角96级精英副本经验和金币奖励</t>
  </si>
  <si>
    <t>30体力-主角97级精英副本经验和金币奖励</t>
  </si>
  <si>
    <t>30体力-主角98级精英副本经验和金币奖励</t>
  </si>
  <si>
    <t>30体力-主角99级精英副本经验和金币奖励</t>
  </si>
  <si>
    <t>30体力-主角100级精英副本经验和金币奖励</t>
  </si>
  <si>
    <t>30体力-主角101级精英副本经验和金币奖励</t>
  </si>
  <si>
    <t>30体力-主角102级精英副本经验和金币奖励</t>
  </si>
  <si>
    <t>30体力-主角103级精英副本经验和金币奖励</t>
  </si>
  <si>
    <t>30体力-主角104级精英副本经验和金币奖励</t>
  </si>
  <si>
    <t>30体力-主角105级精英副本经验和金币奖励</t>
  </si>
  <si>
    <t>30体力-主角106级精英副本经验和金币奖励</t>
  </si>
  <si>
    <t>30体力-主角107级精英副本经验和金币奖励</t>
  </si>
  <si>
    <t>30体力-主角108级精英副本经验和金币奖励</t>
  </si>
  <si>
    <t>30体力-主角109级精英副本经验和金币奖励</t>
  </si>
  <si>
    <t>30体力-主角110级精英副本经验和金币奖励</t>
  </si>
  <si>
    <t>30体力-主角111级精英副本经验和金币奖励</t>
  </si>
  <si>
    <t>30体力-主角112级精英副本经验和金币奖励</t>
  </si>
  <si>
    <t>30体力-主角113级精英副本经验和金币奖励</t>
  </si>
  <si>
    <t>30体力-主角114级精英副本经验和金币奖励</t>
  </si>
  <si>
    <t>30体力-主角115级精英副本经验和金币奖励</t>
  </si>
  <si>
    <t>30体力-主角116级精英副本经验和金币奖励</t>
  </si>
  <si>
    <t>30体力-主角117级精英副本经验和金币奖励</t>
  </si>
  <si>
    <t>30体力-主角118级精英副本经验和金币奖励</t>
  </si>
  <si>
    <t>30体力-主角119级精英副本经验和金币奖励</t>
  </si>
  <si>
    <t>30体力-主角120级精英副本经验和金币奖励</t>
  </si>
  <si>
    <t>30体力-主角121级精英副本经验和金币奖励</t>
  </si>
  <si>
    <t>30体力-主角122级精英副本经验和金币奖励</t>
  </si>
  <si>
    <t>30体力-主角123级精英副本经验和金币奖励</t>
  </si>
  <si>
    <t>30体力-主角124级精英副本经验和金币奖励</t>
  </si>
  <si>
    <t>30体力-主角125级精英副本经验和金币奖励</t>
  </si>
  <si>
    <t>30体力-主角126级精英副本经验和金币奖励</t>
  </si>
  <si>
    <t>30体力-主角127级精英副本经验和金币奖励</t>
  </si>
  <si>
    <t>30体力-主角128级精英副本经验和金币奖励</t>
  </si>
  <si>
    <t>30体力-主角129级精英副本经验和金币奖励</t>
  </si>
  <si>
    <t>30体力-主角130级精英副本经验和金币奖励</t>
  </si>
  <si>
    <t>30体力-主角131级精英副本经验和金币奖励</t>
  </si>
  <si>
    <t>30体力-主角132级精英副本经验和金币奖励</t>
  </si>
  <si>
    <t>30体力-主角133级精英副本经验和金币奖励</t>
  </si>
  <si>
    <t>30体力-主角134级精英副本经验和金币奖励</t>
  </si>
  <si>
    <t>30体力-主角135级精英副本经验和金币奖励</t>
  </si>
  <si>
    <t>30体力-主角136级精英副本经验和金币奖励</t>
  </si>
  <si>
    <t>30体力-主角137级精英副本经验和金币奖励</t>
  </si>
  <si>
    <t>30体力-主角138级精英副本经验和金币奖励</t>
  </si>
  <si>
    <t>30体力-主角139级精英副本经验和金币奖励</t>
  </si>
  <si>
    <t>30体力-主角140级精英副本经验和金币奖励</t>
  </si>
  <si>
    <t>30体力-主角141级精英副本经验和金币奖励</t>
  </si>
  <si>
    <t>30体力-主角142级精英副本经验和金币奖励</t>
  </si>
  <si>
    <t>30体力-主角143级精英副本经验和金币奖励</t>
  </si>
  <si>
    <t>30体力-主角144级精英副本经验和金币奖励</t>
  </si>
  <si>
    <t>30体力-主角145级精英副本经验和金币奖励</t>
  </si>
  <si>
    <t>30体力-主角146级精英副本经验和金币奖励</t>
  </si>
  <si>
    <t>30体力-主角147级精英副本经验和金币奖励</t>
  </si>
  <si>
    <t>30体力-主角148级精英副本经验和金币奖励</t>
  </si>
  <si>
    <t>30体力-主角149级精英副本经验和金币奖励</t>
  </si>
  <si>
    <t>30体力-主角150级精英副本经验和金币奖励</t>
  </si>
  <si>
    <t>35体力-主角1级精英副本经验和金币奖励</t>
  </si>
  <si>
    <t>35体力-主角2级精英副本经验和金币奖励</t>
  </si>
  <si>
    <t>35体力-主角3级精英副本经验和金币奖励</t>
  </si>
  <si>
    <t>35体力-主角4级精英副本经验和金币奖励</t>
  </si>
  <si>
    <t>35体力-主角5级精英副本经验和金币奖励</t>
  </si>
  <si>
    <t>35体力-主角6级精英副本经验和金币奖励</t>
  </si>
  <si>
    <t>35体力-主角7级精英副本经验和金币奖励</t>
  </si>
  <si>
    <t>35体力-主角8级精英副本经验和金币奖励</t>
  </si>
  <si>
    <t>35体力-主角9级精英副本经验和金币奖励</t>
  </si>
  <si>
    <t>35体力-主角10级精英副本经验和金币奖励</t>
  </si>
  <si>
    <t>35体力-主角11级精英副本经验和金币奖励</t>
  </si>
  <si>
    <t>35体力-主角12级精英副本经验和金币奖励</t>
  </si>
  <si>
    <t>35体力-主角13级精英副本经验和金币奖励</t>
  </si>
  <si>
    <t>35体力-主角14级精英副本经验和金币奖励</t>
  </si>
  <si>
    <t>35体力-主角15级精英副本经验和金币奖励</t>
  </si>
  <si>
    <t>35体力-主角16级精英副本经验和金币奖励</t>
  </si>
  <si>
    <t>35体力-主角17级精英副本经验和金币奖励</t>
  </si>
  <si>
    <t>35体力-主角18级精英副本经验和金币奖励</t>
  </si>
  <si>
    <t>35体力-主角19级精英副本经验和金币奖励</t>
  </si>
  <si>
    <t>35体力-主角20级精英副本经验和金币奖励</t>
  </si>
  <si>
    <t>35体力-主角21级精英副本经验和金币奖励</t>
  </si>
  <si>
    <t>35体力-主角22级精英副本经验和金币奖励</t>
  </si>
  <si>
    <t>35体力-主角23级精英副本经验和金币奖励</t>
  </si>
  <si>
    <t>35体力-主角24级精英副本经验和金币奖励</t>
  </si>
  <si>
    <t>35体力-主角25级精英副本经验和金币奖励</t>
  </si>
  <si>
    <t>35体力-主角26级精英副本经验和金币奖励</t>
  </si>
  <si>
    <t>35体力-主角27级精英副本经验和金币奖励</t>
  </si>
  <si>
    <t>35体力-主角28级精英副本经验和金币奖励</t>
  </si>
  <si>
    <t>35体力-主角29级精英副本经验和金币奖励</t>
  </si>
  <si>
    <t>35体力-主角30级精英副本经验和金币奖励</t>
  </si>
  <si>
    <t>35体力-主角31级精英副本经验和金币奖励</t>
  </si>
  <si>
    <t>35体力-主角32级精英副本经验和金币奖励</t>
  </si>
  <si>
    <t>35体力-主角33级精英副本经验和金币奖励</t>
  </si>
  <si>
    <t>35体力-主角34级精英副本经验和金币奖励</t>
  </si>
  <si>
    <t>35体力-主角35级精英副本经验和金币奖励</t>
  </si>
  <si>
    <t>35体力-主角36级精英副本经验和金币奖励</t>
  </si>
  <si>
    <t>35体力-主角37级精英副本经验和金币奖励</t>
  </si>
  <si>
    <t>35体力-主角38级精英副本经验和金币奖励</t>
  </si>
  <si>
    <t>35体力-主角39级精英副本经验和金币奖励</t>
  </si>
  <si>
    <t>35体力-主角40级精英副本经验和金币奖励</t>
  </si>
  <si>
    <t>35体力-主角41级精英副本经验和金币奖励</t>
  </si>
  <si>
    <t>35体力-主角42级精英副本经验和金币奖励</t>
  </si>
  <si>
    <t>35体力-主角43级精英副本经验和金币奖励</t>
  </si>
  <si>
    <t>35体力-主角44级精英副本经验和金币奖励</t>
  </si>
  <si>
    <t>35体力-主角45级精英副本经验和金币奖励</t>
  </si>
  <si>
    <t>35体力-主角46级精英副本经验和金币奖励</t>
  </si>
  <si>
    <t>35体力-主角47级精英副本经验和金币奖励</t>
  </si>
  <si>
    <t>35体力-主角48级精英副本经验和金币奖励</t>
  </si>
  <si>
    <t>35体力-主角49级精英副本经验和金币奖励</t>
  </si>
  <si>
    <t>35体力-主角50级精英副本经验和金币奖励</t>
  </si>
  <si>
    <t>35体力-主角51级精英副本经验和金币奖励</t>
  </si>
  <si>
    <t>35体力-主角52级精英副本经验和金币奖励</t>
  </si>
  <si>
    <t>35体力-主角53级精英副本经验和金币奖励</t>
  </si>
  <si>
    <t>35体力-主角54级精英副本经验和金币奖励</t>
  </si>
  <si>
    <t>35体力-主角55级精英副本经验和金币奖励</t>
  </si>
  <si>
    <t>35体力-主角56级精英副本经验和金币奖励</t>
  </si>
  <si>
    <t>35体力-主角57级精英副本经验和金币奖励</t>
  </si>
  <si>
    <t>35体力-主角58级精英副本经验和金币奖励</t>
  </si>
  <si>
    <t>35体力-主角59级精英副本经验和金币奖励</t>
  </si>
  <si>
    <t>35体力-主角60级精英副本经验和金币奖励</t>
  </si>
  <si>
    <t>35体力-主角61级精英副本经验和金币奖励</t>
  </si>
  <si>
    <t>35体力-主角62级精英副本经验和金币奖励</t>
  </si>
  <si>
    <t>35体力-主角63级精英副本经验和金币奖励</t>
  </si>
  <si>
    <t>35体力-主角64级精英副本经验和金币奖励</t>
  </si>
  <si>
    <t>35体力-主角65级精英副本经验和金币奖励</t>
  </si>
  <si>
    <t>35体力-主角66级精英副本经验和金币奖励</t>
  </si>
  <si>
    <t>35体力-主角67级精英副本经验和金币奖励</t>
  </si>
  <si>
    <t>35体力-主角68级精英副本经验和金币奖励</t>
  </si>
  <si>
    <t>35体力-主角69级精英副本经验和金币奖励</t>
  </si>
  <si>
    <t>35体力-主角70级精英副本经验和金币奖励</t>
  </si>
  <si>
    <t>35体力-主角71级精英副本经验和金币奖励</t>
  </si>
  <si>
    <t>35体力-主角72级精英副本经验和金币奖励</t>
  </si>
  <si>
    <t>35体力-主角73级精英副本经验和金币奖励</t>
  </si>
  <si>
    <t>35体力-主角74级精英副本经验和金币奖励</t>
  </si>
  <si>
    <t>35体力-主角75级精英副本经验和金币奖励</t>
  </si>
  <si>
    <t>35体力-主角76级精英副本经验和金币奖励</t>
  </si>
  <si>
    <t>35体力-主角77级精英副本经验和金币奖励</t>
  </si>
  <si>
    <t>35体力-主角78级精英副本经验和金币奖励</t>
  </si>
  <si>
    <t>35体力-主角79级精英副本经验和金币奖励</t>
  </si>
  <si>
    <t>35体力-主角80级精英副本经验和金币奖励</t>
  </si>
  <si>
    <t>35体力-主角81级精英副本经验和金币奖励</t>
  </si>
  <si>
    <t>35体力-主角82级精英副本经验和金币奖励</t>
  </si>
  <si>
    <t>35体力-主角83级精英副本经验和金币奖励</t>
  </si>
  <si>
    <t>35体力-主角84级精英副本经验和金币奖励</t>
  </si>
  <si>
    <t>35体力-主角85级精英副本经验和金币奖励</t>
  </si>
  <si>
    <t>35体力-主角86级精英副本经验和金币奖励</t>
  </si>
  <si>
    <t>35体力-主角87级精英副本经验和金币奖励</t>
  </si>
  <si>
    <t>35体力-主角88级精英副本经验和金币奖励</t>
  </si>
  <si>
    <t>35体力-主角89级精英副本经验和金币奖励</t>
  </si>
  <si>
    <t>35体力-主角90级精英副本经验和金币奖励</t>
  </si>
  <si>
    <t>35体力-主角91级精英副本经验和金币奖励</t>
  </si>
  <si>
    <t>35体力-主角92级精英副本经验和金币奖励</t>
  </si>
  <si>
    <t>35体力-主角93级精英副本经验和金币奖励</t>
  </si>
  <si>
    <t>35体力-主角94级精英副本经验和金币奖励</t>
  </si>
  <si>
    <t>35体力-主角95级精英副本经验和金币奖励</t>
  </si>
  <si>
    <t>35体力-主角96级精英副本经验和金币奖励</t>
  </si>
  <si>
    <t>35体力-主角97级精英副本经验和金币奖励</t>
  </si>
  <si>
    <t>35体力-主角98级精英副本经验和金币奖励</t>
  </si>
  <si>
    <t>35体力-主角99级精英副本经验和金币奖励</t>
  </si>
  <si>
    <t>35体力-主角100级精英副本经验和金币奖励</t>
  </si>
  <si>
    <t>35体力-主角101级精英副本经验和金币奖励</t>
  </si>
  <si>
    <t>35体力-主角102级精英副本经验和金币奖励</t>
  </si>
  <si>
    <t>35体力-主角103级精英副本经验和金币奖励</t>
  </si>
  <si>
    <t>35体力-主角104级精英副本经验和金币奖励</t>
  </si>
  <si>
    <t>35体力-主角105级精英副本经验和金币奖励</t>
  </si>
  <si>
    <t>35体力-主角106级精英副本经验和金币奖励</t>
  </si>
  <si>
    <t>35体力-主角107级精英副本经验和金币奖励</t>
  </si>
  <si>
    <t>35体力-主角108级精英副本经验和金币奖励</t>
  </si>
  <si>
    <t>35体力-主角109级精英副本经验和金币奖励</t>
  </si>
  <si>
    <t>35体力-主角110级精英副本经验和金币奖励</t>
  </si>
  <si>
    <t>35体力-主角111级精英副本经验和金币奖励</t>
  </si>
  <si>
    <t>35体力-主角112级精英副本经验和金币奖励</t>
  </si>
  <si>
    <t>35体力-主角113级精英副本经验和金币奖励</t>
  </si>
  <si>
    <t>35体力-主角114级精英副本经验和金币奖励</t>
  </si>
  <si>
    <t>35体力-主角115级精英副本经验和金币奖励</t>
  </si>
  <si>
    <t>35体力-主角116级精英副本经验和金币奖励</t>
  </si>
  <si>
    <t>35体力-主角117级精英副本经验和金币奖励</t>
  </si>
  <si>
    <t>35体力-主角118级精英副本经验和金币奖励</t>
  </si>
  <si>
    <t>35体力-主角119级精英副本经验和金币奖励</t>
  </si>
  <si>
    <t>35体力-主角120级精英副本经验和金币奖励</t>
  </si>
  <si>
    <t>35体力-主角121级精英副本经验和金币奖励</t>
  </si>
  <si>
    <t>35体力-主角122级精英副本经验和金币奖励</t>
  </si>
  <si>
    <t>35体力-主角123级精英副本经验和金币奖励</t>
  </si>
  <si>
    <t>35体力-主角124级精英副本经验和金币奖励</t>
  </si>
  <si>
    <t>35体力-主角125级精英副本经验和金币奖励</t>
  </si>
  <si>
    <t>35体力-主角126级精英副本经验和金币奖励</t>
  </si>
  <si>
    <t>35体力-主角127级精英副本经验和金币奖励</t>
  </si>
  <si>
    <t>35体力-主角128级精英副本经验和金币奖励</t>
  </si>
  <si>
    <t>35体力-主角129级精英副本经验和金币奖励</t>
  </si>
  <si>
    <t>35体力-主角130级精英副本经验和金币奖励</t>
  </si>
  <si>
    <t>35体力-主角131级精英副本经验和金币奖励</t>
  </si>
  <si>
    <t>35体力-主角132级精英副本经验和金币奖励</t>
  </si>
  <si>
    <t>35体力-主角133级精英副本经验和金币奖励</t>
  </si>
  <si>
    <t>35体力-主角134级精英副本经验和金币奖励</t>
  </si>
  <si>
    <t>35体力-主角135级精英副本经验和金币奖励</t>
  </si>
  <si>
    <t>35体力-主角136级精英副本经验和金币奖励</t>
  </si>
  <si>
    <t>35体力-主角137级精英副本经验和金币奖励</t>
  </si>
  <si>
    <t>35体力-主角138级精英副本经验和金币奖励</t>
  </si>
  <si>
    <t>35体力-主角139级精英副本经验和金币奖励</t>
  </si>
  <si>
    <t>35体力-主角140级精英副本经验和金币奖励</t>
  </si>
  <si>
    <t>35体力-主角141级精英副本经验和金币奖励</t>
  </si>
  <si>
    <t>35体力-主角142级精英副本经验和金币奖励</t>
  </si>
  <si>
    <t>35体力-主角143级精英副本经验和金币奖励</t>
  </si>
  <si>
    <t>35体力-主角144级精英副本经验和金币奖励</t>
  </si>
  <si>
    <t>35体力-主角145级精英副本经验和金币奖励</t>
  </si>
  <si>
    <t>35体力-主角146级精英副本经验和金币奖励</t>
  </si>
  <si>
    <t>35体力-主角147级精英副本经验和金币奖励</t>
  </si>
  <si>
    <t>35体力-主角148级精英副本经验和金币奖励</t>
  </si>
  <si>
    <t>35体力-主角149级精英副本经验和金币奖励</t>
  </si>
  <si>
    <t>35体力-主角150级精英副本经验和金币奖励</t>
  </si>
  <si>
    <t>4|10|1610|1,4|1|6440|1</t>
  </si>
  <si>
    <t>4|10|1750|1,4|1|7000|1</t>
  </si>
  <si>
    <t>4|10|1890|1,4|1|7560|1</t>
  </si>
  <si>
    <t>4|10|2030|1,4|1|8120|1</t>
  </si>
  <si>
    <t>4|10|2170|1,4|1|8680|1</t>
  </si>
  <si>
    <t>4|10|2310|1,4|1|9240|1</t>
  </si>
  <si>
    <t>4|10|2450|1,4|1|9800|1</t>
  </si>
  <si>
    <t>4|10|2590|1,4|1|10360|1</t>
  </si>
  <si>
    <t>4|10|2730|1,4|1|10920|1</t>
  </si>
  <si>
    <t>4|10|2870|1,4|1|11480|1</t>
  </si>
  <si>
    <t>4|10|3010|1,4|1|12040|1</t>
  </si>
  <si>
    <t>4|10|3080|1,4|1|12320|1</t>
  </si>
  <si>
    <t>4|10|3150|1,4|1|12600|1</t>
  </si>
  <si>
    <t>4|10|3220|1,4|1|12880|1</t>
  </si>
  <si>
    <t>4|10|3290|1,4|1|13160|1</t>
  </si>
  <si>
    <t>4|10|3360|1,4|1|13440|1</t>
  </si>
  <si>
    <t>4|10|3430|1,4|1|13720|1</t>
  </si>
  <si>
    <t>4|10|3500|1,4|1|14000|1</t>
  </si>
  <si>
    <t>4|10|3570|1,4|1|14280|1</t>
  </si>
  <si>
    <t>4|10|3640|1,4|1|14560|1</t>
  </si>
  <si>
    <t>4|10|3710|1,4|1|14840|1</t>
  </si>
  <si>
    <t>4|10|3780|1,4|1|15120|1</t>
  </si>
  <si>
    <t>4|10|3850|1,4|1|15400|1</t>
  </si>
  <si>
    <t>4|10|3920|1,4|1|15680|1</t>
  </si>
  <si>
    <t>4|10|3990|1,4|1|15960|1</t>
  </si>
  <si>
    <t>4|10|4060|1,4|1|16240|1</t>
  </si>
  <si>
    <t>4|10|4130|1,4|1|16520|1</t>
  </si>
  <si>
    <t>4|10|4200|1,4|1|16800|1</t>
  </si>
  <si>
    <t>4|10|4270|1,4|1|17080|1</t>
  </si>
  <si>
    <t>4|10|4340|1,4|1|17360|1</t>
  </si>
  <si>
    <t>4|10|4410|1,4|1|17640|1</t>
  </si>
  <si>
    <t>4|10|4480|1,4|1|17920|1</t>
  </si>
  <si>
    <t>4|10|4550|1,4|1|18200|1</t>
  </si>
  <si>
    <t>4|10|4620|1,4|1|18480|1</t>
  </si>
  <si>
    <t>4|10|4690|1,4|1|18760|1</t>
  </si>
  <si>
    <t>4|10|4760|1,4|1|19040|1</t>
  </si>
  <si>
    <t>4|10|4830|1,4|1|19320|1</t>
  </si>
  <si>
    <t>4|10|4900|1,4|1|19600|1</t>
  </si>
  <si>
    <t>4|10|4970|1,4|1|19880|1</t>
  </si>
  <si>
    <t>4|10|5040|1,4|1|20160|1</t>
  </si>
  <si>
    <t>4|10|5110|1,4|1|20440|1</t>
  </si>
  <si>
    <t>4|10|5180|1,4|1|20720|1</t>
  </si>
  <si>
    <t>4|10|5250|1,4|1|21000|1</t>
  </si>
  <si>
    <t>4|10|5320|1,4|1|21280|1</t>
  </si>
  <si>
    <t>4|10|5390|1,4|1|21560|1</t>
  </si>
  <si>
    <t>4|10|5460|1,4|1|21840|1</t>
  </si>
  <si>
    <t>4|10|5530|1,4|1|22120|1</t>
  </si>
  <si>
    <t>4|10|5600|1,4|1|22400|1</t>
  </si>
  <si>
    <t>4|10|5670|1,4|1|22680|1</t>
  </si>
  <si>
    <t>4|10|5740|1,4|1|22960|1</t>
  </si>
  <si>
    <t>4|10|5810|1,4|1|23240|1</t>
  </si>
  <si>
    <t>4|10|5880|1,4|1|23520|1</t>
  </si>
  <si>
    <t>4|10|5950|1,4|1|23800|1</t>
  </si>
  <si>
    <t>4|10|6020|1,4|1|24080|1</t>
  </si>
  <si>
    <t>4|10|6090|1,4|1|24360|1</t>
  </si>
  <si>
    <t>4|10|6160|1,4|1|24640|1</t>
  </si>
  <si>
    <t>4|10|6230|1,4|1|24920|1</t>
  </si>
  <si>
    <t>4|10|6300|1,4|1|25200|1</t>
  </si>
  <si>
    <t>4|10|6370|1,4|1|25480|1</t>
  </si>
  <si>
    <t>4|10|6440|1,4|1|25760|1</t>
  </si>
  <si>
    <t>4|10|6510|1,4|1|26040|1</t>
  </si>
  <si>
    <t>4|10|6580|1,4|1|26320|1</t>
  </si>
  <si>
    <t>4|10|6650|1,4|1|26600|1</t>
  </si>
  <si>
    <t>4|10|6720|1,4|1|26880|1</t>
  </si>
  <si>
    <t>4|10|6790|1,4|1|27160|1</t>
  </si>
  <si>
    <t>4|10|6860|1,4|1|27440|1</t>
  </si>
  <si>
    <t>4|10|6930|1,4|1|27720|1</t>
  </si>
  <si>
    <t>4|10|7000|1,4|1|28000|1</t>
  </si>
  <si>
    <t>4|10|7070|1,4|1|28280|1</t>
  </si>
  <si>
    <t>4|10|7140|1,4|1|28560|1</t>
  </si>
  <si>
    <t>4|10|7210|1,4|1|28840|1</t>
  </si>
  <si>
    <t>4|10|7280|1,4|1|29120|1</t>
  </si>
  <si>
    <t>4|10|7350|1,4|1|29400|1</t>
  </si>
  <si>
    <t>4|10|7420|1,4|1|29680|1</t>
  </si>
  <si>
    <t>4|10|7490|1,4|1|29960|1</t>
  </si>
  <si>
    <t>4|10|7560|1,4|1|30240|1</t>
  </si>
  <si>
    <t>4|10|7630|1,4|1|30520|1</t>
  </si>
  <si>
    <t>4|10|7700|1,4|1|30800|1</t>
  </si>
  <si>
    <t>4|10|7770|1,4|1|31080|1</t>
  </si>
  <si>
    <t>4|10|7840|1,4|1|31360|1</t>
  </si>
  <si>
    <t>4|10|7910|1,4|1|31640|1</t>
  </si>
  <si>
    <t>4|10|7980|1,4|1|31920|1</t>
  </si>
  <si>
    <t>4|10|8050|1,4|1|32200|1</t>
  </si>
  <si>
    <t>4|10|8120|1,4|1|32480|1</t>
  </si>
  <si>
    <t>4|10|8190|1,4|1|32760|1</t>
  </si>
  <si>
    <t>4|10|8260|1,4|1|33040|1</t>
  </si>
  <si>
    <t>4|10|8330|1,4|1|33320|1</t>
  </si>
  <si>
    <t>4|10|8400|1,4|1|33600|1</t>
  </si>
  <si>
    <t>4|10|8470|1,4|1|33880|1</t>
  </si>
  <si>
    <t>4|10|8540|1,4|1|34160|1</t>
  </si>
  <si>
    <t>4|10|8610|1,4|1|34440|1</t>
  </si>
  <si>
    <t>4|10|8680|1,4|1|34720|1</t>
  </si>
  <si>
    <t>4|10|8750|1,4|1|35000|1</t>
  </si>
  <si>
    <t>4|10|8820|1,4|1|35280|1</t>
  </si>
  <si>
    <t>4|10|8890|1,4|1|35560|1</t>
  </si>
  <si>
    <t>4|10|8960|1,4|1|35840|1</t>
  </si>
  <si>
    <t>4|10|9030|1,4|1|36120|1</t>
  </si>
  <si>
    <t>4|10|9100|1,4|1|36400|1</t>
  </si>
  <si>
    <t>4|10|9170|1,4|1|36680|1</t>
  </si>
  <si>
    <t>4|10|9240|1,4|1|36960|1</t>
  </si>
  <si>
    <t>4|10|9310|1,4|1|37240|1</t>
  </si>
  <si>
    <t>4|10|9380|1,4|1|37520|1</t>
  </si>
  <si>
    <t>4|10|9450|1,4|1|37800|1</t>
  </si>
  <si>
    <t>4|10|9520|1,4|1|38080|1</t>
  </si>
  <si>
    <t>4|10|9590|1,4|1|38360|1</t>
  </si>
  <si>
    <t>4|10|9660|1,4|1|38640|1</t>
  </si>
  <si>
    <t>4|10|9730|1,4|1|38920|1</t>
  </si>
  <si>
    <t>4|10|9800|1,4|1|39200|1</t>
  </si>
  <si>
    <t>4|10|9870|1,4|1|39480|1</t>
  </si>
  <si>
    <t>4|10|9940|1,4|1|39760|1</t>
  </si>
  <si>
    <t>4|10|10010|1,4|1|40040|1</t>
  </si>
  <si>
    <t>4|10|10080|1,4|1|40320|1</t>
  </si>
  <si>
    <t>4|10|10150|1,4|1|40600|1</t>
  </si>
  <si>
    <t>4|10|10220|1,4|1|40880|1</t>
  </si>
  <si>
    <t>4|10|10290|1,4|1|41160|1</t>
  </si>
  <si>
    <t>4|10|10360|1,4|1|41440|1</t>
  </si>
  <si>
    <t>4|10|10430|1,4|1|41720|1</t>
  </si>
  <si>
    <t>4|10|10500|1,4|1|42000|1</t>
  </si>
  <si>
    <t>4|10|1610,4|1|6440</t>
  </si>
  <si>
    <t>4|10|1750,4|1|7000</t>
  </si>
  <si>
    <t>4|10|1890,4|1|7560</t>
  </si>
  <si>
    <t>4|10|2030,4|1|8120</t>
  </si>
  <si>
    <t>4|10|2170,4|1|8680</t>
  </si>
  <si>
    <t>4|10|2310,4|1|9240</t>
  </si>
  <si>
    <t>4|10|2450,4|1|9800</t>
  </si>
  <si>
    <t>4|10|2590,4|1|10360</t>
  </si>
  <si>
    <t>4|10|2730,4|1|10920</t>
  </si>
  <si>
    <t>4|10|2870,4|1|11480</t>
  </si>
  <si>
    <t>4|10|3010,4|1|12040</t>
  </si>
  <si>
    <t>4|10|3080,4|1|12320</t>
  </si>
  <si>
    <t>4|10|3150,4|1|12600</t>
  </si>
  <si>
    <t>4|10|3220,4|1|12880</t>
  </si>
  <si>
    <t>4|10|3290,4|1|13160</t>
  </si>
  <si>
    <t>4|10|3360,4|1|13440</t>
  </si>
  <si>
    <t>4|10|3430,4|1|13720</t>
  </si>
  <si>
    <t>4|10|3500,4|1|14000</t>
  </si>
  <si>
    <t>4|10|3570,4|1|14280</t>
  </si>
  <si>
    <t>4|10|3640,4|1|14560</t>
  </si>
  <si>
    <t>4|10|3710,4|1|14840</t>
  </si>
  <si>
    <t>4|10|3780,4|1|15120</t>
  </si>
  <si>
    <t>4|10|3850,4|1|15400</t>
  </si>
  <si>
    <t>4|10|3920,4|1|15680</t>
  </si>
  <si>
    <t>4|10|3990,4|1|15960</t>
  </si>
  <si>
    <t>4|10|4060,4|1|16240</t>
  </si>
  <si>
    <t>4|10|4130,4|1|16520</t>
  </si>
  <si>
    <t>4|10|4200,4|1|16800</t>
  </si>
  <si>
    <t>4|10|4270,4|1|17080</t>
  </si>
  <si>
    <t>4|10|4340,4|1|17360</t>
  </si>
  <si>
    <t>4|10|4410,4|1|17640</t>
  </si>
  <si>
    <t>4|10|4480,4|1|17920</t>
  </si>
  <si>
    <t>4|10|4550,4|1|18200</t>
  </si>
  <si>
    <t>4|10|4620,4|1|18480</t>
  </si>
  <si>
    <t>4|10|4690,4|1|18760</t>
  </si>
  <si>
    <t>4|10|4760,4|1|19040</t>
  </si>
  <si>
    <t>4|10|4830,4|1|19320</t>
  </si>
  <si>
    <t>4|10|4900,4|1|19600</t>
  </si>
  <si>
    <t>4|10|4970,4|1|19880</t>
  </si>
  <si>
    <t>4|10|5040,4|1|20160</t>
  </si>
  <si>
    <t>4|10|5110,4|1|20440</t>
  </si>
  <si>
    <t>4|10|5180,4|1|20720</t>
  </si>
  <si>
    <t>4|10|5250,4|1|21000</t>
  </si>
  <si>
    <t>4|10|5320,4|1|21280</t>
  </si>
  <si>
    <t>4|10|5390,4|1|21560</t>
  </si>
  <si>
    <t>4|10|5460,4|1|21840</t>
  </si>
  <si>
    <t>4|10|5530,4|1|22120</t>
  </si>
  <si>
    <t>4|10|5600,4|1|22400</t>
  </si>
  <si>
    <t>4|10|5670,4|1|22680</t>
  </si>
  <si>
    <t>4|10|5740,4|1|22960</t>
  </si>
  <si>
    <t>4|10|5810,4|1|23240</t>
  </si>
  <si>
    <t>4|10|5880,4|1|23520</t>
  </si>
  <si>
    <t>4|10|5950,4|1|23800</t>
  </si>
  <si>
    <t>4|10|6020,4|1|24080</t>
  </si>
  <si>
    <t>4|10|6090,4|1|24360</t>
  </si>
  <si>
    <t>4|10|6160,4|1|24640</t>
  </si>
  <si>
    <t>4|10|6230,4|1|24920</t>
  </si>
  <si>
    <t>4|10|6300,4|1|25200</t>
  </si>
  <si>
    <t>4|10|6370,4|1|25480</t>
  </si>
  <si>
    <t>4|10|6440,4|1|25760</t>
  </si>
  <si>
    <t>4|10|6510,4|1|26040</t>
  </si>
  <si>
    <t>4|10|6580,4|1|26320</t>
  </si>
  <si>
    <t>4|10|6650,4|1|26600</t>
  </si>
  <si>
    <t>4|10|6720,4|1|26880</t>
  </si>
  <si>
    <t>4|10|6790,4|1|27160</t>
  </si>
  <si>
    <t>4|10|6860,4|1|27440</t>
  </si>
  <si>
    <t>4|10|6930,4|1|27720</t>
  </si>
  <si>
    <t>4|10|7000,4|1|28000</t>
  </si>
  <si>
    <t>4|10|7070,4|1|28280</t>
  </si>
  <si>
    <t>4|10|7140,4|1|28560</t>
  </si>
  <si>
    <t>4|10|7210,4|1|28840</t>
  </si>
  <si>
    <t>4|10|7280,4|1|29120</t>
  </si>
  <si>
    <t>4|10|7350,4|1|29400</t>
  </si>
  <si>
    <t>4|10|7420,4|1|29680</t>
  </si>
  <si>
    <t>4|10|7490,4|1|29960</t>
  </si>
  <si>
    <t>4|10|7560,4|1|30240</t>
  </si>
  <si>
    <t>4|10|7630,4|1|30520</t>
  </si>
  <si>
    <t>4|10|7700,4|1|30800</t>
  </si>
  <si>
    <t>4|10|7770,4|1|31080</t>
  </si>
  <si>
    <t>4|10|7840,4|1|31360</t>
  </si>
  <si>
    <t>4|10|7910,4|1|31640</t>
  </si>
  <si>
    <t>4|10|7980,4|1|31920</t>
  </si>
  <si>
    <t>4|10|8050,4|1|32200</t>
  </si>
  <si>
    <t>4|10|8120,4|1|32480</t>
  </si>
  <si>
    <t>4|10|8190,4|1|32760</t>
  </si>
  <si>
    <t>4|10|8260,4|1|33040</t>
  </si>
  <si>
    <t>4|10|8330,4|1|33320</t>
  </si>
  <si>
    <t>4|10|8400,4|1|33600</t>
  </si>
  <si>
    <t>4|10|8470,4|1|33880</t>
  </si>
  <si>
    <t>4|10|8540,4|1|34160</t>
  </si>
  <si>
    <t>4|10|8610,4|1|34440</t>
  </si>
  <si>
    <t>4|10|8680,4|1|34720</t>
  </si>
  <si>
    <t>4|10|8750,4|1|35000</t>
  </si>
  <si>
    <t>4|10|8820,4|1|35280</t>
  </si>
  <si>
    <t>4|10|8890,4|1|35560</t>
  </si>
  <si>
    <t>4|10|8960,4|1|35840</t>
  </si>
  <si>
    <t>4|10|9030,4|1|36120</t>
  </si>
  <si>
    <t>4|10|9100,4|1|36400</t>
  </si>
  <si>
    <t>4|10|9170,4|1|36680</t>
  </si>
  <si>
    <t>4|10|9240,4|1|36960</t>
  </si>
  <si>
    <t>4|10|9310,4|1|37240</t>
  </si>
  <si>
    <t>4|10|9380,4|1|37520</t>
  </si>
  <si>
    <t>4|10|9450,4|1|37800</t>
  </si>
  <si>
    <t>4|10|9520,4|1|38080</t>
  </si>
  <si>
    <t>4|10|9590,4|1|38360</t>
  </si>
  <si>
    <t>4|10|9660,4|1|38640</t>
  </si>
  <si>
    <t>4|10|9730,4|1|38920</t>
  </si>
  <si>
    <t>4|10|9800,4|1|39200</t>
  </si>
  <si>
    <t>4|10|9870,4|1|39480</t>
  </si>
  <si>
    <t>4|10|9940,4|1|39760</t>
  </si>
  <si>
    <t>4|10|10010,4|1|40040</t>
  </si>
  <si>
    <t>4|10|10080,4|1|40320</t>
  </si>
  <si>
    <t>4|10|10150,4|1|40600</t>
  </si>
  <si>
    <t>4|10|10220,4|1|40880</t>
  </si>
  <si>
    <t>4|10|10290,4|1|41160</t>
  </si>
  <si>
    <t>4|10|10360,4|1|41440</t>
  </si>
  <si>
    <t>4|10|10430,4|1|41720</t>
  </si>
  <si>
    <t>4|10|10500,4|1|42000</t>
  </si>
  <si>
    <t>4|10|3060|1,4|1|12240|1</t>
  </si>
  <si>
    <t>4|10|3120|1,4|1|12480|1</t>
  </si>
  <si>
    <t>4|10|3180|1,4|1|12720|1</t>
  </si>
  <si>
    <t>4|10|3240|1,4|1|12960|1</t>
  </si>
  <si>
    <t>4|10|3300|1,4|1|13200|1</t>
  </si>
  <si>
    <t>4|10|3420|1,4|1|13680|1</t>
  </si>
  <si>
    <t>4|10|3480|1,4|1|13920|1</t>
  </si>
  <si>
    <t>4|10|3540|1,4|1|14160|1</t>
  </si>
  <si>
    <t>4|10|3600|1,4|1|14400|1</t>
  </si>
  <si>
    <t>4|10|3660|1,4|1|14640|1</t>
  </si>
  <si>
    <t>4|10|3720|1,4|1|14880|1</t>
  </si>
  <si>
    <t>4|10|3840|1,4|1|15360|1</t>
  </si>
  <si>
    <t>4|10|3900|1,4|1|15600|1</t>
  </si>
  <si>
    <t>4|10|3960|1,4|1|15840|1</t>
  </si>
  <si>
    <t>4|10|4020|1,4|1|16080|1</t>
  </si>
  <si>
    <t>4|10|4080|1,4|1|16320|1</t>
  </si>
  <si>
    <t>4|10|4140|1,4|1|16560|1</t>
  </si>
  <si>
    <t>4|10|4260|1,4|1|17040|1</t>
  </si>
  <si>
    <t>4|10|4320|1,4|1|17280|1</t>
  </si>
  <si>
    <t>4|10|4380|1,4|1|17520|1</t>
  </si>
  <si>
    <t>4|10|4440|1,4|1|17760|1</t>
  </si>
  <si>
    <t>4|10|4500|1,4|1|18000|1</t>
  </si>
  <si>
    <t>4|10|4560|1,4|1|18240|1</t>
  </si>
  <si>
    <t>4|10|4680|1,4|1|18720|1</t>
  </si>
  <si>
    <t>4|10|4740|1,4|1|18960|1</t>
  </si>
  <si>
    <t>4|10|4800|1,4|1|19200|1</t>
  </si>
  <si>
    <t>4|10|4860|1,4|1|19440|1</t>
  </si>
  <si>
    <t>4|10|4920|1,4|1|19680|1</t>
  </si>
  <si>
    <t>4|10|4980|1,4|1|19920|1</t>
  </si>
  <si>
    <t>4|10|5100|1,4|1|20400|1</t>
  </si>
  <si>
    <t>4|10|5160|1,4|1|20640|1</t>
  </si>
  <si>
    <t>4|10|5220|1,4|1|20880|1</t>
  </si>
  <si>
    <t>4|10|5280|1,4|1|21120|1</t>
  </si>
  <si>
    <t>4|10|5340|1,4|1|21360|1</t>
  </si>
  <si>
    <t>4|10|5400|1,4|1|21600|1</t>
  </si>
  <si>
    <t>4|10|5520|1,4|1|22080|1</t>
  </si>
  <si>
    <t>4|10|5580|1,4|1|22320|1</t>
  </si>
  <si>
    <t>4|10|5640|1,4|1|22560|1</t>
  </si>
  <si>
    <t>4|10|5700|1,4|1|22800|1</t>
  </si>
  <si>
    <t>4|10|5760|1,4|1|23040|1</t>
  </si>
  <si>
    <t>4|10|5820|1,4|1|23280|1</t>
  </si>
  <si>
    <t>4|10|5940|1,4|1|23760|1</t>
  </si>
  <si>
    <t>4|10|6000|1,4|1|24000|1</t>
  </si>
  <si>
    <t>4|10|6060|1,4|1|24240|1</t>
  </si>
  <si>
    <t>4|10|6120|1,4|1|24480|1</t>
  </si>
  <si>
    <t>4|10|6180|1,4|1|24720|1</t>
  </si>
  <si>
    <t>4|10|6240|1,4|1|24960|1</t>
  </si>
  <si>
    <t>4|10|6360|1,4|1|25440|1</t>
  </si>
  <si>
    <t>4|10|6420|1,4|1|25680|1</t>
  </si>
  <si>
    <t>4|10|6480|1,4|1|25920|1</t>
  </si>
  <si>
    <t>4|10|6540|1,4|1|26160|1</t>
  </si>
  <si>
    <t>4|10|6600|1,4|1|26400|1</t>
  </si>
  <si>
    <t>4|10|6660|1,4|1|26640|1</t>
  </si>
  <si>
    <t>4|10|6780|1,4|1|27120|1</t>
  </si>
  <si>
    <t>4|10|6840|1,4|1|27360|1</t>
  </si>
  <si>
    <t>4|10|6900|1,4|1|27600|1</t>
  </si>
  <si>
    <t>4|10|6960|1,4|1|27840|1</t>
  </si>
  <si>
    <t>4|10|7020|1,4|1|28080|1</t>
  </si>
  <si>
    <t>4|10|7080|1,4|1|28320|1</t>
  </si>
  <si>
    <t>4|10|7200|1,4|1|28800|1</t>
  </si>
  <si>
    <t>4|10|7260|1,4|1|29040|1</t>
  </si>
  <si>
    <t>4|10|7320|1,4|1|29280|1</t>
  </si>
  <si>
    <t>4|10|7380|1,4|1|29520|1</t>
  </si>
  <si>
    <t>4|10|7440|1,4|1|29760|1</t>
  </si>
  <si>
    <t>4|10|7500|1,4|1|30000|1</t>
  </si>
  <si>
    <t>4|10|7620|1,4|1|30480|1</t>
  </si>
  <si>
    <t>4|10|7680|1,4|1|30720|1</t>
  </si>
  <si>
    <t>4|10|7740|1,4|1|30960|1</t>
  </si>
  <si>
    <t>4|10|7800|1,4|1|31200|1</t>
  </si>
  <si>
    <t>4|10|7860|1,4|1|31440|1</t>
  </si>
  <si>
    <t>4|10|7920|1,4|1|31680|1</t>
  </si>
  <si>
    <t>4|10|8040|1,4|1|32160|1</t>
  </si>
  <si>
    <t>4|10|8100|1,4|1|32400|1</t>
  </si>
  <si>
    <t>4|10|8160|1,4|1|32640|1</t>
  </si>
  <si>
    <t>4|10|8220|1,4|1|32880|1</t>
  </si>
  <si>
    <t>4|10|8280|1,4|1|33120|1</t>
  </si>
  <si>
    <t>4|10|8340|1,4|1|33360|1</t>
  </si>
  <si>
    <t>4|10|8460|1,4|1|33840|1</t>
  </si>
  <si>
    <t>4|10|8520|1,4|1|34080|1</t>
  </si>
  <si>
    <t>4|10|8580|1,4|1|34320|1</t>
  </si>
  <si>
    <t>4|10|8640|1,4|1|34560|1</t>
  </si>
  <si>
    <t>4|10|8700|1,4|1|34800|1</t>
  </si>
  <si>
    <t>4|10|8760|1,4|1|35040|1</t>
  </si>
  <si>
    <t>4|10|8880|1,4|1|35520|1</t>
  </si>
  <si>
    <t>4|10|8940|1,4|1|35760|1</t>
  </si>
  <si>
    <t>4|10|9000|1,4|1|36000|1</t>
  </si>
  <si>
    <t>4|10|3060,4|1|12240</t>
  </si>
  <si>
    <t>4|10|3120,4|1|12480</t>
  </si>
  <si>
    <t>4|10|3180,4|1|12720</t>
  </si>
  <si>
    <t>4|10|3240,4|1|12960</t>
  </si>
  <si>
    <t>4|10|3300,4|1|13200</t>
  </si>
  <si>
    <t>4|10|3420,4|1|13680</t>
  </si>
  <si>
    <t>4|10|3480,4|1|13920</t>
  </si>
  <si>
    <t>4|10|3540,4|1|14160</t>
  </si>
  <si>
    <t>4|10|3600,4|1|14400</t>
  </si>
  <si>
    <t>4|10|3660,4|1|14640</t>
  </si>
  <si>
    <t>4|10|3720,4|1|14880</t>
  </si>
  <si>
    <t>4|10|3840,4|1|15360</t>
  </si>
  <si>
    <t>4|10|3900,4|1|15600</t>
  </si>
  <si>
    <t>4|10|3960,4|1|15840</t>
  </si>
  <si>
    <t>4|10|4020,4|1|16080</t>
  </si>
  <si>
    <t>4|10|4080,4|1|16320</t>
  </si>
  <si>
    <t>4|10|4140,4|1|16560</t>
  </si>
  <si>
    <t>4|10|4260,4|1|17040</t>
  </si>
  <si>
    <t>4|10|4320,4|1|17280</t>
  </si>
  <si>
    <t>4|10|4380,4|1|17520</t>
  </si>
  <si>
    <t>4|10|4440,4|1|17760</t>
  </si>
  <si>
    <t>4|10|4500,4|1|18000</t>
  </si>
  <si>
    <t>4|10|4560,4|1|18240</t>
  </si>
  <si>
    <t>4|10|4680,4|1|18720</t>
  </si>
  <si>
    <t>4|10|4740,4|1|18960</t>
  </si>
  <si>
    <t>4|10|4800,4|1|19200</t>
  </si>
  <si>
    <t>4|10|4860,4|1|19440</t>
  </si>
  <si>
    <t>4|10|4920,4|1|19680</t>
  </si>
  <si>
    <t>4|10|4980,4|1|19920</t>
  </si>
  <si>
    <t>4|10|5100,4|1|20400</t>
  </si>
  <si>
    <t>4|10|5160,4|1|20640</t>
  </si>
  <si>
    <t>4|10|5220,4|1|20880</t>
  </si>
  <si>
    <t>4|10|5280,4|1|21120</t>
  </si>
  <si>
    <t>4|10|5340,4|1|21360</t>
  </si>
  <si>
    <t>4|10|5400,4|1|21600</t>
  </si>
  <si>
    <t>4|10|5520,4|1|22080</t>
  </si>
  <si>
    <t>4|10|5580,4|1|22320</t>
  </si>
  <si>
    <t>4|10|5640,4|1|22560</t>
  </si>
  <si>
    <t>4|10|5700,4|1|22800</t>
  </si>
  <si>
    <t>4|10|5760,4|1|23040</t>
  </si>
  <si>
    <t>4|10|5820,4|1|23280</t>
  </si>
  <si>
    <t>4|10|5940,4|1|23760</t>
  </si>
  <si>
    <t>4|10|6000,4|1|24000</t>
  </si>
  <si>
    <t>4|10|6060,4|1|24240</t>
  </si>
  <si>
    <t>4|10|6120,4|1|24480</t>
  </si>
  <si>
    <t>4|10|6180,4|1|24720</t>
  </si>
  <si>
    <t>4|10|6240,4|1|24960</t>
  </si>
  <si>
    <t>4|10|6360,4|1|25440</t>
  </si>
  <si>
    <t>4|10|6420,4|1|25680</t>
  </si>
  <si>
    <t>4|10|6480,4|1|25920</t>
  </si>
  <si>
    <t>4|10|6540,4|1|26160</t>
  </si>
  <si>
    <t>4|10|6600,4|1|26400</t>
  </si>
  <si>
    <t>4|10|6660,4|1|26640</t>
  </si>
  <si>
    <t>4|10|6780,4|1|27120</t>
  </si>
  <si>
    <t>4|10|6840,4|1|27360</t>
  </si>
  <si>
    <t>4|10|6900,4|1|27600</t>
  </si>
  <si>
    <t>4|10|6960,4|1|27840</t>
  </si>
  <si>
    <t>4|10|7020,4|1|28080</t>
  </si>
  <si>
    <t>4|10|7080,4|1|28320</t>
  </si>
  <si>
    <t>4|10|7200,4|1|28800</t>
  </si>
  <si>
    <t>4|10|7260,4|1|29040</t>
  </si>
  <si>
    <t>4|10|7320,4|1|29280</t>
  </si>
  <si>
    <t>4|10|7380,4|1|29520</t>
  </si>
  <si>
    <t>4|10|7440,4|1|29760</t>
  </si>
  <si>
    <t>4|10|7500,4|1|30000</t>
  </si>
  <si>
    <t>4|10|7620,4|1|30480</t>
  </si>
  <si>
    <t>4|10|7680,4|1|30720</t>
  </si>
  <si>
    <t>4|10|7740,4|1|30960</t>
  </si>
  <si>
    <t>4|10|7800,4|1|31200</t>
  </si>
  <si>
    <t>4|10|7860,4|1|31440</t>
  </si>
  <si>
    <t>4|10|7920,4|1|31680</t>
  </si>
  <si>
    <t>4|10|8040,4|1|32160</t>
  </si>
  <si>
    <t>4|10|8100,4|1|32400</t>
  </si>
  <si>
    <t>4|10|8160,4|1|32640</t>
  </si>
  <si>
    <t>4|10|8220,4|1|32880</t>
  </si>
  <si>
    <t>4|10|8280,4|1|33120</t>
  </si>
  <si>
    <t>4|10|8340,4|1|33360</t>
  </si>
  <si>
    <t>4|10|8460,4|1|33840</t>
  </si>
  <si>
    <t>4|10|8520,4|1|34080</t>
  </si>
  <si>
    <t>4|10|8580,4|1|34320</t>
  </si>
  <si>
    <t>4|10|8640,4|1|34560</t>
  </si>
  <si>
    <t>4|10|8700,4|1|34800</t>
  </si>
  <si>
    <t>4|10|8760,4|1|35040</t>
  </si>
  <si>
    <t>4|10|8880,4|1|35520</t>
  </si>
  <si>
    <t>4|10|8940,4|1|35760</t>
  </si>
  <si>
    <t>4|10|9000,4|1|36000</t>
  </si>
  <si>
    <t>4|10|1550|1,4|1|6200|1</t>
  </si>
  <si>
    <t>4|10|1650|1,4|1|6600|1</t>
  </si>
  <si>
    <t>4|10|1850|1,4|1|7400|1</t>
  </si>
  <si>
    <t>4|10|1950|1,4|1|7800|1</t>
  </si>
  <si>
    <t>4|10|2050|1,4|1|8200|1</t>
  </si>
  <si>
    <t>4|10|2150|1,4|1|8600|1</t>
  </si>
  <si>
    <t>4|10|2250|1,4|1|9000|1</t>
  </si>
  <si>
    <t>4|10|2350|1,4|1|9400|1</t>
  </si>
  <si>
    <t>4|10|2550|1,4|1|10200|1</t>
  </si>
  <si>
    <t>4|10|2650|1,4|1|10600|1</t>
  </si>
  <si>
    <t>4|10|2750|1,4|1|11000|1</t>
  </si>
  <si>
    <t>4|10|2850|1,4|1|11400|1</t>
  </si>
  <si>
    <t>4|10|2950|1,4|1|11800|1</t>
  </si>
  <si>
    <t>4|10|3050|1,4|1|12200|1</t>
  </si>
  <si>
    <t>4|10|3100|1,4|1|12400|1</t>
  </si>
  <si>
    <t>4|10|3200|1,4|1|12800|1</t>
  </si>
  <si>
    <t>4|10|3250|1,4|1|13000|1</t>
  </si>
  <si>
    <t>4|10|3350|1,4|1|13400|1</t>
  </si>
  <si>
    <t>4|10|3400|1,4|1|13600|1</t>
  </si>
  <si>
    <t>4|10|3450|1,4|1|13800|1</t>
  </si>
  <si>
    <t>4|10|3550|1,4|1|14200|1</t>
  </si>
  <si>
    <t>4|10|3650|1,4|1|14600|1</t>
  </si>
  <si>
    <t>4|10|3700|1,4|1|14800|1</t>
  </si>
  <si>
    <t>4|10|3750|1,4|1|15000|1</t>
  </si>
  <si>
    <t>4|10|3800|1,4|1|15200|1</t>
  </si>
  <si>
    <t>4|10|3950|1,4|1|15800|1</t>
  </si>
  <si>
    <t>4|10|4000|1,4|1|16000|1</t>
  </si>
  <si>
    <t>4|10|4050|1,4|1|16200|1</t>
  </si>
  <si>
    <t>4|10|4100|1,4|1|16400|1</t>
  </si>
  <si>
    <t>4|10|4150|1,4|1|16600|1</t>
  </si>
  <si>
    <t>4|10|4250|1,4|1|17000|1</t>
  </si>
  <si>
    <t>4|10|4300|1,4|1|17200|1</t>
  </si>
  <si>
    <t>4|10|4350|1,4|1|17400|1</t>
  </si>
  <si>
    <t>4|10|4400|1,4|1|17600|1</t>
  </si>
  <si>
    <t>4|10|4450|1,4|1|17800|1</t>
  </si>
  <si>
    <t>4|10|4600|1,4|1|18400|1</t>
  </si>
  <si>
    <t>4|10|4650|1,4|1|18600|1</t>
  </si>
  <si>
    <t>4|10|4700|1,4|1|18800|1</t>
  </si>
  <si>
    <t>4|10|4750|1,4|1|19000|1</t>
  </si>
  <si>
    <t>4|10|4850|1,4|1|19400|1</t>
  </si>
  <si>
    <t>4|10|4950|1,4|1|19800|1</t>
  </si>
  <si>
    <t>4|10|5000|1,4|1|20000|1</t>
  </si>
  <si>
    <t>4|10|5050|1,4|1|20200|1</t>
  </si>
  <si>
    <t>4|10|5150|1,4|1|20600|1</t>
  </si>
  <si>
    <t>4|10|5200|1,4|1|20800|1</t>
  </si>
  <si>
    <t>4|10|5300|1,4|1|21200|1</t>
  </si>
  <si>
    <t>4|10|5350|1,4|1|21400|1</t>
  </si>
  <si>
    <t>4|10|5450|1,4|1|21800|1</t>
  </si>
  <si>
    <t>4|10|5500|1,4|1|22000|1</t>
  </si>
  <si>
    <t>4|10|5550|1,4|1|22200|1</t>
  </si>
  <si>
    <t>4|10|5650|1,4|1|22600|1</t>
  </si>
  <si>
    <t>4|10|5750|1,4|1|23000|1</t>
  </si>
  <si>
    <t>4|10|5800|1,4|1|23200|1</t>
  </si>
  <si>
    <t>4|10|5850|1,4|1|23400|1</t>
  </si>
  <si>
    <t>4|10|5900|1,4|1|23600|1</t>
  </si>
  <si>
    <t>4|10|6050|1,4|1|24200|1</t>
  </si>
  <si>
    <t>4|10|6100|1,4|1|24400|1</t>
  </si>
  <si>
    <t>4|10|6150|1,4|1|24600|1</t>
  </si>
  <si>
    <t>4|10|6200|1,4|1|24800|1</t>
  </si>
  <si>
    <t>4|10|6250|1,4|1|25000|1</t>
  </si>
  <si>
    <t>4|10|6350|1,4|1|25400|1</t>
  </si>
  <si>
    <t>4|10|6400|1,4|1|25600|1</t>
  </si>
  <si>
    <t>4|10|6450|1,4|1|25800|1</t>
  </si>
  <si>
    <t>4|10|6500|1,4|1|26000|1</t>
  </si>
  <si>
    <t>4|10|6550|1,4|1|26200|1</t>
  </si>
  <si>
    <t>4|10|6700|1,4|1|26800|1</t>
  </si>
  <si>
    <t>4|10|6750|1,4|1|27000|1</t>
  </si>
  <si>
    <t>4|10|6800|1,4|1|27200|1</t>
  </si>
  <si>
    <t>4|10|6850|1,4|1|27400|1</t>
  </si>
  <si>
    <t>4|10|6950|1,4|1|27800|1</t>
  </si>
  <si>
    <t>4|10|7050|1,4|1|28200|1</t>
  </si>
  <si>
    <t>4|10|7100|1,4|1|28400|1</t>
  </si>
  <si>
    <t>4|10|7150|1,4|1|28600|1</t>
  </si>
  <si>
    <t>4|10|7250|1,4|1|29000|1</t>
  </si>
  <si>
    <t>4|10|7300|1,4|1|29200|1</t>
  </si>
  <si>
    <t>4|10|7400|1,4|1|29600|1</t>
  </si>
  <si>
    <t>4|10|7450|1,4|1|29800|1</t>
  </si>
  <si>
    <t>4|10|1550,4|1|6200</t>
  </si>
  <si>
    <t>4|10|1650,4|1|6600</t>
  </si>
  <si>
    <t>4|10|1850,4|1|7400</t>
  </si>
  <si>
    <t>4|10|1950,4|1|7800</t>
  </si>
  <si>
    <t>4|10|2050,4|1|8200</t>
  </si>
  <si>
    <t>4|10|2150,4|1|8600</t>
  </si>
  <si>
    <t>4|10|2250,4|1|9000</t>
  </si>
  <si>
    <t>4|10|2350,4|1|9400</t>
  </si>
  <si>
    <t>4|10|2550,4|1|10200</t>
  </si>
  <si>
    <t>4|10|2650,4|1|10600</t>
  </si>
  <si>
    <t>4|10|2750,4|1|11000</t>
  </si>
  <si>
    <t>4|10|2850,4|1|11400</t>
  </si>
  <si>
    <t>4|10|2950,4|1|11800</t>
  </si>
  <si>
    <t>4|10|3050,4|1|12200</t>
  </si>
  <si>
    <t>4|10|3100,4|1|12400</t>
  </si>
  <si>
    <t>4|10|3200,4|1|12800</t>
  </si>
  <si>
    <t>4|10|3250,4|1|13000</t>
  </si>
  <si>
    <t>4|10|3350,4|1|13400</t>
  </si>
  <si>
    <t>4|10|3400,4|1|13600</t>
  </si>
  <si>
    <t>4|10|3450,4|1|13800</t>
  </si>
  <si>
    <t>4|10|3550,4|1|14200</t>
  </si>
  <si>
    <t>4|10|3650,4|1|14600</t>
  </si>
  <si>
    <t>4|10|3700,4|1|14800</t>
  </si>
  <si>
    <t>4|10|3750,4|1|15000</t>
  </si>
  <si>
    <t>4|10|3800,4|1|15200</t>
  </si>
  <si>
    <t>4|10|3950,4|1|15800</t>
  </si>
  <si>
    <t>4|10|4000,4|1|16000</t>
  </si>
  <si>
    <t>4|10|4050,4|1|16200</t>
  </si>
  <si>
    <t>4|10|4100,4|1|16400</t>
  </si>
  <si>
    <t>4|10|4150,4|1|16600</t>
  </si>
  <si>
    <t>4|10|4250,4|1|17000</t>
  </si>
  <si>
    <t>4|10|4300,4|1|17200</t>
  </si>
  <si>
    <t>4|10|4350,4|1|17400</t>
  </si>
  <si>
    <t>4|10|4400,4|1|17600</t>
  </si>
  <si>
    <t>4|10|4450,4|1|17800</t>
  </si>
  <si>
    <t>4|10|4600,4|1|18400</t>
  </si>
  <si>
    <t>4|10|4650,4|1|18600</t>
  </si>
  <si>
    <t>4|10|4700,4|1|18800</t>
  </si>
  <si>
    <t>4|10|4750,4|1|19000</t>
  </si>
  <si>
    <t>4|10|4850,4|1|19400</t>
  </si>
  <si>
    <t>4|10|4950,4|1|19800</t>
  </si>
  <si>
    <t>4|10|5000,4|1|20000</t>
  </si>
  <si>
    <t>4|10|5050,4|1|20200</t>
  </si>
  <si>
    <t>4|10|5150,4|1|20600</t>
  </si>
  <si>
    <t>4|10|5200,4|1|20800</t>
  </si>
  <si>
    <t>4|10|5300,4|1|21200</t>
  </si>
  <si>
    <t>4|10|5350,4|1|21400</t>
  </si>
  <si>
    <t>4|10|5450,4|1|21800</t>
  </si>
  <si>
    <t>4|10|5500,4|1|22000</t>
  </si>
  <si>
    <t>4|10|5550,4|1|22200</t>
  </si>
  <si>
    <t>4|10|5650,4|1|22600</t>
  </si>
  <si>
    <t>4|10|5750,4|1|23000</t>
  </si>
  <si>
    <t>4|10|5800,4|1|23200</t>
  </si>
  <si>
    <t>4|10|5850,4|1|23400</t>
  </si>
  <si>
    <t>4|10|5900,4|1|23600</t>
  </si>
  <si>
    <t>4|10|6050,4|1|24200</t>
  </si>
  <si>
    <t>4|10|6100,4|1|24400</t>
  </si>
  <si>
    <t>4|10|6150,4|1|24600</t>
  </si>
  <si>
    <t>4|10|6200,4|1|24800</t>
  </si>
  <si>
    <t>4|10|6250,4|1|25000</t>
  </si>
  <si>
    <t>4|10|6350,4|1|25400</t>
  </si>
  <si>
    <t>4|10|6400,4|1|25600</t>
  </si>
  <si>
    <t>4|10|6450,4|1|25800</t>
  </si>
  <si>
    <t>4|10|6500,4|1|26000</t>
  </si>
  <si>
    <t>4|10|6550,4|1|26200</t>
  </si>
  <si>
    <t>4|10|6700,4|1|26800</t>
  </si>
  <si>
    <t>4|10|6750,4|1|27000</t>
  </si>
  <si>
    <t>4|10|6800,4|1|27200</t>
  </si>
  <si>
    <t>4|10|6850,4|1|27400</t>
  </si>
  <si>
    <t>4|10|6950,4|1|27800</t>
  </si>
  <si>
    <t>4|10|7050,4|1|28200</t>
  </si>
  <si>
    <t>4|10|7100,4|1|28400</t>
  </si>
  <si>
    <t>4|10|7150,4|1|28600</t>
  </si>
  <si>
    <t>4|10|7250,4|1|29000</t>
  </si>
  <si>
    <t>4|10|7300,4|1|29200</t>
  </si>
  <si>
    <t>4|10|7400,4|1|29600</t>
  </si>
  <si>
    <t>4|10|7450,4|1|29800</t>
  </si>
  <si>
    <t>4|10|3040|1,4|1|12160|1</t>
  </si>
  <si>
    <t>4|10|3160|1,4|1|12640|1</t>
  </si>
  <si>
    <t>4|10|3280|1,4|1|13120|1</t>
  </si>
  <si>
    <t>4|10|3320|1,4|1|13280|1</t>
  </si>
  <si>
    <t>4|10|3440|1,4|1|13760|1</t>
  </si>
  <si>
    <t>4|10|3520|1,4|1|14080|1</t>
  </si>
  <si>
    <t>4|10|3560|1,4|1|14240|1</t>
  </si>
  <si>
    <t>4|10|3680|1,4|1|14720|1</t>
  </si>
  <si>
    <t>4|10|3760|1,4|1|15040|1</t>
  </si>
  <si>
    <t>4|10|3880|1,4|1|15520|1</t>
  </si>
  <si>
    <t>4|10|4040|1,4|1|16160|1</t>
  </si>
  <si>
    <t>4|10|4120|1,4|1|16480|1</t>
  </si>
  <si>
    <t>4|10|4160|1,4|1|16640|1</t>
  </si>
  <si>
    <t>4|10|4240|1,4|1|16960|1</t>
  </si>
  <si>
    <t>4|10|4280|1,4|1|17120|1</t>
  </si>
  <si>
    <t>4|10|4360|1,4|1|17440|1</t>
  </si>
  <si>
    <t>4|10|4520|1,4|1|18080|1</t>
  </si>
  <si>
    <t>4|10|4640|1,4|1|18560|1</t>
  </si>
  <si>
    <t>4|10|4720|1,4|1|18880|1</t>
  </si>
  <si>
    <t>4|10|4840|1,4|1|19360|1</t>
  </si>
  <si>
    <t>4|10|4880|1,4|1|19520|1</t>
  </si>
  <si>
    <t>4|10|4960|1,4|1|19840|1</t>
  </si>
  <si>
    <t>4|10|5080|1,4|1|20320|1</t>
  </si>
  <si>
    <t>4|10|5120|1,4|1|20480|1</t>
  </si>
  <si>
    <t>4|10|5240|1,4|1|20960|1</t>
  </si>
  <si>
    <t>4|10|5360|1,4|1|21440|1</t>
  </si>
  <si>
    <t>4|10|5440|1,4|1|21760|1</t>
  </si>
  <si>
    <t>4|10|5480|1,4|1|21920|1</t>
  </si>
  <si>
    <t>4|10|5560|1,4|1|22240|1</t>
  </si>
  <si>
    <t>4|10|5680|1,4|1|22720|1</t>
  </si>
  <si>
    <t>4|10|5720|1,4|1|22880|1</t>
  </si>
  <si>
    <t>4|10|5840|1,4|1|23360|1</t>
  </si>
  <si>
    <t>4|10|5920|1,4|1|23680|1</t>
  </si>
  <si>
    <t>4|10|5960|1,4|1|23840|1</t>
  </si>
  <si>
    <t>4|10|3040,4|1|12160</t>
  </si>
  <si>
    <t>4|10|3160,4|1|12640</t>
  </si>
  <si>
    <t>4|10|3280,4|1|13120</t>
  </si>
  <si>
    <t>4|10|3320,4|1|13280</t>
  </si>
  <si>
    <t>4|10|3440,4|1|13760</t>
  </si>
  <si>
    <t>4|10|3520,4|1|14080</t>
  </si>
  <si>
    <t>4|10|3560,4|1|14240</t>
  </si>
  <si>
    <t>4|10|3680,4|1|14720</t>
  </si>
  <si>
    <t>4|10|3760,4|1|15040</t>
  </si>
  <si>
    <t>4|10|3880,4|1|15520</t>
  </si>
  <si>
    <t>4|10|4040,4|1|16160</t>
  </si>
  <si>
    <t>4|10|4120,4|1|16480</t>
  </si>
  <si>
    <t>4|10|4160,4|1|16640</t>
  </si>
  <si>
    <t>4|10|4240,4|1|16960</t>
  </si>
  <si>
    <t>4|10|4280,4|1|17120</t>
  </si>
  <si>
    <t>4|10|4360,4|1|17440</t>
  </si>
  <si>
    <t>4|10|4520,4|1|18080</t>
  </si>
  <si>
    <t>4|10|4640,4|1|18560</t>
  </si>
  <si>
    <t>4|10|4720,4|1|18880</t>
  </si>
  <si>
    <t>4|10|4840,4|1|19360</t>
  </si>
  <si>
    <t>4|10|4880,4|1|19520</t>
  </si>
  <si>
    <t>4|10|4960,4|1|19840</t>
  </si>
  <si>
    <t>4|10|5080,4|1|20320</t>
  </si>
  <si>
    <t>4|10|5120,4|1|20480</t>
  </si>
  <si>
    <t>4|10|5240,4|1|20960</t>
  </si>
  <si>
    <t>4|10|5360,4|1|21440</t>
  </si>
  <si>
    <t>4|10|5440,4|1|21760</t>
  </si>
  <si>
    <t>4|10|5480,4|1|21920</t>
  </si>
  <si>
    <t>4|10|5560,4|1|22240</t>
  </si>
  <si>
    <t>4|10|5680,4|1|22720</t>
  </si>
  <si>
    <t>4|10|5720,4|1|22880</t>
  </si>
  <si>
    <t>4|10|5840,4|1|23360</t>
  </si>
  <si>
    <t>4|10|5920,4|1|23680</t>
  </si>
  <si>
    <t>4|10|5960,4|1|23840</t>
  </si>
  <si>
    <t>4|10|1530|1,4|1|6120|1</t>
  </si>
  <si>
    <t>4|10|1590|1,4|1|6360|1</t>
  </si>
  <si>
    <t>4|10|1710|1,4|1|6840|1</t>
  </si>
  <si>
    <t>4|10|1770|1,4|1|7080|1</t>
  </si>
  <si>
    <t>4|10|1830|1,4|1|7320|1</t>
  </si>
  <si>
    <t>4|10|2010|1,4|1|8040|1</t>
  </si>
  <si>
    <t>4|10|2070|1,4|1|8280|1</t>
  </si>
  <si>
    <t>4|10|2130|1,4|1|8520|1</t>
  </si>
  <si>
    <t>4|10|2190|1,4|1|8760|1</t>
  </si>
  <si>
    <t>4|10|2370|1,4|1|9480|1</t>
  </si>
  <si>
    <t>4|10|2430|1,4|1|9720|1</t>
  </si>
  <si>
    <t>4|10|2490|1,4|1|9960|1</t>
  </si>
  <si>
    <t>4|10|2610|1,4|1|10440|1</t>
  </si>
  <si>
    <t>4|10|2670|1,4|1|10680|1</t>
  </si>
  <si>
    <t>4|10|2790|1,4|1|11160|1</t>
  </si>
  <si>
    <t>4|10|2910|1,4|1|11640|1</t>
  </si>
  <si>
    <t>4|10|2970|1,4|1|11880|1</t>
  </si>
  <si>
    <t>4|10|3030|1,4|1|12120|1</t>
  </si>
  <si>
    <t>4|10|3090|1,4|1|12360|1</t>
  </si>
  <si>
    <t>4|10|3210|1,4|1|12840|1</t>
  </si>
  <si>
    <t>4|10|3270|1,4|1|13080|1</t>
  </si>
  <si>
    <t>4|10|3330|1,4|1|13320|1</t>
  </si>
  <si>
    <t>4|10|3390|1,4|1|13560|1</t>
  </si>
  <si>
    <t>4|10|3510|1,4|1|14040|1</t>
  </si>
  <si>
    <t>4|10|3630|1,4|1|14520|1</t>
  </si>
  <si>
    <t>4|10|3690|1,4|1|14760|1</t>
  </si>
  <si>
    <t>4|10|3810|1,4|1|15240|1</t>
  </si>
  <si>
    <t>4|10|3870|1,4|1|15480|1</t>
  </si>
  <si>
    <t>4|10|3930|1,4|1|15720|1</t>
  </si>
  <si>
    <t>4|10|4110|1,4|1|16440|1</t>
  </si>
  <si>
    <t>4|10|4170|1,4|1|16680|1</t>
  </si>
  <si>
    <t>4|10|4230|1,4|1|16920|1</t>
  </si>
  <si>
    <t>4|10|4290|1,4|1|17160|1</t>
  </si>
  <si>
    <t>4|10|4470|1,4|1|17880|1</t>
  </si>
  <si>
    <t>4|10|1530,4|1|6120</t>
  </si>
  <si>
    <t>4|10|1590,4|1|6360</t>
  </si>
  <si>
    <t>4|10|1710,4|1|6840</t>
  </si>
  <si>
    <t>4|10|1770,4|1|7080</t>
  </si>
  <si>
    <t>4|10|1830,4|1|7320</t>
  </si>
  <si>
    <t>4|10|2010,4|1|8040</t>
  </si>
  <si>
    <t>4|10|2070,4|1|8280</t>
  </si>
  <si>
    <t>4|10|2130,4|1|8520</t>
  </si>
  <si>
    <t>4|10|2190,4|1|8760</t>
  </si>
  <si>
    <t>4|10|2370,4|1|9480</t>
  </si>
  <si>
    <t>4|10|2430,4|1|9720</t>
  </si>
  <si>
    <t>4|10|2490,4|1|9960</t>
  </si>
  <si>
    <t>4|10|2610,4|1|10440</t>
  </si>
  <si>
    <t>4|10|2670,4|1|10680</t>
  </si>
  <si>
    <t>4|10|2790,4|1|11160</t>
  </si>
  <si>
    <t>4|10|2910,4|1|11640</t>
  </si>
  <si>
    <t>4|10|2970,4|1|11880</t>
  </si>
  <si>
    <t>4|10|3030,4|1|12120</t>
  </si>
  <si>
    <t>4|10|3090,4|1|12360</t>
  </si>
  <si>
    <t>4|10|3210,4|1|12840</t>
  </si>
  <si>
    <t>4|10|3270,4|1|13080</t>
  </si>
  <si>
    <t>4|10|3330,4|1|13320</t>
  </si>
  <si>
    <t>4|10|3390,4|1|13560</t>
  </si>
  <si>
    <t>4|10|3510,4|1|14040</t>
  </si>
  <si>
    <t>4|10|3630,4|1|14520</t>
  </si>
  <si>
    <t>4|10|3690,4|1|14760</t>
  </si>
  <si>
    <t>4|10|3810,4|1|15240</t>
  </si>
  <si>
    <t>4|10|3870,4|1|15480</t>
  </si>
  <si>
    <t>4|10|3930,4|1|15720</t>
  </si>
  <si>
    <t>4|10|4110,4|1|16440</t>
  </si>
  <si>
    <t>4|10|4170,4|1|16680</t>
  </si>
  <si>
    <t>4|10|4230,4|1|16920</t>
  </si>
  <si>
    <t>4|10|4290,4|1|17160</t>
  </si>
  <si>
    <t>4|10|4470,4|1|17880</t>
  </si>
  <si>
    <t>10体力-主角150级精英副本经验和金币奖励</t>
    <phoneticPr fontId="21" type="noConversion"/>
  </si>
  <si>
    <t>10体力-主角148级精英副本经验和金币奖励</t>
  </si>
  <si>
    <t>10体力-主角149级精英副本经验和金币奖励</t>
  </si>
  <si>
    <t>10体力-主角1级精英副本经验和金币奖励</t>
  </si>
  <si>
    <t>10体力-主角2级精英副本经验和金币奖励</t>
  </si>
  <si>
    <t>10体力-主角3级精英副本经验和金币奖励</t>
  </si>
  <si>
    <t>10体力-主角4级精英副本经验和金币奖励</t>
  </si>
  <si>
    <t>10体力-主角5级精英副本经验和金币奖励</t>
  </si>
  <si>
    <t>10体力-主角6级精英副本经验和金币奖励</t>
  </si>
  <si>
    <t>10体力-主角7级精英副本经验和金币奖励</t>
  </si>
  <si>
    <t>10体力-主角8级精英副本经验和金币奖励</t>
  </si>
  <si>
    <t>10体力-主角9级精英副本经验和金币奖励</t>
  </si>
  <si>
    <t>10体力-主角10级精英副本经验和金币奖励</t>
  </si>
  <si>
    <t>10体力-主角11级精英副本经验和金币奖励</t>
  </si>
  <si>
    <t>10体力-主角12级精英副本经验和金币奖励</t>
  </si>
  <si>
    <t>10体力-主角13级精英副本经验和金币奖励</t>
  </si>
  <si>
    <t>10体力-主角14级精英副本经验和金币奖励</t>
  </si>
  <si>
    <t>10体力-主角15级精英副本经验和金币奖励</t>
  </si>
  <si>
    <t>10体力-主角16级精英副本经验和金币奖励</t>
  </si>
  <si>
    <t>10体力-主角17级精英副本经验和金币奖励</t>
  </si>
  <si>
    <t>10体力-主角18级精英副本经验和金币奖励</t>
  </si>
  <si>
    <t>10体力-主角19级精英副本经验和金币奖励</t>
  </si>
  <si>
    <t>10体力-主角20级精英副本经验和金币奖励</t>
  </si>
  <si>
    <t>10体力-主角21级精英副本经验和金币奖励</t>
  </si>
  <si>
    <t>10体力-主角22级精英副本经验和金币奖励</t>
  </si>
  <si>
    <t>10体力-主角23级精英副本经验和金币奖励</t>
  </si>
  <si>
    <t>10体力-主角24级精英副本经验和金币奖励</t>
  </si>
  <si>
    <t>10体力-主角25级精英副本经验和金币奖励</t>
  </si>
  <si>
    <t>10体力-主角26级精英副本经验和金币奖励</t>
  </si>
  <si>
    <t>10体力-主角27级精英副本经验和金币奖励</t>
  </si>
  <si>
    <t>10体力-主角28级精英副本经验和金币奖励</t>
  </si>
  <si>
    <t>10体力-主角29级精英副本经验和金币奖励</t>
  </si>
  <si>
    <t>10体力-主角30级精英副本经验和金币奖励</t>
  </si>
  <si>
    <t>10体力-主角31级精英副本经验和金币奖励</t>
  </si>
  <si>
    <t>10体力-主角32级精英副本经验和金币奖励</t>
  </si>
  <si>
    <t>10体力-主角33级精英副本经验和金币奖励</t>
  </si>
  <si>
    <t>10体力-主角34级精英副本经验和金币奖励</t>
  </si>
  <si>
    <t>10体力-主角35级精英副本经验和金币奖励</t>
  </si>
  <si>
    <t>10体力-主角36级精英副本经验和金币奖励</t>
  </si>
  <si>
    <t>10体力-主角37级精英副本经验和金币奖励</t>
  </si>
  <si>
    <t>10体力-主角38级精英副本经验和金币奖励</t>
  </si>
  <si>
    <t>10体力-主角39级精英副本经验和金币奖励</t>
  </si>
  <si>
    <t>10体力-主角40级精英副本经验和金币奖励</t>
  </si>
  <si>
    <t>10体力-主角41级精英副本经验和金币奖励</t>
  </si>
  <si>
    <t>10体力-主角42级精英副本经验和金币奖励</t>
  </si>
  <si>
    <t>10体力-主角43级精英副本经验和金币奖励</t>
  </si>
  <si>
    <t>10体力-主角44级精英副本经验和金币奖励</t>
  </si>
  <si>
    <t>10体力-主角45级精英副本经验和金币奖励</t>
  </si>
  <si>
    <t>10体力-主角46级精英副本经验和金币奖励</t>
  </si>
  <si>
    <t>10体力-主角47级精英副本经验和金币奖励</t>
  </si>
  <si>
    <t>10体力-主角48级精英副本经验和金币奖励</t>
  </si>
  <si>
    <t>10体力-主角49级精英副本经验和金币奖励</t>
  </si>
  <si>
    <t>10体力-主角50级精英副本经验和金币奖励</t>
  </si>
  <si>
    <t>10体力-主角51级精英副本经验和金币奖励</t>
  </si>
  <si>
    <t>10体力-主角52级精英副本经验和金币奖励</t>
  </si>
  <si>
    <t>10体力-主角53级精英副本经验和金币奖励</t>
  </si>
  <si>
    <t>10体力-主角54级精英副本经验和金币奖励</t>
  </si>
  <si>
    <t>10体力-主角55级精英副本经验和金币奖励</t>
  </si>
  <si>
    <t>10体力-主角56级精英副本经验和金币奖励</t>
  </si>
  <si>
    <t>10体力-主角57级精英副本经验和金币奖励</t>
  </si>
  <si>
    <t>10体力-主角58级精英副本经验和金币奖励</t>
  </si>
  <si>
    <t>10体力-主角59级精英副本经验和金币奖励</t>
  </si>
  <si>
    <t>10体力-主角60级精英副本经验和金币奖励</t>
  </si>
  <si>
    <t>10体力-主角61级精英副本经验和金币奖励</t>
  </si>
  <si>
    <t>10体力-主角62级精英副本经验和金币奖励</t>
  </si>
  <si>
    <t>10体力-主角63级精英副本经验和金币奖励</t>
  </si>
  <si>
    <t>10体力-主角64级精英副本经验和金币奖励</t>
  </si>
  <si>
    <t>10体力-主角65级精英副本经验和金币奖励</t>
  </si>
  <si>
    <t>10体力-主角66级精英副本经验和金币奖励</t>
  </si>
  <si>
    <t>10体力-主角67级精英副本经验和金币奖励</t>
  </si>
  <si>
    <t>10体力-主角68级精英副本经验和金币奖励</t>
  </si>
  <si>
    <t>10体力-主角69级精英副本经验和金币奖励</t>
  </si>
  <si>
    <t>10体力-主角70级精英副本经验和金币奖励</t>
  </si>
  <si>
    <t>10体力-主角71级精英副本经验和金币奖励</t>
  </si>
  <si>
    <t>10体力-主角72级精英副本经验和金币奖励</t>
  </si>
  <si>
    <t>10体力-主角73级精英副本经验和金币奖励</t>
  </si>
  <si>
    <t>10体力-主角74级精英副本经验和金币奖励</t>
  </si>
  <si>
    <t>10体力-主角75级精英副本经验和金币奖励</t>
  </si>
  <si>
    <t>10体力-主角76级精英副本经验和金币奖励</t>
  </si>
  <si>
    <t>10体力-主角77级精英副本经验和金币奖励</t>
  </si>
  <si>
    <t>10体力-主角78级精英副本经验和金币奖励</t>
  </si>
  <si>
    <t>10体力-主角79级精英副本经验和金币奖励</t>
  </si>
  <si>
    <t>10体力-主角80级精英副本经验和金币奖励</t>
  </si>
  <si>
    <t>10体力-主角81级精英副本经验和金币奖励</t>
  </si>
  <si>
    <t>10体力-主角82级精英副本经验和金币奖励</t>
  </si>
  <si>
    <t>10体力-主角83级精英副本经验和金币奖励</t>
  </si>
  <si>
    <t>10体力-主角84级精英副本经验和金币奖励</t>
  </si>
  <si>
    <t>10体力-主角85级精英副本经验和金币奖励</t>
  </si>
  <si>
    <t>10体力-主角86级精英副本经验和金币奖励</t>
  </si>
  <si>
    <t>10体力-主角87级精英副本经验和金币奖励</t>
  </si>
  <si>
    <t>10体力-主角88级精英副本经验和金币奖励</t>
  </si>
  <si>
    <t>10体力-主角89级精英副本经验和金币奖励</t>
  </si>
  <si>
    <t>10体力-主角90级精英副本经验和金币奖励</t>
  </si>
  <si>
    <t>10体力-主角91级精英副本经验和金币奖励</t>
  </si>
  <si>
    <t>10体力-主角92级精英副本经验和金币奖励</t>
  </si>
  <si>
    <t>10体力-主角93级精英副本经验和金币奖励</t>
  </si>
  <si>
    <t>10体力-主角94级精英副本经验和金币奖励</t>
  </si>
  <si>
    <t>10体力-主角95级精英副本经验和金币奖励</t>
  </si>
  <si>
    <t>10体力-主角96级精英副本经验和金币奖励</t>
  </si>
  <si>
    <t>10体力-主角97级精英副本经验和金币奖励</t>
  </si>
  <si>
    <t>10体力-主角98级精英副本经验和金币奖励</t>
  </si>
  <si>
    <t>10体力-主角99级精英副本经验和金币奖励</t>
  </si>
  <si>
    <t>10体力-主角100级精英副本经验和金币奖励</t>
  </si>
  <si>
    <t>10体力-主角101级精英副本经验和金币奖励</t>
  </si>
  <si>
    <t>10体力-主角102级精英副本经验和金币奖励</t>
  </si>
  <si>
    <t>10体力-主角103级精英副本经验和金币奖励</t>
  </si>
  <si>
    <t>10体力-主角104级精英副本经验和金币奖励</t>
  </si>
  <si>
    <t>10体力-主角105级精英副本经验和金币奖励</t>
  </si>
  <si>
    <t>10体力-主角106级精英副本经验和金币奖励</t>
  </si>
  <si>
    <t>10体力-主角107级精英副本经验和金币奖励</t>
  </si>
  <si>
    <t>10体力-主角108级精英副本经验和金币奖励</t>
  </si>
  <si>
    <t>10体力-主角109级精英副本经验和金币奖励</t>
  </si>
  <si>
    <t>10体力-主角110级精英副本经验和金币奖励</t>
  </si>
  <si>
    <t>10体力-主角111级精英副本经验和金币奖励</t>
  </si>
  <si>
    <t>10体力-主角112级精英副本经验和金币奖励</t>
  </si>
  <si>
    <t>10体力-主角113级精英副本经验和金币奖励</t>
  </si>
  <si>
    <t>10体力-主角114级精英副本经验和金币奖励</t>
  </si>
  <si>
    <t>10体力-主角115级精英副本经验和金币奖励</t>
  </si>
  <si>
    <t>10体力-主角116级精英副本经验和金币奖励</t>
  </si>
  <si>
    <t>10体力-主角117级精英副本经验和金币奖励</t>
  </si>
  <si>
    <t>10体力-主角118级精英副本经验和金币奖励</t>
  </si>
  <si>
    <t>10体力-主角119级精英副本经验和金币奖励</t>
  </si>
  <si>
    <t>10体力-主角120级精英副本经验和金币奖励</t>
  </si>
  <si>
    <t>10体力-主角121级精英副本经验和金币奖励</t>
  </si>
  <si>
    <t>10体力-主角122级精英副本经验和金币奖励</t>
  </si>
  <si>
    <t>10体力-主角123级精英副本经验和金币奖励</t>
  </si>
  <si>
    <t>10体力-主角124级精英副本经验和金币奖励</t>
  </si>
  <si>
    <t>10体力-主角125级精英副本经验和金币奖励</t>
  </si>
  <si>
    <t>10体力-主角126级精英副本经验和金币奖励</t>
  </si>
  <si>
    <t>10体力-主角127级精英副本经验和金币奖励</t>
  </si>
  <si>
    <t>10体力-主角128级精英副本经验和金币奖励</t>
  </si>
  <si>
    <t>10体力-主角129级精英副本经验和金币奖励</t>
  </si>
  <si>
    <t>10体力-主角130级精英副本经验和金币奖励</t>
  </si>
  <si>
    <t>10体力-主角131级精英副本经验和金币奖励</t>
  </si>
  <si>
    <t>10体力-主角132级精英副本经验和金币奖励</t>
  </si>
  <si>
    <t>10体力-主角133级精英副本经验和金币奖励</t>
  </si>
  <si>
    <t>10体力-主角134级精英副本经验和金币奖励</t>
  </si>
  <si>
    <t>10体力-主角135级精英副本经验和金币奖励</t>
  </si>
  <si>
    <t>10体力-主角136级精英副本经验和金币奖励</t>
  </si>
  <si>
    <t>10体力-主角137级精英副本经验和金币奖励</t>
  </si>
  <si>
    <t>10体力-主角138级精英副本经验和金币奖励</t>
  </si>
  <si>
    <t>10体力-主角139级精英副本经验和金币奖励</t>
  </si>
  <si>
    <t>10体力-主角140级精英副本经验和金币奖励</t>
  </si>
  <si>
    <t>10体力-主角141级精英副本经验和金币奖励</t>
  </si>
  <si>
    <t>10体力-主角142级精英副本经验和金币奖励</t>
  </si>
  <si>
    <t>10体力-主角143级精英副本经验和金币奖励</t>
  </si>
  <si>
    <t>10体力-主角144级精英副本经验和金币奖励</t>
  </si>
  <si>
    <t>10体力-主角145级精英副本经验和金币奖励</t>
  </si>
  <si>
    <t>10体力-主角146级精英副本经验和金币奖励</t>
  </si>
  <si>
    <t>10体力-主角147级精英副本经验和金币奖励</t>
  </si>
  <si>
    <t>1|12013|1|1,1|12014|1|1,1|12015|1|1,1|12016|1|1,1|12017|1|1,1|12018|1|1,1|12019|1|1,1|12020|1|1,1|12021|1|1,1|12022|1|1,1|12023|1|1,1|12024|1|1,1|12025|1|1,1|12026|1|1,1|12027|1|1,1|12028|1|1</t>
    <phoneticPr fontId="21" type="noConversion"/>
  </si>
  <si>
    <t>1|12037|1|1,1|12038|1|1,1|12039|1|1,1|12040|1|1,1|12041|1|1,1|12042|1|1,1|12043|1|1,1|12044|1|1,1|12045|1|1,1|12046|1|1,1|12047|1|1,1|12048|1|1,1|12049|1|1,1|12050|1|1,1|12051|1|1,1|12052|1|1,1|12053|1|1,1|12054|1|1,1|12055|1|1,1|12056|1|1</t>
    <phoneticPr fontId="21" type="noConversion"/>
  </si>
  <si>
    <t>3|26031|1|15,3|26030|1|30,3|26029|1|55</t>
    <phoneticPr fontId="21" type="noConversion"/>
  </si>
  <si>
    <t>3|26028|1|15,3|26027|1|30,3|26026|1|55</t>
    <phoneticPr fontId="21" type="noConversion"/>
  </si>
  <si>
    <t>4|2|10|10,4|1|10000|10,1|16005|2|10,1|14107|10|10,3|26005|1|5,3|26004|1|11,1|17000|2|10,1|14102|1|10,1|14201|2|10,1|14003|1|10,1|14101|1|2,1|14108|1|2</t>
    <phoneticPr fontId="21" type="noConversion"/>
  </si>
  <si>
    <t>1|14588|5</t>
  </si>
  <si>
    <t>1|16010|30</t>
  </si>
  <si>
    <t>1|14567|10</t>
  </si>
  <si>
    <t>1|16010|40</t>
  </si>
  <si>
    <t>1|14567|20</t>
  </si>
  <si>
    <t>1|17001|150</t>
  </si>
  <si>
    <t>1|14106|150</t>
  </si>
  <si>
    <t>1|14588|10</t>
  </si>
  <si>
    <t>1|16010|50</t>
  </si>
  <si>
    <t>1|14586|1</t>
  </si>
  <si>
    <t>1|14586|2</t>
  </si>
  <si>
    <t>1|14106|200</t>
  </si>
  <si>
    <t>1|14572|10</t>
  </si>
  <si>
    <t>1|14572|25</t>
  </si>
  <si>
    <t>1|14588|5|1</t>
  </si>
  <si>
    <t>1|16010|30|1</t>
  </si>
  <si>
    <t>1|14567|10|1</t>
  </si>
  <si>
    <t>1|16010|40|1</t>
  </si>
  <si>
    <t>1|14567|20|1</t>
  </si>
  <si>
    <t>1|17001|150|1</t>
  </si>
  <si>
    <t>1|14106|150|1</t>
  </si>
  <si>
    <t>1|14588|10|1</t>
  </si>
  <si>
    <t>1|16010|50|1</t>
  </si>
  <si>
    <t>1|14586|1|1</t>
  </si>
  <si>
    <t>1|14586|2|1</t>
  </si>
  <si>
    <t>1|14106|200|1</t>
  </si>
  <si>
    <t>1|14572|10|1</t>
  </si>
  <si>
    <t>1|14572|25|1</t>
  </si>
  <si>
    <t>第1期_第2天双倍奖励</t>
    <phoneticPr fontId="21" type="noConversion"/>
  </si>
  <si>
    <t>第1期_第8天双倍奖励</t>
    <phoneticPr fontId="21" type="noConversion"/>
  </si>
  <si>
    <t>第1期_第14天双倍奖励</t>
    <phoneticPr fontId="21" type="noConversion"/>
  </si>
  <si>
    <t>第1期_第20天双倍奖励</t>
    <phoneticPr fontId="21" type="noConversion"/>
  </si>
  <si>
    <t>第1期_第26天双倍奖励</t>
    <phoneticPr fontId="21" type="noConversion"/>
  </si>
  <si>
    <t>第2期_第4天双倍奖励</t>
  </si>
  <si>
    <t>第2期_第10天双倍奖励</t>
  </si>
  <si>
    <t>第2期_第16天双倍奖励</t>
  </si>
  <si>
    <t>第2期_第22天双倍奖励</t>
  </si>
  <si>
    <t>第2期_第28天双倍奖励</t>
  </si>
  <si>
    <t>第3期_第3天双倍奖励</t>
  </si>
  <si>
    <t>第3期_第9天双倍奖励</t>
  </si>
  <si>
    <t>第3期_第15天双倍奖励</t>
  </si>
  <si>
    <t>第3期_第21天双倍奖励</t>
  </si>
  <si>
    <t>第3期_第27天双倍奖励</t>
  </si>
  <si>
    <t>1|16010|60</t>
  </si>
  <si>
    <t>1|16010|60|1</t>
  </si>
  <si>
    <t>1|16010|80</t>
  </si>
  <si>
    <t>1|16010|80|1</t>
  </si>
  <si>
    <t>1|14106|300</t>
  </si>
  <si>
    <t>1|14106|300|1</t>
  </si>
  <si>
    <t>1|16010|100</t>
  </si>
  <si>
    <t>1|16010|100|1</t>
  </si>
  <si>
    <t>1|17001|300</t>
  </si>
  <si>
    <t>1|17001|300|1</t>
  </si>
  <si>
    <t>1|14102|60</t>
  </si>
  <si>
    <t>1|14102|60|1</t>
  </si>
  <si>
    <t>1|17001|400</t>
  </si>
  <si>
    <t>1|17001|400|1</t>
  </si>
  <si>
    <t>第1期_第1天奖励</t>
    <phoneticPr fontId="21" type="noConversion"/>
  </si>
  <si>
    <t>第1期_第2天奖励</t>
  </si>
  <si>
    <t>第1期_第3天奖励</t>
  </si>
  <si>
    <t>第1期_第4天奖励</t>
  </si>
  <si>
    <t>第1期_第5天奖励</t>
  </si>
  <si>
    <t>第1期_第6天奖励</t>
  </si>
  <si>
    <t>第1期_第7天奖励</t>
  </si>
  <si>
    <t>第1期_第8天奖励</t>
  </si>
  <si>
    <t>第1期_第9天奖励</t>
  </si>
  <si>
    <t>第1期_第10天奖励</t>
  </si>
  <si>
    <t>第1期_第11天奖励</t>
  </si>
  <si>
    <t>第1期_第12天奖励</t>
  </si>
  <si>
    <t>第1期_第13天奖励</t>
  </si>
  <si>
    <t>第1期_第14天奖励</t>
  </si>
  <si>
    <t>第1期_第15天奖励</t>
  </si>
  <si>
    <t>第1期_第16天奖励</t>
  </si>
  <si>
    <t>第1期_第17天奖励</t>
  </si>
  <si>
    <t>第1期_第18天奖励</t>
  </si>
  <si>
    <t>第1期_第19天奖励</t>
  </si>
  <si>
    <t>第1期_第20天奖励</t>
  </si>
  <si>
    <t>第1期_第21天奖励</t>
  </si>
  <si>
    <t>第1期_第22天奖励</t>
  </si>
  <si>
    <t>第1期_第23天奖励</t>
  </si>
  <si>
    <t>第1期_第24天奖励</t>
  </si>
  <si>
    <t>第1期_第25天奖励</t>
  </si>
  <si>
    <t>第1期_第26天奖励</t>
  </si>
  <si>
    <t>第1期_第27天奖励</t>
  </si>
  <si>
    <t>第1期_第28天奖励</t>
  </si>
  <si>
    <t>第1期_第29天奖励</t>
  </si>
  <si>
    <t>第1期_第30天奖励</t>
  </si>
  <si>
    <t>第2期_第1天奖励</t>
    <phoneticPr fontId="21" type="noConversion"/>
  </si>
  <si>
    <t>第2期_第2天奖励</t>
  </si>
  <si>
    <t>第2期_第3天奖励</t>
  </si>
  <si>
    <t>第2期_第4天奖励</t>
  </si>
  <si>
    <t>第2期_第5天奖励</t>
  </si>
  <si>
    <t>第2期_第6天奖励</t>
  </si>
  <si>
    <t>第2期_第7天奖励</t>
  </si>
  <si>
    <t>第2期_第8天奖励</t>
  </si>
  <si>
    <t>第2期_第9天奖励</t>
  </si>
  <si>
    <t>第2期_第10天奖励</t>
  </si>
  <si>
    <t>第2期_第11天奖励</t>
  </si>
  <si>
    <t>第2期_第12天奖励</t>
  </si>
  <si>
    <t>第2期_第13天奖励</t>
  </si>
  <si>
    <t>第2期_第14天奖励</t>
  </si>
  <si>
    <t>第2期_第15天奖励</t>
  </si>
  <si>
    <t>第2期_第16天奖励</t>
  </si>
  <si>
    <t>第2期_第17天奖励</t>
  </si>
  <si>
    <t>第2期_第18天奖励</t>
  </si>
  <si>
    <t>第2期_第19天奖励</t>
  </si>
  <si>
    <t>第2期_第20天奖励</t>
  </si>
  <si>
    <t>第2期_第21天奖励</t>
  </si>
  <si>
    <t>第2期_第22天奖励</t>
  </si>
  <si>
    <t>第2期_第23天奖励</t>
  </si>
  <si>
    <t>第2期_第24天奖励</t>
  </si>
  <si>
    <t>第2期_第25天奖励</t>
  </si>
  <si>
    <t>第2期_第26天奖励</t>
  </si>
  <si>
    <t>第2期_第27天奖励</t>
  </si>
  <si>
    <t>第2期_第28天奖励</t>
  </si>
  <si>
    <t>第2期_第29天奖励</t>
  </si>
  <si>
    <t>第2期_第30天奖励</t>
  </si>
  <si>
    <t>第3期_第1天奖励</t>
    <phoneticPr fontId="21" type="noConversion"/>
  </si>
  <si>
    <t>第3期_第2天奖励</t>
  </si>
  <si>
    <t>第3期_第3天奖励</t>
  </si>
  <si>
    <t>第3期_第4天奖励</t>
  </si>
  <si>
    <t>第3期_第5天奖励</t>
  </si>
  <si>
    <t>第3期_第6天奖励</t>
  </si>
  <si>
    <t>第3期_第7天奖励</t>
  </si>
  <si>
    <t>第3期_第8天奖励</t>
  </si>
  <si>
    <t>第3期_第9天奖励</t>
  </si>
  <si>
    <t>第3期_第10天奖励</t>
  </si>
  <si>
    <t>第3期_第11天奖励</t>
  </si>
  <si>
    <t>第3期_第12天奖励</t>
  </si>
  <si>
    <t>第3期_第13天奖励</t>
  </si>
  <si>
    <t>第3期_第14天奖励</t>
  </si>
  <si>
    <t>第3期_第15天奖励</t>
  </si>
  <si>
    <t>第3期_第16天奖励</t>
  </si>
  <si>
    <t>第3期_第17天奖励</t>
  </si>
  <si>
    <t>第3期_第18天奖励</t>
  </si>
  <si>
    <t>第3期_第19天奖励</t>
  </si>
  <si>
    <t>第3期_第20天奖励</t>
  </si>
  <si>
    <t>第3期_第21天奖励</t>
  </si>
  <si>
    <t>第3期_第22天奖励</t>
  </si>
  <si>
    <t>第3期_第23天奖励</t>
  </si>
  <si>
    <t>第3期_第24天奖励</t>
  </si>
  <si>
    <t>第3期_第25天奖励</t>
  </si>
  <si>
    <t>第3期_第26天奖励</t>
  </si>
  <si>
    <t>第3期_第27天奖励</t>
  </si>
  <si>
    <t>第3期_第28天奖励</t>
  </si>
  <si>
    <t>第3期_第29天奖励</t>
  </si>
  <si>
    <t>第3期_第30天奖励</t>
  </si>
  <si>
    <t>开服首月_第1天奖励</t>
    <phoneticPr fontId="21" type="noConversion"/>
  </si>
  <si>
    <t>开服首月_第2天奖励</t>
  </si>
  <si>
    <t>开服首月_第3天奖励</t>
  </si>
  <si>
    <t>开服首月_第4天奖励</t>
  </si>
  <si>
    <t>开服首月_第5天奖励</t>
  </si>
  <si>
    <t>开服首月_第6天奖励</t>
  </si>
  <si>
    <t>开服首月_第7天奖励</t>
  </si>
  <si>
    <t>开服首月_第8天奖励</t>
  </si>
  <si>
    <t>开服首月_第9天奖励</t>
  </si>
  <si>
    <t>开服首月_第10天奖励</t>
  </si>
  <si>
    <t>开服首月_第11天奖励</t>
  </si>
  <si>
    <t>开服首月_第12天奖励</t>
  </si>
  <si>
    <t>开服首月_第13天奖励</t>
  </si>
  <si>
    <t>开服首月_第14天奖励</t>
  </si>
  <si>
    <t>开服首月_第15天奖励</t>
  </si>
  <si>
    <t>开服首月_第16天奖励</t>
  </si>
  <si>
    <t>开服首月_第17天奖励</t>
  </si>
  <si>
    <t>开服首月_第18天奖励</t>
  </si>
  <si>
    <t>开服首月_第19天奖励</t>
  </si>
  <si>
    <t>开服首月_第20天奖励</t>
  </si>
  <si>
    <t>开服首月_第21天奖励</t>
  </si>
  <si>
    <t>开服首月_第22天奖励</t>
  </si>
  <si>
    <t>开服首月_第23天奖励</t>
  </si>
  <si>
    <t>开服首月_第24天奖励</t>
  </si>
  <si>
    <t>开服首月_第25天奖励</t>
  </si>
  <si>
    <t>开服首月_第26天奖励</t>
  </si>
  <si>
    <t>开服首月_第27天奖励</t>
  </si>
  <si>
    <t>开服首月_第28天奖励</t>
  </si>
  <si>
    <t>开服首月_第29天奖励</t>
  </si>
  <si>
    <t>开服首月_第30天奖励</t>
  </si>
  <si>
    <t>小拳拳</t>
  </si>
  <si>
    <t>4|2|18|13,4|2|188|2,1|14106|5|10,1|16010|5|10,1|16005|5|10,1|14201|5|10,1|17001|5|10,1|14567|5|2,1|14505|5|15,1|14413|1|18</t>
  </si>
  <si>
    <t>3|43000|1|1,3|41092|1|1,3|41019|1|1</t>
  </si>
  <si>
    <t>3|43000|1|1,3|41093|1|1,3|41050|1|1</t>
  </si>
  <si>
    <t>3|43000|1|1,3|41099|1|1,3|41028|1|1</t>
  </si>
  <si>
    <t>3|43000|1|1,3|41098|1|1,3|41051|1|1</t>
  </si>
  <si>
    <t>3|43000|1|1,3|41096|1|1,3|41027|1|1</t>
  </si>
  <si>
    <t>3|43000|1|1,3|41097|1|1,3|41052|1|1</t>
  </si>
  <si>
    <t>3|43000|1|1,3|41091|1|1,3|41023|1|1</t>
  </si>
  <si>
    <t>3|43000|1|1,3|41088|1|1,3|41020|1|1</t>
  </si>
  <si>
    <t>3|43000|1|1,3|41095|1|1,3|41031|1|1</t>
  </si>
  <si>
    <t>3|43000|1|1,3|41092|1|1,3|41021|1|1</t>
  </si>
  <si>
    <t>3|43000|1|1,3|41099|1|1,3|41036|1|1</t>
  </si>
  <si>
    <t>3|43000|1|1,3|41096|1|1,3|41035|1|1</t>
  </si>
  <si>
    <t>3|43000|1|1,3|41091|1|1,3|41038|1|1</t>
  </si>
  <si>
    <t>3|43000|1|1,3|41088|1|1,3|41022|1|1</t>
  </si>
  <si>
    <t>3|43000|1|1,3|41095|1|1,3|41030|1|1</t>
  </si>
  <si>
    <t>3|43000|1|1,3|41092|1|1,3|41032|1|1</t>
  </si>
  <si>
    <t>3|43000|1|1,3|41099|1|1,3|41034|1|1</t>
  </si>
  <si>
    <t>3|43000|1|1,3|41096|1|1,3|41029|1|1</t>
  </si>
  <si>
    <t>1|14001|0,1|14107|0,1|11029|1,1|10116|0</t>
  </si>
  <si>
    <t>1|14001|0,1|14107|0,1|11030|1,1|10118|0</t>
  </si>
  <si>
    <t>1|14001|0,1|14107|0,1|11036|1,1|10026|0</t>
  </si>
  <si>
    <t>1|14001|0,1|14107|0,1|11035|1,1|10002|0</t>
  </si>
  <si>
    <t>1|14001|0,1|14107|0,1|11033|1,1|10031|0</t>
  </si>
  <si>
    <t>1|14001|0,1|14107|0,1|11034|1,1|10112|0</t>
  </si>
  <si>
    <t>1|14001|0,1|14107|0,1|11028|1,1|10101|0</t>
  </si>
  <si>
    <t>1|14001|0,1|14107|0,1|11025|1,1|10108|0</t>
  </si>
  <si>
    <t>1|14001|0,1|14107|0,1|11032|1,1|10022|0</t>
  </si>
  <si>
    <t>1|14001|0,1|14107|0,1|11029|1,1|10107|0</t>
  </si>
  <si>
    <t>1|14001|0,1|14107|0,1|11036|1,1|10009|0</t>
  </si>
  <si>
    <t>1|14001|0,1|14107|0,1|11033|1,1|10010|0</t>
  </si>
  <si>
    <t>1|14001|0,1|14107|0,1|11028|1,1|10006|0</t>
  </si>
  <si>
    <t>1|14001|0,1|14107|0,1|11025|1,1|10102|0</t>
  </si>
  <si>
    <t>1|14001|0,1|14107|0,1|11032|1,1|10023|0</t>
  </si>
  <si>
    <t>1|14001|0,1|14107|0,1|11029|1,1|10017|0</t>
  </si>
  <si>
    <t>1|14001|0,1|14107|0,1|11036|1,1|10014|0</t>
  </si>
  <si>
    <t>1|14001|0,1|14107|0,1|11033|1,1|10025|0</t>
  </si>
  <si>
    <t>主线副本 第68章 第6关道具奖励</t>
  </si>
  <si>
    <t>主线副本 第68章 第9关道具奖励</t>
  </si>
  <si>
    <t>主线副本 第68章 第10关道具奖励</t>
  </si>
  <si>
    <t>主线副本 第69章 第6关道具奖励</t>
  </si>
  <si>
    <t>主线副本 第69章 第9关道具奖励</t>
  </si>
  <si>
    <t>主线副本 第69章 第10关道具奖励</t>
  </si>
  <si>
    <t>主线副本 第70章 第6关道具奖励</t>
  </si>
  <si>
    <t>主线副本 第70章 第9关道具奖励</t>
  </si>
  <si>
    <t>主线副本 第70章 第10关道具奖励</t>
  </si>
  <si>
    <t>主线副本 第71章 第6关道具奖励</t>
  </si>
  <si>
    <t>主线副本 第71章 第9关道具奖励</t>
  </si>
  <si>
    <t>主线副本 第71章 第10关道具奖励</t>
  </si>
  <si>
    <t>主线副本 第72章 第6关道具奖励</t>
  </si>
  <si>
    <t>主线副本 第72章 第9关道具奖励</t>
  </si>
  <si>
    <t>主线副本 第72章 第10关道具奖励</t>
  </si>
  <si>
    <t>主线副本 第73章 第6关道具奖励</t>
  </si>
  <si>
    <t>主线副本 第73章 第9关道具奖励</t>
  </si>
  <si>
    <t>主线副本 第73章 第10关道具奖励</t>
  </si>
  <si>
    <t>主线副本 第74章 第6关道具奖励</t>
  </si>
  <si>
    <t>主线副本 第74章 第9关道具奖励</t>
  </si>
  <si>
    <t>主线副本 第74章 第10关道具奖励</t>
  </si>
  <si>
    <t>主线副本 第75章 第6关道具奖励</t>
  </si>
  <si>
    <t>主线副本 第75章 第9关道具奖励</t>
  </si>
  <si>
    <t>主线副本 第75章 第10关道具奖励</t>
  </si>
  <si>
    <t>主线副本 第76章 第6关道具奖励</t>
  </si>
  <si>
    <t>主线副本 第76章 第9关道具奖励</t>
  </si>
  <si>
    <t>主线副本 第76章 第10关道具奖励</t>
  </si>
  <si>
    <t>主线副本 第77章 第6关道具奖励</t>
  </si>
  <si>
    <t>主线副本 第77章 第9关道具奖励</t>
  </si>
  <si>
    <t>主线副本 第77章 第10关道具奖励</t>
  </si>
  <si>
    <t>主线副本 第78章 第6关道具奖励</t>
  </si>
  <si>
    <t>主线副本 第78章 第9关道具奖励</t>
  </si>
  <si>
    <t>主线副本 第78章 第10关道具奖励</t>
  </si>
  <si>
    <t>主线副本 第79章 第6关道具奖励</t>
  </si>
  <si>
    <t>主线副本 第79章 第9关道具奖励</t>
  </si>
  <si>
    <t>主线副本 第79章 第10关道具奖励</t>
  </si>
  <si>
    <t>主线副本 第80章 第6关道具奖励</t>
  </si>
  <si>
    <t>主线副本 第80章 第9关道具奖励</t>
  </si>
  <si>
    <t>主线副本 第80章 第10关道具奖励</t>
  </si>
  <si>
    <t>主线副本 第81章 第6关道具奖励</t>
  </si>
  <si>
    <t>主线副本 第81章 第9关道具奖励</t>
  </si>
  <si>
    <t>主线副本 第81章 第10关道具奖励</t>
  </si>
  <si>
    <t>主线副本 第82章 第6关道具奖励</t>
  </si>
  <si>
    <t>主线副本 第82章 第9关道具奖励</t>
  </si>
  <si>
    <t>主线副本 第82章 第10关道具奖励</t>
  </si>
  <si>
    <t>主线副本 第83章 第6关道具奖励</t>
  </si>
  <si>
    <t>主线副本 第83章 第9关道具奖励</t>
  </si>
  <si>
    <t>主线副本 第83章 第10关道具奖励</t>
  </si>
  <si>
    <t>主线副本 第84章 第6关道具奖励</t>
  </si>
  <si>
    <t>主线副本 第84章 第9关道具奖励</t>
  </si>
  <si>
    <t>主线副本 第84章 第10关道具奖励</t>
  </si>
  <si>
    <t>主线副本 第85章 第6关道具奖励</t>
  </si>
  <si>
    <t>主线副本 第85章 第9关道具奖励</t>
  </si>
  <si>
    <t>主线副本 第85章 第10关道具奖励</t>
  </si>
  <si>
    <t>主线副本 第86章 第6关道具奖励</t>
  </si>
  <si>
    <t>主线副本 第86章 第9关道具奖励</t>
  </si>
  <si>
    <t>主线副本 第86章 第10关道具奖励</t>
  </si>
  <si>
    <t>主线副本 第87章 第6关道具奖励</t>
  </si>
  <si>
    <t>主线副本 第87章 第9关道具奖励</t>
  </si>
  <si>
    <t>主线副本 第87章 第10关道具奖励</t>
  </si>
  <si>
    <t>主线副本 第88章 第6关道具奖励</t>
  </si>
  <si>
    <t>主线副本 第88章 第9关道具奖励</t>
  </si>
  <si>
    <t>主线副本 第88章 第10关道具奖励</t>
  </si>
  <si>
    <t>主线副本 第89章 第6关道具奖励</t>
  </si>
  <si>
    <t>主线副本 第89章 第9关道具奖励</t>
  </si>
  <si>
    <t>主线副本 第89章 第10关道具奖励</t>
  </si>
  <si>
    <t>主线副本 第90章 第6关道具奖励</t>
  </si>
  <si>
    <t>主线副本 第90章 第9关道具奖励</t>
  </si>
  <si>
    <t>主线副本 第90章 第10关道具奖励</t>
  </si>
  <si>
    <t>主线副本 第91章 第6关道具奖励</t>
  </si>
  <si>
    <t>主线副本 第91章 第9关道具奖励</t>
  </si>
  <si>
    <t>主线副本 第91章 第10关道具奖励</t>
  </si>
  <si>
    <t>主线副本 第92章 第6关道具奖励</t>
  </si>
  <si>
    <t>主线副本 第92章 第9关道具奖励</t>
  </si>
  <si>
    <t>主线副本 第92章 第10关道具奖励</t>
  </si>
  <si>
    <t>主线副本 第93章 第6关道具奖励</t>
  </si>
  <si>
    <t>主线副本 第93章 第9关道具奖励</t>
  </si>
  <si>
    <t>主线副本 第93章 第10关道具奖励</t>
  </si>
  <si>
    <t>主线副本 第94章 第6关道具奖励</t>
  </si>
  <si>
    <t>主线副本 第94章 第9关道具奖励</t>
  </si>
  <si>
    <t>主线副本 第94章 第10关道具奖励</t>
  </si>
  <si>
    <t>主线副本 第95章 第6关道具奖励</t>
  </si>
  <si>
    <t>主线副本 第95章 第9关道具奖励</t>
  </si>
  <si>
    <t>主线副本 第95章 第10关道具奖励</t>
  </si>
  <si>
    <t>主线副本 第96章 第6关道具奖励</t>
  </si>
  <si>
    <t>主线副本 第96章 第9关道具奖励</t>
  </si>
  <si>
    <t>主线副本 第96章 第10关道具奖励</t>
  </si>
  <si>
    <t>主线副本 第97章 第6关道具奖励</t>
  </si>
  <si>
    <t>主线副本 第97章 第9关道具奖励</t>
  </si>
  <si>
    <t>主线副本 第97章 第10关道具奖励</t>
  </si>
  <si>
    <t>主线副本 第98章 第6关道具奖励</t>
  </si>
  <si>
    <t>主线副本 第98章 第9关道具奖励</t>
  </si>
  <si>
    <t>主线副本 第98章 第10关道具奖励</t>
  </si>
  <si>
    <t>主线副本 第99章 第6关道具奖励</t>
  </si>
  <si>
    <t>主线副本 第99章 第9关道具奖励</t>
  </si>
  <si>
    <t>主线副本 第99章 第10关道具奖励</t>
  </si>
  <si>
    <t>主线副本 第100章 第6关道具奖励</t>
  </si>
  <si>
    <t>主线副本 第100章 第9关道具奖励</t>
  </si>
  <si>
    <t>主线副本 第100章 第10关道具奖励</t>
  </si>
  <si>
    <t>主线副本 第101章 第6关道具奖励</t>
  </si>
  <si>
    <t>主线副本 第101章 第9关道具奖励</t>
  </si>
  <si>
    <t>主线副本 第101章 第10关道具奖励</t>
  </si>
  <si>
    <t>主线副本 第102章 第6关道具奖励</t>
  </si>
  <si>
    <t>主线副本 第102章 第9关道具奖励</t>
  </si>
  <si>
    <t>主线副本 第102章 第10关道具奖励</t>
  </si>
  <si>
    <t>主线副本 第103章 第6关道具奖励</t>
  </si>
  <si>
    <t>主线副本 第103章 第9关道具奖励</t>
  </si>
  <si>
    <t>主线副本 第103章 第10关道具奖励</t>
  </si>
  <si>
    <t>主线副本 第104章 第6关道具奖励</t>
  </si>
  <si>
    <t>主线副本 第104章 第9关道具奖励</t>
  </si>
  <si>
    <t>主线副本 第104章 第10关道具奖励</t>
  </si>
  <si>
    <t>主线副本 第105章 第6关道具奖励</t>
  </si>
  <si>
    <t>主线副本 第105章 第9关道具奖励</t>
  </si>
  <si>
    <t>主线副本 第105章 第10关道具奖励</t>
  </si>
  <si>
    <t>主线副本 第106章 第6关道具奖励</t>
  </si>
  <si>
    <t>主线副本 第106章 第9关道具奖励</t>
  </si>
  <si>
    <t>主线副本 第106章 第10关道具奖励</t>
  </si>
  <si>
    <t>主线副本 第107章 第6关道具奖励</t>
  </si>
  <si>
    <t>主线副本 第107章 第9关道具奖励</t>
  </si>
  <si>
    <t>主线副本 第107章 第10关道具奖励</t>
  </si>
  <si>
    <t>主线副本 第108章 第6关道具奖励</t>
  </si>
  <si>
    <t>主线副本 第108章 第9关道具奖励</t>
  </si>
  <si>
    <t>主线副本 第108章 第10关道具奖励</t>
  </si>
  <si>
    <t>主线副本 第109章 第6关道具奖励</t>
  </si>
  <si>
    <t>主线副本 第109章 第9关道具奖励</t>
  </si>
  <si>
    <t>主线副本 第109章 第10关道具奖励</t>
  </si>
  <si>
    <t>主线副本 第110章 第6关道具奖励</t>
  </si>
  <si>
    <t>主线副本 第110章 第9关道具奖励</t>
  </si>
  <si>
    <t>主线副本 第110章 第10关道具奖励</t>
  </si>
  <si>
    <t>主线副本 第111章 第6关道具奖励</t>
  </si>
  <si>
    <t>主线副本 第111章 第9关道具奖励</t>
  </si>
  <si>
    <t>主线副本 第111章 第10关道具奖励</t>
  </si>
  <si>
    <t>主线副本 第112章 第6关道具奖励</t>
  </si>
  <si>
    <t>主线副本 第112章 第9关道具奖励</t>
  </si>
  <si>
    <t>主线副本 第112章 第10关道具奖励</t>
  </si>
  <si>
    <t>主线副本 第113章 第6关道具奖励</t>
  </si>
  <si>
    <t>主线副本 第113章 第9关道具奖励</t>
  </si>
  <si>
    <t>主线副本 第113章 第10关道具奖励</t>
  </si>
  <si>
    <t>主线副本 第114章 第6关道具奖励</t>
  </si>
  <si>
    <t>主线副本 第114章 第9关道具奖励</t>
  </si>
  <si>
    <t>主线副本 第114章 第10关道具奖励</t>
  </si>
  <si>
    <t>主线副本 第115章 第6关道具奖励</t>
  </si>
  <si>
    <t>主线副本 第115章 第9关道具奖励</t>
  </si>
  <si>
    <t>主线副本 第115章 第10关道具奖励</t>
  </si>
  <si>
    <t>主线副本 第116章 第6关道具奖励</t>
  </si>
  <si>
    <t>主线副本 第116章 第9关道具奖励</t>
  </si>
  <si>
    <t>主线副本 第116章 第10关道具奖励</t>
  </si>
  <si>
    <t>主线副本 第117章 第6关道具奖励</t>
  </si>
  <si>
    <t>主线副本 第117章 第9关道具奖励</t>
  </si>
  <si>
    <t>主线副本 第117章 第10关道具奖励</t>
  </si>
  <si>
    <t>主线副本 第118章 第6关道具奖励</t>
  </si>
  <si>
    <t>主线副本 第118章 第9关道具奖励</t>
  </si>
  <si>
    <t>主线副本 第118章 第10关道具奖励</t>
  </si>
  <si>
    <t>主线副本 第119章 第6关道具奖励</t>
  </si>
  <si>
    <t>主线副本 第119章 第9关道具奖励</t>
  </si>
  <si>
    <t>主线副本 第119章 第10关道具奖励</t>
  </si>
  <si>
    <t>主线副本 第120章 第6关道具奖励</t>
  </si>
  <si>
    <t>主线副本 第120章 第9关道具奖励</t>
  </si>
  <si>
    <t>主线副本 第120章 第10关道具奖励</t>
  </si>
  <si>
    <t>主线副本 第121章 第6关道具奖励</t>
  </si>
  <si>
    <t>主线副本 第121章 第9关道具奖励</t>
  </si>
  <si>
    <t>主线副本 第121章 第10关道具奖励</t>
  </si>
  <si>
    <t>主线副本 第122章 第6关道具奖励</t>
  </si>
  <si>
    <t>主线副本 第122章 第9关道具奖励</t>
  </si>
  <si>
    <t>主线副本 第122章 第10关道具奖励</t>
  </si>
  <si>
    <t>主线副本 第123章 第6关道具奖励</t>
  </si>
  <si>
    <t>主线副本 第123章 第9关道具奖励</t>
  </si>
  <si>
    <t>主线副本 第123章 第10关道具奖励</t>
  </si>
  <si>
    <t>主线副本 第124章 第6关道具奖励</t>
  </si>
  <si>
    <t>主线副本 第124章 第9关道具奖励</t>
  </si>
  <si>
    <t>主线副本 第124章 第10关道具奖励</t>
  </si>
  <si>
    <t>主线副本 第125章 第6关道具奖励</t>
  </si>
  <si>
    <t>主线副本 第125章 第9关道具奖励</t>
  </si>
  <si>
    <t>主线副本 第125章 第10关道具奖励</t>
  </si>
  <si>
    <t>主线副本 第126章 第6关道具奖励</t>
  </si>
  <si>
    <t>主线副本 第126章 第9关道具奖励</t>
  </si>
  <si>
    <t>主线副本 第126章 第10关道具奖励</t>
  </si>
  <si>
    <t>主线副本 第127章 第6关道具奖励</t>
  </si>
  <si>
    <t>主线副本 第127章 第9关道具奖励</t>
  </si>
  <si>
    <t>主线副本 第127章 第10关道具奖励</t>
  </si>
  <si>
    <t>主线副本 第128章 第6关道具奖励</t>
  </si>
  <si>
    <t>主线副本 第128章 第9关道具奖励</t>
  </si>
  <si>
    <t>主线副本 第128章 第10关道具奖励</t>
  </si>
  <si>
    <t>主线副本 第129章 第6关道具奖励</t>
  </si>
  <si>
    <t>主线副本 第129章 第9关道具奖励</t>
  </si>
  <si>
    <t>主线副本 第129章 第10关道具奖励</t>
  </si>
  <si>
    <t>主线副本 第130章 第6关道具奖励</t>
  </si>
  <si>
    <t>主线副本 第130章 第9关道具奖励</t>
  </si>
  <si>
    <t>主线副本 第130章 第10关道具奖励</t>
  </si>
  <si>
    <t>主线副本 第131章 第6关道具奖励</t>
  </si>
  <si>
    <t>主线副本 第131章 第9关道具奖励</t>
  </si>
  <si>
    <t>主线副本 第131章 第10关道具奖励</t>
  </si>
  <si>
    <t>主线副本 第132章 第6关道具奖励</t>
  </si>
  <si>
    <t>主线副本 第132章 第9关道具奖励</t>
  </si>
  <si>
    <t>主线副本 第132章 第10关道具奖励</t>
  </si>
  <si>
    <t>精英副本 第68章 第6关道具奖励</t>
  </si>
  <si>
    <t>精英副本 第68章 第9关道具奖励</t>
  </si>
  <si>
    <t>精英副本 第68章 第10关道具奖励</t>
  </si>
  <si>
    <t>精英副本 第69章 第6关道具奖励</t>
  </si>
  <si>
    <t>精英副本 第69章 第9关道具奖励</t>
  </si>
  <si>
    <t>精英副本 第69章 第10关道具奖励</t>
  </si>
  <si>
    <t>精英副本 第70章 第6关道具奖励</t>
  </si>
  <si>
    <t>精英副本 第70章 第9关道具奖励</t>
  </si>
  <si>
    <t>精英副本 第70章 第10关道具奖励</t>
  </si>
  <si>
    <t>精英副本 第71章 第6关道具奖励</t>
  </si>
  <si>
    <t>精英副本 第71章 第9关道具奖励</t>
  </si>
  <si>
    <t>精英副本 第71章 第10关道具奖励</t>
  </si>
  <si>
    <t>精英副本 第72章 第6关道具奖励</t>
  </si>
  <si>
    <t>精英副本 第72章 第9关道具奖励</t>
  </si>
  <si>
    <t>精英副本 第72章 第10关道具奖励</t>
  </si>
  <si>
    <t>精英副本 第73章 第6关道具奖励</t>
  </si>
  <si>
    <t>精英副本 第73章 第9关道具奖励</t>
  </si>
  <si>
    <t>精英副本 第73章 第10关道具奖励</t>
  </si>
  <si>
    <t>精英副本 第74章 第6关道具奖励</t>
  </si>
  <si>
    <t>精英副本 第74章 第9关道具奖励</t>
  </si>
  <si>
    <t>精英副本 第74章 第10关道具奖励</t>
  </si>
  <si>
    <t>精英副本 第75章 第6关道具奖励</t>
  </si>
  <si>
    <t>精英副本 第75章 第9关道具奖励</t>
  </si>
  <si>
    <t>精英副本 第75章 第10关道具奖励</t>
  </si>
  <si>
    <t>精英副本 第76章 第6关道具奖励</t>
  </si>
  <si>
    <t>精英副本 第76章 第9关道具奖励</t>
  </si>
  <si>
    <t>精英副本 第76章 第10关道具奖励</t>
  </si>
  <si>
    <t>精英副本 第77章 第6关道具奖励</t>
  </si>
  <si>
    <t>精英副本 第77章 第9关道具奖励</t>
  </si>
  <si>
    <t>精英副本 第77章 第10关道具奖励</t>
  </si>
  <si>
    <t>精英副本 第78章 第6关道具奖励</t>
  </si>
  <si>
    <t>精英副本 第78章 第9关道具奖励</t>
  </si>
  <si>
    <t>精英副本 第78章 第10关道具奖励</t>
  </si>
  <si>
    <t>精英副本 第79章 第6关道具奖励</t>
  </si>
  <si>
    <t>精英副本 第79章 第9关道具奖励</t>
  </si>
  <si>
    <t>精英副本 第79章 第10关道具奖励</t>
  </si>
  <si>
    <t>精英副本 第80章 第6关道具奖励</t>
  </si>
  <si>
    <t>精英副本 第80章 第9关道具奖励</t>
  </si>
  <si>
    <t>精英副本 第80章 第10关道具奖励</t>
  </si>
  <si>
    <t>精英副本 第81章 第6关道具奖励</t>
  </si>
  <si>
    <t>精英副本 第81章 第9关道具奖励</t>
  </si>
  <si>
    <t>精英副本 第81章 第10关道具奖励</t>
  </si>
  <si>
    <t>精英副本 第82章 第6关道具奖励</t>
  </si>
  <si>
    <t>精英副本 第82章 第9关道具奖励</t>
  </si>
  <si>
    <t>精英副本 第82章 第10关道具奖励</t>
  </si>
  <si>
    <t>精英副本 第83章 第6关道具奖励</t>
  </si>
  <si>
    <t>精英副本 第83章 第9关道具奖励</t>
  </si>
  <si>
    <t>精英副本 第83章 第10关道具奖励</t>
  </si>
  <si>
    <t>精英副本 第84章 第6关道具奖励</t>
  </si>
  <si>
    <t>精英副本 第84章 第9关道具奖励</t>
  </si>
  <si>
    <t>精英副本 第84章 第10关道具奖励</t>
  </si>
  <si>
    <t>精英副本 第85章 第6关道具奖励</t>
  </si>
  <si>
    <t>精英副本 第85章 第9关道具奖励</t>
  </si>
  <si>
    <t>精英副本 第85章 第10关道具奖励</t>
  </si>
  <si>
    <t>精英副本 第86章 第6关道具奖励</t>
  </si>
  <si>
    <t>精英副本 第86章 第9关道具奖励</t>
  </si>
  <si>
    <t>精英副本 第86章 第10关道具奖励</t>
  </si>
  <si>
    <t>精英副本 第87章 第6关道具奖励</t>
  </si>
  <si>
    <t>精英副本 第87章 第9关道具奖励</t>
  </si>
  <si>
    <t>精英副本 第87章 第10关道具奖励</t>
  </si>
  <si>
    <t>精英副本 第88章 第6关道具奖励</t>
  </si>
  <si>
    <t>精英副本 第88章 第9关道具奖励</t>
  </si>
  <si>
    <t>精英副本 第88章 第10关道具奖励</t>
  </si>
  <si>
    <t>精英副本 第89章 第6关道具奖励</t>
  </si>
  <si>
    <t>精英副本 第89章 第9关道具奖励</t>
  </si>
  <si>
    <t>精英副本 第89章 第10关道具奖励</t>
  </si>
  <si>
    <t>精英副本 第90章 第6关道具奖励</t>
  </si>
  <si>
    <t>精英副本 第90章 第9关道具奖励</t>
  </si>
  <si>
    <t>精英副本 第90章 第10关道具奖励</t>
  </si>
  <si>
    <t>精英副本 第91章 第6关道具奖励</t>
  </si>
  <si>
    <t>精英副本 第91章 第9关道具奖励</t>
  </si>
  <si>
    <t>精英副本 第91章 第10关道具奖励</t>
  </si>
  <si>
    <t>精英副本 第92章 第6关道具奖励</t>
  </si>
  <si>
    <t>精英副本 第92章 第9关道具奖励</t>
  </si>
  <si>
    <t>精英副本 第92章 第10关道具奖励</t>
  </si>
  <si>
    <t>精英副本 第93章 第6关道具奖励</t>
  </si>
  <si>
    <t>精英副本 第93章 第9关道具奖励</t>
  </si>
  <si>
    <t>精英副本 第93章 第10关道具奖励</t>
  </si>
  <si>
    <t>精英副本 第94章 第6关道具奖励</t>
  </si>
  <si>
    <t>精英副本 第94章 第9关道具奖励</t>
  </si>
  <si>
    <t>精英副本 第94章 第10关道具奖励</t>
  </si>
  <si>
    <t>精英副本 第95章 第6关道具奖励</t>
  </si>
  <si>
    <t>精英副本 第95章 第9关道具奖励</t>
  </si>
  <si>
    <t>精英副本 第95章 第10关道具奖励</t>
  </si>
  <si>
    <t>精英副本 第96章 第6关道具奖励</t>
  </si>
  <si>
    <t>精英副本 第96章 第9关道具奖励</t>
  </si>
  <si>
    <t>精英副本 第96章 第10关道具奖励</t>
  </si>
  <si>
    <t>精英副本 第97章 第6关道具奖励</t>
  </si>
  <si>
    <t>精英副本 第97章 第9关道具奖励</t>
  </si>
  <si>
    <t>精英副本 第97章 第10关道具奖励</t>
  </si>
  <si>
    <t>精英副本 第98章 第6关道具奖励</t>
  </si>
  <si>
    <t>精英副本 第98章 第9关道具奖励</t>
  </si>
  <si>
    <t>精英副本 第98章 第10关道具奖励</t>
  </si>
  <si>
    <t>精英副本 第99章 第6关道具奖励</t>
  </si>
  <si>
    <t>精英副本 第99章 第9关道具奖励</t>
  </si>
  <si>
    <t>精英副本 第99章 第10关道具奖励</t>
  </si>
  <si>
    <t>精英副本 第100章 第6关道具奖励</t>
  </si>
  <si>
    <t>精英副本 第100章 第9关道具奖励</t>
  </si>
  <si>
    <t>精英副本 第100章 第10关道具奖励</t>
  </si>
  <si>
    <t>精英副本 第101章 第6关道具奖励</t>
  </si>
  <si>
    <t>精英副本 第101章 第9关道具奖励</t>
  </si>
  <si>
    <t>精英副本 第101章 第10关道具奖励</t>
  </si>
  <si>
    <t>精英副本 第102章 第6关道具奖励</t>
  </si>
  <si>
    <t>精英副本 第102章 第9关道具奖励</t>
  </si>
  <si>
    <t>精英副本 第102章 第10关道具奖励</t>
  </si>
  <si>
    <t>精英副本 第103章 第6关道具奖励</t>
  </si>
  <si>
    <t>精英副本 第103章 第9关道具奖励</t>
  </si>
  <si>
    <t>精英副本 第103章 第10关道具奖励</t>
  </si>
  <si>
    <t>精英副本 第104章 第6关道具奖励</t>
  </si>
  <si>
    <t>精英副本 第104章 第9关道具奖励</t>
  </si>
  <si>
    <t>精英副本 第104章 第10关道具奖励</t>
  </si>
  <si>
    <t>精英副本 第105章 第6关道具奖励</t>
  </si>
  <si>
    <t>精英副本 第105章 第9关道具奖励</t>
  </si>
  <si>
    <t>精英副本 第105章 第10关道具奖励</t>
  </si>
  <si>
    <t>精英副本 第106章 第6关道具奖励</t>
  </si>
  <si>
    <t>精英副本 第106章 第9关道具奖励</t>
  </si>
  <si>
    <t>精英副本 第106章 第10关道具奖励</t>
  </si>
  <si>
    <t>精英副本 第107章 第6关道具奖励</t>
  </si>
  <si>
    <t>精英副本 第107章 第9关道具奖励</t>
  </si>
  <si>
    <t>精英副本 第107章 第10关道具奖励</t>
  </si>
  <si>
    <t>精英副本 第108章 第6关道具奖励</t>
  </si>
  <si>
    <t>精英副本 第108章 第9关道具奖励</t>
  </si>
  <si>
    <t>精英副本 第108章 第10关道具奖励</t>
  </si>
  <si>
    <t>精英副本 第109章 第6关道具奖励</t>
  </si>
  <si>
    <t>精英副本 第109章 第9关道具奖励</t>
  </si>
  <si>
    <t>精英副本 第109章 第10关道具奖励</t>
  </si>
  <si>
    <t>精英副本 第110章 第6关道具奖励</t>
  </si>
  <si>
    <t>精英副本 第110章 第9关道具奖励</t>
  </si>
  <si>
    <t>精英副本 第110章 第10关道具奖励</t>
  </si>
  <si>
    <t>精英副本 第111章 第6关道具奖励</t>
  </si>
  <si>
    <t>精英副本 第111章 第9关道具奖励</t>
  </si>
  <si>
    <t>精英副本 第111章 第10关道具奖励</t>
  </si>
  <si>
    <t>精英副本 第112章 第6关道具奖励</t>
  </si>
  <si>
    <t>精英副本 第112章 第9关道具奖励</t>
  </si>
  <si>
    <t>精英副本 第112章 第10关道具奖励</t>
  </si>
  <si>
    <t>精英副本 第113章 第6关道具奖励</t>
  </si>
  <si>
    <t>精英副本 第113章 第9关道具奖励</t>
  </si>
  <si>
    <t>精英副本 第113章 第10关道具奖励</t>
  </si>
  <si>
    <t>精英副本 第114章 第6关道具奖励</t>
  </si>
  <si>
    <t>精英副本 第114章 第9关道具奖励</t>
  </si>
  <si>
    <t>精英副本 第114章 第10关道具奖励</t>
  </si>
  <si>
    <t>精英副本 第115章 第6关道具奖励</t>
  </si>
  <si>
    <t>精英副本 第115章 第9关道具奖励</t>
  </si>
  <si>
    <t>精英副本 第115章 第10关道具奖励</t>
  </si>
  <si>
    <t>精英副本 第116章 第6关道具奖励</t>
  </si>
  <si>
    <t>精英副本 第116章 第9关道具奖励</t>
  </si>
  <si>
    <t>精英副本 第116章 第10关道具奖励</t>
  </si>
  <si>
    <t>精英副本 第117章 第6关道具奖励</t>
  </si>
  <si>
    <t>精英副本 第117章 第9关道具奖励</t>
  </si>
  <si>
    <t>精英副本 第117章 第10关道具奖励</t>
  </si>
  <si>
    <t>精英副本 第118章 第6关道具奖励</t>
  </si>
  <si>
    <t>精英副本 第118章 第9关道具奖励</t>
  </si>
  <si>
    <t>精英副本 第118章 第10关道具奖励</t>
  </si>
  <si>
    <t>精英副本 第119章 第6关道具奖励</t>
  </si>
  <si>
    <t>精英副本 第119章 第9关道具奖励</t>
  </si>
  <si>
    <t>精英副本 第119章 第10关道具奖励</t>
  </si>
  <si>
    <t>精英副本 第120章 第6关道具奖励</t>
  </si>
  <si>
    <t>精英副本 第120章 第9关道具奖励</t>
  </si>
  <si>
    <t>精英副本 第120章 第10关道具奖励</t>
  </si>
  <si>
    <t>精英副本 第121章 第6关道具奖励</t>
  </si>
  <si>
    <t>精英副本 第121章 第9关道具奖励</t>
  </si>
  <si>
    <t>精英副本 第121章 第10关道具奖励</t>
  </si>
  <si>
    <t>精英副本 第122章 第6关道具奖励</t>
  </si>
  <si>
    <t>精英副本 第122章 第9关道具奖励</t>
  </si>
  <si>
    <t>精英副本 第122章 第10关道具奖励</t>
  </si>
  <si>
    <t>精英副本 第123章 第6关道具奖励</t>
  </si>
  <si>
    <t>精英副本 第123章 第9关道具奖励</t>
  </si>
  <si>
    <t>精英副本 第123章 第10关道具奖励</t>
  </si>
  <si>
    <t>精英副本 第124章 第6关道具奖励</t>
  </si>
  <si>
    <t>精英副本 第124章 第9关道具奖励</t>
  </si>
  <si>
    <t>精英副本 第124章 第10关道具奖励</t>
  </si>
  <si>
    <t>精英副本 第125章 第6关道具奖励</t>
  </si>
  <si>
    <t>精英副本 第125章 第9关道具奖励</t>
  </si>
  <si>
    <t>精英副本 第125章 第10关道具奖励</t>
  </si>
  <si>
    <t>精英副本 第126章 第6关道具奖励</t>
  </si>
  <si>
    <t>精英副本 第126章 第9关道具奖励</t>
  </si>
  <si>
    <t>精英副本 第126章 第10关道具奖励</t>
  </si>
  <si>
    <t>精英副本 第127章 第6关道具奖励</t>
  </si>
  <si>
    <t>精英副本 第127章 第9关道具奖励</t>
  </si>
  <si>
    <t>精英副本 第127章 第10关道具奖励</t>
  </si>
  <si>
    <t>精英副本 第128章 第6关道具奖励</t>
  </si>
  <si>
    <t>精英副本 第128章 第9关道具奖励</t>
  </si>
  <si>
    <t>精英副本 第128章 第10关道具奖励</t>
  </si>
  <si>
    <t>精英副本 第129章 第6关道具奖励</t>
  </si>
  <si>
    <t>精英副本 第129章 第9关道具奖励</t>
  </si>
  <si>
    <t>精英副本 第129章 第10关道具奖励</t>
  </si>
  <si>
    <t>精英副本 第130章 第6关道具奖励</t>
  </si>
  <si>
    <t>精英副本 第130章 第9关道具奖励</t>
  </si>
  <si>
    <t>精英副本 第130章 第10关道具奖励</t>
  </si>
  <si>
    <t>精英副本 第131章 第6关道具奖励</t>
  </si>
  <si>
    <t>精英副本 第131章 第9关道具奖励</t>
  </si>
  <si>
    <t>精英副本 第131章 第10关道具奖励</t>
  </si>
  <si>
    <t>精英副本 第132章 第6关道具奖励</t>
  </si>
  <si>
    <t>精英副本 第132章 第9关道具奖励</t>
  </si>
  <si>
    <t>精英副本 第132章 第10关道具奖励</t>
  </si>
  <si>
    <t>3|44000|1|1,3|41592|1|1,3|41519|1|1</t>
  </si>
  <si>
    <t>3|44000|1|1,3|41593|1|1,3|41550|1|1</t>
  </si>
  <si>
    <t>3|44000|1|1,3|41599|1|1,3|41528|1|1</t>
  </si>
  <si>
    <t>3|44000|1|1,3|41598|1|1,3|41551|1|1</t>
  </si>
  <si>
    <t>3|44000|1|1,3|41596|1|1,3|41527|1|1</t>
  </si>
  <si>
    <t>3|44000|1|1,3|41597|1|1,3|41552|1|1</t>
  </si>
  <si>
    <t>3|44000|1|1,3|41591|1|1,3|41523|1|1</t>
  </si>
  <si>
    <t>3|44000|1|1,3|41588|1|1,3|41520|1|1</t>
  </si>
  <si>
    <t>3|44000|1|1,3|41595|1|1,3|41531|1|1</t>
  </si>
  <si>
    <t>3|44000|1|1,3|41592|1|1,3|41521|1|1</t>
  </si>
  <si>
    <t>3|44000|1|1,3|41599|1|1,3|41536|1|1</t>
  </si>
  <si>
    <t>3|44000|1|1,3|41596|1|1,3|41535|1|1</t>
  </si>
  <si>
    <t>3|44000|1|1,3|41591|1|1,3|41538|1|1</t>
  </si>
  <si>
    <t>3|44000|1|1,3|41588|1|1,3|41522|1|1</t>
  </si>
  <si>
    <t>3|44000|1|1,3|41595|1|1,3|41530|1|1</t>
  </si>
  <si>
    <t>3|44000|1|1,3|41592|1|1,3|41532|1|1</t>
  </si>
  <si>
    <t>3|44000|1|1,3|41599|1|1,3|41534|1|1</t>
  </si>
  <si>
    <t>3|44000|1|1,3|41596|1|1,3|41529|1|1</t>
  </si>
  <si>
    <t>4|2|5|1000,4|2|10|500,4|2|20|200,4|2|50|100,4|1|1000|1000,4|1|5000|500,4|1|10000|200,4|1|20000|100,1|16005|1|2000,6|4501|1|400,6|4502|1|100,1|14107|1|10000,1|14315|1|200,1|14314|1|500,1|14300|1|1000,1|14306|1|66,1|14305|1|142,1|14299|1|333,1|17000|1|5000,1|17001|1|1000,1|14102|1|500,1|14001|1|1250,1|14002|1|250,1|14003|1|125,1|14004|1|62</t>
    <phoneticPr fontId="21" type="noConversion"/>
  </si>
  <si>
    <t>全服BOSS挑战奖励</t>
    <phoneticPr fontId="17" type="noConversion"/>
  </si>
  <si>
    <t>全服BOSS击杀奖励</t>
    <phoneticPr fontId="17" type="noConversion"/>
  </si>
  <si>
    <t>4|30|50</t>
    <phoneticPr fontId="17" type="noConversion"/>
  </si>
  <si>
    <t>4|30|50|1</t>
    <phoneticPr fontId="17" type="noConversion"/>
  </si>
  <si>
    <t>[]</t>
    <phoneticPr fontId="21" type="noConversion"/>
  </si>
  <si>
    <t>全服BOSS奖励-1级</t>
    <phoneticPr fontId="21" type="noConversion"/>
  </si>
  <si>
    <t>全服BOSS奖励-2级</t>
  </si>
  <si>
    <t>全服BOSS奖励-3级</t>
  </si>
  <si>
    <t>全服BOSS奖励-4级</t>
  </si>
  <si>
    <t>全服BOSS奖励-5级</t>
  </si>
  <si>
    <t>全服BOSS奖励-6级</t>
  </si>
  <si>
    <t>全服BOSS奖励-7级</t>
  </si>
  <si>
    <t>全服BOSS奖励-8级</t>
  </si>
  <si>
    <t>全服BOSS奖励-9级</t>
  </si>
  <si>
    <t>全服BOSS奖励-10级</t>
  </si>
  <si>
    <t>全服BOSS奖励-11级</t>
  </si>
  <si>
    <t>全服BOSS奖励-12级</t>
  </si>
  <si>
    <t>全服BOSS奖励-13级</t>
  </si>
  <si>
    <t>全服BOSS奖励-14级</t>
  </si>
  <si>
    <t>全服BOSS奖励-15级</t>
  </si>
  <si>
    <t>全服BOSS奖励-16级</t>
  </si>
  <si>
    <t>全服BOSS奖励-17级</t>
  </si>
  <si>
    <t>全服BOSS奖励-18级</t>
  </si>
  <si>
    <t>全服BOSS奖励-19级</t>
  </si>
  <si>
    <t>全服BOSS奖励-20级</t>
  </si>
  <si>
    <t>全服BOSS奖励-21级</t>
  </si>
  <si>
    <t>全服BOSS奖励-22级</t>
  </si>
  <si>
    <t>全服BOSS奖励-23级</t>
  </si>
  <si>
    <t>全服BOSS奖励-24级</t>
  </si>
  <si>
    <t>全服BOSS奖励-25级</t>
  </si>
  <si>
    <t>全服BOSS奖励-26级</t>
  </si>
  <si>
    <t>全服BOSS奖励-27级</t>
  </si>
  <si>
    <t>全服BOSS奖励-28级</t>
  </si>
  <si>
    <t>全服BOSS奖励-29级</t>
  </si>
  <si>
    <t>全服BOSS奖励-30级</t>
  </si>
  <si>
    <t>全服BOSS奖励-31级</t>
  </si>
  <si>
    <t>全服BOSS奖励-32级</t>
  </si>
  <si>
    <t>全服BOSS奖励-33级</t>
  </si>
  <si>
    <t>全服BOSS奖励-34级</t>
  </si>
  <si>
    <t>全服BOSS奖励-35级</t>
  </si>
  <si>
    <t>全服BOSS奖励-36级</t>
  </si>
  <si>
    <t>全服BOSS奖励-37级</t>
  </si>
  <si>
    <t>全服BOSS奖励-38级</t>
  </si>
  <si>
    <t>全服BOSS奖励-39级</t>
  </si>
  <si>
    <t>全服BOSS奖励-40级</t>
  </si>
  <si>
    <t>全服BOSS奖励-41级</t>
  </si>
  <si>
    <t>全服BOSS奖励-42级</t>
  </si>
  <si>
    <t>全服BOSS奖励-43级</t>
  </si>
  <si>
    <t>全服BOSS奖励-44级</t>
  </si>
  <si>
    <t>全服BOSS奖励-45级</t>
  </si>
  <si>
    <t>全服BOSS奖励-46级</t>
  </si>
  <si>
    <t>全服BOSS奖励-47级</t>
  </si>
  <si>
    <t>全服BOSS奖励-48级</t>
  </si>
  <si>
    <t>全服BOSS奖励-49级</t>
  </si>
  <si>
    <t>全服BOSS奖励-50级</t>
  </si>
  <si>
    <t>全服BOSS奖励-51级</t>
  </si>
  <si>
    <t>全服BOSS奖励-52级</t>
  </si>
  <si>
    <t>全服BOSS奖励-53级</t>
  </si>
  <si>
    <t>全服BOSS奖励-54级</t>
  </si>
  <si>
    <t>全服BOSS奖励-55级</t>
  </si>
  <si>
    <t>全服BOSS奖励-56级</t>
  </si>
  <si>
    <t>全服BOSS奖励-57级</t>
  </si>
  <si>
    <t>全服BOSS奖励-58级</t>
  </si>
  <si>
    <t>全服BOSS奖励-59级</t>
  </si>
  <si>
    <t>全服BOSS奖励-60级</t>
  </si>
  <si>
    <t>全服BOSS奖励-61级</t>
  </si>
  <si>
    <t>全服BOSS奖励-62级</t>
  </si>
  <si>
    <t>全服BOSS奖励-63级</t>
  </si>
  <si>
    <t>全服BOSS奖励-64级</t>
  </si>
  <si>
    <t>全服BOSS奖励-65级</t>
  </si>
  <si>
    <t>全服BOSS奖励-66级</t>
  </si>
  <si>
    <t>全服BOSS奖励-67级</t>
  </si>
  <si>
    <t>全服BOSS奖励-68级</t>
  </si>
  <si>
    <t>全服BOSS奖励-69级</t>
  </si>
  <si>
    <t>全服BOSS奖励-70级</t>
  </si>
  <si>
    <t>全服BOSS奖励-71级</t>
  </si>
  <si>
    <t>全服BOSS奖励-72级</t>
  </si>
  <si>
    <t>全服BOSS奖励-73级</t>
  </si>
  <si>
    <t>全服BOSS奖励-74级</t>
  </si>
  <si>
    <t>全服BOSS奖励-75级</t>
  </si>
  <si>
    <t>全服BOSS奖励-76级</t>
  </si>
  <si>
    <t>全服BOSS奖励-77级</t>
  </si>
  <si>
    <t>全服BOSS奖励-78级</t>
  </si>
  <si>
    <t>全服BOSS奖励-79级</t>
  </si>
  <si>
    <t>全服BOSS奖励-80级</t>
  </si>
  <si>
    <t>全服BOSS奖励-81级</t>
  </si>
  <si>
    <t>全服BOSS奖励-82级</t>
  </si>
  <si>
    <t>全服BOSS奖励-83级</t>
  </si>
  <si>
    <t>全服BOSS奖励-84级</t>
  </si>
  <si>
    <t>全服BOSS奖励-85级</t>
  </si>
  <si>
    <t>全服BOSS奖励-86级</t>
  </si>
  <si>
    <t>全服BOSS奖励-87级</t>
  </si>
  <si>
    <t>全服BOSS奖励-88级</t>
  </si>
  <si>
    <t>全服BOSS奖励-89级</t>
  </si>
  <si>
    <t>全服BOSS奖励-90级</t>
  </si>
  <si>
    <t>全服BOSS奖励-91级</t>
  </si>
  <si>
    <t>全服BOSS奖励-92级</t>
  </si>
  <si>
    <t>全服BOSS奖励-93级</t>
  </si>
  <si>
    <t>全服BOSS奖励-94级</t>
  </si>
  <si>
    <t>全服BOSS奖励-95级</t>
  </si>
  <si>
    <t>全服BOSS奖励-96级</t>
  </si>
  <si>
    <t>全服BOSS奖励-97级</t>
  </si>
  <si>
    <t>全服BOSS奖励-98级</t>
  </si>
  <si>
    <t>全服BOSS奖励-99级</t>
  </si>
  <si>
    <t>全服BOSS奖励-100级</t>
  </si>
  <si>
    <t>全服BOSS奖励-101级</t>
  </si>
  <si>
    <t>全服BOSS奖励-102级</t>
  </si>
  <si>
    <t>全服BOSS奖励-103级</t>
  </si>
  <si>
    <t>全服BOSS奖励-104级</t>
  </si>
  <si>
    <t>全服BOSS奖励-105级</t>
  </si>
  <si>
    <t>全服BOSS奖励-106级</t>
  </si>
  <si>
    <t>全服BOSS奖励-107级</t>
  </si>
  <si>
    <t>全服BOSS奖励-108级</t>
  </si>
  <si>
    <t>全服BOSS奖励-109级</t>
  </si>
  <si>
    <t>全服BOSS奖励-110级</t>
  </si>
  <si>
    <t>全服BOSS奖励-111级</t>
  </si>
  <si>
    <t>全服BOSS奖励-112级</t>
  </si>
  <si>
    <t>全服BOSS奖励-113级</t>
  </si>
  <si>
    <t>全服BOSS奖励-114级</t>
  </si>
  <si>
    <t>全服BOSS奖励-115级</t>
  </si>
  <si>
    <t>全服BOSS奖励-116级</t>
  </si>
  <si>
    <t>全服BOSS奖励-117级</t>
  </si>
  <si>
    <t>全服BOSS奖励-118级</t>
  </si>
  <si>
    <t>全服BOSS奖励-119级</t>
  </si>
  <si>
    <t>全服BOSS奖励-120级</t>
  </si>
  <si>
    <t>全服BOSS奖励-121级</t>
  </si>
  <si>
    <t>全服BOSS奖励-122级</t>
  </si>
  <si>
    <t>全服BOSS奖励-123级</t>
  </si>
  <si>
    <t>全服BOSS奖励-124级</t>
  </si>
  <si>
    <t>全服BOSS奖励-125级</t>
  </si>
  <si>
    <t>全服BOSS奖励-126级</t>
  </si>
  <si>
    <t>全服BOSS奖励-127级</t>
  </si>
  <si>
    <t>全服BOSS奖励-128级</t>
  </si>
  <si>
    <t>全服BOSS奖励-129级</t>
  </si>
  <si>
    <t>全服BOSS奖励-130级</t>
  </si>
  <si>
    <t>全服BOSS奖励-131级</t>
  </si>
  <si>
    <t>全服BOSS奖励-132级</t>
  </si>
  <si>
    <t>全服BOSS奖励-133级</t>
  </si>
  <si>
    <t>全服BOSS奖励-134级</t>
  </si>
  <si>
    <t>全服BOSS奖励-135级</t>
  </si>
  <si>
    <t>全服BOSS奖励-136级</t>
  </si>
  <si>
    <t>全服BOSS奖励-137级</t>
  </si>
  <si>
    <t>全服BOSS奖励-138级</t>
  </si>
  <si>
    <t>全服BOSS奖励-139级</t>
  </si>
  <si>
    <t>全服BOSS奖励-140级</t>
  </si>
  <si>
    <t>全服BOSS奖励-141级</t>
  </si>
  <si>
    <t>全服BOSS奖励-142级</t>
  </si>
  <si>
    <t>全服BOSS奖励-143级</t>
  </si>
  <si>
    <t>全服BOSS奖励-144级</t>
  </si>
  <si>
    <t>全服BOSS奖励-145级</t>
  </si>
  <si>
    <t>全服BOSS奖励-146级</t>
  </si>
  <si>
    <t>全服BOSS奖励-147级</t>
  </si>
  <si>
    <t>全服BOSS奖励-148级</t>
  </si>
  <si>
    <t>全服BOSS奖励-149级</t>
  </si>
  <si>
    <t>全服BOSS奖励-150级</t>
  </si>
  <si>
    <t>全服BOSS奖励-151级</t>
  </si>
  <si>
    <t>全服BOSS奖励-152级</t>
  </si>
  <si>
    <t>全服BOSS奖励-153级</t>
  </si>
  <si>
    <t>全服BOSS奖励-154级</t>
  </si>
  <si>
    <t>全服BOSS奖励-155级</t>
  </si>
  <si>
    <t>全服BOSS奖励-156级</t>
  </si>
  <si>
    <t>全服BOSS奖励-157级</t>
  </si>
  <si>
    <t>全服BOSS奖励-158级</t>
  </si>
  <si>
    <t>全服BOSS奖励-159级</t>
  </si>
  <si>
    <t>全服BOSS奖励-160级</t>
  </si>
  <si>
    <t>全服BOSS奖励-161级</t>
  </si>
  <si>
    <t>全服BOSS奖励-162级</t>
  </si>
  <si>
    <t>全服BOSS奖励-163级</t>
  </si>
  <si>
    <t>全服BOSS奖励-164级</t>
  </si>
  <si>
    <t>全服BOSS奖励-165级</t>
  </si>
  <si>
    <t>全服BOSS奖励-166级</t>
  </si>
  <si>
    <t>全服BOSS奖励-167级</t>
  </si>
  <si>
    <t>全服BOSS奖励-168级</t>
  </si>
  <si>
    <t>全服BOSS奖励-169级</t>
  </si>
  <si>
    <t>全服BOSS奖励-170级</t>
  </si>
  <si>
    <t>全服BOSS奖励-171级</t>
  </si>
  <si>
    <t>全服BOSS奖励-172级</t>
  </si>
  <si>
    <t>全服BOSS奖励-173级</t>
  </si>
  <si>
    <t>全服BOSS奖励-174级</t>
  </si>
  <si>
    <t>全服BOSS奖励-175级</t>
  </si>
  <si>
    <t>全服BOSS奖励-176级</t>
  </si>
  <si>
    <t>全服BOSS奖励-177级</t>
  </si>
  <si>
    <t>全服BOSS奖励-178级</t>
  </si>
  <si>
    <t>全服BOSS奖励-179级</t>
  </si>
  <si>
    <t>全服BOSS奖励-180级</t>
  </si>
  <si>
    <t>全服BOSS奖励-181级</t>
  </si>
  <si>
    <t>全服BOSS奖励-182级</t>
  </si>
  <si>
    <t>全服BOSS奖励-183级</t>
  </si>
  <si>
    <t>全服BOSS奖励-184级</t>
  </si>
  <si>
    <t>全服BOSS奖励-185级</t>
  </si>
  <si>
    <t>全服BOSS奖励-186级</t>
  </si>
  <si>
    <t>全服BOSS奖励-187级</t>
  </si>
  <si>
    <t>全服BOSS奖励-188级</t>
  </si>
  <si>
    <t>全服BOSS奖励-189级</t>
  </si>
  <si>
    <t>全服BOSS奖励-190级</t>
  </si>
  <si>
    <t>全服BOSS奖励-191级</t>
  </si>
  <si>
    <t>全服BOSS奖励-192级</t>
  </si>
  <si>
    <t>全服BOSS奖励-193级</t>
  </si>
  <si>
    <t>全服BOSS奖励-194级</t>
  </si>
  <si>
    <t>全服BOSS奖励-195级</t>
  </si>
  <si>
    <t>全服BOSS奖励-196级</t>
  </si>
  <si>
    <t>全服BOSS奖励-197级</t>
  </si>
  <si>
    <t>全服BOSS奖励-198级</t>
  </si>
  <si>
    <t>全服BOSS奖励-199级</t>
  </si>
  <si>
    <t>全服BOSS奖励-200级</t>
  </si>
  <si>
    <t>全服BOSS奖励-201级</t>
  </si>
  <si>
    <t>全服BOSS奖励-202级</t>
  </si>
  <si>
    <t>全服BOSS奖励-203级</t>
  </si>
  <si>
    <t>全服BOSS奖励-204级</t>
  </si>
  <si>
    <t>全服BOSS奖励-205级</t>
  </si>
  <si>
    <t>全服BOSS奖励-206级</t>
  </si>
  <si>
    <t>全服BOSS奖励-207级</t>
  </si>
  <si>
    <t>全服BOSS奖励-208级</t>
  </si>
  <si>
    <t>全服BOSS奖励-209级</t>
  </si>
  <si>
    <t>全服BOSS奖励-210级</t>
  </si>
  <si>
    <t>全服BOSS奖励-211级</t>
  </si>
  <si>
    <t>全服BOSS奖励-212级</t>
  </si>
  <si>
    <t>全服BOSS奖励-213级</t>
  </si>
  <si>
    <t>全服BOSS奖励-214级</t>
  </si>
  <si>
    <t>全服BOSS奖励-215级</t>
  </si>
  <si>
    <t>全服BOSS奖励-216级</t>
  </si>
  <si>
    <t>全服BOSS奖励-217级</t>
  </si>
  <si>
    <t>全服BOSS奖励-218级</t>
  </si>
  <si>
    <t>全服BOSS奖励-219级</t>
  </si>
  <si>
    <t>全服BOSS奖励-220级</t>
  </si>
  <si>
    <t>全服BOSS奖励-221级</t>
  </si>
  <si>
    <t>全服BOSS奖励-222级</t>
  </si>
  <si>
    <t>全服BOSS奖励-223级</t>
  </si>
  <si>
    <t>全服BOSS奖励-224级</t>
  </si>
  <si>
    <t>全服BOSS奖励-225级</t>
  </si>
  <si>
    <t>全服BOSS奖励-226级</t>
  </si>
  <si>
    <t>全服BOSS奖励-227级</t>
  </si>
  <si>
    <t>全服BOSS奖励-228级</t>
  </si>
  <si>
    <t>全服BOSS奖励-229级</t>
  </si>
  <si>
    <t>全服BOSS奖励-230级</t>
  </si>
  <si>
    <t>全服BOSS奖励-231级</t>
  </si>
  <si>
    <t>全服BOSS奖励-232级</t>
  </si>
  <si>
    <t>全服BOSS奖励-233级</t>
  </si>
  <si>
    <t>全服BOSS奖励-234级</t>
  </si>
  <si>
    <t>全服BOSS奖励-235级</t>
  </si>
  <si>
    <t>全服BOSS奖励-236级</t>
  </si>
  <si>
    <t>全服BOSS奖励-237级</t>
  </si>
  <si>
    <t>全服BOSS奖励-238级</t>
  </si>
  <si>
    <t>全服BOSS奖励-239级</t>
  </si>
  <si>
    <t>全服BOSS奖励-240级</t>
  </si>
  <si>
    <t>全服BOSS致命一击奖励-20级以下</t>
    <phoneticPr fontId="21" type="noConversion"/>
  </si>
  <si>
    <t>全服BOSS致命一击奖励-40级以下</t>
    <phoneticPr fontId="21" type="noConversion"/>
  </si>
  <si>
    <t>全服BOSS致命一击奖励-60级以下</t>
  </si>
  <si>
    <t>全服BOSS致命一击奖励-80级以下</t>
  </si>
  <si>
    <t>全服BOSS致命一击奖励-100级以下</t>
  </si>
  <si>
    <t>全服BOSS致命一击奖励-999级以下</t>
    <phoneticPr fontId="21" type="noConversion"/>
  </si>
  <si>
    <t>4|2|50|1</t>
    <phoneticPr fontId="21" type="noConversion"/>
  </si>
  <si>
    <t>4|2|60|1</t>
    <phoneticPr fontId="21" type="noConversion"/>
  </si>
  <si>
    <t>4|2|70|1</t>
    <phoneticPr fontId="21" type="noConversion"/>
  </si>
  <si>
    <t>4|2|80|1</t>
    <phoneticPr fontId="21" type="noConversion"/>
  </si>
  <si>
    <t>4|2|90|1</t>
    <phoneticPr fontId="21" type="noConversion"/>
  </si>
  <si>
    <t>4|2|100|1</t>
    <phoneticPr fontId="21" type="noConversion"/>
  </si>
  <si>
    <t>4|2|70</t>
  </si>
  <si>
    <t>4|2|90</t>
  </si>
  <si>
    <t>4|2|100</t>
    <phoneticPr fontId="21" type="noConversion"/>
  </si>
  <si>
    <t>全服BOSS最后一击奖励-20级以下</t>
  </si>
  <si>
    <t>全服BOSS最后一击奖励-40级以下</t>
  </si>
  <si>
    <t>全服BOSS最后一击奖励-60级以下</t>
  </si>
  <si>
    <t>全服BOSS最后一击奖励-80级以下</t>
  </si>
  <si>
    <t>全服BOSS最后一击奖励-100级以下</t>
  </si>
  <si>
    <t>全服BOSS最后一击奖励-999级以下</t>
  </si>
  <si>
    <t>4|30|8000,1|16005|200</t>
  </si>
  <si>
    <t>4|30|7000,1|16005|160</t>
  </si>
  <si>
    <t>4|30|6000,1|16005|120</t>
  </si>
  <si>
    <t>4|30|5500,1|16005|100</t>
  </si>
  <si>
    <t>4|30|5000,1|16005|95</t>
  </si>
  <si>
    <t>4|30|4700,1|16005|90</t>
  </si>
  <si>
    <t>4|30|4400,1|16005|85</t>
  </si>
  <si>
    <t>4|30|4100,1|16005|80</t>
  </si>
  <si>
    <t>4|30|3800,1|16005|75</t>
  </si>
  <si>
    <t>4|30|3600,1|16005|70</t>
  </si>
  <si>
    <t>4|30|3400,1|16005|65</t>
  </si>
  <si>
    <t>4|30|3200,1|16005|60</t>
  </si>
  <si>
    <t>4|30|3000,1|16005|55</t>
  </si>
  <si>
    <t>4|30|2800,1|16005|50</t>
  </si>
  <si>
    <t>4|30|2600,1|16005|45</t>
  </si>
  <si>
    <t>4|30|2400,1|16005|40</t>
  </si>
  <si>
    <t>4|30|2300,1|16005|35</t>
  </si>
  <si>
    <t>4|30|2200,1|16005|30</t>
  </si>
  <si>
    <t>4|30|2100,1|16005|25</t>
  </si>
  <si>
    <t>4|30|2000,1|16005|20</t>
  </si>
  <si>
    <t>4|30|8000|1,1|16005|200|1</t>
  </si>
  <si>
    <t>4|30|7000|1,1|16005|160|1</t>
  </si>
  <si>
    <t>4|30|6000|1,1|16005|120|1</t>
  </si>
  <si>
    <t>4|30|5500|1,1|16005|100|1</t>
  </si>
  <si>
    <t>4|30|5000|1,1|16005|95|1</t>
  </si>
  <si>
    <t>4|30|4700|1,1|16005|90|1</t>
  </si>
  <si>
    <t>4|30|4400|1,1|16005|85|1</t>
  </si>
  <si>
    <t>4|30|4100|1,1|16005|80|1</t>
  </si>
  <si>
    <t>4|30|3800|1,1|16005|75|1</t>
  </si>
  <si>
    <t>4|30|3600|1,1|16005|70|1</t>
  </si>
  <si>
    <t>4|30|3400|1,1|16005|65|1</t>
  </si>
  <si>
    <t>4|30|3200|1,1|16005|60|1</t>
  </si>
  <si>
    <t>4|30|3000|1,1|16005|55|1</t>
  </si>
  <si>
    <t>4|30|2800|1,1|16005|50|1</t>
  </si>
  <si>
    <t>4|30|2600|1,1|16005|45|1</t>
  </si>
  <si>
    <t>4|30|2400|1,1|16005|40|1</t>
  </si>
  <si>
    <t>4|30|2300|1,1|16005|35|1</t>
  </si>
  <si>
    <t>4|30|2200|1,1|16005|30|1</t>
  </si>
  <si>
    <t>4|30|2100|1,1|16005|25|1</t>
  </si>
  <si>
    <t>4|30|2000|1,1|16005|20|1</t>
  </si>
  <si>
    <t>全服Boss荣誉排行奖励1</t>
    <phoneticPr fontId="21" type="noConversion"/>
  </si>
  <si>
    <t>全服Boss荣誉排行奖励2</t>
  </si>
  <si>
    <t>全服Boss荣誉排行奖励3</t>
  </si>
  <si>
    <t>全服Boss荣誉排行奖励4</t>
  </si>
  <si>
    <t>全服Boss荣誉排行奖励5</t>
  </si>
  <si>
    <t>全服Boss荣誉排行奖励6</t>
  </si>
  <si>
    <t>全服Boss荣誉排行奖励7</t>
  </si>
  <si>
    <t>全服Boss荣誉排行奖励8</t>
  </si>
  <si>
    <t>全服Boss荣誉排行奖励9</t>
  </si>
  <si>
    <t>全服Boss荣誉排行奖励10</t>
  </si>
  <si>
    <t>全服Boss荣誉排行奖励11</t>
  </si>
  <si>
    <t>全服Boss荣誉排行奖励12</t>
  </si>
  <si>
    <t>全服Boss荣誉排行奖励13</t>
  </si>
  <si>
    <t>全服Boss荣誉排行奖励14</t>
  </si>
  <si>
    <t>全服Boss荣誉排行奖励15</t>
  </si>
  <si>
    <t>全服Boss荣誉排行奖励16</t>
  </si>
  <si>
    <t>全服Boss荣誉排行奖励17</t>
  </si>
  <si>
    <t>全服Boss荣誉排行奖励18</t>
  </si>
  <si>
    <t>全服Boss荣誉排行奖励19</t>
  </si>
  <si>
    <t>全服Boss荣誉排行奖励20</t>
  </si>
  <si>
    <t>4|37|2000,4|30|1000</t>
  </si>
  <si>
    <t>4|37|1800,4|30|800</t>
  </si>
  <si>
    <t>4|37|1500,4|30|500</t>
  </si>
  <si>
    <t>4|37|1000,4|30|500</t>
  </si>
  <si>
    <t>4|37|1500|1,4|30|500|1</t>
  </si>
  <si>
    <t>4|37|1000|1,4|30|500|1</t>
  </si>
  <si>
    <t>全服Boss本服帮会排行奖励(按累计荣誉)1</t>
    <phoneticPr fontId="21" type="noConversion"/>
  </si>
  <si>
    <t>全服Boss本服帮会排行奖励(按累计荣誉)2</t>
  </si>
  <si>
    <t>全服Boss本服帮会排行奖励(按累计荣誉)3</t>
  </si>
  <si>
    <t>全服Boss本服帮会排行奖励(按累计荣誉)4</t>
  </si>
  <si>
    <t>全服Boss本服帮会排行奖励(按累计荣誉)5</t>
  </si>
  <si>
    <t>全服Boss本服帮会排行奖励(按累计荣誉)6</t>
  </si>
  <si>
    <t>全服Boss本服帮会排行奖励(按累计荣誉)7</t>
  </si>
  <si>
    <t>全服Boss本服帮会排行奖励(按累计荣誉)8</t>
  </si>
  <si>
    <t>全服Boss本服帮会排行奖励(按累计荣誉)9</t>
  </si>
  <si>
    <t>全服Boss本服帮会排行奖励(按累计荣誉)10</t>
  </si>
  <si>
    <t>全服Boss跨服帮会排行奖励(按累计荣誉)1</t>
    <phoneticPr fontId="21" type="noConversion"/>
  </si>
  <si>
    <t>全服Boss跨服帮会排行奖励(按累计荣誉)2</t>
  </si>
  <si>
    <t>全服Boss跨服帮会排行奖励(按累计荣誉)3</t>
  </si>
  <si>
    <t>全服Boss跨服帮会排行奖励(按累计荣誉)4</t>
  </si>
  <si>
    <t>全服Boss跨服帮会排行奖励(按累计荣誉)5</t>
  </si>
  <si>
    <t>全服Boss跨服帮会排行奖励(按累计荣誉)6</t>
  </si>
  <si>
    <t>全服Boss跨服帮会排行奖励(按累计荣誉)7</t>
  </si>
  <si>
    <t>全服Boss跨服帮会排行奖励(按累计荣誉)8</t>
  </si>
  <si>
    <t>全服Boss跨服帮会排行奖励(按累计荣誉)9</t>
  </si>
  <si>
    <t>全服Boss跨服帮会排行奖励(按累计荣誉)10</t>
  </si>
  <si>
    <t>4|30|6000,1|14201|200</t>
  </si>
  <si>
    <t>4|30|5500,1|14201|160</t>
  </si>
  <si>
    <t>4|30|5000,1|14201|120</t>
  </si>
  <si>
    <t>4|30|4500,1|14201|100</t>
  </si>
  <si>
    <t>4|30|4000,1|14201|95</t>
  </si>
  <si>
    <t>4|30|3800,1|14201|90</t>
  </si>
  <si>
    <t>4|30|3600,1|14201|85</t>
  </si>
  <si>
    <t>4|30|3400,1|14201|80</t>
  </si>
  <si>
    <t>4|30|3200,1|14201|75</t>
  </si>
  <si>
    <t>4|30|3000,1|14201|70</t>
  </si>
  <si>
    <t>4|30|2800,1|14201|65</t>
  </si>
  <si>
    <t>4|30|2600,1|14201|60</t>
  </si>
  <si>
    <t>4|30|2400,1|14201|55</t>
  </si>
  <si>
    <t>4|30|2200,1|14201|50</t>
  </si>
  <si>
    <t>4|30|2000,1|14201|45</t>
  </si>
  <si>
    <t>4|30|1900,1|14201|40</t>
  </si>
  <si>
    <t>4|30|1800,1|14201|35</t>
  </si>
  <si>
    <t>4|30|1700,1|14201|30</t>
  </si>
  <si>
    <t>4|30|1600,1|14201|25</t>
  </si>
  <si>
    <t>4|30|1500,1|14201|20</t>
  </si>
  <si>
    <t>4|30|6000|1,1|14201|200|1</t>
  </si>
  <si>
    <t>4|30|5500|1,1|14201|160|1</t>
  </si>
  <si>
    <t>4|30|5000|1,1|14201|120|1</t>
  </si>
  <si>
    <t>4|30|4500|1,1|14201|100|1</t>
  </si>
  <si>
    <t>4|30|4000|1,1|14201|95|1</t>
  </si>
  <si>
    <t>4|30|3800|1,1|14201|90|1</t>
  </si>
  <si>
    <t>4|30|3600|1,1|14201|85|1</t>
  </si>
  <si>
    <t>4|30|3400|1,1|14201|80|1</t>
  </si>
  <si>
    <t>4|30|3200|1,1|14201|75|1</t>
  </si>
  <si>
    <t>4|30|3000|1,1|14201|70|1</t>
  </si>
  <si>
    <t>4|30|2800|1,1|14201|65|1</t>
  </si>
  <si>
    <t>4|30|2600|1,1|14201|60|1</t>
  </si>
  <si>
    <t>4|30|2400|1,1|14201|55|1</t>
  </si>
  <si>
    <t>4|30|2200|1,1|14201|50|1</t>
  </si>
  <si>
    <t>4|30|2000|1,1|14201|45|1</t>
  </si>
  <si>
    <t>4|30|1900|1,1|14201|40|1</t>
  </si>
  <si>
    <t>4|30|1800|1,1|14201|35|1</t>
  </si>
  <si>
    <t>4|30|1700|1,1|14201|30|1</t>
  </si>
  <si>
    <t>4|30|1600|1,1|14201|25|1</t>
  </si>
  <si>
    <t>4|30|1500|1,1|14201|20|1</t>
  </si>
  <si>
    <t>全服Boss单次最高伤害排行奖励1</t>
    <phoneticPr fontId="21" type="noConversion"/>
  </si>
  <si>
    <t>全服Boss单次最高伤害排行奖励2</t>
  </si>
  <si>
    <t>全服Boss单次最高伤害排行奖励3</t>
  </si>
  <si>
    <t>全服Boss单次最高伤害排行奖励4</t>
  </si>
  <si>
    <t>全服Boss单次最高伤害排行奖励5</t>
  </si>
  <si>
    <t>全服Boss单次最高伤害排行奖励6</t>
  </si>
  <si>
    <t>全服Boss单次最高伤害排行奖励7</t>
  </si>
  <si>
    <t>全服Boss单次最高伤害排行奖励8</t>
  </si>
  <si>
    <t>全服Boss单次最高伤害排行奖励9</t>
  </si>
  <si>
    <t>全服Boss单次最高伤害排行奖励10</t>
  </si>
  <si>
    <t>全服Boss单次最高伤害排行奖励11</t>
  </si>
  <si>
    <t>全服Boss单次最高伤害排行奖励12</t>
  </si>
  <si>
    <t>全服Boss单次最高伤害排行奖励13</t>
  </si>
  <si>
    <t>全服Boss单次最高伤害排行奖励14</t>
  </si>
  <si>
    <t>全服Boss单次最高伤害排行奖励15</t>
  </si>
  <si>
    <t>全服Boss单次最高伤害排行奖励16</t>
  </si>
  <si>
    <t>全服Boss单次最高伤害排行奖励17</t>
  </si>
  <si>
    <t>全服Boss单次最高伤害排行奖励18</t>
  </si>
  <si>
    <t>全服Boss单次最高伤害排行奖励19</t>
  </si>
  <si>
    <t>全服Boss单次最高伤害排行奖励20</t>
  </si>
  <si>
    <t>全服Boss任务-累计伤害奖励1</t>
    <phoneticPr fontId="21" type="noConversion"/>
  </si>
  <si>
    <t>全服Boss任务-累计伤害奖励2</t>
  </si>
  <si>
    <t>全服Boss任务-累计伤害奖励3</t>
  </si>
  <si>
    <t>全服Boss任务-累计伤害奖励4</t>
  </si>
  <si>
    <t>全服Boss任务-累计伤害奖励5</t>
  </si>
  <si>
    <t>全服Boss任务-累计伤害奖励6</t>
  </si>
  <si>
    <t>全服Boss任务-累计伤害奖励7</t>
  </si>
  <si>
    <t>全服Boss任务-累计伤害奖励8</t>
  </si>
  <si>
    <t>全服Boss任务-累计伤害奖励9</t>
  </si>
  <si>
    <t>全服Boss任务-累计伤害奖励10</t>
  </si>
  <si>
    <t>全服Boss任务-累计伤害奖励11</t>
  </si>
  <si>
    <t>全服Boss任务-累计伤害奖励12</t>
  </si>
  <si>
    <t>全服Boss任务-累计伤害奖励13</t>
  </si>
  <si>
    <t>全服Boss任务-累计伤害奖励14</t>
  </si>
  <si>
    <t>全服Boss任务-累计伤害奖励15</t>
  </si>
  <si>
    <t>全服Boss任务-累计伤害奖励16</t>
  </si>
  <si>
    <t>全服Boss任务-累计伤害奖励17</t>
  </si>
  <si>
    <t>全服Boss任务-累计伤害奖励18</t>
  </si>
  <si>
    <t>全服Boss任务-累计伤害奖励19</t>
  </si>
  <si>
    <t>全服Boss任务-累计伤害奖励20</t>
  </si>
  <si>
    <t>全服Boss任务-累计伤害奖励21</t>
  </si>
  <si>
    <t>全服Boss任务-累计伤害奖励22</t>
  </si>
  <si>
    <t>全服Boss任务-累计伤害奖励23</t>
  </si>
  <si>
    <t>全服Boss任务-累计伤害奖励24</t>
  </si>
  <si>
    <t>全服Boss任务-累计伤害奖励25</t>
  </si>
  <si>
    <t>全服Boss任务-累计伤害奖励26</t>
  </si>
  <si>
    <t>全服Boss任务-累计伤害奖励27</t>
  </si>
  <si>
    <t>全服Boss任务-累计伤害奖励28</t>
  </si>
  <si>
    <t>全服Boss任务-累计伤害奖励29</t>
  </si>
  <si>
    <t>全服Boss任务-累计伤害奖励30</t>
    <phoneticPr fontId="21" type="noConversion"/>
  </si>
  <si>
    <t>全服Boss任务-击杀BOSS数量1</t>
    <phoneticPr fontId="21" type="noConversion"/>
  </si>
  <si>
    <t>全服Boss任务-击杀BOSS数量2</t>
  </si>
  <si>
    <t>全服Boss任务-击杀BOSS数量3</t>
  </si>
  <si>
    <t>全服Boss任务-击杀BOSS数量4</t>
  </si>
  <si>
    <t>全服Boss任务-击杀BOSS数量5</t>
  </si>
  <si>
    <t>全服Boss任务-击杀BOSS数量6</t>
  </si>
  <si>
    <t>全服Boss任务-击杀BOSS数量7</t>
  </si>
  <si>
    <t>全服Boss任务-击杀BOSS数量8</t>
  </si>
  <si>
    <t>全服Boss任务-击杀BOSS数量9</t>
  </si>
  <si>
    <t>全服Boss任务-击杀BOSS数量10</t>
  </si>
  <si>
    <t>全服Boss任务-击杀BOSS数量11</t>
  </si>
  <si>
    <t>全服Boss任务-击杀BOSS数量12</t>
  </si>
  <si>
    <t>全服Boss任务-击杀BOSS数量13</t>
  </si>
  <si>
    <t>全服Boss任务-击杀BOSS数量14</t>
  </si>
  <si>
    <t>全服Boss任务-击杀BOSS数量15</t>
  </si>
  <si>
    <t>全服Boss任务-击杀BOSS数量16</t>
  </si>
  <si>
    <t>全服Boss任务-击杀BOSS数量17</t>
  </si>
  <si>
    <t>全服Boss任务-击杀BOSS数量18</t>
  </si>
  <si>
    <t>全服Boss任务-击杀BOSS数量19</t>
  </si>
  <si>
    <t>全服Boss任务-击杀BOSS数量20</t>
  </si>
  <si>
    <t>4|30|100</t>
  </si>
  <si>
    <t>4|30|220</t>
  </si>
  <si>
    <t>1|14106|3</t>
  </si>
  <si>
    <t>1|17000|25</t>
  </si>
  <si>
    <t>4|30|340</t>
  </si>
  <si>
    <t>1|17001|15</t>
  </si>
  <si>
    <t>4|30|460</t>
  </si>
  <si>
    <t>1|14201|13</t>
  </si>
  <si>
    <t>1|17000|55</t>
  </si>
  <si>
    <t>6|4501|3</t>
  </si>
  <si>
    <t>1|16005|15</t>
  </si>
  <si>
    <t>1|17001|27</t>
  </si>
  <si>
    <t>4|30|700</t>
  </si>
  <si>
    <t>1|14106|7</t>
  </si>
  <si>
    <t>1|17001|9</t>
  </si>
  <si>
    <t>1|14106|4</t>
  </si>
  <si>
    <t>6|4501|2</t>
  </si>
  <si>
    <t>1|17001|21</t>
  </si>
  <si>
    <t>4|30|580</t>
  </si>
  <si>
    <t>1|14106|6</t>
  </si>
  <si>
    <t>1|14201|15</t>
  </si>
  <si>
    <t>1|17000|70</t>
  </si>
  <si>
    <t>1|17001|33</t>
  </si>
  <si>
    <t>4|30|100|1</t>
  </si>
  <si>
    <t>1|14106|2|1</t>
  </si>
  <si>
    <t>4|30|220|1</t>
  </si>
  <si>
    <t>1|14106|3|1</t>
  </si>
  <si>
    <t>1|17000|25|1</t>
  </si>
  <si>
    <t>4|30|340|1</t>
  </si>
  <si>
    <t>1|17001|15|1</t>
  </si>
  <si>
    <t>4|30|460|1</t>
  </si>
  <si>
    <t>1|14201|13|1</t>
  </si>
  <si>
    <t>1|17000|55|1</t>
  </si>
  <si>
    <t>6|4501|3|1</t>
  </si>
  <si>
    <t>1|16005|15|1</t>
  </si>
  <si>
    <t>1|17001|27|1</t>
  </si>
  <si>
    <t>4|30|700|1</t>
  </si>
  <si>
    <t>1|14106|7|1</t>
  </si>
  <si>
    <t>1|17001|9|1</t>
  </si>
  <si>
    <t>6|4501|2|1</t>
  </si>
  <si>
    <t>1|16005|13|1</t>
  </si>
  <si>
    <t>1|17001|21|1</t>
  </si>
  <si>
    <t>4|30|580|1</t>
  </si>
  <si>
    <t>1|14201|15|1</t>
  </si>
  <si>
    <t>1|17000|70|1</t>
  </si>
  <si>
    <t>1|17001|33|1</t>
  </si>
  <si>
    <t>第一帮会礼包</t>
  </si>
  <si>
    <t>第二帮会礼包</t>
  </si>
  <si>
    <t>第三帮会礼包</t>
  </si>
  <si>
    <t>4|37|1500|1,4|30|1500|1,4|2|250|1</t>
  </si>
  <si>
    <t>[]</t>
    <phoneticPr fontId="21" type="noConversion"/>
  </si>
  <si>
    <t>1|14418|1</t>
    <phoneticPr fontId="21" type="noConversion"/>
  </si>
  <si>
    <t>1|14419|1</t>
    <phoneticPr fontId="21" type="noConversion"/>
  </si>
  <si>
    <t>1|14420|1</t>
    <phoneticPr fontId="21" type="noConversion"/>
  </si>
  <si>
    <t>1|14418|1|1</t>
  </si>
  <si>
    <t>1|14419|1|1</t>
  </si>
  <si>
    <t>1|14420|1|1</t>
  </si>
  <si>
    <t>4|1|3000|2064,4|4|5|960,1|14002|1|960,1|14107|20|480,1|14101|1|48,1|14108|1|48,3|26111|1|240</t>
  </si>
  <si>
    <t>4|1|3000|2064,4|3|50|960,1|16005|2|960,1|14315|1|480,1|14101|1|48,1|14108|1|48,3|26112|1|240</t>
  </si>
  <si>
    <t>4|1|3000|2064,4|29|50|960,1|17000|5|960,1|17001|2|480,1|14101|1|48,1|14108|1|48,3|26113|1|240</t>
  </si>
  <si>
    <t>4|1|3000|2064,4|39|50|960,6|4501|1|960,1|14201|4|480,1|14101|1|48,1|14108|1|48,3|26114|1|240</t>
  </si>
  <si>
    <t>4|1|3000|2064,4|4|5|960,1|17000|5|960,1|17001|2|480,1|14101|1|48,1|14108|1|48,3|26115|1|240</t>
  </si>
  <si>
    <t>4|37|1500|1,4|30|1000|1,4|2|200|1</t>
    <phoneticPr fontId="21" type="noConversion"/>
  </si>
  <si>
    <t>1|14419|1|1</t>
    <phoneticPr fontId="21" type="noConversion"/>
  </si>
  <si>
    <t>1|14420|1|1</t>
    <phoneticPr fontId="21" type="noConversion"/>
  </si>
  <si>
    <t>1|16005|10</t>
    <phoneticPr fontId="21" type="noConversion"/>
  </si>
  <si>
    <t>1|14201|12</t>
    <phoneticPr fontId="21" type="noConversion"/>
  </si>
  <si>
    <t>1|14201|12|1</t>
  </si>
  <si>
    <t>1|14106|14</t>
    <phoneticPr fontId="21" type="noConversion"/>
  </si>
  <si>
    <t>1|17001|16</t>
    <phoneticPr fontId="21" type="noConversion"/>
  </si>
  <si>
    <t>1|17001|16|1</t>
  </si>
  <si>
    <t>1|16005|18</t>
    <phoneticPr fontId="21" type="noConversion"/>
  </si>
  <si>
    <t>1|14201|20</t>
    <phoneticPr fontId="21" type="noConversion"/>
  </si>
  <si>
    <t>第1帮会礼包（跨服）</t>
  </si>
  <si>
    <t>第2-3帮会礼包（跨服）</t>
  </si>
  <si>
    <t>第4-5帮会礼包（跨服）</t>
  </si>
  <si>
    <t>第6-10帮会礼包（跨服）</t>
  </si>
  <si>
    <t>4|37|2000|1,4|30|1000|1,4|2|200|1</t>
    <phoneticPr fontId="21" type="noConversion"/>
  </si>
  <si>
    <t>4|37|1500|1,4|30|500|1,4|2|100|1</t>
    <phoneticPr fontId="21" type="noConversion"/>
  </si>
  <si>
    <t>4|37|1800|1,4|30|800|1,4|2|150|1</t>
    <phoneticPr fontId="21" type="noConversion"/>
  </si>
  <si>
    <t>1|14418|1|1</t>
    <phoneticPr fontId="21" type="noConversion"/>
  </si>
  <si>
    <t>1|14421|1|1</t>
    <phoneticPr fontId="21" type="noConversion"/>
  </si>
  <si>
    <t>1|14422|1|1</t>
    <phoneticPr fontId="21" type="noConversion"/>
  </si>
  <si>
    <t>1|14423|1|1</t>
    <phoneticPr fontId="21" type="noConversion"/>
  </si>
  <si>
    <t>1|14424|1|1</t>
    <phoneticPr fontId="21" type="noConversion"/>
  </si>
  <si>
    <t>4|37|2000,4|30|1000,4|2|200</t>
    <phoneticPr fontId="21" type="noConversion"/>
  </si>
  <si>
    <t>4|37|1800,4|30|800,4|2|150</t>
    <phoneticPr fontId="21" type="noConversion"/>
  </si>
  <si>
    <t>4|37|1500,4|30|500,4|2|100</t>
    <phoneticPr fontId="21" type="noConversion"/>
  </si>
  <si>
    <t>4|37|1500|1,4|30|500|1,4|2|150|1</t>
    <phoneticPr fontId="21" type="noConversion"/>
  </si>
  <si>
    <t>4|37|1500,4|30|500,4|2|150</t>
    <phoneticPr fontId="21" type="noConversion"/>
  </si>
  <si>
    <t>4|37|2000|1,4|30|2000|1,4|2|300|1</t>
    <phoneticPr fontId="21" type="noConversion"/>
  </si>
  <si>
    <t>红玫瑰</t>
  </si>
  <si>
    <t>春节礼盒</t>
  </si>
  <si>
    <t>春节红包</t>
  </si>
  <si>
    <t>4|2|520|2,4|2|13|13,4|2|14|13,1|14106|5|10,1|16010|5|10,1|16005|5|10,1|14201|5|10,1|17001|5|15,1|14567|5|2,1|14505|5|15</t>
  </si>
  <si>
    <t>4|2|18|5,4|2|88|60,4|2|888|35</t>
  </si>
  <si>
    <t>1|14427|1|10,1|14428|1|60,1|14429|1|10,1|14430|1|10,1|14431|1|10</t>
  </si>
  <si>
    <t>1|14427|1|10,1|14432|1|60,1|14432|5|10,1|14430|1|20</t>
  </si>
  <si>
    <t>通天路1-1</t>
    <phoneticPr fontId="21" type="noConversion"/>
  </si>
  <si>
    <t>元宵礼盒</t>
    <phoneticPr fontId="21" type="noConversion"/>
  </si>
  <si>
    <t>a01蚩尤战甲</t>
  </si>
  <si>
    <t>a02蚩尤战甲</t>
  </si>
  <si>
    <t>a03蚩尤战甲</t>
  </si>
  <si>
    <t>a04蚩尤战甲</t>
  </si>
  <si>
    <t>a05蚩尤战甲</t>
  </si>
  <si>
    <t>a06蚩尤战甲</t>
  </si>
  <si>
    <t>a07蚩尤战甲</t>
  </si>
  <si>
    <t>a08蚩尤战甲</t>
  </si>
  <si>
    <t>a09蚩尤战甲</t>
  </si>
  <si>
    <t>a10蚩尤战甲</t>
  </si>
  <si>
    <t>a11蚩尤战甲</t>
  </si>
  <si>
    <t>a12蚩尤战甲</t>
  </si>
  <si>
    <t>a13蚩尤战甲</t>
  </si>
  <si>
    <t>a14蚩尤战甲</t>
  </si>
  <si>
    <t>a15蚩尤战甲</t>
  </si>
  <si>
    <t>a01蚩尤长剑</t>
  </si>
  <si>
    <t>a02蚩尤长剑</t>
  </si>
  <si>
    <t>a03蚩尤长剑</t>
  </si>
  <si>
    <t>a04蚩尤长剑</t>
  </si>
  <si>
    <t>a05蚩尤长剑</t>
  </si>
  <si>
    <t>a06蚩尤长剑</t>
  </si>
  <si>
    <t>a07蚩尤长剑</t>
  </si>
  <si>
    <t>a08蚩尤长剑</t>
  </si>
  <si>
    <t>a09蚩尤长剑</t>
  </si>
  <si>
    <t>a10蚩尤长剑</t>
  </si>
  <si>
    <t>a11蚩尤长剑</t>
  </si>
  <si>
    <t>a12蚩尤长剑</t>
  </si>
  <si>
    <t>a13蚩尤长剑</t>
  </si>
  <si>
    <t>a14蚩尤长剑</t>
  </si>
  <si>
    <t>a15蚩尤长剑</t>
  </si>
  <si>
    <t>a01蚩尤头盔</t>
  </si>
  <si>
    <t>a02蚩尤头盔</t>
  </si>
  <si>
    <t>a03蚩尤头盔</t>
  </si>
  <si>
    <t>a04蚩尤头盔</t>
  </si>
  <si>
    <t>a05蚩尤头盔</t>
  </si>
  <si>
    <t>a06蚩尤头盔</t>
  </si>
  <si>
    <t>a07蚩尤头盔</t>
  </si>
  <si>
    <t>a08蚩尤头盔</t>
  </si>
  <si>
    <t>a09蚩尤头盔</t>
  </si>
  <si>
    <t>a10蚩尤头盔</t>
  </si>
  <si>
    <t>a11蚩尤头盔</t>
  </si>
  <si>
    <t>a12蚩尤头盔</t>
  </si>
  <si>
    <t>a13蚩尤头盔</t>
  </si>
  <si>
    <t>a14蚩尤头盔</t>
  </si>
  <si>
    <t>a15蚩尤头盔</t>
  </si>
  <si>
    <t>a01蚩尤战靴</t>
  </si>
  <si>
    <t>a02蚩尤战靴</t>
  </si>
  <si>
    <t>a03蚩尤战靴</t>
  </si>
  <si>
    <t>a04蚩尤战靴</t>
  </si>
  <si>
    <t>a05蚩尤战靴</t>
  </si>
  <si>
    <t>a06蚩尤战靴</t>
  </si>
  <si>
    <t>a07蚩尤战靴</t>
  </si>
  <si>
    <t>a08蚩尤战靴</t>
  </si>
  <si>
    <t>a09蚩尤战靴</t>
  </si>
  <si>
    <t>a10蚩尤战靴</t>
  </si>
  <si>
    <t>a11蚩尤战靴</t>
  </si>
  <si>
    <t>a12蚩尤战靴</t>
  </si>
  <si>
    <t>a13蚩尤战靴</t>
  </si>
  <si>
    <t>a14蚩尤战靴</t>
  </si>
  <si>
    <t>a15蚩尤战靴</t>
  </si>
  <si>
    <t>a01天罡战甲</t>
  </si>
  <si>
    <t>a02天罡战甲</t>
  </si>
  <si>
    <t>a03天罡战甲</t>
  </si>
  <si>
    <t>a04天罡战甲</t>
  </si>
  <si>
    <t>a05天罡战甲</t>
  </si>
  <si>
    <t>a06天罡战甲</t>
  </si>
  <si>
    <t>a07天罡战甲</t>
  </si>
  <si>
    <t>a08天罡战甲</t>
  </si>
  <si>
    <t>a09天罡战甲</t>
  </si>
  <si>
    <t>a10天罡战甲</t>
  </si>
  <si>
    <t>a11天罡战甲</t>
  </si>
  <si>
    <t>a12天罡战甲</t>
  </si>
  <si>
    <t>a13天罡战甲</t>
  </si>
  <si>
    <t>a14天罡战甲</t>
  </si>
  <si>
    <t>a15天罡战甲</t>
  </si>
  <si>
    <t>a01天罡长剑</t>
  </si>
  <si>
    <t>a02天罡长剑</t>
  </si>
  <si>
    <t>a03天罡长剑</t>
  </si>
  <si>
    <t>a04天罡长剑</t>
  </si>
  <si>
    <t>a05天罡长剑</t>
  </si>
  <si>
    <t>a06天罡长剑</t>
  </si>
  <si>
    <t>a07天罡长剑</t>
  </si>
  <si>
    <t>a08天罡长剑</t>
  </si>
  <si>
    <t>a09天罡长剑</t>
  </si>
  <si>
    <t>a10天罡长剑</t>
  </si>
  <si>
    <t>a11天罡长剑</t>
  </si>
  <si>
    <t>a12天罡长剑</t>
  </si>
  <si>
    <t>a13天罡长剑</t>
  </si>
  <si>
    <t>a14天罡长剑</t>
  </si>
  <si>
    <t>a15天罡长剑</t>
  </si>
  <si>
    <t>a01天罡头盔</t>
  </si>
  <si>
    <t>a02天罡头盔</t>
  </si>
  <si>
    <t>a03天罡头盔</t>
  </si>
  <si>
    <t>a04天罡头盔</t>
  </si>
  <si>
    <t>a05天罡头盔</t>
  </si>
  <si>
    <t>a06天罡头盔</t>
  </si>
  <si>
    <t>a07天罡头盔</t>
  </si>
  <si>
    <t>a08天罡头盔</t>
  </si>
  <si>
    <t>a09天罡头盔</t>
  </si>
  <si>
    <t>a10天罡头盔</t>
  </si>
  <si>
    <t>a11天罡头盔</t>
  </si>
  <si>
    <t>a12天罡头盔</t>
  </si>
  <si>
    <t>a13天罡头盔</t>
  </si>
  <si>
    <t>a14天罡头盔</t>
  </si>
  <si>
    <t>a15天罡头盔</t>
  </si>
  <si>
    <t>a01天罡战靴</t>
  </si>
  <si>
    <t>a02天罡战靴</t>
  </si>
  <si>
    <t>a03天罡战靴</t>
  </si>
  <si>
    <t>a04天罡战靴</t>
  </si>
  <si>
    <t>a05天罡战靴</t>
  </si>
  <si>
    <t>a06天罡战靴</t>
  </si>
  <si>
    <t>a07天罡战靴</t>
  </si>
  <si>
    <t>a08天罡战靴</t>
  </si>
  <si>
    <t>a09天罡战靴</t>
  </si>
  <si>
    <t>a10天罡战靴</t>
  </si>
  <si>
    <t>a11天罡战靴</t>
  </si>
  <si>
    <t>a12天罡战靴</t>
  </si>
  <si>
    <t>a13天罡战靴</t>
  </si>
  <si>
    <t>a14天罡战靴</t>
  </si>
  <si>
    <t>a15天罡战靴</t>
  </si>
  <si>
    <t>a01降魔战甲</t>
  </si>
  <si>
    <t>a02降魔战甲</t>
  </si>
  <si>
    <t>a03降魔战甲</t>
  </si>
  <si>
    <t>a04降魔战甲</t>
  </si>
  <si>
    <t>a05降魔战甲</t>
  </si>
  <si>
    <t>a06降魔战甲</t>
  </si>
  <si>
    <t>a07降魔战甲</t>
  </si>
  <si>
    <t>a08降魔战甲</t>
  </si>
  <si>
    <t>a09降魔战甲</t>
  </si>
  <si>
    <t>a10降魔战甲</t>
  </si>
  <si>
    <t>a11降魔战甲</t>
  </si>
  <si>
    <t>a12降魔战甲</t>
  </si>
  <si>
    <t>a13降魔战甲</t>
  </si>
  <si>
    <t>a14降魔战甲</t>
  </si>
  <si>
    <t>a15降魔战甲</t>
  </si>
  <si>
    <t>a01降魔长剑</t>
  </si>
  <si>
    <t>a02降魔长剑</t>
  </si>
  <si>
    <t>a03降魔长剑</t>
  </si>
  <si>
    <t>a04降魔长剑</t>
  </si>
  <si>
    <t>a05降魔长剑</t>
  </si>
  <si>
    <t>a06降魔长剑</t>
  </si>
  <si>
    <t>a07降魔长剑</t>
  </si>
  <si>
    <t>a08降魔长剑</t>
  </si>
  <si>
    <t>a09降魔长剑</t>
  </si>
  <si>
    <t>a10降魔长剑</t>
  </si>
  <si>
    <t>a11降魔长剑</t>
  </si>
  <si>
    <t>a12降魔长剑</t>
  </si>
  <si>
    <t>a13降魔长剑</t>
  </si>
  <si>
    <t>a14降魔长剑</t>
  </si>
  <si>
    <t>a15降魔长剑</t>
  </si>
  <si>
    <t>a01降魔头盔</t>
  </si>
  <si>
    <t>a02降魔头盔</t>
  </si>
  <si>
    <t>a03降魔头盔</t>
  </si>
  <si>
    <t>a04降魔头盔</t>
  </si>
  <si>
    <t>a05降魔头盔</t>
  </si>
  <si>
    <t>a06降魔头盔</t>
  </si>
  <si>
    <t>a07降魔头盔</t>
  </si>
  <si>
    <t>a08降魔头盔</t>
  </si>
  <si>
    <t>a09降魔头盔</t>
  </si>
  <si>
    <t>a10降魔头盔</t>
  </si>
  <si>
    <t>a11降魔头盔</t>
  </si>
  <si>
    <t>a12降魔头盔</t>
  </si>
  <si>
    <t>a13降魔头盔</t>
  </si>
  <si>
    <t>a14降魔头盔</t>
  </si>
  <si>
    <t>a15降魔头盔</t>
  </si>
  <si>
    <t>a01降魔战靴</t>
  </si>
  <si>
    <t>a02降魔战靴</t>
  </si>
  <si>
    <t>a03降魔战靴</t>
  </si>
  <si>
    <t>a04降魔战靴</t>
  </si>
  <si>
    <t>a05降魔战靴</t>
  </si>
  <si>
    <t>a06降魔战靴</t>
  </si>
  <si>
    <t>a07降魔战靴</t>
  </si>
  <si>
    <t>a08降魔战靴</t>
  </si>
  <si>
    <t>a09降魔战靴</t>
  </si>
  <si>
    <t>a10降魔战靴</t>
  </si>
  <si>
    <t>a11降魔战靴</t>
  </si>
  <si>
    <t>a12降魔战靴</t>
  </si>
  <si>
    <t>a13降魔战靴</t>
  </si>
  <si>
    <t>a14降魔战靴</t>
  </si>
  <si>
    <t>a15降魔战靴</t>
  </si>
  <si>
    <t>a01血魔战甲</t>
  </si>
  <si>
    <t>a02血魔战甲</t>
  </si>
  <si>
    <t>a03血魔战甲</t>
  </si>
  <si>
    <t>a04血魔战甲</t>
  </si>
  <si>
    <t>a05血魔战甲</t>
  </si>
  <si>
    <t>a06血魔战甲</t>
  </si>
  <si>
    <t>a07血魔战甲</t>
  </si>
  <si>
    <t>a08血魔战甲</t>
  </si>
  <si>
    <t>a09血魔战甲</t>
  </si>
  <si>
    <t>a10血魔战甲</t>
  </si>
  <si>
    <t>a11血魔战甲</t>
  </si>
  <si>
    <t>a12血魔战甲</t>
  </si>
  <si>
    <t>a13血魔战甲</t>
  </si>
  <si>
    <t>a14血魔战甲</t>
  </si>
  <si>
    <t>a15血魔战甲</t>
  </si>
  <si>
    <t>a01赤霄长剑</t>
  </si>
  <si>
    <t>a02赤霄长剑</t>
  </si>
  <si>
    <t>a03赤霄长剑</t>
  </si>
  <si>
    <t>a04赤霄长剑</t>
  </si>
  <si>
    <t>a05赤霄长剑</t>
  </si>
  <si>
    <t>a06赤霄长剑</t>
  </si>
  <si>
    <t>a07赤霄长剑</t>
  </si>
  <si>
    <t>a08赤霄长剑</t>
  </si>
  <si>
    <t>a09赤霄长剑</t>
  </si>
  <si>
    <t>a10赤霄长剑</t>
  </si>
  <si>
    <t>a11赤霄长剑</t>
  </si>
  <si>
    <t>a12赤霄长剑</t>
  </si>
  <si>
    <t>a13赤霄长剑</t>
  </si>
  <si>
    <t>a14赤霄长剑</t>
  </si>
  <si>
    <t>a15赤霄长剑</t>
  </si>
  <si>
    <t>a01麒麟头盔</t>
  </si>
  <si>
    <t>a02麒麟头盔</t>
  </si>
  <si>
    <t>a03麒麟头盔</t>
  </si>
  <si>
    <t>a04麒麟头盔</t>
  </si>
  <si>
    <t>a05麒麟头盔</t>
  </si>
  <si>
    <t>a06麒麟头盔</t>
  </si>
  <si>
    <t>a07麒麟头盔</t>
  </si>
  <si>
    <t>a08麒麟头盔</t>
  </si>
  <si>
    <t>a09麒麟头盔</t>
  </si>
  <si>
    <t>a10麒麟头盔</t>
  </si>
  <si>
    <t>a11麒麟头盔</t>
  </si>
  <si>
    <t>a12麒麟头盔</t>
  </si>
  <si>
    <t>a13麒麟头盔</t>
  </si>
  <si>
    <t>a14麒麟头盔</t>
  </si>
  <si>
    <t>a15麒麟头盔</t>
  </si>
  <si>
    <t>a01兽魂战靴</t>
  </si>
  <si>
    <t>a02兽魂战靴</t>
  </si>
  <si>
    <t>a03兽魂战靴</t>
  </si>
  <si>
    <t>a04兽魂战靴</t>
  </si>
  <si>
    <t>a05兽魂战靴</t>
  </si>
  <si>
    <t>a06兽魂战靴</t>
  </si>
  <si>
    <t>a07兽魂战靴</t>
  </si>
  <si>
    <t>a08兽魂战靴</t>
  </si>
  <si>
    <t>a09兽魂战靴</t>
  </si>
  <si>
    <t>a10兽魂战靴</t>
  </si>
  <si>
    <t>a11兽魂战靴</t>
  </si>
  <si>
    <t>a12兽魂战靴</t>
  </si>
  <si>
    <t>a13兽魂战靴</t>
  </si>
  <si>
    <t>a14兽魂战靴</t>
  </si>
  <si>
    <t>a15兽魂战靴</t>
  </si>
  <si>
    <t>a01磐石战甲</t>
  </si>
  <si>
    <t>a02磐石战甲</t>
  </si>
  <si>
    <t>a03磐石战甲</t>
  </si>
  <si>
    <t>a04磐石战甲</t>
  </si>
  <si>
    <t>a05磐石战甲</t>
  </si>
  <si>
    <t>a06磐石战甲</t>
  </si>
  <si>
    <t>a07磐石战甲</t>
  </si>
  <si>
    <t>a08磐石战甲</t>
  </si>
  <si>
    <t>a09磐石战甲</t>
  </si>
  <si>
    <t>a10磐石战甲</t>
  </si>
  <si>
    <t>a11磐石战甲</t>
  </si>
  <si>
    <t>a12磐石战甲</t>
  </si>
  <si>
    <t>a13磐石战甲</t>
  </si>
  <si>
    <t>a14磐石战甲</t>
  </si>
  <si>
    <t>a15磐石战甲</t>
  </si>
  <si>
    <t>a01磐石长剑</t>
  </si>
  <si>
    <t>a02磐石长剑</t>
  </si>
  <si>
    <t>a03磐石长剑</t>
  </si>
  <si>
    <t>a04磐石长剑</t>
  </si>
  <si>
    <t>a05磐石长剑</t>
  </si>
  <si>
    <t>a06磐石长剑</t>
  </si>
  <si>
    <t>a07磐石长剑</t>
  </si>
  <si>
    <t>a08磐石长剑</t>
  </si>
  <si>
    <t>a09磐石长剑</t>
  </si>
  <si>
    <t>a10磐石长剑</t>
  </si>
  <si>
    <t>a11磐石长剑</t>
  </si>
  <si>
    <t>a12磐石长剑</t>
  </si>
  <si>
    <t>a13磐石长剑</t>
  </si>
  <si>
    <t>a14磐石长剑</t>
  </si>
  <si>
    <t>a15磐石长剑</t>
  </si>
  <si>
    <t>a01磐石头盔</t>
  </si>
  <si>
    <t>a02磐石头盔</t>
  </si>
  <si>
    <t>a03磐石头盔</t>
  </si>
  <si>
    <t>a04磐石头盔</t>
  </si>
  <si>
    <t>a05磐石头盔</t>
  </si>
  <si>
    <t>a06磐石头盔</t>
  </si>
  <si>
    <t>a07磐石头盔</t>
  </si>
  <si>
    <t>a08磐石头盔</t>
  </si>
  <si>
    <t>a09磐石头盔</t>
  </si>
  <si>
    <t>a10磐石头盔</t>
  </si>
  <si>
    <t>a11磐石头盔</t>
  </si>
  <si>
    <t>a12磐石头盔</t>
  </si>
  <si>
    <t>a13磐石头盔</t>
  </si>
  <si>
    <t>a14磐石头盔</t>
  </si>
  <si>
    <t>a15磐石头盔</t>
  </si>
  <si>
    <t>a01磐石战靴</t>
  </si>
  <si>
    <t>a02磐石战靴</t>
  </si>
  <si>
    <t>a03磐石战靴</t>
  </si>
  <si>
    <t>a04磐石战靴</t>
  </si>
  <si>
    <t>a05磐石战靴</t>
  </si>
  <si>
    <t>a06磐石战靴</t>
  </si>
  <si>
    <t>a07磐石战靴</t>
  </si>
  <si>
    <t>a08磐石战靴</t>
  </si>
  <si>
    <t>a09磐石战靴</t>
  </si>
  <si>
    <t>a10磐石战靴</t>
  </si>
  <si>
    <t>a11磐石战靴</t>
  </si>
  <si>
    <t>a12磐石战靴</t>
  </si>
  <si>
    <t>a13磐石战靴</t>
  </si>
  <si>
    <t>a14磐石战靴</t>
  </si>
  <si>
    <t>a15磐石战靴</t>
  </si>
  <si>
    <t>a01连云战甲</t>
  </si>
  <si>
    <t>a02连云战甲</t>
  </si>
  <si>
    <t>a03连云战甲</t>
  </si>
  <si>
    <t>a04连云战甲</t>
  </si>
  <si>
    <t>a05连云战甲</t>
  </si>
  <si>
    <t>a06连云战甲</t>
  </si>
  <si>
    <t>a07连云战甲</t>
  </si>
  <si>
    <t>a08连云战甲</t>
  </si>
  <si>
    <t>a09连云战甲</t>
  </si>
  <si>
    <t>a10连云战甲</t>
  </si>
  <si>
    <t>a11连云战甲</t>
  </si>
  <si>
    <t>a12连云战甲</t>
  </si>
  <si>
    <t>a13连云战甲</t>
  </si>
  <si>
    <t>a14连云战甲</t>
  </si>
  <si>
    <t>a15连云战甲</t>
  </si>
  <si>
    <t>a01紫阳长剑</t>
  </si>
  <si>
    <t>a02紫阳长剑</t>
  </si>
  <si>
    <t>a03紫阳长剑</t>
  </si>
  <si>
    <t>a04紫阳长剑</t>
  </si>
  <si>
    <t>a05紫阳长剑</t>
  </si>
  <si>
    <t>a06紫阳长剑</t>
  </si>
  <si>
    <t>a07紫阳长剑</t>
  </si>
  <si>
    <t>a08紫阳长剑</t>
  </si>
  <si>
    <t>a09紫阳长剑</t>
  </si>
  <si>
    <t>a10紫阳长剑</t>
  </si>
  <si>
    <t>a11紫阳长剑</t>
  </si>
  <si>
    <t>a12紫阳长剑</t>
  </si>
  <si>
    <t>a13紫阳长剑</t>
  </si>
  <si>
    <t>a14紫阳长剑</t>
  </si>
  <si>
    <t>a15紫阳长剑</t>
  </si>
  <si>
    <t>a01耀日头盔</t>
  </si>
  <si>
    <t>a02耀日头盔</t>
  </si>
  <si>
    <t>a03耀日头盔</t>
  </si>
  <si>
    <t>a04耀日头盔</t>
  </si>
  <si>
    <t>a05耀日头盔</t>
  </si>
  <si>
    <t>a06耀日头盔</t>
  </si>
  <si>
    <t>a07耀日头盔</t>
  </si>
  <si>
    <t>a08耀日头盔</t>
  </si>
  <si>
    <t>a09耀日头盔</t>
  </si>
  <si>
    <t>a10耀日头盔</t>
  </si>
  <si>
    <t>a11耀日头盔</t>
  </si>
  <si>
    <t>a12耀日头盔</t>
  </si>
  <si>
    <t>a13耀日头盔</t>
  </si>
  <si>
    <t>a14耀日头盔</t>
  </si>
  <si>
    <t>a15耀日头盔</t>
  </si>
  <si>
    <t>a01雷霆战靴</t>
  </si>
  <si>
    <t>a02雷霆战靴</t>
  </si>
  <si>
    <t>a03雷霆战靴</t>
  </si>
  <si>
    <t>a04雷霆战靴</t>
  </si>
  <si>
    <t>a05雷霆战靴</t>
  </si>
  <si>
    <t>a06雷霆战靴</t>
  </si>
  <si>
    <t>a07雷霆战靴</t>
  </si>
  <si>
    <t>a08雷霆战靴</t>
  </si>
  <si>
    <t>a09雷霆战靴</t>
  </si>
  <si>
    <t>a10雷霆战靴</t>
  </si>
  <si>
    <t>a11雷霆战靴</t>
  </si>
  <si>
    <t>a12雷霆战靴</t>
  </si>
  <si>
    <t>a13雷霆战靴</t>
  </si>
  <si>
    <t>a14雷霆战靴</t>
  </si>
  <si>
    <t>a15雷霆战靴</t>
  </si>
  <si>
    <t>a01护卫战甲</t>
  </si>
  <si>
    <t>a02护卫战甲</t>
  </si>
  <si>
    <t>a03护卫战甲</t>
  </si>
  <si>
    <t>a04护卫战甲</t>
  </si>
  <si>
    <t>a05护卫战甲</t>
  </si>
  <si>
    <t>a06护卫战甲</t>
  </si>
  <si>
    <t>a07护卫战甲</t>
  </si>
  <si>
    <t>a08护卫战甲</t>
  </si>
  <si>
    <t>a09护卫战甲</t>
  </si>
  <si>
    <t>a10护卫战甲</t>
  </si>
  <si>
    <t>a11护卫战甲</t>
  </si>
  <si>
    <t>a12护卫战甲</t>
  </si>
  <si>
    <t>a13护卫战甲</t>
  </si>
  <si>
    <t>a14护卫战甲</t>
  </si>
  <si>
    <t>a15护卫战甲</t>
  </si>
  <si>
    <t>a01护卫长剑</t>
  </si>
  <si>
    <t>a02护卫长剑</t>
  </si>
  <si>
    <t>a03护卫长剑</t>
  </si>
  <si>
    <t>a04护卫长剑</t>
  </si>
  <si>
    <t>a05护卫长剑</t>
  </si>
  <si>
    <t>a06护卫长剑</t>
  </si>
  <si>
    <t>a07护卫长剑</t>
  </si>
  <si>
    <t>a08护卫长剑</t>
  </si>
  <si>
    <t>a09护卫长剑</t>
  </si>
  <si>
    <t>a10护卫长剑</t>
  </si>
  <si>
    <t>a11护卫长剑</t>
  </si>
  <si>
    <t>a12护卫长剑</t>
  </si>
  <si>
    <t>a13护卫长剑</t>
  </si>
  <si>
    <t>a14护卫长剑</t>
  </si>
  <si>
    <t>a15护卫长剑</t>
  </si>
  <si>
    <t>a01护卫头盔</t>
  </si>
  <si>
    <t>a02护卫头盔</t>
  </si>
  <si>
    <t>a03护卫头盔</t>
  </si>
  <si>
    <t>a04护卫头盔</t>
  </si>
  <si>
    <t>a05护卫头盔</t>
  </si>
  <si>
    <t>a06护卫头盔</t>
  </si>
  <si>
    <t>a07护卫头盔</t>
  </si>
  <si>
    <t>a08护卫头盔</t>
  </si>
  <si>
    <t>a09护卫头盔</t>
  </si>
  <si>
    <t>a10护卫头盔</t>
  </si>
  <si>
    <t>a11护卫头盔</t>
  </si>
  <si>
    <t>a12护卫头盔</t>
  </si>
  <si>
    <t>a13护卫头盔</t>
  </si>
  <si>
    <t>a14护卫头盔</t>
  </si>
  <si>
    <t>a15护卫头盔</t>
  </si>
  <si>
    <t>a01护卫战靴</t>
  </si>
  <si>
    <t>a02护卫战靴</t>
  </si>
  <si>
    <t>a03护卫战靴</t>
  </si>
  <si>
    <t>a04护卫战靴</t>
  </si>
  <si>
    <t>a05护卫战靴</t>
  </si>
  <si>
    <t>a06护卫战靴</t>
  </si>
  <si>
    <t>a07护卫战靴</t>
  </si>
  <si>
    <t>a08护卫战靴</t>
  </si>
  <si>
    <t>a09护卫战靴</t>
  </si>
  <si>
    <t>a10护卫战靴</t>
  </si>
  <si>
    <t>a11护卫战靴</t>
  </si>
  <si>
    <t>a12护卫战靴</t>
  </si>
  <si>
    <t>a13护卫战靴</t>
  </si>
  <si>
    <t>a14护卫战靴</t>
  </si>
  <si>
    <t>a15护卫战靴</t>
  </si>
  <si>
    <t>a01破魔战甲</t>
  </si>
  <si>
    <t>a02破魔战甲</t>
  </si>
  <si>
    <t>a03破魔战甲</t>
  </si>
  <si>
    <t>a04破魔战甲</t>
  </si>
  <si>
    <t>a05破魔战甲</t>
  </si>
  <si>
    <t>a06破魔战甲</t>
  </si>
  <si>
    <t>a07破魔战甲</t>
  </si>
  <si>
    <t>a08破魔战甲</t>
  </si>
  <si>
    <t>a09破魔战甲</t>
  </si>
  <si>
    <t>a10破魔战甲</t>
  </si>
  <si>
    <t>a11破魔战甲</t>
  </si>
  <si>
    <t>a12破魔战甲</t>
  </si>
  <si>
    <t>a13破魔战甲</t>
  </si>
  <si>
    <t>a14破魔战甲</t>
  </si>
  <si>
    <t>a15破魔战甲</t>
  </si>
  <si>
    <t>a01破魔长剑</t>
  </si>
  <si>
    <t>a02破魔长剑</t>
  </si>
  <si>
    <t>a03破魔长剑</t>
  </si>
  <si>
    <t>a04破魔长剑</t>
  </si>
  <si>
    <t>a05破魔长剑</t>
  </si>
  <si>
    <t>a06破魔长剑</t>
  </si>
  <si>
    <t>a07破魔长剑</t>
  </si>
  <si>
    <t>a08破魔长剑</t>
  </si>
  <si>
    <t>a09破魔长剑</t>
  </si>
  <si>
    <t>a10破魔长剑</t>
  </si>
  <si>
    <t>a11破魔长剑</t>
  </si>
  <si>
    <t>a12破魔长剑</t>
  </si>
  <si>
    <t>a13破魔长剑</t>
  </si>
  <si>
    <t>a14破魔长剑</t>
  </si>
  <si>
    <t>a15破魔长剑</t>
  </si>
  <si>
    <t>a01破魔头盔</t>
  </si>
  <si>
    <t>a02破魔头盔</t>
  </si>
  <si>
    <t>a03破魔头盔</t>
  </si>
  <si>
    <t>a04破魔头盔</t>
  </si>
  <si>
    <t>a05破魔头盔</t>
  </si>
  <si>
    <t>a06破魔头盔</t>
  </si>
  <si>
    <t>a07破魔头盔</t>
  </si>
  <si>
    <t>a08破魔头盔</t>
  </si>
  <si>
    <t>a09破魔头盔</t>
  </si>
  <si>
    <t>a10破魔头盔</t>
  </si>
  <si>
    <t>a11破魔头盔</t>
  </si>
  <si>
    <t>a12破魔头盔</t>
  </si>
  <si>
    <t>a13破魔头盔</t>
  </si>
  <si>
    <t>a14破魔头盔</t>
  </si>
  <si>
    <t>a15破魔头盔</t>
  </si>
  <si>
    <t>a01破魔战靴</t>
  </si>
  <si>
    <t>a02破魔战靴</t>
  </si>
  <si>
    <t>a03破魔战靴</t>
  </si>
  <si>
    <t>a04破魔战靴</t>
  </si>
  <si>
    <t>a05破魔战靴</t>
  </si>
  <si>
    <t>a06破魔战靴</t>
  </si>
  <si>
    <t>a07破魔战靴</t>
  </si>
  <si>
    <t>a08破魔战靴</t>
  </si>
  <si>
    <t>a09破魔战靴</t>
  </si>
  <si>
    <t>a10破魔战靴</t>
  </si>
  <si>
    <t>a11破魔战靴</t>
  </si>
  <si>
    <t>a12破魔战靴</t>
  </si>
  <si>
    <t>a13破魔战靴</t>
  </si>
  <si>
    <t>a14破魔战靴</t>
  </si>
  <si>
    <t>a15破魔战靴</t>
  </si>
  <si>
    <t>a01赤血战甲</t>
  </si>
  <si>
    <t>a02赤血战甲</t>
  </si>
  <si>
    <t>a03赤血战甲</t>
  </si>
  <si>
    <t>a04赤血战甲</t>
  </si>
  <si>
    <t>a05赤血战甲</t>
  </si>
  <si>
    <t>a06赤血战甲</t>
  </si>
  <si>
    <t>a07赤血战甲</t>
  </si>
  <si>
    <t>a08赤血战甲</t>
  </si>
  <si>
    <t>a09赤血战甲</t>
  </si>
  <si>
    <t>a10赤血战甲</t>
  </si>
  <si>
    <t>a11赤血战甲</t>
  </si>
  <si>
    <t>a12赤血战甲</t>
  </si>
  <si>
    <t>a13赤血战甲</t>
  </si>
  <si>
    <t>a14赤血战甲</t>
  </si>
  <si>
    <t>a15赤血战甲</t>
  </si>
  <si>
    <t>a01青锋长剑</t>
  </si>
  <si>
    <t>a02青锋长剑</t>
  </si>
  <si>
    <t>a03青锋长剑</t>
  </si>
  <si>
    <t>a04青锋长剑</t>
  </si>
  <si>
    <t>a05青锋长剑</t>
  </si>
  <si>
    <t>a06青锋长剑</t>
  </si>
  <si>
    <t>a07青锋长剑</t>
  </si>
  <si>
    <t>a08青锋长剑</t>
  </si>
  <si>
    <t>a09青锋长剑</t>
  </si>
  <si>
    <t>a10青锋长剑</t>
  </si>
  <si>
    <t>a11青锋长剑</t>
  </si>
  <si>
    <t>a12青锋长剑</t>
  </si>
  <si>
    <t>a13青锋长剑</t>
  </si>
  <si>
    <t>a14青锋长剑</t>
  </si>
  <si>
    <t>a15青锋长剑</t>
  </si>
  <si>
    <t>a01雁虞头盔</t>
  </si>
  <si>
    <t>a02雁虞头盔</t>
  </si>
  <si>
    <t>a03雁虞头盔</t>
  </si>
  <si>
    <t>a04雁虞头盔</t>
  </si>
  <si>
    <t>a05雁虞头盔</t>
  </si>
  <si>
    <t>a06雁虞头盔</t>
  </si>
  <si>
    <t>a07雁虞头盔</t>
  </si>
  <si>
    <t>a08雁虞头盔</t>
  </si>
  <si>
    <t>a09雁虞头盔</t>
  </si>
  <si>
    <t>a10雁虞头盔</t>
  </si>
  <si>
    <t>a11雁虞头盔</t>
  </si>
  <si>
    <t>a12雁虞头盔</t>
  </si>
  <si>
    <t>a13雁虞头盔</t>
  </si>
  <si>
    <t>a14雁虞头盔</t>
  </si>
  <si>
    <t>a15雁虞头盔</t>
  </si>
  <si>
    <t>a01无影战靴</t>
  </si>
  <si>
    <t>a02无影战靴</t>
  </si>
  <si>
    <t>a03无影战靴</t>
  </si>
  <si>
    <t>a04无影战靴</t>
  </si>
  <si>
    <t>a05无影战靴</t>
  </si>
  <si>
    <t>a06无影战靴</t>
  </si>
  <si>
    <t>a07无影战靴</t>
  </si>
  <si>
    <t>a08无影战靴</t>
  </si>
  <si>
    <t>a09无影战靴</t>
  </si>
  <si>
    <t>a10无影战靴</t>
  </si>
  <si>
    <t>a11无影战靴</t>
  </si>
  <si>
    <t>a12无影战靴</t>
  </si>
  <si>
    <t>a13无影战靴</t>
  </si>
  <si>
    <t>a14无影战靴</t>
  </si>
  <si>
    <t>a15无影战靴</t>
  </si>
  <si>
    <t>a01行者战甲</t>
  </si>
  <si>
    <t>a02行者战甲</t>
  </si>
  <si>
    <t>a03行者战甲</t>
  </si>
  <si>
    <t>a04行者战甲</t>
  </si>
  <si>
    <t>a05行者战甲</t>
  </si>
  <si>
    <t>a06行者战甲</t>
  </si>
  <si>
    <t>a07行者战甲</t>
  </si>
  <si>
    <t>a08行者战甲</t>
  </si>
  <si>
    <t>a09行者战甲</t>
  </si>
  <si>
    <t>a10行者战甲</t>
  </si>
  <si>
    <t>a11行者战甲</t>
  </si>
  <si>
    <t>a12行者战甲</t>
  </si>
  <si>
    <t>a13行者战甲</t>
  </si>
  <si>
    <t>a14行者战甲</t>
  </si>
  <si>
    <t>a15行者战甲</t>
  </si>
  <si>
    <t>a01精铁长剑</t>
  </si>
  <si>
    <t>a02精铁长剑</t>
  </si>
  <si>
    <t>a03精铁长剑</t>
  </si>
  <si>
    <t>a04精铁长剑</t>
  </si>
  <si>
    <t>a05精铁长剑</t>
  </si>
  <si>
    <t>a06精铁长剑</t>
  </si>
  <si>
    <t>a07精铁长剑</t>
  </si>
  <si>
    <t>a08精铁长剑</t>
  </si>
  <si>
    <t>a09精铁长剑</t>
  </si>
  <si>
    <t>a10精铁长剑</t>
  </si>
  <si>
    <t>a11精铁长剑</t>
  </si>
  <si>
    <t>a12精铁长剑</t>
  </si>
  <si>
    <t>a13精铁长剑</t>
  </si>
  <si>
    <t>a14精铁长剑</t>
  </si>
  <si>
    <t>a15精铁长剑</t>
  </si>
  <si>
    <t>a01虹影头盔</t>
  </si>
  <si>
    <t>a02虹影头盔</t>
  </si>
  <si>
    <t>a03虹影头盔</t>
  </si>
  <si>
    <t>a04虹影头盔</t>
  </si>
  <si>
    <t>a05虹影头盔</t>
  </si>
  <si>
    <t>a06虹影头盔</t>
  </si>
  <si>
    <t>a07虹影头盔</t>
  </si>
  <si>
    <t>a08虹影头盔</t>
  </si>
  <si>
    <t>a09虹影头盔</t>
  </si>
  <si>
    <t>a10虹影头盔</t>
  </si>
  <si>
    <t>a11虹影头盔</t>
  </si>
  <si>
    <t>a12虹影头盔</t>
  </si>
  <si>
    <t>a13虹影头盔</t>
  </si>
  <si>
    <t>a14虹影头盔</t>
  </si>
  <si>
    <t>a15虹影头盔</t>
  </si>
  <si>
    <t>a01千里战靴</t>
  </si>
  <si>
    <t>a02千里战靴</t>
  </si>
  <si>
    <t>a03千里战靴</t>
  </si>
  <si>
    <t>a04千里战靴</t>
  </si>
  <si>
    <t>a05千里战靴</t>
  </si>
  <si>
    <t>a06千里战靴</t>
  </si>
  <si>
    <t>a07千里战靴</t>
  </si>
  <si>
    <t>a08千里战靴</t>
  </si>
  <si>
    <t>a09千里战靴</t>
  </si>
  <si>
    <t>a10千里战靴</t>
  </si>
  <si>
    <t>a11千里战靴</t>
  </si>
  <si>
    <t>a12千里战靴</t>
  </si>
  <si>
    <t>a13千里战靴</t>
  </si>
  <si>
    <t>a14千里战靴</t>
  </si>
  <si>
    <t>a15千里战靴</t>
  </si>
  <si>
    <t>a01封魔战甲</t>
  </si>
  <si>
    <t>a02封魔战甲</t>
  </si>
  <si>
    <t>a03封魔战甲</t>
  </si>
  <si>
    <t>a04封魔战甲</t>
  </si>
  <si>
    <t>a05封魔战甲</t>
  </si>
  <si>
    <t>a06封魔战甲</t>
  </si>
  <si>
    <t>a07封魔战甲</t>
  </si>
  <si>
    <t>a08封魔战甲</t>
  </si>
  <si>
    <t>a09封魔战甲</t>
  </si>
  <si>
    <t>a10封魔战甲</t>
  </si>
  <si>
    <t>a11封魔战甲</t>
  </si>
  <si>
    <t>a12封魔战甲</t>
  </si>
  <si>
    <t>a13封魔战甲</t>
  </si>
  <si>
    <t>a14封魔战甲</t>
  </si>
  <si>
    <t>a15封魔战甲</t>
  </si>
  <si>
    <t>a01封魔长剑</t>
  </si>
  <si>
    <t>a02封魔长剑</t>
  </si>
  <si>
    <t>a03封魔长剑</t>
  </si>
  <si>
    <t>a04封魔长剑</t>
  </si>
  <si>
    <t>a05封魔长剑</t>
  </si>
  <si>
    <t>a06封魔长剑</t>
  </si>
  <si>
    <t>a07封魔长剑</t>
  </si>
  <si>
    <t>a08封魔长剑</t>
  </si>
  <si>
    <t>a09封魔长剑</t>
  </si>
  <si>
    <t>a10封魔长剑</t>
  </si>
  <si>
    <t>a11封魔长剑</t>
  </si>
  <si>
    <t>a12封魔长剑</t>
  </si>
  <si>
    <t>a13封魔长剑</t>
  </si>
  <si>
    <t>a14封魔长剑</t>
  </si>
  <si>
    <t>a15封魔长剑</t>
  </si>
  <si>
    <t>a01封魔头盔</t>
  </si>
  <si>
    <t>a02封魔头盔</t>
  </si>
  <si>
    <t>a03封魔头盔</t>
  </si>
  <si>
    <t>a04封魔头盔</t>
  </si>
  <si>
    <t>a05封魔头盔</t>
  </si>
  <si>
    <t>a06封魔头盔</t>
  </si>
  <si>
    <t>a07封魔头盔</t>
  </si>
  <si>
    <t>a08封魔头盔</t>
  </si>
  <si>
    <t>a09封魔头盔</t>
  </si>
  <si>
    <t>a10封魔头盔</t>
  </si>
  <si>
    <t>a11封魔头盔</t>
  </si>
  <si>
    <t>a12封魔头盔</t>
  </si>
  <si>
    <t>a13封魔头盔</t>
  </si>
  <si>
    <t>a14封魔头盔</t>
  </si>
  <si>
    <t>a15封魔头盔</t>
  </si>
  <si>
    <t>a01封魔战靴</t>
  </si>
  <si>
    <t>a02封魔战靴</t>
  </si>
  <si>
    <t>a03封魔战靴</t>
  </si>
  <si>
    <t>a04封魔战靴</t>
  </si>
  <si>
    <t>a05封魔战靴</t>
  </si>
  <si>
    <t>a06封魔战靴</t>
  </si>
  <si>
    <t>a07封魔战靴</t>
  </si>
  <si>
    <t>a08封魔战靴</t>
  </si>
  <si>
    <t>a09封魔战靴</t>
  </si>
  <si>
    <t>a10封魔战靴</t>
  </si>
  <si>
    <t>a11封魔战靴</t>
  </si>
  <si>
    <t>a12封魔战靴</t>
  </si>
  <si>
    <t>a13封魔战靴</t>
  </si>
  <si>
    <t>a14封魔战靴</t>
  </si>
  <si>
    <t>a15封魔战靴</t>
  </si>
  <si>
    <t>10级装备随机奖励</t>
    <phoneticPr fontId="21" type="noConversion"/>
  </si>
  <si>
    <t>20级装备随机奖励</t>
    <phoneticPr fontId="21" type="noConversion"/>
  </si>
  <si>
    <t>30级装备随机奖励</t>
  </si>
  <si>
    <t>40级装备随机奖励</t>
  </si>
  <si>
    <t>50级装备随机奖励</t>
  </si>
  <si>
    <t>60级装备随机奖励</t>
  </si>
  <si>
    <t>70级装备随机奖励</t>
  </si>
  <si>
    <t>80级装备随机奖励</t>
  </si>
  <si>
    <t>90级装备随机奖励</t>
  </si>
  <si>
    <t>100级装备随机奖励</t>
  </si>
  <si>
    <t>110级装备随机奖励</t>
  </si>
  <si>
    <t>120级装备随机奖励</t>
  </si>
  <si>
    <t>130级装备随机奖励</t>
  </si>
  <si>
    <t>140级装备随机奖励</t>
  </si>
  <si>
    <t>150级装备随机奖励</t>
  </si>
  <si>
    <t>2|2702|1,2|2688|1,2|2674|1,2|2660|1,2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t>
  </si>
  <si>
    <t>2|2703|1,2|2689|1,2|2675|1,2|2661|1,2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t>
  </si>
  <si>
    <t>2|2048|1,2|2047|1,2|2046|1,2|2045|1,2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t>
  </si>
  <si>
    <t>2|2704|1,2|2690|1,2|2676|1,2|2662|1,2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t>
  </si>
  <si>
    <t>2|2705|1,2|2691|1,2|2677|1,2|2663|1,2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t>
  </si>
  <si>
    <t>2|2706|1,2|2692|1,2|2678|1,2|2664|1,2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t>
  </si>
  <si>
    <t>2|2693|1,2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1,2|2106|1</t>
  </si>
  <si>
    <t>2|2693|1,2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1,2|2106|1,2|2707|1</t>
  </si>
  <si>
    <t>2|2694|1,2|2680|1,2|2666|1,2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1,2|2707|1</t>
  </si>
  <si>
    <t>2|2695|1,2|2681|1,2|2667|1,2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1,2|2708|1</t>
  </si>
  <si>
    <t>2|2696|1,2|2682|1,2|2668|1,2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1,2|2709|1</t>
  </si>
  <si>
    <t>2|2697|1,2|2683|1,2|2669|1,2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1,2|2710|1</t>
  </si>
  <si>
    <t>2|2698|1,2|2684|1,2|2670|1,2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1,2|2711|1</t>
  </si>
  <si>
    <t>2|2699|1,2|2685|1,2|2671|1,2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1,2|2712|1</t>
  </si>
  <si>
    <t>2|2700|1,2|2686|1,2|2672|1,2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1,2|2713|1</t>
  </si>
  <si>
    <t>2|2702|1|40,2|2688|1|40,2|2674|1|40,2|2660|1|40,2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t>
  </si>
  <si>
    <t>2|2703|1|40,2|2689|1|40,2|2675|1|40,2|2661|1|40,2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t>
  </si>
  <si>
    <t>2|2048|1|40,2|2047|1|40,2|2046|1|40,2|2045|1|40,2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t>
  </si>
  <si>
    <t>2|2704|1|40,2|2690|1|40,2|2676|1|40,2|2662|1|40,2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t>
  </si>
  <si>
    <t>2|2705|1|40,2|2691|1|40,2|2677|1|40,2|2663|1|40,2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t>
  </si>
  <si>
    <t>2|2706|1|40,2|2692|1|40,2|2678|1|40,2|2664|1|40,2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t>
  </si>
  <si>
    <t>2|2707|1|40,2|2693|1|40,2|2679|1|40,2|2665|1|40,2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t>
  </si>
  <si>
    <t>2|2708|1|40,2|2694|1|40,2|2680|1|40,2|2666|1|40,2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t>
  </si>
  <si>
    <t>2|2709|1|40,2|2695|1|40,2|2681|1|40,2|2667|1|40,2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t>
  </si>
  <si>
    <t>2|2710|1|40,2|2696|1|40,2|2682|1|40,2|2668|1|40,2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t>
  </si>
  <si>
    <t>2|2711|1|40,2|2697|1|40,2|2683|1|40,2|2669|1|40,2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t>
  </si>
  <si>
    <t>2|2712|1|40,2|2698|1|40,2|2684|1|40,2|2670|1|40,2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t>
  </si>
  <si>
    <t>2|2713|1|40,2|2699|1|40,2|2685|1|40,2|2671|1|40,2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t>
  </si>
  <si>
    <t>2|2714|1|40,2|2700|1|40,2|2686|1|40,2|2672|1|40,2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t>
  </si>
  <si>
    <t>2|2715|1|40,2|2701|1|40,2|2687|1|40,2|2673|1|40,2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t>
  </si>
</sst>
</file>

<file path=xl/styles.xml><?xml version="1.0" encoding="utf-8"?>
<styleSheet xmlns="http://schemas.openxmlformats.org/spreadsheetml/2006/main">
  <fonts count="29">
    <font>
      <sz val="11"/>
      <color indexed="8"/>
      <name val="宋体"/>
      <charset val="134"/>
    </font>
    <font>
      <sz val="10"/>
      <color indexed="8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0"/>
      <color theme="0" tint="-0.14996795556505021"/>
      <name val="微软雅黑"/>
      <family val="2"/>
      <charset val="134"/>
    </font>
    <font>
      <sz val="10"/>
      <color theme="0" tint="-0.249977111117893"/>
      <name val="微软雅黑"/>
      <family val="2"/>
      <charset val="134"/>
    </font>
    <font>
      <sz val="10"/>
      <name val="微软雅黑"/>
      <family val="2"/>
      <charset val="134"/>
    </font>
    <font>
      <sz val="10"/>
      <color theme="5" tint="-0.249977111117893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b/>
      <sz val="10"/>
      <color rgb="FF00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0" tint="-0.34998626667073579"/>
      <name val="微软雅黑"/>
      <family val="2"/>
      <charset val="134"/>
    </font>
    <font>
      <sz val="10"/>
      <color theme="0" tint="-0.499984740745262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10"/>
      <color theme="0" tint="-0.499984740745262"/>
      <name val="微软雅黑"/>
      <family val="2"/>
      <charset val="134"/>
    </font>
    <font>
      <b/>
      <sz val="10"/>
      <name val="微软雅黑"/>
      <family val="2"/>
      <charset val="134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charset val="134"/>
    </font>
    <font>
      <sz val="10"/>
      <color rgb="FF0070C0"/>
      <name val="微软雅黑"/>
      <family val="2"/>
      <charset val="134"/>
    </font>
    <font>
      <sz val="10"/>
      <color rgb="FFFFFF00"/>
      <name val="微软雅黑"/>
      <family val="2"/>
      <charset val="134"/>
    </font>
  </fonts>
  <fills count="47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25" fillId="0" borderId="0"/>
  </cellStyleXfs>
  <cellXfs count="362">
    <xf numFmtId="0" fontId="0" fillId="0" borderId="0" xfId="0" applyAlignment="1"/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vertical="center"/>
    </xf>
    <xf numFmtId="0" fontId="7" fillId="10" borderId="1" xfId="0" applyFont="1" applyFill="1" applyBorder="1" applyAlignment="1">
      <alignment vertical="top" wrapText="1"/>
    </xf>
    <xf numFmtId="0" fontId="7" fillId="10" borderId="1" xfId="0" applyFont="1" applyFill="1" applyBorder="1" applyAlignment="1">
      <alignment horizontal="center" vertical="top" wrapText="1"/>
    </xf>
    <xf numFmtId="0" fontId="9" fillId="11" borderId="1" xfId="0" applyFont="1" applyFill="1" applyBorder="1" applyAlignment="1">
      <alignment vertical="center" wrapText="1"/>
    </xf>
    <xf numFmtId="0" fontId="9" fillId="11" borderId="1" xfId="0" applyFont="1" applyFill="1" applyBorder="1" applyAlignment="1">
      <alignment horizontal="center" vertical="center" wrapText="1"/>
    </xf>
    <xf numFmtId="49" fontId="9" fillId="11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 wrapText="1"/>
    </xf>
    <xf numFmtId="0" fontId="2" fillId="2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 applyAlignment="1"/>
    <xf numFmtId="0" fontId="11" fillId="0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49" fontId="1" fillId="0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center" vertical="center"/>
    </xf>
    <xf numFmtId="49" fontId="1" fillId="12" borderId="1" xfId="0" applyNumberFormat="1" applyFont="1" applyFill="1" applyBorder="1" applyAlignment="1">
      <alignment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center" vertical="center"/>
    </xf>
    <xf numFmtId="49" fontId="1" fillId="13" borderId="1" xfId="0" applyNumberFormat="1" applyFont="1" applyFill="1" applyBorder="1" applyAlignment="1">
      <alignment vertical="center"/>
    </xf>
    <xf numFmtId="0" fontId="5" fillId="14" borderId="1" xfId="0" applyFont="1" applyFill="1" applyBorder="1" applyAlignment="1">
      <alignment vertical="center"/>
    </xf>
    <xf numFmtId="0" fontId="5" fillId="14" borderId="1" xfId="0" applyFont="1" applyFill="1" applyBorder="1" applyAlignment="1">
      <alignment horizontal="center" vertical="center"/>
    </xf>
    <xf numFmtId="49" fontId="5" fillId="14" borderId="1" xfId="0" applyNumberFormat="1" applyFont="1" applyFill="1" applyBorder="1" applyAlignment="1">
      <alignment vertical="center"/>
    </xf>
    <xf numFmtId="0" fontId="5" fillId="15" borderId="1" xfId="0" applyFont="1" applyFill="1" applyBorder="1" applyAlignment="1">
      <alignment vertical="center"/>
    </xf>
    <xf numFmtId="0" fontId="5" fillId="1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vertical="center"/>
    </xf>
    <xf numFmtId="0" fontId="1" fillId="16" borderId="1" xfId="0" applyFont="1" applyFill="1" applyBorder="1" applyAlignment="1">
      <alignment horizontal="center" vertical="center"/>
    </xf>
    <xf numFmtId="49" fontId="1" fillId="16" borderId="1" xfId="0" applyNumberFormat="1" applyFont="1" applyFill="1" applyBorder="1" applyAlignment="1">
      <alignment vertical="center"/>
    </xf>
    <xf numFmtId="0" fontId="1" fillId="17" borderId="1" xfId="0" applyFont="1" applyFill="1" applyBorder="1" applyAlignment="1">
      <alignment vertical="center"/>
    </xf>
    <xf numFmtId="0" fontId="12" fillId="17" borderId="1" xfId="0" applyFont="1" applyFill="1" applyBorder="1" applyAlignment="1">
      <alignment horizontal="center" vertical="center"/>
    </xf>
    <xf numFmtId="49" fontId="1" fillId="17" borderId="1" xfId="0" applyNumberFormat="1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center" vertical="center"/>
    </xf>
    <xf numFmtId="49" fontId="1" fillId="6" borderId="1" xfId="0" applyNumberFormat="1" applyFont="1" applyFill="1" applyBorder="1" applyAlignment="1">
      <alignment vertical="center"/>
    </xf>
    <xf numFmtId="0" fontId="1" fillId="18" borderId="1" xfId="0" applyFont="1" applyFill="1" applyBorder="1" applyAlignment="1">
      <alignment vertical="center"/>
    </xf>
    <xf numFmtId="0" fontId="1" fillId="18" borderId="1" xfId="0" applyFont="1" applyFill="1" applyBorder="1" applyAlignment="1">
      <alignment horizontal="center" vertical="center"/>
    </xf>
    <xf numFmtId="49" fontId="1" fillId="18" borderId="1" xfId="0" applyNumberFormat="1" applyFont="1" applyFill="1" applyBorder="1" applyAlignment="1">
      <alignment vertical="center"/>
    </xf>
    <xf numFmtId="0" fontId="1" fillId="19" borderId="1" xfId="0" applyFont="1" applyFill="1" applyBorder="1" applyAlignment="1">
      <alignment vertical="center"/>
    </xf>
    <xf numFmtId="0" fontId="1" fillId="19" borderId="1" xfId="0" applyFont="1" applyFill="1" applyBorder="1" applyAlignment="1">
      <alignment horizontal="center" vertical="center"/>
    </xf>
    <xf numFmtId="49" fontId="1" fillId="19" borderId="1" xfId="0" applyNumberFormat="1" applyFont="1" applyFill="1" applyBorder="1" applyAlignment="1">
      <alignment vertical="center"/>
    </xf>
    <xf numFmtId="0" fontId="1" fillId="20" borderId="1" xfId="0" applyFont="1" applyFill="1" applyBorder="1" applyAlignment="1">
      <alignment vertical="center"/>
    </xf>
    <xf numFmtId="0" fontId="11" fillId="20" borderId="1" xfId="0" applyFont="1" applyFill="1" applyBorder="1" applyAlignment="1">
      <alignment vertical="center" wrapText="1"/>
    </xf>
    <xf numFmtId="0" fontId="12" fillId="20" borderId="1" xfId="0" applyFont="1" applyFill="1" applyBorder="1" applyAlignment="1">
      <alignment horizontal="center" vertical="center"/>
    </xf>
    <xf numFmtId="49" fontId="1" fillId="20" borderId="1" xfId="0" applyNumberFormat="1" applyFont="1" applyFill="1" applyBorder="1" applyAlignment="1">
      <alignment vertical="center"/>
    </xf>
    <xf numFmtId="0" fontId="11" fillId="8" borderId="1" xfId="0" applyFont="1" applyFill="1" applyBorder="1" applyAlignment="1">
      <alignment horizontal="center" vertical="center" wrapText="1"/>
    </xf>
    <xf numFmtId="0" fontId="1" fillId="21" borderId="1" xfId="0" applyFont="1" applyFill="1" applyBorder="1" applyAlignment="1">
      <alignment vertical="center"/>
    </xf>
    <xf numFmtId="0" fontId="1" fillId="21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49" fontId="1" fillId="5" borderId="1" xfId="0" applyNumberFormat="1" applyFont="1" applyFill="1" applyBorder="1" applyAlignment="1">
      <alignment vertical="center"/>
    </xf>
    <xf numFmtId="49" fontId="1" fillId="5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49" fontId="1" fillId="4" borderId="1" xfId="0" applyNumberFormat="1" applyFont="1" applyFill="1" applyBorder="1" applyAlignment="1">
      <alignment horizontal="center" vertical="center"/>
    </xf>
    <xf numFmtId="49" fontId="1" fillId="4" borderId="1" xfId="0" applyNumberFormat="1" applyFont="1" applyFill="1" applyBorder="1" applyAlignment="1">
      <alignment vertical="center"/>
    </xf>
    <xf numFmtId="0" fontId="1" fillId="7" borderId="1" xfId="0" applyFont="1" applyFill="1" applyBorder="1" applyAlignment="1">
      <alignment vertical="center"/>
    </xf>
    <xf numFmtId="49" fontId="1" fillId="7" borderId="1" xfId="0" applyNumberFormat="1" applyFont="1" applyFill="1" applyBorder="1" applyAlignment="1">
      <alignment horizontal="center" vertical="center"/>
    </xf>
    <xf numFmtId="49" fontId="1" fillId="7" borderId="1" xfId="0" applyNumberFormat="1" applyFont="1" applyFill="1" applyBorder="1" applyAlignment="1">
      <alignment vertical="center"/>
    </xf>
    <xf numFmtId="0" fontId="1" fillId="22" borderId="1" xfId="0" applyFont="1" applyFill="1" applyBorder="1" applyAlignment="1">
      <alignment vertical="center"/>
    </xf>
    <xf numFmtId="0" fontId="1" fillId="22" borderId="1" xfId="0" applyFont="1" applyFill="1" applyBorder="1" applyAlignment="1">
      <alignment horizontal="center" vertical="center"/>
    </xf>
    <xf numFmtId="49" fontId="1" fillId="22" borderId="1" xfId="0" applyNumberFormat="1" applyFont="1" applyFill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49" fontId="3" fillId="0" borderId="1" xfId="0" applyNumberFormat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horizontal="left" vertical="center"/>
    </xf>
    <xf numFmtId="0" fontId="1" fillId="2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vertical="center"/>
    </xf>
    <xf numFmtId="0" fontId="1" fillId="8" borderId="1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vertical="center"/>
    </xf>
    <xf numFmtId="0" fontId="1" fillId="23" borderId="1" xfId="0" applyFont="1" applyFill="1" applyBorder="1" applyAlignment="1">
      <alignment horizontal="center" vertical="center"/>
    </xf>
    <xf numFmtId="49" fontId="1" fillId="23" borderId="1" xfId="0" applyNumberFormat="1" applyFont="1" applyFill="1" applyBorder="1" applyAlignment="1">
      <alignment vertical="center"/>
    </xf>
    <xf numFmtId="0" fontId="1" fillId="17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vertical="center"/>
    </xf>
    <xf numFmtId="0" fontId="1" fillId="9" borderId="1" xfId="0" applyFont="1" applyFill="1" applyBorder="1" applyAlignment="1">
      <alignment horizontal="center" vertical="center"/>
    </xf>
    <xf numFmtId="49" fontId="1" fillId="9" borderId="1" xfId="0" applyNumberFormat="1" applyFont="1" applyFill="1" applyBorder="1" applyAlignment="1">
      <alignment vertical="center"/>
    </xf>
    <xf numFmtId="49" fontId="1" fillId="8" borderId="1" xfId="0" applyNumberFormat="1" applyFont="1" applyFill="1" applyBorder="1" applyAlignment="1">
      <alignment horizontal="center" vertical="center"/>
    </xf>
    <xf numFmtId="49" fontId="1" fillId="8" borderId="1" xfId="0" applyNumberFormat="1" applyFont="1" applyFill="1" applyBorder="1" applyAlignment="1">
      <alignment vertical="center"/>
    </xf>
    <xf numFmtId="49" fontId="1" fillId="9" borderId="1" xfId="0" applyNumberFormat="1" applyFont="1" applyFill="1" applyBorder="1" applyAlignment="1">
      <alignment horizontal="center" vertical="center"/>
    </xf>
    <xf numFmtId="0" fontId="1" fillId="24" borderId="1" xfId="0" applyFont="1" applyFill="1" applyBorder="1" applyAlignment="1">
      <alignment vertical="center"/>
    </xf>
    <xf numFmtId="0" fontId="1" fillId="24" borderId="1" xfId="0" applyFont="1" applyFill="1" applyBorder="1" applyAlignment="1">
      <alignment horizontal="center" vertical="center"/>
    </xf>
    <xf numFmtId="49" fontId="1" fillId="24" borderId="1" xfId="0" applyNumberFormat="1" applyFont="1" applyFill="1" applyBorder="1" applyAlignment="1">
      <alignment vertical="center"/>
    </xf>
    <xf numFmtId="0" fontId="13" fillId="24" borderId="1" xfId="0" applyFont="1" applyFill="1" applyBorder="1" applyAlignment="1">
      <alignment vertical="center"/>
    </xf>
    <xf numFmtId="0" fontId="13" fillId="24" borderId="1" xfId="0" applyFont="1" applyFill="1" applyBorder="1" applyAlignment="1">
      <alignment horizontal="center" vertical="center"/>
    </xf>
    <xf numFmtId="49" fontId="13" fillId="24" borderId="1" xfId="0" applyNumberFormat="1" applyFont="1" applyFill="1" applyBorder="1" applyAlignment="1">
      <alignment vertical="center"/>
    </xf>
    <xf numFmtId="0" fontId="1" fillId="25" borderId="1" xfId="0" applyFont="1" applyFill="1" applyBorder="1" applyAlignment="1">
      <alignment vertical="center"/>
    </xf>
    <xf numFmtId="0" fontId="11" fillId="25" borderId="1" xfId="0" applyFont="1" applyFill="1" applyBorder="1" applyAlignment="1">
      <alignment horizontal="center"/>
    </xf>
    <xf numFmtId="49" fontId="1" fillId="25" borderId="1" xfId="0" applyNumberFormat="1" applyFont="1" applyFill="1" applyBorder="1" applyAlignment="1">
      <alignment vertical="center"/>
    </xf>
    <xf numFmtId="0" fontId="1" fillId="25" borderId="0" xfId="0" applyFont="1" applyFill="1" applyBorder="1" applyAlignment="1">
      <alignment vertical="center"/>
    </xf>
    <xf numFmtId="0" fontId="1" fillId="25" borderId="0" xfId="0" applyFont="1" applyFill="1" applyAlignment="1">
      <alignment horizontal="center" vertical="center"/>
    </xf>
    <xf numFmtId="0" fontId="11" fillId="25" borderId="1" xfId="0" applyFont="1" applyFill="1" applyBorder="1" applyAlignment="1">
      <alignment horizontal="center" vertical="center"/>
    </xf>
    <xf numFmtId="0" fontId="11" fillId="25" borderId="0" xfId="0" applyFont="1" applyFill="1" applyAlignment="1">
      <alignment horizontal="center" vertical="center"/>
    </xf>
    <xf numFmtId="0" fontId="1" fillId="26" borderId="1" xfId="0" applyFont="1" applyFill="1" applyBorder="1" applyAlignment="1">
      <alignment vertical="center"/>
    </xf>
    <xf numFmtId="0" fontId="1" fillId="26" borderId="1" xfId="0" applyFont="1" applyFill="1" applyBorder="1" applyAlignment="1">
      <alignment horizontal="center" vertical="center"/>
    </xf>
    <xf numFmtId="49" fontId="1" fillId="26" borderId="1" xfId="0" applyNumberFormat="1" applyFont="1" applyFill="1" applyBorder="1" applyAlignment="1">
      <alignment vertical="center"/>
    </xf>
    <xf numFmtId="0" fontId="1" fillId="27" borderId="1" xfId="0" applyFont="1" applyFill="1" applyBorder="1" applyAlignment="1">
      <alignment vertical="center"/>
    </xf>
    <xf numFmtId="0" fontId="1" fillId="27" borderId="1" xfId="0" applyFont="1" applyFill="1" applyBorder="1" applyAlignment="1">
      <alignment horizontal="center" vertical="center"/>
    </xf>
    <xf numFmtId="49" fontId="1" fillId="27" borderId="1" xfId="0" applyNumberFormat="1" applyFont="1" applyFill="1" applyBorder="1" applyAlignment="1">
      <alignment vertical="center"/>
    </xf>
    <xf numFmtId="0" fontId="5" fillId="12" borderId="1" xfId="0" applyFont="1" applyFill="1" applyBorder="1" applyAlignment="1">
      <alignment vertical="center"/>
    </xf>
    <xf numFmtId="0" fontId="5" fillId="12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vertical="center"/>
    </xf>
    <xf numFmtId="0" fontId="5" fillId="7" borderId="1" xfId="0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vertical="center"/>
    </xf>
    <xf numFmtId="0" fontId="14" fillId="12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vertical="center"/>
    </xf>
    <xf numFmtId="0" fontId="14" fillId="7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vertical="center"/>
    </xf>
    <xf numFmtId="0" fontId="5" fillId="11" borderId="1" xfId="0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vertical="center"/>
    </xf>
    <xf numFmtId="0" fontId="5" fillId="16" borderId="1" xfId="0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49" fontId="6" fillId="0" borderId="1" xfId="0" applyNumberFormat="1" applyFont="1" applyBorder="1" applyAlignment="1">
      <alignment vertical="center"/>
    </xf>
    <xf numFmtId="0" fontId="5" fillId="8" borderId="1" xfId="0" applyFont="1" applyFill="1" applyBorder="1" applyAlignment="1">
      <alignment vertical="center"/>
    </xf>
    <xf numFmtId="0" fontId="5" fillId="22" borderId="1" xfId="0" applyFont="1" applyFill="1" applyBorder="1" applyAlignment="1">
      <alignment vertical="center"/>
    </xf>
    <xf numFmtId="0" fontId="15" fillId="0" borderId="1" xfId="0" applyFont="1" applyFill="1" applyBorder="1" applyAlignment="1">
      <alignment vertical="center"/>
    </xf>
    <xf numFmtId="0" fontId="15" fillId="0" borderId="1" xfId="0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vertical="center"/>
    </xf>
    <xf numFmtId="0" fontId="16" fillId="6" borderId="1" xfId="0" applyFont="1" applyFill="1" applyBorder="1" applyAlignment="1"/>
    <xf numFmtId="0" fontId="16" fillId="6" borderId="1" xfId="0" applyFont="1" applyFill="1" applyBorder="1" applyAlignment="1">
      <alignment vertical="center" wrapText="1"/>
    </xf>
    <xf numFmtId="0" fontId="16" fillId="6" borderId="1" xfId="0" applyFont="1" applyFill="1" applyBorder="1" applyAlignment="1">
      <alignment horizontal="center" vertical="center"/>
    </xf>
    <xf numFmtId="49" fontId="16" fillId="6" borderId="1" xfId="0" applyNumberFormat="1" applyFont="1" applyFill="1" applyBorder="1" applyAlignment="1">
      <alignment vertical="center"/>
    </xf>
    <xf numFmtId="0" fontId="5" fillId="17" borderId="1" xfId="0" applyFont="1" applyFill="1" applyBorder="1" applyAlignment="1">
      <alignment vertical="center"/>
    </xf>
    <xf numFmtId="0" fontId="1" fillId="28" borderId="1" xfId="0" applyFont="1" applyFill="1" applyBorder="1" applyAlignment="1">
      <alignment vertical="center"/>
    </xf>
    <xf numFmtId="0" fontId="5" fillId="28" borderId="1" xfId="0" applyFont="1" applyFill="1" applyBorder="1" applyAlignment="1">
      <alignment vertical="center"/>
    </xf>
    <xf numFmtId="0" fontId="1" fillId="28" borderId="1" xfId="0" applyFont="1" applyFill="1" applyBorder="1" applyAlignment="1">
      <alignment horizontal="center" vertical="center"/>
    </xf>
    <xf numFmtId="49" fontId="1" fillId="28" borderId="1" xfId="0" applyNumberFormat="1" applyFont="1" applyFill="1" applyBorder="1" applyAlignment="1">
      <alignment vertical="center"/>
    </xf>
    <xf numFmtId="0" fontId="5" fillId="17" borderId="1" xfId="0" applyFont="1" applyFill="1" applyBorder="1" applyAlignment="1">
      <alignment vertical="center" wrapText="1"/>
    </xf>
    <xf numFmtId="0" fontId="16" fillId="22" borderId="1" xfId="0" applyFont="1" applyFill="1" applyBorder="1" applyAlignment="1">
      <alignment vertical="center"/>
    </xf>
    <xf numFmtId="0" fontId="16" fillId="22" borderId="1" xfId="0" applyFont="1" applyFill="1" applyBorder="1" applyAlignment="1">
      <alignment horizontal="center" vertical="center"/>
    </xf>
    <xf numFmtId="49" fontId="16" fillId="22" borderId="1" xfId="0" applyNumberFormat="1" applyFont="1" applyFill="1" applyBorder="1" applyAlignment="1">
      <alignment vertical="center"/>
    </xf>
    <xf numFmtId="49" fontId="8" fillId="10" borderId="1" xfId="0" applyNumberFormat="1" applyFont="1" applyFill="1" applyBorder="1" applyAlignment="1">
      <alignment vertical="top" wrapText="1"/>
    </xf>
    <xf numFmtId="49" fontId="1" fillId="0" borderId="1" xfId="0" applyNumberFormat="1" applyFont="1" applyFill="1" applyBorder="1" applyAlignment="1"/>
    <xf numFmtId="49" fontId="5" fillId="15" borderId="1" xfId="0" applyNumberFormat="1" applyFont="1" applyFill="1" applyBorder="1" applyAlignment="1">
      <alignment vertical="center"/>
    </xf>
    <xf numFmtId="49" fontId="1" fillId="21" borderId="1" xfId="0" applyNumberFormat="1" applyFont="1" applyFill="1" applyBorder="1" applyAlignment="1">
      <alignment vertical="center"/>
    </xf>
    <xf numFmtId="49" fontId="1" fillId="20" borderId="1" xfId="0" applyNumberFormat="1" applyFont="1" applyFill="1" applyBorder="1" applyAlignment="1">
      <alignment horizontal="left" vertical="center"/>
    </xf>
    <xf numFmtId="49" fontId="1" fillId="8" borderId="1" xfId="0" applyNumberFormat="1" applyFont="1" applyFill="1" applyBorder="1" applyAlignment="1">
      <alignment horizontal="left" vertical="center"/>
    </xf>
    <xf numFmtId="49" fontId="5" fillId="12" borderId="1" xfId="0" applyNumberFormat="1" applyFont="1" applyFill="1" applyBorder="1" applyAlignment="1">
      <alignment vertical="center"/>
    </xf>
    <xf numFmtId="49" fontId="5" fillId="7" borderId="1" xfId="0" applyNumberFormat="1" applyFont="1" applyFill="1" applyBorder="1" applyAlignment="1">
      <alignment vertical="center"/>
    </xf>
    <xf numFmtId="49" fontId="14" fillId="12" borderId="1" xfId="0" applyNumberFormat="1" applyFont="1" applyFill="1" applyBorder="1" applyAlignment="1">
      <alignment vertical="center"/>
    </xf>
    <xf numFmtId="49" fontId="14" fillId="7" borderId="1" xfId="0" applyNumberFormat="1" applyFont="1" applyFill="1" applyBorder="1" applyAlignment="1">
      <alignment vertical="center"/>
    </xf>
    <xf numFmtId="49" fontId="5" fillId="11" borderId="1" xfId="0" applyNumberFormat="1" applyFont="1" applyFill="1" applyBorder="1" applyAlignment="1">
      <alignment vertical="center"/>
    </xf>
    <xf numFmtId="49" fontId="5" fillId="16" borderId="1" xfId="0" applyNumberFormat="1" applyFont="1" applyFill="1" applyBorder="1" applyAlignment="1">
      <alignment vertical="center"/>
    </xf>
    <xf numFmtId="0" fontId="15" fillId="0" borderId="1" xfId="0" applyFont="1" applyFill="1" applyBorder="1" applyAlignment="1">
      <alignment vertical="center" wrapText="1"/>
    </xf>
    <xf numFmtId="49" fontId="9" fillId="11" borderId="1" xfId="0" applyNumberFormat="1" applyFont="1" applyFill="1" applyBorder="1" applyAlignment="1">
      <alignment vertical="center"/>
    </xf>
    <xf numFmtId="49" fontId="2" fillId="2" borderId="1" xfId="0" applyNumberFormat="1" applyFont="1" applyFill="1" applyBorder="1" applyAlignment="1">
      <alignment vertical="center"/>
    </xf>
    <xf numFmtId="0" fontId="1" fillId="0" borderId="1" xfId="0" applyFont="1" applyFill="1" applyBorder="1" applyAlignment="1">
      <alignment vertical="center" wrapText="1"/>
    </xf>
    <xf numFmtId="0" fontId="16" fillId="6" borderId="1" xfId="0" applyFont="1" applyFill="1" applyBorder="1" applyAlignment="1">
      <alignment vertical="center"/>
    </xf>
    <xf numFmtId="0" fontId="11" fillId="8" borderId="1" xfId="0" applyFont="1" applyFill="1" applyBorder="1" applyAlignment="1">
      <alignment vertical="center" wrapText="1"/>
    </xf>
    <xf numFmtId="0" fontId="11" fillId="25" borderId="1" xfId="0" applyFont="1" applyFill="1" applyBorder="1" applyAlignment="1"/>
    <xf numFmtId="0" fontId="11" fillId="25" borderId="1" xfId="0" applyFont="1" applyFill="1" applyBorder="1" applyAlignment="1">
      <alignment vertical="center"/>
    </xf>
    <xf numFmtId="0" fontId="1" fillId="29" borderId="1" xfId="0" applyFont="1" applyFill="1" applyBorder="1" applyAlignment="1">
      <alignment vertical="center"/>
    </xf>
    <xf numFmtId="49" fontId="1" fillId="29" borderId="1" xfId="0" applyNumberFormat="1" applyFont="1" applyFill="1" applyBorder="1" applyAlignment="1">
      <alignment vertical="center"/>
    </xf>
    <xf numFmtId="0" fontId="1" fillId="30" borderId="1" xfId="0" applyFont="1" applyFill="1" applyBorder="1" applyAlignment="1">
      <alignment vertical="center"/>
    </xf>
    <xf numFmtId="49" fontId="1" fillId="30" borderId="1" xfId="0" applyNumberFormat="1" applyFont="1" applyFill="1" applyBorder="1" applyAlignment="1">
      <alignment vertical="center"/>
    </xf>
    <xf numFmtId="0" fontId="1" fillId="31" borderId="1" xfId="0" applyFont="1" applyFill="1" applyBorder="1" applyAlignment="1">
      <alignment vertical="center"/>
    </xf>
    <xf numFmtId="49" fontId="1" fillId="31" borderId="1" xfId="0" applyNumberFormat="1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18" fillId="0" borderId="1" xfId="0" applyFont="1" applyBorder="1" applyAlignment="1">
      <alignment vertical="center"/>
    </xf>
    <xf numFmtId="0" fontId="18" fillId="32" borderId="1" xfId="0" applyFont="1" applyFill="1" applyBorder="1" applyAlignment="1">
      <alignment vertical="center"/>
    </xf>
    <xf numFmtId="49" fontId="18" fillId="0" borderId="1" xfId="0" applyNumberFormat="1" applyFont="1" applyBorder="1" applyAlignment="1">
      <alignment vertical="center"/>
    </xf>
    <xf numFmtId="0" fontId="1" fillId="32" borderId="1" xfId="0" applyFont="1" applyFill="1" applyBorder="1" applyAlignment="1">
      <alignment vertical="center"/>
    </xf>
    <xf numFmtId="0" fontId="19" fillId="6" borderId="1" xfId="0" applyFont="1" applyFill="1" applyBorder="1" applyAlignment="1"/>
    <xf numFmtId="0" fontId="19" fillId="6" borderId="1" xfId="0" applyFont="1" applyFill="1" applyBorder="1" applyAlignment="1">
      <alignment vertical="center"/>
    </xf>
    <xf numFmtId="49" fontId="19" fillId="6" borderId="1" xfId="0" applyNumberFormat="1" applyFont="1" applyFill="1" applyBorder="1" applyAlignment="1">
      <alignment vertical="center"/>
    </xf>
    <xf numFmtId="0" fontId="7" fillId="13" borderId="1" xfId="0" applyFont="1" applyFill="1" applyBorder="1" applyAlignment="1">
      <alignment vertical="center"/>
    </xf>
    <xf numFmtId="49" fontId="7" fillId="13" borderId="1" xfId="0" applyNumberFormat="1" applyFont="1" applyFill="1" applyBorder="1" applyAlignment="1">
      <alignment vertical="center"/>
    </xf>
    <xf numFmtId="0" fontId="1" fillId="33" borderId="1" xfId="0" applyFont="1" applyFill="1" applyBorder="1" applyAlignment="1">
      <alignment vertical="center"/>
    </xf>
    <xf numFmtId="49" fontId="1" fillId="33" borderId="1" xfId="0" applyNumberFormat="1" applyFont="1" applyFill="1" applyBorder="1" applyAlignment="1">
      <alignment vertical="center"/>
    </xf>
    <xf numFmtId="0" fontId="5" fillId="23" borderId="1" xfId="0" applyFont="1" applyFill="1" applyBorder="1" applyAlignment="1">
      <alignment vertical="center"/>
    </xf>
    <xf numFmtId="49" fontId="5" fillId="23" borderId="1" xfId="0" applyNumberFormat="1" applyFont="1" applyFill="1" applyBorder="1" applyAlignment="1">
      <alignment vertical="center"/>
    </xf>
    <xf numFmtId="0" fontId="19" fillId="12" borderId="1" xfId="0" applyFont="1" applyFill="1" applyBorder="1" applyAlignment="1">
      <alignment vertical="center"/>
    </xf>
    <xf numFmtId="49" fontId="19" fillId="12" borderId="1" xfId="0" applyNumberFormat="1" applyFont="1" applyFill="1" applyBorder="1" applyAlignment="1">
      <alignment vertical="center"/>
    </xf>
    <xf numFmtId="0" fontId="19" fillId="9" borderId="1" xfId="0" applyFont="1" applyFill="1" applyBorder="1" applyAlignment="1">
      <alignment vertical="center"/>
    </xf>
    <xf numFmtId="49" fontId="19" fillId="9" borderId="1" xfId="0" applyNumberFormat="1" applyFont="1" applyFill="1" applyBorder="1" applyAlignment="1">
      <alignment vertical="center"/>
    </xf>
    <xf numFmtId="0" fontId="4" fillId="24" borderId="1" xfId="0" applyFont="1" applyFill="1" applyBorder="1" applyAlignment="1">
      <alignment vertical="center"/>
    </xf>
    <xf numFmtId="49" fontId="4" fillId="24" borderId="1" xfId="0" applyNumberFormat="1" applyFont="1" applyFill="1" applyBorder="1" applyAlignment="1">
      <alignment vertical="center"/>
    </xf>
    <xf numFmtId="0" fontId="1" fillId="21" borderId="1" xfId="0" applyNumberFormat="1" applyFont="1" applyFill="1" applyBorder="1" applyAlignment="1">
      <alignment vertical="center"/>
    </xf>
    <xf numFmtId="0" fontId="1" fillId="12" borderId="1" xfId="0" applyNumberFormat="1" applyFont="1" applyFill="1" applyBorder="1" applyAlignment="1">
      <alignment vertical="center"/>
    </xf>
    <xf numFmtId="0" fontId="1" fillId="5" borderId="1" xfId="0" applyNumberFormat="1" applyFont="1" applyFill="1" applyBorder="1" applyAlignment="1">
      <alignment vertical="center"/>
    </xf>
    <xf numFmtId="0" fontId="1" fillId="4" borderId="1" xfId="0" applyNumberFormat="1" applyFont="1" applyFill="1" applyBorder="1" applyAlignment="1">
      <alignment vertical="center"/>
    </xf>
    <xf numFmtId="0" fontId="1" fillId="7" borderId="1" xfId="0" applyNumberFormat="1" applyFont="1" applyFill="1" applyBorder="1" applyAlignment="1">
      <alignment vertical="center"/>
    </xf>
    <xf numFmtId="0" fontId="14" fillId="14" borderId="1" xfId="0" applyFont="1" applyFill="1" applyBorder="1" applyAlignment="1">
      <alignment vertical="center"/>
    </xf>
    <xf numFmtId="49" fontId="14" fillId="14" borderId="1" xfId="0" applyNumberFormat="1" applyFont="1" applyFill="1" applyBorder="1" applyAlignment="1">
      <alignment vertical="center"/>
    </xf>
    <xf numFmtId="0" fontId="14" fillId="15" borderId="1" xfId="0" applyFont="1" applyFill="1" applyBorder="1" applyAlignment="1">
      <alignment vertical="center"/>
    </xf>
    <xf numFmtId="49" fontId="14" fillId="15" borderId="1" xfId="0" applyNumberFormat="1" applyFont="1" applyFill="1" applyBorder="1" applyAlignment="1">
      <alignment vertical="center"/>
    </xf>
    <xf numFmtId="0" fontId="1" fillId="34" borderId="1" xfId="0" applyFont="1" applyFill="1" applyBorder="1" applyAlignment="1">
      <alignment vertical="center"/>
    </xf>
    <xf numFmtId="49" fontId="1" fillId="34" borderId="1" xfId="0" applyNumberFormat="1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11" fillId="17" borderId="1" xfId="0" applyFont="1" applyFill="1" applyBorder="1" applyAlignment="1">
      <alignment vertical="center"/>
    </xf>
    <xf numFmtId="0" fontId="11" fillId="20" borderId="1" xfId="0" applyFont="1" applyFill="1" applyBorder="1" applyAlignment="1">
      <alignment vertical="center"/>
    </xf>
    <xf numFmtId="0" fontId="1" fillId="20" borderId="1" xfId="0" applyFont="1" applyFill="1" applyBorder="1" applyAlignment="1"/>
    <xf numFmtId="0" fontId="1" fillId="11" borderId="1" xfId="0" applyFont="1" applyFill="1" applyBorder="1" applyAlignment="1"/>
    <xf numFmtId="0" fontId="5" fillId="0" borderId="0" xfId="0" applyFont="1" applyAlignment="1">
      <alignment vertical="center"/>
    </xf>
    <xf numFmtId="0" fontId="1" fillId="11" borderId="1" xfId="0" applyFont="1" applyFill="1" applyBorder="1" applyAlignment="1">
      <alignment vertical="center"/>
    </xf>
    <xf numFmtId="49" fontId="1" fillId="11" borderId="1" xfId="0" applyNumberFormat="1" applyFont="1" applyFill="1" applyBorder="1" applyAlignment="1">
      <alignment vertical="center"/>
    </xf>
    <xf numFmtId="0" fontId="1" fillId="31" borderId="1" xfId="0" applyFont="1" applyFill="1" applyBorder="1" applyAlignment="1"/>
    <xf numFmtId="0" fontId="1" fillId="25" borderId="1" xfId="0" applyFont="1" applyFill="1" applyBorder="1" applyAlignment="1"/>
    <xf numFmtId="0" fontId="1" fillId="9" borderId="1" xfId="0" applyFont="1" applyFill="1" applyBorder="1" applyAlignment="1"/>
    <xf numFmtId="0" fontId="7" fillId="12" borderId="1" xfId="0" applyFont="1" applyFill="1" applyBorder="1" applyAlignment="1">
      <alignment vertical="center"/>
    </xf>
    <xf numFmtId="49" fontId="7" fillId="12" borderId="1" xfId="0" applyNumberFormat="1" applyFont="1" applyFill="1" applyBorder="1" applyAlignment="1">
      <alignment vertical="center"/>
    </xf>
    <xf numFmtId="0" fontId="16" fillId="12" borderId="1" xfId="0" applyFont="1" applyFill="1" applyBorder="1" applyAlignment="1">
      <alignment vertical="center"/>
    </xf>
    <xf numFmtId="49" fontId="16" fillId="12" borderId="1" xfId="0" applyNumberFormat="1" applyFont="1" applyFill="1" applyBorder="1" applyAlignment="1">
      <alignment vertical="center"/>
    </xf>
    <xf numFmtId="0" fontId="19" fillId="0" borderId="1" xfId="0" applyFont="1" applyBorder="1" applyAlignment="1">
      <alignment vertical="center"/>
    </xf>
    <xf numFmtId="49" fontId="19" fillId="0" borderId="1" xfId="0" applyNumberFormat="1" applyFont="1" applyBorder="1" applyAlignment="1">
      <alignment vertical="center"/>
    </xf>
    <xf numFmtId="0" fontId="1" fillId="12" borderId="1" xfId="0" applyFont="1" applyFill="1" applyBorder="1" applyAlignment="1"/>
    <xf numFmtId="0" fontId="5" fillId="34" borderId="1" xfId="0" applyFont="1" applyFill="1" applyBorder="1" applyAlignment="1">
      <alignment vertical="center"/>
    </xf>
    <xf numFmtId="0" fontId="22" fillId="0" borderId="0" xfId="0" applyFont="1" applyAlignment="1"/>
    <xf numFmtId="0" fontId="5" fillId="37" borderId="1" xfId="0" applyFont="1" applyFill="1" applyBorder="1" applyAlignment="1">
      <alignment vertical="top" wrapText="1"/>
    </xf>
    <xf numFmtId="0" fontId="5" fillId="25" borderId="1" xfId="0" applyFont="1" applyFill="1" applyBorder="1" applyAlignment="1">
      <alignment vertical="top"/>
    </xf>
    <xf numFmtId="0" fontId="15" fillId="22" borderId="1" xfId="0" applyFont="1" applyFill="1" applyBorder="1" applyAlignment="1">
      <alignment vertical="center"/>
    </xf>
    <xf numFmtId="0" fontId="15" fillId="12" borderId="1" xfId="0" applyFont="1" applyFill="1" applyBorder="1" applyAlignment="1">
      <alignment vertical="center"/>
    </xf>
    <xf numFmtId="0" fontId="2" fillId="38" borderId="1" xfId="0" applyFont="1" applyFill="1" applyBorder="1" applyAlignment="1">
      <alignment vertical="center"/>
    </xf>
    <xf numFmtId="0" fontId="5" fillId="39" borderId="1" xfId="0" applyFont="1" applyFill="1" applyBorder="1" applyAlignment="1">
      <alignment vertical="center"/>
    </xf>
    <xf numFmtId="0" fontId="5" fillId="38" borderId="1" xfId="0" applyFont="1" applyFill="1" applyBorder="1" applyAlignment="1">
      <alignment vertical="center"/>
    </xf>
    <xf numFmtId="0" fontId="23" fillId="38" borderId="1" xfId="0" applyFont="1" applyFill="1" applyBorder="1" applyAlignment="1">
      <alignment vertical="center"/>
    </xf>
    <xf numFmtId="0" fontId="23" fillId="38" borderId="2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top" wrapText="1"/>
    </xf>
    <xf numFmtId="0" fontId="24" fillId="20" borderId="1" xfId="0" applyFont="1" applyFill="1" applyBorder="1" applyAlignment="1">
      <alignment vertical="top" wrapText="1"/>
    </xf>
    <xf numFmtId="0" fontId="0" fillId="0" borderId="0" xfId="0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11" fillId="0" borderId="1" xfId="0" applyNumberFormat="1" applyFont="1" applyBorder="1" applyAlignment="1"/>
    <xf numFmtId="0" fontId="1" fillId="0" borderId="1" xfId="0" applyFont="1" applyBorder="1" applyAlignment="1"/>
    <xf numFmtId="0" fontId="19" fillId="0" borderId="1" xfId="0" applyFont="1" applyBorder="1" applyAlignment="1"/>
    <xf numFmtId="0" fontId="11" fillId="29" borderId="1" xfId="0" applyFont="1" applyFill="1" applyBorder="1" applyAlignment="1">
      <alignment vertical="center"/>
    </xf>
    <xf numFmtId="0" fontId="11" fillId="29" borderId="1" xfId="0" applyFont="1" applyFill="1" applyBorder="1" applyAlignment="1"/>
    <xf numFmtId="0" fontId="5" fillId="35" borderId="1" xfId="0" applyFont="1" applyFill="1" applyBorder="1" applyAlignment="1">
      <alignment vertical="center"/>
    </xf>
    <xf numFmtId="0" fontId="5" fillId="36" borderId="1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1" fillId="0" borderId="0" xfId="0" applyFont="1" applyBorder="1" applyAlignment="1"/>
    <xf numFmtId="0" fontId="5" fillId="0" borderId="0" xfId="0" applyFont="1" applyFill="1" applyBorder="1" applyAlignment="1"/>
    <xf numFmtId="0" fontId="5" fillId="0" borderId="0" xfId="0" applyFont="1" applyBorder="1" applyAlignment="1"/>
    <xf numFmtId="0" fontId="7" fillId="0" borderId="0" xfId="0" applyFont="1" applyBorder="1" applyAlignment="1"/>
    <xf numFmtId="0" fontId="1" fillId="6" borderId="0" xfId="0" applyFont="1" applyFill="1" applyBorder="1" applyAlignment="1"/>
    <xf numFmtId="0" fontId="19" fillId="0" borderId="0" xfId="0" applyFont="1" applyBorder="1" applyAlignment="1"/>
    <xf numFmtId="0" fontId="14" fillId="0" borderId="0" xfId="0" applyFont="1" applyBorder="1" applyAlignment="1"/>
    <xf numFmtId="0" fontId="1" fillId="0" borderId="0" xfId="0" applyNumberFormat="1" applyFont="1" applyBorder="1" applyAlignment="1"/>
    <xf numFmtId="0" fontId="1" fillId="31" borderId="0" xfId="0" applyFont="1" applyFill="1" applyBorder="1" applyAlignment="1"/>
    <xf numFmtId="0" fontId="1" fillId="12" borderId="0" xfId="0" applyFont="1" applyFill="1" applyBorder="1" applyAlignment="1"/>
    <xf numFmtId="0" fontId="1" fillId="33" borderId="0" xfId="0" applyFont="1" applyFill="1" applyBorder="1" applyAlignment="1"/>
    <xf numFmtId="0" fontId="1" fillId="22" borderId="0" xfId="0" applyFont="1" applyFill="1" applyBorder="1" applyAlignment="1"/>
    <xf numFmtId="0" fontId="1" fillId="18" borderId="0" xfId="0" applyFont="1" applyFill="1" applyBorder="1" applyAlignment="1"/>
    <xf numFmtId="0" fontId="1" fillId="11" borderId="0" xfId="0" applyFont="1" applyFill="1" applyBorder="1" applyAlignment="1"/>
    <xf numFmtId="0" fontId="1" fillId="0" borderId="0" xfId="0" applyFont="1" applyFill="1" applyBorder="1" applyAlignment="1"/>
    <xf numFmtId="0" fontId="5" fillId="0" borderId="0" xfId="0" applyNumberFormat="1" applyFont="1" applyFill="1" applyBorder="1" applyAlignment="1"/>
    <xf numFmtId="0" fontId="5" fillId="0" borderId="0" xfId="0" applyNumberFormat="1" applyFont="1" applyBorder="1" applyAlignment="1"/>
    <xf numFmtId="0" fontId="7" fillId="0" borderId="0" xfId="0" applyNumberFormat="1" applyFont="1" applyBorder="1" applyAlignment="1"/>
    <xf numFmtId="0" fontId="1" fillId="6" borderId="0" xfId="0" applyNumberFormat="1" applyFont="1" applyFill="1" applyBorder="1" applyAlignment="1"/>
    <xf numFmtId="0" fontId="19" fillId="0" borderId="0" xfId="0" applyNumberFormat="1" applyFont="1" applyBorder="1" applyAlignment="1"/>
    <xf numFmtId="0" fontId="14" fillId="0" borderId="0" xfId="0" applyNumberFormat="1" applyFont="1" applyBorder="1" applyAlignment="1"/>
    <xf numFmtId="0" fontId="1" fillId="31" borderId="0" xfId="0" applyNumberFormat="1" applyFont="1" applyFill="1" applyBorder="1" applyAlignment="1"/>
    <xf numFmtId="0" fontId="1" fillId="12" borderId="0" xfId="0" applyNumberFormat="1" applyFont="1" applyFill="1" applyBorder="1" applyAlignment="1"/>
    <xf numFmtId="0" fontId="1" fillId="33" borderId="0" xfId="0" applyNumberFormat="1" applyFont="1" applyFill="1" applyBorder="1" applyAlignment="1"/>
    <xf numFmtId="0" fontId="1" fillId="22" borderId="0" xfId="0" applyNumberFormat="1" applyFont="1" applyFill="1" applyBorder="1" applyAlignment="1"/>
    <xf numFmtId="0" fontId="1" fillId="18" borderId="0" xfId="0" applyNumberFormat="1" applyFont="1" applyFill="1" applyBorder="1" applyAlignment="1"/>
    <xf numFmtId="0" fontId="1" fillId="11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0" fontId="1" fillId="40" borderId="1" xfId="0" applyFont="1" applyFill="1" applyBorder="1" applyAlignment="1">
      <alignment vertical="center"/>
    </xf>
    <xf numFmtId="49" fontId="1" fillId="40" borderId="1" xfId="0" applyNumberFormat="1" applyFont="1" applyFill="1" applyBorder="1" applyAlignment="1">
      <alignment vertical="center"/>
    </xf>
    <xf numFmtId="0" fontId="19" fillId="40" borderId="1" xfId="0" applyFont="1" applyFill="1" applyBorder="1" applyAlignment="1">
      <alignment vertical="center"/>
    </xf>
    <xf numFmtId="49" fontId="19" fillId="40" borderId="1" xfId="0" applyNumberFormat="1" applyFont="1" applyFill="1" applyBorder="1" applyAlignment="1">
      <alignment vertical="center"/>
    </xf>
    <xf numFmtId="0" fontId="1" fillId="40" borderId="1" xfId="0" applyFont="1" applyFill="1" applyBorder="1" applyAlignment="1"/>
    <xf numFmtId="0" fontId="1" fillId="40" borderId="0" xfId="0" applyNumberFormat="1" applyFont="1" applyFill="1" applyBorder="1" applyAlignment="1"/>
    <xf numFmtId="0" fontId="1" fillId="40" borderId="0" xfId="0" applyFont="1" applyFill="1" applyBorder="1" applyAlignment="1"/>
    <xf numFmtId="0" fontId="1" fillId="8" borderId="1" xfId="0" applyNumberFormat="1" applyFont="1" applyFill="1" applyBorder="1" applyAlignment="1">
      <alignment vertical="center"/>
    </xf>
    <xf numFmtId="0" fontId="1" fillId="9" borderId="1" xfId="0" applyNumberFormat="1" applyFont="1" applyFill="1" applyBorder="1" applyAlignment="1">
      <alignment vertical="center"/>
    </xf>
    <xf numFmtId="0" fontId="5" fillId="40" borderId="1" xfId="0" applyFont="1" applyFill="1" applyBorder="1" applyAlignment="1">
      <alignment vertical="center"/>
    </xf>
    <xf numFmtId="0" fontId="1" fillId="41" borderId="1" xfId="0" applyFont="1" applyFill="1" applyBorder="1" applyAlignment="1"/>
    <xf numFmtId="0" fontId="1" fillId="13" borderId="1" xfId="0" applyFont="1" applyFill="1" applyBorder="1" applyAlignment="1"/>
    <xf numFmtId="0" fontId="1" fillId="3" borderId="1" xfId="0" applyFont="1" applyFill="1" applyBorder="1" applyAlignment="1">
      <alignment vertical="center"/>
    </xf>
    <xf numFmtId="49" fontId="1" fillId="3" borderId="1" xfId="0" applyNumberFormat="1" applyFont="1" applyFill="1" applyBorder="1" applyAlignment="1">
      <alignment vertical="center"/>
    </xf>
    <xf numFmtId="49" fontId="5" fillId="40" borderId="1" xfId="0" applyNumberFormat="1" applyFont="1" applyFill="1" applyBorder="1" applyAlignment="1">
      <alignment vertical="center"/>
    </xf>
    <xf numFmtId="0" fontId="19" fillId="0" borderId="1" xfId="0" applyFont="1" applyFill="1" applyBorder="1" applyAlignment="1">
      <alignment vertical="center"/>
    </xf>
    <xf numFmtId="49" fontId="19" fillId="0" borderId="1" xfId="0" applyNumberFormat="1" applyFont="1" applyFill="1" applyBorder="1" applyAlignment="1">
      <alignment vertical="center"/>
    </xf>
    <xf numFmtId="0" fontId="7" fillId="42" borderId="1" xfId="0" applyFont="1" applyFill="1" applyBorder="1" applyAlignment="1">
      <alignment vertical="center"/>
    </xf>
    <xf numFmtId="49" fontId="7" fillId="42" borderId="1" xfId="0" applyNumberFormat="1" applyFont="1" applyFill="1" applyBorder="1" applyAlignment="1">
      <alignment vertical="center"/>
    </xf>
    <xf numFmtId="0" fontId="7" fillId="25" borderId="1" xfId="0" applyFont="1" applyFill="1" applyBorder="1" applyAlignment="1">
      <alignment vertical="center"/>
    </xf>
    <xf numFmtId="49" fontId="7" fillId="25" borderId="1" xfId="0" applyNumberFormat="1" applyFont="1" applyFill="1" applyBorder="1" applyAlignment="1">
      <alignment vertical="center"/>
    </xf>
    <xf numFmtId="0" fontId="7" fillId="9" borderId="1" xfId="0" applyFont="1" applyFill="1" applyBorder="1" applyAlignment="1">
      <alignment vertical="center"/>
    </xf>
    <xf numFmtId="49" fontId="7" fillId="9" borderId="1" xfId="0" applyNumberFormat="1" applyFont="1" applyFill="1" applyBorder="1" applyAlignment="1">
      <alignment vertical="center"/>
    </xf>
    <xf numFmtId="0" fontId="7" fillId="31" borderId="1" xfId="0" applyFont="1" applyFill="1" applyBorder="1" applyAlignment="1">
      <alignment vertical="center"/>
    </xf>
    <xf numFmtId="49" fontId="7" fillId="31" borderId="1" xfId="0" applyNumberFormat="1" applyFont="1" applyFill="1" applyBorder="1" applyAlignment="1">
      <alignment vertical="center"/>
    </xf>
    <xf numFmtId="0" fontId="7" fillId="6" borderId="1" xfId="0" applyFont="1" applyFill="1" applyBorder="1" applyAlignment="1">
      <alignment vertical="center"/>
    </xf>
    <xf numFmtId="49" fontId="7" fillId="6" borderId="1" xfId="0" applyNumberFormat="1" applyFont="1" applyFill="1" applyBorder="1" applyAlignment="1">
      <alignment vertical="center"/>
    </xf>
    <xf numFmtId="0" fontId="7" fillId="20" borderId="1" xfId="0" applyFont="1" applyFill="1" applyBorder="1" applyAlignment="1">
      <alignment vertical="center"/>
    </xf>
    <xf numFmtId="49" fontId="7" fillId="20" borderId="1" xfId="0" applyNumberFormat="1" applyFont="1" applyFill="1" applyBorder="1" applyAlignment="1">
      <alignment vertical="center"/>
    </xf>
    <xf numFmtId="0" fontId="5" fillId="9" borderId="1" xfId="0" applyFont="1" applyFill="1" applyBorder="1" applyAlignment="1"/>
    <xf numFmtId="0" fontId="11" fillId="9" borderId="1" xfId="0" applyFont="1" applyFill="1" applyBorder="1" applyAlignment="1">
      <alignment vertical="center"/>
    </xf>
    <xf numFmtId="0" fontId="14" fillId="17" borderId="1" xfId="0" applyFont="1" applyFill="1" applyBorder="1" applyAlignment="1">
      <alignment vertical="center"/>
    </xf>
    <xf numFmtId="49" fontId="14" fillId="17" borderId="1" xfId="0" applyNumberFormat="1" applyFont="1" applyFill="1" applyBorder="1" applyAlignment="1">
      <alignment vertical="center"/>
    </xf>
    <xf numFmtId="0" fontId="1" fillId="9" borderId="0" xfId="0" applyNumberFormat="1" applyFont="1" applyFill="1" applyBorder="1" applyAlignment="1"/>
    <xf numFmtId="0" fontId="1" fillId="9" borderId="0" xfId="0" applyFont="1" applyFill="1" applyBorder="1" applyAlignment="1"/>
    <xf numFmtId="0" fontId="1" fillId="21" borderId="1" xfId="0" applyFont="1" applyFill="1" applyBorder="1" applyAlignment="1"/>
    <xf numFmtId="0" fontId="5" fillId="0" borderId="1" xfId="0" applyFont="1" applyFill="1" applyBorder="1" applyAlignment="1"/>
    <xf numFmtId="0" fontId="5" fillId="40" borderId="1" xfId="0" applyFont="1" applyFill="1" applyBorder="1" applyAlignment="1"/>
    <xf numFmtId="0" fontId="5" fillId="12" borderId="1" xfId="0" applyFont="1" applyFill="1" applyBorder="1" applyAlignment="1"/>
    <xf numFmtId="0" fontId="5" fillId="0" borderId="1" xfId="0" applyFont="1" applyBorder="1" applyAlignment="1"/>
    <xf numFmtId="0" fontId="1" fillId="6" borderId="1" xfId="0" applyFont="1" applyFill="1" applyBorder="1" applyAlignment="1"/>
    <xf numFmtId="0" fontId="1" fillId="29" borderId="1" xfId="0" applyFont="1" applyFill="1" applyBorder="1" applyAlignment="1"/>
    <xf numFmtId="0" fontId="1" fillId="18" borderId="1" xfId="0" applyFont="1" applyFill="1" applyBorder="1" applyAlignment="1"/>
    <xf numFmtId="0" fontId="1" fillId="43" borderId="1" xfId="0" applyFont="1" applyFill="1" applyBorder="1" applyAlignment="1"/>
    <xf numFmtId="0" fontId="1" fillId="41" borderId="1" xfId="0" applyFont="1" applyFill="1" applyBorder="1" applyAlignment="1">
      <alignment vertical="center"/>
    </xf>
    <xf numFmtId="49" fontId="1" fillId="41" borderId="1" xfId="0" applyNumberFormat="1" applyFont="1" applyFill="1" applyBorder="1" applyAlignment="1">
      <alignment vertical="center"/>
    </xf>
    <xf numFmtId="0" fontId="1" fillId="44" borderId="1" xfId="0" applyFont="1" applyFill="1" applyBorder="1" applyAlignment="1">
      <alignment vertical="center"/>
    </xf>
    <xf numFmtId="49" fontId="1" fillId="44" borderId="1" xfId="0" applyNumberFormat="1" applyFont="1" applyFill="1" applyBorder="1" applyAlignment="1">
      <alignment vertical="center"/>
    </xf>
    <xf numFmtId="0" fontId="1" fillId="20" borderId="0" xfId="0" applyNumberFormat="1" applyFont="1" applyFill="1" applyBorder="1" applyAlignment="1"/>
    <xf numFmtId="0" fontId="1" fillId="20" borderId="0" xfId="0" applyFont="1" applyFill="1" applyBorder="1" applyAlignment="1"/>
    <xf numFmtId="0" fontId="1" fillId="45" borderId="1" xfId="0" applyFont="1" applyFill="1" applyBorder="1" applyAlignment="1">
      <alignment vertical="center"/>
    </xf>
    <xf numFmtId="49" fontId="1" fillId="45" borderId="1" xfId="0" applyNumberFormat="1" applyFont="1" applyFill="1" applyBorder="1" applyAlignment="1">
      <alignment vertical="center"/>
    </xf>
    <xf numFmtId="0" fontId="1" fillId="43" borderId="1" xfId="0" applyFont="1" applyFill="1" applyBorder="1" applyAlignment="1">
      <alignment vertical="center"/>
    </xf>
    <xf numFmtId="49" fontId="1" fillId="43" borderId="1" xfId="0" applyNumberFormat="1" applyFont="1" applyFill="1" applyBorder="1" applyAlignment="1">
      <alignment vertical="center"/>
    </xf>
    <xf numFmtId="0" fontId="25" fillId="0" borderId="0" xfId="1"/>
    <xf numFmtId="0" fontId="11" fillId="43" borderId="1" xfId="1" applyNumberFormat="1" applyFont="1" applyFill="1" applyBorder="1" applyAlignment="1">
      <alignment horizontal="center" vertical="center"/>
    </xf>
    <xf numFmtId="0" fontId="11" fillId="20" borderId="1" xfId="1" applyNumberFormat="1" applyFont="1" applyFill="1" applyBorder="1" applyAlignment="1">
      <alignment horizontal="center" vertical="center"/>
    </xf>
    <xf numFmtId="0" fontId="11" fillId="25" borderId="1" xfId="1" applyNumberFormat="1" applyFont="1" applyFill="1" applyBorder="1" applyAlignment="1">
      <alignment horizontal="center" vertical="center"/>
    </xf>
    <xf numFmtId="0" fontId="5" fillId="25" borderId="1" xfId="1" applyNumberFormat="1" applyFont="1" applyFill="1" applyBorder="1" applyAlignment="1">
      <alignment horizontal="center" vertical="center"/>
    </xf>
    <xf numFmtId="0" fontId="5" fillId="41" borderId="1" xfId="1" applyNumberFormat="1" applyFont="1" applyFill="1" applyBorder="1" applyAlignment="1">
      <alignment horizontal="center" vertical="center"/>
    </xf>
    <xf numFmtId="0" fontId="11" fillId="9" borderId="1" xfId="1" applyNumberFormat="1" applyFont="1" applyFill="1" applyBorder="1" applyAlignment="1">
      <alignment horizontal="center" vertical="center"/>
    </xf>
    <xf numFmtId="0" fontId="11" fillId="30" borderId="1" xfId="1" applyNumberFormat="1" applyFont="1" applyFill="1" applyBorder="1" applyAlignment="1">
      <alignment horizontal="center" vertical="center"/>
    </xf>
    <xf numFmtId="0" fontId="5" fillId="18" borderId="1" xfId="1" applyNumberFormat="1" applyFont="1" applyFill="1" applyBorder="1" applyAlignment="1">
      <alignment horizontal="center" vertical="center"/>
    </xf>
    <xf numFmtId="0" fontId="11" fillId="6" borderId="1" xfId="1" applyNumberFormat="1" applyFont="1" applyFill="1" applyBorder="1" applyAlignment="1">
      <alignment horizontal="center" vertical="center"/>
    </xf>
    <xf numFmtId="0" fontId="11" fillId="18" borderId="1" xfId="1" applyNumberFormat="1" applyFont="1" applyFill="1" applyBorder="1" applyAlignment="1">
      <alignment horizontal="center" vertical="center"/>
    </xf>
    <xf numFmtId="0" fontId="11" fillId="43" borderId="1" xfId="1" applyNumberFormat="1" applyFont="1" applyFill="1" applyBorder="1" applyAlignment="1">
      <alignment horizontal="center" vertical="center"/>
    </xf>
    <xf numFmtId="0" fontId="11" fillId="20" borderId="1" xfId="1" applyNumberFormat="1" applyFont="1" applyFill="1" applyBorder="1" applyAlignment="1">
      <alignment horizontal="center" vertical="center"/>
    </xf>
    <xf numFmtId="0" fontId="11" fillId="25" borderId="1" xfId="1" applyNumberFormat="1" applyFont="1" applyFill="1" applyBorder="1" applyAlignment="1">
      <alignment horizontal="center" vertical="center"/>
    </xf>
    <xf numFmtId="0" fontId="2" fillId="46" borderId="1" xfId="1" applyNumberFormat="1" applyFont="1" applyFill="1" applyBorder="1" applyAlignment="1">
      <alignment horizontal="center" vertical="center"/>
    </xf>
    <xf numFmtId="0" fontId="5" fillId="25" borderId="1" xfId="1" applyNumberFormat="1" applyFont="1" applyFill="1" applyBorder="1" applyAlignment="1">
      <alignment horizontal="center" vertical="center"/>
    </xf>
    <xf numFmtId="0" fontId="5" fillId="41" borderId="1" xfId="1" applyNumberFormat="1" applyFont="1" applyFill="1" applyBorder="1" applyAlignment="1">
      <alignment horizontal="center" vertical="center"/>
    </xf>
    <xf numFmtId="0" fontId="11" fillId="9" borderId="1" xfId="1" applyNumberFormat="1" applyFont="1" applyFill="1" applyBorder="1" applyAlignment="1">
      <alignment horizontal="center" vertical="center"/>
    </xf>
    <xf numFmtId="0" fontId="11" fillId="30" borderId="1" xfId="1" applyNumberFormat="1" applyFont="1" applyFill="1" applyBorder="1" applyAlignment="1">
      <alignment horizontal="center" vertical="center"/>
    </xf>
    <xf numFmtId="0" fontId="5" fillId="18" borderId="1" xfId="1" applyNumberFormat="1" applyFont="1" applyFill="1" applyBorder="1" applyAlignment="1">
      <alignment horizontal="center" vertical="center"/>
    </xf>
    <xf numFmtId="0" fontId="11" fillId="6" borderId="1" xfId="1" applyNumberFormat="1" applyFont="1" applyFill="1" applyBorder="1" applyAlignment="1">
      <alignment horizontal="center" vertical="center"/>
    </xf>
    <xf numFmtId="0" fontId="11" fillId="18" borderId="1" xfId="1" applyNumberFormat="1" applyFont="1" applyFill="1" applyBorder="1" applyAlignment="1">
      <alignment horizontal="center" vertical="center"/>
    </xf>
    <xf numFmtId="0" fontId="27" fillId="41" borderId="1" xfId="1" applyNumberFormat="1" applyFont="1" applyFill="1" applyBorder="1" applyAlignment="1">
      <alignment horizontal="center" vertical="center"/>
    </xf>
    <xf numFmtId="0" fontId="27" fillId="25" borderId="1" xfId="1" applyNumberFormat="1" applyFont="1" applyFill="1" applyBorder="1" applyAlignment="1">
      <alignment horizontal="center" vertical="center"/>
    </xf>
    <xf numFmtId="0" fontId="27" fillId="9" borderId="1" xfId="1" applyNumberFormat="1" applyFont="1" applyFill="1" applyBorder="1" applyAlignment="1">
      <alignment horizontal="center" vertical="center"/>
    </xf>
    <xf numFmtId="0" fontId="27" fillId="18" borderId="1" xfId="1" applyNumberFormat="1" applyFont="1" applyFill="1" applyBorder="1" applyAlignment="1">
      <alignment horizontal="center" vertical="center"/>
    </xf>
    <xf numFmtId="0" fontId="27" fillId="30" borderId="1" xfId="1" applyNumberFormat="1" applyFont="1" applyFill="1" applyBorder="1" applyAlignment="1">
      <alignment horizontal="center" vertical="center"/>
    </xf>
    <xf numFmtId="0" fontId="28" fillId="43" borderId="1" xfId="1" applyNumberFormat="1" applyFont="1" applyFill="1" applyBorder="1" applyAlignment="1">
      <alignment horizontal="center" vertical="center"/>
    </xf>
    <xf numFmtId="0" fontId="28" fillId="6" borderId="1" xfId="1" applyNumberFormat="1" applyFont="1" applyFill="1" applyBorder="1" applyAlignment="1">
      <alignment horizontal="center" vertical="center"/>
    </xf>
    <xf numFmtId="0" fontId="28" fillId="20" borderId="1" xfId="1" applyNumberFormat="1" applyFont="1" applyFill="1" applyBorder="1" applyAlignment="1">
      <alignment horizontal="center" vertical="center"/>
    </xf>
    <xf numFmtId="0" fontId="28" fillId="18" borderId="1" xfId="1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8559"/>
  <sheetViews>
    <sheetView tabSelected="1" zoomScale="85" zoomScaleNormal="85" workbookViewId="0">
      <pane xSplit="1" ySplit="3" topLeftCell="D8529" activePane="bottomRight" state="frozen"/>
      <selection pane="topRight"/>
      <selection pane="bottomLeft"/>
      <selection pane="bottomRight" activeCell="E8559" sqref="E8559"/>
    </sheetView>
  </sheetViews>
  <sheetFormatPr defaultColWidth="9" defaultRowHeight="16.5"/>
  <cols>
    <col min="1" max="1" width="33.25" style="246" bestFit="1" customWidth="1"/>
    <col min="2" max="2" width="32.375" style="246" customWidth="1"/>
    <col min="3" max="3" width="62.125" style="246" customWidth="1"/>
    <col min="4" max="4" width="53" style="246" customWidth="1"/>
    <col min="5" max="5" width="128.875" style="247" customWidth="1"/>
    <col min="6" max="6" width="9" style="256"/>
    <col min="7" max="7" width="10.125" style="249" customWidth="1"/>
    <col min="8" max="16384" width="9" style="249"/>
  </cols>
  <sheetData>
    <row r="1" spans="1:6" ht="103.5" customHeight="1">
      <c r="A1" s="4" t="s">
        <v>12635</v>
      </c>
      <c r="B1" s="4" t="s">
        <v>9122</v>
      </c>
      <c r="C1" s="4" t="s">
        <v>9289</v>
      </c>
      <c r="D1" s="4" t="s">
        <v>1</v>
      </c>
      <c r="E1" s="145" t="s">
        <v>4760</v>
      </c>
    </row>
    <row r="2" spans="1:6">
      <c r="A2" s="6" t="s">
        <v>2</v>
      </c>
      <c r="B2" s="6" t="s">
        <v>3</v>
      </c>
      <c r="C2" s="6" t="s">
        <v>9121</v>
      </c>
      <c r="D2" s="6" t="s">
        <v>4</v>
      </c>
      <c r="E2" s="158" t="s">
        <v>5</v>
      </c>
    </row>
    <row r="3" spans="1:6">
      <c r="A3" s="9" t="s">
        <v>6</v>
      </c>
      <c r="B3" s="9" t="s">
        <v>7</v>
      </c>
      <c r="C3" s="9" t="s">
        <v>6</v>
      </c>
      <c r="D3" s="9" t="s">
        <v>6</v>
      </c>
      <c r="E3" s="159" t="s">
        <v>6</v>
      </c>
    </row>
    <row r="4" spans="1:6" s="250" customFormat="1">
      <c r="A4" s="203">
        <v>1001</v>
      </c>
      <c r="B4" s="203">
        <v>1</v>
      </c>
      <c r="C4" s="203" t="s">
        <v>7296</v>
      </c>
      <c r="D4" s="203" t="s">
        <v>7298</v>
      </c>
      <c r="E4" s="203" t="s">
        <v>7297</v>
      </c>
      <c r="F4" s="264"/>
    </row>
    <row r="5" spans="1:6">
      <c r="A5" s="13">
        <v>10001</v>
      </c>
      <c r="B5" s="18">
        <v>1</v>
      </c>
      <c r="C5" s="18" t="s">
        <v>3407</v>
      </c>
      <c r="D5" s="18" t="s">
        <v>8</v>
      </c>
      <c r="E5" s="146" t="s">
        <v>9</v>
      </c>
    </row>
    <row r="6" spans="1:6">
      <c r="A6" s="13">
        <v>10002</v>
      </c>
      <c r="B6" s="18">
        <v>1</v>
      </c>
      <c r="C6" s="18" t="s">
        <v>3408</v>
      </c>
      <c r="D6" s="18" t="s">
        <v>10</v>
      </c>
      <c r="E6" s="146" t="s">
        <v>11</v>
      </c>
    </row>
    <row r="7" spans="1:6">
      <c r="A7" s="13">
        <v>10003</v>
      </c>
      <c r="B7" s="18">
        <v>1</v>
      </c>
      <c r="C7" s="18" t="s">
        <v>3409</v>
      </c>
      <c r="D7" s="18" t="s">
        <v>12</v>
      </c>
      <c r="E7" s="146" t="s">
        <v>13</v>
      </c>
    </row>
    <row r="8" spans="1:6">
      <c r="A8" s="13">
        <v>10004</v>
      </c>
      <c r="B8" s="18">
        <v>1</v>
      </c>
      <c r="C8" s="18" t="s">
        <v>3410</v>
      </c>
      <c r="D8" s="18" t="s">
        <v>14</v>
      </c>
      <c r="E8" s="146" t="s">
        <v>15</v>
      </c>
    </row>
    <row r="9" spans="1:6">
      <c r="A9" s="13">
        <v>10005</v>
      </c>
      <c r="B9" s="160">
        <v>1</v>
      </c>
      <c r="C9" s="160" t="s">
        <v>3411</v>
      </c>
      <c r="D9" s="160" t="s">
        <v>16</v>
      </c>
      <c r="E9" s="17" t="s">
        <v>17</v>
      </c>
    </row>
    <row r="10" spans="1:6">
      <c r="A10" s="13">
        <v>10006</v>
      </c>
      <c r="B10" s="18">
        <v>1</v>
      </c>
      <c r="C10" s="18" t="s">
        <v>3412</v>
      </c>
      <c r="D10" s="18" t="s">
        <v>18</v>
      </c>
      <c r="E10" s="146" t="s">
        <v>19</v>
      </c>
    </row>
    <row r="11" spans="1:6">
      <c r="A11" s="13">
        <v>10007</v>
      </c>
      <c r="B11" s="18">
        <v>1</v>
      </c>
      <c r="C11" s="18" t="s">
        <v>3413</v>
      </c>
      <c r="D11" s="18" t="s">
        <v>20</v>
      </c>
      <c r="E11" s="146" t="s">
        <v>21</v>
      </c>
    </row>
    <row r="12" spans="1:6">
      <c r="A12" s="13">
        <v>10008</v>
      </c>
      <c r="B12" s="18">
        <v>1</v>
      </c>
      <c r="C12" s="18" t="s">
        <v>3414</v>
      </c>
      <c r="D12" s="18" t="s">
        <v>22</v>
      </c>
      <c r="E12" s="146" t="s">
        <v>23</v>
      </c>
    </row>
    <row r="13" spans="1:6">
      <c r="A13" s="13">
        <v>10009</v>
      </c>
      <c r="B13" s="18">
        <v>1</v>
      </c>
      <c r="C13" s="18" t="s">
        <v>3415</v>
      </c>
      <c r="D13" s="18" t="s">
        <v>24</v>
      </c>
      <c r="E13" s="146" t="s">
        <v>25</v>
      </c>
    </row>
    <row r="14" spans="1:6">
      <c r="A14" s="13">
        <v>10010</v>
      </c>
      <c r="B14" s="18">
        <v>1</v>
      </c>
      <c r="C14" s="18" t="s">
        <v>3416</v>
      </c>
      <c r="D14" s="18" t="s">
        <v>26</v>
      </c>
      <c r="E14" s="146" t="s">
        <v>27</v>
      </c>
    </row>
    <row r="15" spans="1:6">
      <c r="A15" s="13">
        <v>10011</v>
      </c>
      <c r="B15" s="18">
        <v>1</v>
      </c>
      <c r="C15" s="18" t="s">
        <v>3417</v>
      </c>
      <c r="D15" s="18" t="s">
        <v>28</v>
      </c>
      <c r="E15" s="146" t="s">
        <v>29</v>
      </c>
    </row>
    <row r="16" spans="1:6">
      <c r="A16" s="13">
        <v>10012</v>
      </c>
      <c r="B16" s="160">
        <v>1</v>
      </c>
      <c r="C16" s="160" t="s">
        <v>3418</v>
      </c>
      <c r="D16" s="160" t="s">
        <v>30</v>
      </c>
      <c r="E16" s="17" t="s">
        <v>31</v>
      </c>
    </row>
    <row r="17" spans="1:5">
      <c r="A17" s="13">
        <v>10013</v>
      </c>
      <c r="B17" s="160">
        <v>1</v>
      </c>
      <c r="C17" s="160" t="s">
        <v>3419</v>
      </c>
      <c r="D17" s="160" t="s">
        <v>32</v>
      </c>
      <c r="E17" s="17" t="s">
        <v>33</v>
      </c>
    </row>
    <row r="18" spans="1:5">
      <c r="A18" s="13">
        <v>10014</v>
      </c>
      <c r="B18" s="160">
        <v>1</v>
      </c>
      <c r="C18" s="160" t="s">
        <v>3420</v>
      </c>
      <c r="D18" s="160" t="s">
        <v>34</v>
      </c>
      <c r="E18" s="17" t="s">
        <v>35</v>
      </c>
    </row>
    <row r="19" spans="1:5">
      <c r="A19" s="13">
        <v>10015</v>
      </c>
      <c r="B19" s="160">
        <v>1</v>
      </c>
      <c r="C19" s="160" t="s">
        <v>3421</v>
      </c>
      <c r="D19" s="160" t="s">
        <v>36</v>
      </c>
      <c r="E19" s="17" t="s">
        <v>37</v>
      </c>
    </row>
    <row r="20" spans="1:5">
      <c r="A20" s="13">
        <v>10016</v>
      </c>
      <c r="B20" s="160">
        <v>1</v>
      </c>
      <c r="C20" s="160" t="s">
        <v>3422</v>
      </c>
      <c r="D20" s="160" t="s">
        <v>38</v>
      </c>
      <c r="E20" s="17" t="s">
        <v>39</v>
      </c>
    </row>
    <row r="21" spans="1:5">
      <c r="A21" s="13">
        <v>10017</v>
      </c>
      <c r="B21" s="160">
        <v>1</v>
      </c>
      <c r="C21" s="160" t="s">
        <v>3423</v>
      </c>
      <c r="D21" s="160" t="s">
        <v>40</v>
      </c>
      <c r="E21" s="17" t="s">
        <v>41</v>
      </c>
    </row>
    <row r="22" spans="1:5">
      <c r="A22" s="13">
        <v>10018</v>
      </c>
      <c r="B22" s="160">
        <v>1</v>
      </c>
      <c r="C22" s="160" t="s">
        <v>3424</v>
      </c>
      <c r="D22" s="160" t="s">
        <v>42</v>
      </c>
      <c r="E22" s="17" t="s">
        <v>43</v>
      </c>
    </row>
    <row r="23" spans="1:5">
      <c r="A23" s="13">
        <v>10019</v>
      </c>
      <c r="B23" s="160">
        <v>1</v>
      </c>
      <c r="C23" s="160" t="s">
        <v>3425</v>
      </c>
      <c r="D23" s="160" t="s">
        <v>44</v>
      </c>
      <c r="E23" s="17" t="s">
        <v>45</v>
      </c>
    </row>
    <row r="24" spans="1:5">
      <c r="A24" s="13">
        <v>10020</v>
      </c>
      <c r="B24" s="160">
        <v>1</v>
      </c>
      <c r="C24" s="160" t="s">
        <v>3426</v>
      </c>
      <c r="D24" s="160" t="s">
        <v>46</v>
      </c>
      <c r="E24" s="17" t="s">
        <v>47</v>
      </c>
    </row>
    <row r="25" spans="1:5">
      <c r="A25" s="13">
        <v>10021</v>
      </c>
      <c r="B25" s="160">
        <v>1</v>
      </c>
      <c r="C25" s="160" t="s">
        <v>3427</v>
      </c>
      <c r="D25" s="160" t="s">
        <v>48</v>
      </c>
      <c r="E25" s="17" t="s">
        <v>49</v>
      </c>
    </row>
    <row r="26" spans="1:5">
      <c r="A26" s="13">
        <v>10022</v>
      </c>
      <c r="B26" s="160">
        <v>1</v>
      </c>
      <c r="C26" s="160" t="s">
        <v>3428</v>
      </c>
      <c r="D26" s="160" t="s">
        <v>50</v>
      </c>
      <c r="E26" s="17" t="s">
        <v>51</v>
      </c>
    </row>
    <row r="27" spans="1:5">
      <c r="A27" s="13">
        <v>10023</v>
      </c>
      <c r="B27" s="160">
        <v>1</v>
      </c>
      <c r="C27" s="160" t="s">
        <v>3429</v>
      </c>
      <c r="D27" s="160" t="s">
        <v>52</v>
      </c>
      <c r="E27" s="17" t="s">
        <v>53</v>
      </c>
    </row>
    <row r="28" spans="1:5">
      <c r="A28" s="13">
        <v>10024</v>
      </c>
      <c r="B28" s="160">
        <v>1</v>
      </c>
      <c r="C28" s="160" t="s">
        <v>3430</v>
      </c>
      <c r="D28" s="160" t="s">
        <v>54</v>
      </c>
      <c r="E28" s="17" t="s">
        <v>55</v>
      </c>
    </row>
    <row r="29" spans="1:5">
      <c r="A29" s="13">
        <v>10025</v>
      </c>
      <c r="B29" s="160">
        <v>1</v>
      </c>
      <c r="C29" s="160" t="s">
        <v>3431</v>
      </c>
      <c r="D29" s="160" t="s">
        <v>56</v>
      </c>
      <c r="E29" s="17" t="s">
        <v>57</v>
      </c>
    </row>
    <row r="30" spans="1:5">
      <c r="A30" s="13">
        <v>10026</v>
      </c>
      <c r="B30" s="160">
        <v>1</v>
      </c>
      <c r="C30" s="160" t="s">
        <v>3432</v>
      </c>
      <c r="D30" s="160" t="s">
        <v>58</v>
      </c>
      <c r="E30" s="17" t="s">
        <v>59</v>
      </c>
    </row>
    <row r="31" spans="1:5">
      <c r="A31" s="13">
        <v>10027</v>
      </c>
      <c r="B31" s="18">
        <v>1</v>
      </c>
      <c r="C31" s="18" t="s">
        <v>3433</v>
      </c>
      <c r="D31" s="18" t="s">
        <v>60</v>
      </c>
      <c r="E31" s="17" t="s">
        <v>61</v>
      </c>
    </row>
    <row r="32" spans="1:5">
      <c r="A32" s="13">
        <v>10028</v>
      </c>
      <c r="B32" s="18">
        <v>1</v>
      </c>
      <c r="C32" s="18" t="s">
        <v>3434</v>
      </c>
      <c r="D32" s="18" t="s">
        <v>62</v>
      </c>
      <c r="E32" s="17" t="s">
        <v>63</v>
      </c>
    </row>
    <row r="33" spans="1:5">
      <c r="A33" s="13">
        <v>10030</v>
      </c>
      <c r="B33" s="18">
        <v>1</v>
      </c>
      <c r="C33" s="18" t="s">
        <v>3435</v>
      </c>
      <c r="D33" s="18" t="s">
        <v>64</v>
      </c>
      <c r="E33" s="17" t="s">
        <v>65</v>
      </c>
    </row>
    <row r="34" spans="1:5">
      <c r="A34" s="13">
        <v>10031</v>
      </c>
      <c r="B34" s="18">
        <v>1</v>
      </c>
      <c r="C34" s="18" t="s">
        <v>3436</v>
      </c>
      <c r="D34" s="18" t="s">
        <v>66</v>
      </c>
      <c r="E34" s="17" t="s">
        <v>67</v>
      </c>
    </row>
    <row r="35" spans="1:5">
      <c r="A35" s="13">
        <v>10032</v>
      </c>
      <c r="B35" s="18">
        <v>1</v>
      </c>
      <c r="C35" s="18" t="s">
        <v>3437</v>
      </c>
      <c r="D35" s="18" t="s">
        <v>68</v>
      </c>
      <c r="E35" s="17" t="s">
        <v>69</v>
      </c>
    </row>
    <row r="36" spans="1:5">
      <c r="A36" s="13">
        <v>10033</v>
      </c>
      <c r="B36" s="18">
        <v>1</v>
      </c>
      <c r="C36" s="18" t="s">
        <v>3438</v>
      </c>
      <c r="D36" s="18" t="s">
        <v>70</v>
      </c>
      <c r="E36" s="17" t="s">
        <v>71</v>
      </c>
    </row>
    <row r="37" spans="1:5">
      <c r="A37" s="13">
        <v>10034</v>
      </c>
      <c r="B37" s="18">
        <v>1</v>
      </c>
      <c r="C37" s="18" t="s">
        <v>3438</v>
      </c>
      <c r="D37" s="18" t="s">
        <v>70</v>
      </c>
      <c r="E37" s="17" t="s">
        <v>71</v>
      </c>
    </row>
    <row r="38" spans="1:5">
      <c r="A38" s="13">
        <v>10035</v>
      </c>
      <c r="B38" s="18">
        <v>1</v>
      </c>
      <c r="C38" s="18" t="s">
        <v>3439</v>
      </c>
      <c r="D38" s="18" t="s">
        <v>72</v>
      </c>
      <c r="E38" s="17" t="s">
        <v>73</v>
      </c>
    </row>
    <row r="39" spans="1:5">
      <c r="A39" s="13">
        <v>10036</v>
      </c>
      <c r="B39" s="18">
        <v>1</v>
      </c>
      <c r="C39" s="18" t="s">
        <v>3440</v>
      </c>
      <c r="D39" s="18" t="s">
        <v>74</v>
      </c>
      <c r="E39" s="17" t="s">
        <v>75</v>
      </c>
    </row>
    <row r="40" spans="1:5">
      <c r="A40" s="13">
        <v>10037</v>
      </c>
      <c r="B40" s="18">
        <v>1</v>
      </c>
      <c r="C40" s="18" t="s">
        <v>3441</v>
      </c>
      <c r="D40" s="18" t="s">
        <v>76</v>
      </c>
      <c r="E40" s="17" t="s">
        <v>77</v>
      </c>
    </row>
    <row r="41" spans="1:5">
      <c r="A41" s="13">
        <v>10038</v>
      </c>
      <c r="B41" s="18">
        <v>1</v>
      </c>
      <c r="C41" s="18" t="s">
        <v>3442</v>
      </c>
      <c r="D41" s="18" t="s">
        <v>78</v>
      </c>
      <c r="E41" s="17" t="s">
        <v>79</v>
      </c>
    </row>
    <row r="42" spans="1:5">
      <c r="A42" s="13">
        <v>10039</v>
      </c>
      <c r="B42" s="18">
        <v>1</v>
      </c>
      <c r="C42" s="18" t="s">
        <v>3443</v>
      </c>
      <c r="D42" s="18" t="s">
        <v>80</v>
      </c>
      <c r="E42" s="17" t="s">
        <v>81</v>
      </c>
    </row>
    <row r="43" spans="1:5">
      <c r="A43" s="13">
        <v>10040</v>
      </c>
      <c r="B43" s="18">
        <v>1</v>
      </c>
      <c r="C43" s="18" t="s">
        <v>3444</v>
      </c>
      <c r="D43" s="18" t="s">
        <v>82</v>
      </c>
      <c r="E43" s="17" t="s">
        <v>83</v>
      </c>
    </row>
    <row r="44" spans="1:5">
      <c r="A44" s="13">
        <v>10041</v>
      </c>
      <c r="B44" s="18">
        <v>1</v>
      </c>
      <c r="C44" s="18" t="s">
        <v>3445</v>
      </c>
      <c r="D44" s="18" t="s">
        <v>84</v>
      </c>
      <c r="E44" s="17" t="s">
        <v>85</v>
      </c>
    </row>
    <row r="45" spans="1:5">
      <c r="A45" s="13">
        <v>10042</v>
      </c>
      <c r="B45" s="18">
        <v>1</v>
      </c>
      <c r="C45" s="18" t="s">
        <v>3446</v>
      </c>
      <c r="D45" s="18" t="s">
        <v>86</v>
      </c>
      <c r="E45" s="17" t="s">
        <v>87</v>
      </c>
    </row>
    <row r="46" spans="1:5">
      <c r="A46" s="13">
        <v>10043</v>
      </c>
      <c r="B46" s="18">
        <v>1</v>
      </c>
      <c r="C46" s="18" t="s">
        <v>3447</v>
      </c>
      <c r="D46" s="18" t="s">
        <v>88</v>
      </c>
      <c r="E46" s="17" t="s">
        <v>89</v>
      </c>
    </row>
    <row r="47" spans="1:5">
      <c r="A47" s="13">
        <v>10046</v>
      </c>
      <c r="B47" s="18">
        <v>1</v>
      </c>
      <c r="C47" s="18" t="s">
        <v>3448</v>
      </c>
      <c r="D47" s="18" t="s">
        <v>90</v>
      </c>
      <c r="E47" s="17" t="s">
        <v>91</v>
      </c>
    </row>
    <row r="48" spans="1:5">
      <c r="A48" s="13">
        <v>10047</v>
      </c>
      <c r="B48" s="18">
        <v>1</v>
      </c>
      <c r="C48" s="18" t="s">
        <v>3449</v>
      </c>
      <c r="D48" s="18" t="s">
        <v>92</v>
      </c>
      <c r="E48" s="17" t="s">
        <v>93</v>
      </c>
    </row>
    <row r="49" spans="1:5">
      <c r="A49" s="13">
        <v>10048</v>
      </c>
      <c r="B49" s="18">
        <v>1</v>
      </c>
      <c r="C49" s="18" t="s">
        <v>3450</v>
      </c>
      <c r="D49" s="18" t="s">
        <v>94</v>
      </c>
      <c r="E49" s="17" t="s">
        <v>95</v>
      </c>
    </row>
    <row r="50" spans="1:5">
      <c r="A50" s="13">
        <v>10052</v>
      </c>
      <c r="B50" s="18">
        <v>1</v>
      </c>
      <c r="C50" s="18" t="s">
        <v>3451</v>
      </c>
      <c r="D50" s="18" t="s">
        <v>96</v>
      </c>
      <c r="E50" s="17" t="s">
        <v>97</v>
      </c>
    </row>
    <row r="51" spans="1:5">
      <c r="A51" s="13">
        <v>10053</v>
      </c>
      <c r="B51" s="18">
        <v>1</v>
      </c>
      <c r="C51" s="18" t="s">
        <v>3452</v>
      </c>
      <c r="D51" s="18" t="s">
        <v>98</v>
      </c>
      <c r="E51" s="17" t="s">
        <v>99</v>
      </c>
    </row>
    <row r="52" spans="1:5">
      <c r="A52" s="13">
        <v>10054</v>
      </c>
      <c r="B52" s="18">
        <v>1</v>
      </c>
      <c r="C52" s="18" t="s">
        <v>3453</v>
      </c>
      <c r="D52" s="18" t="s">
        <v>100</v>
      </c>
      <c r="E52" s="17" t="s">
        <v>101</v>
      </c>
    </row>
    <row r="53" spans="1:5">
      <c r="A53" s="13">
        <v>10055</v>
      </c>
      <c r="B53" s="18">
        <v>1</v>
      </c>
      <c r="C53" s="18" t="s">
        <v>3454</v>
      </c>
      <c r="D53" s="18" t="s">
        <v>102</v>
      </c>
      <c r="E53" s="17" t="s">
        <v>103</v>
      </c>
    </row>
    <row r="54" spans="1:5">
      <c r="A54" s="13">
        <v>10056</v>
      </c>
      <c r="B54" s="18">
        <v>1</v>
      </c>
      <c r="C54" s="18" t="s">
        <v>3455</v>
      </c>
      <c r="D54" s="18" t="s">
        <v>104</v>
      </c>
      <c r="E54" s="17" t="s">
        <v>105</v>
      </c>
    </row>
    <row r="55" spans="1:5">
      <c r="A55" s="13">
        <v>10057</v>
      </c>
      <c r="B55" s="18">
        <v>1</v>
      </c>
      <c r="C55" s="18" t="s">
        <v>3456</v>
      </c>
      <c r="D55" s="18" t="s">
        <v>106</v>
      </c>
      <c r="E55" s="17" t="s">
        <v>107</v>
      </c>
    </row>
    <row r="56" spans="1:5">
      <c r="A56" s="13">
        <v>10058</v>
      </c>
      <c r="B56" s="18">
        <v>1</v>
      </c>
      <c r="C56" s="18" t="s">
        <v>3457</v>
      </c>
      <c r="D56" s="18" t="s">
        <v>108</v>
      </c>
      <c r="E56" s="17" t="s">
        <v>109</v>
      </c>
    </row>
    <row r="57" spans="1:5">
      <c r="A57" s="13">
        <v>10059</v>
      </c>
      <c r="B57" s="18">
        <v>1</v>
      </c>
      <c r="C57" s="18" t="s">
        <v>3458</v>
      </c>
      <c r="D57" s="18" t="s">
        <v>110</v>
      </c>
      <c r="E57" s="17" t="s">
        <v>111</v>
      </c>
    </row>
    <row r="58" spans="1:5">
      <c r="A58" s="13">
        <v>10062</v>
      </c>
      <c r="B58" s="18">
        <v>1</v>
      </c>
      <c r="C58" s="18" t="s">
        <v>3459</v>
      </c>
      <c r="D58" s="18" t="s">
        <v>112</v>
      </c>
      <c r="E58" s="17" t="s">
        <v>113</v>
      </c>
    </row>
    <row r="59" spans="1:5">
      <c r="A59" s="13">
        <v>10063</v>
      </c>
      <c r="B59" s="18">
        <v>1</v>
      </c>
      <c r="C59" s="18" t="s">
        <v>3460</v>
      </c>
      <c r="D59" s="18" t="s">
        <v>114</v>
      </c>
      <c r="E59" s="17" t="s">
        <v>115</v>
      </c>
    </row>
    <row r="60" spans="1:5">
      <c r="A60" s="13">
        <v>10064</v>
      </c>
      <c r="B60" s="18">
        <v>1</v>
      </c>
      <c r="C60" s="18" t="s">
        <v>3461</v>
      </c>
      <c r="D60" s="18" t="s">
        <v>116</v>
      </c>
      <c r="E60" s="17" t="s">
        <v>117</v>
      </c>
    </row>
    <row r="61" spans="1:5">
      <c r="A61" s="13">
        <v>10065</v>
      </c>
      <c r="B61" s="18">
        <v>1</v>
      </c>
      <c r="C61" s="18" t="s">
        <v>3462</v>
      </c>
      <c r="D61" s="18" t="s">
        <v>118</v>
      </c>
      <c r="E61" s="17" t="s">
        <v>119</v>
      </c>
    </row>
    <row r="62" spans="1:5">
      <c r="A62" s="13">
        <v>10066</v>
      </c>
      <c r="B62" s="18">
        <v>1</v>
      </c>
      <c r="C62" s="18" t="s">
        <v>3463</v>
      </c>
      <c r="D62" s="18" t="s">
        <v>120</v>
      </c>
      <c r="E62" s="17" t="s">
        <v>121</v>
      </c>
    </row>
    <row r="63" spans="1:5">
      <c r="A63" s="13">
        <v>10067</v>
      </c>
      <c r="B63" s="18">
        <v>1</v>
      </c>
      <c r="C63" s="18" t="s">
        <v>3464</v>
      </c>
      <c r="D63" s="18" t="s">
        <v>122</v>
      </c>
      <c r="E63" s="17" t="s">
        <v>123</v>
      </c>
    </row>
    <row r="64" spans="1:5">
      <c r="A64" s="13">
        <v>10068</v>
      </c>
      <c r="B64" s="18">
        <v>1</v>
      </c>
      <c r="C64" s="18" t="s">
        <v>3465</v>
      </c>
      <c r="D64" s="18" t="s">
        <v>124</v>
      </c>
      <c r="E64" s="17" t="s">
        <v>125</v>
      </c>
    </row>
    <row r="65" spans="1:5">
      <c r="A65" s="13">
        <v>10069</v>
      </c>
      <c r="B65" s="18">
        <v>1</v>
      </c>
      <c r="C65" s="18" t="s">
        <v>3466</v>
      </c>
      <c r="D65" s="18" t="s">
        <v>126</v>
      </c>
      <c r="E65" s="17" t="s">
        <v>127</v>
      </c>
    </row>
    <row r="66" spans="1:5">
      <c r="A66" s="13">
        <v>10070</v>
      </c>
      <c r="B66" s="18">
        <v>1</v>
      </c>
      <c r="C66" s="18" t="s">
        <v>3467</v>
      </c>
      <c r="D66" s="18" t="s">
        <v>128</v>
      </c>
      <c r="E66" s="17" t="s">
        <v>129</v>
      </c>
    </row>
    <row r="67" spans="1:5">
      <c r="A67" s="13">
        <v>10071</v>
      </c>
      <c r="B67" s="18">
        <v>1</v>
      </c>
      <c r="C67" s="18" t="s">
        <v>3468</v>
      </c>
      <c r="D67" s="18" t="s">
        <v>130</v>
      </c>
      <c r="E67" s="17" t="s">
        <v>131</v>
      </c>
    </row>
    <row r="68" spans="1:5">
      <c r="A68" s="13">
        <v>10076</v>
      </c>
      <c r="B68" s="18">
        <v>1</v>
      </c>
      <c r="C68" s="18" t="s">
        <v>3469</v>
      </c>
      <c r="D68" s="18" t="s">
        <v>132</v>
      </c>
      <c r="E68" s="17" t="s">
        <v>133</v>
      </c>
    </row>
    <row r="69" spans="1:5">
      <c r="A69" s="13">
        <v>10077</v>
      </c>
      <c r="B69" s="18">
        <v>1</v>
      </c>
      <c r="C69" s="18" t="s">
        <v>3470</v>
      </c>
      <c r="D69" s="18" t="s">
        <v>134</v>
      </c>
      <c r="E69" s="17" t="s">
        <v>135</v>
      </c>
    </row>
    <row r="70" spans="1:5">
      <c r="A70" s="13">
        <v>10078</v>
      </c>
      <c r="B70" s="18">
        <v>1</v>
      </c>
      <c r="C70" s="18" t="s">
        <v>3471</v>
      </c>
      <c r="D70" s="18" t="s">
        <v>136</v>
      </c>
      <c r="E70" s="17" t="s">
        <v>137</v>
      </c>
    </row>
    <row r="71" spans="1:5">
      <c r="A71" s="13">
        <v>10079</v>
      </c>
      <c r="B71" s="18">
        <v>1</v>
      </c>
      <c r="C71" s="18" t="s">
        <v>3472</v>
      </c>
      <c r="D71" s="18" t="s">
        <v>138</v>
      </c>
      <c r="E71" s="17" t="s">
        <v>139</v>
      </c>
    </row>
    <row r="72" spans="1:5">
      <c r="A72" s="13">
        <v>10080</v>
      </c>
      <c r="B72" s="18">
        <v>1</v>
      </c>
      <c r="C72" s="18" t="s">
        <v>3473</v>
      </c>
      <c r="D72" s="18" t="s">
        <v>140</v>
      </c>
      <c r="E72" s="17" t="s">
        <v>141</v>
      </c>
    </row>
    <row r="73" spans="1:5">
      <c r="A73" s="13">
        <v>10081</v>
      </c>
      <c r="B73" s="18">
        <v>1</v>
      </c>
      <c r="C73" s="18" t="s">
        <v>3474</v>
      </c>
      <c r="D73" s="18" t="s">
        <v>142</v>
      </c>
      <c r="E73" s="17" t="s">
        <v>143</v>
      </c>
    </row>
    <row r="74" spans="1:5">
      <c r="A74" s="13">
        <v>10082</v>
      </c>
      <c r="B74" s="18">
        <v>1</v>
      </c>
      <c r="C74" s="18" t="s">
        <v>3475</v>
      </c>
      <c r="D74" s="18" t="s">
        <v>144</v>
      </c>
      <c r="E74" s="17" t="s">
        <v>145</v>
      </c>
    </row>
    <row r="75" spans="1:5">
      <c r="A75" s="13">
        <v>10085</v>
      </c>
      <c r="B75" s="18">
        <v>1</v>
      </c>
      <c r="C75" s="18" t="s">
        <v>3476</v>
      </c>
      <c r="D75" s="18" t="s">
        <v>146</v>
      </c>
      <c r="E75" s="17" t="s">
        <v>147</v>
      </c>
    </row>
    <row r="76" spans="1:5">
      <c r="A76" s="13">
        <v>10086</v>
      </c>
      <c r="B76" s="18">
        <v>1</v>
      </c>
      <c r="C76" s="18" t="s">
        <v>3477</v>
      </c>
      <c r="D76" s="18" t="s">
        <v>148</v>
      </c>
      <c r="E76" s="17" t="s">
        <v>149</v>
      </c>
    </row>
    <row r="77" spans="1:5">
      <c r="A77" s="13">
        <v>10087</v>
      </c>
      <c r="B77" s="18">
        <v>1</v>
      </c>
      <c r="C77" s="18" t="s">
        <v>3478</v>
      </c>
      <c r="D77" s="18" t="s">
        <v>150</v>
      </c>
      <c r="E77" s="17" t="s">
        <v>151</v>
      </c>
    </row>
    <row r="78" spans="1:5">
      <c r="A78" s="13">
        <v>10088</v>
      </c>
      <c r="B78" s="18">
        <v>1</v>
      </c>
      <c r="C78" s="18" t="s">
        <v>3479</v>
      </c>
      <c r="D78" s="18" t="s">
        <v>152</v>
      </c>
      <c r="E78" s="17" t="s">
        <v>153</v>
      </c>
    </row>
    <row r="79" spans="1:5">
      <c r="A79" s="13">
        <v>10089</v>
      </c>
      <c r="B79" s="18">
        <v>1</v>
      </c>
      <c r="C79" s="18" t="s">
        <v>3479</v>
      </c>
      <c r="D79" s="18" t="s">
        <v>150</v>
      </c>
      <c r="E79" s="17" t="s">
        <v>153</v>
      </c>
    </row>
    <row r="80" spans="1:5">
      <c r="A80" s="13">
        <v>10090</v>
      </c>
      <c r="B80" s="18">
        <v>1</v>
      </c>
      <c r="C80" s="18" t="s">
        <v>3479</v>
      </c>
      <c r="D80" s="18" t="s">
        <v>152</v>
      </c>
      <c r="E80" s="17" t="s">
        <v>153</v>
      </c>
    </row>
    <row r="81" spans="1:5">
      <c r="A81" s="40">
        <v>11001</v>
      </c>
      <c r="B81" s="40">
        <v>0</v>
      </c>
      <c r="C81" s="40" t="s">
        <v>10532</v>
      </c>
      <c r="D81" s="40" t="s">
        <v>6572</v>
      </c>
      <c r="E81" s="42" t="s">
        <v>10502</v>
      </c>
    </row>
    <row r="82" spans="1:5">
      <c r="A82" s="40">
        <v>11002</v>
      </c>
      <c r="B82" s="40">
        <v>0</v>
      </c>
      <c r="C82" s="40" t="s">
        <v>10532</v>
      </c>
      <c r="D82" s="40" t="s">
        <v>6573</v>
      </c>
      <c r="E82" s="42" t="s">
        <v>10502</v>
      </c>
    </row>
    <row r="83" spans="1:5">
      <c r="A83" s="40">
        <v>11003</v>
      </c>
      <c r="B83" s="40">
        <v>0</v>
      </c>
      <c r="C83" s="40" t="s">
        <v>10532</v>
      </c>
      <c r="D83" s="40" t="s">
        <v>6574</v>
      </c>
      <c r="E83" s="42" t="s">
        <v>10502</v>
      </c>
    </row>
    <row r="84" spans="1:5">
      <c r="A84" s="40">
        <v>11004</v>
      </c>
      <c r="B84" s="40">
        <v>0</v>
      </c>
      <c r="C84" s="40" t="s">
        <v>10532</v>
      </c>
      <c r="D84" s="40" t="s">
        <v>6575</v>
      </c>
      <c r="E84" s="42" t="s">
        <v>10502</v>
      </c>
    </row>
    <row r="85" spans="1:5">
      <c r="A85" s="40">
        <v>11005</v>
      </c>
      <c r="B85" s="40">
        <v>0</v>
      </c>
      <c r="C85" s="40" t="s">
        <v>10532</v>
      </c>
      <c r="D85" s="40" t="s">
        <v>6576</v>
      </c>
      <c r="E85" s="42" t="s">
        <v>10502</v>
      </c>
    </row>
    <row r="86" spans="1:5">
      <c r="A86" s="40">
        <v>11006</v>
      </c>
      <c r="B86" s="40">
        <v>0</v>
      </c>
      <c r="C86" s="40" t="s">
        <v>10533</v>
      </c>
      <c r="D86" s="40" t="s">
        <v>6577</v>
      </c>
      <c r="E86" s="42" t="s">
        <v>10503</v>
      </c>
    </row>
    <row r="87" spans="1:5">
      <c r="A87" s="40">
        <v>11007</v>
      </c>
      <c r="B87" s="40">
        <v>0</v>
      </c>
      <c r="C87" s="40" t="s">
        <v>10533</v>
      </c>
      <c r="D87" s="40" t="s">
        <v>6578</v>
      </c>
      <c r="E87" s="42" t="s">
        <v>10503</v>
      </c>
    </row>
    <row r="88" spans="1:5">
      <c r="A88" s="40">
        <v>11008</v>
      </c>
      <c r="B88" s="40">
        <v>0</v>
      </c>
      <c r="C88" s="40" t="s">
        <v>10533</v>
      </c>
      <c r="D88" s="40" t="s">
        <v>6579</v>
      </c>
      <c r="E88" s="42" t="s">
        <v>10503</v>
      </c>
    </row>
    <row r="89" spans="1:5">
      <c r="A89" s="40">
        <v>11009</v>
      </c>
      <c r="B89" s="40">
        <v>0</v>
      </c>
      <c r="C89" s="40" t="s">
        <v>10533</v>
      </c>
      <c r="D89" s="40" t="s">
        <v>6580</v>
      </c>
      <c r="E89" s="42" t="s">
        <v>10503</v>
      </c>
    </row>
    <row r="90" spans="1:5">
      <c r="A90" s="40">
        <v>11010</v>
      </c>
      <c r="B90" s="40">
        <v>0</v>
      </c>
      <c r="C90" s="40" t="s">
        <v>10533</v>
      </c>
      <c r="D90" s="40" t="s">
        <v>6581</v>
      </c>
      <c r="E90" s="42" t="s">
        <v>10503</v>
      </c>
    </row>
    <row r="91" spans="1:5">
      <c r="A91" s="40">
        <v>11011</v>
      </c>
      <c r="B91" s="40">
        <v>0</v>
      </c>
      <c r="C91" s="40" t="s">
        <v>10534</v>
      </c>
      <c r="D91" s="40" t="s">
        <v>6582</v>
      </c>
      <c r="E91" s="42" t="s">
        <v>10504</v>
      </c>
    </row>
    <row r="92" spans="1:5">
      <c r="A92" s="40">
        <v>11012</v>
      </c>
      <c r="B92" s="40">
        <v>0</v>
      </c>
      <c r="C92" s="40" t="s">
        <v>10534</v>
      </c>
      <c r="D92" s="40" t="s">
        <v>6583</v>
      </c>
      <c r="E92" s="42" t="s">
        <v>10504</v>
      </c>
    </row>
    <row r="93" spans="1:5">
      <c r="A93" s="40">
        <v>11013</v>
      </c>
      <c r="B93" s="40">
        <v>0</v>
      </c>
      <c r="C93" s="40" t="s">
        <v>10534</v>
      </c>
      <c r="D93" s="40" t="s">
        <v>6584</v>
      </c>
      <c r="E93" s="42" t="s">
        <v>10504</v>
      </c>
    </row>
    <row r="94" spans="1:5">
      <c r="A94" s="40">
        <v>11014</v>
      </c>
      <c r="B94" s="40">
        <v>0</v>
      </c>
      <c r="C94" s="40" t="s">
        <v>10534</v>
      </c>
      <c r="D94" s="40" t="s">
        <v>6585</v>
      </c>
      <c r="E94" s="42" t="s">
        <v>10504</v>
      </c>
    </row>
    <row r="95" spans="1:5">
      <c r="A95" s="40">
        <v>11015</v>
      </c>
      <c r="B95" s="40">
        <v>0</v>
      </c>
      <c r="C95" s="40" t="s">
        <v>10534</v>
      </c>
      <c r="D95" s="40" t="s">
        <v>6586</v>
      </c>
      <c r="E95" s="42" t="s">
        <v>10504</v>
      </c>
    </row>
    <row r="96" spans="1:5">
      <c r="A96" s="40">
        <v>11016</v>
      </c>
      <c r="B96" s="40">
        <v>0</v>
      </c>
      <c r="C96" s="40" t="s">
        <v>10535</v>
      </c>
      <c r="D96" s="40" t="s">
        <v>6587</v>
      </c>
      <c r="E96" s="42" t="s">
        <v>10505</v>
      </c>
    </row>
    <row r="97" spans="1:5">
      <c r="A97" s="40">
        <v>11017</v>
      </c>
      <c r="B97" s="40">
        <v>0</v>
      </c>
      <c r="C97" s="40" t="s">
        <v>10535</v>
      </c>
      <c r="D97" s="40" t="s">
        <v>6588</v>
      </c>
      <c r="E97" s="42" t="s">
        <v>10505</v>
      </c>
    </row>
    <row r="98" spans="1:5">
      <c r="A98" s="40">
        <v>11018</v>
      </c>
      <c r="B98" s="40">
        <v>0</v>
      </c>
      <c r="C98" s="40" t="s">
        <v>10535</v>
      </c>
      <c r="D98" s="40" t="s">
        <v>6589</v>
      </c>
      <c r="E98" s="42" t="s">
        <v>10505</v>
      </c>
    </row>
    <row r="99" spans="1:5">
      <c r="A99" s="40">
        <v>11019</v>
      </c>
      <c r="B99" s="40">
        <v>0</v>
      </c>
      <c r="C99" s="40" t="s">
        <v>10535</v>
      </c>
      <c r="D99" s="40" t="s">
        <v>6590</v>
      </c>
      <c r="E99" s="42" t="s">
        <v>10505</v>
      </c>
    </row>
    <row r="100" spans="1:5">
      <c r="A100" s="40">
        <v>11020</v>
      </c>
      <c r="B100" s="40">
        <v>0</v>
      </c>
      <c r="C100" s="40" t="s">
        <v>10535</v>
      </c>
      <c r="D100" s="40" t="s">
        <v>6591</v>
      </c>
      <c r="E100" s="42" t="s">
        <v>10505</v>
      </c>
    </row>
    <row r="101" spans="1:5">
      <c r="A101" s="40">
        <v>11021</v>
      </c>
      <c r="B101" s="40">
        <v>0</v>
      </c>
      <c r="C101" s="40" t="s">
        <v>10536</v>
      </c>
      <c r="D101" s="40" t="s">
        <v>6592</v>
      </c>
      <c r="E101" s="42" t="s">
        <v>10506</v>
      </c>
    </row>
    <row r="102" spans="1:5">
      <c r="A102" s="40">
        <v>11022</v>
      </c>
      <c r="B102" s="40">
        <v>0</v>
      </c>
      <c r="C102" s="40" t="s">
        <v>10536</v>
      </c>
      <c r="D102" s="40" t="s">
        <v>6593</v>
      </c>
      <c r="E102" s="42" t="s">
        <v>10506</v>
      </c>
    </row>
    <row r="103" spans="1:5">
      <c r="A103" s="40">
        <v>11023</v>
      </c>
      <c r="B103" s="40">
        <v>0</v>
      </c>
      <c r="C103" s="40" t="s">
        <v>10536</v>
      </c>
      <c r="D103" s="40" t="s">
        <v>6594</v>
      </c>
      <c r="E103" s="42" t="s">
        <v>10506</v>
      </c>
    </row>
    <row r="104" spans="1:5">
      <c r="A104" s="40">
        <v>11024</v>
      </c>
      <c r="B104" s="40">
        <v>0</v>
      </c>
      <c r="C104" s="40" t="s">
        <v>10536</v>
      </c>
      <c r="D104" s="40" t="s">
        <v>6595</v>
      </c>
      <c r="E104" s="42" t="s">
        <v>10506</v>
      </c>
    </row>
    <row r="105" spans="1:5">
      <c r="A105" s="40">
        <v>11025</v>
      </c>
      <c r="B105" s="40">
        <v>0</v>
      </c>
      <c r="C105" s="40" t="s">
        <v>10536</v>
      </c>
      <c r="D105" s="40" t="s">
        <v>6596</v>
      </c>
      <c r="E105" s="42" t="s">
        <v>10506</v>
      </c>
    </row>
    <row r="106" spans="1:5">
      <c r="A106" s="40">
        <v>11026</v>
      </c>
      <c r="B106" s="40">
        <v>0</v>
      </c>
      <c r="C106" s="40" t="s">
        <v>10537</v>
      </c>
      <c r="D106" s="40" t="s">
        <v>6597</v>
      </c>
      <c r="E106" s="42" t="s">
        <v>10507</v>
      </c>
    </row>
    <row r="107" spans="1:5">
      <c r="A107" s="40">
        <v>11027</v>
      </c>
      <c r="B107" s="40">
        <v>0</v>
      </c>
      <c r="C107" s="40" t="s">
        <v>10537</v>
      </c>
      <c r="D107" s="40" t="s">
        <v>6598</v>
      </c>
      <c r="E107" s="42" t="s">
        <v>10507</v>
      </c>
    </row>
    <row r="108" spans="1:5">
      <c r="A108" s="40">
        <v>11028</v>
      </c>
      <c r="B108" s="40">
        <v>0</v>
      </c>
      <c r="C108" s="40" t="s">
        <v>10537</v>
      </c>
      <c r="D108" s="40" t="s">
        <v>6599</v>
      </c>
      <c r="E108" s="42" t="s">
        <v>10507</v>
      </c>
    </row>
    <row r="109" spans="1:5">
      <c r="A109" s="40">
        <v>11029</v>
      </c>
      <c r="B109" s="40">
        <v>0</v>
      </c>
      <c r="C109" s="40" t="s">
        <v>10537</v>
      </c>
      <c r="D109" s="40" t="s">
        <v>6600</v>
      </c>
      <c r="E109" s="42" t="s">
        <v>10507</v>
      </c>
    </row>
    <row r="110" spans="1:5">
      <c r="A110" s="40">
        <v>11030</v>
      </c>
      <c r="B110" s="40">
        <v>0</v>
      </c>
      <c r="C110" s="40" t="s">
        <v>10537</v>
      </c>
      <c r="D110" s="40" t="s">
        <v>6601</v>
      </c>
      <c r="E110" s="42" t="s">
        <v>10507</v>
      </c>
    </row>
    <row r="111" spans="1:5">
      <c r="A111" s="40">
        <v>11031</v>
      </c>
      <c r="B111" s="40">
        <v>0</v>
      </c>
      <c r="C111" s="40" t="s">
        <v>10538</v>
      </c>
      <c r="D111" s="40" t="s">
        <v>6602</v>
      </c>
      <c r="E111" s="42" t="s">
        <v>10508</v>
      </c>
    </row>
    <row r="112" spans="1:5">
      <c r="A112" s="40">
        <v>11032</v>
      </c>
      <c r="B112" s="40">
        <v>0</v>
      </c>
      <c r="C112" s="40" t="s">
        <v>10538</v>
      </c>
      <c r="D112" s="40" t="s">
        <v>6603</v>
      </c>
      <c r="E112" s="42" t="s">
        <v>10508</v>
      </c>
    </row>
    <row r="113" spans="1:5">
      <c r="A113" s="40">
        <v>11033</v>
      </c>
      <c r="B113" s="40">
        <v>0</v>
      </c>
      <c r="C113" s="40" t="s">
        <v>10538</v>
      </c>
      <c r="D113" s="40" t="s">
        <v>6604</v>
      </c>
      <c r="E113" s="42" t="s">
        <v>10508</v>
      </c>
    </row>
    <row r="114" spans="1:5">
      <c r="A114" s="40">
        <v>11034</v>
      </c>
      <c r="B114" s="40">
        <v>0</v>
      </c>
      <c r="C114" s="40" t="s">
        <v>10538</v>
      </c>
      <c r="D114" s="40" t="s">
        <v>6605</v>
      </c>
      <c r="E114" s="42" t="s">
        <v>10508</v>
      </c>
    </row>
    <row r="115" spans="1:5">
      <c r="A115" s="40">
        <v>11035</v>
      </c>
      <c r="B115" s="40">
        <v>0</v>
      </c>
      <c r="C115" s="40" t="s">
        <v>10538</v>
      </c>
      <c r="D115" s="40" t="s">
        <v>6606</v>
      </c>
      <c r="E115" s="42" t="s">
        <v>10508</v>
      </c>
    </row>
    <row r="116" spans="1:5">
      <c r="A116" s="40">
        <v>11036</v>
      </c>
      <c r="B116" s="40">
        <v>0</v>
      </c>
      <c r="C116" s="40" t="s">
        <v>10539</v>
      </c>
      <c r="D116" s="40" t="s">
        <v>6607</v>
      </c>
      <c r="E116" s="42" t="s">
        <v>10509</v>
      </c>
    </row>
    <row r="117" spans="1:5">
      <c r="A117" s="40">
        <v>11037</v>
      </c>
      <c r="B117" s="40">
        <v>0</v>
      </c>
      <c r="C117" s="40" t="s">
        <v>10539</v>
      </c>
      <c r="D117" s="40" t="s">
        <v>6608</v>
      </c>
      <c r="E117" s="42" t="s">
        <v>10509</v>
      </c>
    </row>
    <row r="118" spans="1:5">
      <c r="A118" s="40">
        <v>11038</v>
      </c>
      <c r="B118" s="40">
        <v>0</v>
      </c>
      <c r="C118" s="40" t="s">
        <v>10539</v>
      </c>
      <c r="D118" s="40" t="s">
        <v>6609</v>
      </c>
      <c r="E118" s="42" t="s">
        <v>10509</v>
      </c>
    </row>
    <row r="119" spans="1:5">
      <c r="A119" s="40">
        <v>11039</v>
      </c>
      <c r="B119" s="40">
        <v>0</v>
      </c>
      <c r="C119" s="40" t="s">
        <v>10539</v>
      </c>
      <c r="D119" s="40" t="s">
        <v>6610</v>
      </c>
      <c r="E119" s="42" t="s">
        <v>10509</v>
      </c>
    </row>
    <row r="120" spans="1:5">
      <c r="A120" s="40">
        <v>11040</v>
      </c>
      <c r="B120" s="40">
        <v>0</v>
      </c>
      <c r="C120" s="40" t="s">
        <v>10539</v>
      </c>
      <c r="D120" s="40" t="s">
        <v>6611</v>
      </c>
      <c r="E120" s="42" t="s">
        <v>10509</v>
      </c>
    </row>
    <row r="121" spans="1:5">
      <c r="A121" s="40">
        <v>11041</v>
      </c>
      <c r="B121" s="40">
        <v>0</v>
      </c>
      <c r="C121" s="40" t="s">
        <v>10540</v>
      </c>
      <c r="D121" s="40" t="s">
        <v>6612</v>
      </c>
      <c r="E121" s="42" t="s">
        <v>10510</v>
      </c>
    </row>
    <row r="122" spans="1:5">
      <c r="A122" s="40">
        <v>11042</v>
      </c>
      <c r="B122" s="40">
        <v>0</v>
      </c>
      <c r="C122" s="40" t="s">
        <v>10540</v>
      </c>
      <c r="D122" s="40" t="s">
        <v>6613</v>
      </c>
      <c r="E122" s="42" t="s">
        <v>10510</v>
      </c>
    </row>
    <row r="123" spans="1:5">
      <c r="A123" s="40">
        <v>11043</v>
      </c>
      <c r="B123" s="40">
        <v>0</v>
      </c>
      <c r="C123" s="40" t="s">
        <v>10540</v>
      </c>
      <c r="D123" s="40" t="s">
        <v>6614</v>
      </c>
      <c r="E123" s="42" t="s">
        <v>10510</v>
      </c>
    </row>
    <row r="124" spans="1:5">
      <c r="A124" s="40">
        <v>11044</v>
      </c>
      <c r="B124" s="40">
        <v>0</v>
      </c>
      <c r="C124" s="40" t="s">
        <v>10540</v>
      </c>
      <c r="D124" s="40" t="s">
        <v>6615</v>
      </c>
      <c r="E124" s="42" t="s">
        <v>10510</v>
      </c>
    </row>
    <row r="125" spans="1:5">
      <c r="A125" s="40">
        <v>11045</v>
      </c>
      <c r="B125" s="40">
        <v>0</v>
      </c>
      <c r="C125" s="40" t="s">
        <v>10540</v>
      </c>
      <c r="D125" s="40" t="s">
        <v>6616</v>
      </c>
      <c r="E125" s="42" t="s">
        <v>10510</v>
      </c>
    </row>
    <row r="126" spans="1:5">
      <c r="A126" s="40">
        <v>11046</v>
      </c>
      <c r="B126" s="40">
        <v>0</v>
      </c>
      <c r="C126" s="40" t="s">
        <v>10541</v>
      </c>
      <c r="D126" s="40" t="s">
        <v>6617</v>
      </c>
      <c r="E126" s="42" t="s">
        <v>10511</v>
      </c>
    </row>
    <row r="127" spans="1:5">
      <c r="A127" s="40">
        <v>11047</v>
      </c>
      <c r="B127" s="40">
        <v>0</v>
      </c>
      <c r="C127" s="40" t="s">
        <v>10541</v>
      </c>
      <c r="D127" s="40" t="s">
        <v>6618</v>
      </c>
      <c r="E127" s="42" t="s">
        <v>10511</v>
      </c>
    </row>
    <row r="128" spans="1:5">
      <c r="A128" s="40">
        <v>11048</v>
      </c>
      <c r="B128" s="40">
        <v>0</v>
      </c>
      <c r="C128" s="40" t="s">
        <v>10541</v>
      </c>
      <c r="D128" s="40" t="s">
        <v>6619</v>
      </c>
      <c r="E128" s="42" t="s">
        <v>10511</v>
      </c>
    </row>
    <row r="129" spans="1:5">
      <c r="A129" s="40">
        <v>11049</v>
      </c>
      <c r="B129" s="40">
        <v>0</v>
      </c>
      <c r="C129" s="40" t="s">
        <v>10541</v>
      </c>
      <c r="D129" s="40" t="s">
        <v>6620</v>
      </c>
      <c r="E129" s="42" t="s">
        <v>10511</v>
      </c>
    </row>
    <row r="130" spans="1:5">
      <c r="A130" s="40">
        <v>11050</v>
      </c>
      <c r="B130" s="40">
        <v>0</v>
      </c>
      <c r="C130" s="40" t="s">
        <v>10541</v>
      </c>
      <c r="D130" s="40" t="s">
        <v>6621</v>
      </c>
      <c r="E130" s="42" t="s">
        <v>10511</v>
      </c>
    </row>
    <row r="131" spans="1:5">
      <c r="A131" s="40">
        <v>11051</v>
      </c>
      <c r="B131" s="40">
        <v>0</v>
      </c>
      <c r="C131" s="40" t="s">
        <v>10542</v>
      </c>
      <c r="D131" s="40" t="s">
        <v>6622</v>
      </c>
      <c r="E131" s="42" t="s">
        <v>10512</v>
      </c>
    </row>
    <row r="132" spans="1:5">
      <c r="A132" s="40">
        <v>11052</v>
      </c>
      <c r="B132" s="40">
        <v>0</v>
      </c>
      <c r="C132" s="40" t="s">
        <v>10542</v>
      </c>
      <c r="D132" s="40" t="s">
        <v>6623</v>
      </c>
      <c r="E132" s="42" t="s">
        <v>10512</v>
      </c>
    </row>
    <row r="133" spans="1:5">
      <c r="A133" s="40">
        <v>11053</v>
      </c>
      <c r="B133" s="40">
        <v>0</v>
      </c>
      <c r="C133" s="40" t="s">
        <v>10542</v>
      </c>
      <c r="D133" s="40" t="s">
        <v>6624</v>
      </c>
      <c r="E133" s="42" t="s">
        <v>10512</v>
      </c>
    </row>
    <row r="134" spans="1:5">
      <c r="A134" s="40">
        <v>11054</v>
      </c>
      <c r="B134" s="40">
        <v>0</v>
      </c>
      <c r="C134" s="40" t="s">
        <v>10542</v>
      </c>
      <c r="D134" s="40" t="s">
        <v>6625</v>
      </c>
      <c r="E134" s="42" t="s">
        <v>10512</v>
      </c>
    </row>
    <row r="135" spans="1:5">
      <c r="A135" s="40">
        <v>11055</v>
      </c>
      <c r="B135" s="40">
        <v>0</v>
      </c>
      <c r="C135" s="40" t="s">
        <v>10542</v>
      </c>
      <c r="D135" s="40" t="s">
        <v>6626</v>
      </c>
      <c r="E135" s="42" t="s">
        <v>10512</v>
      </c>
    </row>
    <row r="136" spans="1:5">
      <c r="A136" s="40">
        <v>11056</v>
      </c>
      <c r="B136" s="40">
        <v>0</v>
      </c>
      <c r="C136" s="40" t="s">
        <v>10543</v>
      </c>
      <c r="D136" s="40" t="s">
        <v>6627</v>
      </c>
      <c r="E136" s="42" t="s">
        <v>10513</v>
      </c>
    </row>
    <row r="137" spans="1:5">
      <c r="A137" s="40">
        <v>11057</v>
      </c>
      <c r="B137" s="40">
        <v>0</v>
      </c>
      <c r="C137" s="40" t="s">
        <v>10543</v>
      </c>
      <c r="D137" s="40" t="s">
        <v>6628</v>
      </c>
      <c r="E137" s="42" t="s">
        <v>10513</v>
      </c>
    </row>
    <row r="138" spans="1:5">
      <c r="A138" s="40">
        <v>11058</v>
      </c>
      <c r="B138" s="40">
        <v>0</v>
      </c>
      <c r="C138" s="40" t="s">
        <v>10543</v>
      </c>
      <c r="D138" s="40" t="s">
        <v>6629</v>
      </c>
      <c r="E138" s="42" t="s">
        <v>10513</v>
      </c>
    </row>
    <row r="139" spans="1:5">
      <c r="A139" s="40">
        <v>11059</v>
      </c>
      <c r="B139" s="40">
        <v>0</v>
      </c>
      <c r="C139" s="40" t="s">
        <v>10543</v>
      </c>
      <c r="D139" s="40" t="s">
        <v>6630</v>
      </c>
      <c r="E139" s="42" t="s">
        <v>10513</v>
      </c>
    </row>
    <row r="140" spans="1:5">
      <c r="A140" s="40">
        <v>11060</v>
      </c>
      <c r="B140" s="40">
        <v>0</v>
      </c>
      <c r="C140" s="40" t="s">
        <v>10543</v>
      </c>
      <c r="D140" s="40" t="s">
        <v>6631</v>
      </c>
      <c r="E140" s="42" t="s">
        <v>10513</v>
      </c>
    </row>
    <row r="141" spans="1:5">
      <c r="A141" s="40">
        <v>11061</v>
      </c>
      <c r="B141" s="40">
        <v>0</v>
      </c>
      <c r="C141" s="40" t="s">
        <v>10544</v>
      </c>
      <c r="D141" s="40" t="s">
        <v>6632</v>
      </c>
      <c r="E141" s="42" t="s">
        <v>10514</v>
      </c>
    </row>
    <row r="142" spans="1:5">
      <c r="A142" s="40">
        <v>11062</v>
      </c>
      <c r="B142" s="40">
        <v>0</v>
      </c>
      <c r="C142" s="40" t="s">
        <v>10544</v>
      </c>
      <c r="D142" s="40" t="s">
        <v>6633</v>
      </c>
      <c r="E142" s="42" t="s">
        <v>10514</v>
      </c>
    </row>
    <row r="143" spans="1:5">
      <c r="A143" s="40">
        <v>11063</v>
      </c>
      <c r="B143" s="40">
        <v>0</v>
      </c>
      <c r="C143" s="40" t="s">
        <v>10544</v>
      </c>
      <c r="D143" s="40" t="s">
        <v>6634</v>
      </c>
      <c r="E143" s="42" t="s">
        <v>10514</v>
      </c>
    </row>
    <row r="144" spans="1:5">
      <c r="A144" s="40">
        <v>11064</v>
      </c>
      <c r="B144" s="40">
        <v>0</v>
      </c>
      <c r="C144" s="40" t="s">
        <v>10544</v>
      </c>
      <c r="D144" s="40" t="s">
        <v>6635</v>
      </c>
      <c r="E144" s="42" t="s">
        <v>10514</v>
      </c>
    </row>
    <row r="145" spans="1:5">
      <c r="A145" s="40">
        <v>11065</v>
      </c>
      <c r="B145" s="40">
        <v>0</v>
      </c>
      <c r="C145" s="40" t="s">
        <v>10544</v>
      </c>
      <c r="D145" s="40" t="s">
        <v>6636</v>
      </c>
      <c r="E145" s="42" t="s">
        <v>10514</v>
      </c>
    </row>
    <row r="146" spans="1:5">
      <c r="A146" s="40">
        <v>11066</v>
      </c>
      <c r="B146" s="40">
        <v>0</v>
      </c>
      <c r="C146" s="40" t="s">
        <v>10545</v>
      </c>
      <c r="D146" s="40" t="s">
        <v>6637</v>
      </c>
      <c r="E146" s="42" t="s">
        <v>10515</v>
      </c>
    </row>
    <row r="147" spans="1:5">
      <c r="A147" s="40">
        <v>11067</v>
      </c>
      <c r="B147" s="40">
        <v>0</v>
      </c>
      <c r="C147" s="40" t="s">
        <v>10545</v>
      </c>
      <c r="D147" s="40" t="s">
        <v>6638</v>
      </c>
      <c r="E147" s="42" t="s">
        <v>10515</v>
      </c>
    </row>
    <row r="148" spans="1:5">
      <c r="A148" s="40">
        <v>11068</v>
      </c>
      <c r="B148" s="40">
        <v>0</v>
      </c>
      <c r="C148" s="40" t="s">
        <v>10545</v>
      </c>
      <c r="D148" s="40" t="s">
        <v>6639</v>
      </c>
      <c r="E148" s="42" t="s">
        <v>10515</v>
      </c>
    </row>
    <row r="149" spans="1:5">
      <c r="A149" s="40">
        <v>11069</v>
      </c>
      <c r="B149" s="40">
        <v>0</v>
      </c>
      <c r="C149" s="40" t="s">
        <v>10545</v>
      </c>
      <c r="D149" s="40" t="s">
        <v>6640</v>
      </c>
      <c r="E149" s="42" t="s">
        <v>10515</v>
      </c>
    </row>
    <row r="150" spans="1:5">
      <c r="A150" s="40">
        <v>11070</v>
      </c>
      <c r="B150" s="40">
        <v>0</v>
      </c>
      <c r="C150" s="40" t="s">
        <v>10545</v>
      </c>
      <c r="D150" s="40" t="s">
        <v>6641</v>
      </c>
      <c r="E150" s="42" t="s">
        <v>10515</v>
      </c>
    </row>
    <row r="151" spans="1:5">
      <c r="A151" s="40">
        <v>11071</v>
      </c>
      <c r="B151" s="40">
        <v>0</v>
      </c>
      <c r="C151" s="40" t="s">
        <v>10546</v>
      </c>
      <c r="D151" s="40" t="s">
        <v>6642</v>
      </c>
      <c r="E151" s="42" t="s">
        <v>10516</v>
      </c>
    </row>
    <row r="152" spans="1:5">
      <c r="A152" s="40">
        <v>11072</v>
      </c>
      <c r="B152" s="40">
        <v>0</v>
      </c>
      <c r="C152" s="40" t="s">
        <v>10546</v>
      </c>
      <c r="D152" s="40" t="s">
        <v>6643</v>
      </c>
      <c r="E152" s="42" t="s">
        <v>10516</v>
      </c>
    </row>
    <row r="153" spans="1:5">
      <c r="A153" s="40">
        <v>11073</v>
      </c>
      <c r="B153" s="40">
        <v>0</v>
      </c>
      <c r="C153" s="40" t="s">
        <v>10546</v>
      </c>
      <c r="D153" s="40" t="s">
        <v>6644</v>
      </c>
      <c r="E153" s="42" t="s">
        <v>10516</v>
      </c>
    </row>
    <row r="154" spans="1:5">
      <c r="A154" s="40">
        <v>11074</v>
      </c>
      <c r="B154" s="40">
        <v>0</v>
      </c>
      <c r="C154" s="40" t="s">
        <v>10546</v>
      </c>
      <c r="D154" s="40" t="s">
        <v>6645</v>
      </c>
      <c r="E154" s="42" t="s">
        <v>10516</v>
      </c>
    </row>
    <row r="155" spans="1:5">
      <c r="A155" s="40">
        <v>11075</v>
      </c>
      <c r="B155" s="40">
        <v>0</v>
      </c>
      <c r="C155" s="40" t="s">
        <v>10546</v>
      </c>
      <c r="D155" s="40" t="s">
        <v>6646</v>
      </c>
      <c r="E155" s="42" t="s">
        <v>10516</v>
      </c>
    </row>
    <row r="156" spans="1:5">
      <c r="A156" s="40">
        <v>11076</v>
      </c>
      <c r="B156" s="40">
        <v>0</v>
      </c>
      <c r="C156" s="40" t="s">
        <v>10547</v>
      </c>
      <c r="D156" s="40" t="s">
        <v>6647</v>
      </c>
      <c r="E156" s="42" t="s">
        <v>10517</v>
      </c>
    </row>
    <row r="157" spans="1:5">
      <c r="A157" s="40">
        <v>11077</v>
      </c>
      <c r="B157" s="40">
        <v>0</v>
      </c>
      <c r="C157" s="40" t="s">
        <v>10547</v>
      </c>
      <c r="D157" s="40" t="s">
        <v>6648</v>
      </c>
      <c r="E157" s="42" t="s">
        <v>10517</v>
      </c>
    </row>
    <row r="158" spans="1:5">
      <c r="A158" s="40">
        <v>11078</v>
      </c>
      <c r="B158" s="40">
        <v>0</v>
      </c>
      <c r="C158" s="40" t="s">
        <v>10547</v>
      </c>
      <c r="D158" s="40" t="s">
        <v>6649</v>
      </c>
      <c r="E158" s="42" t="s">
        <v>10517</v>
      </c>
    </row>
    <row r="159" spans="1:5">
      <c r="A159" s="40">
        <v>11079</v>
      </c>
      <c r="B159" s="40">
        <v>0</v>
      </c>
      <c r="C159" s="40" t="s">
        <v>10547</v>
      </c>
      <c r="D159" s="40" t="s">
        <v>6650</v>
      </c>
      <c r="E159" s="42" t="s">
        <v>10517</v>
      </c>
    </row>
    <row r="160" spans="1:5">
      <c r="A160" s="40">
        <v>11080</v>
      </c>
      <c r="B160" s="40">
        <v>0</v>
      </c>
      <c r="C160" s="40" t="s">
        <v>10547</v>
      </c>
      <c r="D160" s="40" t="s">
        <v>6651</v>
      </c>
      <c r="E160" s="42" t="s">
        <v>10517</v>
      </c>
    </row>
    <row r="161" spans="1:5">
      <c r="A161" s="40">
        <v>11081</v>
      </c>
      <c r="B161" s="40">
        <v>0</v>
      </c>
      <c r="C161" s="40" t="s">
        <v>10548</v>
      </c>
      <c r="D161" s="40" t="s">
        <v>6652</v>
      </c>
      <c r="E161" s="42" t="s">
        <v>10518</v>
      </c>
    </row>
    <row r="162" spans="1:5">
      <c r="A162" s="40">
        <v>11082</v>
      </c>
      <c r="B162" s="40">
        <v>0</v>
      </c>
      <c r="C162" s="40" t="s">
        <v>10548</v>
      </c>
      <c r="D162" s="40" t="s">
        <v>6653</v>
      </c>
      <c r="E162" s="42" t="s">
        <v>10518</v>
      </c>
    </row>
    <row r="163" spans="1:5">
      <c r="A163" s="40">
        <v>11083</v>
      </c>
      <c r="B163" s="40">
        <v>0</v>
      </c>
      <c r="C163" s="40" t="s">
        <v>10548</v>
      </c>
      <c r="D163" s="40" t="s">
        <v>6654</v>
      </c>
      <c r="E163" s="42" t="s">
        <v>10518</v>
      </c>
    </row>
    <row r="164" spans="1:5">
      <c r="A164" s="40">
        <v>11084</v>
      </c>
      <c r="B164" s="40">
        <v>0</v>
      </c>
      <c r="C164" s="40" t="s">
        <v>10548</v>
      </c>
      <c r="D164" s="40" t="s">
        <v>6655</v>
      </c>
      <c r="E164" s="42" t="s">
        <v>10518</v>
      </c>
    </row>
    <row r="165" spans="1:5">
      <c r="A165" s="40">
        <v>11085</v>
      </c>
      <c r="B165" s="40">
        <v>0</v>
      </c>
      <c r="C165" s="40" t="s">
        <v>10548</v>
      </c>
      <c r="D165" s="40" t="s">
        <v>6656</v>
      </c>
      <c r="E165" s="42" t="s">
        <v>10518</v>
      </c>
    </row>
    <row r="166" spans="1:5">
      <c r="A166" s="40">
        <v>11086</v>
      </c>
      <c r="B166" s="40">
        <v>0</v>
      </c>
      <c r="C166" s="40" t="s">
        <v>10549</v>
      </c>
      <c r="D166" s="40" t="s">
        <v>6657</v>
      </c>
      <c r="E166" s="42" t="s">
        <v>10519</v>
      </c>
    </row>
    <row r="167" spans="1:5">
      <c r="A167" s="40">
        <v>11087</v>
      </c>
      <c r="B167" s="40">
        <v>0</v>
      </c>
      <c r="C167" s="40" t="s">
        <v>10549</v>
      </c>
      <c r="D167" s="40" t="s">
        <v>6658</v>
      </c>
      <c r="E167" s="42" t="s">
        <v>10519</v>
      </c>
    </row>
    <row r="168" spans="1:5">
      <c r="A168" s="40">
        <v>11088</v>
      </c>
      <c r="B168" s="40">
        <v>0</v>
      </c>
      <c r="C168" s="40" t="s">
        <v>10549</v>
      </c>
      <c r="D168" s="40" t="s">
        <v>6659</v>
      </c>
      <c r="E168" s="42" t="s">
        <v>10519</v>
      </c>
    </row>
    <row r="169" spans="1:5">
      <c r="A169" s="40">
        <v>11089</v>
      </c>
      <c r="B169" s="40">
        <v>0</v>
      </c>
      <c r="C169" s="40" t="s">
        <v>10549</v>
      </c>
      <c r="D169" s="40" t="s">
        <v>6660</v>
      </c>
      <c r="E169" s="42" t="s">
        <v>10519</v>
      </c>
    </row>
    <row r="170" spans="1:5">
      <c r="A170" s="40">
        <v>11090</v>
      </c>
      <c r="B170" s="40">
        <v>0</v>
      </c>
      <c r="C170" s="40" t="s">
        <v>10549</v>
      </c>
      <c r="D170" s="40" t="s">
        <v>6661</v>
      </c>
      <c r="E170" s="42" t="s">
        <v>10519</v>
      </c>
    </row>
    <row r="171" spans="1:5">
      <c r="A171" s="40">
        <v>11091</v>
      </c>
      <c r="B171" s="40">
        <v>0</v>
      </c>
      <c r="C171" s="40" t="s">
        <v>10550</v>
      </c>
      <c r="D171" s="40" t="s">
        <v>6662</v>
      </c>
      <c r="E171" s="42" t="s">
        <v>10520</v>
      </c>
    </row>
    <row r="172" spans="1:5">
      <c r="A172" s="40">
        <v>11092</v>
      </c>
      <c r="B172" s="40">
        <v>0</v>
      </c>
      <c r="C172" s="40" t="s">
        <v>10550</v>
      </c>
      <c r="D172" s="40" t="s">
        <v>6663</v>
      </c>
      <c r="E172" s="42" t="s">
        <v>10520</v>
      </c>
    </row>
    <row r="173" spans="1:5">
      <c r="A173" s="40">
        <v>11093</v>
      </c>
      <c r="B173" s="40">
        <v>0</v>
      </c>
      <c r="C173" s="40" t="s">
        <v>10550</v>
      </c>
      <c r="D173" s="40" t="s">
        <v>6664</v>
      </c>
      <c r="E173" s="42" t="s">
        <v>10520</v>
      </c>
    </row>
    <row r="174" spans="1:5">
      <c r="A174" s="40">
        <v>11094</v>
      </c>
      <c r="B174" s="40">
        <v>0</v>
      </c>
      <c r="C174" s="40" t="s">
        <v>10550</v>
      </c>
      <c r="D174" s="40" t="s">
        <v>6665</v>
      </c>
      <c r="E174" s="42" t="s">
        <v>10520</v>
      </c>
    </row>
    <row r="175" spans="1:5">
      <c r="A175" s="40">
        <v>11095</v>
      </c>
      <c r="B175" s="40">
        <v>0</v>
      </c>
      <c r="C175" s="40" t="s">
        <v>10550</v>
      </c>
      <c r="D175" s="40" t="s">
        <v>6666</v>
      </c>
      <c r="E175" s="42" t="s">
        <v>10520</v>
      </c>
    </row>
    <row r="176" spans="1:5">
      <c r="A176" s="40">
        <v>11096</v>
      </c>
      <c r="B176" s="40">
        <v>0</v>
      </c>
      <c r="C176" s="40" t="s">
        <v>10551</v>
      </c>
      <c r="D176" s="40" t="s">
        <v>6667</v>
      </c>
      <c r="E176" s="42" t="s">
        <v>10521</v>
      </c>
    </row>
    <row r="177" spans="1:5">
      <c r="A177" s="40">
        <v>11097</v>
      </c>
      <c r="B177" s="40">
        <v>0</v>
      </c>
      <c r="C177" s="40" t="s">
        <v>10551</v>
      </c>
      <c r="D177" s="40" t="s">
        <v>6668</v>
      </c>
      <c r="E177" s="42" t="s">
        <v>10521</v>
      </c>
    </row>
    <row r="178" spans="1:5">
      <c r="A178" s="40">
        <v>11098</v>
      </c>
      <c r="B178" s="40">
        <v>0</v>
      </c>
      <c r="C178" s="40" t="s">
        <v>10551</v>
      </c>
      <c r="D178" s="40" t="s">
        <v>6669</v>
      </c>
      <c r="E178" s="42" t="s">
        <v>10521</v>
      </c>
    </row>
    <row r="179" spans="1:5">
      <c r="A179" s="40">
        <v>11099</v>
      </c>
      <c r="B179" s="40">
        <v>0</v>
      </c>
      <c r="C179" s="40" t="s">
        <v>10551</v>
      </c>
      <c r="D179" s="40" t="s">
        <v>6670</v>
      </c>
      <c r="E179" s="42" t="s">
        <v>10521</v>
      </c>
    </row>
    <row r="180" spans="1:5">
      <c r="A180" s="40">
        <v>11100</v>
      </c>
      <c r="B180" s="40">
        <v>0</v>
      </c>
      <c r="C180" s="40" t="s">
        <v>10551</v>
      </c>
      <c r="D180" s="40" t="s">
        <v>6671</v>
      </c>
      <c r="E180" s="42" t="s">
        <v>10521</v>
      </c>
    </row>
    <row r="181" spans="1:5">
      <c r="A181" s="40">
        <v>11101</v>
      </c>
      <c r="B181" s="40">
        <v>0</v>
      </c>
      <c r="C181" s="40" t="s">
        <v>10552</v>
      </c>
      <c r="D181" s="40" t="s">
        <v>6672</v>
      </c>
      <c r="E181" s="42" t="s">
        <v>10522</v>
      </c>
    </row>
    <row r="182" spans="1:5">
      <c r="A182" s="40">
        <v>11102</v>
      </c>
      <c r="B182" s="40">
        <v>0</v>
      </c>
      <c r="C182" s="40" t="s">
        <v>10552</v>
      </c>
      <c r="D182" s="40" t="s">
        <v>6673</v>
      </c>
      <c r="E182" s="42" t="s">
        <v>10522</v>
      </c>
    </row>
    <row r="183" spans="1:5">
      <c r="A183" s="40">
        <v>11103</v>
      </c>
      <c r="B183" s="40">
        <v>0</v>
      </c>
      <c r="C183" s="40" t="s">
        <v>10552</v>
      </c>
      <c r="D183" s="40" t="s">
        <v>6674</v>
      </c>
      <c r="E183" s="42" t="s">
        <v>10522</v>
      </c>
    </row>
    <row r="184" spans="1:5">
      <c r="A184" s="40">
        <v>11104</v>
      </c>
      <c r="B184" s="40">
        <v>0</v>
      </c>
      <c r="C184" s="40" t="s">
        <v>10552</v>
      </c>
      <c r="D184" s="40" t="s">
        <v>6675</v>
      </c>
      <c r="E184" s="42" t="s">
        <v>10522</v>
      </c>
    </row>
    <row r="185" spans="1:5">
      <c r="A185" s="40">
        <v>11105</v>
      </c>
      <c r="B185" s="40">
        <v>0</v>
      </c>
      <c r="C185" s="40" t="s">
        <v>10552</v>
      </c>
      <c r="D185" s="40" t="s">
        <v>6676</v>
      </c>
      <c r="E185" s="42" t="s">
        <v>10522</v>
      </c>
    </row>
    <row r="186" spans="1:5">
      <c r="A186" s="40">
        <v>11106</v>
      </c>
      <c r="B186" s="40">
        <v>0</v>
      </c>
      <c r="C186" s="40" t="s">
        <v>10553</v>
      </c>
      <c r="D186" s="40" t="s">
        <v>6677</v>
      </c>
      <c r="E186" s="42" t="s">
        <v>10523</v>
      </c>
    </row>
    <row r="187" spans="1:5">
      <c r="A187" s="40">
        <v>11107</v>
      </c>
      <c r="B187" s="40">
        <v>0</v>
      </c>
      <c r="C187" s="40" t="s">
        <v>10553</v>
      </c>
      <c r="D187" s="40" t="s">
        <v>6678</v>
      </c>
      <c r="E187" s="42" t="s">
        <v>10523</v>
      </c>
    </row>
    <row r="188" spans="1:5">
      <c r="A188" s="40">
        <v>11108</v>
      </c>
      <c r="B188" s="40">
        <v>0</v>
      </c>
      <c r="C188" s="40" t="s">
        <v>10553</v>
      </c>
      <c r="D188" s="40" t="s">
        <v>6679</v>
      </c>
      <c r="E188" s="42" t="s">
        <v>10523</v>
      </c>
    </row>
    <row r="189" spans="1:5">
      <c r="A189" s="40">
        <v>11109</v>
      </c>
      <c r="B189" s="40">
        <v>0</v>
      </c>
      <c r="C189" s="40" t="s">
        <v>10553</v>
      </c>
      <c r="D189" s="40" t="s">
        <v>6680</v>
      </c>
      <c r="E189" s="42" t="s">
        <v>10523</v>
      </c>
    </row>
    <row r="190" spans="1:5">
      <c r="A190" s="40">
        <v>11110</v>
      </c>
      <c r="B190" s="40">
        <v>0</v>
      </c>
      <c r="C190" s="40" t="s">
        <v>10553</v>
      </c>
      <c r="D190" s="40" t="s">
        <v>6681</v>
      </c>
      <c r="E190" s="42" t="s">
        <v>10523</v>
      </c>
    </row>
    <row r="191" spans="1:5">
      <c r="A191" s="40">
        <v>11111</v>
      </c>
      <c r="B191" s="40">
        <v>0</v>
      </c>
      <c r="C191" s="40" t="s">
        <v>10554</v>
      </c>
      <c r="D191" s="40" t="s">
        <v>6682</v>
      </c>
      <c r="E191" s="42" t="s">
        <v>10524</v>
      </c>
    </row>
    <row r="192" spans="1:5">
      <c r="A192" s="40">
        <v>11112</v>
      </c>
      <c r="B192" s="40">
        <v>0</v>
      </c>
      <c r="C192" s="40" t="s">
        <v>10554</v>
      </c>
      <c r="D192" s="40" t="s">
        <v>6683</v>
      </c>
      <c r="E192" s="42" t="s">
        <v>10524</v>
      </c>
    </row>
    <row r="193" spans="1:5">
      <c r="A193" s="40">
        <v>11113</v>
      </c>
      <c r="B193" s="40">
        <v>0</v>
      </c>
      <c r="C193" s="40" t="s">
        <v>10554</v>
      </c>
      <c r="D193" s="40" t="s">
        <v>6684</v>
      </c>
      <c r="E193" s="42" t="s">
        <v>10524</v>
      </c>
    </row>
    <row r="194" spans="1:5">
      <c r="A194" s="40">
        <v>11114</v>
      </c>
      <c r="B194" s="40">
        <v>0</v>
      </c>
      <c r="C194" s="40" t="s">
        <v>10554</v>
      </c>
      <c r="D194" s="40" t="s">
        <v>6685</v>
      </c>
      <c r="E194" s="42" t="s">
        <v>10524</v>
      </c>
    </row>
    <row r="195" spans="1:5">
      <c r="A195" s="40">
        <v>11115</v>
      </c>
      <c r="B195" s="40">
        <v>0</v>
      </c>
      <c r="C195" s="40" t="s">
        <v>10554</v>
      </c>
      <c r="D195" s="40" t="s">
        <v>6686</v>
      </c>
      <c r="E195" s="42" t="s">
        <v>10524</v>
      </c>
    </row>
    <row r="196" spans="1:5">
      <c r="A196" s="40">
        <v>11116</v>
      </c>
      <c r="B196" s="40">
        <v>0</v>
      </c>
      <c r="C196" s="40" t="s">
        <v>10555</v>
      </c>
      <c r="D196" s="40" t="s">
        <v>6687</v>
      </c>
      <c r="E196" s="42" t="s">
        <v>10525</v>
      </c>
    </row>
    <row r="197" spans="1:5">
      <c r="A197" s="40">
        <v>11117</v>
      </c>
      <c r="B197" s="40">
        <v>0</v>
      </c>
      <c r="C197" s="40" t="s">
        <v>10555</v>
      </c>
      <c r="D197" s="40" t="s">
        <v>6688</v>
      </c>
      <c r="E197" s="42" t="s">
        <v>10525</v>
      </c>
    </row>
    <row r="198" spans="1:5">
      <c r="A198" s="40">
        <v>11118</v>
      </c>
      <c r="B198" s="40">
        <v>0</v>
      </c>
      <c r="C198" s="40" t="s">
        <v>10555</v>
      </c>
      <c r="D198" s="40" t="s">
        <v>6689</v>
      </c>
      <c r="E198" s="42" t="s">
        <v>10525</v>
      </c>
    </row>
    <row r="199" spans="1:5">
      <c r="A199" s="40">
        <v>11119</v>
      </c>
      <c r="B199" s="40">
        <v>0</v>
      </c>
      <c r="C199" s="40" t="s">
        <v>10555</v>
      </c>
      <c r="D199" s="40" t="s">
        <v>6690</v>
      </c>
      <c r="E199" s="42" t="s">
        <v>10525</v>
      </c>
    </row>
    <row r="200" spans="1:5">
      <c r="A200" s="40">
        <v>11120</v>
      </c>
      <c r="B200" s="40">
        <v>0</v>
      </c>
      <c r="C200" s="40" t="s">
        <v>10555</v>
      </c>
      <c r="D200" s="40" t="s">
        <v>6691</v>
      </c>
      <c r="E200" s="42" t="s">
        <v>10525</v>
      </c>
    </row>
    <row r="201" spans="1:5">
      <c r="A201" s="40">
        <v>11121</v>
      </c>
      <c r="B201" s="40">
        <v>0</v>
      </c>
      <c r="C201" s="40" t="s">
        <v>10556</v>
      </c>
      <c r="D201" s="40" t="s">
        <v>6692</v>
      </c>
      <c r="E201" s="42" t="s">
        <v>10526</v>
      </c>
    </row>
    <row r="202" spans="1:5">
      <c r="A202" s="40">
        <v>11122</v>
      </c>
      <c r="B202" s="40">
        <v>0</v>
      </c>
      <c r="C202" s="40" t="s">
        <v>10556</v>
      </c>
      <c r="D202" s="40" t="s">
        <v>6693</v>
      </c>
      <c r="E202" s="42" t="s">
        <v>10526</v>
      </c>
    </row>
    <row r="203" spans="1:5">
      <c r="A203" s="40">
        <v>11123</v>
      </c>
      <c r="B203" s="40">
        <v>0</v>
      </c>
      <c r="C203" s="40" t="s">
        <v>10556</v>
      </c>
      <c r="D203" s="40" t="s">
        <v>6694</v>
      </c>
      <c r="E203" s="42" t="s">
        <v>10526</v>
      </c>
    </row>
    <row r="204" spans="1:5">
      <c r="A204" s="40">
        <v>11124</v>
      </c>
      <c r="B204" s="40">
        <v>0</v>
      </c>
      <c r="C204" s="40" t="s">
        <v>10556</v>
      </c>
      <c r="D204" s="40" t="s">
        <v>6695</v>
      </c>
      <c r="E204" s="42" t="s">
        <v>10526</v>
      </c>
    </row>
    <row r="205" spans="1:5">
      <c r="A205" s="40">
        <v>11125</v>
      </c>
      <c r="B205" s="40">
        <v>0</v>
      </c>
      <c r="C205" s="40" t="s">
        <v>10556</v>
      </c>
      <c r="D205" s="40" t="s">
        <v>6696</v>
      </c>
      <c r="E205" s="42" t="s">
        <v>10526</v>
      </c>
    </row>
    <row r="206" spans="1:5">
      <c r="A206" s="40">
        <v>11126</v>
      </c>
      <c r="B206" s="40">
        <v>0</v>
      </c>
      <c r="C206" s="40" t="s">
        <v>10557</v>
      </c>
      <c r="D206" s="40" t="s">
        <v>6697</v>
      </c>
      <c r="E206" s="42" t="s">
        <v>10527</v>
      </c>
    </row>
    <row r="207" spans="1:5">
      <c r="A207" s="40">
        <v>11127</v>
      </c>
      <c r="B207" s="40">
        <v>0</v>
      </c>
      <c r="C207" s="40" t="s">
        <v>10557</v>
      </c>
      <c r="D207" s="40" t="s">
        <v>6698</v>
      </c>
      <c r="E207" s="42" t="s">
        <v>10527</v>
      </c>
    </row>
    <row r="208" spans="1:5">
      <c r="A208" s="40">
        <v>11128</v>
      </c>
      <c r="B208" s="40">
        <v>0</v>
      </c>
      <c r="C208" s="40" t="s">
        <v>10557</v>
      </c>
      <c r="D208" s="40" t="s">
        <v>6699</v>
      </c>
      <c r="E208" s="42" t="s">
        <v>10527</v>
      </c>
    </row>
    <row r="209" spans="1:5">
      <c r="A209" s="40">
        <v>11129</v>
      </c>
      <c r="B209" s="40">
        <v>0</v>
      </c>
      <c r="C209" s="40" t="s">
        <v>10557</v>
      </c>
      <c r="D209" s="40" t="s">
        <v>6700</v>
      </c>
      <c r="E209" s="42" t="s">
        <v>10527</v>
      </c>
    </row>
    <row r="210" spans="1:5">
      <c r="A210" s="40">
        <v>11130</v>
      </c>
      <c r="B210" s="40">
        <v>0</v>
      </c>
      <c r="C210" s="40" t="s">
        <v>10557</v>
      </c>
      <c r="D210" s="40" t="s">
        <v>6701</v>
      </c>
      <c r="E210" s="42" t="s">
        <v>10527</v>
      </c>
    </row>
    <row r="211" spans="1:5">
      <c r="A211" s="40">
        <v>11131</v>
      </c>
      <c r="B211" s="40">
        <v>0</v>
      </c>
      <c r="C211" s="40" t="s">
        <v>10558</v>
      </c>
      <c r="D211" s="40" t="s">
        <v>6702</v>
      </c>
      <c r="E211" s="42" t="s">
        <v>10528</v>
      </c>
    </row>
    <row r="212" spans="1:5">
      <c r="A212" s="40">
        <v>11132</v>
      </c>
      <c r="B212" s="40">
        <v>0</v>
      </c>
      <c r="C212" s="40" t="s">
        <v>10558</v>
      </c>
      <c r="D212" s="40" t="s">
        <v>6703</v>
      </c>
      <c r="E212" s="42" t="s">
        <v>10528</v>
      </c>
    </row>
    <row r="213" spans="1:5">
      <c r="A213" s="40">
        <v>11133</v>
      </c>
      <c r="B213" s="40">
        <v>0</v>
      </c>
      <c r="C213" s="40" t="s">
        <v>10558</v>
      </c>
      <c r="D213" s="40" t="s">
        <v>6704</v>
      </c>
      <c r="E213" s="42" t="s">
        <v>10528</v>
      </c>
    </row>
    <row r="214" spans="1:5">
      <c r="A214" s="40">
        <v>11134</v>
      </c>
      <c r="B214" s="40">
        <v>0</v>
      </c>
      <c r="C214" s="40" t="s">
        <v>10558</v>
      </c>
      <c r="D214" s="40" t="s">
        <v>6705</v>
      </c>
      <c r="E214" s="42" t="s">
        <v>10528</v>
      </c>
    </row>
    <row r="215" spans="1:5">
      <c r="A215" s="40">
        <v>11135</v>
      </c>
      <c r="B215" s="40">
        <v>0</v>
      </c>
      <c r="C215" s="40" t="s">
        <v>10558</v>
      </c>
      <c r="D215" s="40" t="s">
        <v>6706</v>
      </c>
      <c r="E215" s="42" t="s">
        <v>10528</v>
      </c>
    </row>
    <row r="216" spans="1:5">
      <c r="A216" s="40">
        <v>11136</v>
      </c>
      <c r="B216" s="40">
        <v>0</v>
      </c>
      <c r="C216" s="40" t="s">
        <v>10559</v>
      </c>
      <c r="D216" s="40" t="s">
        <v>6707</v>
      </c>
      <c r="E216" s="42" t="s">
        <v>10529</v>
      </c>
    </row>
    <row r="217" spans="1:5">
      <c r="A217" s="40">
        <v>11137</v>
      </c>
      <c r="B217" s="40">
        <v>0</v>
      </c>
      <c r="C217" s="40" t="s">
        <v>10559</v>
      </c>
      <c r="D217" s="40" t="s">
        <v>6708</v>
      </c>
      <c r="E217" s="42" t="s">
        <v>10529</v>
      </c>
    </row>
    <row r="218" spans="1:5">
      <c r="A218" s="40">
        <v>11138</v>
      </c>
      <c r="B218" s="40">
        <v>0</v>
      </c>
      <c r="C218" s="40" t="s">
        <v>10559</v>
      </c>
      <c r="D218" s="40" t="s">
        <v>6709</v>
      </c>
      <c r="E218" s="42" t="s">
        <v>10529</v>
      </c>
    </row>
    <row r="219" spans="1:5">
      <c r="A219" s="40">
        <v>11139</v>
      </c>
      <c r="B219" s="40">
        <v>0</v>
      </c>
      <c r="C219" s="40" t="s">
        <v>10559</v>
      </c>
      <c r="D219" s="40" t="s">
        <v>6710</v>
      </c>
      <c r="E219" s="42" t="s">
        <v>10529</v>
      </c>
    </row>
    <row r="220" spans="1:5">
      <c r="A220" s="40">
        <v>11140</v>
      </c>
      <c r="B220" s="40">
        <v>0</v>
      </c>
      <c r="C220" s="40" t="s">
        <v>10559</v>
      </c>
      <c r="D220" s="40" t="s">
        <v>6711</v>
      </c>
      <c r="E220" s="42" t="s">
        <v>10529</v>
      </c>
    </row>
    <row r="221" spans="1:5">
      <c r="A221" s="40">
        <v>11141</v>
      </c>
      <c r="B221" s="40">
        <v>0</v>
      </c>
      <c r="C221" s="40" t="s">
        <v>10560</v>
      </c>
      <c r="D221" s="40" t="s">
        <v>6712</v>
      </c>
      <c r="E221" s="42" t="s">
        <v>10530</v>
      </c>
    </row>
    <row r="222" spans="1:5">
      <c r="A222" s="40">
        <v>11142</v>
      </c>
      <c r="B222" s="40">
        <v>0</v>
      </c>
      <c r="C222" s="40" t="s">
        <v>10560</v>
      </c>
      <c r="D222" s="40" t="s">
        <v>6713</v>
      </c>
      <c r="E222" s="42" t="s">
        <v>10530</v>
      </c>
    </row>
    <row r="223" spans="1:5">
      <c r="A223" s="40">
        <v>11143</v>
      </c>
      <c r="B223" s="40">
        <v>0</v>
      </c>
      <c r="C223" s="40" t="s">
        <v>10560</v>
      </c>
      <c r="D223" s="40" t="s">
        <v>6714</v>
      </c>
      <c r="E223" s="42" t="s">
        <v>10530</v>
      </c>
    </row>
    <row r="224" spans="1:5">
      <c r="A224" s="40">
        <v>11144</v>
      </c>
      <c r="B224" s="40">
        <v>0</v>
      </c>
      <c r="C224" s="40" t="s">
        <v>10560</v>
      </c>
      <c r="D224" s="40" t="s">
        <v>6715</v>
      </c>
      <c r="E224" s="42" t="s">
        <v>10530</v>
      </c>
    </row>
    <row r="225" spans="1:5">
      <c r="A225" s="40">
        <v>11145</v>
      </c>
      <c r="B225" s="40">
        <v>0</v>
      </c>
      <c r="C225" s="40" t="s">
        <v>10560</v>
      </c>
      <c r="D225" s="40" t="s">
        <v>6716</v>
      </c>
      <c r="E225" s="42" t="s">
        <v>10530</v>
      </c>
    </row>
    <row r="226" spans="1:5">
      <c r="A226" s="40">
        <v>11146</v>
      </c>
      <c r="B226" s="40">
        <v>0</v>
      </c>
      <c r="C226" s="40" t="s">
        <v>10561</v>
      </c>
      <c r="D226" s="40" t="s">
        <v>6717</v>
      </c>
      <c r="E226" s="42" t="s">
        <v>10531</v>
      </c>
    </row>
    <row r="227" spans="1:5">
      <c r="A227" s="40">
        <v>11147</v>
      </c>
      <c r="B227" s="40">
        <v>0</v>
      </c>
      <c r="C227" s="40" t="s">
        <v>10561</v>
      </c>
      <c r="D227" s="40" t="s">
        <v>6718</v>
      </c>
      <c r="E227" s="42" t="s">
        <v>10531</v>
      </c>
    </row>
    <row r="228" spans="1:5">
      <c r="A228" s="40">
        <v>11148</v>
      </c>
      <c r="B228" s="40">
        <v>0</v>
      </c>
      <c r="C228" s="40" t="s">
        <v>10561</v>
      </c>
      <c r="D228" s="40" t="s">
        <v>6719</v>
      </c>
      <c r="E228" s="42" t="s">
        <v>10531</v>
      </c>
    </row>
    <row r="229" spans="1:5">
      <c r="A229" s="40">
        <v>11149</v>
      </c>
      <c r="B229" s="40">
        <v>0</v>
      </c>
      <c r="C229" s="40" t="s">
        <v>10561</v>
      </c>
      <c r="D229" s="40" t="s">
        <v>6720</v>
      </c>
      <c r="E229" s="42" t="s">
        <v>10531</v>
      </c>
    </row>
    <row r="230" spans="1:5">
      <c r="A230" s="40">
        <v>11150</v>
      </c>
      <c r="B230" s="40">
        <v>0</v>
      </c>
      <c r="C230" s="40" t="s">
        <v>10561</v>
      </c>
      <c r="D230" s="40" t="s">
        <v>6721</v>
      </c>
      <c r="E230" s="42" t="s">
        <v>10531</v>
      </c>
    </row>
    <row r="231" spans="1:5">
      <c r="A231" s="201">
        <v>11801</v>
      </c>
      <c r="B231" s="201">
        <v>0</v>
      </c>
      <c r="C231" s="201" t="s">
        <v>6742</v>
      </c>
      <c r="D231" s="201" t="s">
        <v>6722</v>
      </c>
      <c r="E231" s="202" t="s">
        <v>6756</v>
      </c>
    </row>
    <row r="232" spans="1:5">
      <c r="A232" s="201">
        <v>11802</v>
      </c>
      <c r="B232" s="201">
        <v>0</v>
      </c>
      <c r="C232" s="201" t="s">
        <v>6742</v>
      </c>
      <c r="D232" s="201" t="s">
        <v>6723</v>
      </c>
      <c r="E232" s="202" t="s">
        <v>6756</v>
      </c>
    </row>
    <row r="233" spans="1:5">
      <c r="A233" s="201">
        <v>11803</v>
      </c>
      <c r="B233" s="201">
        <v>0</v>
      </c>
      <c r="C233" s="201" t="s">
        <v>6742</v>
      </c>
      <c r="D233" s="201" t="s">
        <v>6724</v>
      </c>
      <c r="E233" s="202" t="s">
        <v>6756</v>
      </c>
    </row>
    <row r="234" spans="1:5">
      <c r="A234" s="201">
        <v>11804</v>
      </c>
      <c r="B234" s="201">
        <v>0</v>
      </c>
      <c r="C234" s="201" t="s">
        <v>6905</v>
      </c>
      <c r="D234" s="201" t="s">
        <v>6725</v>
      </c>
      <c r="E234" s="202" t="s">
        <v>6965</v>
      </c>
    </row>
    <row r="235" spans="1:5">
      <c r="A235" s="201">
        <v>11805</v>
      </c>
      <c r="B235" s="201">
        <v>0</v>
      </c>
      <c r="C235" s="201" t="s">
        <v>6905</v>
      </c>
      <c r="D235" s="201" t="s">
        <v>6726</v>
      </c>
      <c r="E235" s="202" t="s">
        <v>6965</v>
      </c>
    </row>
    <row r="236" spans="1:5">
      <c r="A236" s="201">
        <v>11806</v>
      </c>
      <c r="B236" s="201">
        <v>0</v>
      </c>
      <c r="C236" s="201" t="s">
        <v>6744</v>
      </c>
      <c r="D236" s="201" t="s">
        <v>6727</v>
      </c>
      <c r="E236" s="202" t="s">
        <v>6758</v>
      </c>
    </row>
    <row r="237" spans="1:5">
      <c r="A237" s="201">
        <v>11807</v>
      </c>
      <c r="B237" s="201">
        <v>0</v>
      </c>
      <c r="C237" s="201" t="s">
        <v>6744</v>
      </c>
      <c r="D237" s="201" t="s">
        <v>6728</v>
      </c>
      <c r="E237" s="202" t="s">
        <v>6758</v>
      </c>
    </row>
    <row r="238" spans="1:5">
      <c r="A238" s="201">
        <v>11808</v>
      </c>
      <c r="B238" s="201">
        <v>0</v>
      </c>
      <c r="C238" s="201" t="s">
        <v>6744</v>
      </c>
      <c r="D238" s="201" t="s">
        <v>6729</v>
      </c>
      <c r="E238" s="202" t="s">
        <v>6758</v>
      </c>
    </row>
    <row r="239" spans="1:5">
      <c r="A239" s="201">
        <v>11809</v>
      </c>
      <c r="B239" s="201">
        <v>0</v>
      </c>
      <c r="C239" s="201" t="s">
        <v>6744</v>
      </c>
      <c r="D239" s="201" t="s">
        <v>6730</v>
      </c>
      <c r="E239" s="202" t="s">
        <v>6758</v>
      </c>
    </row>
    <row r="240" spans="1:5">
      <c r="A240" s="201">
        <v>11810</v>
      </c>
      <c r="B240" s="201">
        <v>0</v>
      </c>
      <c r="C240" s="201" t="s">
        <v>11384</v>
      </c>
      <c r="D240" s="201" t="s">
        <v>6731</v>
      </c>
      <c r="E240" s="202" t="s">
        <v>11386</v>
      </c>
    </row>
    <row r="241" spans="1:5">
      <c r="A241" s="201">
        <v>11811</v>
      </c>
      <c r="B241" s="201">
        <v>0</v>
      </c>
      <c r="C241" s="201" t="s">
        <v>11384</v>
      </c>
      <c r="D241" s="201" t="s">
        <v>6732</v>
      </c>
      <c r="E241" s="202" t="s">
        <v>11386</v>
      </c>
    </row>
    <row r="242" spans="1:5">
      <c r="A242" s="201">
        <v>11812</v>
      </c>
      <c r="B242" s="201">
        <v>0</v>
      </c>
      <c r="C242" s="201" t="s">
        <v>11384</v>
      </c>
      <c r="D242" s="201" t="s">
        <v>6733</v>
      </c>
      <c r="E242" s="202" t="s">
        <v>11386</v>
      </c>
    </row>
    <row r="243" spans="1:5">
      <c r="A243" s="201">
        <v>11813</v>
      </c>
      <c r="B243" s="201">
        <v>0</v>
      </c>
      <c r="C243" s="201" t="s">
        <v>11384</v>
      </c>
      <c r="D243" s="201" t="s">
        <v>6734</v>
      </c>
      <c r="E243" s="202" t="s">
        <v>11386</v>
      </c>
    </row>
    <row r="244" spans="1:5">
      <c r="A244" s="201">
        <v>11814</v>
      </c>
      <c r="B244" s="201">
        <v>0</v>
      </c>
      <c r="C244" s="201" t="s">
        <v>11384</v>
      </c>
      <c r="D244" s="201" t="s">
        <v>6735</v>
      </c>
      <c r="E244" s="202" t="s">
        <v>11386</v>
      </c>
    </row>
    <row r="245" spans="1:5">
      <c r="A245" s="201">
        <v>11815</v>
      </c>
      <c r="B245" s="201">
        <v>0</v>
      </c>
      <c r="C245" s="201" t="s">
        <v>4947</v>
      </c>
      <c r="D245" s="201" t="s">
        <v>6736</v>
      </c>
      <c r="E245" s="202" t="s">
        <v>4946</v>
      </c>
    </row>
    <row r="246" spans="1:5">
      <c r="A246" s="201">
        <v>11816</v>
      </c>
      <c r="B246" s="201">
        <v>0</v>
      </c>
      <c r="C246" s="201" t="s">
        <v>4947</v>
      </c>
      <c r="D246" s="201" t="s">
        <v>6737</v>
      </c>
      <c r="E246" s="202" t="s">
        <v>4946</v>
      </c>
    </row>
    <row r="247" spans="1:5">
      <c r="A247" s="201">
        <v>11817</v>
      </c>
      <c r="B247" s="201">
        <v>0</v>
      </c>
      <c r="C247" s="201" t="s">
        <v>4947</v>
      </c>
      <c r="D247" s="201" t="s">
        <v>6738</v>
      </c>
      <c r="E247" s="202" t="s">
        <v>4946</v>
      </c>
    </row>
    <row r="248" spans="1:5">
      <c r="A248" s="201">
        <v>11818</v>
      </c>
      <c r="B248" s="201">
        <v>0</v>
      </c>
      <c r="C248" s="201" t="s">
        <v>4947</v>
      </c>
      <c r="D248" s="201" t="s">
        <v>6739</v>
      </c>
      <c r="E248" s="202" t="s">
        <v>4946</v>
      </c>
    </row>
    <row r="249" spans="1:5">
      <c r="A249" s="201">
        <v>11819</v>
      </c>
      <c r="B249" s="201">
        <v>0</v>
      </c>
      <c r="C249" s="201" t="s">
        <v>4947</v>
      </c>
      <c r="D249" s="201" t="s">
        <v>6740</v>
      </c>
      <c r="E249" s="202" t="s">
        <v>4946</v>
      </c>
    </row>
    <row r="250" spans="1:5">
      <c r="A250" s="201">
        <v>11820</v>
      </c>
      <c r="B250" s="201">
        <v>0</v>
      </c>
      <c r="C250" s="201" t="s">
        <v>11385</v>
      </c>
      <c r="D250" s="201" t="s">
        <v>6741</v>
      </c>
      <c r="E250" s="202" t="s">
        <v>11387</v>
      </c>
    </row>
    <row r="251" spans="1:5">
      <c r="A251" s="201">
        <v>11821</v>
      </c>
      <c r="B251" s="201">
        <v>0</v>
      </c>
      <c r="C251" s="201" t="s">
        <v>11385</v>
      </c>
      <c r="D251" s="201" t="s">
        <v>6746</v>
      </c>
      <c r="E251" s="202" t="s">
        <v>11387</v>
      </c>
    </row>
    <row r="252" spans="1:5">
      <c r="A252" s="201">
        <v>11822</v>
      </c>
      <c r="B252" s="201">
        <v>0</v>
      </c>
      <c r="C252" s="201" t="s">
        <v>11385</v>
      </c>
      <c r="D252" s="201" t="s">
        <v>6747</v>
      </c>
      <c r="E252" s="202" t="s">
        <v>11387</v>
      </c>
    </row>
    <row r="253" spans="1:5">
      <c r="A253" s="201">
        <v>11823</v>
      </c>
      <c r="B253" s="201">
        <v>0</v>
      </c>
      <c r="C253" s="201" t="s">
        <v>11385</v>
      </c>
      <c r="D253" s="201" t="s">
        <v>6748</v>
      </c>
      <c r="E253" s="202" t="s">
        <v>11387</v>
      </c>
    </row>
    <row r="254" spans="1:5">
      <c r="A254" s="201">
        <v>11824</v>
      </c>
      <c r="B254" s="201">
        <v>0</v>
      </c>
      <c r="C254" s="201" t="s">
        <v>11385</v>
      </c>
      <c r="D254" s="201" t="s">
        <v>6749</v>
      </c>
      <c r="E254" s="202" t="s">
        <v>11387</v>
      </c>
    </row>
    <row r="255" spans="1:5">
      <c r="A255" s="201">
        <v>11825</v>
      </c>
      <c r="B255" s="201">
        <v>0</v>
      </c>
      <c r="C255" s="201" t="s">
        <v>11385</v>
      </c>
      <c r="D255" s="201" t="s">
        <v>6750</v>
      </c>
      <c r="E255" s="202" t="s">
        <v>11387</v>
      </c>
    </row>
    <row r="256" spans="1:5">
      <c r="A256" s="201">
        <v>11826</v>
      </c>
      <c r="B256" s="201">
        <v>0</v>
      </c>
      <c r="C256" s="201" t="s">
        <v>11385</v>
      </c>
      <c r="D256" s="201" t="s">
        <v>6751</v>
      </c>
      <c r="E256" s="202" t="s">
        <v>11387</v>
      </c>
    </row>
    <row r="257" spans="1:5">
      <c r="A257" s="201">
        <v>11827</v>
      </c>
      <c r="B257" s="201">
        <v>0</v>
      </c>
      <c r="C257" s="201" t="s">
        <v>11385</v>
      </c>
      <c r="D257" s="201" t="s">
        <v>6752</v>
      </c>
      <c r="E257" s="202" t="s">
        <v>11387</v>
      </c>
    </row>
    <row r="258" spans="1:5">
      <c r="A258" s="201">
        <v>11828</v>
      </c>
      <c r="B258" s="201">
        <v>0</v>
      </c>
      <c r="C258" s="201" t="s">
        <v>11385</v>
      </c>
      <c r="D258" s="201" t="s">
        <v>6753</v>
      </c>
      <c r="E258" s="202" t="s">
        <v>11387</v>
      </c>
    </row>
    <row r="259" spans="1:5">
      <c r="A259" s="201">
        <v>11829</v>
      </c>
      <c r="B259" s="201">
        <v>0</v>
      </c>
      <c r="C259" s="201" t="s">
        <v>11385</v>
      </c>
      <c r="D259" s="201" t="s">
        <v>6754</v>
      </c>
      <c r="E259" s="202" t="s">
        <v>11387</v>
      </c>
    </row>
    <row r="260" spans="1:5">
      <c r="A260" s="201">
        <v>11830</v>
      </c>
      <c r="B260" s="201">
        <v>0</v>
      </c>
      <c r="C260" s="201" t="s">
        <v>11385</v>
      </c>
      <c r="D260" s="201" t="s">
        <v>6755</v>
      </c>
      <c r="E260" s="202" t="s">
        <v>11387</v>
      </c>
    </row>
    <row r="261" spans="1:5">
      <c r="A261" s="13">
        <v>12501</v>
      </c>
      <c r="B261" s="18">
        <v>1</v>
      </c>
      <c r="C261" s="18" t="s">
        <v>3480</v>
      </c>
      <c r="D261" s="18" t="s">
        <v>154</v>
      </c>
      <c r="E261" s="17" t="s">
        <v>155</v>
      </c>
    </row>
    <row r="262" spans="1:5">
      <c r="A262" s="13">
        <v>12502</v>
      </c>
      <c r="B262" s="18">
        <v>1</v>
      </c>
      <c r="C262" s="18" t="s">
        <v>3481</v>
      </c>
      <c r="D262" s="18" t="s">
        <v>156</v>
      </c>
      <c r="E262" s="17" t="s">
        <v>157</v>
      </c>
    </row>
    <row r="263" spans="1:5">
      <c r="A263" s="13">
        <v>12503</v>
      </c>
      <c r="B263" s="18">
        <v>1</v>
      </c>
      <c r="C263" s="18" t="s">
        <v>3482</v>
      </c>
      <c r="D263" s="18" t="s">
        <v>158</v>
      </c>
      <c r="E263" s="17" t="s">
        <v>159</v>
      </c>
    </row>
    <row r="264" spans="1:5">
      <c r="A264" s="13">
        <v>12504</v>
      </c>
      <c r="B264" s="18">
        <v>1</v>
      </c>
      <c r="C264" s="18" t="s">
        <v>3483</v>
      </c>
      <c r="D264" s="18" t="s">
        <v>160</v>
      </c>
      <c r="E264" s="17" t="s">
        <v>161</v>
      </c>
    </row>
    <row r="265" spans="1:5">
      <c r="A265" s="13">
        <v>12505</v>
      </c>
      <c r="B265" s="18">
        <v>1</v>
      </c>
      <c r="C265" s="18" t="s">
        <v>3484</v>
      </c>
      <c r="D265" s="18" t="s">
        <v>162</v>
      </c>
      <c r="E265" s="17" t="s">
        <v>163</v>
      </c>
    </row>
    <row r="266" spans="1:5">
      <c r="A266" s="13">
        <v>12506</v>
      </c>
      <c r="B266" s="18">
        <v>1</v>
      </c>
      <c r="C266" s="18" t="s">
        <v>3485</v>
      </c>
      <c r="D266" s="18" t="s">
        <v>164</v>
      </c>
      <c r="E266" s="17" t="s">
        <v>165</v>
      </c>
    </row>
    <row r="267" spans="1:5">
      <c r="A267" s="13">
        <v>12507</v>
      </c>
      <c r="B267" s="18">
        <v>1</v>
      </c>
      <c r="C267" s="18" t="s">
        <v>3486</v>
      </c>
      <c r="D267" s="18" t="s">
        <v>166</v>
      </c>
      <c r="E267" s="17" t="s">
        <v>167</v>
      </c>
    </row>
    <row r="268" spans="1:5">
      <c r="A268" s="13">
        <v>12508</v>
      </c>
      <c r="B268" s="18">
        <v>1</v>
      </c>
      <c r="C268" s="18" t="s">
        <v>3487</v>
      </c>
      <c r="D268" s="18" t="s">
        <v>168</v>
      </c>
      <c r="E268" s="17" t="s">
        <v>169</v>
      </c>
    </row>
    <row r="269" spans="1:5">
      <c r="A269" s="13">
        <v>12509</v>
      </c>
      <c r="B269" s="18">
        <v>1</v>
      </c>
      <c r="C269" s="18" t="s">
        <v>3488</v>
      </c>
      <c r="D269" s="18" t="s">
        <v>170</v>
      </c>
      <c r="E269" s="17" t="s">
        <v>171</v>
      </c>
    </row>
    <row r="270" spans="1:5">
      <c r="A270" s="13">
        <v>12510</v>
      </c>
      <c r="B270" s="18">
        <v>1</v>
      </c>
      <c r="C270" s="18" t="s">
        <v>3489</v>
      </c>
      <c r="D270" s="18" t="s">
        <v>172</v>
      </c>
      <c r="E270" s="17" t="s">
        <v>173</v>
      </c>
    </row>
    <row r="271" spans="1:5">
      <c r="A271" s="13">
        <v>12511</v>
      </c>
      <c r="B271" s="18">
        <v>1</v>
      </c>
      <c r="C271" s="18" t="s">
        <v>3490</v>
      </c>
      <c r="D271" s="18" t="s">
        <v>174</v>
      </c>
      <c r="E271" s="17" t="s">
        <v>175</v>
      </c>
    </row>
    <row r="272" spans="1:5">
      <c r="A272" s="13">
        <v>12512</v>
      </c>
      <c r="B272" s="18">
        <v>1</v>
      </c>
      <c r="C272" s="18" t="s">
        <v>3491</v>
      </c>
      <c r="D272" s="18" t="s">
        <v>176</v>
      </c>
      <c r="E272" s="17" t="s">
        <v>177</v>
      </c>
    </row>
    <row r="273" spans="1:5">
      <c r="A273" s="13">
        <v>12513</v>
      </c>
      <c r="B273" s="18">
        <v>1</v>
      </c>
      <c r="C273" s="18" t="s">
        <v>3492</v>
      </c>
      <c r="D273" s="18" t="s">
        <v>178</v>
      </c>
      <c r="E273" s="17" t="s">
        <v>179</v>
      </c>
    </row>
    <row r="274" spans="1:5">
      <c r="A274" s="13">
        <v>12514</v>
      </c>
      <c r="B274" s="18">
        <v>1</v>
      </c>
      <c r="C274" s="18" t="s">
        <v>3493</v>
      </c>
      <c r="D274" s="18" t="s">
        <v>180</v>
      </c>
      <c r="E274" s="17" t="s">
        <v>181</v>
      </c>
    </row>
    <row r="275" spans="1:5">
      <c r="A275" s="13">
        <v>12515</v>
      </c>
      <c r="B275" s="18">
        <v>1</v>
      </c>
      <c r="C275" s="18" t="s">
        <v>3494</v>
      </c>
      <c r="D275" s="18" t="s">
        <v>182</v>
      </c>
      <c r="E275" s="17" t="s">
        <v>183</v>
      </c>
    </row>
    <row r="276" spans="1:5">
      <c r="A276" s="13">
        <v>12516</v>
      </c>
      <c r="B276" s="18">
        <v>1</v>
      </c>
      <c r="C276" s="18" t="s">
        <v>3495</v>
      </c>
      <c r="D276" s="18" t="s">
        <v>184</v>
      </c>
      <c r="E276" s="17" t="s">
        <v>185</v>
      </c>
    </row>
    <row r="277" spans="1:5">
      <c r="A277" s="13">
        <v>12517</v>
      </c>
      <c r="B277" s="18">
        <v>1</v>
      </c>
      <c r="C277" s="18" t="s">
        <v>3496</v>
      </c>
      <c r="D277" s="18" t="s">
        <v>186</v>
      </c>
      <c r="E277" s="17" t="s">
        <v>187</v>
      </c>
    </row>
    <row r="278" spans="1:5">
      <c r="A278" s="13">
        <v>12518</v>
      </c>
      <c r="B278" s="18">
        <v>1</v>
      </c>
      <c r="C278" s="18" t="s">
        <v>3497</v>
      </c>
      <c r="D278" s="18" t="s">
        <v>188</v>
      </c>
      <c r="E278" s="17" t="s">
        <v>189</v>
      </c>
    </row>
    <row r="279" spans="1:5">
      <c r="A279" s="13">
        <v>12519</v>
      </c>
      <c r="B279" s="18">
        <v>1</v>
      </c>
      <c r="C279" s="18" t="s">
        <v>3498</v>
      </c>
      <c r="D279" s="18" t="s">
        <v>190</v>
      </c>
      <c r="E279" s="17" t="s">
        <v>191</v>
      </c>
    </row>
    <row r="280" spans="1:5">
      <c r="A280" s="13">
        <v>12520</v>
      </c>
      <c r="B280" s="18">
        <v>1</v>
      </c>
      <c r="C280" s="18" t="s">
        <v>3499</v>
      </c>
      <c r="D280" s="18" t="s">
        <v>192</v>
      </c>
      <c r="E280" s="17" t="s">
        <v>193</v>
      </c>
    </row>
    <row r="281" spans="1:5">
      <c r="A281" s="13">
        <v>12521</v>
      </c>
      <c r="B281" s="18">
        <v>1</v>
      </c>
      <c r="C281" s="18" t="s">
        <v>3500</v>
      </c>
      <c r="D281" s="18" t="s">
        <v>194</v>
      </c>
      <c r="E281" s="17" t="s">
        <v>195</v>
      </c>
    </row>
    <row r="282" spans="1:5">
      <c r="A282" s="13">
        <v>12522</v>
      </c>
      <c r="B282" s="18">
        <v>1</v>
      </c>
      <c r="C282" s="18" t="s">
        <v>3501</v>
      </c>
      <c r="D282" s="18" t="s">
        <v>196</v>
      </c>
      <c r="E282" s="17" t="s">
        <v>197</v>
      </c>
    </row>
    <row r="283" spans="1:5">
      <c r="A283" s="13">
        <v>12523</v>
      </c>
      <c r="B283" s="18">
        <v>1</v>
      </c>
      <c r="C283" s="18" t="s">
        <v>3502</v>
      </c>
      <c r="D283" s="18" t="s">
        <v>198</v>
      </c>
      <c r="E283" s="17" t="s">
        <v>199</v>
      </c>
    </row>
    <row r="284" spans="1:5">
      <c r="A284" s="13">
        <v>12524</v>
      </c>
      <c r="B284" s="18">
        <v>1</v>
      </c>
      <c r="C284" s="18" t="s">
        <v>3503</v>
      </c>
      <c r="D284" s="18" t="s">
        <v>200</v>
      </c>
      <c r="E284" s="17" t="s">
        <v>201</v>
      </c>
    </row>
    <row r="285" spans="1:5">
      <c r="A285" s="13">
        <v>12525</v>
      </c>
      <c r="B285" s="18">
        <v>1</v>
      </c>
      <c r="C285" s="18" t="s">
        <v>3504</v>
      </c>
      <c r="D285" s="18" t="s">
        <v>202</v>
      </c>
      <c r="E285" s="17" t="s">
        <v>203</v>
      </c>
    </row>
    <row r="286" spans="1:5">
      <c r="A286" s="13">
        <v>12526</v>
      </c>
      <c r="B286" s="18">
        <v>1</v>
      </c>
      <c r="C286" s="18" t="s">
        <v>3505</v>
      </c>
      <c r="D286" s="18" t="s">
        <v>204</v>
      </c>
      <c r="E286" s="17" t="s">
        <v>205</v>
      </c>
    </row>
    <row r="287" spans="1:5">
      <c r="A287" s="13">
        <v>12527</v>
      </c>
      <c r="B287" s="18">
        <v>1</v>
      </c>
      <c r="C287" s="18" t="s">
        <v>3506</v>
      </c>
      <c r="D287" s="18" t="s">
        <v>206</v>
      </c>
      <c r="E287" s="17" t="s">
        <v>207</v>
      </c>
    </row>
    <row r="288" spans="1:5">
      <c r="A288" s="13">
        <v>12528</v>
      </c>
      <c r="B288" s="18">
        <v>1</v>
      </c>
      <c r="C288" s="18" t="s">
        <v>3507</v>
      </c>
      <c r="D288" s="18" t="s">
        <v>208</v>
      </c>
      <c r="E288" s="17" t="s">
        <v>209</v>
      </c>
    </row>
    <row r="289" spans="1:5">
      <c r="A289" s="13">
        <v>12529</v>
      </c>
      <c r="B289" s="18">
        <v>1</v>
      </c>
      <c r="C289" s="18" t="s">
        <v>3508</v>
      </c>
      <c r="D289" s="18" t="s">
        <v>210</v>
      </c>
      <c r="E289" s="17" t="s">
        <v>211</v>
      </c>
    </row>
    <row r="290" spans="1:5">
      <c r="A290" s="13">
        <v>12530</v>
      </c>
      <c r="B290" s="18">
        <v>1</v>
      </c>
      <c r="C290" s="18" t="s">
        <v>3509</v>
      </c>
      <c r="D290" s="18" t="s">
        <v>212</v>
      </c>
      <c r="E290" s="17" t="s">
        <v>213</v>
      </c>
    </row>
    <row r="291" spans="1:5">
      <c r="A291" s="13">
        <v>12531</v>
      </c>
      <c r="B291" s="18">
        <v>1</v>
      </c>
      <c r="C291" s="18" t="s">
        <v>3510</v>
      </c>
      <c r="D291" s="18" t="s">
        <v>214</v>
      </c>
      <c r="E291" s="17" t="s">
        <v>215</v>
      </c>
    </row>
    <row r="292" spans="1:5">
      <c r="A292" s="13">
        <v>12532</v>
      </c>
      <c r="B292" s="18">
        <v>1</v>
      </c>
      <c r="C292" s="18" t="s">
        <v>3511</v>
      </c>
      <c r="D292" s="18" t="s">
        <v>216</v>
      </c>
      <c r="E292" s="17" t="s">
        <v>217</v>
      </c>
    </row>
    <row r="293" spans="1:5">
      <c r="A293" s="13">
        <v>12533</v>
      </c>
      <c r="B293" s="18">
        <v>1</v>
      </c>
      <c r="C293" s="18" t="s">
        <v>3512</v>
      </c>
      <c r="D293" s="18" t="s">
        <v>218</v>
      </c>
      <c r="E293" s="17" t="s">
        <v>219</v>
      </c>
    </row>
    <row r="294" spans="1:5">
      <c r="A294" s="13">
        <v>12534</v>
      </c>
      <c r="B294" s="18">
        <v>1</v>
      </c>
      <c r="C294" s="18" t="s">
        <v>3513</v>
      </c>
      <c r="D294" s="18" t="s">
        <v>220</v>
      </c>
      <c r="E294" s="17" t="s">
        <v>221</v>
      </c>
    </row>
    <row r="295" spans="1:5">
      <c r="A295" s="13">
        <v>12535</v>
      </c>
      <c r="B295" s="18">
        <v>1</v>
      </c>
      <c r="C295" s="18" t="s">
        <v>3514</v>
      </c>
      <c r="D295" s="18" t="s">
        <v>222</v>
      </c>
      <c r="E295" s="17" t="s">
        <v>223</v>
      </c>
    </row>
    <row r="296" spans="1:5">
      <c r="A296" s="13">
        <v>12536</v>
      </c>
      <c r="B296" s="18">
        <v>1</v>
      </c>
      <c r="C296" s="18" t="s">
        <v>3515</v>
      </c>
      <c r="D296" s="18" t="s">
        <v>224</v>
      </c>
      <c r="E296" s="17" t="s">
        <v>225</v>
      </c>
    </row>
    <row r="297" spans="1:5">
      <c r="A297" s="13">
        <v>12537</v>
      </c>
      <c r="B297" s="18">
        <v>1</v>
      </c>
      <c r="C297" s="18" t="s">
        <v>3516</v>
      </c>
      <c r="D297" s="18" t="s">
        <v>226</v>
      </c>
      <c r="E297" s="17" t="s">
        <v>227</v>
      </c>
    </row>
    <row r="298" spans="1:5">
      <c r="A298" s="13">
        <v>12538</v>
      </c>
      <c r="B298" s="18">
        <v>1</v>
      </c>
      <c r="C298" s="18" t="s">
        <v>3517</v>
      </c>
      <c r="D298" s="18" t="s">
        <v>228</v>
      </c>
      <c r="E298" s="17" t="s">
        <v>229</v>
      </c>
    </row>
    <row r="299" spans="1:5">
      <c r="A299" s="13">
        <v>12539</v>
      </c>
      <c r="B299" s="18">
        <v>1</v>
      </c>
      <c r="C299" s="18" t="s">
        <v>3518</v>
      </c>
      <c r="D299" s="18" t="s">
        <v>230</v>
      </c>
      <c r="E299" s="17" t="s">
        <v>231</v>
      </c>
    </row>
    <row r="300" spans="1:5">
      <c r="A300" s="13">
        <v>12540</v>
      </c>
      <c r="B300" s="18">
        <v>1</v>
      </c>
      <c r="C300" s="18" t="s">
        <v>3519</v>
      </c>
      <c r="D300" s="18" t="s">
        <v>232</v>
      </c>
      <c r="E300" s="17" t="s">
        <v>233</v>
      </c>
    </row>
    <row r="301" spans="1:5">
      <c r="A301" s="13">
        <v>12541</v>
      </c>
      <c r="B301" s="18">
        <v>1</v>
      </c>
      <c r="C301" s="18" t="s">
        <v>3520</v>
      </c>
      <c r="D301" s="18" t="s">
        <v>234</v>
      </c>
      <c r="E301" s="17" t="s">
        <v>235</v>
      </c>
    </row>
    <row r="302" spans="1:5">
      <c r="A302" s="13">
        <v>12542</v>
      </c>
      <c r="B302" s="18">
        <v>1</v>
      </c>
      <c r="C302" s="18" t="s">
        <v>3521</v>
      </c>
      <c r="D302" s="18" t="s">
        <v>236</v>
      </c>
      <c r="E302" s="17" t="s">
        <v>237</v>
      </c>
    </row>
    <row r="303" spans="1:5">
      <c r="A303" s="13">
        <v>12543</v>
      </c>
      <c r="B303" s="18">
        <v>1</v>
      </c>
      <c r="C303" s="18" t="s">
        <v>3522</v>
      </c>
      <c r="D303" s="18" t="s">
        <v>238</v>
      </c>
      <c r="E303" s="17" t="s">
        <v>239</v>
      </c>
    </row>
    <row r="304" spans="1:5">
      <c r="A304" s="13">
        <v>12546</v>
      </c>
      <c r="B304" s="18">
        <v>1</v>
      </c>
      <c r="C304" s="18" t="s">
        <v>3523</v>
      </c>
      <c r="D304" s="18" t="s">
        <v>240</v>
      </c>
      <c r="E304" s="17" t="s">
        <v>241</v>
      </c>
    </row>
    <row r="305" spans="1:6">
      <c r="A305" s="13">
        <v>12547</v>
      </c>
      <c r="B305" s="18">
        <v>1</v>
      </c>
      <c r="C305" s="18" t="s">
        <v>3524</v>
      </c>
      <c r="D305" s="18" t="s">
        <v>242</v>
      </c>
      <c r="E305" s="17" t="s">
        <v>243</v>
      </c>
    </row>
    <row r="306" spans="1:6">
      <c r="A306" s="13">
        <v>12548</v>
      </c>
      <c r="B306" s="18">
        <v>1</v>
      </c>
      <c r="C306" s="18" t="s">
        <v>3525</v>
      </c>
      <c r="D306" s="18" t="s">
        <v>244</v>
      </c>
      <c r="E306" s="17" t="s">
        <v>245</v>
      </c>
    </row>
    <row r="307" spans="1:6">
      <c r="A307" s="13">
        <v>12552</v>
      </c>
      <c r="B307" s="18">
        <v>1</v>
      </c>
      <c r="C307" s="18" t="s">
        <v>3526</v>
      </c>
      <c r="D307" s="18" t="s">
        <v>246</v>
      </c>
      <c r="E307" s="17" t="s">
        <v>247</v>
      </c>
    </row>
    <row r="308" spans="1:6">
      <c r="A308" s="13">
        <v>12553</v>
      </c>
      <c r="B308" s="18">
        <v>1</v>
      </c>
      <c r="C308" s="18" t="s">
        <v>3527</v>
      </c>
      <c r="D308" s="18" t="s">
        <v>248</v>
      </c>
      <c r="E308" s="17" t="s">
        <v>249</v>
      </c>
    </row>
    <row r="309" spans="1:6">
      <c r="A309" s="13">
        <v>12554</v>
      </c>
      <c r="B309" s="18">
        <v>1</v>
      </c>
      <c r="C309" s="18" t="s">
        <v>3528</v>
      </c>
      <c r="D309" s="18" t="s">
        <v>250</v>
      </c>
      <c r="E309" s="17" t="s">
        <v>251</v>
      </c>
    </row>
    <row r="310" spans="1:6">
      <c r="A310" s="13">
        <v>12555</v>
      </c>
      <c r="B310" s="18">
        <v>1</v>
      </c>
      <c r="C310" s="18" t="s">
        <v>3529</v>
      </c>
      <c r="D310" s="18" t="s">
        <v>252</v>
      </c>
      <c r="E310" s="17" t="s">
        <v>253</v>
      </c>
    </row>
    <row r="311" spans="1:6">
      <c r="A311" s="13">
        <v>12556</v>
      </c>
      <c r="B311" s="18">
        <v>1</v>
      </c>
      <c r="C311" s="18" t="s">
        <v>3530</v>
      </c>
      <c r="D311" s="18" t="s">
        <v>254</v>
      </c>
      <c r="E311" s="17" t="s">
        <v>255</v>
      </c>
    </row>
    <row r="312" spans="1:6">
      <c r="A312" s="13">
        <v>12557</v>
      </c>
      <c r="B312" s="18">
        <v>1</v>
      </c>
      <c r="C312" s="18" t="s">
        <v>3531</v>
      </c>
      <c r="D312" s="18" t="s">
        <v>256</v>
      </c>
      <c r="E312" s="17" t="s">
        <v>257</v>
      </c>
    </row>
    <row r="313" spans="1:6">
      <c r="A313" s="13">
        <v>12558</v>
      </c>
      <c r="B313" s="18">
        <v>1</v>
      </c>
      <c r="C313" s="18" t="s">
        <v>3532</v>
      </c>
      <c r="D313" s="18" t="s">
        <v>258</v>
      </c>
      <c r="E313" s="17" t="s">
        <v>259</v>
      </c>
    </row>
    <row r="314" spans="1:6">
      <c r="A314" s="13">
        <v>12559</v>
      </c>
      <c r="B314" s="18">
        <v>1</v>
      </c>
      <c r="C314" s="18" t="s">
        <v>3533</v>
      </c>
      <c r="D314" s="18" t="s">
        <v>260</v>
      </c>
      <c r="E314" s="17" t="s">
        <v>261</v>
      </c>
    </row>
    <row r="315" spans="1:6">
      <c r="A315" s="13">
        <v>12562</v>
      </c>
      <c r="B315" s="18">
        <v>1</v>
      </c>
      <c r="C315" s="18" t="s">
        <v>3534</v>
      </c>
      <c r="D315" s="18" t="s">
        <v>262</v>
      </c>
      <c r="E315" s="17" t="s">
        <v>263</v>
      </c>
    </row>
    <row r="316" spans="1:6">
      <c r="A316" s="13">
        <v>12563</v>
      </c>
      <c r="B316" s="18">
        <v>1</v>
      </c>
      <c r="C316" s="18" t="s">
        <v>3535</v>
      </c>
      <c r="D316" s="18" t="s">
        <v>264</v>
      </c>
      <c r="E316" s="17" t="s">
        <v>265</v>
      </c>
    </row>
    <row r="317" spans="1:6">
      <c r="A317" s="132">
        <v>12600</v>
      </c>
      <c r="B317" s="161">
        <v>0</v>
      </c>
      <c r="C317" s="161" t="s">
        <v>10401</v>
      </c>
      <c r="D317" s="161" t="s">
        <v>4639</v>
      </c>
      <c r="E317" s="135" t="s">
        <v>10410</v>
      </c>
    </row>
    <row r="318" spans="1:6" s="251" customFormat="1">
      <c r="A318" s="177">
        <v>13000</v>
      </c>
      <c r="B318" s="178">
        <v>0</v>
      </c>
      <c r="C318" s="178" t="s">
        <v>6145</v>
      </c>
      <c r="D318" s="178" t="s">
        <v>4950</v>
      </c>
      <c r="E318" s="179" t="s">
        <v>4949</v>
      </c>
      <c r="F318" s="265"/>
    </row>
    <row r="319" spans="1:6">
      <c r="A319" s="22">
        <v>13100</v>
      </c>
      <c r="B319" s="22">
        <v>0</v>
      </c>
      <c r="C319" s="22" t="s">
        <v>10402</v>
      </c>
      <c r="D319" s="22" t="s">
        <v>4635</v>
      </c>
      <c r="E319" s="24" t="s">
        <v>10411</v>
      </c>
    </row>
    <row r="320" spans="1:6">
      <c r="A320" s="13">
        <v>15001</v>
      </c>
      <c r="B320" s="18">
        <v>1</v>
      </c>
      <c r="C320" s="18" t="s">
        <v>3536</v>
      </c>
      <c r="D320" s="18" t="s">
        <v>266</v>
      </c>
      <c r="E320" s="17" t="s">
        <v>267</v>
      </c>
    </row>
    <row r="321" spans="1:5">
      <c r="A321" s="13">
        <v>15002</v>
      </c>
      <c r="B321" s="18">
        <v>1</v>
      </c>
      <c r="C321" s="18" t="s">
        <v>3537</v>
      </c>
      <c r="D321" s="18" t="s">
        <v>268</v>
      </c>
      <c r="E321" s="17" t="s">
        <v>269</v>
      </c>
    </row>
    <row r="322" spans="1:5">
      <c r="A322" s="13">
        <v>15003</v>
      </c>
      <c r="B322" s="18">
        <v>1</v>
      </c>
      <c r="C322" s="18" t="s">
        <v>3538</v>
      </c>
      <c r="D322" s="18" t="s">
        <v>270</v>
      </c>
      <c r="E322" s="17" t="s">
        <v>271</v>
      </c>
    </row>
    <row r="323" spans="1:5">
      <c r="A323" s="13">
        <v>15004</v>
      </c>
      <c r="B323" s="18">
        <v>1</v>
      </c>
      <c r="C323" s="18" t="s">
        <v>3539</v>
      </c>
      <c r="D323" s="18" t="s">
        <v>272</v>
      </c>
      <c r="E323" s="17" t="s">
        <v>273</v>
      </c>
    </row>
    <row r="324" spans="1:5">
      <c r="A324" s="13">
        <v>15005</v>
      </c>
      <c r="B324" s="18">
        <v>1</v>
      </c>
      <c r="C324" s="18" t="s">
        <v>3540</v>
      </c>
      <c r="D324" s="18" t="s">
        <v>274</v>
      </c>
      <c r="E324" s="17" t="s">
        <v>275</v>
      </c>
    </row>
    <row r="325" spans="1:5">
      <c r="A325" s="13">
        <v>15006</v>
      </c>
      <c r="B325" s="18">
        <v>1</v>
      </c>
      <c r="C325" s="18" t="s">
        <v>3541</v>
      </c>
      <c r="D325" s="18" t="s">
        <v>276</v>
      </c>
      <c r="E325" s="17" t="s">
        <v>277</v>
      </c>
    </row>
    <row r="326" spans="1:5">
      <c r="A326" s="13">
        <v>15007</v>
      </c>
      <c r="B326" s="18">
        <v>1</v>
      </c>
      <c r="C326" s="18" t="s">
        <v>3542</v>
      </c>
      <c r="D326" s="18" t="s">
        <v>278</v>
      </c>
      <c r="E326" s="17" t="s">
        <v>279</v>
      </c>
    </row>
    <row r="327" spans="1:5">
      <c r="A327" s="13">
        <v>15008</v>
      </c>
      <c r="B327" s="18">
        <v>1</v>
      </c>
      <c r="C327" s="18" t="s">
        <v>3543</v>
      </c>
      <c r="D327" s="18" t="s">
        <v>280</v>
      </c>
      <c r="E327" s="17" t="s">
        <v>281</v>
      </c>
    </row>
    <row r="328" spans="1:5">
      <c r="A328" s="13">
        <v>15009</v>
      </c>
      <c r="B328" s="18">
        <v>1</v>
      </c>
      <c r="C328" s="18" t="s">
        <v>3544</v>
      </c>
      <c r="D328" s="18" t="s">
        <v>282</v>
      </c>
      <c r="E328" s="17" t="s">
        <v>283</v>
      </c>
    </row>
    <row r="329" spans="1:5">
      <c r="A329" s="13">
        <v>15010</v>
      </c>
      <c r="B329" s="18">
        <v>1</v>
      </c>
      <c r="C329" s="18" t="s">
        <v>3545</v>
      </c>
      <c r="D329" s="18" t="s">
        <v>284</v>
      </c>
      <c r="E329" s="17" t="s">
        <v>285</v>
      </c>
    </row>
    <row r="330" spans="1:5">
      <c r="A330" s="13">
        <v>15011</v>
      </c>
      <c r="B330" s="18">
        <v>1</v>
      </c>
      <c r="C330" s="18" t="s">
        <v>3546</v>
      </c>
      <c r="D330" s="18" t="s">
        <v>286</v>
      </c>
      <c r="E330" s="17" t="s">
        <v>287</v>
      </c>
    </row>
    <row r="331" spans="1:5">
      <c r="A331" s="13">
        <v>15012</v>
      </c>
      <c r="B331" s="18">
        <v>1</v>
      </c>
      <c r="C331" s="18" t="s">
        <v>3547</v>
      </c>
      <c r="D331" s="18" t="s">
        <v>288</v>
      </c>
      <c r="E331" s="17" t="s">
        <v>289</v>
      </c>
    </row>
    <row r="332" spans="1:5">
      <c r="A332" s="13">
        <v>15013</v>
      </c>
      <c r="B332" s="18">
        <v>1</v>
      </c>
      <c r="C332" s="18" t="s">
        <v>3548</v>
      </c>
      <c r="D332" s="18" t="s">
        <v>290</v>
      </c>
      <c r="E332" s="17" t="s">
        <v>291</v>
      </c>
    </row>
    <row r="333" spans="1:5">
      <c r="A333" s="13">
        <v>15014</v>
      </c>
      <c r="B333" s="18">
        <v>1</v>
      </c>
      <c r="C333" s="18" t="s">
        <v>3549</v>
      </c>
      <c r="D333" s="18" t="s">
        <v>292</v>
      </c>
      <c r="E333" s="17" t="s">
        <v>293</v>
      </c>
    </row>
    <row r="334" spans="1:5">
      <c r="A334" s="13">
        <v>15015</v>
      </c>
      <c r="B334" s="18">
        <v>1</v>
      </c>
      <c r="C334" s="18" t="s">
        <v>3550</v>
      </c>
      <c r="D334" s="18" t="s">
        <v>294</v>
      </c>
      <c r="E334" s="17" t="s">
        <v>295</v>
      </c>
    </row>
    <row r="335" spans="1:5">
      <c r="A335" s="13">
        <v>15016</v>
      </c>
      <c r="B335" s="18">
        <v>1</v>
      </c>
      <c r="C335" s="18" t="s">
        <v>3551</v>
      </c>
      <c r="D335" s="18" t="s">
        <v>296</v>
      </c>
      <c r="E335" s="17" t="s">
        <v>297</v>
      </c>
    </row>
    <row r="336" spans="1:5">
      <c r="A336" s="13">
        <v>15017</v>
      </c>
      <c r="B336" s="18">
        <v>1</v>
      </c>
      <c r="C336" s="18" t="s">
        <v>3552</v>
      </c>
      <c r="D336" s="18" t="s">
        <v>298</v>
      </c>
      <c r="E336" s="17" t="s">
        <v>299</v>
      </c>
    </row>
    <row r="337" spans="1:5">
      <c r="A337" s="13">
        <v>15018</v>
      </c>
      <c r="B337" s="18">
        <v>1</v>
      </c>
      <c r="C337" s="18" t="s">
        <v>3553</v>
      </c>
      <c r="D337" s="18" t="s">
        <v>300</v>
      </c>
      <c r="E337" s="17" t="s">
        <v>301</v>
      </c>
    </row>
    <row r="338" spans="1:5">
      <c r="A338" s="13">
        <v>15019</v>
      </c>
      <c r="B338" s="18">
        <v>1</v>
      </c>
      <c r="C338" s="18" t="s">
        <v>3554</v>
      </c>
      <c r="D338" s="18" t="s">
        <v>302</v>
      </c>
      <c r="E338" s="17" t="s">
        <v>303</v>
      </c>
    </row>
    <row r="339" spans="1:5">
      <c r="A339" s="13">
        <v>15020</v>
      </c>
      <c r="B339" s="18">
        <v>1</v>
      </c>
      <c r="C339" s="18" t="s">
        <v>3555</v>
      </c>
      <c r="D339" s="18" t="s">
        <v>304</v>
      </c>
      <c r="E339" s="17" t="s">
        <v>305</v>
      </c>
    </row>
    <row r="340" spans="1:5">
      <c r="A340" s="13">
        <v>15021</v>
      </c>
      <c r="B340" s="18">
        <v>1</v>
      </c>
      <c r="C340" s="18" t="s">
        <v>3556</v>
      </c>
      <c r="D340" s="18" t="s">
        <v>306</v>
      </c>
      <c r="E340" s="17" t="s">
        <v>307</v>
      </c>
    </row>
    <row r="341" spans="1:5">
      <c r="A341" s="13">
        <v>15022</v>
      </c>
      <c r="B341" s="18">
        <v>1</v>
      </c>
      <c r="C341" s="18" t="s">
        <v>3557</v>
      </c>
      <c r="D341" s="18" t="s">
        <v>308</v>
      </c>
      <c r="E341" s="17" t="s">
        <v>309</v>
      </c>
    </row>
    <row r="342" spans="1:5">
      <c r="A342" s="13">
        <v>15023</v>
      </c>
      <c r="B342" s="18">
        <v>1</v>
      </c>
      <c r="C342" s="18" t="s">
        <v>3558</v>
      </c>
      <c r="D342" s="18" t="s">
        <v>310</v>
      </c>
      <c r="E342" s="17" t="s">
        <v>311</v>
      </c>
    </row>
    <row r="343" spans="1:5">
      <c r="A343" s="13">
        <v>15024</v>
      </c>
      <c r="B343" s="18">
        <v>1</v>
      </c>
      <c r="C343" s="18" t="s">
        <v>3559</v>
      </c>
      <c r="D343" s="18" t="s">
        <v>312</v>
      </c>
      <c r="E343" s="17" t="s">
        <v>313</v>
      </c>
    </row>
    <row r="344" spans="1:5">
      <c r="A344" s="13">
        <v>15025</v>
      </c>
      <c r="B344" s="18">
        <v>1</v>
      </c>
      <c r="C344" s="18" t="s">
        <v>3560</v>
      </c>
      <c r="D344" s="18" t="s">
        <v>314</v>
      </c>
      <c r="E344" s="17" t="s">
        <v>315</v>
      </c>
    </row>
    <row r="345" spans="1:5">
      <c r="A345" s="13">
        <v>15026</v>
      </c>
      <c r="B345" s="18">
        <v>1</v>
      </c>
      <c r="C345" s="18" t="s">
        <v>3561</v>
      </c>
      <c r="D345" s="18" t="s">
        <v>316</v>
      </c>
      <c r="E345" s="17" t="s">
        <v>317</v>
      </c>
    </row>
    <row r="346" spans="1:5">
      <c r="A346" s="13">
        <v>15027</v>
      </c>
      <c r="B346" s="18">
        <v>1</v>
      </c>
      <c r="C346" s="18" t="s">
        <v>3562</v>
      </c>
      <c r="D346" s="18" t="s">
        <v>318</v>
      </c>
      <c r="E346" s="17" t="s">
        <v>319</v>
      </c>
    </row>
    <row r="347" spans="1:5">
      <c r="A347" s="13">
        <v>15028</v>
      </c>
      <c r="B347" s="18">
        <v>1</v>
      </c>
      <c r="C347" s="18" t="s">
        <v>3563</v>
      </c>
      <c r="D347" s="18" t="s">
        <v>320</v>
      </c>
      <c r="E347" s="17" t="s">
        <v>321</v>
      </c>
    </row>
    <row r="348" spans="1:5">
      <c r="A348" s="13">
        <v>15029</v>
      </c>
      <c r="B348" s="18">
        <v>1</v>
      </c>
      <c r="C348" s="18" t="s">
        <v>3564</v>
      </c>
      <c r="D348" s="18" t="s">
        <v>322</v>
      </c>
      <c r="E348" s="17" t="s">
        <v>323</v>
      </c>
    </row>
    <row r="349" spans="1:5">
      <c r="A349" s="13">
        <v>15030</v>
      </c>
      <c r="B349" s="18">
        <v>1</v>
      </c>
      <c r="C349" s="18" t="s">
        <v>3565</v>
      </c>
      <c r="D349" s="18" t="s">
        <v>324</v>
      </c>
      <c r="E349" s="17" t="s">
        <v>325</v>
      </c>
    </row>
    <row r="350" spans="1:5">
      <c r="A350" s="13">
        <v>15031</v>
      </c>
      <c r="B350" s="18">
        <v>1</v>
      </c>
      <c r="C350" s="18" t="s">
        <v>3566</v>
      </c>
      <c r="D350" s="18" t="s">
        <v>326</v>
      </c>
      <c r="E350" s="17" t="s">
        <v>327</v>
      </c>
    </row>
    <row r="351" spans="1:5">
      <c r="A351" s="13">
        <v>15032</v>
      </c>
      <c r="B351" s="18">
        <v>1</v>
      </c>
      <c r="C351" s="18" t="s">
        <v>3567</v>
      </c>
      <c r="D351" s="18" t="s">
        <v>328</v>
      </c>
      <c r="E351" s="17" t="s">
        <v>329</v>
      </c>
    </row>
    <row r="352" spans="1:5">
      <c r="A352" s="13">
        <v>17501</v>
      </c>
      <c r="B352" s="18">
        <v>1</v>
      </c>
      <c r="C352" s="18" t="s">
        <v>3568</v>
      </c>
      <c r="D352" s="18" t="s">
        <v>330</v>
      </c>
      <c r="E352" s="17" t="s">
        <v>331</v>
      </c>
    </row>
    <row r="353" spans="1:5">
      <c r="A353" s="13">
        <v>17502</v>
      </c>
      <c r="B353" s="18">
        <v>1</v>
      </c>
      <c r="C353" s="18" t="s">
        <v>3569</v>
      </c>
      <c r="D353" s="18" t="s">
        <v>332</v>
      </c>
      <c r="E353" s="17" t="s">
        <v>333</v>
      </c>
    </row>
    <row r="354" spans="1:5">
      <c r="A354" s="13">
        <v>17503</v>
      </c>
      <c r="B354" s="18">
        <v>1</v>
      </c>
      <c r="C354" s="18" t="s">
        <v>3570</v>
      </c>
      <c r="D354" s="18" t="s">
        <v>334</v>
      </c>
      <c r="E354" s="17" t="s">
        <v>335</v>
      </c>
    </row>
    <row r="355" spans="1:5">
      <c r="A355" s="13">
        <v>17504</v>
      </c>
      <c r="B355" s="18">
        <v>1</v>
      </c>
      <c r="C355" s="18" t="s">
        <v>3571</v>
      </c>
      <c r="D355" s="18" t="s">
        <v>336</v>
      </c>
      <c r="E355" s="17" t="s">
        <v>337</v>
      </c>
    </row>
    <row r="356" spans="1:5">
      <c r="A356" s="18">
        <v>17505</v>
      </c>
      <c r="B356" s="18">
        <v>1</v>
      </c>
      <c r="C356" s="18" t="s">
        <v>3572</v>
      </c>
      <c r="D356" s="18" t="s">
        <v>338</v>
      </c>
      <c r="E356" s="17" t="s">
        <v>339</v>
      </c>
    </row>
    <row r="357" spans="1:5">
      <c r="A357" s="18">
        <v>17506</v>
      </c>
      <c r="B357" s="18">
        <v>1</v>
      </c>
      <c r="C357" s="18" t="s">
        <v>3573</v>
      </c>
      <c r="D357" s="18" t="s">
        <v>340</v>
      </c>
      <c r="E357" s="17" t="s">
        <v>341</v>
      </c>
    </row>
    <row r="358" spans="1:5">
      <c r="A358" s="18">
        <v>17507</v>
      </c>
      <c r="B358" s="18">
        <v>1</v>
      </c>
      <c r="C358" s="18" t="s">
        <v>3574</v>
      </c>
      <c r="D358" s="18" t="s">
        <v>342</v>
      </c>
      <c r="E358" s="17" t="s">
        <v>343</v>
      </c>
    </row>
    <row r="359" spans="1:5">
      <c r="A359" s="18">
        <v>17508</v>
      </c>
      <c r="B359" s="18">
        <v>1</v>
      </c>
      <c r="C359" s="18" t="s">
        <v>3575</v>
      </c>
      <c r="D359" s="18" t="s">
        <v>344</v>
      </c>
      <c r="E359" s="17" t="s">
        <v>345</v>
      </c>
    </row>
    <row r="360" spans="1:5">
      <c r="A360" s="18">
        <v>17509</v>
      </c>
      <c r="B360" s="18">
        <v>1</v>
      </c>
      <c r="C360" s="18" t="s">
        <v>3576</v>
      </c>
      <c r="D360" s="18" t="s">
        <v>346</v>
      </c>
      <c r="E360" s="17" t="s">
        <v>347</v>
      </c>
    </row>
    <row r="361" spans="1:5">
      <c r="A361" s="18">
        <v>17510</v>
      </c>
      <c r="B361" s="18">
        <v>1</v>
      </c>
      <c r="C361" s="18" t="s">
        <v>3577</v>
      </c>
      <c r="D361" s="18" t="s">
        <v>348</v>
      </c>
      <c r="E361" s="17" t="s">
        <v>349</v>
      </c>
    </row>
    <row r="362" spans="1:5">
      <c r="A362" s="18">
        <v>17511</v>
      </c>
      <c r="B362" s="18">
        <v>1</v>
      </c>
      <c r="C362" s="18" t="s">
        <v>3578</v>
      </c>
      <c r="D362" s="18" t="s">
        <v>350</v>
      </c>
      <c r="E362" s="17" t="s">
        <v>351</v>
      </c>
    </row>
    <row r="363" spans="1:5">
      <c r="A363" s="18">
        <v>17512</v>
      </c>
      <c r="B363" s="18">
        <v>1</v>
      </c>
      <c r="C363" s="18" t="s">
        <v>3579</v>
      </c>
      <c r="D363" s="18" t="s">
        <v>352</v>
      </c>
      <c r="E363" s="17" t="s">
        <v>353</v>
      </c>
    </row>
    <row r="364" spans="1:5">
      <c r="A364" s="18">
        <v>17513</v>
      </c>
      <c r="B364" s="18">
        <v>1</v>
      </c>
      <c r="C364" s="18" t="s">
        <v>3580</v>
      </c>
      <c r="D364" s="18" t="s">
        <v>354</v>
      </c>
      <c r="E364" s="17" t="s">
        <v>355</v>
      </c>
    </row>
    <row r="365" spans="1:5">
      <c r="A365" s="18">
        <v>17514</v>
      </c>
      <c r="B365" s="18">
        <v>1</v>
      </c>
      <c r="C365" s="18" t="s">
        <v>3581</v>
      </c>
      <c r="D365" s="18" t="s">
        <v>356</v>
      </c>
      <c r="E365" s="17" t="s">
        <v>357</v>
      </c>
    </row>
    <row r="366" spans="1:5">
      <c r="A366" s="18">
        <v>17515</v>
      </c>
      <c r="B366" s="18">
        <v>1</v>
      </c>
      <c r="C366" s="18" t="s">
        <v>3582</v>
      </c>
      <c r="D366" s="18" t="s">
        <v>358</v>
      </c>
      <c r="E366" s="17" t="s">
        <v>359</v>
      </c>
    </row>
    <row r="367" spans="1:5">
      <c r="A367" s="18">
        <v>17516</v>
      </c>
      <c r="B367" s="18">
        <v>1</v>
      </c>
      <c r="C367" s="18" t="s">
        <v>3583</v>
      </c>
      <c r="D367" s="18" t="s">
        <v>360</v>
      </c>
      <c r="E367" s="17" t="s">
        <v>361</v>
      </c>
    </row>
    <row r="368" spans="1:5">
      <c r="A368" s="18">
        <v>17517</v>
      </c>
      <c r="B368" s="18">
        <v>1</v>
      </c>
      <c r="C368" s="18" t="s">
        <v>3584</v>
      </c>
      <c r="D368" s="18" t="s">
        <v>362</v>
      </c>
      <c r="E368" s="17" t="s">
        <v>363</v>
      </c>
    </row>
    <row r="369" spans="1:5">
      <c r="A369" s="18">
        <v>17518</v>
      </c>
      <c r="B369" s="18">
        <v>1</v>
      </c>
      <c r="C369" s="18" t="s">
        <v>3585</v>
      </c>
      <c r="D369" s="18" t="s">
        <v>364</v>
      </c>
      <c r="E369" s="17" t="s">
        <v>365</v>
      </c>
    </row>
    <row r="370" spans="1:5">
      <c r="A370" s="18">
        <v>17519</v>
      </c>
      <c r="B370" s="18">
        <v>1</v>
      </c>
      <c r="C370" s="18" t="s">
        <v>3586</v>
      </c>
      <c r="D370" s="18" t="s">
        <v>366</v>
      </c>
      <c r="E370" s="17" t="s">
        <v>367</v>
      </c>
    </row>
    <row r="371" spans="1:5">
      <c r="A371" s="18">
        <v>17520</v>
      </c>
      <c r="B371" s="18">
        <v>1</v>
      </c>
      <c r="C371" s="18" t="s">
        <v>3587</v>
      </c>
      <c r="D371" s="18" t="s">
        <v>368</v>
      </c>
      <c r="E371" s="17" t="s">
        <v>369</v>
      </c>
    </row>
    <row r="372" spans="1:5">
      <c r="A372" s="18">
        <v>17521</v>
      </c>
      <c r="B372" s="18">
        <v>1</v>
      </c>
      <c r="C372" s="18" t="s">
        <v>3588</v>
      </c>
      <c r="D372" s="18" t="s">
        <v>370</v>
      </c>
      <c r="E372" s="17" t="s">
        <v>371</v>
      </c>
    </row>
    <row r="373" spans="1:5">
      <c r="A373" s="18">
        <v>17522</v>
      </c>
      <c r="B373" s="18">
        <v>1</v>
      </c>
      <c r="C373" s="18" t="s">
        <v>3589</v>
      </c>
      <c r="D373" s="18" t="s">
        <v>372</v>
      </c>
      <c r="E373" s="17" t="s">
        <v>373</v>
      </c>
    </row>
    <row r="374" spans="1:5">
      <c r="A374" s="18">
        <v>17523</v>
      </c>
      <c r="B374" s="18">
        <v>1</v>
      </c>
      <c r="C374" s="18" t="s">
        <v>3590</v>
      </c>
      <c r="D374" s="18" t="s">
        <v>374</v>
      </c>
      <c r="E374" s="17" t="s">
        <v>375</v>
      </c>
    </row>
    <row r="375" spans="1:5">
      <c r="A375" s="18">
        <v>17524</v>
      </c>
      <c r="B375" s="18">
        <v>1</v>
      </c>
      <c r="C375" s="18" t="s">
        <v>3591</v>
      </c>
      <c r="D375" s="18" t="s">
        <v>376</v>
      </c>
      <c r="E375" s="17" t="s">
        <v>377</v>
      </c>
    </row>
    <row r="376" spans="1:5">
      <c r="A376" s="18">
        <v>17525</v>
      </c>
      <c r="B376" s="18">
        <v>1</v>
      </c>
      <c r="C376" s="18" t="s">
        <v>3592</v>
      </c>
      <c r="D376" s="18" t="s">
        <v>378</v>
      </c>
      <c r="E376" s="17" t="s">
        <v>379</v>
      </c>
    </row>
    <row r="377" spans="1:5">
      <c r="A377" s="18">
        <v>17526</v>
      </c>
      <c r="B377" s="18">
        <v>1</v>
      </c>
      <c r="C377" s="18" t="s">
        <v>3593</v>
      </c>
      <c r="D377" s="18" t="s">
        <v>380</v>
      </c>
      <c r="E377" s="17" t="s">
        <v>381</v>
      </c>
    </row>
    <row r="378" spans="1:5">
      <c r="A378" s="18">
        <v>17527</v>
      </c>
      <c r="B378" s="18">
        <v>1</v>
      </c>
      <c r="C378" s="18" t="s">
        <v>3594</v>
      </c>
      <c r="D378" s="18" t="s">
        <v>382</v>
      </c>
      <c r="E378" s="17" t="s">
        <v>383</v>
      </c>
    </row>
    <row r="379" spans="1:5">
      <c r="A379" s="18">
        <v>17528</v>
      </c>
      <c r="B379" s="18">
        <v>1</v>
      </c>
      <c r="C379" s="18" t="s">
        <v>3595</v>
      </c>
      <c r="D379" s="18" t="s">
        <v>384</v>
      </c>
      <c r="E379" s="17" t="s">
        <v>385</v>
      </c>
    </row>
    <row r="380" spans="1:5">
      <c r="A380" s="18">
        <v>20001</v>
      </c>
      <c r="B380" s="18">
        <v>1</v>
      </c>
      <c r="C380" s="18" t="s">
        <v>3596</v>
      </c>
      <c r="D380" s="18" t="s">
        <v>386</v>
      </c>
      <c r="E380" s="17" t="s">
        <v>387</v>
      </c>
    </row>
    <row r="381" spans="1:5">
      <c r="A381" s="18">
        <v>20002</v>
      </c>
      <c r="B381" s="18">
        <v>1</v>
      </c>
      <c r="C381" s="18" t="s">
        <v>3597</v>
      </c>
      <c r="D381" s="18" t="s">
        <v>388</v>
      </c>
      <c r="E381" s="17" t="s">
        <v>389</v>
      </c>
    </row>
    <row r="382" spans="1:5">
      <c r="A382" s="18">
        <v>20003</v>
      </c>
      <c r="B382" s="18">
        <v>1</v>
      </c>
      <c r="C382" s="18" t="s">
        <v>3598</v>
      </c>
      <c r="D382" s="18" t="s">
        <v>390</v>
      </c>
      <c r="E382" s="17" t="s">
        <v>391</v>
      </c>
    </row>
    <row r="383" spans="1:5">
      <c r="A383" s="18">
        <v>20004</v>
      </c>
      <c r="B383" s="18">
        <v>1</v>
      </c>
      <c r="C383" s="18" t="s">
        <v>3599</v>
      </c>
      <c r="D383" s="18" t="s">
        <v>392</v>
      </c>
      <c r="E383" s="17" t="s">
        <v>393</v>
      </c>
    </row>
    <row r="384" spans="1:5">
      <c r="A384" s="18">
        <v>20005</v>
      </c>
      <c r="B384" s="18">
        <v>1</v>
      </c>
      <c r="C384" s="18" t="s">
        <v>3600</v>
      </c>
      <c r="D384" s="18" t="s">
        <v>394</v>
      </c>
      <c r="E384" s="17" t="s">
        <v>395</v>
      </c>
    </row>
    <row r="385" spans="1:5">
      <c r="A385" s="18">
        <v>20006</v>
      </c>
      <c r="B385" s="18">
        <v>1</v>
      </c>
      <c r="C385" s="18" t="s">
        <v>3601</v>
      </c>
      <c r="D385" s="18" t="s">
        <v>396</v>
      </c>
      <c r="E385" s="17" t="s">
        <v>397</v>
      </c>
    </row>
    <row r="386" spans="1:5">
      <c r="A386" s="18">
        <v>20007</v>
      </c>
      <c r="B386" s="18">
        <v>1</v>
      </c>
      <c r="C386" s="18" t="s">
        <v>3602</v>
      </c>
      <c r="D386" s="18" t="s">
        <v>398</v>
      </c>
      <c r="E386" s="17" t="s">
        <v>399</v>
      </c>
    </row>
    <row r="387" spans="1:5">
      <c r="A387" s="18">
        <v>20008</v>
      </c>
      <c r="B387" s="18">
        <v>1</v>
      </c>
      <c r="C387" s="18" t="s">
        <v>3603</v>
      </c>
      <c r="D387" s="18" t="s">
        <v>400</v>
      </c>
      <c r="E387" s="17" t="s">
        <v>401</v>
      </c>
    </row>
    <row r="388" spans="1:5">
      <c r="A388" s="19">
        <v>20009</v>
      </c>
      <c r="B388" s="19">
        <v>1</v>
      </c>
      <c r="C388" s="19" t="s">
        <v>3604</v>
      </c>
      <c r="D388" s="19" t="s">
        <v>402</v>
      </c>
      <c r="E388" s="21" t="s">
        <v>403</v>
      </c>
    </row>
    <row r="389" spans="1:5">
      <c r="A389" s="19">
        <v>20010</v>
      </c>
      <c r="B389" s="19">
        <v>1</v>
      </c>
      <c r="C389" s="19" t="s">
        <v>3605</v>
      </c>
      <c r="D389" s="19" t="s">
        <v>404</v>
      </c>
      <c r="E389" s="21" t="s">
        <v>405</v>
      </c>
    </row>
    <row r="390" spans="1:5">
      <c r="A390" s="18">
        <v>20011</v>
      </c>
      <c r="B390" s="18">
        <v>1</v>
      </c>
      <c r="C390" s="18" t="s">
        <v>3606</v>
      </c>
      <c r="D390" s="18" t="s">
        <v>406</v>
      </c>
      <c r="E390" s="17" t="s">
        <v>407</v>
      </c>
    </row>
    <row r="391" spans="1:5">
      <c r="A391" s="18">
        <v>20012</v>
      </c>
      <c r="B391" s="18">
        <v>1</v>
      </c>
      <c r="C391" s="18" t="s">
        <v>3607</v>
      </c>
      <c r="D391" s="18" t="s">
        <v>408</v>
      </c>
      <c r="E391" s="17" t="s">
        <v>409</v>
      </c>
    </row>
    <row r="392" spans="1:5">
      <c r="A392" s="18">
        <v>20013</v>
      </c>
      <c r="B392" s="18">
        <v>1</v>
      </c>
      <c r="C392" s="18" t="s">
        <v>3608</v>
      </c>
      <c r="D392" s="18" t="s">
        <v>410</v>
      </c>
      <c r="E392" s="17" t="s">
        <v>411</v>
      </c>
    </row>
    <row r="393" spans="1:5">
      <c r="A393" s="18">
        <v>20014</v>
      </c>
      <c r="B393" s="18">
        <v>1</v>
      </c>
      <c r="C393" s="18" t="s">
        <v>3609</v>
      </c>
      <c r="D393" s="18" t="s">
        <v>412</v>
      </c>
      <c r="E393" s="17" t="s">
        <v>413</v>
      </c>
    </row>
    <row r="394" spans="1:5">
      <c r="A394" s="19">
        <v>20015</v>
      </c>
      <c r="B394" s="19">
        <v>1</v>
      </c>
      <c r="C394" s="19" t="s">
        <v>3610</v>
      </c>
      <c r="D394" s="19" t="s">
        <v>414</v>
      </c>
      <c r="E394" s="21" t="s">
        <v>415</v>
      </c>
    </row>
    <row r="395" spans="1:5">
      <c r="A395" s="19">
        <v>20016</v>
      </c>
      <c r="B395" s="19">
        <v>1</v>
      </c>
      <c r="C395" s="19" t="s">
        <v>3611</v>
      </c>
      <c r="D395" s="19" t="s">
        <v>416</v>
      </c>
      <c r="E395" s="21" t="s">
        <v>417</v>
      </c>
    </row>
    <row r="396" spans="1:5">
      <c r="A396" s="18">
        <v>21001</v>
      </c>
      <c r="B396" s="18">
        <v>1</v>
      </c>
      <c r="C396" s="18" t="s">
        <v>3612</v>
      </c>
      <c r="D396" s="18" t="s">
        <v>7033</v>
      </c>
      <c r="E396" s="17" t="s">
        <v>419</v>
      </c>
    </row>
    <row r="397" spans="1:5">
      <c r="A397" s="18">
        <v>21002</v>
      </c>
      <c r="B397" s="18">
        <v>1</v>
      </c>
      <c r="C397" s="18" t="s">
        <v>3613</v>
      </c>
      <c r="D397" s="18" t="s">
        <v>7034</v>
      </c>
      <c r="E397" s="17" t="s">
        <v>421</v>
      </c>
    </row>
    <row r="398" spans="1:5">
      <c r="A398" s="18">
        <v>21003</v>
      </c>
      <c r="B398" s="18">
        <v>1</v>
      </c>
      <c r="C398" s="18" t="s">
        <v>3614</v>
      </c>
      <c r="D398" s="18" t="s">
        <v>7035</v>
      </c>
      <c r="E398" s="17" t="s">
        <v>423</v>
      </c>
    </row>
    <row r="399" spans="1:5">
      <c r="A399" s="18">
        <v>22501</v>
      </c>
      <c r="B399" s="18">
        <v>1</v>
      </c>
      <c r="C399" s="18" t="s">
        <v>3615</v>
      </c>
      <c r="D399" s="18" t="s">
        <v>424</v>
      </c>
      <c r="E399" s="17" t="s">
        <v>425</v>
      </c>
    </row>
    <row r="400" spans="1:5">
      <c r="A400" s="18">
        <v>22502</v>
      </c>
      <c r="B400" s="18">
        <v>1</v>
      </c>
      <c r="C400" s="18" t="s">
        <v>3616</v>
      </c>
      <c r="D400" s="18" t="s">
        <v>426</v>
      </c>
      <c r="E400" s="17" t="s">
        <v>427</v>
      </c>
    </row>
    <row r="401" spans="1:5">
      <c r="A401" s="18">
        <v>22503</v>
      </c>
      <c r="B401" s="18">
        <v>1</v>
      </c>
      <c r="C401" s="18" t="s">
        <v>3617</v>
      </c>
      <c r="D401" s="18" t="s">
        <v>428</v>
      </c>
      <c r="E401" s="17" t="s">
        <v>429</v>
      </c>
    </row>
    <row r="402" spans="1:5">
      <c r="A402" s="18">
        <v>22504</v>
      </c>
      <c r="B402" s="18">
        <v>1</v>
      </c>
      <c r="C402" s="18" t="s">
        <v>3618</v>
      </c>
      <c r="D402" s="18" t="s">
        <v>430</v>
      </c>
      <c r="E402" s="17" t="s">
        <v>431</v>
      </c>
    </row>
    <row r="403" spans="1:5">
      <c r="A403" s="18">
        <v>22505</v>
      </c>
      <c r="B403" s="18">
        <v>1</v>
      </c>
      <c r="C403" s="18" t="s">
        <v>3619</v>
      </c>
      <c r="D403" s="18" t="s">
        <v>432</v>
      </c>
      <c r="E403" s="17" t="s">
        <v>433</v>
      </c>
    </row>
    <row r="404" spans="1:5">
      <c r="A404" s="18">
        <v>22506</v>
      </c>
      <c r="B404" s="18">
        <v>1</v>
      </c>
      <c r="C404" s="18" t="s">
        <v>3620</v>
      </c>
      <c r="D404" s="18" t="s">
        <v>434</v>
      </c>
      <c r="E404" s="17" t="s">
        <v>435</v>
      </c>
    </row>
    <row r="405" spans="1:5">
      <c r="A405" s="18">
        <v>22507</v>
      </c>
      <c r="B405" s="18">
        <v>1</v>
      </c>
      <c r="C405" s="18" t="s">
        <v>3621</v>
      </c>
      <c r="D405" s="18" t="s">
        <v>436</v>
      </c>
      <c r="E405" s="17" t="s">
        <v>9050</v>
      </c>
    </row>
    <row r="406" spans="1:5">
      <c r="A406" s="18">
        <v>22508</v>
      </c>
      <c r="B406" s="18">
        <v>1</v>
      </c>
      <c r="C406" s="18" t="s">
        <v>3622</v>
      </c>
      <c r="D406" s="18" t="s">
        <v>438</v>
      </c>
      <c r="E406" s="17" t="s">
        <v>9051</v>
      </c>
    </row>
    <row r="407" spans="1:5">
      <c r="A407" s="18">
        <v>22509</v>
      </c>
      <c r="B407" s="18">
        <v>1</v>
      </c>
      <c r="C407" s="18" t="s">
        <v>3623</v>
      </c>
      <c r="D407" s="18" t="s">
        <v>440</v>
      </c>
      <c r="E407" s="17" t="s">
        <v>9052</v>
      </c>
    </row>
    <row r="408" spans="1:5">
      <c r="A408" s="18">
        <v>22510</v>
      </c>
      <c r="B408" s="18">
        <v>1</v>
      </c>
      <c r="C408" s="18" t="s">
        <v>3624</v>
      </c>
      <c r="D408" s="18" t="s">
        <v>442</v>
      </c>
      <c r="E408" s="17" t="s">
        <v>9053</v>
      </c>
    </row>
    <row r="409" spans="1:5">
      <c r="A409" s="18">
        <v>22511</v>
      </c>
      <c r="B409" s="18">
        <v>1</v>
      </c>
      <c r="C409" s="18" t="s">
        <v>3625</v>
      </c>
      <c r="D409" s="18" t="s">
        <v>444</v>
      </c>
      <c r="E409" s="17" t="s">
        <v>9054</v>
      </c>
    </row>
    <row r="410" spans="1:5">
      <c r="A410" s="18">
        <v>22512</v>
      </c>
      <c r="B410" s="18">
        <v>1</v>
      </c>
      <c r="C410" s="18" t="s">
        <v>3626</v>
      </c>
      <c r="D410" s="18" t="s">
        <v>446</v>
      </c>
      <c r="E410" s="17" t="s">
        <v>9055</v>
      </c>
    </row>
    <row r="411" spans="1:5">
      <c r="A411" s="18">
        <v>22513</v>
      </c>
      <c r="B411" s="18">
        <v>1</v>
      </c>
      <c r="C411" s="18" t="s">
        <v>3627</v>
      </c>
      <c r="D411" s="18" t="s">
        <v>448</v>
      </c>
      <c r="E411" s="17" t="s">
        <v>449</v>
      </c>
    </row>
    <row r="412" spans="1:5">
      <c r="A412" s="18">
        <v>22514</v>
      </c>
      <c r="B412" s="18">
        <v>1</v>
      </c>
      <c r="C412" s="18" t="s">
        <v>3628</v>
      </c>
      <c r="D412" s="18" t="s">
        <v>450</v>
      </c>
      <c r="E412" s="17" t="s">
        <v>451</v>
      </c>
    </row>
    <row r="413" spans="1:5">
      <c r="A413" s="18">
        <v>22515</v>
      </c>
      <c r="B413" s="18">
        <v>1</v>
      </c>
      <c r="C413" s="18" t="s">
        <v>3629</v>
      </c>
      <c r="D413" s="18" t="s">
        <v>452</v>
      </c>
      <c r="E413" s="17" t="s">
        <v>453</v>
      </c>
    </row>
    <row r="414" spans="1:5">
      <c r="A414" s="18">
        <v>22516</v>
      </c>
      <c r="B414" s="18">
        <v>1</v>
      </c>
      <c r="C414" s="18" t="s">
        <v>3630</v>
      </c>
      <c r="D414" s="18" t="s">
        <v>454</v>
      </c>
      <c r="E414" s="17" t="s">
        <v>455</v>
      </c>
    </row>
    <row r="415" spans="1:5">
      <c r="A415" s="18">
        <v>22517</v>
      </c>
      <c r="B415" s="18">
        <v>1</v>
      </c>
      <c r="C415" s="18" t="s">
        <v>3631</v>
      </c>
      <c r="D415" s="18" t="s">
        <v>456</v>
      </c>
      <c r="E415" s="17" t="s">
        <v>457</v>
      </c>
    </row>
    <row r="416" spans="1:5">
      <c r="A416" s="18">
        <v>22518</v>
      </c>
      <c r="B416" s="18">
        <v>1</v>
      </c>
      <c r="C416" s="18" t="s">
        <v>3632</v>
      </c>
      <c r="D416" s="18" t="s">
        <v>458</v>
      </c>
      <c r="E416" s="17" t="s">
        <v>459</v>
      </c>
    </row>
    <row r="417" spans="1:5">
      <c r="A417" s="18">
        <v>22519</v>
      </c>
      <c r="B417" s="18">
        <v>1</v>
      </c>
      <c r="C417" s="18" t="s">
        <v>3633</v>
      </c>
      <c r="D417" s="18" t="s">
        <v>460</v>
      </c>
      <c r="E417" s="17" t="s">
        <v>461</v>
      </c>
    </row>
    <row r="418" spans="1:5">
      <c r="A418" s="18">
        <v>22520</v>
      </c>
      <c r="B418" s="18">
        <v>1</v>
      </c>
      <c r="C418" s="18" t="s">
        <v>3634</v>
      </c>
      <c r="D418" s="18" t="s">
        <v>462</v>
      </c>
      <c r="E418" s="17" t="s">
        <v>463</v>
      </c>
    </row>
    <row r="419" spans="1:5">
      <c r="A419" s="18">
        <v>22521</v>
      </c>
      <c r="B419" s="18">
        <v>1</v>
      </c>
      <c r="C419" s="18" t="s">
        <v>3635</v>
      </c>
      <c r="D419" s="18" t="s">
        <v>464</v>
      </c>
      <c r="E419" s="17" t="s">
        <v>465</v>
      </c>
    </row>
    <row r="420" spans="1:5">
      <c r="A420" s="18">
        <v>22522</v>
      </c>
      <c r="B420" s="18">
        <v>1</v>
      </c>
      <c r="C420" s="18" t="s">
        <v>3636</v>
      </c>
      <c r="D420" s="18" t="s">
        <v>466</v>
      </c>
      <c r="E420" s="17" t="s">
        <v>467</v>
      </c>
    </row>
    <row r="421" spans="1:5">
      <c r="A421" s="18">
        <v>22523</v>
      </c>
      <c r="B421" s="18">
        <v>1</v>
      </c>
      <c r="C421" s="18" t="s">
        <v>3637</v>
      </c>
      <c r="D421" s="18" t="s">
        <v>468</v>
      </c>
      <c r="E421" s="17" t="s">
        <v>469</v>
      </c>
    </row>
    <row r="422" spans="1:5">
      <c r="A422" s="18">
        <v>22524</v>
      </c>
      <c r="B422" s="18">
        <v>1</v>
      </c>
      <c r="C422" s="18" t="s">
        <v>3638</v>
      </c>
      <c r="D422" s="18" t="s">
        <v>470</v>
      </c>
      <c r="E422" s="17" t="s">
        <v>471</v>
      </c>
    </row>
    <row r="423" spans="1:5">
      <c r="A423" s="18">
        <v>22525</v>
      </c>
      <c r="B423" s="18">
        <v>1</v>
      </c>
      <c r="C423" s="18" t="s">
        <v>3639</v>
      </c>
      <c r="D423" s="18" t="s">
        <v>472</v>
      </c>
      <c r="E423" s="17" t="s">
        <v>473</v>
      </c>
    </row>
    <row r="424" spans="1:5">
      <c r="A424" s="18">
        <v>22526</v>
      </c>
      <c r="B424" s="18">
        <v>1</v>
      </c>
      <c r="C424" s="18" t="s">
        <v>3640</v>
      </c>
      <c r="D424" s="18" t="s">
        <v>474</v>
      </c>
      <c r="E424" s="17" t="s">
        <v>475</v>
      </c>
    </row>
    <row r="425" spans="1:5">
      <c r="A425" s="18">
        <v>22527</v>
      </c>
      <c r="B425" s="18">
        <v>1</v>
      </c>
      <c r="C425" s="18" t="s">
        <v>3641</v>
      </c>
      <c r="D425" s="18" t="s">
        <v>476</v>
      </c>
      <c r="E425" s="17" t="s">
        <v>477</v>
      </c>
    </row>
    <row r="426" spans="1:5">
      <c r="A426" s="18">
        <v>22528</v>
      </c>
      <c r="B426" s="18">
        <v>1</v>
      </c>
      <c r="C426" s="18" t="s">
        <v>3642</v>
      </c>
      <c r="D426" s="18" t="s">
        <v>478</v>
      </c>
      <c r="E426" s="17" t="s">
        <v>479</v>
      </c>
    </row>
    <row r="427" spans="1:5">
      <c r="A427" s="19">
        <v>22529</v>
      </c>
      <c r="B427" s="19">
        <v>1</v>
      </c>
      <c r="C427" s="19" t="s">
        <v>3643</v>
      </c>
      <c r="D427" s="19" t="s">
        <v>480</v>
      </c>
      <c r="E427" s="21" t="s">
        <v>481</v>
      </c>
    </row>
    <row r="428" spans="1:5">
      <c r="A428" s="19">
        <v>22530</v>
      </c>
      <c r="B428" s="19">
        <v>1</v>
      </c>
      <c r="C428" s="19" t="s">
        <v>3644</v>
      </c>
      <c r="D428" s="19" t="s">
        <v>482</v>
      </c>
      <c r="E428" s="21" t="s">
        <v>483</v>
      </c>
    </row>
    <row r="429" spans="1:5">
      <c r="A429" s="19">
        <v>22531</v>
      </c>
      <c r="B429" s="19">
        <v>1</v>
      </c>
      <c r="C429" s="19" t="s">
        <v>3645</v>
      </c>
      <c r="D429" s="19" t="s">
        <v>484</v>
      </c>
      <c r="E429" s="21" t="s">
        <v>485</v>
      </c>
    </row>
    <row r="430" spans="1:5">
      <c r="A430" s="19">
        <v>22532</v>
      </c>
      <c r="B430" s="19">
        <v>1</v>
      </c>
      <c r="C430" s="19" t="s">
        <v>3646</v>
      </c>
      <c r="D430" s="19" t="s">
        <v>486</v>
      </c>
      <c r="E430" s="21" t="s">
        <v>487</v>
      </c>
    </row>
    <row r="431" spans="1:5">
      <c r="A431" s="19">
        <v>22533</v>
      </c>
      <c r="B431" s="19">
        <v>1</v>
      </c>
      <c r="C431" s="19" t="s">
        <v>3647</v>
      </c>
      <c r="D431" s="19" t="s">
        <v>488</v>
      </c>
      <c r="E431" s="21" t="s">
        <v>489</v>
      </c>
    </row>
    <row r="432" spans="1:5">
      <c r="A432" s="19">
        <v>22534</v>
      </c>
      <c r="B432" s="19">
        <v>1</v>
      </c>
      <c r="C432" s="19" t="s">
        <v>3648</v>
      </c>
      <c r="D432" s="19" t="s">
        <v>490</v>
      </c>
      <c r="E432" s="21" t="s">
        <v>491</v>
      </c>
    </row>
    <row r="433" spans="1:5">
      <c r="A433" s="19">
        <v>22535</v>
      </c>
      <c r="B433" s="19">
        <v>1</v>
      </c>
      <c r="C433" s="19" t="s">
        <v>3649</v>
      </c>
      <c r="D433" s="19" t="s">
        <v>492</v>
      </c>
      <c r="E433" s="21" t="s">
        <v>493</v>
      </c>
    </row>
    <row r="434" spans="1:5">
      <c r="A434" s="19">
        <v>22536</v>
      </c>
      <c r="B434" s="19">
        <v>1</v>
      </c>
      <c r="C434" s="19" t="s">
        <v>3650</v>
      </c>
      <c r="D434" s="19" t="s">
        <v>494</v>
      </c>
      <c r="E434" s="21" t="s">
        <v>495</v>
      </c>
    </row>
    <row r="435" spans="1:5">
      <c r="A435" s="18">
        <v>22537</v>
      </c>
      <c r="B435" s="18">
        <v>1</v>
      </c>
      <c r="C435" s="18" t="s">
        <v>3651</v>
      </c>
      <c r="D435" s="18" t="s">
        <v>496</v>
      </c>
      <c r="E435" s="17" t="s">
        <v>497</v>
      </c>
    </row>
    <row r="436" spans="1:5">
      <c r="A436" s="18">
        <v>22538</v>
      </c>
      <c r="B436" s="18">
        <v>1</v>
      </c>
      <c r="C436" s="18" t="s">
        <v>3652</v>
      </c>
      <c r="D436" s="18" t="s">
        <v>498</v>
      </c>
      <c r="E436" s="17" t="s">
        <v>499</v>
      </c>
    </row>
    <row r="437" spans="1:5">
      <c r="A437" s="18">
        <v>22539</v>
      </c>
      <c r="B437" s="18">
        <v>1</v>
      </c>
      <c r="C437" s="18" t="s">
        <v>3653</v>
      </c>
      <c r="D437" s="18" t="s">
        <v>500</v>
      </c>
      <c r="E437" s="17" t="s">
        <v>501</v>
      </c>
    </row>
    <row r="438" spans="1:5">
      <c r="A438" s="18">
        <v>22540</v>
      </c>
      <c r="B438" s="18">
        <v>1</v>
      </c>
      <c r="C438" s="18" t="s">
        <v>3654</v>
      </c>
      <c r="D438" s="18" t="s">
        <v>502</v>
      </c>
      <c r="E438" s="17" t="s">
        <v>503</v>
      </c>
    </row>
    <row r="439" spans="1:5">
      <c r="A439" s="18">
        <v>22541</v>
      </c>
      <c r="B439" s="18">
        <v>1</v>
      </c>
      <c r="C439" s="18" t="s">
        <v>3655</v>
      </c>
      <c r="D439" s="18" t="s">
        <v>504</v>
      </c>
      <c r="E439" s="17" t="s">
        <v>505</v>
      </c>
    </row>
    <row r="440" spans="1:5">
      <c r="A440" s="18">
        <v>22542</v>
      </c>
      <c r="B440" s="18">
        <v>1</v>
      </c>
      <c r="C440" s="18" t="s">
        <v>3656</v>
      </c>
      <c r="D440" s="18" t="s">
        <v>506</v>
      </c>
      <c r="E440" s="17" t="s">
        <v>507</v>
      </c>
    </row>
    <row r="441" spans="1:5">
      <c r="A441" s="18">
        <v>22543</v>
      </c>
      <c r="B441" s="18">
        <v>1</v>
      </c>
      <c r="C441" s="18" t="s">
        <v>3657</v>
      </c>
      <c r="D441" s="18" t="s">
        <v>508</v>
      </c>
      <c r="E441" s="17" t="s">
        <v>509</v>
      </c>
    </row>
    <row r="442" spans="1:5">
      <c r="A442" s="18">
        <v>22544</v>
      </c>
      <c r="B442" s="18">
        <v>1</v>
      </c>
      <c r="C442" s="18" t="s">
        <v>3658</v>
      </c>
      <c r="D442" s="18" t="s">
        <v>510</v>
      </c>
      <c r="E442" s="17" t="s">
        <v>511</v>
      </c>
    </row>
    <row r="443" spans="1:5">
      <c r="A443" s="18">
        <v>22545</v>
      </c>
      <c r="B443" s="18">
        <v>1</v>
      </c>
      <c r="C443" s="18" t="s">
        <v>3659</v>
      </c>
      <c r="D443" s="18" t="s">
        <v>512</v>
      </c>
      <c r="E443" s="17" t="s">
        <v>513</v>
      </c>
    </row>
    <row r="444" spans="1:5">
      <c r="A444" s="18">
        <v>22546</v>
      </c>
      <c r="B444" s="18">
        <v>1</v>
      </c>
      <c r="C444" s="18" t="s">
        <v>3660</v>
      </c>
      <c r="D444" s="18" t="s">
        <v>514</v>
      </c>
      <c r="E444" s="17" t="s">
        <v>515</v>
      </c>
    </row>
    <row r="445" spans="1:5">
      <c r="A445" s="18">
        <v>22547</v>
      </c>
      <c r="B445" s="18">
        <v>1</v>
      </c>
      <c r="C445" s="18" t="s">
        <v>3661</v>
      </c>
      <c r="D445" s="18" t="s">
        <v>516</v>
      </c>
      <c r="E445" s="17" t="s">
        <v>517</v>
      </c>
    </row>
    <row r="446" spans="1:5">
      <c r="A446" s="18">
        <v>22548</v>
      </c>
      <c r="B446" s="18">
        <v>1</v>
      </c>
      <c r="C446" s="18" t="s">
        <v>3662</v>
      </c>
      <c r="D446" s="18" t="s">
        <v>518</v>
      </c>
      <c r="E446" s="17" t="s">
        <v>519</v>
      </c>
    </row>
    <row r="447" spans="1:5">
      <c r="A447" s="18">
        <v>22549</v>
      </c>
      <c r="B447" s="18">
        <v>1</v>
      </c>
      <c r="C447" s="18" t="s">
        <v>3663</v>
      </c>
      <c r="D447" s="18" t="s">
        <v>520</v>
      </c>
      <c r="E447" s="17" t="s">
        <v>521</v>
      </c>
    </row>
    <row r="448" spans="1:5">
      <c r="A448" s="18">
        <v>22550</v>
      </c>
      <c r="B448" s="18">
        <v>1</v>
      </c>
      <c r="C448" s="18" t="s">
        <v>3664</v>
      </c>
      <c r="D448" s="18" t="s">
        <v>522</v>
      </c>
      <c r="E448" s="17" t="s">
        <v>523</v>
      </c>
    </row>
    <row r="449" spans="1:5">
      <c r="A449" s="18">
        <v>22551</v>
      </c>
      <c r="B449" s="18">
        <v>1</v>
      </c>
      <c r="C449" s="18" t="s">
        <v>3665</v>
      </c>
      <c r="D449" s="18" t="s">
        <v>524</v>
      </c>
      <c r="E449" s="17" t="s">
        <v>525</v>
      </c>
    </row>
    <row r="450" spans="1:5">
      <c r="A450" s="18">
        <v>22552</v>
      </c>
      <c r="B450" s="18">
        <v>1</v>
      </c>
      <c r="C450" s="18" t="s">
        <v>3666</v>
      </c>
      <c r="D450" s="18" t="s">
        <v>526</v>
      </c>
      <c r="E450" s="17" t="s">
        <v>527</v>
      </c>
    </row>
    <row r="451" spans="1:5">
      <c r="A451" s="18">
        <v>22553</v>
      </c>
      <c r="B451" s="18">
        <v>1</v>
      </c>
      <c r="C451" s="18" t="s">
        <v>3667</v>
      </c>
      <c r="D451" s="18" t="s">
        <v>528</v>
      </c>
      <c r="E451" s="17" t="s">
        <v>529</v>
      </c>
    </row>
    <row r="452" spans="1:5">
      <c r="A452" s="18">
        <v>22554</v>
      </c>
      <c r="B452" s="18">
        <v>1</v>
      </c>
      <c r="C452" s="18" t="s">
        <v>3668</v>
      </c>
      <c r="D452" s="18" t="s">
        <v>530</v>
      </c>
      <c r="E452" s="17" t="s">
        <v>531</v>
      </c>
    </row>
    <row r="453" spans="1:5">
      <c r="A453" s="18">
        <v>22555</v>
      </c>
      <c r="B453" s="18">
        <v>1</v>
      </c>
      <c r="C453" s="18" t="s">
        <v>3669</v>
      </c>
      <c r="D453" s="18" t="s">
        <v>532</v>
      </c>
      <c r="E453" s="17" t="s">
        <v>533</v>
      </c>
    </row>
    <row r="454" spans="1:5">
      <c r="A454" s="18">
        <v>22556</v>
      </c>
      <c r="B454" s="18">
        <v>1</v>
      </c>
      <c r="C454" s="18" t="s">
        <v>3670</v>
      </c>
      <c r="D454" s="18" t="s">
        <v>534</v>
      </c>
      <c r="E454" s="17" t="s">
        <v>535</v>
      </c>
    </row>
    <row r="455" spans="1:5">
      <c r="A455" s="19">
        <v>22557</v>
      </c>
      <c r="B455" s="19">
        <v>1</v>
      </c>
      <c r="C455" s="19" t="s">
        <v>3671</v>
      </c>
      <c r="D455" s="19" t="s">
        <v>536</v>
      </c>
      <c r="E455" s="21" t="s">
        <v>537</v>
      </c>
    </row>
    <row r="456" spans="1:5">
      <c r="A456" s="19">
        <v>22558</v>
      </c>
      <c r="B456" s="19">
        <v>1</v>
      </c>
      <c r="C456" s="19" t="s">
        <v>3672</v>
      </c>
      <c r="D456" s="19" t="s">
        <v>538</v>
      </c>
      <c r="E456" s="21" t="s">
        <v>539</v>
      </c>
    </row>
    <row r="457" spans="1:5">
      <c r="A457" s="19">
        <v>22559</v>
      </c>
      <c r="B457" s="19">
        <v>1</v>
      </c>
      <c r="C457" s="19" t="s">
        <v>3673</v>
      </c>
      <c r="D457" s="19" t="s">
        <v>540</v>
      </c>
      <c r="E457" s="21" t="s">
        <v>541</v>
      </c>
    </row>
    <row r="458" spans="1:5">
      <c r="A458" s="19">
        <v>22560</v>
      </c>
      <c r="B458" s="19">
        <v>1</v>
      </c>
      <c r="C458" s="19" t="s">
        <v>3674</v>
      </c>
      <c r="D458" s="19" t="s">
        <v>542</v>
      </c>
      <c r="E458" s="21" t="s">
        <v>543</v>
      </c>
    </row>
    <row r="459" spans="1:5">
      <c r="A459" s="19">
        <v>22561</v>
      </c>
      <c r="B459" s="19">
        <v>1</v>
      </c>
      <c r="C459" s="19" t="s">
        <v>3675</v>
      </c>
      <c r="D459" s="19" t="s">
        <v>544</v>
      </c>
      <c r="E459" s="21" t="s">
        <v>545</v>
      </c>
    </row>
    <row r="460" spans="1:5">
      <c r="A460" s="19">
        <v>22562</v>
      </c>
      <c r="B460" s="19">
        <v>1</v>
      </c>
      <c r="C460" s="19" t="s">
        <v>3676</v>
      </c>
      <c r="D460" s="19" t="s">
        <v>546</v>
      </c>
      <c r="E460" s="21" t="s">
        <v>547</v>
      </c>
    </row>
    <row r="461" spans="1:5">
      <c r="A461" s="19">
        <v>22563</v>
      </c>
      <c r="B461" s="19">
        <v>1</v>
      </c>
      <c r="C461" s="19" t="s">
        <v>3677</v>
      </c>
      <c r="D461" s="19" t="s">
        <v>548</v>
      </c>
      <c r="E461" s="21" t="s">
        <v>549</v>
      </c>
    </row>
    <row r="462" spans="1:5">
      <c r="A462" s="19">
        <v>22564</v>
      </c>
      <c r="B462" s="19">
        <v>1</v>
      </c>
      <c r="C462" s="19" t="s">
        <v>3678</v>
      </c>
      <c r="D462" s="19" t="s">
        <v>550</v>
      </c>
      <c r="E462" s="21" t="s">
        <v>551</v>
      </c>
    </row>
    <row r="463" spans="1:5">
      <c r="A463" s="19">
        <v>22565</v>
      </c>
      <c r="B463" s="19">
        <v>1</v>
      </c>
      <c r="C463" s="19" t="s">
        <v>3679</v>
      </c>
      <c r="D463" s="19" t="s">
        <v>552</v>
      </c>
      <c r="E463" s="21" t="s">
        <v>553</v>
      </c>
    </row>
    <row r="464" spans="1:5">
      <c r="A464" s="19">
        <v>22566</v>
      </c>
      <c r="B464" s="19">
        <v>1</v>
      </c>
      <c r="C464" s="19" t="s">
        <v>3680</v>
      </c>
      <c r="D464" s="19" t="s">
        <v>554</v>
      </c>
      <c r="E464" s="21" t="s">
        <v>555</v>
      </c>
    </row>
    <row r="465" spans="1:5">
      <c r="A465" s="18">
        <v>22567</v>
      </c>
      <c r="B465" s="18">
        <v>1</v>
      </c>
      <c r="C465" s="18" t="s">
        <v>3681</v>
      </c>
      <c r="D465" s="18" t="s">
        <v>7036</v>
      </c>
      <c r="E465" s="17" t="s">
        <v>557</v>
      </c>
    </row>
    <row r="466" spans="1:5">
      <c r="A466" s="18">
        <v>22568</v>
      </c>
      <c r="B466" s="18">
        <v>1</v>
      </c>
      <c r="C466" s="18" t="s">
        <v>3682</v>
      </c>
      <c r="D466" s="18" t="s">
        <v>7037</v>
      </c>
      <c r="E466" s="17" t="s">
        <v>559</v>
      </c>
    </row>
    <row r="467" spans="1:5">
      <c r="A467" s="18">
        <v>22569</v>
      </c>
      <c r="B467" s="18">
        <v>1</v>
      </c>
      <c r="C467" s="18" t="s">
        <v>3683</v>
      </c>
      <c r="D467" s="18" t="s">
        <v>7038</v>
      </c>
      <c r="E467" s="17" t="s">
        <v>561</v>
      </c>
    </row>
    <row r="468" spans="1:5">
      <c r="A468" s="18">
        <v>22570</v>
      </c>
      <c r="B468" s="18">
        <v>1</v>
      </c>
      <c r="C468" s="18" t="s">
        <v>3684</v>
      </c>
      <c r="D468" s="18" t="s">
        <v>7039</v>
      </c>
      <c r="E468" s="17" t="s">
        <v>563</v>
      </c>
    </row>
    <row r="469" spans="1:5">
      <c r="A469" s="18">
        <v>22571</v>
      </c>
      <c r="B469" s="18">
        <v>1</v>
      </c>
      <c r="C469" s="18" t="s">
        <v>3685</v>
      </c>
      <c r="D469" s="18" t="s">
        <v>7040</v>
      </c>
      <c r="E469" s="17" t="s">
        <v>565</v>
      </c>
    </row>
    <row r="470" spans="1:5">
      <c r="A470" s="18">
        <v>22572</v>
      </c>
      <c r="B470" s="18">
        <v>1</v>
      </c>
      <c r="C470" s="18" t="s">
        <v>3686</v>
      </c>
      <c r="D470" s="18" t="s">
        <v>7041</v>
      </c>
      <c r="E470" s="17" t="s">
        <v>567</v>
      </c>
    </row>
    <row r="471" spans="1:5">
      <c r="A471" s="18">
        <v>22573</v>
      </c>
      <c r="B471" s="18">
        <v>1</v>
      </c>
      <c r="C471" s="18" t="s">
        <v>3687</v>
      </c>
      <c r="D471" s="18" t="s">
        <v>7042</v>
      </c>
      <c r="E471" s="17" t="s">
        <v>569</v>
      </c>
    </row>
    <row r="472" spans="1:5">
      <c r="A472" s="18">
        <v>22574</v>
      </c>
      <c r="B472" s="18">
        <v>1</v>
      </c>
      <c r="C472" s="18" t="s">
        <v>3688</v>
      </c>
      <c r="D472" s="18" t="s">
        <v>7043</v>
      </c>
      <c r="E472" s="17" t="s">
        <v>571</v>
      </c>
    </row>
    <row r="473" spans="1:5">
      <c r="A473" s="18">
        <v>22575</v>
      </c>
      <c r="B473" s="18">
        <v>1</v>
      </c>
      <c r="C473" s="18" t="s">
        <v>3689</v>
      </c>
      <c r="D473" s="18" t="s">
        <v>7044</v>
      </c>
      <c r="E473" s="17" t="s">
        <v>573</v>
      </c>
    </row>
    <row r="474" spans="1:5">
      <c r="A474" s="18">
        <v>22576</v>
      </c>
      <c r="B474" s="18">
        <v>1</v>
      </c>
      <c r="C474" s="18" t="s">
        <v>3690</v>
      </c>
      <c r="D474" s="18" t="s">
        <v>7045</v>
      </c>
      <c r="E474" s="17" t="s">
        <v>575</v>
      </c>
    </row>
    <row r="475" spans="1:5">
      <c r="A475" s="18">
        <v>22577</v>
      </c>
      <c r="B475" s="18">
        <v>1</v>
      </c>
      <c r="C475" s="18" t="s">
        <v>3691</v>
      </c>
      <c r="D475" s="18" t="s">
        <v>7046</v>
      </c>
      <c r="E475" s="17" t="s">
        <v>577</v>
      </c>
    </row>
    <row r="476" spans="1:5">
      <c r="A476" s="18">
        <v>22578</v>
      </c>
      <c r="B476" s="18">
        <v>1</v>
      </c>
      <c r="C476" s="18" t="s">
        <v>3692</v>
      </c>
      <c r="D476" s="18" t="s">
        <v>7047</v>
      </c>
      <c r="E476" s="17" t="s">
        <v>579</v>
      </c>
    </row>
    <row r="477" spans="1:5">
      <c r="A477" s="1">
        <v>25001</v>
      </c>
      <c r="B477" s="1">
        <v>1</v>
      </c>
      <c r="C477" s="1" t="s">
        <v>3693</v>
      </c>
      <c r="D477" s="1" t="s">
        <v>580</v>
      </c>
      <c r="E477" s="3" t="s">
        <v>4694</v>
      </c>
    </row>
    <row r="478" spans="1:5">
      <c r="A478" s="1">
        <v>25002</v>
      </c>
      <c r="B478" s="1">
        <v>1</v>
      </c>
      <c r="C478" s="1" t="s">
        <v>3694</v>
      </c>
      <c r="D478" s="1" t="s">
        <v>581</v>
      </c>
      <c r="E478" s="3" t="s">
        <v>4695</v>
      </c>
    </row>
    <row r="479" spans="1:5">
      <c r="A479" s="1">
        <v>25003</v>
      </c>
      <c r="B479" s="1">
        <v>1</v>
      </c>
      <c r="C479" s="1" t="s">
        <v>3695</v>
      </c>
      <c r="D479" s="1" t="s">
        <v>582</v>
      </c>
      <c r="E479" s="3" t="s">
        <v>4696</v>
      </c>
    </row>
    <row r="480" spans="1:5">
      <c r="A480" s="1">
        <v>25004</v>
      </c>
      <c r="B480" s="1">
        <v>1</v>
      </c>
      <c r="C480" s="1" t="s">
        <v>3696</v>
      </c>
      <c r="D480" s="1" t="s">
        <v>583</v>
      </c>
      <c r="E480" s="3" t="s">
        <v>584</v>
      </c>
    </row>
    <row r="481" spans="1:5">
      <c r="A481" s="1">
        <v>25005</v>
      </c>
      <c r="B481" s="1">
        <v>1</v>
      </c>
      <c r="C481" s="1" t="s">
        <v>3697</v>
      </c>
      <c r="D481" s="1" t="s">
        <v>585</v>
      </c>
      <c r="E481" s="3" t="s">
        <v>4697</v>
      </c>
    </row>
    <row r="482" spans="1:5">
      <c r="A482" s="1">
        <v>25006</v>
      </c>
      <c r="B482" s="1">
        <v>1</v>
      </c>
      <c r="C482" s="1" t="s">
        <v>3698</v>
      </c>
      <c r="D482" s="1" t="s">
        <v>586</v>
      </c>
      <c r="E482" s="3" t="s">
        <v>4698</v>
      </c>
    </row>
    <row r="483" spans="1:5">
      <c r="A483" s="1">
        <v>25007</v>
      </c>
      <c r="B483" s="1">
        <v>1</v>
      </c>
      <c r="C483" s="1" t="s">
        <v>3699</v>
      </c>
      <c r="D483" s="1" t="s">
        <v>587</v>
      </c>
      <c r="E483" s="3" t="s">
        <v>4699</v>
      </c>
    </row>
    <row r="484" spans="1:5">
      <c r="A484" s="1">
        <v>25008</v>
      </c>
      <c r="B484" s="1">
        <v>1</v>
      </c>
      <c r="C484" s="1" t="s">
        <v>3700</v>
      </c>
      <c r="D484" s="1" t="s">
        <v>588</v>
      </c>
      <c r="E484" s="3" t="s">
        <v>4700</v>
      </c>
    </row>
    <row r="485" spans="1:5">
      <c r="A485" s="1">
        <v>25009</v>
      </c>
      <c r="B485" s="1">
        <v>1</v>
      </c>
      <c r="C485" s="1" t="s">
        <v>3701</v>
      </c>
      <c r="D485" s="1" t="s">
        <v>589</v>
      </c>
      <c r="E485" s="3" t="s">
        <v>590</v>
      </c>
    </row>
    <row r="486" spans="1:5">
      <c r="A486" s="1">
        <v>25010</v>
      </c>
      <c r="B486" s="1">
        <v>1</v>
      </c>
      <c r="C486" s="1" t="s">
        <v>3702</v>
      </c>
      <c r="D486" s="1" t="s">
        <v>591</v>
      </c>
      <c r="E486" s="3" t="s">
        <v>4701</v>
      </c>
    </row>
    <row r="487" spans="1:5">
      <c r="A487" s="1">
        <v>25011</v>
      </c>
      <c r="B487" s="1">
        <v>1</v>
      </c>
      <c r="C487" s="1" t="s">
        <v>3330</v>
      </c>
      <c r="D487" s="1" t="s">
        <v>592</v>
      </c>
      <c r="E487" s="3" t="s">
        <v>4702</v>
      </c>
    </row>
    <row r="488" spans="1:5">
      <c r="A488" s="1">
        <v>25012</v>
      </c>
      <c r="B488" s="1">
        <v>1</v>
      </c>
      <c r="C488" s="1" t="s">
        <v>3703</v>
      </c>
      <c r="D488" s="1" t="s">
        <v>593</v>
      </c>
      <c r="E488" s="3" t="s">
        <v>594</v>
      </c>
    </row>
    <row r="489" spans="1:5">
      <c r="A489" s="1">
        <v>25013</v>
      </c>
      <c r="B489" s="1">
        <v>1</v>
      </c>
      <c r="C489" s="1" t="s">
        <v>3537</v>
      </c>
      <c r="D489" s="1" t="s">
        <v>595</v>
      </c>
      <c r="E489" s="3" t="s">
        <v>269</v>
      </c>
    </row>
    <row r="490" spans="1:5">
      <c r="A490" s="1">
        <v>25014</v>
      </c>
      <c r="B490" s="1">
        <v>1</v>
      </c>
      <c r="C490" s="1" t="s">
        <v>3704</v>
      </c>
      <c r="D490" s="1" t="s">
        <v>596</v>
      </c>
      <c r="E490" s="3" t="s">
        <v>597</v>
      </c>
    </row>
    <row r="491" spans="1:5">
      <c r="A491" s="1">
        <v>25015</v>
      </c>
      <c r="B491" s="1">
        <v>1</v>
      </c>
      <c r="C491" s="1" t="s">
        <v>3355</v>
      </c>
      <c r="D491" s="1" t="s">
        <v>598</v>
      </c>
      <c r="E491" s="3" t="s">
        <v>599</v>
      </c>
    </row>
    <row r="492" spans="1:5">
      <c r="A492" s="1">
        <v>25016</v>
      </c>
      <c r="B492" s="1">
        <v>1</v>
      </c>
      <c r="C492" s="1" t="s">
        <v>3705</v>
      </c>
      <c r="D492" s="1" t="s">
        <v>600</v>
      </c>
      <c r="E492" s="3" t="s">
        <v>601</v>
      </c>
    </row>
    <row r="493" spans="1:5">
      <c r="A493" s="1">
        <v>25017</v>
      </c>
      <c r="B493" s="1">
        <v>1</v>
      </c>
      <c r="C493" s="1" t="s">
        <v>3536</v>
      </c>
      <c r="D493" s="1" t="s">
        <v>602</v>
      </c>
      <c r="E493" s="3" t="s">
        <v>267</v>
      </c>
    </row>
    <row r="494" spans="1:5">
      <c r="A494" s="1">
        <v>25018</v>
      </c>
      <c r="B494" s="1">
        <v>1</v>
      </c>
      <c r="C494" s="1" t="s">
        <v>3360</v>
      </c>
      <c r="D494" s="1" t="s">
        <v>603</v>
      </c>
      <c r="E494" s="3" t="s">
        <v>604</v>
      </c>
    </row>
    <row r="495" spans="1:5">
      <c r="A495" s="1">
        <v>25019</v>
      </c>
      <c r="B495" s="1">
        <v>1</v>
      </c>
      <c r="C495" s="1" t="s">
        <v>3706</v>
      </c>
      <c r="D495" s="1" t="s">
        <v>605</v>
      </c>
      <c r="E495" s="3" t="s">
        <v>606</v>
      </c>
    </row>
    <row r="496" spans="1:5">
      <c r="A496" s="1">
        <v>25020</v>
      </c>
      <c r="B496" s="1">
        <v>1</v>
      </c>
      <c r="C496" s="1" t="s">
        <v>3707</v>
      </c>
      <c r="D496" s="1" t="s">
        <v>607</v>
      </c>
      <c r="E496" s="3" t="s">
        <v>608</v>
      </c>
    </row>
    <row r="497" spans="1:5">
      <c r="A497" s="1">
        <v>25021</v>
      </c>
      <c r="B497" s="1">
        <v>1</v>
      </c>
      <c r="C497" s="1" t="s">
        <v>3708</v>
      </c>
      <c r="D497" s="1" t="s">
        <v>609</v>
      </c>
      <c r="E497" s="3" t="s">
        <v>610</v>
      </c>
    </row>
    <row r="498" spans="1:5">
      <c r="A498" s="1">
        <v>25101</v>
      </c>
      <c r="B498" s="1">
        <v>1</v>
      </c>
      <c r="C498" s="1" t="s">
        <v>3709</v>
      </c>
      <c r="D498" s="1" t="s">
        <v>611</v>
      </c>
      <c r="E498" s="3" t="s">
        <v>612</v>
      </c>
    </row>
    <row r="499" spans="1:5">
      <c r="A499" s="1">
        <v>25102</v>
      </c>
      <c r="B499" s="1">
        <v>1</v>
      </c>
      <c r="C499" s="1" t="s">
        <v>3710</v>
      </c>
      <c r="D499" s="1" t="s">
        <v>613</v>
      </c>
      <c r="E499" s="3" t="s">
        <v>614</v>
      </c>
    </row>
    <row r="500" spans="1:5">
      <c r="A500" s="1">
        <v>25103</v>
      </c>
      <c r="B500" s="1">
        <v>1</v>
      </c>
      <c r="C500" s="1" t="s">
        <v>3350</v>
      </c>
      <c r="D500" s="1" t="s">
        <v>615</v>
      </c>
      <c r="E500" s="3" t="s">
        <v>616</v>
      </c>
    </row>
    <row r="501" spans="1:5">
      <c r="A501" s="1">
        <v>25104</v>
      </c>
      <c r="B501" s="1">
        <v>1</v>
      </c>
      <c r="C501" s="1" t="s">
        <v>3711</v>
      </c>
      <c r="D501" s="1" t="s">
        <v>580</v>
      </c>
      <c r="E501" s="17" t="s">
        <v>617</v>
      </c>
    </row>
    <row r="502" spans="1:5">
      <c r="A502" s="1">
        <v>25105</v>
      </c>
      <c r="B502" s="1">
        <v>1</v>
      </c>
      <c r="C502" s="1" t="s">
        <v>3712</v>
      </c>
      <c r="D502" s="1" t="s">
        <v>618</v>
      </c>
      <c r="E502" s="3" t="s">
        <v>619</v>
      </c>
    </row>
    <row r="503" spans="1:5">
      <c r="A503" s="1">
        <v>25106</v>
      </c>
      <c r="B503" s="1">
        <v>1</v>
      </c>
      <c r="C503" s="1" t="s">
        <v>3713</v>
      </c>
      <c r="D503" s="1" t="s">
        <v>620</v>
      </c>
      <c r="E503" s="3" t="s">
        <v>621</v>
      </c>
    </row>
    <row r="504" spans="1:5">
      <c r="A504" s="1">
        <v>25107</v>
      </c>
      <c r="B504" s="1">
        <v>1</v>
      </c>
      <c r="C504" s="1" t="s">
        <v>3714</v>
      </c>
      <c r="D504" s="1" t="s">
        <v>622</v>
      </c>
      <c r="E504" s="3" t="s">
        <v>623</v>
      </c>
    </row>
    <row r="505" spans="1:5">
      <c r="A505" s="1">
        <v>25108</v>
      </c>
      <c r="B505" s="1">
        <v>1</v>
      </c>
      <c r="C505" s="1" t="s">
        <v>3715</v>
      </c>
      <c r="D505" s="1" t="s">
        <v>624</v>
      </c>
      <c r="E505" s="3" t="s">
        <v>625</v>
      </c>
    </row>
    <row r="506" spans="1:5">
      <c r="A506" s="1">
        <v>25109</v>
      </c>
      <c r="B506" s="1">
        <v>1</v>
      </c>
      <c r="C506" s="1" t="s">
        <v>3716</v>
      </c>
      <c r="D506" s="1" t="s">
        <v>580</v>
      </c>
      <c r="E506" s="17" t="s">
        <v>626</v>
      </c>
    </row>
    <row r="507" spans="1:5">
      <c r="A507" s="1">
        <v>25110</v>
      </c>
      <c r="B507" s="1">
        <v>1</v>
      </c>
      <c r="C507" s="1" t="s">
        <v>3699</v>
      </c>
      <c r="D507" s="1" t="s">
        <v>627</v>
      </c>
      <c r="E507" s="3" t="s">
        <v>628</v>
      </c>
    </row>
    <row r="508" spans="1:5">
      <c r="A508" s="1">
        <v>25111</v>
      </c>
      <c r="B508" s="1">
        <v>1</v>
      </c>
      <c r="C508" s="1" t="s">
        <v>3717</v>
      </c>
      <c r="D508" s="1" t="s">
        <v>629</v>
      </c>
      <c r="E508" s="17" t="s">
        <v>630</v>
      </c>
    </row>
    <row r="509" spans="1:5">
      <c r="A509" s="1">
        <v>25112</v>
      </c>
      <c r="B509" s="1">
        <v>1</v>
      </c>
      <c r="C509" s="1" t="s">
        <v>3718</v>
      </c>
      <c r="D509" s="1" t="s">
        <v>581</v>
      </c>
      <c r="E509" s="17" t="s">
        <v>631</v>
      </c>
    </row>
    <row r="510" spans="1:5">
      <c r="A510" s="1">
        <v>25113</v>
      </c>
      <c r="B510" s="1">
        <v>1</v>
      </c>
      <c r="C510" s="1" t="s">
        <v>3719</v>
      </c>
      <c r="D510" s="1" t="s">
        <v>632</v>
      </c>
      <c r="E510" s="3" t="s">
        <v>633</v>
      </c>
    </row>
    <row r="511" spans="1:5">
      <c r="A511" s="1">
        <v>25114</v>
      </c>
      <c r="B511" s="1">
        <v>1</v>
      </c>
      <c r="C511" s="1" t="s">
        <v>3720</v>
      </c>
      <c r="D511" s="1" t="s">
        <v>634</v>
      </c>
      <c r="E511" s="3" t="s">
        <v>635</v>
      </c>
    </row>
    <row r="512" spans="1:5">
      <c r="A512" s="1">
        <v>25115</v>
      </c>
      <c r="B512" s="1">
        <v>1</v>
      </c>
      <c r="C512" s="1" t="s">
        <v>3721</v>
      </c>
      <c r="D512" s="1" t="s">
        <v>636</v>
      </c>
      <c r="E512" s="17" t="s">
        <v>637</v>
      </c>
    </row>
    <row r="513" spans="1:5">
      <c r="A513" s="1">
        <v>25116</v>
      </c>
      <c r="B513" s="1">
        <v>1</v>
      </c>
      <c r="C513" s="1" t="s">
        <v>3722</v>
      </c>
      <c r="D513" s="1" t="s">
        <v>581</v>
      </c>
      <c r="E513" s="17" t="s">
        <v>638</v>
      </c>
    </row>
    <row r="514" spans="1:5">
      <c r="A514" s="1">
        <v>25117</v>
      </c>
      <c r="B514" s="1">
        <v>1</v>
      </c>
      <c r="C514" s="1" t="s">
        <v>3723</v>
      </c>
      <c r="D514" s="1" t="s">
        <v>639</v>
      </c>
      <c r="E514" s="3" t="s">
        <v>640</v>
      </c>
    </row>
    <row r="515" spans="1:5">
      <c r="A515" s="1">
        <v>25118</v>
      </c>
      <c r="B515" s="1">
        <v>1</v>
      </c>
      <c r="C515" s="1" t="s">
        <v>3724</v>
      </c>
      <c r="D515" s="1" t="s">
        <v>641</v>
      </c>
      <c r="E515" s="3" t="s">
        <v>642</v>
      </c>
    </row>
    <row r="516" spans="1:5">
      <c r="A516" s="1">
        <v>25119</v>
      </c>
      <c r="B516" s="1">
        <v>1</v>
      </c>
      <c r="C516" s="1" t="s">
        <v>3725</v>
      </c>
      <c r="D516" s="1" t="s">
        <v>582</v>
      </c>
      <c r="E516" s="17" t="s">
        <v>643</v>
      </c>
    </row>
    <row r="517" spans="1:5">
      <c r="A517" s="1">
        <v>25120</v>
      </c>
      <c r="B517" s="1">
        <v>1</v>
      </c>
      <c r="C517" s="1" t="s">
        <v>3723</v>
      </c>
      <c r="D517" s="1" t="s">
        <v>639</v>
      </c>
      <c r="E517" s="3" t="s">
        <v>640</v>
      </c>
    </row>
    <row r="518" spans="1:5">
      <c r="A518" s="1">
        <v>25121</v>
      </c>
      <c r="B518" s="1">
        <v>1</v>
      </c>
      <c r="C518" s="1" t="s">
        <v>3726</v>
      </c>
      <c r="D518" s="1" t="s">
        <v>644</v>
      </c>
      <c r="E518" s="3" t="s">
        <v>645</v>
      </c>
    </row>
    <row r="519" spans="1:5">
      <c r="A519" s="1">
        <v>25122</v>
      </c>
      <c r="B519" s="1">
        <v>1</v>
      </c>
      <c r="C519" s="1" t="s">
        <v>3727</v>
      </c>
      <c r="D519" s="1" t="s">
        <v>646</v>
      </c>
      <c r="E519" s="3" t="s">
        <v>647</v>
      </c>
    </row>
    <row r="520" spans="1:5">
      <c r="A520" s="1">
        <v>25123</v>
      </c>
      <c r="B520" s="1">
        <v>1</v>
      </c>
      <c r="C520" s="1" t="s">
        <v>3356</v>
      </c>
      <c r="D520" s="1" t="s">
        <v>648</v>
      </c>
      <c r="E520" s="3" t="s">
        <v>649</v>
      </c>
    </row>
    <row r="521" spans="1:5">
      <c r="A521" s="1">
        <v>25124</v>
      </c>
      <c r="B521" s="1">
        <v>1</v>
      </c>
      <c r="C521" s="1" t="s">
        <v>3728</v>
      </c>
      <c r="D521" s="1" t="s">
        <v>650</v>
      </c>
      <c r="E521" s="3" t="s">
        <v>651</v>
      </c>
    </row>
    <row r="522" spans="1:5">
      <c r="A522" s="1">
        <v>25125</v>
      </c>
      <c r="B522" s="1">
        <v>1</v>
      </c>
      <c r="C522" s="1" t="s">
        <v>3729</v>
      </c>
      <c r="D522" s="1" t="s">
        <v>652</v>
      </c>
      <c r="E522" s="3" t="s">
        <v>653</v>
      </c>
    </row>
    <row r="523" spans="1:5">
      <c r="A523" s="1">
        <v>25126</v>
      </c>
      <c r="B523" s="1">
        <v>1</v>
      </c>
      <c r="C523" s="1" t="s">
        <v>3730</v>
      </c>
      <c r="D523" s="1" t="s">
        <v>654</v>
      </c>
      <c r="E523" s="3" t="s">
        <v>655</v>
      </c>
    </row>
    <row r="524" spans="1:5">
      <c r="A524" s="1">
        <v>25127</v>
      </c>
      <c r="B524" s="1">
        <v>1</v>
      </c>
      <c r="C524" s="1" t="s">
        <v>3731</v>
      </c>
      <c r="D524" s="1" t="s">
        <v>656</v>
      </c>
      <c r="E524" s="3" t="s">
        <v>657</v>
      </c>
    </row>
    <row r="525" spans="1:5">
      <c r="A525" s="1">
        <v>25128</v>
      </c>
      <c r="B525" s="1">
        <v>1</v>
      </c>
      <c r="C525" s="1" t="s">
        <v>3732</v>
      </c>
      <c r="D525" s="1" t="s">
        <v>658</v>
      </c>
      <c r="E525" s="3" t="s">
        <v>659</v>
      </c>
    </row>
    <row r="526" spans="1:5">
      <c r="A526" s="1">
        <v>25129</v>
      </c>
      <c r="B526" s="1">
        <v>1</v>
      </c>
      <c r="C526" s="1" t="s">
        <v>3360</v>
      </c>
      <c r="D526" s="1" t="s">
        <v>660</v>
      </c>
      <c r="E526" s="3" t="s">
        <v>604</v>
      </c>
    </row>
    <row r="527" spans="1:5">
      <c r="A527" s="1">
        <v>25130</v>
      </c>
      <c r="B527" s="1">
        <v>1</v>
      </c>
      <c r="C527" s="1" t="s">
        <v>3733</v>
      </c>
      <c r="D527" s="1" t="s">
        <v>661</v>
      </c>
      <c r="E527" s="3" t="s">
        <v>662</v>
      </c>
    </row>
    <row r="528" spans="1:5">
      <c r="A528" s="1">
        <v>25131</v>
      </c>
      <c r="B528" s="1">
        <v>1</v>
      </c>
      <c r="C528" s="1" t="s">
        <v>3734</v>
      </c>
      <c r="D528" s="1" t="s">
        <v>663</v>
      </c>
      <c r="E528" s="3" t="s">
        <v>664</v>
      </c>
    </row>
    <row r="529" spans="1:6" s="252" customFormat="1">
      <c r="A529" s="180">
        <v>25900</v>
      </c>
      <c r="B529" s="180">
        <v>0</v>
      </c>
      <c r="C529" s="180" t="s">
        <v>6146</v>
      </c>
      <c r="D529" s="180" t="s">
        <v>5519</v>
      </c>
      <c r="E529" s="181" t="s">
        <v>10412</v>
      </c>
      <c r="F529" s="266"/>
    </row>
    <row r="530" spans="1:6" s="252" customFormat="1">
      <c r="A530" s="180">
        <v>25901</v>
      </c>
      <c r="B530" s="180">
        <v>1</v>
      </c>
      <c r="C530" s="180" t="s">
        <v>6147</v>
      </c>
      <c r="D530" s="180" t="s">
        <v>5520</v>
      </c>
      <c r="E530" s="181" t="s">
        <v>10413</v>
      </c>
      <c r="F530" s="266"/>
    </row>
    <row r="531" spans="1:6" s="253" customFormat="1">
      <c r="A531" s="40">
        <v>25902</v>
      </c>
      <c r="B531" s="40">
        <v>1</v>
      </c>
      <c r="C531" s="40" t="s">
        <v>6147</v>
      </c>
      <c r="D531" s="40" t="s">
        <v>5520</v>
      </c>
      <c r="E531" s="42" t="s">
        <v>10413</v>
      </c>
      <c r="F531" s="267"/>
    </row>
    <row r="532" spans="1:6" s="253" customFormat="1">
      <c r="A532" s="40">
        <v>25903</v>
      </c>
      <c r="B532" s="40">
        <v>1</v>
      </c>
      <c r="C532" s="40" t="s">
        <v>6147</v>
      </c>
      <c r="D532" s="40" t="s">
        <v>5520</v>
      </c>
      <c r="E532" s="42" t="s">
        <v>10413</v>
      </c>
      <c r="F532" s="267"/>
    </row>
    <row r="533" spans="1:6" s="254" customFormat="1">
      <c r="A533" s="186">
        <v>25910</v>
      </c>
      <c r="B533" s="186">
        <v>0</v>
      </c>
      <c r="C533" s="186" t="s">
        <v>11471</v>
      </c>
      <c r="D533" s="186" t="s">
        <v>5116</v>
      </c>
      <c r="E533" s="187" t="s">
        <v>11472</v>
      </c>
      <c r="F533" s="268"/>
    </row>
    <row r="534" spans="1:6" s="254" customFormat="1">
      <c r="A534" s="188">
        <v>25911</v>
      </c>
      <c r="B534" s="188">
        <v>0</v>
      </c>
      <c r="C534" s="188" t="s">
        <v>11475</v>
      </c>
      <c r="D534" s="188" t="s">
        <v>5116</v>
      </c>
      <c r="E534" s="189" t="s">
        <v>11284</v>
      </c>
      <c r="F534" s="268"/>
    </row>
    <row r="535" spans="1:6" s="254" customFormat="1">
      <c r="A535" s="188">
        <v>25912</v>
      </c>
      <c r="B535" s="188">
        <v>0</v>
      </c>
      <c r="C535" s="188" t="s">
        <v>11476</v>
      </c>
      <c r="D535" s="188" t="s">
        <v>5116</v>
      </c>
      <c r="E535" s="189" t="s">
        <v>11285</v>
      </c>
      <c r="F535" s="268"/>
    </row>
    <row r="536" spans="1:6" s="254" customFormat="1">
      <c r="A536" s="188">
        <v>25913</v>
      </c>
      <c r="B536" s="188">
        <v>0</v>
      </c>
      <c r="C536" s="188" t="s">
        <v>11477</v>
      </c>
      <c r="D536" s="188" t="s">
        <v>5116</v>
      </c>
      <c r="E536" s="189" t="s">
        <v>11473</v>
      </c>
      <c r="F536" s="268"/>
    </row>
    <row r="537" spans="1:6" s="254" customFormat="1">
      <c r="A537" s="188">
        <v>25914</v>
      </c>
      <c r="B537" s="188">
        <v>0</v>
      </c>
      <c r="C537" s="188" t="s">
        <v>11478</v>
      </c>
      <c r="D537" s="188" t="s">
        <v>5116</v>
      </c>
      <c r="E537" s="189" t="s">
        <v>11474</v>
      </c>
      <c r="F537" s="268"/>
    </row>
    <row r="538" spans="1:6" s="254" customFormat="1">
      <c r="A538" s="186">
        <v>25920</v>
      </c>
      <c r="B538" s="186">
        <v>0</v>
      </c>
      <c r="C538" s="186" t="s">
        <v>15186</v>
      </c>
      <c r="D538" s="186" t="s">
        <v>15184</v>
      </c>
      <c r="E538" s="187" t="s">
        <v>15187</v>
      </c>
      <c r="F538" s="268"/>
    </row>
    <row r="539" spans="1:6" s="254" customFormat="1">
      <c r="A539" s="186">
        <v>25921</v>
      </c>
      <c r="B539" s="186">
        <v>0</v>
      </c>
      <c r="C539" s="186" t="s">
        <v>6148</v>
      </c>
      <c r="D539" s="186" t="s">
        <v>15185</v>
      </c>
      <c r="E539" s="187" t="s">
        <v>5117</v>
      </c>
      <c r="F539" s="268"/>
    </row>
    <row r="540" spans="1:6">
      <c r="A540" s="25">
        <v>25989</v>
      </c>
      <c r="B540" s="25">
        <v>1</v>
      </c>
      <c r="C540" s="25" t="s">
        <v>7032</v>
      </c>
      <c r="D540" s="25" t="s">
        <v>7120</v>
      </c>
      <c r="E540" s="27" t="s">
        <v>10078</v>
      </c>
    </row>
    <row r="541" spans="1:6">
      <c r="A541" s="25">
        <v>25990</v>
      </c>
      <c r="B541" s="25">
        <v>1</v>
      </c>
      <c r="C541" s="25" t="s">
        <v>7032</v>
      </c>
      <c r="D541" s="25" t="s">
        <v>7113</v>
      </c>
      <c r="E541" s="27" t="s">
        <v>15183</v>
      </c>
    </row>
    <row r="542" spans="1:6" s="253" customFormat="1">
      <c r="A542" s="40">
        <v>25991</v>
      </c>
      <c r="B542" s="40">
        <v>0</v>
      </c>
      <c r="C542" s="40" t="s">
        <v>7100</v>
      </c>
      <c r="D542" s="40" t="s">
        <v>7099</v>
      </c>
      <c r="E542" s="40" t="s">
        <v>7102</v>
      </c>
      <c r="F542" s="267"/>
    </row>
    <row r="543" spans="1:6" s="253" customFormat="1">
      <c r="A543" s="40">
        <v>25992</v>
      </c>
      <c r="B543" s="40">
        <v>0</v>
      </c>
      <c r="C543" s="40" t="s">
        <v>7101</v>
      </c>
      <c r="D543" s="40" t="s">
        <v>7098</v>
      </c>
      <c r="E543" s="40" t="s">
        <v>7103</v>
      </c>
      <c r="F543" s="267"/>
    </row>
    <row r="544" spans="1:6" s="253" customFormat="1">
      <c r="A544" s="40">
        <v>25993</v>
      </c>
      <c r="B544" s="40">
        <v>0</v>
      </c>
      <c r="C544" s="40" t="s">
        <v>7106</v>
      </c>
      <c r="D544" s="40" t="s">
        <v>7104</v>
      </c>
      <c r="E544" s="40" t="s">
        <v>7105</v>
      </c>
      <c r="F544" s="267"/>
    </row>
    <row r="545" spans="1:6" s="253" customFormat="1">
      <c r="A545" s="40">
        <v>25994</v>
      </c>
      <c r="B545" s="40">
        <v>0</v>
      </c>
      <c r="C545" s="40" t="s">
        <v>7112</v>
      </c>
      <c r="D545" s="40" t="s">
        <v>7107</v>
      </c>
      <c r="E545" s="40" t="s">
        <v>7111</v>
      </c>
      <c r="F545" s="267"/>
    </row>
    <row r="546" spans="1:6" s="253" customFormat="1">
      <c r="A546" s="40">
        <v>25995</v>
      </c>
      <c r="B546" s="40">
        <v>0</v>
      </c>
      <c r="C546" s="40" t="s">
        <v>7109</v>
      </c>
      <c r="D546" s="40" t="s">
        <v>7108</v>
      </c>
      <c r="E546" s="40" t="s">
        <v>7110</v>
      </c>
      <c r="F546" s="267"/>
    </row>
    <row r="547" spans="1:6">
      <c r="A547" s="25">
        <v>25996</v>
      </c>
      <c r="B547" s="25">
        <v>0</v>
      </c>
      <c r="C547" s="25" t="s">
        <v>10403</v>
      </c>
      <c r="D547" s="25" t="s">
        <v>4934</v>
      </c>
      <c r="E547" s="27" t="s">
        <v>10414</v>
      </c>
    </row>
    <row r="548" spans="1:6">
      <c r="A548" s="25">
        <v>25997</v>
      </c>
      <c r="B548" s="25">
        <v>0</v>
      </c>
      <c r="C548" s="25" t="s">
        <v>7031</v>
      </c>
      <c r="D548" s="25" t="s">
        <v>4935</v>
      </c>
      <c r="E548" s="27" t="s">
        <v>7028</v>
      </c>
    </row>
    <row r="549" spans="1:6">
      <c r="A549" s="22">
        <v>25998</v>
      </c>
      <c r="B549" s="22">
        <v>0</v>
      </c>
      <c r="C549" s="22" t="s">
        <v>6149</v>
      </c>
      <c r="D549" s="22" t="s">
        <v>4688</v>
      </c>
      <c r="E549" s="24" t="s">
        <v>4687</v>
      </c>
    </row>
    <row r="550" spans="1:6">
      <c r="A550" s="22">
        <v>25999</v>
      </c>
      <c r="B550" s="22">
        <v>0</v>
      </c>
      <c r="C550" s="22" t="s">
        <v>3350</v>
      </c>
      <c r="D550" s="22" t="s">
        <v>665</v>
      </c>
      <c r="E550" s="24" t="s">
        <v>616</v>
      </c>
    </row>
    <row r="551" spans="1:6">
      <c r="A551" s="25">
        <v>26000</v>
      </c>
      <c r="B551" s="25">
        <v>1</v>
      </c>
      <c r="C551" s="25" t="s">
        <v>10323</v>
      </c>
      <c r="D551" s="25" t="s">
        <v>7048</v>
      </c>
      <c r="E551" s="27" t="s">
        <v>14559</v>
      </c>
    </row>
    <row r="552" spans="1:6" s="251" customFormat="1">
      <c r="A552" s="28">
        <v>26001</v>
      </c>
      <c r="B552" s="28">
        <v>1</v>
      </c>
      <c r="C552" s="28" t="s">
        <v>7119</v>
      </c>
      <c r="D552" s="28" t="s">
        <v>7049</v>
      </c>
      <c r="E552" s="30" t="s">
        <v>10076</v>
      </c>
      <c r="F552" s="265"/>
    </row>
    <row r="553" spans="1:6" s="251" customFormat="1">
      <c r="A553" s="28">
        <v>26002</v>
      </c>
      <c r="B553" s="28">
        <v>1</v>
      </c>
      <c r="C553" s="28" t="s">
        <v>7119</v>
      </c>
      <c r="D553" s="28" t="s">
        <v>7050</v>
      </c>
      <c r="E553" s="30" t="s">
        <v>10415</v>
      </c>
      <c r="F553" s="265"/>
    </row>
    <row r="554" spans="1:6" s="251" customFormat="1">
      <c r="A554" s="28">
        <v>26003</v>
      </c>
      <c r="B554" s="28">
        <v>1</v>
      </c>
      <c r="C554" s="28" t="s">
        <v>7119</v>
      </c>
      <c r="D554" s="28" t="s">
        <v>7117</v>
      </c>
      <c r="E554" s="30" t="s">
        <v>10077</v>
      </c>
      <c r="F554" s="265"/>
    </row>
    <row r="555" spans="1:6" s="251" customFormat="1">
      <c r="A555" s="28">
        <v>26004</v>
      </c>
      <c r="B555" s="28">
        <v>1</v>
      </c>
      <c r="C555" s="28" t="s">
        <v>7118</v>
      </c>
      <c r="D555" s="28" t="s">
        <v>10324</v>
      </c>
      <c r="E555" s="30" t="s">
        <v>14557</v>
      </c>
      <c r="F555" s="265"/>
    </row>
    <row r="556" spans="1:6" s="251" customFormat="1">
      <c r="A556" s="28">
        <v>26005</v>
      </c>
      <c r="B556" s="28">
        <v>1</v>
      </c>
      <c r="C556" s="28" t="s">
        <v>7118</v>
      </c>
      <c r="D556" s="28" t="s">
        <v>7051</v>
      </c>
      <c r="E556" s="30" t="s">
        <v>14558</v>
      </c>
      <c r="F556" s="265"/>
    </row>
    <row r="557" spans="1:6">
      <c r="A557" s="197">
        <v>26006</v>
      </c>
      <c r="B557" s="197">
        <v>1</v>
      </c>
      <c r="C557" s="197" t="s">
        <v>7118</v>
      </c>
      <c r="D557" s="197" t="s">
        <v>7052</v>
      </c>
      <c r="E557" s="198" t="s">
        <v>8158</v>
      </c>
    </row>
    <row r="558" spans="1:6">
      <c r="A558" s="197">
        <v>26007</v>
      </c>
      <c r="B558" s="197">
        <v>1</v>
      </c>
      <c r="C558" s="197" t="s">
        <v>7118</v>
      </c>
      <c r="D558" s="197" t="s">
        <v>7053</v>
      </c>
      <c r="E558" s="198" t="s">
        <v>8159</v>
      </c>
    </row>
    <row r="559" spans="1:6">
      <c r="A559" s="197">
        <v>26008</v>
      </c>
      <c r="B559" s="197">
        <v>1</v>
      </c>
      <c r="C559" s="197" t="s">
        <v>7118</v>
      </c>
      <c r="D559" s="197" t="s">
        <v>7054</v>
      </c>
      <c r="E559" s="198" t="s">
        <v>682</v>
      </c>
    </row>
    <row r="560" spans="1:6">
      <c r="A560" s="197">
        <v>26009</v>
      </c>
      <c r="B560" s="197">
        <v>1</v>
      </c>
      <c r="C560" s="197" t="s">
        <v>7118</v>
      </c>
      <c r="D560" s="197" t="s">
        <v>7055</v>
      </c>
      <c r="E560" s="198" t="s">
        <v>8160</v>
      </c>
    </row>
    <row r="561" spans="1:6">
      <c r="A561" s="197">
        <v>26010</v>
      </c>
      <c r="B561" s="197">
        <v>1</v>
      </c>
      <c r="C561" s="197" t="s">
        <v>7118</v>
      </c>
      <c r="D561" s="197" t="s">
        <v>7116</v>
      </c>
      <c r="E561" s="198" t="s">
        <v>686</v>
      </c>
    </row>
    <row r="562" spans="1:6">
      <c r="A562" s="199">
        <v>26020</v>
      </c>
      <c r="B562" s="199">
        <v>1</v>
      </c>
      <c r="C562" s="199" t="s">
        <v>3512</v>
      </c>
      <c r="D562" s="199" t="s">
        <v>7056</v>
      </c>
      <c r="E562" s="200" t="s">
        <v>688</v>
      </c>
    </row>
    <row r="563" spans="1:6">
      <c r="A563" s="199">
        <v>26021</v>
      </c>
      <c r="B563" s="199">
        <v>1</v>
      </c>
      <c r="C563" s="199" t="s">
        <v>3483</v>
      </c>
      <c r="D563" s="199" t="s">
        <v>7057</v>
      </c>
      <c r="E563" s="200" t="s">
        <v>690</v>
      </c>
    </row>
    <row r="564" spans="1:6">
      <c r="A564" s="199">
        <v>26022</v>
      </c>
      <c r="B564" s="199">
        <v>1</v>
      </c>
      <c r="C564" s="199" t="s">
        <v>3480</v>
      </c>
      <c r="D564" s="199" t="s">
        <v>7058</v>
      </c>
      <c r="E564" s="200" t="s">
        <v>692</v>
      </c>
    </row>
    <row r="565" spans="1:6">
      <c r="A565" s="199">
        <v>26023</v>
      </c>
      <c r="B565" s="199">
        <v>1</v>
      </c>
      <c r="C565" s="199" t="s">
        <v>3568</v>
      </c>
      <c r="D565" s="199" t="s">
        <v>7059</v>
      </c>
      <c r="E565" s="200" t="s">
        <v>694</v>
      </c>
    </row>
    <row r="566" spans="1:6">
      <c r="A566" s="199">
        <v>26024</v>
      </c>
      <c r="B566" s="199">
        <v>1</v>
      </c>
      <c r="C566" s="199" t="s">
        <v>3580</v>
      </c>
      <c r="D566" s="199" t="s">
        <v>7060</v>
      </c>
      <c r="E566" s="200" t="s">
        <v>696</v>
      </c>
    </row>
    <row r="567" spans="1:6">
      <c r="A567" s="199">
        <v>26025</v>
      </c>
      <c r="B567" s="199">
        <v>1</v>
      </c>
      <c r="C567" s="199" t="s">
        <v>3592</v>
      </c>
      <c r="D567" s="199" t="s">
        <v>7061</v>
      </c>
      <c r="E567" s="200" t="s">
        <v>698</v>
      </c>
    </row>
    <row r="568" spans="1:6" s="251" customFormat="1">
      <c r="A568" s="31">
        <v>26026</v>
      </c>
      <c r="B568" s="31">
        <v>1</v>
      </c>
      <c r="C568" s="31" t="s">
        <v>3615</v>
      </c>
      <c r="D568" s="31" t="s">
        <v>7062</v>
      </c>
      <c r="E568" s="147" t="s">
        <v>10416</v>
      </c>
      <c r="F568" s="265"/>
    </row>
    <row r="569" spans="1:6" s="251" customFormat="1">
      <c r="A569" s="31">
        <v>26027</v>
      </c>
      <c r="B569" s="31">
        <v>1</v>
      </c>
      <c r="C569" s="31" t="s">
        <v>3627</v>
      </c>
      <c r="D569" s="31" t="s">
        <v>7063</v>
      </c>
      <c r="E569" s="147" t="s">
        <v>14555</v>
      </c>
      <c r="F569" s="265"/>
    </row>
    <row r="570" spans="1:6" s="251" customFormat="1">
      <c r="A570" s="31">
        <v>26028</v>
      </c>
      <c r="B570" s="31">
        <v>1</v>
      </c>
      <c r="C570" s="31" t="s">
        <v>3651</v>
      </c>
      <c r="D570" s="31" t="s">
        <v>7064</v>
      </c>
      <c r="E570" s="147" t="s">
        <v>14556</v>
      </c>
      <c r="F570" s="265"/>
    </row>
    <row r="571" spans="1:6" s="251" customFormat="1">
      <c r="A571" s="31">
        <v>26029</v>
      </c>
      <c r="B571" s="31">
        <v>1</v>
      </c>
      <c r="C571" s="31" t="s">
        <v>3690</v>
      </c>
      <c r="D571" s="31" t="s">
        <v>7065</v>
      </c>
      <c r="E571" s="147" t="s">
        <v>706</v>
      </c>
      <c r="F571" s="265"/>
    </row>
    <row r="572" spans="1:6" s="251" customFormat="1">
      <c r="A572" s="31">
        <v>26030</v>
      </c>
      <c r="B572" s="31">
        <v>1</v>
      </c>
      <c r="C572" s="31" t="s">
        <v>3686</v>
      </c>
      <c r="D572" s="31" t="s">
        <v>7066</v>
      </c>
      <c r="E572" s="147" t="s">
        <v>708</v>
      </c>
      <c r="F572" s="265"/>
    </row>
    <row r="573" spans="1:6" s="251" customFormat="1">
      <c r="A573" s="31">
        <v>26031</v>
      </c>
      <c r="B573" s="31">
        <v>1</v>
      </c>
      <c r="C573" s="31" t="s">
        <v>3681</v>
      </c>
      <c r="D573" s="31" t="s">
        <v>7067</v>
      </c>
      <c r="E573" s="147" t="s">
        <v>710</v>
      </c>
      <c r="F573" s="265"/>
    </row>
    <row r="574" spans="1:6" s="251" customFormat="1">
      <c r="A574" s="28">
        <v>26101</v>
      </c>
      <c r="B574" s="28">
        <v>1</v>
      </c>
      <c r="C574" s="28" t="s">
        <v>7118</v>
      </c>
      <c r="D574" s="28" t="s">
        <v>7121</v>
      </c>
      <c r="E574" s="30" t="s">
        <v>15703</v>
      </c>
      <c r="F574" s="265"/>
    </row>
    <row r="575" spans="1:6" s="251" customFormat="1">
      <c r="A575" s="28">
        <v>26102</v>
      </c>
      <c r="B575" s="28">
        <v>1</v>
      </c>
      <c r="C575" s="28" t="s">
        <v>7118</v>
      </c>
      <c r="D575" s="28" t="s">
        <v>7122</v>
      </c>
      <c r="E575" s="30" t="s">
        <v>15704</v>
      </c>
      <c r="F575" s="265"/>
    </row>
    <row r="576" spans="1:6" s="251" customFormat="1">
      <c r="A576" s="28">
        <v>26103</v>
      </c>
      <c r="B576" s="28">
        <v>1</v>
      </c>
      <c r="C576" s="28" t="s">
        <v>7118</v>
      </c>
      <c r="D576" s="28" t="s">
        <v>7123</v>
      </c>
      <c r="E576" s="30" t="s">
        <v>15705</v>
      </c>
      <c r="F576" s="265"/>
    </row>
    <row r="577" spans="1:6" s="251" customFormat="1">
      <c r="A577" s="28">
        <v>26104</v>
      </c>
      <c r="B577" s="28">
        <v>1</v>
      </c>
      <c r="C577" s="28" t="s">
        <v>7118</v>
      </c>
      <c r="D577" s="28" t="s">
        <v>7124</v>
      </c>
      <c r="E577" s="30" t="s">
        <v>15706</v>
      </c>
      <c r="F577" s="265"/>
    </row>
    <row r="578" spans="1:6" s="251" customFormat="1">
      <c r="A578" s="28">
        <v>26105</v>
      </c>
      <c r="B578" s="28">
        <v>1</v>
      </c>
      <c r="C578" s="28" t="s">
        <v>7118</v>
      </c>
      <c r="D578" s="28" t="s">
        <v>7125</v>
      </c>
      <c r="E578" s="30" t="s">
        <v>15707</v>
      </c>
      <c r="F578" s="265"/>
    </row>
    <row r="579" spans="1:6" s="251" customFormat="1">
      <c r="A579" s="31">
        <v>26111</v>
      </c>
      <c r="B579" s="31">
        <v>1</v>
      </c>
      <c r="C579" s="31" t="s">
        <v>7118</v>
      </c>
      <c r="D579" s="31" t="s">
        <v>12611</v>
      </c>
      <c r="E579" s="147" t="s">
        <v>12606</v>
      </c>
      <c r="F579" s="265"/>
    </row>
    <row r="580" spans="1:6" s="251" customFormat="1">
      <c r="A580" s="31">
        <v>26112</v>
      </c>
      <c r="B580" s="31">
        <v>1</v>
      </c>
      <c r="C580" s="31" t="s">
        <v>7118</v>
      </c>
      <c r="D580" s="31" t="s">
        <v>12612</v>
      </c>
      <c r="E580" s="147" t="s">
        <v>12607</v>
      </c>
      <c r="F580" s="265"/>
    </row>
    <row r="581" spans="1:6" s="251" customFormat="1">
      <c r="A581" s="31">
        <v>26113</v>
      </c>
      <c r="B581" s="31">
        <v>1</v>
      </c>
      <c r="C581" s="31" t="s">
        <v>7118</v>
      </c>
      <c r="D581" s="31" t="s">
        <v>12613</v>
      </c>
      <c r="E581" s="147" t="s">
        <v>12608</v>
      </c>
      <c r="F581" s="265"/>
    </row>
    <row r="582" spans="1:6" s="251" customFormat="1">
      <c r="A582" s="31">
        <v>26114</v>
      </c>
      <c r="B582" s="31">
        <v>1</v>
      </c>
      <c r="C582" s="31" t="s">
        <v>7118</v>
      </c>
      <c r="D582" s="31" t="s">
        <v>12614</v>
      </c>
      <c r="E582" s="147" t="s">
        <v>12609</v>
      </c>
      <c r="F582" s="265"/>
    </row>
    <row r="583" spans="1:6" s="251" customFormat="1">
      <c r="A583" s="31">
        <v>26115</v>
      </c>
      <c r="B583" s="31">
        <v>1</v>
      </c>
      <c r="C583" s="31" t="s">
        <v>7118</v>
      </c>
      <c r="D583" s="31" t="s">
        <v>12615</v>
      </c>
      <c r="E583" s="147" t="s">
        <v>12610</v>
      </c>
      <c r="F583" s="265"/>
    </row>
    <row r="584" spans="1:6" s="251" customFormat="1">
      <c r="A584" s="111">
        <v>26200</v>
      </c>
      <c r="B584" s="111">
        <v>1</v>
      </c>
      <c r="C584" s="111" t="s">
        <v>9128</v>
      </c>
      <c r="D584" s="111" t="s">
        <v>9127</v>
      </c>
      <c r="E584" s="151" t="s">
        <v>9129</v>
      </c>
      <c r="F584" s="265"/>
    </row>
    <row r="585" spans="1:6" s="251" customFormat="1">
      <c r="A585" s="111">
        <v>26201</v>
      </c>
      <c r="B585" s="111">
        <v>1</v>
      </c>
      <c r="C585" s="111" t="s">
        <v>10322</v>
      </c>
      <c r="D585" s="111" t="s">
        <v>9130</v>
      </c>
      <c r="E585" s="151" t="s">
        <v>10417</v>
      </c>
      <c r="F585" s="265"/>
    </row>
    <row r="586" spans="1:6">
      <c r="A586" s="18">
        <v>30001</v>
      </c>
      <c r="B586" s="63">
        <v>0</v>
      </c>
      <c r="C586" s="63" t="s">
        <v>11201</v>
      </c>
      <c r="D586" s="63" t="s">
        <v>4936</v>
      </c>
      <c r="E586" s="17" t="s">
        <v>11193</v>
      </c>
    </row>
    <row r="587" spans="1:6">
      <c r="A587" s="18">
        <v>30002</v>
      </c>
      <c r="B587" s="63">
        <v>0</v>
      </c>
      <c r="C587" s="63" t="s">
        <v>11201</v>
      </c>
      <c r="D587" s="63" t="s">
        <v>4937</v>
      </c>
      <c r="E587" s="17" t="s">
        <v>11193</v>
      </c>
    </row>
    <row r="588" spans="1:6">
      <c r="A588" s="18">
        <v>30003</v>
      </c>
      <c r="B588" s="63">
        <v>0</v>
      </c>
      <c r="C588" s="63" t="s">
        <v>11202</v>
      </c>
      <c r="D588" s="63" t="s">
        <v>711</v>
      </c>
      <c r="E588" s="17" t="s">
        <v>11194</v>
      </c>
    </row>
    <row r="589" spans="1:6">
      <c r="A589" s="18">
        <v>30004</v>
      </c>
      <c r="B589" s="63">
        <v>0</v>
      </c>
      <c r="C589" s="63" t="s">
        <v>11203</v>
      </c>
      <c r="D589" s="63" t="s">
        <v>4938</v>
      </c>
      <c r="E589" s="17" t="s">
        <v>11195</v>
      </c>
    </row>
    <row r="590" spans="1:6">
      <c r="A590" s="18">
        <v>30005</v>
      </c>
      <c r="B590" s="63">
        <v>0</v>
      </c>
      <c r="C590" s="63" t="s">
        <v>11204</v>
      </c>
      <c r="D590" s="63" t="s">
        <v>4939</v>
      </c>
      <c r="E590" s="17" t="s">
        <v>11196</v>
      </c>
    </row>
    <row r="591" spans="1:6">
      <c r="A591" s="18">
        <v>30006</v>
      </c>
      <c r="B591" s="63">
        <v>0</v>
      </c>
      <c r="C591" s="63" t="s">
        <v>11205</v>
      </c>
      <c r="D591" s="63" t="s">
        <v>4940</v>
      </c>
      <c r="E591" s="17" t="s">
        <v>11197</v>
      </c>
    </row>
    <row r="592" spans="1:6">
      <c r="A592" s="18">
        <v>30007</v>
      </c>
      <c r="B592" s="63">
        <v>0</v>
      </c>
      <c r="C592" s="63" t="s">
        <v>11210</v>
      </c>
      <c r="D592" s="63" t="s">
        <v>721</v>
      </c>
      <c r="E592" s="17" t="s">
        <v>11209</v>
      </c>
    </row>
    <row r="593" spans="1:6">
      <c r="A593" s="18">
        <v>30008</v>
      </c>
      <c r="B593" s="63">
        <v>0</v>
      </c>
      <c r="C593" s="63" t="s">
        <v>11210</v>
      </c>
      <c r="D593" s="63" t="s">
        <v>4941</v>
      </c>
      <c r="E593" s="17" t="s">
        <v>11209</v>
      </c>
    </row>
    <row r="594" spans="1:6">
      <c r="A594" s="18">
        <v>30009</v>
      </c>
      <c r="B594" s="63">
        <v>0</v>
      </c>
      <c r="C594" s="63" t="s">
        <v>11206</v>
      </c>
      <c r="D594" s="63" t="s">
        <v>4942</v>
      </c>
      <c r="E594" s="17" t="s">
        <v>11198</v>
      </c>
    </row>
    <row r="595" spans="1:6">
      <c r="A595" s="18">
        <v>30010</v>
      </c>
      <c r="B595" s="63">
        <v>0</v>
      </c>
      <c r="C595" s="63" t="s">
        <v>11207</v>
      </c>
      <c r="D595" s="63" t="s">
        <v>4943</v>
      </c>
      <c r="E595" s="17" t="s">
        <v>11199</v>
      </c>
    </row>
    <row r="596" spans="1:6">
      <c r="A596" s="18">
        <v>30011</v>
      </c>
      <c r="B596" s="63">
        <v>0</v>
      </c>
      <c r="C596" s="63" t="s">
        <v>11208</v>
      </c>
      <c r="D596" s="63" t="s">
        <v>4944</v>
      </c>
      <c r="E596" s="17" t="s">
        <v>11200</v>
      </c>
    </row>
    <row r="597" spans="1:6">
      <c r="A597" s="1">
        <v>30012</v>
      </c>
      <c r="B597" s="63">
        <v>0</v>
      </c>
      <c r="C597" s="63" t="s">
        <v>11204</v>
      </c>
      <c r="D597" s="63" t="s">
        <v>4948</v>
      </c>
      <c r="E597" s="3" t="s">
        <v>11196</v>
      </c>
    </row>
    <row r="598" spans="1:6" s="255" customFormat="1">
      <c r="A598" s="173">
        <v>30013</v>
      </c>
      <c r="B598" s="174">
        <v>0</v>
      </c>
      <c r="C598" s="174" t="s">
        <v>3750</v>
      </c>
      <c r="D598" s="174" t="s">
        <v>4945</v>
      </c>
      <c r="E598" s="175" t="s">
        <v>732</v>
      </c>
      <c r="F598" s="269"/>
    </row>
    <row r="599" spans="1:6">
      <c r="A599" s="171">
        <v>30014</v>
      </c>
      <c r="B599" s="171">
        <v>0</v>
      </c>
      <c r="C599" s="171" t="s">
        <v>3751</v>
      </c>
      <c r="D599" s="171" t="s">
        <v>733</v>
      </c>
      <c r="E599" s="172" t="s">
        <v>734</v>
      </c>
    </row>
    <row r="600" spans="1:6">
      <c r="A600" s="171">
        <v>30015</v>
      </c>
      <c r="B600" s="171">
        <v>0</v>
      </c>
      <c r="C600" s="171" t="s">
        <v>3743</v>
      </c>
      <c r="D600" s="171" t="s">
        <v>735</v>
      </c>
      <c r="E600" s="172" t="s">
        <v>715</v>
      </c>
    </row>
    <row r="601" spans="1:6">
      <c r="A601" s="171">
        <v>30016</v>
      </c>
      <c r="B601" s="171">
        <v>0</v>
      </c>
      <c r="C601" s="171" t="s">
        <v>3752</v>
      </c>
      <c r="D601" s="171" t="s">
        <v>736</v>
      </c>
      <c r="E601" s="172" t="s">
        <v>737</v>
      </c>
    </row>
    <row r="602" spans="1:6">
      <c r="A602" s="171">
        <v>30017</v>
      </c>
      <c r="B602" s="171">
        <v>0</v>
      </c>
      <c r="C602" s="171" t="s">
        <v>3753</v>
      </c>
      <c r="D602" s="171" t="s">
        <v>738</v>
      </c>
      <c r="E602" s="172" t="s">
        <v>739</v>
      </c>
    </row>
    <row r="603" spans="1:6">
      <c r="A603" s="171">
        <v>30018</v>
      </c>
      <c r="B603" s="171">
        <v>0</v>
      </c>
      <c r="C603" s="171" t="s">
        <v>3754</v>
      </c>
      <c r="D603" s="171" t="s">
        <v>740</v>
      </c>
      <c r="E603" s="172" t="s">
        <v>741</v>
      </c>
    </row>
    <row r="604" spans="1:6">
      <c r="A604" s="171">
        <v>30019</v>
      </c>
      <c r="B604" s="171">
        <v>0</v>
      </c>
      <c r="C604" s="171" t="s">
        <v>3754</v>
      </c>
      <c r="D604" s="171" t="s">
        <v>742</v>
      </c>
      <c r="E604" s="172" t="s">
        <v>741</v>
      </c>
    </row>
    <row r="605" spans="1:6">
      <c r="A605" s="171">
        <v>30020</v>
      </c>
      <c r="B605" s="171">
        <v>0</v>
      </c>
      <c r="C605" s="171" t="s">
        <v>3601</v>
      </c>
      <c r="D605" s="171" t="s">
        <v>743</v>
      </c>
      <c r="E605" s="172" t="s">
        <v>397</v>
      </c>
    </row>
    <row r="606" spans="1:6">
      <c r="A606" s="171">
        <v>30021</v>
      </c>
      <c r="B606" s="171">
        <v>0</v>
      </c>
      <c r="C606" s="171" t="s">
        <v>3557</v>
      </c>
      <c r="D606" s="171" t="s">
        <v>744</v>
      </c>
      <c r="E606" s="172" t="s">
        <v>309</v>
      </c>
    </row>
    <row r="607" spans="1:6">
      <c r="A607" s="171">
        <v>30022</v>
      </c>
      <c r="B607" s="171">
        <v>0</v>
      </c>
      <c r="C607" s="171" t="s">
        <v>3416</v>
      </c>
      <c r="D607" s="171" t="s">
        <v>745</v>
      </c>
      <c r="E607" s="172" t="s">
        <v>27</v>
      </c>
    </row>
    <row r="608" spans="1:6">
      <c r="A608" s="18">
        <v>30051</v>
      </c>
      <c r="B608" s="63">
        <v>0</v>
      </c>
      <c r="C608" s="63" t="s">
        <v>11201</v>
      </c>
      <c r="D608" s="63" t="s">
        <v>4936</v>
      </c>
      <c r="E608" s="17" t="s">
        <v>11193</v>
      </c>
    </row>
    <row r="609" spans="1:5">
      <c r="A609" s="18">
        <v>30052</v>
      </c>
      <c r="B609" s="63">
        <v>0</v>
      </c>
      <c r="C609" s="63" t="s">
        <v>11201</v>
      </c>
      <c r="D609" s="63" t="s">
        <v>4937</v>
      </c>
      <c r="E609" s="17" t="s">
        <v>11193</v>
      </c>
    </row>
    <row r="610" spans="1:5">
      <c r="A610" s="18">
        <v>30053</v>
      </c>
      <c r="B610" s="63">
        <v>0</v>
      </c>
      <c r="C610" s="63" t="s">
        <v>11202</v>
      </c>
      <c r="D610" s="63" t="s">
        <v>711</v>
      </c>
      <c r="E610" s="17" t="s">
        <v>11194</v>
      </c>
    </row>
    <row r="611" spans="1:5">
      <c r="A611" s="18">
        <v>30054</v>
      </c>
      <c r="B611" s="63">
        <v>0</v>
      </c>
      <c r="C611" s="63" t="s">
        <v>11203</v>
      </c>
      <c r="D611" s="63" t="s">
        <v>4938</v>
      </c>
      <c r="E611" s="17" t="s">
        <v>11195</v>
      </c>
    </row>
    <row r="612" spans="1:5">
      <c r="A612" s="18">
        <v>30055</v>
      </c>
      <c r="B612" s="63">
        <v>0</v>
      </c>
      <c r="C612" s="63" t="s">
        <v>11204</v>
      </c>
      <c r="D612" s="63" t="s">
        <v>4939</v>
      </c>
      <c r="E612" s="17" t="s">
        <v>11196</v>
      </c>
    </row>
    <row r="613" spans="1:5">
      <c r="A613" s="18">
        <v>30056</v>
      </c>
      <c r="B613" s="63">
        <v>0</v>
      </c>
      <c r="C613" s="63" t="s">
        <v>11205</v>
      </c>
      <c r="D613" s="63" t="s">
        <v>4940</v>
      </c>
      <c r="E613" s="17" t="s">
        <v>11197</v>
      </c>
    </row>
    <row r="614" spans="1:5">
      <c r="A614" s="18">
        <v>30057</v>
      </c>
      <c r="B614" s="63">
        <v>0</v>
      </c>
      <c r="C614" s="63" t="s">
        <v>11210</v>
      </c>
      <c r="D614" s="63" t="s">
        <v>721</v>
      </c>
      <c r="E614" s="17" t="s">
        <v>11209</v>
      </c>
    </row>
    <row r="615" spans="1:5">
      <c r="A615" s="18">
        <v>30058</v>
      </c>
      <c r="B615" s="63">
        <v>0</v>
      </c>
      <c r="C615" s="63" t="s">
        <v>11210</v>
      </c>
      <c r="D615" s="63" t="s">
        <v>4941</v>
      </c>
      <c r="E615" s="17" t="s">
        <v>11209</v>
      </c>
    </row>
    <row r="616" spans="1:5">
      <c r="A616" s="18">
        <v>30059</v>
      </c>
      <c r="B616" s="63">
        <v>0</v>
      </c>
      <c r="C616" s="63" t="s">
        <v>11206</v>
      </c>
      <c r="D616" s="63" t="s">
        <v>4942</v>
      </c>
      <c r="E616" s="17" t="s">
        <v>11198</v>
      </c>
    </row>
    <row r="617" spans="1:5">
      <c r="A617" s="18">
        <v>30060</v>
      </c>
      <c r="B617" s="63">
        <v>0</v>
      </c>
      <c r="C617" s="63" t="s">
        <v>11207</v>
      </c>
      <c r="D617" s="63" t="s">
        <v>4943</v>
      </c>
      <c r="E617" s="17" t="s">
        <v>11199</v>
      </c>
    </row>
    <row r="618" spans="1:5">
      <c r="A618" s="18">
        <v>30061</v>
      </c>
      <c r="B618" s="63">
        <v>0</v>
      </c>
      <c r="C618" s="63" t="s">
        <v>11208</v>
      </c>
      <c r="D618" s="63" t="s">
        <v>4944</v>
      </c>
      <c r="E618" s="17" t="s">
        <v>11200</v>
      </c>
    </row>
    <row r="619" spans="1:5">
      <c r="A619" s="18">
        <v>30062</v>
      </c>
      <c r="B619" s="63">
        <v>0</v>
      </c>
      <c r="C619" s="63" t="s">
        <v>11204</v>
      </c>
      <c r="D619" s="63" t="s">
        <v>4948</v>
      </c>
      <c r="E619" s="3" t="s">
        <v>11196</v>
      </c>
    </row>
    <row r="620" spans="1:5">
      <c r="A620" s="176">
        <v>30101</v>
      </c>
      <c r="B620" s="176">
        <v>0</v>
      </c>
      <c r="C620" s="176" t="s">
        <v>11201</v>
      </c>
      <c r="D620" s="176" t="s">
        <v>4936</v>
      </c>
      <c r="E620" s="17" t="s">
        <v>11193</v>
      </c>
    </row>
    <row r="621" spans="1:5">
      <c r="A621" s="176">
        <v>30102</v>
      </c>
      <c r="B621" s="176">
        <v>0</v>
      </c>
      <c r="C621" s="176" t="s">
        <v>11201</v>
      </c>
      <c r="D621" s="176" t="s">
        <v>4937</v>
      </c>
      <c r="E621" s="17" t="s">
        <v>11193</v>
      </c>
    </row>
    <row r="622" spans="1:5">
      <c r="A622" s="176">
        <v>30103</v>
      </c>
      <c r="B622" s="176">
        <v>0</v>
      </c>
      <c r="C622" s="176" t="s">
        <v>11202</v>
      </c>
      <c r="D622" s="176" t="s">
        <v>711</v>
      </c>
      <c r="E622" s="17" t="s">
        <v>11194</v>
      </c>
    </row>
    <row r="623" spans="1:5">
      <c r="A623" s="176">
        <v>30104</v>
      </c>
      <c r="B623" s="176">
        <v>0</v>
      </c>
      <c r="C623" s="176" t="s">
        <v>11203</v>
      </c>
      <c r="D623" s="176" t="s">
        <v>4938</v>
      </c>
      <c r="E623" s="17" t="s">
        <v>11195</v>
      </c>
    </row>
    <row r="624" spans="1:5">
      <c r="A624" s="176">
        <v>30105</v>
      </c>
      <c r="B624" s="176">
        <v>0</v>
      </c>
      <c r="C624" s="176" t="s">
        <v>11204</v>
      </c>
      <c r="D624" s="176" t="s">
        <v>4939</v>
      </c>
      <c r="E624" s="17" t="s">
        <v>11196</v>
      </c>
    </row>
    <row r="625" spans="1:5">
      <c r="A625" s="176">
        <v>30106</v>
      </c>
      <c r="B625" s="176">
        <v>0</v>
      </c>
      <c r="C625" s="176" t="s">
        <v>11205</v>
      </c>
      <c r="D625" s="176" t="s">
        <v>4940</v>
      </c>
      <c r="E625" s="17" t="s">
        <v>11197</v>
      </c>
    </row>
    <row r="626" spans="1:5">
      <c r="A626" s="176">
        <v>30107</v>
      </c>
      <c r="B626" s="176">
        <v>0</v>
      </c>
      <c r="C626" s="176" t="s">
        <v>3352</v>
      </c>
      <c r="D626" s="176" t="s">
        <v>721</v>
      </c>
      <c r="E626" s="17" t="s">
        <v>11209</v>
      </c>
    </row>
    <row r="627" spans="1:5">
      <c r="A627" s="176">
        <v>30108</v>
      </c>
      <c r="B627" s="176">
        <v>0</v>
      </c>
      <c r="C627" s="176" t="s">
        <v>3352</v>
      </c>
      <c r="D627" s="176" t="s">
        <v>4941</v>
      </c>
      <c r="E627" s="17" t="s">
        <v>11209</v>
      </c>
    </row>
    <row r="628" spans="1:5">
      <c r="A628" s="176">
        <v>30109</v>
      </c>
      <c r="B628" s="176">
        <v>0</v>
      </c>
      <c r="C628" s="176" t="s">
        <v>11206</v>
      </c>
      <c r="D628" s="176" t="s">
        <v>4942</v>
      </c>
      <c r="E628" s="17" t="s">
        <v>11198</v>
      </c>
    </row>
    <row r="629" spans="1:5">
      <c r="A629" s="176">
        <v>30110</v>
      </c>
      <c r="B629" s="176">
        <v>0</v>
      </c>
      <c r="C629" s="176" t="s">
        <v>11207</v>
      </c>
      <c r="D629" s="176" t="s">
        <v>4943</v>
      </c>
      <c r="E629" s="17" t="s">
        <v>11199</v>
      </c>
    </row>
    <row r="630" spans="1:5">
      <c r="A630" s="176">
        <v>30111</v>
      </c>
      <c r="B630" s="176">
        <v>0</v>
      </c>
      <c r="C630" s="176" t="s">
        <v>11208</v>
      </c>
      <c r="D630" s="176" t="s">
        <v>4944</v>
      </c>
      <c r="E630" s="17" t="s">
        <v>11200</v>
      </c>
    </row>
    <row r="631" spans="1:5">
      <c r="A631" s="176">
        <v>30112</v>
      </c>
      <c r="B631" s="176">
        <v>0</v>
      </c>
      <c r="C631" s="176" t="s">
        <v>11204</v>
      </c>
      <c r="D631" s="176" t="s">
        <v>4948</v>
      </c>
      <c r="E631" s="3" t="s">
        <v>11196</v>
      </c>
    </row>
    <row r="632" spans="1:5">
      <c r="A632" s="18">
        <v>30151</v>
      </c>
      <c r="B632" s="63">
        <v>0</v>
      </c>
      <c r="C632" s="63" t="s">
        <v>11201</v>
      </c>
      <c r="D632" s="63" t="s">
        <v>4936</v>
      </c>
      <c r="E632" s="17" t="s">
        <v>11193</v>
      </c>
    </row>
    <row r="633" spans="1:5">
      <c r="A633" s="18">
        <v>30152</v>
      </c>
      <c r="B633" s="63">
        <v>0</v>
      </c>
      <c r="C633" s="63" t="s">
        <v>11201</v>
      </c>
      <c r="D633" s="63" t="s">
        <v>4937</v>
      </c>
      <c r="E633" s="17" t="s">
        <v>11193</v>
      </c>
    </row>
    <row r="634" spans="1:5">
      <c r="A634" s="18">
        <v>30153</v>
      </c>
      <c r="B634" s="63">
        <v>0</v>
      </c>
      <c r="C634" s="63" t="s">
        <v>11202</v>
      </c>
      <c r="D634" s="63" t="s">
        <v>711</v>
      </c>
      <c r="E634" s="17" t="s">
        <v>11194</v>
      </c>
    </row>
    <row r="635" spans="1:5">
      <c r="A635" s="18">
        <v>30154</v>
      </c>
      <c r="B635" s="63">
        <v>0</v>
      </c>
      <c r="C635" s="63" t="s">
        <v>11203</v>
      </c>
      <c r="D635" s="63" t="s">
        <v>4938</v>
      </c>
      <c r="E635" s="17" t="s">
        <v>11195</v>
      </c>
    </row>
    <row r="636" spans="1:5">
      <c r="A636" s="18">
        <v>30155</v>
      </c>
      <c r="B636" s="63">
        <v>0</v>
      </c>
      <c r="C636" s="63" t="s">
        <v>11204</v>
      </c>
      <c r="D636" s="63" t="s">
        <v>4939</v>
      </c>
      <c r="E636" s="17" t="s">
        <v>11196</v>
      </c>
    </row>
    <row r="637" spans="1:5">
      <c r="A637" s="18">
        <v>30156</v>
      </c>
      <c r="B637" s="63">
        <v>0</v>
      </c>
      <c r="C637" s="63" t="s">
        <v>11205</v>
      </c>
      <c r="D637" s="63" t="s">
        <v>4940</v>
      </c>
      <c r="E637" s="17" t="s">
        <v>11197</v>
      </c>
    </row>
    <row r="638" spans="1:5">
      <c r="A638" s="18">
        <v>30157</v>
      </c>
      <c r="B638" s="63">
        <v>0</v>
      </c>
      <c r="C638" s="63" t="s">
        <v>3352</v>
      </c>
      <c r="D638" s="63" t="s">
        <v>721</v>
      </c>
      <c r="E638" s="17" t="s">
        <v>11209</v>
      </c>
    </row>
    <row r="639" spans="1:5">
      <c r="A639" s="18">
        <v>30158</v>
      </c>
      <c r="B639" s="63">
        <v>0</v>
      </c>
      <c r="C639" s="63" t="s">
        <v>3352</v>
      </c>
      <c r="D639" s="63" t="s">
        <v>4941</v>
      </c>
      <c r="E639" s="17" t="s">
        <v>11209</v>
      </c>
    </row>
    <row r="640" spans="1:5">
      <c r="A640" s="18">
        <v>30159</v>
      </c>
      <c r="B640" s="63">
        <v>0</v>
      </c>
      <c r="C640" s="63" t="s">
        <v>11206</v>
      </c>
      <c r="D640" s="63" t="s">
        <v>4942</v>
      </c>
      <c r="E640" s="17" t="s">
        <v>11198</v>
      </c>
    </row>
    <row r="641" spans="1:5">
      <c r="A641" s="18">
        <v>30160</v>
      </c>
      <c r="B641" s="63">
        <v>0</v>
      </c>
      <c r="C641" s="63" t="s">
        <v>11207</v>
      </c>
      <c r="D641" s="63" t="s">
        <v>4943</v>
      </c>
      <c r="E641" s="17" t="s">
        <v>11199</v>
      </c>
    </row>
    <row r="642" spans="1:5">
      <c r="A642" s="18">
        <v>30161</v>
      </c>
      <c r="B642" s="63">
        <v>0</v>
      </c>
      <c r="C642" s="63" t="s">
        <v>11208</v>
      </c>
      <c r="D642" s="63" t="s">
        <v>4944</v>
      </c>
      <c r="E642" s="17" t="s">
        <v>11200</v>
      </c>
    </row>
    <row r="643" spans="1:5">
      <c r="A643" s="18">
        <v>30162</v>
      </c>
      <c r="B643" s="63">
        <v>0</v>
      </c>
      <c r="C643" s="63" t="s">
        <v>11204</v>
      </c>
      <c r="D643" s="63" t="s">
        <v>4948</v>
      </c>
      <c r="E643" s="3" t="s">
        <v>11196</v>
      </c>
    </row>
    <row r="644" spans="1:5">
      <c r="A644" s="176">
        <v>30201</v>
      </c>
      <c r="B644" s="63">
        <v>0</v>
      </c>
      <c r="C644" s="63" t="s">
        <v>11201</v>
      </c>
      <c r="D644" s="63" t="s">
        <v>4936</v>
      </c>
      <c r="E644" s="17" t="s">
        <v>11193</v>
      </c>
    </row>
    <row r="645" spans="1:5">
      <c r="A645" s="176">
        <v>30202</v>
      </c>
      <c r="B645" s="63">
        <v>0</v>
      </c>
      <c r="C645" s="63" t="s">
        <v>11201</v>
      </c>
      <c r="D645" s="63" t="s">
        <v>4937</v>
      </c>
      <c r="E645" s="17" t="s">
        <v>11193</v>
      </c>
    </row>
    <row r="646" spans="1:5">
      <c r="A646" s="176">
        <v>30203</v>
      </c>
      <c r="B646" s="63">
        <v>0</v>
      </c>
      <c r="C646" s="63" t="s">
        <v>11202</v>
      </c>
      <c r="D646" s="63" t="s">
        <v>711</v>
      </c>
      <c r="E646" s="17" t="s">
        <v>11194</v>
      </c>
    </row>
    <row r="647" spans="1:5">
      <c r="A647" s="176">
        <v>30204</v>
      </c>
      <c r="B647" s="63">
        <v>0</v>
      </c>
      <c r="C647" s="63" t="s">
        <v>11203</v>
      </c>
      <c r="D647" s="63" t="s">
        <v>4938</v>
      </c>
      <c r="E647" s="17" t="s">
        <v>11195</v>
      </c>
    </row>
    <row r="648" spans="1:5">
      <c r="A648" s="176">
        <v>30205</v>
      </c>
      <c r="B648" s="63">
        <v>0</v>
      </c>
      <c r="C648" s="63" t="s">
        <v>11204</v>
      </c>
      <c r="D648" s="63" t="s">
        <v>4939</v>
      </c>
      <c r="E648" s="17" t="s">
        <v>11196</v>
      </c>
    </row>
    <row r="649" spans="1:5">
      <c r="A649" s="176">
        <v>30206</v>
      </c>
      <c r="B649" s="63">
        <v>0</v>
      </c>
      <c r="C649" s="63" t="s">
        <v>11205</v>
      </c>
      <c r="D649" s="63" t="s">
        <v>4940</v>
      </c>
      <c r="E649" s="17" t="s">
        <v>11197</v>
      </c>
    </row>
    <row r="650" spans="1:5">
      <c r="A650" s="176">
        <v>30207</v>
      </c>
      <c r="B650" s="63">
        <v>0</v>
      </c>
      <c r="C650" s="63" t="s">
        <v>3352</v>
      </c>
      <c r="D650" s="63" t="s">
        <v>721</v>
      </c>
      <c r="E650" s="17" t="s">
        <v>11209</v>
      </c>
    </row>
    <row r="651" spans="1:5">
      <c r="A651" s="176">
        <v>30208</v>
      </c>
      <c r="B651" s="63">
        <v>0</v>
      </c>
      <c r="C651" s="63" t="s">
        <v>3352</v>
      </c>
      <c r="D651" s="63" t="s">
        <v>4941</v>
      </c>
      <c r="E651" s="17" t="s">
        <v>11209</v>
      </c>
    </row>
    <row r="652" spans="1:5">
      <c r="A652" s="176">
        <v>30209</v>
      </c>
      <c r="B652" s="63">
        <v>0</v>
      </c>
      <c r="C652" s="63" t="s">
        <v>11206</v>
      </c>
      <c r="D652" s="63" t="s">
        <v>4942</v>
      </c>
      <c r="E652" s="17" t="s">
        <v>11198</v>
      </c>
    </row>
    <row r="653" spans="1:5">
      <c r="A653" s="176">
        <v>30210</v>
      </c>
      <c r="B653" s="63">
        <v>0</v>
      </c>
      <c r="C653" s="63" t="s">
        <v>11207</v>
      </c>
      <c r="D653" s="63" t="s">
        <v>4943</v>
      </c>
      <c r="E653" s="17" t="s">
        <v>11199</v>
      </c>
    </row>
    <row r="654" spans="1:5">
      <c r="A654" s="176">
        <v>30211</v>
      </c>
      <c r="B654" s="63">
        <v>0</v>
      </c>
      <c r="C654" s="63" t="s">
        <v>11208</v>
      </c>
      <c r="D654" s="63" t="s">
        <v>4944</v>
      </c>
      <c r="E654" s="17" t="s">
        <v>11200</v>
      </c>
    </row>
    <row r="655" spans="1:5">
      <c r="A655" s="176">
        <v>30212</v>
      </c>
      <c r="B655" s="63">
        <v>0</v>
      </c>
      <c r="C655" s="63" t="s">
        <v>11204</v>
      </c>
      <c r="D655" s="63" t="s">
        <v>4948</v>
      </c>
      <c r="E655" s="3" t="s">
        <v>11196</v>
      </c>
    </row>
    <row r="656" spans="1:5">
      <c r="A656" s="18">
        <v>30251</v>
      </c>
      <c r="B656" s="63">
        <v>0</v>
      </c>
      <c r="C656" s="63" t="s">
        <v>11201</v>
      </c>
      <c r="D656" s="63" t="s">
        <v>4936</v>
      </c>
      <c r="E656" s="17" t="s">
        <v>11193</v>
      </c>
    </row>
    <row r="657" spans="1:5">
      <c r="A657" s="18">
        <v>30252</v>
      </c>
      <c r="B657" s="63">
        <v>0</v>
      </c>
      <c r="C657" s="63" t="s">
        <v>11201</v>
      </c>
      <c r="D657" s="63" t="s">
        <v>4937</v>
      </c>
      <c r="E657" s="17" t="s">
        <v>11193</v>
      </c>
    </row>
    <row r="658" spans="1:5">
      <c r="A658" s="18">
        <v>30253</v>
      </c>
      <c r="B658" s="63">
        <v>0</v>
      </c>
      <c r="C658" s="63" t="s">
        <v>11202</v>
      </c>
      <c r="D658" s="63" t="s">
        <v>711</v>
      </c>
      <c r="E658" s="17" t="s">
        <v>11194</v>
      </c>
    </row>
    <row r="659" spans="1:5">
      <c r="A659" s="18">
        <v>30254</v>
      </c>
      <c r="B659" s="63">
        <v>0</v>
      </c>
      <c r="C659" s="63" t="s">
        <v>11203</v>
      </c>
      <c r="D659" s="63" t="s">
        <v>4938</v>
      </c>
      <c r="E659" s="17" t="s">
        <v>11195</v>
      </c>
    </row>
    <row r="660" spans="1:5">
      <c r="A660" s="18">
        <v>30255</v>
      </c>
      <c r="B660" s="63">
        <v>0</v>
      </c>
      <c r="C660" s="63" t="s">
        <v>11204</v>
      </c>
      <c r="D660" s="63" t="s">
        <v>4939</v>
      </c>
      <c r="E660" s="17" t="s">
        <v>11196</v>
      </c>
    </row>
    <row r="661" spans="1:5">
      <c r="A661" s="18">
        <v>30256</v>
      </c>
      <c r="B661" s="63">
        <v>0</v>
      </c>
      <c r="C661" s="63" t="s">
        <v>11205</v>
      </c>
      <c r="D661" s="63" t="s">
        <v>4940</v>
      </c>
      <c r="E661" s="17" t="s">
        <v>11197</v>
      </c>
    </row>
    <row r="662" spans="1:5">
      <c r="A662" s="18">
        <v>30257</v>
      </c>
      <c r="B662" s="63">
        <v>0</v>
      </c>
      <c r="C662" s="63" t="s">
        <v>3352</v>
      </c>
      <c r="D662" s="63" t="s">
        <v>721</v>
      </c>
      <c r="E662" s="17" t="s">
        <v>11209</v>
      </c>
    </row>
    <row r="663" spans="1:5">
      <c r="A663" s="18">
        <v>30258</v>
      </c>
      <c r="B663" s="63">
        <v>0</v>
      </c>
      <c r="C663" s="63" t="s">
        <v>3352</v>
      </c>
      <c r="D663" s="63" t="s">
        <v>4941</v>
      </c>
      <c r="E663" s="17" t="s">
        <v>11209</v>
      </c>
    </row>
    <row r="664" spans="1:5">
      <c r="A664" s="18">
        <v>30259</v>
      </c>
      <c r="B664" s="63">
        <v>0</v>
      </c>
      <c r="C664" s="63" t="s">
        <v>11206</v>
      </c>
      <c r="D664" s="63" t="s">
        <v>4942</v>
      </c>
      <c r="E664" s="17" t="s">
        <v>11198</v>
      </c>
    </row>
    <row r="665" spans="1:5">
      <c r="A665" s="18">
        <v>30260</v>
      </c>
      <c r="B665" s="63">
        <v>0</v>
      </c>
      <c r="C665" s="63" t="s">
        <v>11207</v>
      </c>
      <c r="D665" s="63" t="s">
        <v>4943</v>
      </c>
      <c r="E665" s="17" t="s">
        <v>11199</v>
      </c>
    </row>
    <row r="666" spans="1:5">
      <c r="A666" s="18">
        <v>30261</v>
      </c>
      <c r="B666" s="63">
        <v>0</v>
      </c>
      <c r="C666" s="63" t="s">
        <v>11208</v>
      </c>
      <c r="D666" s="63" t="s">
        <v>4944</v>
      </c>
      <c r="E666" s="17" t="s">
        <v>11200</v>
      </c>
    </row>
    <row r="667" spans="1:5">
      <c r="A667" s="18">
        <v>30262</v>
      </c>
      <c r="B667" s="63">
        <v>0</v>
      </c>
      <c r="C667" s="63" t="s">
        <v>11204</v>
      </c>
      <c r="D667" s="63" t="s">
        <v>4948</v>
      </c>
      <c r="E667" s="3" t="s">
        <v>11196</v>
      </c>
    </row>
    <row r="668" spans="1:5">
      <c r="A668" s="176">
        <v>30301</v>
      </c>
      <c r="B668" s="63">
        <v>0</v>
      </c>
      <c r="C668" s="63" t="s">
        <v>11201</v>
      </c>
      <c r="D668" s="63" t="s">
        <v>4936</v>
      </c>
      <c r="E668" s="17" t="s">
        <v>11193</v>
      </c>
    </row>
    <row r="669" spans="1:5">
      <c r="A669" s="176">
        <v>30302</v>
      </c>
      <c r="B669" s="63">
        <v>0</v>
      </c>
      <c r="C669" s="63" t="s">
        <v>11201</v>
      </c>
      <c r="D669" s="63" t="s">
        <v>4937</v>
      </c>
      <c r="E669" s="17" t="s">
        <v>11193</v>
      </c>
    </row>
    <row r="670" spans="1:5">
      <c r="A670" s="176">
        <v>30303</v>
      </c>
      <c r="B670" s="63">
        <v>0</v>
      </c>
      <c r="C670" s="63" t="s">
        <v>11202</v>
      </c>
      <c r="D670" s="63" t="s">
        <v>711</v>
      </c>
      <c r="E670" s="17" t="s">
        <v>11194</v>
      </c>
    </row>
    <row r="671" spans="1:5">
      <c r="A671" s="176">
        <v>30304</v>
      </c>
      <c r="B671" s="63">
        <v>0</v>
      </c>
      <c r="C671" s="63" t="s">
        <v>11203</v>
      </c>
      <c r="D671" s="63" t="s">
        <v>4938</v>
      </c>
      <c r="E671" s="17" t="s">
        <v>11195</v>
      </c>
    </row>
    <row r="672" spans="1:5">
      <c r="A672" s="176">
        <v>30305</v>
      </c>
      <c r="B672" s="63">
        <v>0</v>
      </c>
      <c r="C672" s="63" t="s">
        <v>11204</v>
      </c>
      <c r="D672" s="63" t="s">
        <v>4939</v>
      </c>
      <c r="E672" s="17" t="s">
        <v>11196</v>
      </c>
    </row>
    <row r="673" spans="1:5">
      <c r="A673" s="176">
        <v>30306</v>
      </c>
      <c r="B673" s="63">
        <v>0</v>
      </c>
      <c r="C673" s="63" t="s">
        <v>11205</v>
      </c>
      <c r="D673" s="63" t="s">
        <v>4940</v>
      </c>
      <c r="E673" s="17" t="s">
        <v>11197</v>
      </c>
    </row>
    <row r="674" spans="1:5">
      <c r="A674" s="176">
        <v>30307</v>
      </c>
      <c r="B674" s="63">
        <v>0</v>
      </c>
      <c r="C674" s="63" t="s">
        <v>3352</v>
      </c>
      <c r="D674" s="63" t="s">
        <v>721</v>
      </c>
      <c r="E674" s="17" t="s">
        <v>11209</v>
      </c>
    </row>
    <row r="675" spans="1:5">
      <c r="A675" s="176">
        <v>30308</v>
      </c>
      <c r="B675" s="63">
        <v>0</v>
      </c>
      <c r="C675" s="63" t="s">
        <v>3352</v>
      </c>
      <c r="D675" s="63" t="s">
        <v>4941</v>
      </c>
      <c r="E675" s="17" t="s">
        <v>11209</v>
      </c>
    </row>
    <row r="676" spans="1:5">
      <c r="A676" s="176">
        <v>30309</v>
      </c>
      <c r="B676" s="63">
        <v>0</v>
      </c>
      <c r="C676" s="63" t="s">
        <v>11206</v>
      </c>
      <c r="D676" s="63" t="s">
        <v>4942</v>
      </c>
      <c r="E676" s="17" t="s">
        <v>11198</v>
      </c>
    </row>
    <row r="677" spans="1:5">
      <c r="A677" s="176">
        <v>30310</v>
      </c>
      <c r="B677" s="63">
        <v>0</v>
      </c>
      <c r="C677" s="63" t="s">
        <v>11207</v>
      </c>
      <c r="D677" s="63" t="s">
        <v>4943</v>
      </c>
      <c r="E677" s="17" t="s">
        <v>11199</v>
      </c>
    </row>
    <row r="678" spans="1:5">
      <c r="A678" s="176">
        <v>30311</v>
      </c>
      <c r="B678" s="63">
        <v>0</v>
      </c>
      <c r="C678" s="63" t="s">
        <v>11208</v>
      </c>
      <c r="D678" s="63" t="s">
        <v>4944</v>
      </c>
      <c r="E678" s="17" t="s">
        <v>11200</v>
      </c>
    </row>
    <row r="679" spans="1:5">
      <c r="A679" s="176">
        <v>30312</v>
      </c>
      <c r="B679" s="63">
        <v>0</v>
      </c>
      <c r="C679" s="63" t="s">
        <v>11204</v>
      </c>
      <c r="D679" s="63" t="s">
        <v>4948</v>
      </c>
      <c r="E679" s="3" t="s">
        <v>11196</v>
      </c>
    </row>
    <row r="680" spans="1:5">
      <c r="A680" s="18">
        <v>30351</v>
      </c>
      <c r="B680" s="63">
        <v>0</v>
      </c>
      <c r="C680" s="63" t="s">
        <v>11201</v>
      </c>
      <c r="D680" s="63" t="s">
        <v>4936</v>
      </c>
      <c r="E680" s="17" t="s">
        <v>11193</v>
      </c>
    </row>
    <row r="681" spans="1:5">
      <c r="A681" s="18">
        <v>30352</v>
      </c>
      <c r="B681" s="63">
        <v>0</v>
      </c>
      <c r="C681" s="63" t="s">
        <v>11201</v>
      </c>
      <c r="D681" s="63" t="s">
        <v>4937</v>
      </c>
      <c r="E681" s="17" t="s">
        <v>11193</v>
      </c>
    </row>
    <row r="682" spans="1:5">
      <c r="A682" s="18">
        <v>30353</v>
      </c>
      <c r="B682" s="63">
        <v>0</v>
      </c>
      <c r="C682" s="63" t="s">
        <v>11202</v>
      </c>
      <c r="D682" s="63" t="s">
        <v>711</v>
      </c>
      <c r="E682" s="17" t="s">
        <v>11194</v>
      </c>
    </row>
    <row r="683" spans="1:5">
      <c r="A683" s="18">
        <v>30354</v>
      </c>
      <c r="B683" s="63">
        <v>0</v>
      </c>
      <c r="C683" s="63" t="s">
        <v>11203</v>
      </c>
      <c r="D683" s="63" t="s">
        <v>4938</v>
      </c>
      <c r="E683" s="17" t="s">
        <v>11195</v>
      </c>
    </row>
    <row r="684" spans="1:5">
      <c r="A684" s="18">
        <v>30355</v>
      </c>
      <c r="B684" s="63">
        <v>0</v>
      </c>
      <c r="C684" s="63" t="s">
        <v>11204</v>
      </c>
      <c r="D684" s="63" t="s">
        <v>4939</v>
      </c>
      <c r="E684" s="17" t="s">
        <v>11196</v>
      </c>
    </row>
    <row r="685" spans="1:5">
      <c r="A685" s="18">
        <v>30356</v>
      </c>
      <c r="B685" s="63">
        <v>0</v>
      </c>
      <c r="C685" s="63" t="s">
        <v>11205</v>
      </c>
      <c r="D685" s="63" t="s">
        <v>4940</v>
      </c>
      <c r="E685" s="17" t="s">
        <v>11197</v>
      </c>
    </row>
    <row r="686" spans="1:5">
      <c r="A686" s="18">
        <v>30357</v>
      </c>
      <c r="B686" s="63">
        <v>0</v>
      </c>
      <c r="C686" s="63" t="s">
        <v>3352</v>
      </c>
      <c r="D686" s="63" t="s">
        <v>721</v>
      </c>
      <c r="E686" s="17" t="s">
        <v>11209</v>
      </c>
    </row>
    <row r="687" spans="1:5">
      <c r="A687" s="18">
        <v>30358</v>
      </c>
      <c r="B687" s="63">
        <v>0</v>
      </c>
      <c r="C687" s="63" t="s">
        <v>3352</v>
      </c>
      <c r="D687" s="63" t="s">
        <v>4941</v>
      </c>
      <c r="E687" s="17" t="s">
        <v>11209</v>
      </c>
    </row>
    <row r="688" spans="1:5">
      <c r="A688" s="18">
        <v>30359</v>
      </c>
      <c r="B688" s="63">
        <v>0</v>
      </c>
      <c r="C688" s="63" t="s">
        <v>11206</v>
      </c>
      <c r="D688" s="63" t="s">
        <v>4942</v>
      </c>
      <c r="E688" s="17" t="s">
        <v>11198</v>
      </c>
    </row>
    <row r="689" spans="1:5">
      <c r="A689" s="18">
        <v>30360</v>
      </c>
      <c r="B689" s="63">
        <v>0</v>
      </c>
      <c r="C689" s="63" t="s">
        <v>11207</v>
      </c>
      <c r="D689" s="63" t="s">
        <v>4943</v>
      </c>
      <c r="E689" s="17" t="s">
        <v>11199</v>
      </c>
    </row>
    <row r="690" spans="1:5">
      <c r="A690" s="18">
        <v>30361</v>
      </c>
      <c r="B690" s="63">
        <v>0</v>
      </c>
      <c r="C690" s="63" t="s">
        <v>11208</v>
      </c>
      <c r="D690" s="63" t="s">
        <v>4944</v>
      </c>
      <c r="E690" s="17" t="s">
        <v>11200</v>
      </c>
    </row>
    <row r="691" spans="1:5">
      <c r="A691" s="18">
        <v>30362</v>
      </c>
      <c r="B691" s="63">
        <v>0</v>
      </c>
      <c r="C691" s="63" t="s">
        <v>11204</v>
      </c>
      <c r="D691" s="63" t="s">
        <v>4948</v>
      </c>
      <c r="E691" s="3" t="s">
        <v>11196</v>
      </c>
    </row>
    <row r="692" spans="1:5">
      <c r="A692" s="176">
        <v>30401</v>
      </c>
      <c r="B692" s="63">
        <v>0</v>
      </c>
      <c r="C692" s="63" t="s">
        <v>11201</v>
      </c>
      <c r="D692" s="63" t="s">
        <v>4936</v>
      </c>
      <c r="E692" s="17" t="s">
        <v>11193</v>
      </c>
    </row>
    <row r="693" spans="1:5">
      <c r="A693" s="176">
        <v>30402</v>
      </c>
      <c r="B693" s="63">
        <v>0</v>
      </c>
      <c r="C693" s="63" t="s">
        <v>11201</v>
      </c>
      <c r="D693" s="63" t="s">
        <v>4937</v>
      </c>
      <c r="E693" s="17" t="s">
        <v>11193</v>
      </c>
    </row>
    <row r="694" spans="1:5">
      <c r="A694" s="176">
        <v>30403</v>
      </c>
      <c r="B694" s="63">
        <v>0</v>
      </c>
      <c r="C694" s="63" t="s">
        <v>11202</v>
      </c>
      <c r="D694" s="63" t="s">
        <v>711</v>
      </c>
      <c r="E694" s="17" t="s">
        <v>11194</v>
      </c>
    </row>
    <row r="695" spans="1:5">
      <c r="A695" s="176">
        <v>30404</v>
      </c>
      <c r="B695" s="63">
        <v>0</v>
      </c>
      <c r="C695" s="63" t="s">
        <v>11203</v>
      </c>
      <c r="D695" s="63" t="s">
        <v>4938</v>
      </c>
      <c r="E695" s="17" t="s">
        <v>11195</v>
      </c>
    </row>
    <row r="696" spans="1:5">
      <c r="A696" s="176">
        <v>30405</v>
      </c>
      <c r="B696" s="63">
        <v>0</v>
      </c>
      <c r="C696" s="63" t="s">
        <v>11204</v>
      </c>
      <c r="D696" s="63" t="s">
        <v>4939</v>
      </c>
      <c r="E696" s="17" t="s">
        <v>11196</v>
      </c>
    </row>
    <row r="697" spans="1:5">
      <c r="A697" s="176">
        <v>30406</v>
      </c>
      <c r="B697" s="63">
        <v>0</v>
      </c>
      <c r="C697" s="63" t="s">
        <v>11205</v>
      </c>
      <c r="D697" s="63" t="s">
        <v>4940</v>
      </c>
      <c r="E697" s="17" t="s">
        <v>11197</v>
      </c>
    </row>
    <row r="698" spans="1:5">
      <c r="A698" s="176">
        <v>30407</v>
      </c>
      <c r="B698" s="63">
        <v>0</v>
      </c>
      <c r="C698" s="63" t="s">
        <v>3352</v>
      </c>
      <c r="D698" s="63" t="s">
        <v>721</v>
      </c>
      <c r="E698" s="17" t="s">
        <v>11209</v>
      </c>
    </row>
    <row r="699" spans="1:5">
      <c r="A699" s="176">
        <v>30408</v>
      </c>
      <c r="B699" s="63">
        <v>0</v>
      </c>
      <c r="C699" s="63" t="s">
        <v>3352</v>
      </c>
      <c r="D699" s="63" t="s">
        <v>4941</v>
      </c>
      <c r="E699" s="17" t="s">
        <v>11209</v>
      </c>
    </row>
    <row r="700" spans="1:5">
      <c r="A700" s="176">
        <v>30409</v>
      </c>
      <c r="B700" s="63">
        <v>0</v>
      </c>
      <c r="C700" s="63" t="s">
        <v>11206</v>
      </c>
      <c r="D700" s="63" t="s">
        <v>4942</v>
      </c>
      <c r="E700" s="17" t="s">
        <v>11198</v>
      </c>
    </row>
    <row r="701" spans="1:5">
      <c r="A701" s="176">
        <v>30410</v>
      </c>
      <c r="B701" s="63">
        <v>0</v>
      </c>
      <c r="C701" s="63" t="s">
        <v>11207</v>
      </c>
      <c r="D701" s="63" t="s">
        <v>4943</v>
      </c>
      <c r="E701" s="17" t="s">
        <v>11199</v>
      </c>
    </row>
    <row r="702" spans="1:5">
      <c r="A702" s="176">
        <v>30411</v>
      </c>
      <c r="B702" s="63">
        <v>0</v>
      </c>
      <c r="C702" s="63" t="s">
        <v>11208</v>
      </c>
      <c r="D702" s="63" t="s">
        <v>4944</v>
      </c>
      <c r="E702" s="17" t="s">
        <v>11200</v>
      </c>
    </row>
    <row r="703" spans="1:5">
      <c r="A703" s="176">
        <v>30412</v>
      </c>
      <c r="B703" s="63">
        <v>0</v>
      </c>
      <c r="C703" s="63" t="s">
        <v>11204</v>
      </c>
      <c r="D703" s="63" t="s">
        <v>4948</v>
      </c>
      <c r="E703" s="3" t="s">
        <v>11196</v>
      </c>
    </row>
    <row r="704" spans="1:5">
      <c r="A704" s="18">
        <v>30451</v>
      </c>
      <c r="B704" s="63">
        <v>0</v>
      </c>
      <c r="C704" s="63" t="s">
        <v>11201</v>
      </c>
      <c r="D704" s="63" t="s">
        <v>4936</v>
      </c>
      <c r="E704" s="17" t="s">
        <v>11193</v>
      </c>
    </row>
    <row r="705" spans="1:5">
      <c r="A705" s="18">
        <v>30452</v>
      </c>
      <c r="B705" s="63">
        <v>0</v>
      </c>
      <c r="C705" s="63" t="s">
        <v>11201</v>
      </c>
      <c r="D705" s="63" t="s">
        <v>4937</v>
      </c>
      <c r="E705" s="17" t="s">
        <v>11193</v>
      </c>
    </row>
    <row r="706" spans="1:5">
      <c r="A706" s="18">
        <v>30453</v>
      </c>
      <c r="B706" s="63">
        <v>0</v>
      </c>
      <c r="C706" s="63" t="s">
        <v>11202</v>
      </c>
      <c r="D706" s="63" t="s">
        <v>711</v>
      </c>
      <c r="E706" s="17" t="s">
        <v>11194</v>
      </c>
    </row>
    <row r="707" spans="1:5">
      <c r="A707" s="18">
        <v>30454</v>
      </c>
      <c r="B707" s="63">
        <v>0</v>
      </c>
      <c r="C707" s="63" t="s">
        <v>11203</v>
      </c>
      <c r="D707" s="63" t="s">
        <v>4938</v>
      </c>
      <c r="E707" s="17" t="s">
        <v>11195</v>
      </c>
    </row>
    <row r="708" spans="1:5">
      <c r="A708" s="18">
        <v>30455</v>
      </c>
      <c r="B708" s="63">
        <v>0</v>
      </c>
      <c r="C708" s="63" t="s">
        <v>11204</v>
      </c>
      <c r="D708" s="63" t="s">
        <v>4939</v>
      </c>
      <c r="E708" s="17" t="s">
        <v>11196</v>
      </c>
    </row>
    <row r="709" spans="1:5">
      <c r="A709" s="18">
        <v>30456</v>
      </c>
      <c r="B709" s="63">
        <v>0</v>
      </c>
      <c r="C709" s="63" t="s">
        <v>11205</v>
      </c>
      <c r="D709" s="63" t="s">
        <v>4940</v>
      </c>
      <c r="E709" s="17" t="s">
        <v>11197</v>
      </c>
    </row>
    <row r="710" spans="1:5">
      <c r="A710" s="18">
        <v>30457</v>
      </c>
      <c r="B710" s="63">
        <v>0</v>
      </c>
      <c r="C710" s="63" t="s">
        <v>3352</v>
      </c>
      <c r="D710" s="63" t="s">
        <v>721</v>
      </c>
      <c r="E710" s="17" t="s">
        <v>11209</v>
      </c>
    </row>
    <row r="711" spans="1:5">
      <c r="A711" s="18">
        <v>30458</v>
      </c>
      <c r="B711" s="63">
        <v>0</v>
      </c>
      <c r="C711" s="63" t="s">
        <v>3352</v>
      </c>
      <c r="D711" s="63" t="s">
        <v>4941</v>
      </c>
      <c r="E711" s="17" t="s">
        <v>11209</v>
      </c>
    </row>
    <row r="712" spans="1:5">
      <c r="A712" s="18">
        <v>30459</v>
      </c>
      <c r="B712" s="63">
        <v>0</v>
      </c>
      <c r="C712" s="63" t="s">
        <v>11206</v>
      </c>
      <c r="D712" s="63" t="s">
        <v>4942</v>
      </c>
      <c r="E712" s="17" t="s">
        <v>11198</v>
      </c>
    </row>
    <row r="713" spans="1:5">
      <c r="A713" s="18">
        <v>30460</v>
      </c>
      <c r="B713" s="63">
        <v>0</v>
      </c>
      <c r="C713" s="63" t="s">
        <v>11207</v>
      </c>
      <c r="D713" s="63" t="s">
        <v>4943</v>
      </c>
      <c r="E713" s="17" t="s">
        <v>11199</v>
      </c>
    </row>
    <row r="714" spans="1:5">
      <c r="A714" s="18">
        <v>30461</v>
      </c>
      <c r="B714" s="63">
        <v>0</v>
      </c>
      <c r="C714" s="63" t="s">
        <v>11208</v>
      </c>
      <c r="D714" s="63" t="s">
        <v>4944</v>
      </c>
      <c r="E714" s="17" t="s">
        <v>11200</v>
      </c>
    </row>
    <row r="715" spans="1:5">
      <c r="A715" s="18">
        <v>30462</v>
      </c>
      <c r="B715" s="63">
        <v>0</v>
      </c>
      <c r="C715" s="63" t="s">
        <v>11204</v>
      </c>
      <c r="D715" s="63" t="s">
        <v>4948</v>
      </c>
      <c r="E715" s="3" t="s">
        <v>11196</v>
      </c>
    </row>
    <row r="716" spans="1:5">
      <c r="A716" s="176">
        <v>30501</v>
      </c>
      <c r="B716" s="63">
        <v>0</v>
      </c>
      <c r="C716" s="63" t="s">
        <v>11201</v>
      </c>
      <c r="D716" s="63" t="s">
        <v>4936</v>
      </c>
      <c r="E716" s="17" t="s">
        <v>11193</v>
      </c>
    </row>
    <row r="717" spans="1:5">
      <c r="A717" s="176">
        <v>30502</v>
      </c>
      <c r="B717" s="63">
        <v>0</v>
      </c>
      <c r="C717" s="63" t="s">
        <v>11201</v>
      </c>
      <c r="D717" s="63" t="s">
        <v>4937</v>
      </c>
      <c r="E717" s="17" t="s">
        <v>11193</v>
      </c>
    </row>
    <row r="718" spans="1:5">
      <c r="A718" s="176">
        <v>30503</v>
      </c>
      <c r="B718" s="63">
        <v>0</v>
      </c>
      <c r="C718" s="63" t="s">
        <v>11202</v>
      </c>
      <c r="D718" s="63" t="s">
        <v>711</v>
      </c>
      <c r="E718" s="17" t="s">
        <v>11194</v>
      </c>
    </row>
    <row r="719" spans="1:5">
      <c r="A719" s="176">
        <v>30504</v>
      </c>
      <c r="B719" s="63">
        <v>0</v>
      </c>
      <c r="C719" s="63" t="s">
        <v>11203</v>
      </c>
      <c r="D719" s="63" t="s">
        <v>4938</v>
      </c>
      <c r="E719" s="17" t="s">
        <v>11195</v>
      </c>
    </row>
    <row r="720" spans="1:5">
      <c r="A720" s="176">
        <v>30505</v>
      </c>
      <c r="B720" s="63">
        <v>0</v>
      </c>
      <c r="C720" s="63" t="s">
        <v>11204</v>
      </c>
      <c r="D720" s="63" t="s">
        <v>4939</v>
      </c>
      <c r="E720" s="17" t="s">
        <v>11196</v>
      </c>
    </row>
    <row r="721" spans="1:5">
      <c r="A721" s="176">
        <v>30506</v>
      </c>
      <c r="B721" s="63">
        <v>0</v>
      </c>
      <c r="C721" s="63" t="s">
        <v>11205</v>
      </c>
      <c r="D721" s="63" t="s">
        <v>4940</v>
      </c>
      <c r="E721" s="17" t="s">
        <v>11197</v>
      </c>
    </row>
    <row r="722" spans="1:5">
      <c r="A722" s="176">
        <v>30507</v>
      </c>
      <c r="B722" s="63">
        <v>0</v>
      </c>
      <c r="C722" s="63" t="s">
        <v>3352</v>
      </c>
      <c r="D722" s="63" t="s">
        <v>721</v>
      </c>
      <c r="E722" s="17" t="s">
        <v>11209</v>
      </c>
    </row>
    <row r="723" spans="1:5">
      <c r="A723" s="176">
        <v>30508</v>
      </c>
      <c r="B723" s="63">
        <v>0</v>
      </c>
      <c r="C723" s="63" t="s">
        <v>3352</v>
      </c>
      <c r="D723" s="63" t="s">
        <v>4941</v>
      </c>
      <c r="E723" s="17" t="s">
        <v>11209</v>
      </c>
    </row>
    <row r="724" spans="1:5">
      <c r="A724" s="176">
        <v>30509</v>
      </c>
      <c r="B724" s="63">
        <v>0</v>
      </c>
      <c r="C724" s="63" t="s">
        <v>11206</v>
      </c>
      <c r="D724" s="63" t="s">
        <v>4942</v>
      </c>
      <c r="E724" s="17" t="s">
        <v>11198</v>
      </c>
    </row>
    <row r="725" spans="1:5">
      <c r="A725" s="176">
        <v>30510</v>
      </c>
      <c r="B725" s="63">
        <v>0</v>
      </c>
      <c r="C725" s="63" t="s">
        <v>11207</v>
      </c>
      <c r="D725" s="63" t="s">
        <v>4943</v>
      </c>
      <c r="E725" s="17" t="s">
        <v>11199</v>
      </c>
    </row>
    <row r="726" spans="1:5">
      <c r="A726" s="176">
        <v>30511</v>
      </c>
      <c r="B726" s="63">
        <v>0</v>
      </c>
      <c r="C726" s="63" t="s">
        <v>11208</v>
      </c>
      <c r="D726" s="63" t="s">
        <v>4944</v>
      </c>
      <c r="E726" s="17" t="s">
        <v>11200</v>
      </c>
    </row>
    <row r="727" spans="1:5">
      <c r="A727" s="176">
        <v>30512</v>
      </c>
      <c r="B727" s="63">
        <v>0</v>
      </c>
      <c r="C727" s="63" t="s">
        <v>11204</v>
      </c>
      <c r="D727" s="63" t="s">
        <v>4948</v>
      </c>
      <c r="E727" s="3" t="s">
        <v>11196</v>
      </c>
    </row>
    <row r="728" spans="1:5">
      <c r="A728" s="18">
        <v>30551</v>
      </c>
      <c r="B728" s="63">
        <v>0</v>
      </c>
      <c r="C728" s="63" t="s">
        <v>11201</v>
      </c>
      <c r="D728" s="63" t="s">
        <v>4936</v>
      </c>
      <c r="E728" s="17" t="s">
        <v>11193</v>
      </c>
    </row>
    <row r="729" spans="1:5">
      <c r="A729" s="18">
        <v>30552</v>
      </c>
      <c r="B729" s="63">
        <v>0</v>
      </c>
      <c r="C729" s="63" t="s">
        <v>11201</v>
      </c>
      <c r="D729" s="63" t="s">
        <v>4937</v>
      </c>
      <c r="E729" s="17" t="s">
        <v>11193</v>
      </c>
    </row>
    <row r="730" spans="1:5">
      <c r="A730" s="18">
        <v>30553</v>
      </c>
      <c r="B730" s="63">
        <v>0</v>
      </c>
      <c r="C730" s="63" t="s">
        <v>11202</v>
      </c>
      <c r="D730" s="63" t="s">
        <v>711</v>
      </c>
      <c r="E730" s="17" t="s">
        <v>11194</v>
      </c>
    </row>
    <row r="731" spans="1:5">
      <c r="A731" s="18">
        <v>30554</v>
      </c>
      <c r="B731" s="63">
        <v>0</v>
      </c>
      <c r="C731" s="63" t="s">
        <v>11203</v>
      </c>
      <c r="D731" s="63" t="s">
        <v>4938</v>
      </c>
      <c r="E731" s="17" t="s">
        <v>11195</v>
      </c>
    </row>
    <row r="732" spans="1:5">
      <c r="A732" s="18">
        <v>30555</v>
      </c>
      <c r="B732" s="63">
        <v>0</v>
      </c>
      <c r="C732" s="63" t="s">
        <v>11204</v>
      </c>
      <c r="D732" s="63" t="s">
        <v>4939</v>
      </c>
      <c r="E732" s="17" t="s">
        <v>11196</v>
      </c>
    </row>
    <row r="733" spans="1:5">
      <c r="A733" s="18">
        <v>30556</v>
      </c>
      <c r="B733" s="63">
        <v>0</v>
      </c>
      <c r="C733" s="63" t="s">
        <v>11205</v>
      </c>
      <c r="D733" s="63" t="s">
        <v>4940</v>
      </c>
      <c r="E733" s="17" t="s">
        <v>11197</v>
      </c>
    </row>
    <row r="734" spans="1:5">
      <c r="A734" s="18">
        <v>30557</v>
      </c>
      <c r="B734" s="63">
        <v>0</v>
      </c>
      <c r="C734" s="63" t="s">
        <v>3352</v>
      </c>
      <c r="D734" s="63" t="s">
        <v>721</v>
      </c>
      <c r="E734" s="17" t="s">
        <v>11209</v>
      </c>
    </row>
    <row r="735" spans="1:5">
      <c r="A735" s="18">
        <v>30558</v>
      </c>
      <c r="B735" s="63">
        <v>0</v>
      </c>
      <c r="C735" s="63" t="s">
        <v>3352</v>
      </c>
      <c r="D735" s="63" t="s">
        <v>4941</v>
      </c>
      <c r="E735" s="17" t="s">
        <v>11209</v>
      </c>
    </row>
    <row r="736" spans="1:5">
      <c r="A736" s="18">
        <v>30559</v>
      </c>
      <c r="B736" s="63">
        <v>0</v>
      </c>
      <c r="C736" s="63" t="s">
        <v>11206</v>
      </c>
      <c r="D736" s="63" t="s">
        <v>4942</v>
      </c>
      <c r="E736" s="17" t="s">
        <v>11198</v>
      </c>
    </row>
    <row r="737" spans="1:5">
      <c r="A737" s="18">
        <v>30560</v>
      </c>
      <c r="B737" s="63">
        <v>0</v>
      </c>
      <c r="C737" s="63" t="s">
        <v>11207</v>
      </c>
      <c r="D737" s="63" t="s">
        <v>4943</v>
      </c>
      <c r="E737" s="17" t="s">
        <v>11199</v>
      </c>
    </row>
    <row r="738" spans="1:5">
      <c r="A738" s="18">
        <v>30561</v>
      </c>
      <c r="B738" s="63">
        <v>0</v>
      </c>
      <c r="C738" s="63" t="s">
        <v>11208</v>
      </c>
      <c r="D738" s="63" t="s">
        <v>4944</v>
      </c>
      <c r="E738" s="17" t="s">
        <v>11200</v>
      </c>
    </row>
    <row r="739" spans="1:5">
      <c r="A739" s="18">
        <v>30562</v>
      </c>
      <c r="B739" s="63">
        <v>0</v>
      </c>
      <c r="C739" s="63" t="s">
        <v>11204</v>
      </c>
      <c r="D739" s="63" t="s">
        <v>4948</v>
      </c>
      <c r="E739" s="3" t="s">
        <v>11196</v>
      </c>
    </row>
    <row r="740" spans="1:5">
      <c r="A740" s="176">
        <v>30601</v>
      </c>
      <c r="B740" s="63">
        <v>0</v>
      </c>
      <c r="C740" s="63" t="s">
        <v>11201</v>
      </c>
      <c r="D740" s="63" t="s">
        <v>4936</v>
      </c>
      <c r="E740" s="17" t="s">
        <v>11193</v>
      </c>
    </row>
    <row r="741" spans="1:5">
      <c r="A741" s="176">
        <v>30602</v>
      </c>
      <c r="B741" s="63">
        <v>0</v>
      </c>
      <c r="C741" s="63" t="s">
        <v>11201</v>
      </c>
      <c r="D741" s="63" t="s">
        <v>4937</v>
      </c>
      <c r="E741" s="17" t="s">
        <v>11193</v>
      </c>
    </row>
    <row r="742" spans="1:5">
      <c r="A742" s="176">
        <v>30603</v>
      </c>
      <c r="B742" s="63">
        <v>0</v>
      </c>
      <c r="C742" s="63" t="s">
        <v>11202</v>
      </c>
      <c r="D742" s="63" t="s">
        <v>711</v>
      </c>
      <c r="E742" s="17" t="s">
        <v>11194</v>
      </c>
    </row>
    <row r="743" spans="1:5">
      <c r="A743" s="176">
        <v>30604</v>
      </c>
      <c r="B743" s="63">
        <v>0</v>
      </c>
      <c r="C743" s="63" t="s">
        <v>11203</v>
      </c>
      <c r="D743" s="63" t="s">
        <v>4938</v>
      </c>
      <c r="E743" s="17" t="s">
        <v>11195</v>
      </c>
    </row>
    <row r="744" spans="1:5">
      <c r="A744" s="176">
        <v>30605</v>
      </c>
      <c r="B744" s="63">
        <v>0</v>
      </c>
      <c r="C744" s="63" t="s">
        <v>11204</v>
      </c>
      <c r="D744" s="63" t="s">
        <v>4939</v>
      </c>
      <c r="E744" s="17" t="s">
        <v>11196</v>
      </c>
    </row>
    <row r="745" spans="1:5">
      <c r="A745" s="176">
        <v>30606</v>
      </c>
      <c r="B745" s="63">
        <v>0</v>
      </c>
      <c r="C745" s="63" t="s">
        <v>11205</v>
      </c>
      <c r="D745" s="63" t="s">
        <v>4940</v>
      </c>
      <c r="E745" s="17" t="s">
        <v>11197</v>
      </c>
    </row>
    <row r="746" spans="1:5">
      <c r="A746" s="176">
        <v>30607</v>
      </c>
      <c r="B746" s="63">
        <v>0</v>
      </c>
      <c r="C746" s="63" t="s">
        <v>3352</v>
      </c>
      <c r="D746" s="63" t="s">
        <v>721</v>
      </c>
      <c r="E746" s="17" t="s">
        <v>11209</v>
      </c>
    </row>
    <row r="747" spans="1:5">
      <c r="A747" s="176">
        <v>30608</v>
      </c>
      <c r="B747" s="63">
        <v>0</v>
      </c>
      <c r="C747" s="63" t="s">
        <v>3352</v>
      </c>
      <c r="D747" s="63" t="s">
        <v>4941</v>
      </c>
      <c r="E747" s="17" t="s">
        <v>11209</v>
      </c>
    </row>
    <row r="748" spans="1:5">
      <c r="A748" s="176">
        <v>30609</v>
      </c>
      <c r="B748" s="63">
        <v>0</v>
      </c>
      <c r="C748" s="63" t="s">
        <v>11206</v>
      </c>
      <c r="D748" s="63" t="s">
        <v>4942</v>
      </c>
      <c r="E748" s="17" t="s">
        <v>11198</v>
      </c>
    </row>
    <row r="749" spans="1:5">
      <c r="A749" s="176">
        <v>30610</v>
      </c>
      <c r="B749" s="63">
        <v>0</v>
      </c>
      <c r="C749" s="63" t="s">
        <v>11207</v>
      </c>
      <c r="D749" s="63" t="s">
        <v>4943</v>
      </c>
      <c r="E749" s="17" t="s">
        <v>11199</v>
      </c>
    </row>
    <row r="750" spans="1:5">
      <c r="A750" s="176">
        <v>30611</v>
      </c>
      <c r="B750" s="63">
        <v>0</v>
      </c>
      <c r="C750" s="63" t="s">
        <v>11208</v>
      </c>
      <c r="D750" s="63" t="s">
        <v>4944</v>
      </c>
      <c r="E750" s="17" t="s">
        <v>11200</v>
      </c>
    </row>
    <row r="751" spans="1:5">
      <c r="A751" s="176">
        <v>30612</v>
      </c>
      <c r="B751" s="63">
        <v>0</v>
      </c>
      <c r="C751" s="63" t="s">
        <v>11204</v>
      </c>
      <c r="D751" s="63" t="s">
        <v>4948</v>
      </c>
      <c r="E751" s="3" t="s">
        <v>11196</v>
      </c>
    </row>
    <row r="752" spans="1:5">
      <c r="A752" s="18">
        <v>30651</v>
      </c>
      <c r="B752" s="63">
        <v>0</v>
      </c>
      <c r="C752" s="63" t="s">
        <v>11201</v>
      </c>
      <c r="D752" s="63" t="s">
        <v>4936</v>
      </c>
      <c r="E752" s="17" t="s">
        <v>11193</v>
      </c>
    </row>
    <row r="753" spans="1:5">
      <c r="A753" s="18">
        <v>30652</v>
      </c>
      <c r="B753" s="63">
        <v>0</v>
      </c>
      <c r="C753" s="63" t="s">
        <v>11201</v>
      </c>
      <c r="D753" s="63" t="s">
        <v>4937</v>
      </c>
      <c r="E753" s="17" t="s">
        <v>11193</v>
      </c>
    </row>
    <row r="754" spans="1:5">
      <c r="A754" s="18">
        <v>30653</v>
      </c>
      <c r="B754" s="63">
        <v>0</v>
      </c>
      <c r="C754" s="63" t="s">
        <v>11202</v>
      </c>
      <c r="D754" s="63" t="s">
        <v>711</v>
      </c>
      <c r="E754" s="17" t="s">
        <v>11194</v>
      </c>
    </row>
    <row r="755" spans="1:5">
      <c r="A755" s="18">
        <v>30654</v>
      </c>
      <c r="B755" s="63">
        <v>0</v>
      </c>
      <c r="C755" s="63" t="s">
        <v>11203</v>
      </c>
      <c r="D755" s="63" t="s">
        <v>4938</v>
      </c>
      <c r="E755" s="17" t="s">
        <v>11195</v>
      </c>
    </row>
    <row r="756" spans="1:5">
      <c r="A756" s="18">
        <v>30655</v>
      </c>
      <c r="B756" s="63">
        <v>0</v>
      </c>
      <c r="C756" s="63" t="s">
        <v>11204</v>
      </c>
      <c r="D756" s="63" t="s">
        <v>4939</v>
      </c>
      <c r="E756" s="17" t="s">
        <v>11196</v>
      </c>
    </row>
    <row r="757" spans="1:5">
      <c r="A757" s="18">
        <v>30656</v>
      </c>
      <c r="B757" s="63">
        <v>0</v>
      </c>
      <c r="C757" s="63" t="s">
        <v>11205</v>
      </c>
      <c r="D757" s="63" t="s">
        <v>4940</v>
      </c>
      <c r="E757" s="17" t="s">
        <v>11197</v>
      </c>
    </row>
    <row r="758" spans="1:5">
      <c r="A758" s="18">
        <v>30657</v>
      </c>
      <c r="B758" s="63">
        <v>0</v>
      </c>
      <c r="C758" s="63" t="s">
        <v>3352</v>
      </c>
      <c r="D758" s="63" t="s">
        <v>721</v>
      </c>
      <c r="E758" s="17" t="s">
        <v>11209</v>
      </c>
    </row>
    <row r="759" spans="1:5">
      <c r="A759" s="18">
        <v>30658</v>
      </c>
      <c r="B759" s="63">
        <v>0</v>
      </c>
      <c r="C759" s="63" t="s">
        <v>3352</v>
      </c>
      <c r="D759" s="63" t="s">
        <v>4941</v>
      </c>
      <c r="E759" s="17" t="s">
        <v>11209</v>
      </c>
    </row>
    <row r="760" spans="1:5">
      <c r="A760" s="18">
        <v>30659</v>
      </c>
      <c r="B760" s="63">
        <v>0</v>
      </c>
      <c r="C760" s="63" t="s">
        <v>11206</v>
      </c>
      <c r="D760" s="63" t="s">
        <v>4942</v>
      </c>
      <c r="E760" s="17" t="s">
        <v>11198</v>
      </c>
    </row>
    <row r="761" spans="1:5">
      <c r="A761" s="18">
        <v>30660</v>
      </c>
      <c r="B761" s="63">
        <v>0</v>
      </c>
      <c r="C761" s="63" t="s">
        <v>11207</v>
      </c>
      <c r="D761" s="63" t="s">
        <v>4943</v>
      </c>
      <c r="E761" s="17" t="s">
        <v>11199</v>
      </c>
    </row>
    <row r="762" spans="1:5">
      <c r="A762" s="18">
        <v>30661</v>
      </c>
      <c r="B762" s="63">
        <v>0</v>
      </c>
      <c r="C762" s="63" t="s">
        <v>11208</v>
      </c>
      <c r="D762" s="63" t="s">
        <v>4944</v>
      </c>
      <c r="E762" s="17" t="s">
        <v>11200</v>
      </c>
    </row>
    <row r="763" spans="1:5">
      <c r="A763" s="18">
        <v>30662</v>
      </c>
      <c r="B763" s="63">
        <v>0</v>
      </c>
      <c r="C763" s="63" t="s">
        <v>11204</v>
      </c>
      <c r="D763" s="63" t="s">
        <v>4948</v>
      </c>
      <c r="E763" s="3" t="s">
        <v>11196</v>
      </c>
    </row>
    <row r="764" spans="1:5">
      <c r="A764" s="34">
        <v>31000</v>
      </c>
      <c r="B764" s="34">
        <v>0</v>
      </c>
      <c r="C764" s="34" t="s">
        <v>3369</v>
      </c>
      <c r="D764" s="34" t="s">
        <v>748</v>
      </c>
      <c r="E764" s="36" t="s">
        <v>747</v>
      </c>
    </row>
    <row r="765" spans="1:5">
      <c r="A765" s="34">
        <v>31001</v>
      </c>
      <c r="B765" s="34">
        <v>0</v>
      </c>
      <c r="C765" s="34" t="s">
        <v>3709</v>
      </c>
      <c r="D765" s="34" t="s">
        <v>748</v>
      </c>
      <c r="E765" s="36" t="s">
        <v>612</v>
      </c>
    </row>
    <row r="766" spans="1:5">
      <c r="A766" s="34">
        <v>31002</v>
      </c>
      <c r="B766" s="34">
        <v>0</v>
      </c>
      <c r="C766" s="34" t="s">
        <v>3541</v>
      </c>
      <c r="D766" s="34" t="s">
        <v>749</v>
      </c>
      <c r="E766" s="36" t="s">
        <v>277</v>
      </c>
    </row>
    <row r="767" spans="1:5">
      <c r="A767" s="34">
        <v>31003</v>
      </c>
      <c r="B767" s="34">
        <v>0</v>
      </c>
      <c r="C767" s="34" t="s">
        <v>3371</v>
      </c>
      <c r="D767" s="34" t="s">
        <v>750</v>
      </c>
      <c r="E767" s="36" t="s">
        <v>751</v>
      </c>
    </row>
    <row r="768" spans="1:5">
      <c r="A768" s="34">
        <v>31004</v>
      </c>
      <c r="B768" s="34">
        <v>0</v>
      </c>
      <c r="C768" s="34" t="s">
        <v>3371</v>
      </c>
      <c r="D768" s="34" t="s">
        <v>752</v>
      </c>
      <c r="E768" s="36" t="s">
        <v>751</v>
      </c>
    </row>
    <row r="769" spans="1:5">
      <c r="A769" s="34">
        <v>31005</v>
      </c>
      <c r="B769" s="34">
        <v>0</v>
      </c>
      <c r="C769" s="34" t="s">
        <v>3755</v>
      </c>
      <c r="D769" s="34" t="s">
        <v>753</v>
      </c>
      <c r="E769" s="36" t="s">
        <v>754</v>
      </c>
    </row>
    <row r="770" spans="1:5">
      <c r="A770" s="34">
        <v>31006</v>
      </c>
      <c r="B770" s="34">
        <v>0</v>
      </c>
      <c r="C770" s="34" t="s">
        <v>3756</v>
      </c>
      <c r="D770" s="34" t="s">
        <v>755</v>
      </c>
      <c r="E770" s="36" t="s">
        <v>756</v>
      </c>
    </row>
    <row r="771" spans="1:5">
      <c r="A771" s="34">
        <v>31007</v>
      </c>
      <c r="B771" s="34">
        <v>0</v>
      </c>
      <c r="C771" s="34" t="s">
        <v>3720</v>
      </c>
      <c r="D771" s="34" t="s">
        <v>757</v>
      </c>
      <c r="E771" s="36" t="s">
        <v>635</v>
      </c>
    </row>
    <row r="772" spans="1:5">
      <c r="A772" s="34">
        <v>31008</v>
      </c>
      <c r="B772" s="34">
        <v>0</v>
      </c>
      <c r="C772" s="34" t="s">
        <v>3755</v>
      </c>
      <c r="D772" s="34" t="s">
        <v>758</v>
      </c>
      <c r="E772" s="36" t="s">
        <v>754</v>
      </c>
    </row>
    <row r="773" spans="1:5">
      <c r="A773" s="34">
        <v>31009</v>
      </c>
      <c r="B773" s="34">
        <v>0</v>
      </c>
      <c r="C773" s="34" t="s">
        <v>3757</v>
      </c>
      <c r="D773" s="34" t="s">
        <v>759</v>
      </c>
      <c r="E773" s="36" t="s">
        <v>760</v>
      </c>
    </row>
    <row r="774" spans="1:5">
      <c r="A774" s="34">
        <v>31010</v>
      </c>
      <c r="B774" s="34">
        <v>0</v>
      </c>
      <c r="C774" s="34" t="s">
        <v>3758</v>
      </c>
      <c r="D774" s="34" t="s">
        <v>761</v>
      </c>
      <c r="E774" s="36" t="s">
        <v>762</v>
      </c>
    </row>
    <row r="775" spans="1:5">
      <c r="A775" s="34">
        <v>31011</v>
      </c>
      <c r="B775" s="34">
        <v>0</v>
      </c>
      <c r="C775" s="34" t="s">
        <v>3759</v>
      </c>
      <c r="D775" s="34" t="s">
        <v>763</v>
      </c>
      <c r="E775" s="36" t="s">
        <v>764</v>
      </c>
    </row>
    <row r="776" spans="1:5">
      <c r="A776" s="34">
        <v>31012</v>
      </c>
      <c r="B776" s="34">
        <v>0</v>
      </c>
      <c r="C776" s="34" t="s">
        <v>3759</v>
      </c>
      <c r="D776" s="34" t="s">
        <v>765</v>
      </c>
      <c r="E776" s="36" t="s">
        <v>764</v>
      </c>
    </row>
    <row r="777" spans="1:5">
      <c r="A777" s="34">
        <v>31013</v>
      </c>
      <c r="B777" s="34">
        <v>0</v>
      </c>
      <c r="C777" s="34" t="s">
        <v>3757</v>
      </c>
      <c r="D777" s="34" t="s">
        <v>766</v>
      </c>
      <c r="E777" s="36" t="s">
        <v>760</v>
      </c>
    </row>
    <row r="778" spans="1:5">
      <c r="A778" s="34">
        <v>31014</v>
      </c>
      <c r="B778" s="34">
        <v>0</v>
      </c>
      <c r="C778" s="34" t="s">
        <v>3758</v>
      </c>
      <c r="D778" s="34" t="s">
        <v>767</v>
      </c>
      <c r="E778" s="36" t="s">
        <v>762</v>
      </c>
    </row>
    <row r="779" spans="1:5">
      <c r="A779" s="34">
        <v>31015</v>
      </c>
      <c r="B779" s="34">
        <v>0</v>
      </c>
      <c r="C779" s="34" t="s">
        <v>3382</v>
      </c>
      <c r="D779" s="34" t="s">
        <v>768</v>
      </c>
      <c r="E779" s="36" t="s">
        <v>769</v>
      </c>
    </row>
    <row r="780" spans="1:5">
      <c r="A780" s="34">
        <v>31016</v>
      </c>
      <c r="B780" s="34">
        <v>0</v>
      </c>
      <c r="C780" s="34" t="s">
        <v>3382</v>
      </c>
      <c r="D780" s="34" t="s">
        <v>770</v>
      </c>
      <c r="E780" s="36" t="s">
        <v>769</v>
      </c>
    </row>
    <row r="781" spans="1:5">
      <c r="A781" s="34">
        <v>31017</v>
      </c>
      <c r="B781" s="34">
        <v>0</v>
      </c>
      <c r="C781" s="34" t="s">
        <v>3382</v>
      </c>
      <c r="D781" s="34" t="s">
        <v>771</v>
      </c>
      <c r="E781" s="36" t="s">
        <v>769</v>
      </c>
    </row>
    <row r="782" spans="1:5">
      <c r="A782" s="34">
        <v>31018</v>
      </c>
      <c r="B782" s="34">
        <v>0</v>
      </c>
      <c r="C782" s="34" t="s">
        <v>3382</v>
      </c>
      <c r="D782" s="34" t="s">
        <v>772</v>
      </c>
      <c r="E782" s="36" t="s">
        <v>769</v>
      </c>
    </row>
    <row r="783" spans="1:5">
      <c r="A783" s="34">
        <v>31019</v>
      </c>
      <c r="B783" s="34">
        <v>0</v>
      </c>
      <c r="C783" s="34" t="s">
        <v>3382</v>
      </c>
      <c r="D783" s="34" t="s">
        <v>773</v>
      </c>
      <c r="E783" s="36" t="s">
        <v>769</v>
      </c>
    </row>
    <row r="784" spans="1:5">
      <c r="A784" s="34">
        <v>31020</v>
      </c>
      <c r="B784" s="34">
        <v>0</v>
      </c>
      <c r="C784" s="34" t="s">
        <v>3382</v>
      </c>
      <c r="D784" s="34" t="s">
        <v>774</v>
      </c>
      <c r="E784" s="36" t="s">
        <v>769</v>
      </c>
    </row>
    <row r="785" spans="1:5">
      <c r="A785" s="34">
        <v>31021</v>
      </c>
      <c r="B785" s="34">
        <v>0</v>
      </c>
      <c r="C785" s="34" t="s">
        <v>3382</v>
      </c>
      <c r="D785" s="34" t="s">
        <v>775</v>
      </c>
      <c r="E785" s="36" t="s">
        <v>769</v>
      </c>
    </row>
    <row r="786" spans="1:5">
      <c r="A786" s="34">
        <v>31022</v>
      </c>
      <c r="B786" s="34">
        <v>0</v>
      </c>
      <c r="C786" s="34" t="s">
        <v>3382</v>
      </c>
      <c r="D786" s="34" t="s">
        <v>776</v>
      </c>
      <c r="E786" s="36" t="s">
        <v>769</v>
      </c>
    </row>
    <row r="787" spans="1:5">
      <c r="A787" s="34">
        <v>31023</v>
      </c>
      <c r="B787" s="34">
        <v>0</v>
      </c>
      <c r="C787" s="34" t="s">
        <v>3382</v>
      </c>
      <c r="D787" s="34" t="s">
        <v>777</v>
      </c>
      <c r="E787" s="36" t="s">
        <v>769</v>
      </c>
    </row>
    <row r="788" spans="1:5">
      <c r="A788" s="37">
        <v>31051</v>
      </c>
      <c r="B788" s="204">
        <v>0</v>
      </c>
      <c r="C788" s="204" t="s">
        <v>3709</v>
      </c>
      <c r="D788" s="204" t="s">
        <v>778</v>
      </c>
      <c r="E788" s="39" t="s">
        <v>612</v>
      </c>
    </row>
    <row r="789" spans="1:5">
      <c r="A789" s="37">
        <v>31052</v>
      </c>
      <c r="B789" s="204">
        <v>0</v>
      </c>
      <c r="C789" s="204" t="s">
        <v>3713</v>
      </c>
      <c r="D789" s="204" t="s">
        <v>779</v>
      </c>
      <c r="E789" s="39" t="s">
        <v>621</v>
      </c>
    </row>
    <row r="790" spans="1:5">
      <c r="A790" s="37">
        <v>31053</v>
      </c>
      <c r="B790" s="204">
        <v>0</v>
      </c>
      <c r="C790" s="204" t="s">
        <v>3699</v>
      </c>
      <c r="D790" s="204" t="s">
        <v>780</v>
      </c>
      <c r="E790" s="39" t="s">
        <v>628</v>
      </c>
    </row>
    <row r="791" spans="1:5">
      <c r="A791" s="37">
        <v>31054</v>
      </c>
      <c r="B791" s="204">
        <v>0</v>
      </c>
      <c r="C791" s="204" t="s">
        <v>3354</v>
      </c>
      <c r="D791" s="204" t="s">
        <v>781</v>
      </c>
      <c r="E791" s="39" t="s">
        <v>782</v>
      </c>
    </row>
    <row r="792" spans="1:5">
      <c r="A792" s="37">
        <v>31055</v>
      </c>
      <c r="B792" s="204">
        <v>0</v>
      </c>
      <c r="C792" s="204" t="s">
        <v>3355</v>
      </c>
      <c r="D792" s="204" t="s">
        <v>783</v>
      </c>
      <c r="E792" s="39" t="s">
        <v>599</v>
      </c>
    </row>
    <row r="793" spans="1:5">
      <c r="A793" s="37">
        <v>31056</v>
      </c>
      <c r="B793" s="204">
        <v>0</v>
      </c>
      <c r="C793" s="204" t="s">
        <v>3729</v>
      </c>
      <c r="D793" s="204" t="s">
        <v>784</v>
      </c>
      <c r="E793" s="39" t="s">
        <v>653</v>
      </c>
    </row>
    <row r="794" spans="1:5">
      <c r="A794" s="37">
        <v>31057</v>
      </c>
      <c r="B794" s="204">
        <v>0</v>
      </c>
      <c r="C794" s="204" t="s">
        <v>3360</v>
      </c>
      <c r="D794" s="204" t="s">
        <v>785</v>
      </c>
      <c r="E794" s="39" t="s">
        <v>604</v>
      </c>
    </row>
    <row r="795" spans="1:5">
      <c r="A795" s="37">
        <v>31058</v>
      </c>
      <c r="B795" s="204">
        <v>0</v>
      </c>
      <c r="C795" s="204" t="s">
        <v>3375</v>
      </c>
      <c r="D795" s="204" t="s">
        <v>786</v>
      </c>
      <c r="E795" s="39" t="s">
        <v>787</v>
      </c>
    </row>
    <row r="796" spans="1:5">
      <c r="A796" s="37">
        <v>31059</v>
      </c>
      <c r="B796" s="204">
        <v>0</v>
      </c>
      <c r="C796" s="204" t="s">
        <v>3760</v>
      </c>
      <c r="D796" s="204" t="s">
        <v>788</v>
      </c>
      <c r="E796" s="39" t="s">
        <v>789</v>
      </c>
    </row>
    <row r="797" spans="1:5">
      <c r="A797" s="37">
        <v>31060</v>
      </c>
      <c r="B797" s="204">
        <v>0</v>
      </c>
      <c r="C797" s="204" t="s">
        <v>3761</v>
      </c>
      <c r="D797" s="204" t="s">
        <v>790</v>
      </c>
      <c r="E797" s="39" t="s">
        <v>791</v>
      </c>
    </row>
    <row r="798" spans="1:5">
      <c r="A798" s="37">
        <v>31061</v>
      </c>
      <c r="B798" s="204">
        <v>0</v>
      </c>
      <c r="C798" s="204" t="s">
        <v>3365</v>
      </c>
      <c r="D798" s="204" t="s">
        <v>792</v>
      </c>
      <c r="E798" s="39" t="s">
        <v>793</v>
      </c>
    </row>
    <row r="799" spans="1:5">
      <c r="A799" s="37">
        <v>31062</v>
      </c>
      <c r="B799" s="204">
        <v>0</v>
      </c>
      <c r="C799" s="204" t="s">
        <v>3378</v>
      </c>
      <c r="D799" s="204" t="s">
        <v>794</v>
      </c>
      <c r="E799" s="39" t="s">
        <v>795</v>
      </c>
    </row>
    <row r="800" spans="1:5">
      <c r="A800" s="37">
        <v>31063</v>
      </c>
      <c r="B800" s="204">
        <v>0</v>
      </c>
      <c r="C800" s="204" t="s">
        <v>3762</v>
      </c>
      <c r="D800" s="204" t="s">
        <v>796</v>
      </c>
      <c r="E800" s="39" t="s">
        <v>797</v>
      </c>
    </row>
    <row r="801" spans="1:5">
      <c r="A801" s="37">
        <v>31064</v>
      </c>
      <c r="B801" s="204">
        <v>0</v>
      </c>
      <c r="C801" s="204" t="s">
        <v>3763</v>
      </c>
      <c r="D801" s="204" t="s">
        <v>798</v>
      </c>
      <c r="E801" s="39" t="s">
        <v>799</v>
      </c>
    </row>
    <row r="802" spans="1:5">
      <c r="A802" s="37">
        <v>31065</v>
      </c>
      <c r="B802" s="204">
        <v>0</v>
      </c>
      <c r="C802" s="204" t="s">
        <v>3764</v>
      </c>
      <c r="D802" s="204" t="s">
        <v>800</v>
      </c>
      <c r="E802" s="39" t="s">
        <v>801</v>
      </c>
    </row>
    <row r="803" spans="1:5">
      <c r="A803" s="37">
        <v>31066</v>
      </c>
      <c r="B803" s="204">
        <v>0</v>
      </c>
      <c r="C803" s="204" t="s">
        <v>3765</v>
      </c>
      <c r="D803" s="204" t="s">
        <v>802</v>
      </c>
      <c r="E803" s="39" t="s">
        <v>803</v>
      </c>
    </row>
    <row r="804" spans="1:5">
      <c r="A804" s="37">
        <v>31067</v>
      </c>
      <c r="B804" s="204">
        <v>0</v>
      </c>
      <c r="C804" s="204" t="s">
        <v>3766</v>
      </c>
      <c r="D804" s="204" t="s">
        <v>804</v>
      </c>
      <c r="E804" s="39" t="s">
        <v>805</v>
      </c>
    </row>
    <row r="805" spans="1:5">
      <c r="A805" s="37">
        <v>31068</v>
      </c>
      <c r="B805" s="204">
        <v>0</v>
      </c>
      <c r="C805" s="204" t="s">
        <v>3767</v>
      </c>
      <c r="D805" s="204" t="s">
        <v>806</v>
      </c>
      <c r="E805" s="39" t="s">
        <v>807</v>
      </c>
    </row>
    <row r="806" spans="1:5">
      <c r="A806" s="37">
        <v>31069</v>
      </c>
      <c r="B806" s="204">
        <v>0</v>
      </c>
      <c r="C806" s="204" t="s">
        <v>3768</v>
      </c>
      <c r="D806" s="204" t="s">
        <v>808</v>
      </c>
      <c r="E806" s="39" t="s">
        <v>809</v>
      </c>
    </row>
    <row r="807" spans="1:5">
      <c r="A807" s="37">
        <v>31070</v>
      </c>
      <c r="B807" s="204">
        <v>0</v>
      </c>
      <c r="C807" s="204" t="s">
        <v>3380</v>
      </c>
      <c r="D807" s="204" t="s">
        <v>810</v>
      </c>
      <c r="E807" s="39" t="s">
        <v>811</v>
      </c>
    </row>
    <row r="808" spans="1:5">
      <c r="A808" s="37">
        <v>31071</v>
      </c>
      <c r="B808" s="204">
        <v>0</v>
      </c>
      <c r="C808" s="204" t="s">
        <v>3768</v>
      </c>
      <c r="D808" s="204" t="s">
        <v>812</v>
      </c>
      <c r="E808" s="39" t="s">
        <v>809</v>
      </c>
    </row>
    <row r="809" spans="1:5">
      <c r="A809" s="37">
        <v>31072</v>
      </c>
      <c r="B809" s="204">
        <v>0</v>
      </c>
      <c r="C809" s="204" t="s">
        <v>3769</v>
      </c>
      <c r="D809" s="204" t="s">
        <v>813</v>
      </c>
      <c r="E809" s="39" t="s">
        <v>814</v>
      </c>
    </row>
    <row r="810" spans="1:5">
      <c r="A810" s="37">
        <v>31073</v>
      </c>
      <c r="B810" s="204">
        <v>0</v>
      </c>
      <c r="C810" s="204" t="s">
        <v>3768</v>
      </c>
      <c r="D810" s="204" t="s">
        <v>815</v>
      </c>
      <c r="E810" s="39" t="s">
        <v>809</v>
      </c>
    </row>
    <row r="811" spans="1:5">
      <c r="A811" s="37">
        <v>31074</v>
      </c>
      <c r="B811" s="204">
        <v>0</v>
      </c>
      <c r="C811" s="204" t="s">
        <v>3770</v>
      </c>
      <c r="D811" s="204" t="s">
        <v>816</v>
      </c>
      <c r="E811" s="39" t="s">
        <v>817</v>
      </c>
    </row>
    <row r="812" spans="1:5">
      <c r="A812" s="37">
        <v>31075</v>
      </c>
      <c r="B812" s="204">
        <v>0</v>
      </c>
      <c r="C812" s="204" t="s">
        <v>3768</v>
      </c>
      <c r="D812" s="204" t="s">
        <v>818</v>
      </c>
      <c r="E812" s="39" t="s">
        <v>809</v>
      </c>
    </row>
    <row r="813" spans="1:5">
      <c r="A813" s="37">
        <v>31076</v>
      </c>
      <c r="B813" s="204">
        <v>0</v>
      </c>
      <c r="C813" s="204" t="s">
        <v>3771</v>
      </c>
      <c r="D813" s="204" t="s">
        <v>819</v>
      </c>
      <c r="E813" s="39" t="s">
        <v>820</v>
      </c>
    </row>
    <row r="814" spans="1:5">
      <c r="A814" s="37">
        <v>31077</v>
      </c>
      <c r="B814" s="204">
        <v>0</v>
      </c>
      <c r="C814" s="204" t="s">
        <v>3768</v>
      </c>
      <c r="D814" s="204" t="s">
        <v>821</v>
      </c>
      <c r="E814" s="39" t="s">
        <v>809</v>
      </c>
    </row>
    <row r="815" spans="1:5">
      <c r="A815" s="37">
        <v>31078</v>
      </c>
      <c r="B815" s="204">
        <v>0</v>
      </c>
      <c r="C815" s="204" t="s">
        <v>3382</v>
      </c>
      <c r="D815" s="204" t="s">
        <v>822</v>
      </c>
      <c r="E815" s="39" t="s">
        <v>769</v>
      </c>
    </row>
    <row r="816" spans="1:5">
      <c r="A816" s="37">
        <v>31079</v>
      </c>
      <c r="B816" s="204">
        <v>0</v>
      </c>
      <c r="C816" s="204" t="s">
        <v>3768</v>
      </c>
      <c r="D816" s="204" t="s">
        <v>823</v>
      </c>
      <c r="E816" s="39" t="s">
        <v>809</v>
      </c>
    </row>
    <row r="817" spans="1:5">
      <c r="A817" s="37">
        <v>31080</v>
      </c>
      <c r="B817" s="204">
        <v>0</v>
      </c>
      <c r="C817" s="204" t="s">
        <v>3382</v>
      </c>
      <c r="D817" s="204" t="s">
        <v>824</v>
      </c>
      <c r="E817" s="39" t="s">
        <v>769</v>
      </c>
    </row>
    <row r="818" spans="1:5">
      <c r="A818" s="37">
        <v>31081</v>
      </c>
      <c r="B818" s="204">
        <v>0</v>
      </c>
      <c r="C818" s="204" t="s">
        <v>3768</v>
      </c>
      <c r="D818" s="204" t="s">
        <v>825</v>
      </c>
      <c r="E818" s="39" t="s">
        <v>809</v>
      </c>
    </row>
    <row r="819" spans="1:5">
      <c r="A819" s="37">
        <v>31082</v>
      </c>
      <c r="B819" s="204">
        <v>0</v>
      </c>
      <c r="C819" s="204" t="s">
        <v>3382</v>
      </c>
      <c r="D819" s="204" t="s">
        <v>826</v>
      </c>
      <c r="E819" s="39" t="s">
        <v>769</v>
      </c>
    </row>
    <row r="820" spans="1:5">
      <c r="A820" s="37">
        <v>31083</v>
      </c>
      <c r="B820" s="204">
        <v>0</v>
      </c>
      <c r="C820" s="204" t="s">
        <v>3768</v>
      </c>
      <c r="D820" s="204" t="s">
        <v>827</v>
      </c>
      <c r="E820" s="39" t="s">
        <v>809</v>
      </c>
    </row>
    <row r="821" spans="1:5">
      <c r="A821" s="37">
        <v>31084</v>
      </c>
      <c r="B821" s="204">
        <v>0</v>
      </c>
      <c r="C821" s="204" t="s">
        <v>3772</v>
      </c>
      <c r="D821" s="204" t="s">
        <v>828</v>
      </c>
      <c r="E821" s="39" t="s">
        <v>829</v>
      </c>
    </row>
    <row r="822" spans="1:5">
      <c r="A822" s="37">
        <v>31085</v>
      </c>
      <c r="B822" s="204">
        <v>0</v>
      </c>
      <c r="C822" s="204" t="s">
        <v>3768</v>
      </c>
      <c r="D822" s="204" t="s">
        <v>830</v>
      </c>
      <c r="E822" s="39" t="s">
        <v>809</v>
      </c>
    </row>
    <row r="823" spans="1:5">
      <c r="A823" s="37">
        <v>31086</v>
      </c>
      <c r="B823" s="204">
        <v>0</v>
      </c>
      <c r="C823" s="204" t="s">
        <v>3773</v>
      </c>
      <c r="D823" s="204" t="s">
        <v>831</v>
      </c>
      <c r="E823" s="39" t="s">
        <v>832</v>
      </c>
    </row>
    <row r="824" spans="1:5">
      <c r="A824" s="37">
        <v>31087</v>
      </c>
      <c r="B824" s="204">
        <v>0</v>
      </c>
      <c r="C824" s="204" t="s">
        <v>3768</v>
      </c>
      <c r="D824" s="204" t="s">
        <v>833</v>
      </c>
      <c r="E824" s="39" t="s">
        <v>809</v>
      </c>
    </row>
    <row r="825" spans="1:5">
      <c r="A825" s="37">
        <v>31088</v>
      </c>
      <c r="B825" s="204">
        <v>0</v>
      </c>
      <c r="C825" s="204" t="s">
        <v>3774</v>
      </c>
      <c r="D825" s="204" t="s">
        <v>834</v>
      </c>
      <c r="E825" s="39" t="s">
        <v>835</v>
      </c>
    </row>
    <row r="826" spans="1:5">
      <c r="A826" s="37">
        <v>31089</v>
      </c>
      <c r="B826" s="204">
        <v>0</v>
      </c>
      <c r="C826" s="204" t="s">
        <v>3768</v>
      </c>
      <c r="D826" s="204" t="s">
        <v>836</v>
      </c>
      <c r="E826" s="39" t="s">
        <v>809</v>
      </c>
    </row>
    <row r="827" spans="1:5">
      <c r="A827" s="37">
        <v>31090</v>
      </c>
      <c r="B827" s="204">
        <v>0</v>
      </c>
      <c r="C827" s="204" t="s">
        <v>3384</v>
      </c>
      <c r="D827" s="204" t="s">
        <v>837</v>
      </c>
      <c r="E827" s="39" t="s">
        <v>838</v>
      </c>
    </row>
    <row r="828" spans="1:5">
      <c r="A828" s="37">
        <v>31091</v>
      </c>
      <c r="B828" s="204">
        <v>0</v>
      </c>
      <c r="C828" s="204" t="s">
        <v>3768</v>
      </c>
      <c r="D828" s="204" t="s">
        <v>839</v>
      </c>
      <c r="E828" s="39" t="s">
        <v>809</v>
      </c>
    </row>
    <row r="829" spans="1:5">
      <c r="A829" s="37">
        <v>31092</v>
      </c>
      <c r="B829" s="204">
        <v>0</v>
      </c>
      <c r="C829" s="204" t="s">
        <v>3775</v>
      </c>
      <c r="D829" s="204" t="s">
        <v>840</v>
      </c>
      <c r="E829" s="39" t="s">
        <v>841</v>
      </c>
    </row>
    <row r="830" spans="1:5">
      <c r="A830" s="37">
        <v>31093</v>
      </c>
      <c r="B830" s="204">
        <v>0</v>
      </c>
      <c r="C830" s="204" t="s">
        <v>3768</v>
      </c>
      <c r="D830" s="204" t="s">
        <v>842</v>
      </c>
      <c r="E830" s="39" t="s">
        <v>809</v>
      </c>
    </row>
    <row r="831" spans="1:5">
      <c r="A831" s="1">
        <v>31101</v>
      </c>
      <c r="B831" s="1">
        <v>0</v>
      </c>
      <c r="C831" s="1" t="s">
        <v>3776</v>
      </c>
      <c r="D831" s="1" t="s">
        <v>843</v>
      </c>
      <c r="E831" s="3" t="s">
        <v>844</v>
      </c>
    </row>
    <row r="832" spans="1:5">
      <c r="A832" s="1">
        <v>31102</v>
      </c>
      <c r="B832" s="1">
        <v>0</v>
      </c>
      <c r="C832" s="1" t="s">
        <v>3754</v>
      </c>
      <c r="D832" s="1" t="s">
        <v>845</v>
      </c>
      <c r="E832" s="3" t="s">
        <v>741</v>
      </c>
    </row>
    <row r="833" spans="1:5">
      <c r="A833" s="1">
        <v>31103</v>
      </c>
      <c r="B833" s="1">
        <v>0</v>
      </c>
      <c r="C833" s="1" t="s">
        <v>3777</v>
      </c>
      <c r="D833" s="1" t="s">
        <v>846</v>
      </c>
      <c r="E833" s="3" t="s">
        <v>847</v>
      </c>
    </row>
    <row r="834" spans="1:5">
      <c r="A834" s="1">
        <v>31104</v>
      </c>
      <c r="B834" s="1">
        <v>0</v>
      </c>
      <c r="C834" s="1" t="s">
        <v>3778</v>
      </c>
      <c r="D834" s="1" t="s">
        <v>848</v>
      </c>
      <c r="E834" s="3" t="s">
        <v>849</v>
      </c>
    </row>
    <row r="835" spans="1:5">
      <c r="A835" s="1">
        <v>31105</v>
      </c>
      <c r="B835" s="1">
        <v>0</v>
      </c>
      <c r="C835" s="1" t="s">
        <v>3371</v>
      </c>
      <c r="D835" s="1" t="s">
        <v>850</v>
      </c>
      <c r="E835" s="3" t="s">
        <v>751</v>
      </c>
    </row>
    <row r="836" spans="1:5">
      <c r="A836" s="1">
        <v>31106</v>
      </c>
      <c r="B836" s="1">
        <v>0</v>
      </c>
      <c r="C836" s="1" t="s">
        <v>3779</v>
      </c>
      <c r="D836" s="1" t="s">
        <v>851</v>
      </c>
      <c r="E836" s="3" t="s">
        <v>852</v>
      </c>
    </row>
    <row r="837" spans="1:5">
      <c r="A837" s="1">
        <v>31107</v>
      </c>
      <c r="B837" s="1">
        <v>0</v>
      </c>
      <c r="C837" s="1" t="s">
        <v>3780</v>
      </c>
      <c r="D837" s="1" t="s">
        <v>853</v>
      </c>
      <c r="E837" s="3" t="s">
        <v>854</v>
      </c>
    </row>
    <row r="838" spans="1:5">
      <c r="A838" s="1">
        <v>31108</v>
      </c>
      <c r="B838" s="1">
        <v>0</v>
      </c>
      <c r="C838" s="1" t="s">
        <v>3781</v>
      </c>
      <c r="D838" s="1" t="s">
        <v>855</v>
      </c>
      <c r="E838" s="3" t="s">
        <v>856</v>
      </c>
    </row>
    <row r="839" spans="1:5">
      <c r="A839" s="1">
        <v>31109</v>
      </c>
      <c r="B839" s="1">
        <v>0</v>
      </c>
      <c r="C839" s="1" t="s">
        <v>3782</v>
      </c>
      <c r="D839" s="1" t="s">
        <v>857</v>
      </c>
      <c r="E839" s="3" t="s">
        <v>858</v>
      </c>
    </row>
    <row r="840" spans="1:5">
      <c r="A840" s="1">
        <v>31110</v>
      </c>
      <c r="B840" s="1">
        <v>0</v>
      </c>
      <c r="C840" s="1" t="s">
        <v>3378</v>
      </c>
      <c r="D840" s="1" t="s">
        <v>859</v>
      </c>
      <c r="E840" s="3" t="s">
        <v>795</v>
      </c>
    </row>
    <row r="841" spans="1:5">
      <c r="A841" s="1">
        <v>31111</v>
      </c>
      <c r="B841" s="1">
        <v>0</v>
      </c>
      <c r="C841" s="1" t="s">
        <v>3783</v>
      </c>
      <c r="D841" s="1" t="s">
        <v>860</v>
      </c>
      <c r="E841" s="3" t="s">
        <v>861</v>
      </c>
    </row>
    <row r="842" spans="1:5">
      <c r="A842" s="1">
        <v>31112</v>
      </c>
      <c r="B842" s="1">
        <v>0</v>
      </c>
      <c r="C842" s="1" t="s">
        <v>3784</v>
      </c>
      <c r="D842" s="1" t="s">
        <v>862</v>
      </c>
      <c r="E842" s="3" t="s">
        <v>863</v>
      </c>
    </row>
    <row r="843" spans="1:5">
      <c r="A843" s="1">
        <v>31113</v>
      </c>
      <c r="B843" s="1">
        <v>0</v>
      </c>
      <c r="C843" s="1" t="s">
        <v>3785</v>
      </c>
      <c r="D843" s="1" t="s">
        <v>864</v>
      </c>
      <c r="E843" s="3" t="s">
        <v>865</v>
      </c>
    </row>
    <row r="844" spans="1:5">
      <c r="A844" s="1">
        <v>31114</v>
      </c>
      <c r="B844" s="1">
        <v>0</v>
      </c>
      <c r="C844" s="1" t="s">
        <v>3786</v>
      </c>
      <c r="D844" s="1" t="s">
        <v>866</v>
      </c>
      <c r="E844" s="3" t="s">
        <v>867</v>
      </c>
    </row>
    <row r="845" spans="1:5">
      <c r="A845" s="1">
        <v>31115</v>
      </c>
      <c r="B845" s="1">
        <v>0</v>
      </c>
      <c r="C845" s="1" t="s">
        <v>3770</v>
      </c>
      <c r="D845" s="1" t="s">
        <v>868</v>
      </c>
      <c r="E845" s="3" t="s">
        <v>817</v>
      </c>
    </row>
    <row r="846" spans="1:5">
      <c r="A846" s="1">
        <v>31116</v>
      </c>
      <c r="B846" s="1">
        <v>0</v>
      </c>
      <c r="C846" s="1" t="s">
        <v>3787</v>
      </c>
      <c r="D846" s="1" t="s">
        <v>869</v>
      </c>
      <c r="E846" s="3" t="s">
        <v>870</v>
      </c>
    </row>
    <row r="847" spans="1:5">
      <c r="A847" s="1">
        <v>31117</v>
      </c>
      <c r="B847" s="1">
        <v>0</v>
      </c>
      <c r="C847" s="1" t="s">
        <v>3788</v>
      </c>
      <c r="D847" s="1" t="s">
        <v>871</v>
      </c>
      <c r="E847" s="3" t="s">
        <v>872</v>
      </c>
    </row>
    <row r="848" spans="1:5">
      <c r="A848" s="1">
        <v>31151</v>
      </c>
      <c r="B848" s="1">
        <v>0</v>
      </c>
      <c r="C848" s="1" t="s">
        <v>3776</v>
      </c>
      <c r="D848" s="1" t="s">
        <v>873</v>
      </c>
      <c r="E848" s="3" t="s">
        <v>844</v>
      </c>
    </row>
    <row r="849" spans="1:5">
      <c r="A849" s="1">
        <v>31152</v>
      </c>
      <c r="B849" s="1">
        <v>0</v>
      </c>
      <c r="C849" s="1" t="s">
        <v>3754</v>
      </c>
      <c r="D849" s="1" t="s">
        <v>874</v>
      </c>
      <c r="E849" s="3" t="s">
        <v>741</v>
      </c>
    </row>
    <row r="850" spans="1:5">
      <c r="A850" s="1">
        <v>31153</v>
      </c>
      <c r="B850" s="1">
        <v>0</v>
      </c>
      <c r="C850" s="1" t="s">
        <v>3777</v>
      </c>
      <c r="D850" s="1" t="s">
        <v>875</v>
      </c>
      <c r="E850" s="3" t="s">
        <v>847</v>
      </c>
    </row>
    <row r="851" spans="1:5">
      <c r="A851" s="1">
        <v>31154</v>
      </c>
      <c r="B851" s="1">
        <v>0</v>
      </c>
      <c r="C851" s="1" t="s">
        <v>3778</v>
      </c>
      <c r="D851" s="1" t="s">
        <v>876</v>
      </c>
      <c r="E851" s="3" t="s">
        <v>849</v>
      </c>
    </row>
    <row r="852" spans="1:5">
      <c r="A852" s="1">
        <v>31155</v>
      </c>
      <c r="B852" s="1">
        <v>0</v>
      </c>
      <c r="C852" s="1" t="s">
        <v>3371</v>
      </c>
      <c r="D852" s="1" t="s">
        <v>877</v>
      </c>
      <c r="E852" s="3" t="s">
        <v>751</v>
      </c>
    </row>
    <row r="853" spans="1:5">
      <c r="A853" s="1">
        <v>31156</v>
      </c>
      <c r="B853" s="1">
        <v>0</v>
      </c>
      <c r="C853" s="1" t="s">
        <v>3779</v>
      </c>
      <c r="D853" s="1" t="s">
        <v>878</v>
      </c>
      <c r="E853" s="3" t="s">
        <v>852</v>
      </c>
    </row>
    <row r="854" spans="1:5">
      <c r="A854" s="1">
        <v>31157</v>
      </c>
      <c r="B854" s="1">
        <v>0</v>
      </c>
      <c r="C854" s="1" t="s">
        <v>3780</v>
      </c>
      <c r="D854" s="1" t="s">
        <v>879</v>
      </c>
      <c r="E854" s="3" t="s">
        <v>854</v>
      </c>
    </row>
    <row r="855" spans="1:5">
      <c r="A855" s="1">
        <v>31158</v>
      </c>
      <c r="B855" s="1">
        <v>0</v>
      </c>
      <c r="C855" s="1" t="s">
        <v>3781</v>
      </c>
      <c r="D855" s="1" t="s">
        <v>880</v>
      </c>
      <c r="E855" s="3" t="s">
        <v>856</v>
      </c>
    </row>
    <row r="856" spans="1:5">
      <c r="A856" s="1">
        <v>31159</v>
      </c>
      <c r="B856" s="1">
        <v>0</v>
      </c>
      <c r="C856" s="1" t="s">
        <v>3782</v>
      </c>
      <c r="D856" s="1" t="s">
        <v>881</v>
      </c>
      <c r="E856" s="3" t="s">
        <v>858</v>
      </c>
    </row>
    <row r="857" spans="1:5">
      <c r="A857" s="1">
        <v>31160</v>
      </c>
      <c r="B857" s="1">
        <v>0</v>
      </c>
      <c r="C857" s="1" t="s">
        <v>3378</v>
      </c>
      <c r="D857" s="1" t="s">
        <v>882</v>
      </c>
      <c r="E857" s="3" t="s">
        <v>795</v>
      </c>
    </row>
    <row r="858" spans="1:5">
      <c r="A858" s="1">
        <v>31161</v>
      </c>
      <c r="B858" s="1">
        <v>0</v>
      </c>
      <c r="C858" s="1" t="s">
        <v>3783</v>
      </c>
      <c r="D858" s="1" t="s">
        <v>883</v>
      </c>
      <c r="E858" s="3" t="s">
        <v>861</v>
      </c>
    </row>
    <row r="859" spans="1:5">
      <c r="A859" s="1">
        <v>31162</v>
      </c>
      <c r="B859" s="1">
        <v>0</v>
      </c>
      <c r="C859" s="1" t="s">
        <v>3784</v>
      </c>
      <c r="D859" s="1" t="s">
        <v>884</v>
      </c>
      <c r="E859" s="3" t="s">
        <v>863</v>
      </c>
    </row>
    <row r="860" spans="1:5">
      <c r="A860" s="1">
        <v>31163</v>
      </c>
      <c r="B860" s="1">
        <v>0</v>
      </c>
      <c r="C860" s="1" t="s">
        <v>3785</v>
      </c>
      <c r="D860" s="1" t="s">
        <v>885</v>
      </c>
      <c r="E860" s="3" t="s">
        <v>865</v>
      </c>
    </row>
    <row r="861" spans="1:5">
      <c r="A861" s="1">
        <v>31164</v>
      </c>
      <c r="B861" s="1">
        <v>0</v>
      </c>
      <c r="C861" s="1" t="s">
        <v>3786</v>
      </c>
      <c r="D861" s="1" t="s">
        <v>886</v>
      </c>
      <c r="E861" s="3" t="s">
        <v>867</v>
      </c>
    </row>
    <row r="862" spans="1:5">
      <c r="A862" s="1">
        <v>31165</v>
      </c>
      <c r="B862" s="1">
        <v>0</v>
      </c>
      <c r="C862" s="1" t="s">
        <v>3770</v>
      </c>
      <c r="D862" s="1" t="s">
        <v>887</v>
      </c>
      <c r="E862" s="3" t="s">
        <v>817</v>
      </c>
    </row>
    <row r="863" spans="1:5">
      <c r="A863" s="1">
        <v>31166</v>
      </c>
      <c r="B863" s="1">
        <v>0</v>
      </c>
      <c r="C863" s="1" t="s">
        <v>3787</v>
      </c>
      <c r="D863" s="1" t="s">
        <v>888</v>
      </c>
      <c r="E863" s="3" t="s">
        <v>870</v>
      </c>
    </row>
    <row r="864" spans="1:5">
      <c r="A864" s="40">
        <v>31200</v>
      </c>
      <c r="B864" s="40">
        <v>0</v>
      </c>
      <c r="C864" s="40" t="s">
        <v>3789</v>
      </c>
      <c r="D864" s="40" t="s">
        <v>6200</v>
      </c>
      <c r="E864" s="42" t="s">
        <v>890</v>
      </c>
    </row>
    <row r="865" spans="1:5">
      <c r="A865" s="40">
        <v>31201</v>
      </c>
      <c r="B865" s="40">
        <v>0</v>
      </c>
      <c r="C865" s="40" t="s">
        <v>3789</v>
      </c>
      <c r="D865" s="40" t="s">
        <v>889</v>
      </c>
      <c r="E865" s="42" t="s">
        <v>890</v>
      </c>
    </row>
    <row r="866" spans="1:5">
      <c r="A866" s="40">
        <v>31202</v>
      </c>
      <c r="B866" s="40">
        <v>0</v>
      </c>
      <c r="C866" s="40" t="s">
        <v>3790</v>
      </c>
      <c r="D866" s="40" t="s">
        <v>891</v>
      </c>
      <c r="E866" s="42" t="s">
        <v>892</v>
      </c>
    </row>
    <row r="867" spans="1:5">
      <c r="A867" s="40">
        <v>31203</v>
      </c>
      <c r="B867" s="40">
        <v>0</v>
      </c>
      <c r="C867" s="40" t="s">
        <v>3791</v>
      </c>
      <c r="D867" s="40" t="s">
        <v>893</v>
      </c>
      <c r="E867" s="42" t="s">
        <v>894</v>
      </c>
    </row>
    <row r="868" spans="1:5">
      <c r="A868" s="40">
        <v>31204</v>
      </c>
      <c r="B868" s="40">
        <v>0</v>
      </c>
      <c r="C868" s="40" t="s">
        <v>3792</v>
      </c>
      <c r="D868" s="40" t="s">
        <v>895</v>
      </c>
      <c r="E868" s="42" t="s">
        <v>896</v>
      </c>
    </row>
    <row r="869" spans="1:5">
      <c r="A869" s="40">
        <v>31205</v>
      </c>
      <c r="B869" s="40">
        <v>0</v>
      </c>
      <c r="C869" s="40" t="s">
        <v>3793</v>
      </c>
      <c r="D869" s="40" t="s">
        <v>897</v>
      </c>
      <c r="E869" s="42" t="s">
        <v>898</v>
      </c>
    </row>
    <row r="870" spans="1:5">
      <c r="A870" s="40">
        <v>31206</v>
      </c>
      <c r="B870" s="40">
        <v>0</v>
      </c>
      <c r="C870" s="40" t="s">
        <v>3794</v>
      </c>
      <c r="D870" s="40" t="s">
        <v>899</v>
      </c>
      <c r="E870" s="42" t="s">
        <v>900</v>
      </c>
    </row>
    <row r="871" spans="1:5">
      <c r="A871" s="40">
        <v>31207</v>
      </c>
      <c r="B871" s="40">
        <v>0</v>
      </c>
      <c r="C871" s="40" t="s">
        <v>3795</v>
      </c>
      <c r="D871" s="40" t="s">
        <v>901</v>
      </c>
      <c r="E871" s="42" t="s">
        <v>902</v>
      </c>
    </row>
    <row r="872" spans="1:5">
      <c r="A872" s="40">
        <v>31208</v>
      </c>
      <c r="B872" s="40">
        <v>0</v>
      </c>
      <c r="C872" s="40" t="s">
        <v>3796</v>
      </c>
      <c r="D872" s="40" t="s">
        <v>903</v>
      </c>
      <c r="E872" s="42" t="s">
        <v>904</v>
      </c>
    </row>
    <row r="873" spans="1:5">
      <c r="A873" s="40">
        <v>31209</v>
      </c>
      <c r="B873" s="40">
        <v>0</v>
      </c>
      <c r="C873" s="40" t="s">
        <v>3797</v>
      </c>
      <c r="D873" s="40" t="s">
        <v>905</v>
      </c>
      <c r="E873" s="42" t="s">
        <v>906</v>
      </c>
    </row>
    <row r="874" spans="1:5">
      <c r="A874" s="40">
        <v>31210</v>
      </c>
      <c r="B874" s="40">
        <v>0</v>
      </c>
      <c r="C874" s="40" t="s">
        <v>3798</v>
      </c>
      <c r="D874" s="40" t="s">
        <v>907</v>
      </c>
      <c r="E874" s="42" t="s">
        <v>908</v>
      </c>
    </row>
    <row r="875" spans="1:5">
      <c r="A875" s="40">
        <v>31211</v>
      </c>
      <c r="B875" s="40">
        <v>0</v>
      </c>
      <c r="C875" s="40" t="s">
        <v>3799</v>
      </c>
      <c r="D875" s="40" t="s">
        <v>909</v>
      </c>
      <c r="E875" s="42" t="s">
        <v>910</v>
      </c>
    </row>
    <row r="876" spans="1:5">
      <c r="A876" s="40">
        <v>31212</v>
      </c>
      <c r="B876" s="40">
        <v>0</v>
      </c>
      <c r="C876" s="40" t="s">
        <v>3800</v>
      </c>
      <c r="D876" s="40" t="s">
        <v>911</v>
      </c>
      <c r="E876" s="42" t="s">
        <v>912</v>
      </c>
    </row>
    <row r="877" spans="1:5">
      <c r="A877" s="40">
        <v>31213</v>
      </c>
      <c r="B877" s="40">
        <v>0</v>
      </c>
      <c r="C877" s="40" t="s">
        <v>3801</v>
      </c>
      <c r="D877" s="40" t="s">
        <v>913</v>
      </c>
      <c r="E877" s="42" t="s">
        <v>914</v>
      </c>
    </row>
    <row r="878" spans="1:5">
      <c r="A878" s="40">
        <v>31214</v>
      </c>
      <c r="B878" s="40">
        <v>0</v>
      </c>
      <c r="C878" s="40" t="s">
        <v>3802</v>
      </c>
      <c r="D878" s="40" t="s">
        <v>915</v>
      </c>
      <c r="E878" s="42" t="s">
        <v>916</v>
      </c>
    </row>
    <row r="879" spans="1:5">
      <c r="A879" s="40">
        <v>31215</v>
      </c>
      <c r="B879" s="40">
        <v>0</v>
      </c>
      <c r="C879" s="40" t="s">
        <v>3803</v>
      </c>
      <c r="D879" s="40" t="s">
        <v>917</v>
      </c>
      <c r="E879" s="42" t="s">
        <v>918</v>
      </c>
    </row>
    <row r="880" spans="1:5">
      <c r="A880" s="40">
        <v>31216</v>
      </c>
      <c r="B880" s="40">
        <v>0</v>
      </c>
      <c r="C880" s="40" t="s">
        <v>3804</v>
      </c>
      <c r="D880" s="40" t="s">
        <v>919</v>
      </c>
      <c r="E880" s="42" t="s">
        <v>920</v>
      </c>
    </row>
    <row r="881" spans="1:5">
      <c r="A881" s="40">
        <v>31217</v>
      </c>
      <c r="B881" s="40">
        <v>0</v>
      </c>
      <c r="C881" s="40" t="s">
        <v>3805</v>
      </c>
      <c r="D881" s="40" t="s">
        <v>921</v>
      </c>
      <c r="E881" s="42" t="s">
        <v>922</v>
      </c>
    </row>
    <row r="882" spans="1:5">
      <c r="A882" s="40">
        <v>31218</v>
      </c>
      <c r="B882" s="40">
        <v>0</v>
      </c>
      <c r="C882" s="40" t="s">
        <v>3806</v>
      </c>
      <c r="D882" s="40" t="s">
        <v>923</v>
      </c>
      <c r="E882" s="42" t="s">
        <v>924</v>
      </c>
    </row>
    <row r="883" spans="1:5">
      <c r="A883" s="40">
        <v>31219</v>
      </c>
      <c r="B883" s="40">
        <v>0</v>
      </c>
      <c r="C883" s="40" t="s">
        <v>3807</v>
      </c>
      <c r="D883" s="40" t="s">
        <v>925</v>
      </c>
      <c r="E883" s="42" t="s">
        <v>4637</v>
      </c>
    </row>
    <row r="884" spans="1:5">
      <c r="A884" s="43">
        <v>31251</v>
      </c>
      <c r="B884" s="43">
        <v>0</v>
      </c>
      <c r="C884" s="43" t="s">
        <v>3366</v>
      </c>
      <c r="D884" s="43" t="s">
        <v>6201</v>
      </c>
      <c r="E884" s="45" t="s">
        <v>981</v>
      </c>
    </row>
    <row r="885" spans="1:5">
      <c r="A885" s="43">
        <v>31252</v>
      </c>
      <c r="B885" s="43">
        <v>0</v>
      </c>
      <c r="C885" s="43" t="s">
        <v>3366</v>
      </c>
      <c r="D885" s="43" t="s">
        <v>6202</v>
      </c>
      <c r="E885" s="45" t="s">
        <v>981</v>
      </c>
    </row>
    <row r="886" spans="1:5">
      <c r="A886" s="43">
        <v>31253</v>
      </c>
      <c r="B886" s="43">
        <v>0</v>
      </c>
      <c r="C886" s="43" t="s">
        <v>3368</v>
      </c>
      <c r="D886" s="43" t="s">
        <v>6203</v>
      </c>
      <c r="E886" s="45" t="s">
        <v>983</v>
      </c>
    </row>
    <row r="887" spans="1:5">
      <c r="A887" s="43">
        <v>31254</v>
      </c>
      <c r="B887" s="43">
        <v>0</v>
      </c>
      <c r="C887" s="43" t="s">
        <v>3368</v>
      </c>
      <c r="D887" s="43" t="s">
        <v>6204</v>
      </c>
      <c r="E887" s="45" t="s">
        <v>983</v>
      </c>
    </row>
    <row r="888" spans="1:5">
      <c r="A888" s="43">
        <v>31255</v>
      </c>
      <c r="B888" s="43">
        <v>0</v>
      </c>
      <c r="C888" s="43" t="s">
        <v>3369</v>
      </c>
      <c r="D888" s="43" t="s">
        <v>6205</v>
      </c>
      <c r="E888" s="45" t="s">
        <v>747</v>
      </c>
    </row>
    <row r="889" spans="1:5">
      <c r="A889" s="43">
        <v>31256</v>
      </c>
      <c r="B889" s="43">
        <v>0</v>
      </c>
      <c r="C889" s="43" t="s">
        <v>3369</v>
      </c>
      <c r="D889" s="43" t="s">
        <v>6206</v>
      </c>
      <c r="E889" s="45" t="s">
        <v>747</v>
      </c>
    </row>
    <row r="890" spans="1:5">
      <c r="A890" s="43">
        <v>31257</v>
      </c>
      <c r="B890" s="43">
        <v>0</v>
      </c>
      <c r="C890" s="43" t="s">
        <v>3370</v>
      </c>
      <c r="D890" s="43" t="s">
        <v>6207</v>
      </c>
      <c r="E890" s="45" t="s">
        <v>986</v>
      </c>
    </row>
    <row r="891" spans="1:5">
      <c r="A891" s="43">
        <v>31258</v>
      </c>
      <c r="B891" s="43">
        <v>0</v>
      </c>
      <c r="C891" s="43" t="s">
        <v>3370</v>
      </c>
      <c r="D891" s="43" t="s">
        <v>6208</v>
      </c>
      <c r="E891" s="45" t="s">
        <v>986</v>
      </c>
    </row>
    <row r="892" spans="1:5">
      <c r="A892" s="43">
        <v>31259</v>
      </c>
      <c r="B892" s="43">
        <v>0</v>
      </c>
      <c r="C892" s="43" t="s">
        <v>3371</v>
      </c>
      <c r="D892" s="43" t="s">
        <v>6209</v>
      </c>
      <c r="E892" s="45" t="s">
        <v>751</v>
      </c>
    </row>
    <row r="893" spans="1:5">
      <c r="A893" s="43">
        <v>31260</v>
      </c>
      <c r="B893" s="43">
        <v>0</v>
      </c>
      <c r="C893" s="43" t="s">
        <v>3371</v>
      </c>
      <c r="D893" s="43" t="s">
        <v>6210</v>
      </c>
      <c r="E893" s="45" t="s">
        <v>751</v>
      </c>
    </row>
    <row r="894" spans="1:5">
      <c r="A894" s="43">
        <v>31261</v>
      </c>
      <c r="B894" s="43">
        <v>0</v>
      </c>
      <c r="C894" s="43" t="s">
        <v>3372</v>
      </c>
      <c r="D894" s="43" t="s">
        <v>6211</v>
      </c>
      <c r="E894" s="45" t="s">
        <v>989</v>
      </c>
    </row>
    <row r="895" spans="1:5">
      <c r="A895" s="43">
        <v>31262</v>
      </c>
      <c r="B895" s="43">
        <v>0</v>
      </c>
      <c r="C895" s="43" t="s">
        <v>3372</v>
      </c>
      <c r="D895" s="43" t="s">
        <v>6212</v>
      </c>
      <c r="E895" s="45" t="s">
        <v>989</v>
      </c>
    </row>
    <row r="896" spans="1:5">
      <c r="A896" s="43">
        <v>31263</v>
      </c>
      <c r="B896" s="43">
        <v>0</v>
      </c>
      <c r="C896" s="43" t="s">
        <v>3373</v>
      </c>
      <c r="D896" s="43" t="s">
        <v>6213</v>
      </c>
      <c r="E896" s="45" t="s">
        <v>991</v>
      </c>
    </row>
    <row r="897" spans="1:5">
      <c r="A897" s="43">
        <v>31264</v>
      </c>
      <c r="B897" s="43">
        <v>0</v>
      </c>
      <c r="C897" s="43" t="s">
        <v>3373</v>
      </c>
      <c r="D897" s="43" t="s">
        <v>6214</v>
      </c>
      <c r="E897" s="45" t="s">
        <v>991</v>
      </c>
    </row>
    <row r="898" spans="1:5">
      <c r="A898" s="43">
        <v>31265</v>
      </c>
      <c r="B898" s="43">
        <v>0</v>
      </c>
      <c r="C898" s="43" t="s">
        <v>3374</v>
      </c>
      <c r="D898" s="43" t="s">
        <v>6215</v>
      </c>
      <c r="E898" s="45" t="s">
        <v>993</v>
      </c>
    </row>
    <row r="899" spans="1:5">
      <c r="A899" s="43">
        <v>31266</v>
      </c>
      <c r="B899" s="43">
        <v>0</v>
      </c>
      <c r="C899" s="43" t="s">
        <v>3374</v>
      </c>
      <c r="D899" s="43" t="s">
        <v>6216</v>
      </c>
      <c r="E899" s="45" t="s">
        <v>993</v>
      </c>
    </row>
    <row r="900" spans="1:5">
      <c r="A900" s="43">
        <v>31267</v>
      </c>
      <c r="B900" s="43">
        <v>0</v>
      </c>
      <c r="C900" s="43" t="s">
        <v>3375</v>
      </c>
      <c r="D900" s="43" t="s">
        <v>6217</v>
      </c>
      <c r="E900" s="45" t="s">
        <v>787</v>
      </c>
    </row>
    <row r="901" spans="1:5">
      <c r="A901" s="43">
        <v>31268</v>
      </c>
      <c r="B901" s="43">
        <v>0</v>
      </c>
      <c r="C901" s="43" t="s">
        <v>3375</v>
      </c>
      <c r="D901" s="43" t="s">
        <v>6218</v>
      </c>
      <c r="E901" s="45" t="s">
        <v>787</v>
      </c>
    </row>
    <row r="902" spans="1:5">
      <c r="A902" s="43">
        <v>31269</v>
      </c>
      <c r="B902" s="43">
        <v>0</v>
      </c>
      <c r="C902" s="43" t="s">
        <v>3761</v>
      </c>
      <c r="D902" s="43" t="s">
        <v>6219</v>
      </c>
      <c r="E902" s="45" t="s">
        <v>791</v>
      </c>
    </row>
    <row r="903" spans="1:5">
      <c r="A903" s="43">
        <v>31270</v>
      </c>
      <c r="B903" s="43">
        <v>0</v>
      </c>
      <c r="C903" s="43" t="s">
        <v>3761</v>
      </c>
      <c r="D903" s="43" t="s">
        <v>6220</v>
      </c>
      <c r="E903" s="45" t="s">
        <v>791</v>
      </c>
    </row>
    <row r="904" spans="1:5">
      <c r="A904" s="43">
        <v>31271</v>
      </c>
      <c r="B904" s="43">
        <v>0</v>
      </c>
      <c r="C904" s="43" t="s">
        <v>3378</v>
      </c>
      <c r="D904" s="43" t="s">
        <v>6221</v>
      </c>
      <c r="E904" s="45" t="s">
        <v>795</v>
      </c>
    </row>
    <row r="905" spans="1:5">
      <c r="A905" s="43">
        <v>31272</v>
      </c>
      <c r="B905" s="43">
        <v>0</v>
      </c>
      <c r="C905" s="43" t="s">
        <v>3378</v>
      </c>
      <c r="D905" s="43" t="s">
        <v>6222</v>
      </c>
      <c r="E905" s="45" t="s">
        <v>795</v>
      </c>
    </row>
    <row r="906" spans="1:5">
      <c r="A906" s="43">
        <v>31273</v>
      </c>
      <c r="B906" s="43">
        <v>0</v>
      </c>
      <c r="C906" s="43" t="s">
        <v>3763</v>
      </c>
      <c r="D906" s="43" t="s">
        <v>6223</v>
      </c>
      <c r="E906" s="45" t="s">
        <v>799</v>
      </c>
    </row>
    <row r="907" spans="1:5">
      <c r="A907" s="43">
        <v>31274</v>
      </c>
      <c r="B907" s="43">
        <v>0</v>
      </c>
      <c r="C907" s="43" t="s">
        <v>3763</v>
      </c>
      <c r="D907" s="43" t="s">
        <v>6224</v>
      </c>
      <c r="E907" s="45" t="s">
        <v>799</v>
      </c>
    </row>
    <row r="908" spans="1:5">
      <c r="A908" s="43">
        <v>31275</v>
      </c>
      <c r="B908" s="43">
        <v>0</v>
      </c>
      <c r="C908" s="43" t="s">
        <v>3765</v>
      </c>
      <c r="D908" s="43" t="s">
        <v>6225</v>
      </c>
      <c r="E908" s="45" t="s">
        <v>803</v>
      </c>
    </row>
    <row r="909" spans="1:5">
      <c r="A909" s="43">
        <v>31276</v>
      </c>
      <c r="B909" s="43">
        <v>0</v>
      </c>
      <c r="C909" s="43" t="s">
        <v>3765</v>
      </c>
      <c r="D909" s="43" t="s">
        <v>6226</v>
      </c>
      <c r="E909" s="45" t="s">
        <v>803</v>
      </c>
    </row>
    <row r="910" spans="1:5">
      <c r="A910" s="43">
        <v>31277</v>
      </c>
      <c r="B910" s="43">
        <v>0</v>
      </c>
      <c r="C910" s="43" t="s">
        <v>3767</v>
      </c>
      <c r="D910" s="43" t="s">
        <v>6227</v>
      </c>
      <c r="E910" s="45" t="s">
        <v>807</v>
      </c>
    </row>
    <row r="911" spans="1:5">
      <c r="A911" s="43">
        <v>31278</v>
      </c>
      <c r="B911" s="43">
        <v>0</v>
      </c>
      <c r="C911" s="43" t="s">
        <v>3767</v>
      </c>
      <c r="D911" s="43" t="s">
        <v>6228</v>
      </c>
      <c r="E911" s="45" t="s">
        <v>807</v>
      </c>
    </row>
    <row r="912" spans="1:5">
      <c r="A912" s="43">
        <v>31279</v>
      </c>
      <c r="B912" s="43">
        <v>0</v>
      </c>
      <c r="C912" s="43" t="s">
        <v>3380</v>
      </c>
      <c r="D912" s="43" t="s">
        <v>6229</v>
      </c>
      <c r="E912" s="45" t="s">
        <v>811</v>
      </c>
    </row>
    <row r="913" spans="1:5">
      <c r="A913" s="43">
        <v>31280</v>
      </c>
      <c r="B913" s="43">
        <v>0</v>
      </c>
      <c r="C913" s="43" t="s">
        <v>3380</v>
      </c>
      <c r="D913" s="43" t="s">
        <v>6230</v>
      </c>
      <c r="E913" s="45" t="s">
        <v>811</v>
      </c>
    </row>
    <row r="914" spans="1:5">
      <c r="A914" s="43">
        <v>31281</v>
      </c>
      <c r="B914" s="43">
        <v>0</v>
      </c>
      <c r="C914" s="43" t="s">
        <v>3769</v>
      </c>
      <c r="D914" s="43" t="s">
        <v>6231</v>
      </c>
      <c r="E914" s="45" t="s">
        <v>814</v>
      </c>
    </row>
    <row r="915" spans="1:5">
      <c r="A915" s="43">
        <v>31282</v>
      </c>
      <c r="B915" s="43">
        <v>0</v>
      </c>
      <c r="C915" s="43" t="s">
        <v>3769</v>
      </c>
      <c r="D915" s="43" t="s">
        <v>6232</v>
      </c>
      <c r="E915" s="45" t="s">
        <v>814</v>
      </c>
    </row>
    <row r="916" spans="1:5">
      <c r="A916" s="43">
        <v>31283</v>
      </c>
      <c r="B916" s="43">
        <v>0</v>
      </c>
      <c r="C916" s="43" t="s">
        <v>3770</v>
      </c>
      <c r="D916" s="43" t="s">
        <v>6233</v>
      </c>
      <c r="E916" s="45" t="s">
        <v>817</v>
      </c>
    </row>
    <row r="917" spans="1:5">
      <c r="A917" s="43">
        <v>31284</v>
      </c>
      <c r="B917" s="43">
        <v>0</v>
      </c>
      <c r="C917" s="43" t="s">
        <v>3770</v>
      </c>
      <c r="D917" s="43" t="s">
        <v>6234</v>
      </c>
      <c r="E917" s="45" t="s">
        <v>817</v>
      </c>
    </row>
    <row r="918" spans="1:5">
      <c r="A918" s="43">
        <v>31285</v>
      </c>
      <c r="B918" s="43">
        <v>0</v>
      </c>
      <c r="C918" s="43" t="s">
        <v>3771</v>
      </c>
      <c r="D918" s="43" t="s">
        <v>6235</v>
      </c>
      <c r="E918" s="45" t="s">
        <v>820</v>
      </c>
    </row>
    <row r="919" spans="1:5">
      <c r="A919" s="43">
        <v>31286</v>
      </c>
      <c r="B919" s="43">
        <v>0</v>
      </c>
      <c r="C919" s="43" t="s">
        <v>3771</v>
      </c>
      <c r="D919" s="43" t="s">
        <v>6236</v>
      </c>
      <c r="E919" s="45" t="s">
        <v>820</v>
      </c>
    </row>
    <row r="920" spans="1:5">
      <c r="A920" s="43">
        <v>31287</v>
      </c>
      <c r="B920" s="43">
        <v>0</v>
      </c>
      <c r="C920" s="43" t="s">
        <v>3382</v>
      </c>
      <c r="D920" s="43" t="s">
        <v>6237</v>
      </c>
      <c r="E920" s="45" t="s">
        <v>769</v>
      </c>
    </row>
    <row r="921" spans="1:5">
      <c r="A921" s="43">
        <v>31288</v>
      </c>
      <c r="B921" s="43">
        <v>0</v>
      </c>
      <c r="C921" s="43" t="s">
        <v>3382</v>
      </c>
      <c r="D921" s="43" t="s">
        <v>6238</v>
      </c>
      <c r="E921" s="45" t="s">
        <v>769</v>
      </c>
    </row>
    <row r="922" spans="1:5">
      <c r="A922" s="43">
        <v>31289</v>
      </c>
      <c r="B922" s="43">
        <v>0</v>
      </c>
      <c r="C922" s="43" t="s">
        <v>3382</v>
      </c>
      <c r="D922" s="43" t="s">
        <v>6239</v>
      </c>
      <c r="E922" s="45" t="s">
        <v>769</v>
      </c>
    </row>
    <row r="923" spans="1:5">
      <c r="A923" s="43">
        <v>31290</v>
      </c>
      <c r="B923" s="43">
        <v>0</v>
      </c>
      <c r="C923" s="43" t="s">
        <v>3382</v>
      </c>
      <c r="D923" s="43" t="s">
        <v>6240</v>
      </c>
      <c r="E923" s="45" t="s">
        <v>769</v>
      </c>
    </row>
    <row r="924" spans="1:5">
      <c r="A924" s="43">
        <v>31291</v>
      </c>
      <c r="B924" s="43">
        <v>0</v>
      </c>
      <c r="C924" s="43" t="s">
        <v>3382</v>
      </c>
      <c r="D924" s="43" t="s">
        <v>6241</v>
      </c>
      <c r="E924" s="45" t="s">
        <v>769</v>
      </c>
    </row>
    <row r="925" spans="1:5">
      <c r="A925" s="43">
        <v>31292</v>
      </c>
      <c r="B925" s="43">
        <v>0</v>
      </c>
      <c r="C925" s="43" t="s">
        <v>3382</v>
      </c>
      <c r="D925" s="43" t="s">
        <v>6242</v>
      </c>
      <c r="E925" s="45" t="s">
        <v>769</v>
      </c>
    </row>
    <row r="926" spans="1:5">
      <c r="A926" s="43">
        <v>31293</v>
      </c>
      <c r="B926" s="43">
        <v>0</v>
      </c>
      <c r="C926" s="43" t="s">
        <v>3382</v>
      </c>
      <c r="D926" s="43" t="s">
        <v>6243</v>
      </c>
      <c r="E926" s="45" t="s">
        <v>769</v>
      </c>
    </row>
    <row r="927" spans="1:5">
      <c r="A927" s="43">
        <v>31294</v>
      </c>
      <c r="B927" s="43">
        <v>0</v>
      </c>
      <c r="C927" s="43" t="s">
        <v>3382</v>
      </c>
      <c r="D927" s="43" t="s">
        <v>6244</v>
      </c>
      <c r="E927" s="45" t="s">
        <v>769</v>
      </c>
    </row>
    <row r="928" spans="1:5">
      <c r="A928" s="46">
        <v>31301</v>
      </c>
      <c r="B928" s="46">
        <v>0</v>
      </c>
      <c r="C928" s="46" t="s">
        <v>3736</v>
      </c>
      <c r="D928" s="46" t="s">
        <v>978</v>
      </c>
      <c r="E928" s="48" t="s">
        <v>670</v>
      </c>
    </row>
    <row r="929" spans="1:5">
      <c r="A929" s="46">
        <v>31302</v>
      </c>
      <c r="B929" s="46">
        <v>0</v>
      </c>
      <c r="C929" s="46" t="s">
        <v>6245</v>
      </c>
      <c r="D929" s="46" t="s">
        <v>980</v>
      </c>
      <c r="E929" s="48" t="s">
        <v>6246</v>
      </c>
    </row>
    <row r="930" spans="1:5">
      <c r="A930" s="46">
        <v>31303</v>
      </c>
      <c r="B930" s="46">
        <v>0</v>
      </c>
      <c r="C930" s="46" t="s">
        <v>3366</v>
      </c>
      <c r="D930" s="46" t="s">
        <v>982</v>
      </c>
      <c r="E930" s="48" t="s">
        <v>981</v>
      </c>
    </row>
    <row r="931" spans="1:5">
      <c r="A931" s="46">
        <v>31304</v>
      </c>
      <c r="B931" s="46">
        <v>0</v>
      </c>
      <c r="C931" s="46" t="s">
        <v>3369</v>
      </c>
      <c r="D931" s="46" t="s">
        <v>984</v>
      </c>
      <c r="E931" s="48" t="s">
        <v>747</v>
      </c>
    </row>
    <row r="932" spans="1:5">
      <c r="A932" s="46">
        <v>31305</v>
      </c>
      <c r="B932" s="46">
        <v>0</v>
      </c>
      <c r="C932" s="46" t="s">
        <v>3375</v>
      </c>
      <c r="D932" s="46" t="s">
        <v>985</v>
      </c>
      <c r="E932" s="48" t="s">
        <v>787</v>
      </c>
    </row>
    <row r="933" spans="1:5">
      <c r="A933" s="46">
        <v>31306</v>
      </c>
      <c r="B933" s="46">
        <v>0</v>
      </c>
      <c r="C933" s="46" t="s">
        <v>3380</v>
      </c>
      <c r="D933" s="46" t="s">
        <v>987</v>
      </c>
      <c r="E933" s="48" t="s">
        <v>811</v>
      </c>
    </row>
    <row r="934" spans="1:5">
      <c r="A934" s="46">
        <v>31307</v>
      </c>
      <c r="B934" s="46">
        <v>0</v>
      </c>
      <c r="C934" s="46" t="s">
        <v>3382</v>
      </c>
      <c r="D934" s="46" t="s">
        <v>988</v>
      </c>
      <c r="E934" s="48" t="s">
        <v>769</v>
      </c>
    </row>
    <row r="935" spans="1:5">
      <c r="A935" s="46">
        <v>31308</v>
      </c>
      <c r="B935" s="46">
        <v>0</v>
      </c>
      <c r="C935" s="46" t="s">
        <v>3393</v>
      </c>
      <c r="D935" s="46" t="s">
        <v>990</v>
      </c>
      <c r="E935" s="48" t="s">
        <v>1176</v>
      </c>
    </row>
    <row r="936" spans="1:5">
      <c r="A936" s="46">
        <v>31309</v>
      </c>
      <c r="B936" s="46">
        <v>0</v>
      </c>
      <c r="C936" s="46" t="s">
        <v>4251</v>
      </c>
      <c r="D936" s="46" t="s">
        <v>992</v>
      </c>
      <c r="E936" s="48" t="s">
        <v>2094</v>
      </c>
    </row>
    <row r="937" spans="1:5">
      <c r="A937" s="46">
        <v>31310</v>
      </c>
      <c r="B937" s="46">
        <v>0</v>
      </c>
      <c r="C937" s="46" t="s">
        <v>3863</v>
      </c>
      <c r="D937" s="46" t="s">
        <v>994</v>
      </c>
      <c r="E937" s="48" t="s">
        <v>1178</v>
      </c>
    </row>
    <row r="938" spans="1:5">
      <c r="A938" s="46">
        <v>31311</v>
      </c>
      <c r="B938" s="46">
        <v>0</v>
      </c>
      <c r="C938" s="46" t="s">
        <v>4618</v>
      </c>
      <c r="D938" s="46" t="s">
        <v>995</v>
      </c>
      <c r="E938" s="48" t="s">
        <v>3286</v>
      </c>
    </row>
    <row r="939" spans="1:5">
      <c r="A939" s="46">
        <v>31312</v>
      </c>
      <c r="B939" s="46">
        <v>0</v>
      </c>
      <c r="C939" s="46" t="s">
        <v>4169</v>
      </c>
      <c r="D939" s="46" t="s">
        <v>996</v>
      </c>
      <c r="E939" s="48" t="s">
        <v>1840</v>
      </c>
    </row>
    <row r="940" spans="1:5">
      <c r="A940" s="43">
        <v>31330</v>
      </c>
      <c r="B940" s="43">
        <v>0</v>
      </c>
      <c r="C940" s="43" t="s">
        <v>7299</v>
      </c>
      <c r="D940" s="43" t="s">
        <v>6462</v>
      </c>
      <c r="E940" s="45" t="s">
        <v>7280</v>
      </c>
    </row>
    <row r="941" spans="1:5">
      <c r="A941" s="43">
        <v>31331</v>
      </c>
      <c r="B941" s="43">
        <v>0</v>
      </c>
      <c r="C941" s="43" t="s">
        <v>7300</v>
      </c>
      <c r="D941" s="43" t="s">
        <v>6463</v>
      </c>
      <c r="E941" s="45" t="s">
        <v>7281</v>
      </c>
    </row>
    <row r="942" spans="1:5">
      <c r="A942" s="43">
        <v>31332</v>
      </c>
      <c r="B942" s="43">
        <v>0</v>
      </c>
      <c r="C942" s="43" t="s">
        <v>7301</v>
      </c>
      <c r="D942" s="43" t="s">
        <v>6464</v>
      </c>
      <c r="E942" s="45" t="s">
        <v>7282</v>
      </c>
    </row>
    <row r="943" spans="1:5">
      <c r="A943" s="43">
        <v>31333</v>
      </c>
      <c r="B943" s="43">
        <v>0</v>
      </c>
      <c r="C943" s="43" t="s">
        <v>7302</v>
      </c>
      <c r="D943" s="43" t="s">
        <v>6465</v>
      </c>
      <c r="E943" s="45" t="s">
        <v>7283</v>
      </c>
    </row>
    <row r="944" spans="1:5">
      <c r="A944" s="43">
        <v>31334</v>
      </c>
      <c r="B944" s="43">
        <v>0</v>
      </c>
      <c r="C944" s="43" t="s">
        <v>7303</v>
      </c>
      <c r="D944" s="43" t="s">
        <v>6466</v>
      </c>
      <c r="E944" s="45" t="s">
        <v>7284</v>
      </c>
    </row>
    <row r="945" spans="1:5">
      <c r="A945" s="43">
        <v>31335</v>
      </c>
      <c r="B945" s="43">
        <v>0</v>
      </c>
      <c r="C945" s="43" t="s">
        <v>7304</v>
      </c>
      <c r="D945" s="43" t="s">
        <v>6467</v>
      </c>
      <c r="E945" s="45" t="s">
        <v>7285</v>
      </c>
    </row>
    <row r="946" spans="1:5">
      <c r="A946" s="43">
        <v>31336</v>
      </c>
      <c r="B946" s="43">
        <v>0</v>
      </c>
      <c r="C946" s="43" t="s">
        <v>7305</v>
      </c>
      <c r="D946" s="43" t="s">
        <v>6468</v>
      </c>
      <c r="E946" s="45" t="s">
        <v>7286</v>
      </c>
    </row>
    <row r="947" spans="1:5">
      <c r="A947" s="43">
        <v>31337</v>
      </c>
      <c r="B947" s="43">
        <v>0</v>
      </c>
      <c r="C947" s="43" t="s">
        <v>7306</v>
      </c>
      <c r="D947" s="43" t="s">
        <v>6469</v>
      </c>
      <c r="E947" s="45" t="s">
        <v>7287</v>
      </c>
    </row>
    <row r="948" spans="1:5">
      <c r="A948" s="43">
        <v>31338</v>
      </c>
      <c r="B948" s="43">
        <v>0</v>
      </c>
      <c r="C948" s="43" t="s">
        <v>7307</v>
      </c>
      <c r="D948" s="43" t="s">
        <v>6470</v>
      </c>
      <c r="E948" s="45" t="s">
        <v>7288</v>
      </c>
    </row>
    <row r="949" spans="1:5">
      <c r="A949" s="43">
        <v>31339</v>
      </c>
      <c r="B949" s="43">
        <v>0</v>
      </c>
      <c r="C949" s="43" t="s">
        <v>7308</v>
      </c>
      <c r="D949" s="43" t="s">
        <v>6471</v>
      </c>
      <c r="E949" s="45" t="s">
        <v>7289</v>
      </c>
    </row>
    <row r="950" spans="1:5">
      <c r="A950" s="43">
        <v>31340</v>
      </c>
      <c r="B950" s="43">
        <v>0</v>
      </c>
      <c r="C950" s="43" t="s">
        <v>7309</v>
      </c>
      <c r="D950" s="43" t="s">
        <v>6472</v>
      </c>
      <c r="E950" s="45" t="s">
        <v>7290</v>
      </c>
    </row>
    <row r="951" spans="1:5">
      <c r="A951" s="43">
        <v>31341</v>
      </c>
      <c r="B951" s="43">
        <v>0</v>
      </c>
      <c r="C951" s="43" t="s">
        <v>7310</v>
      </c>
      <c r="D951" s="43" t="s">
        <v>6473</v>
      </c>
      <c r="E951" s="45" t="s">
        <v>7291</v>
      </c>
    </row>
    <row r="952" spans="1:5">
      <c r="A952" s="43">
        <v>31342</v>
      </c>
      <c r="B952" s="43">
        <v>0</v>
      </c>
      <c r="C952" s="43" t="s">
        <v>7311</v>
      </c>
      <c r="D952" s="43" t="s">
        <v>6474</v>
      </c>
      <c r="E952" s="45" t="s">
        <v>7292</v>
      </c>
    </row>
    <row r="953" spans="1:5">
      <c r="A953" s="43">
        <v>31343</v>
      </c>
      <c r="B953" s="43">
        <v>0</v>
      </c>
      <c r="C953" s="43" t="s">
        <v>7312</v>
      </c>
      <c r="D953" s="43" t="s">
        <v>7258</v>
      </c>
      <c r="E953" s="45" t="s">
        <v>7293</v>
      </c>
    </row>
    <row r="954" spans="1:5">
      <c r="A954" s="43">
        <v>31344</v>
      </c>
      <c r="B954" s="43">
        <v>0</v>
      </c>
      <c r="C954" s="43" t="s">
        <v>7313</v>
      </c>
      <c r="D954" s="43" t="s">
        <v>7259</v>
      </c>
      <c r="E954" s="45" t="s">
        <v>7294</v>
      </c>
    </row>
    <row r="955" spans="1:5">
      <c r="A955" s="43">
        <v>31345</v>
      </c>
      <c r="B955" s="43">
        <v>0</v>
      </c>
      <c r="C955" s="43" t="s">
        <v>7314</v>
      </c>
      <c r="D955" s="43" t="s">
        <v>7260</v>
      </c>
      <c r="E955" s="45" t="s">
        <v>7295</v>
      </c>
    </row>
    <row r="956" spans="1:5">
      <c r="A956" s="22">
        <v>31351</v>
      </c>
      <c r="B956" s="22">
        <v>1</v>
      </c>
      <c r="C956" s="22" t="s">
        <v>3382</v>
      </c>
      <c r="D956" s="22" t="s">
        <v>997</v>
      </c>
      <c r="E956" s="24" t="s">
        <v>769</v>
      </c>
    </row>
    <row r="957" spans="1:5">
      <c r="A957" s="43">
        <v>31380</v>
      </c>
      <c r="B957" s="43">
        <v>0</v>
      </c>
      <c r="C957" s="43" t="s">
        <v>3350</v>
      </c>
      <c r="D957" s="43" t="s">
        <v>6462</v>
      </c>
      <c r="E957" s="45" t="s">
        <v>616</v>
      </c>
    </row>
    <row r="958" spans="1:5">
      <c r="A958" s="43">
        <v>31381</v>
      </c>
      <c r="B958" s="43">
        <v>0</v>
      </c>
      <c r="C958" s="43" t="s">
        <v>3352</v>
      </c>
      <c r="D958" s="43" t="s">
        <v>6463</v>
      </c>
      <c r="E958" s="45" t="s">
        <v>713</v>
      </c>
    </row>
    <row r="959" spans="1:5">
      <c r="A959" s="43">
        <v>31382</v>
      </c>
      <c r="B959" s="43">
        <v>0</v>
      </c>
      <c r="C959" s="43" t="s">
        <v>3353</v>
      </c>
      <c r="D959" s="43" t="s">
        <v>6464</v>
      </c>
      <c r="E959" s="45" t="s">
        <v>1293</v>
      </c>
    </row>
    <row r="960" spans="1:5">
      <c r="A960" s="43">
        <v>31383</v>
      </c>
      <c r="B960" s="43">
        <v>0</v>
      </c>
      <c r="C960" s="43" t="s">
        <v>11805</v>
      </c>
      <c r="D960" s="43" t="s">
        <v>6465</v>
      </c>
      <c r="E960" s="45" t="s">
        <v>11819</v>
      </c>
    </row>
    <row r="961" spans="1:5">
      <c r="A961" s="43">
        <v>31384</v>
      </c>
      <c r="B961" s="43">
        <v>0</v>
      </c>
      <c r="C961" s="43" t="s">
        <v>11806</v>
      </c>
      <c r="D961" s="43" t="s">
        <v>6466</v>
      </c>
      <c r="E961" s="45" t="s">
        <v>11820</v>
      </c>
    </row>
    <row r="962" spans="1:5">
      <c r="A962" s="43">
        <v>31385</v>
      </c>
      <c r="B962" s="43">
        <v>0</v>
      </c>
      <c r="C962" s="43" t="s">
        <v>11807</v>
      </c>
      <c r="D962" s="43" t="s">
        <v>6467</v>
      </c>
      <c r="E962" s="45" t="s">
        <v>11821</v>
      </c>
    </row>
    <row r="963" spans="1:5">
      <c r="A963" s="43">
        <v>31386</v>
      </c>
      <c r="B963" s="43">
        <v>0</v>
      </c>
      <c r="C963" s="43" t="s">
        <v>11808</v>
      </c>
      <c r="D963" s="43" t="s">
        <v>6468</v>
      </c>
      <c r="E963" s="45" t="s">
        <v>11822</v>
      </c>
    </row>
    <row r="964" spans="1:5">
      <c r="A964" s="43">
        <v>31387</v>
      </c>
      <c r="B964" s="43">
        <v>0</v>
      </c>
      <c r="C964" s="43" t="s">
        <v>11809</v>
      </c>
      <c r="D964" s="43" t="s">
        <v>6469</v>
      </c>
      <c r="E964" s="45" t="s">
        <v>11823</v>
      </c>
    </row>
    <row r="965" spans="1:5">
      <c r="A965" s="43">
        <v>31388</v>
      </c>
      <c r="B965" s="43">
        <v>0</v>
      </c>
      <c r="C965" s="43" t="s">
        <v>11810</v>
      </c>
      <c r="D965" s="43" t="s">
        <v>6470</v>
      </c>
      <c r="E965" s="45" t="s">
        <v>11824</v>
      </c>
    </row>
    <row r="966" spans="1:5">
      <c r="A966" s="43">
        <v>31389</v>
      </c>
      <c r="B966" s="43">
        <v>0</v>
      </c>
      <c r="C966" s="43" t="s">
        <v>11811</v>
      </c>
      <c r="D966" s="43" t="s">
        <v>6471</v>
      </c>
      <c r="E966" s="45" t="s">
        <v>11825</v>
      </c>
    </row>
    <row r="967" spans="1:5">
      <c r="A967" s="43">
        <v>31390</v>
      </c>
      <c r="B967" s="43">
        <v>0</v>
      </c>
      <c r="C967" s="43" t="s">
        <v>11812</v>
      </c>
      <c r="D967" s="43" t="s">
        <v>6472</v>
      </c>
      <c r="E967" s="45" t="s">
        <v>11826</v>
      </c>
    </row>
    <row r="968" spans="1:5">
      <c r="A968" s="43">
        <v>31391</v>
      </c>
      <c r="B968" s="43">
        <v>0</v>
      </c>
      <c r="C968" s="43" t="s">
        <v>11813</v>
      </c>
      <c r="D968" s="43" t="s">
        <v>6473</v>
      </c>
      <c r="E968" s="45" t="s">
        <v>11827</v>
      </c>
    </row>
    <row r="969" spans="1:5">
      <c r="A969" s="43">
        <v>31392</v>
      </c>
      <c r="B969" s="43">
        <v>0</v>
      </c>
      <c r="C969" s="43" t="s">
        <v>11814</v>
      </c>
      <c r="D969" s="43" t="s">
        <v>6474</v>
      </c>
      <c r="E969" s="45" t="s">
        <v>11828</v>
      </c>
    </row>
    <row r="970" spans="1:5">
      <c r="A970" s="43">
        <v>31393</v>
      </c>
      <c r="B970" s="43">
        <v>0</v>
      </c>
      <c r="C970" s="43" t="s">
        <v>11815</v>
      </c>
      <c r="D970" s="43" t="s">
        <v>7258</v>
      </c>
      <c r="E970" s="45" t="s">
        <v>11829</v>
      </c>
    </row>
    <row r="971" spans="1:5">
      <c r="A971" s="43">
        <v>31394</v>
      </c>
      <c r="B971" s="43">
        <v>0</v>
      </c>
      <c r="C971" s="43" t="s">
        <v>11816</v>
      </c>
      <c r="D971" s="43" t="s">
        <v>7259</v>
      </c>
      <c r="E971" s="45" t="s">
        <v>11830</v>
      </c>
    </row>
    <row r="972" spans="1:5">
      <c r="A972" s="43">
        <v>31395</v>
      </c>
      <c r="B972" s="43">
        <v>0</v>
      </c>
      <c r="C972" s="43" t="s">
        <v>11817</v>
      </c>
      <c r="D972" s="43" t="s">
        <v>7260</v>
      </c>
      <c r="E972" s="45" t="s">
        <v>11831</v>
      </c>
    </row>
    <row r="973" spans="1:5">
      <c r="A973" s="43">
        <v>31396</v>
      </c>
      <c r="B973" s="43">
        <v>0</v>
      </c>
      <c r="C973" s="43" t="s">
        <v>11818</v>
      </c>
      <c r="D973" s="43" t="s">
        <v>10648</v>
      </c>
      <c r="E973" s="45" t="s">
        <v>11832</v>
      </c>
    </row>
    <row r="974" spans="1:5">
      <c r="A974" s="1">
        <v>31401</v>
      </c>
      <c r="B974" s="1">
        <v>1</v>
      </c>
      <c r="C974" s="1" t="s">
        <v>3812</v>
      </c>
      <c r="D974" s="1" t="s">
        <v>998</v>
      </c>
      <c r="E974" s="3" t="s">
        <v>999</v>
      </c>
    </row>
    <row r="975" spans="1:5">
      <c r="A975" s="1">
        <v>31402</v>
      </c>
      <c r="B975" s="1">
        <v>1</v>
      </c>
      <c r="C975" s="1" t="s">
        <v>3812</v>
      </c>
      <c r="D975" s="1" t="s">
        <v>1000</v>
      </c>
      <c r="E975" s="3" t="s">
        <v>999</v>
      </c>
    </row>
    <row r="976" spans="1:5">
      <c r="A976" s="1">
        <v>31403</v>
      </c>
      <c r="B976" s="1">
        <v>1</v>
      </c>
      <c r="C976" s="1" t="s">
        <v>3812</v>
      </c>
      <c r="D976" s="1" t="s">
        <v>1001</v>
      </c>
      <c r="E976" s="3" t="s">
        <v>999</v>
      </c>
    </row>
    <row r="977" spans="1:5">
      <c r="A977" s="1">
        <v>31404</v>
      </c>
      <c r="B977" s="1">
        <v>1</v>
      </c>
      <c r="C977" s="1" t="s">
        <v>3812</v>
      </c>
      <c r="D977" s="1" t="s">
        <v>1002</v>
      </c>
      <c r="E977" s="3" t="s">
        <v>999</v>
      </c>
    </row>
    <row r="978" spans="1:5">
      <c r="A978" s="1">
        <v>31405</v>
      </c>
      <c r="B978" s="1">
        <v>1</v>
      </c>
      <c r="C978" s="1" t="s">
        <v>3812</v>
      </c>
      <c r="D978" s="1" t="s">
        <v>1003</v>
      </c>
      <c r="E978" s="3" t="s">
        <v>999</v>
      </c>
    </row>
    <row r="979" spans="1:5">
      <c r="A979" s="1">
        <v>31406</v>
      </c>
      <c r="B979" s="1">
        <v>1</v>
      </c>
      <c r="C979" s="1" t="s">
        <v>3812</v>
      </c>
      <c r="D979" s="1" t="s">
        <v>1004</v>
      </c>
      <c r="E979" s="3" t="s">
        <v>999</v>
      </c>
    </row>
    <row r="980" spans="1:5">
      <c r="A980" s="1">
        <v>31407</v>
      </c>
      <c r="B980" s="1">
        <v>1</v>
      </c>
      <c r="C980" s="1" t="s">
        <v>3812</v>
      </c>
      <c r="D980" s="1" t="s">
        <v>1005</v>
      </c>
      <c r="E980" s="3" t="s">
        <v>999</v>
      </c>
    </row>
    <row r="981" spans="1:5">
      <c r="A981" s="1">
        <v>31408</v>
      </c>
      <c r="B981" s="1">
        <v>1</v>
      </c>
      <c r="C981" s="1" t="s">
        <v>3812</v>
      </c>
      <c r="D981" s="1" t="s">
        <v>1006</v>
      </c>
      <c r="E981" s="3" t="s">
        <v>999</v>
      </c>
    </row>
    <row r="982" spans="1:5">
      <c r="A982" s="1">
        <v>31409</v>
      </c>
      <c r="B982" s="1">
        <v>1</v>
      </c>
      <c r="C982" s="1" t="s">
        <v>3812</v>
      </c>
      <c r="D982" s="1" t="s">
        <v>1007</v>
      </c>
      <c r="E982" s="3" t="s">
        <v>999</v>
      </c>
    </row>
    <row r="983" spans="1:5">
      <c r="A983" s="1">
        <v>31410</v>
      </c>
      <c r="B983" s="1">
        <v>1</v>
      </c>
      <c r="C983" s="1" t="s">
        <v>3812</v>
      </c>
      <c r="D983" s="1" t="s">
        <v>1008</v>
      </c>
      <c r="E983" s="3" t="s">
        <v>999</v>
      </c>
    </row>
    <row r="984" spans="1:5">
      <c r="A984" s="1">
        <v>31451</v>
      </c>
      <c r="B984" s="1">
        <v>1</v>
      </c>
      <c r="C984" s="1" t="s">
        <v>3736</v>
      </c>
      <c r="D984" s="1" t="s">
        <v>1009</v>
      </c>
      <c r="E984" s="3" t="s">
        <v>670</v>
      </c>
    </row>
    <row r="985" spans="1:5">
      <c r="A985" s="1">
        <v>31452</v>
      </c>
      <c r="B985" s="1">
        <v>1</v>
      </c>
      <c r="C985" s="1" t="s">
        <v>3736</v>
      </c>
      <c r="D985" s="1" t="s">
        <v>1010</v>
      </c>
      <c r="E985" s="3" t="s">
        <v>670</v>
      </c>
    </row>
    <row r="986" spans="1:5">
      <c r="A986" s="1">
        <v>31453</v>
      </c>
      <c r="B986" s="1">
        <v>1</v>
      </c>
      <c r="C986" s="1" t="s">
        <v>3813</v>
      </c>
      <c r="D986" s="1" t="s">
        <v>1011</v>
      </c>
      <c r="E986" s="3" t="s">
        <v>1012</v>
      </c>
    </row>
    <row r="987" spans="1:5">
      <c r="A987" s="1">
        <v>31454</v>
      </c>
      <c r="B987" s="1">
        <v>1</v>
      </c>
      <c r="C987" s="1" t="s">
        <v>3813</v>
      </c>
      <c r="D987" s="1" t="s">
        <v>1013</v>
      </c>
      <c r="E987" s="3" t="s">
        <v>1012</v>
      </c>
    </row>
    <row r="988" spans="1:5">
      <c r="A988" s="1">
        <v>31455</v>
      </c>
      <c r="B988" s="1">
        <v>1</v>
      </c>
      <c r="C988" s="1" t="s">
        <v>3749</v>
      </c>
      <c r="D988" s="1" t="s">
        <v>1014</v>
      </c>
      <c r="E988" s="3" t="s">
        <v>729</v>
      </c>
    </row>
    <row r="989" spans="1:5">
      <c r="A989" s="1">
        <v>31456</v>
      </c>
      <c r="B989" s="1">
        <v>1</v>
      </c>
      <c r="C989" s="1" t="s">
        <v>3708</v>
      </c>
      <c r="D989" s="1" t="s">
        <v>1015</v>
      </c>
      <c r="E989" s="3" t="s">
        <v>610</v>
      </c>
    </row>
    <row r="990" spans="1:5">
      <c r="A990" s="1">
        <v>31457</v>
      </c>
      <c r="B990" s="1">
        <v>1</v>
      </c>
      <c r="C990" s="1" t="s">
        <v>3776</v>
      </c>
      <c r="D990" s="1" t="s">
        <v>1016</v>
      </c>
      <c r="E990" s="3" t="s">
        <v>844</v>
      </c>
    </row>
    <row r="991" spans="1:5">
      <c r="A991" s="1">
        <v>31458</v>
      </c>
      <c r="B991" s="1">
        <v>1</v>
      </c>
      <c r="C991" s="1" t="s">
        <v>3814</v>
      </c>
      <c r="D991" s="1" t="s">
        <v>1017</v>
      </c>
      <c r="E991" s="3" t="s">
        <v>1018</v>
      </c>
    </row>
    <row r="992" spans="1:5">
      <c r="A992" s="1">
        <v>31459</v>
      </c>
      <c r="B992" s="1">
        <v>1</v>
      </c>
      <c r="C992" s="1" t="s">
        <v>3366</v>
      </c>
      <c r="D992" s="1" t="s">
        <v>1019</v>
      </c>
      <c r="E992" s="3" t="s">
        <v>981</v>
      </c>
    </row>
    <row r="993" spans="1:5">
      <c r="A993" s="1">
        <v>31460</v>
      </c>
      <c r="B993" s="1">
        <v>1</v>
      </c>
      <c r="C993" s="1" t="s">
        <v>3815</v>
      </c>
      <c r="D993" s="1" t="s">
        <v>1020</v>
      </c>
      <c r="E993" s="3" t="s">
        <v>1021</v>
      </c>
    </row>
    <row r="994" spans="1:5">
      <c r="A994" s="1">
        <v>31461</v>
      </c>
      <c r="B994" s="1">
        <v>1</v>
      </c>
      <c r="C994" s="1" t="s">
        <v>3816</v>
      </c>
      <c r="D994" s="1" t="s">
        <v>1022</v>
      </c>
      <c r="E994" s="3" t="s">
        <v>1023</v>
      </c>
    </row>
    <row r="995" spans="1:5">
      <c r="A995" s="1">
        <v>31462</v>
      </c>
      <c r="B995" s="1">
        <v>1</v>
      </c>
      <c r="C995" s="1" t="s">
        <v>3369</v>
      </c>
      <c r="D995" s="1" t="s">
        <v>1024</v>
      </c>
      <c r="E995" s="3" t="s">
        <v>747</v>
      </c>
    </row>
    <row r="996" spans="1:5">
      <c r="A996" s="1">
        <v>31501</v>
      </c>
      <c r="B996" s="1">
        <v>1</v>
      </c>
      <c r="C996" s="1" t="s">
        <v>3330</v>
      </c>
      <c r="D996" s="1" t="s">
        <v>1025</v>
      </c>
      <c r="E996" s="3" t="s">
        <v>1026</v>
      </c>
    </row>
    <row r="997" spans="1:5">
      <c r="A997" s="1">
        <v>31502</v>
      </c>
      <c r="B997" s="1">
        <v>1</v>
      </c>
      <c r="C997" s="1" t="s">
        <v>3817</v>
      </c>
      <c r="D997" s="1" t="s">
        <v>1027</v>
      </c>
      <c r="E997" s="3" t="s">
        <v>1028</v>
      </c>
    </row>
    <row r="998" spans="1:5">
      <c r="A998" s="1">
        <v>31503</v>
      </c>
      <c r="B998" s="1">
        <v>1</v>
      </c>
      <c r="C998" s="1" t="s">
        <v>3818</v>
      </c>
      <c r="D998" s="1" t="s">
        <v>1029</v>
      </c>
      <c r="E998" s="3" t="s">
        <v>1030</v>
      </c>
    </row>
    <row r="999" spans="1:5">
      <c r="A999" s="1">
        <v>31504</v>
      </c>
      <c r="B999" s="1">
        <v>1</v>
      </c>
      <c r="C999" s="1" t="s">
        <v>3819</v>
      </c>
      <c r="D999" s="1" t="s">
        <v>1031</v>
      </c>
      <c r="E999" s="3" t="s">
        <v>1032</v>
      </c>
    </row>
    <row r="1000" spans="1:5">
      <c r="A1000" s="1">
        <v>31505</v>
      </c>
      <c r="B1000" s="1">
        <v>1</v>
      </c>
      <c r="C1000" s="1" t="s">
        <v>3820</v>
      </c>
      <c r="D1000" s="1" t="s">
        <v>1033</v>
      </c>
      <c r="E1000" s="3" t="s">
        <v>1034</v>
      </c>
    </row>
    <row r="1001" spans="1:5">
      <c r="A1001" s="1">
        <v>31506</v>
      </c>
      <c r="B1001" s="1">
        <v>1</v>
      </c>
      <c r="C1001" s="1" t="s">
        <v>3821</v>
      </c>
      <c r="D1001" s="1" t="s">
        <v>1035</v>
      </c>
      <c r="E1001" s="3" t="s">
        <v>1036</v>
      </c>
    </row>
    <row r="1002" spans="1:5">
      <c r="A1002" s="1">
        <v>31507</v>
      </c>
      <c r="B1002" s="1">
        <v>1</v>
      </c>
      <c r="C1002" s="1" t="s">
        <v>3822</v>
      </c>
      <c r="D1002" s="1" t="s">
        <v>1037</v>
      </c>
      <c r="E1002" s="3" t="s">
        <v>1038</v>
      </c>
    </row>
    <row r="1003" spans="1:5">
      <c r="A1003" s="37">
        <v>31551</v>
      </c>
      <c r="B1003" s="204">
        <v>1</v>
      </c>
      <c r="C1003" s="204" t="s">
        <v>3823</v>
      </c>
      <c r="D1003" s="204" t="s">
        <v>1039</v>
      </c>
      <c r="E1003" s="39" t="s">
        <v>1040</v>
      </c>
    </row>
    <row r="1004" spans="1:5">
      <c r="A1004" s="37">
        <v>31552</v>
      </c>
      <c r="B1004" s="204">
        <v>1</v>
      </c>
      <c r="C1004" s="204" t="s">
        <v>3824</v>
      </c>
      <c r="D1004" s="204" t="s">
        <v>1041</v>
      </c>
      <c r="E1004" s="39" t="s">
        <v>1042</v>
      </c>
    </row>
    <row r="1005" spans="1:5">
      <c r="A1005" s="37">
        <v>31553</v>
      </c>
      <c r="B1005" s="204">
        <v>1</v>
      </c>
      <c r="C1005" s="204" t="s">
        <v>3824</v>
      </c>
      <c r="D1005" s="204" t="s">
        <v>1043</v>
      </c>
      <c r="E1005" s="39" t="s">
        <v>1042</v>
      </c>
    </row>
    <row r="1006" spans="1:5">
      <c r="A1006" s="37">
        <v>31554</v>
      </c>
      <c r="B1006" s="204">
        <v>1</v>
      </c>
      <c r="C1006" s="204" t="s">
        <v>3824</v>
      </c>
      <c r="D1006" s="204" t="s">
        <v>1044</v>
      </c>
      <c r="E1006" s="39" t="s">
        <v>1042</v>
      </c>
    </row>
    <row r="1007" spans="1:5">
      <c r="A1007" s="37">
        <v>31555</v>
      </c>
      <c r="B1007" s="204">
        <v>1</v>
      </c>
      <c r="C1007" s="204" t="s">
        <v>3825</v>
      </c>
      <c r="D1007" s="204" t="s">
        <v>1045</v>
      </c>
      <c r="E1007" s="39" t="s">
        <v>1046</v>
      </c>
    </row>
    <row r="1008" spans="1:5">
      <c r="A1008" s="37">
        <v>31556</v>
      </c>
      <c r="B1008" s="204">
        <v>1</v>
      </c>
      <c r="C1008" s="204" t="s">
        <v>3825</v>
      </c>
      <c r="D1008" s="204" t="s">
        <v>1047</v>
      </c>
      <c r="E1008" s="39" t="s">
        <v>1046</v>
      </c>
    </row>
    <row r="1009" spans="1:5">
      <c r="A1009" s="37">
        <v>31557</v>
      </c>
      <c r="B1009" s="204">
        <v>1</v>
      </c>
      <c r="C1009" s="204" t="s">
        <v>3825</v>
      </c>
      <c r="D1009" s="204" t="s">
        <v>1048</v>
      </c>
      <c r="E1009" s="39" t="s">
        <v>1046</v>
      </c>
    </row>
    <row r="1010" spans="1:5">
      <c r="A1010" s="37">
        <v>31558</v>
      </c>
      <c r="B1010" s="204">
        <v>1</v>
      </c>
      <c r="C1010" s="204" t="s">
        <v>3825</v>
      </c>
      <c r="D1010" s="204" t="s">
        <v>1049</v>
      </c>
      <c r="E1010" s="39" t="s">
        <v>1046</v>
      </c>
    </row>
    <row r="1011" spans="1:5">
      <c r="A1011" s="37">
        <v>31559</v>
      </c>
      <c r="B1011" s="204">
        <v>1</v>
      </c>
      <c r="C1011" s="204" t="s">
        <v>3825</v>
      </c>
      <c r="D1011" s="204" t="s">
        <v>1050</v>
      </c>
      <c r="E1011" s="39" t="s">
        <v>1046</v>
      </c>
    </row>
    <row r="1012" spans="1:5">
      <c r="A1012" s="37">
        <v>31560</v>
      </c>
      <c r="B1012" s="204">
        <v>1</v>
      </c>
      <c r="C1012" s="204" t="s">
        <v>3825</v>
      </c>
      <c r="D1012" s="204" t="s">
        <v>1051</v>
      </c>
      <c r="E1012" s="39" t="s">
        <v>1046</v>
      </c>
    </row>
    <row r="1013" spans="1:5">
      <c r="A1013" s="37">
        <v>31561</v>
      </c>
      <c r="B1013" s="204">
        <v>1</v>
      </c>
      <c r="C1013" s="204" t="s">
        <v>3825</v>
      </c>
      <c r="D1013" s="204" t="s">
        <v>1052</v>
      </c>
      <c r="E1013" s="39" t="s">
        <v>1046</v>
      </c>
    </row>
    <row r="1014" spans="1:5">
      <c r="A1014" s="37">
        <v>31562</v>
      </c>
      <c r="B1014" s="204">
        <v>1</v>
      </c>
      <c r="C1014" s="204" t="s">
        <v>3825</v>
      </c>
      <c r="D1014" s="204" t="s">
        <v>1053</v>
      </c>
      <c r="E1014" s="39" t="s">
        <v>1046</v>
      </c>
    </row>
    <row r="1015" spans="1:5">
      <c r="A1015" s="37">
        <v>31563</v>
      </c>
      <c r="B1015" s="204">
        <v>1</v>
      </c>
      <c r="C1015" s="204" t="s">
        <v>3825</v>
      </c>
      <c r="D1015" s="204" t="s">
        <v>1054</v>
      </c>
      <c r="E1015" s="39" t="s">
        <v>1046</v>
      </c>
    </row>
    <row r="1016" spans="1:5">
      <c r="A1016" s="37">
        <v>31564</v>
      </c>
      <c r="B1016" s="204">
        <v>1</v>
      </c>
      <c r="C1016" s="204" t="s">
        <v>3825</v>
      </c>
      <c r="D1016" s="204" t="s">
        <v>1055</v>
      </c>
      <c r="E1016" s="39" t="s">
        <v>1046</v>
      </c>
    </row>
    <row r="1017" spans="1:5">
      <c r="A1017" s="37">
        <v>31565</v>
      </c>
      <c r="B1017" s="204">
        <v>1</v>
      </c>
      <c r="C1017" s="204" t="s">
        <v>3825</v>
      </c>
      <c r="D1017" s="204" t="s">
        <v>1056</v>
      </c>
      <c r="E1017" s="39" t="s">
        <v>1046</v>
      </c>
    </row>
    <row r="1018" spans="1:5">
      <c r="A1018" s="37">
        <v>31566</v>
      </c>
      <c r="B1018" s="204">
        <v>1</v>
      </c>
      <c r="C1018" s="204" t="s">
        <v>3825</v>
      </c>
      <c r="D1018" s="204" t="s">
        <v>1057</v>
      </c>
      <c r="E1018" s="39" t="s">
        <v>1046</v>
      </c>
    </row>
    <row r="1019" spans="1:5">
      <c r="A1019" s="37">
        <v>31567</v>
      </c>
      <c r="B1019" s="204">
        <v>1</v>
      </c>
      <c r="C1019" s="204" t="s">
        <v>3825</v>
      </c>
      <c r="D1019" s="204" t="s">
        <v>1058</v>
      </c>
      <c r="E1019" s="39" t="s">
        <v>1046</v>
      </c>
    </row>
    <row r="1020" spans="1:5">
      <c r="A1020" s="37">
        <v>31568</v>
      </c>
      <c r="B1020" s="204">
        <v>1</v>
      </c>
      <c r="C1020" s="204" t="s">
        <v>3825</v>
      </c>
      <c r="D1020" s="204" t="s">
        <v>1059</v>
      </c>
      <c r="E1020" s="39" t="s">
        <v>1046</v>
      </c>
    </row>
    <row r="1021" spans="1:5">
      <c r="A1021" s="37">
        <v>31569</v>
      </c>
      <c r="B1021" s="204">
        <v>1</v>
      </c>
      <c r="C1021" s="204" t="s">
        <v>3825</v>
      </c>
      <c r="D1021" s="204" t="s">
        <v>1060</v>
      </c>
      <c r="E1021" s="39" t="s">
        <v>1046</v>
      </c>
    </row>
    <row r="1022" spans="1:5">
      <c r="A1022" s="37">
        <v>31570</v>
      </c>
      <c r="B1022" s="204">
        <v>1</v>
      </c>
      <c r="C1022" s="204" t="s">
        <v>3382</v>
      </c>
      <c r="D1022" s="204" t="s">
        <v>1061</v>
      </c>
      <c r="E1022" s="39" t="s">
        <v>769</v>
      </c>
    </row>
    <row r="1023" spans="1:5">
      <c r="A1023" s="37">
        <v>31571</v>
      </c>
      <c r="B1023" s="204">
        <v>1</v>
      </c>
      <c r="C1023" s="204" t="s">
        <v>3382</v>
      </c>
      <c r="D1023" s="204" t="s">
        <v>1062</v>
      </c>
      <c r="E1023" s="39" t="s">
        <v>769</v>
      </c>
    </row>
    <row r="1024" spans="1:5">
      <c r="A1024" s="37">
        <v>31572</v>
      </c>
      <c r="B1024" s="204">
        <v>1</v>
      </c>
      <c r="C1024" s="204" t="s">
        <v>3382</v>
      </c>
      <c r="D1024" s="204" t="s">
        <v>1063</v>
      </c>
      <c r="E1024" s="39" t="s">
        <v>769</v>
      </c>
    </row>
    <row r="1025" spans="1:5">
      <c r="A1025" s="37">
        <v>31573</v>
      </c>
      <c r="B1025" s="204">
        <v>1</v>
      </c>
      <c r="C1025" s="204" t="s">
        <v>3382</v>
      </c>
      <c r="D1025" s="204" t="s">
        <v>1064</v>
      </c>
      <c r="E1025" s="39" t="s">
        <v>769</v>
      </c>
    </row>
    <row r="1026" spans="1:5">
      <c r="A1026" s="49">
        <v>31601</v>
      </c>
      <c r="B1026" s="205">
        <v>1</v>
      </c>
      <c r="C1026" s="205" t="s">
        <v>3811</v>
      </c>
      <c r="D1026" s="205" t="s">
        <v>1065</v>
      </c>
      <c r="E1026" s="52" t="s">
        <v>979</v>
      </c>
    </row>
    <row r="1027" spans="1:5">
      <c r="A1027" s="49">
        <v>31602</v>
      </c>
      <c r="B1027" s="205">
        <v>1</v>
      </c>
      <c r="C1027" s="205" t="s">
        <v>3811</v>
      </c>
      <c r="D1027" s="205" t="s">
        <v>1066</v>
      </c>
      <c r="E1027" s="52" t="s">
        <v>979</v>
      </c>
    </row>
    <row r="1028" spans="1:5">
      <c r="A1028" s="49">
        <v>31603</v>
      </c>
      <c r="B1028" s="205">
        <v>1</v>
      </c>
      <c r="C1028" s="205" t="s">
        <v>3811</v>
      </c>
      <c r="D1028" s="205" t="s">
        <v>1067</v>
      </c>
      <c r="E1028" s="52" t="s">
        <v>979</v>
      </c>
    </row>
    <row r="1029" spans="1:5">
      <c r="A1029" s="49">
        <v>31604</v>
      </c>
      <c r="B1029" s="205">
        <v>1</v>
      </c>
      <c r="C1029" s="205" t="s">
        <v>3811</v>
      </c>
      <c r="D1029" s="205" t="s">
        <v>1068</v>
      </c>
      <c r="E1029" s="52" t="s">
        <v>979</v>
      </c>
    </row>
    <row r="1030" spans="1:5">
      <c r="A1030" s="49">
        <v>31605</v>
      </c>
      <c r="B1030" s="205">
        <v>1</v>
      </c>
      <c r="C1030" s="205" t="s">
        <v>3811</v>
      </c>
      <c r="D1030" s="205" t="s">
        <v>1069</v>
      </c>
      <c r="E1030" s="52" t="s">
        <v>979</v>
      </c>
    </row>
    <row r="1031" spans="1:5">
      <c r="A1031" s="49">
        <v>31606</v>
      </c>
      <c r="B1031" s="205">
        <v>1</v>
      </c>
      <c r="C1031" s="205" t="s">
        <v>3811</v>
      </c>
      <c r="D1031" s="205" t="s">
        <v>1070</v>
      </c>
      <c r="E1031" s="52" t="s">
        <v>979</v>
      </c>
    </row>
    <row r="1032" spans="1:5">
      <c r="A1032" s="49">
        <v>31607</v>
      </c>
      <c r="B1032" s="205">
        <v>1</v>
      </c>
      <c r="C1032" s="205" t="s">
        <v>3811</v>
      </c>
      <c r="D1032" s="205" t="s">
        <v>1071</v>
      </c>
      <c r="E1032" s="52" t="s">
        <v>979</v>
      </c>
    </row>
    <row r="1033" spans="1:5">
      <c r="A1033" s="49">
        <v>31608</v>
      </c>
      <c r="B1033" s="205">
        <v>1</v>
      </c>
      <c r="C1033" s="205" t="s">
        <v>3811</v>
      </c>
      <c r="D1033" s="205" t="s">
        <v>1072</v>
      </c>
      <c r="E1033" s="52" t="s">
        <v>979</v>
      </c>
    </row>
    <row r="1034" spans="1:5">
      <c r="A1034" s="49">
        <v>31609</v>
      </c>
      <c r="B1034" s="205">
        <v>1</v>
      </c>
      <c r="C1034" s="205" t="s">
        <v>3811</v>
      </c>
      <c r="D1034" s="205" t="s">
        <v>1073</v>
      </c>
      <c r="E1034" s="52" t="s">
        <v>979</v>
      </c>
    </row>
    <row r="1035" spans="1:5">
      <c r="A1035" s="49">
        <v>31610</v>
      </c>
      <c r="B1035" s="205">
        <v>1</v>
      </c>
      <c r="C1035" s="205" t="s">
        <v>3811</v>
      </c>
      <c r="D1035" s="205" t="s">
        <v>1074</v>
      </c>
      <c r="E1035" s="52" t="s">
        <v>979</v>
      </c>
    </row>
    <row r="1036" spans="1:5">
      <c r="A1036" s="49">
        <v>31611</v>
      </c>
      <c r="B1036" s="205">
        <v>1</v>
      </c>
      <c r="C1036" s="205" t="s">
        <v>3366</v>
      </c>
      <c r="D1036" s="205" t="s">
        <v>1075</v>
      </c>
      <c r="E1036" s="52" t="s">
        <v>981</v>
      </c>
    </row>
    <row r="1037" spans="1:5">
      <c r="A1037" s="49">
        <v>31612</v>
      </c>
      <c r="B1037" s="205">
        <v>1</v>
      </c>
      <c r="C1037" s="205" t="s">
        <v>3366</v>
      </c>
      <c r="D1037" s="205" t="s">
        <v>1076</v>
      </c>
      <c r="E1037" s="52" t="s">
        <v>981</v>
      </c>
    </row>
    <row r="1038" spans="1:5">
      <c r="A1038" s="49">
        <v>31613</v>
      </c>
      <c r="B1038" s="205">
        <v>1</v>
      </c>
      <c r="C1038" s="205" t="s">
        <v>3366</v>
      </c>
      <c r="D1038" s="205" t="s">
        <v>1077</v>
      </c>
      <c r="E1038" s="52" t="s">
        <v>981</v>
      </c>
    </row>
    <row r="1039" spans="1:5">
      <c r="A1039" s="49">
        <v>31614</v>
      </c>
      <c r="B1039" s="205">
        <v>1</v>
      </c>
      <c r="C1039" s="205" t="s">
        <v>3366</v>
      </c>
      <c r="D1039" s="205" t="s">
        <v>1078</v>
      </c>
      <c r="E1039" s="52" t="s">
        <v>981</v>
      </c>
    </row>
    <row r="1040" spans="1:5">
      <c r="A1040" s="49">
        <v>31615</v>
      </c>
      <c r="B1040" s="205">
        <v>1</v>
      </c>
      <c r="C1040" s="205" t="s">
        <v>3366</v>
      </c>
      <c r="D1040" s="205" t="s">
        <v>1079</v>
      </c>
      <c r="E1040" s="52" t="s">
        <v>981</v>
      </c>
    </row>
    <row r="1041" spans="1:5">
      <c r="A1041" s="49">
        <v>31616</v>
      </c>
      <c r="B1041" s="205">
        <v>1</v>
      </c>
      <c r="C1041" s="205" t="s">
        <v>3366</v>
      </c>
      <c r="D1041" s="205" t="s">
        <v>1080</v>
      </c>
      <c r="E1041" s="52" t="s">
        <v>981</v>
      </c>
    </row>
    <row r="1042" spans="1:5">
      <c r="A1042" s="49">
        <v>31617</v>
      </c>
      <c r="B1042" s="205">
        <v>1</v>
      </c>
      <c r="C1042" s="205" t="s">
        <v>3366</v>
      </c>
      <c r="D1042" s="205" t="s">
        <v>1081</v>
      </c>
      <c r="E1042" s="52" t="s">
        <v>981</v>
      </c>
    </row>
    <row r="1043" spans="1:5">
      <c r="A1043" s="49">
        <v>31618</v>
      </c>
      <c r="B1043" s="205">
        <v>1</v>
      </c>
      <c r="C1043" s="205" t="s">
        <v>3366</v>
      </c>
      <c r="D1043" s="205" t="s">
        <v>1082</v>
      </c>
      <c r="E1043" s="52" t="s">
        <v>981</v>
      </c>
    </row>
    <row r="1044" spans="1:5">
      <c r="A1044" s="49">
        <v>31619</v>
      </c>
      <c r="B1044" s="205">
        <v>1</v>
      </c>
      <c r="C1044" s="205" t="s">
        <v>3366</v>
      </c>
      <c r="D1044" s="205" t="s">
        <v>1083</v>
      </c>
      <c r="E1044" s="52" t="s">
        <v>981</v>
      </c>
    </row>
    <row r="1045" spans="1:5">
      <c r="A1045" s="49">
        <v>31620</v>
      </c>
      <c r="B1045" s="205">
        <v>1</v>
      </c>
      <c r="C1045" s="205" t="s">
        <v>3366</v>
      </c>
      <c r="D1045" s="205" t="s">
        <v>1084</v>
      </c>
      <c r="E1045" s="52" t="s">
        <v>981</v>
      </c>
    </row>
    <row r="1046" spans="1:5">
      <c r="A1046" s="49">
        <v>31621</v>
      </c>
      <c r="B1046" s="205">
        <v>1</v>
      </c>
      <c r="C1046" s="205" t="s">
        <v>3368</v>
      </c>
      <c r="D1046" s="205" t="s">
        <v>1085</v>
      </c>
      <c r="E1046" s="52" t="s">
        <v>983</v>
      </c>
    </row>
    <row r="1047" spans="1:5">
      <c r="A1047" s="49">
        <v>31622</v>
      </c>
      <c r="B1047" s="205">
        <v>1</v>
      </c>
      <c r="C1047" s="205" t="s">
        <v>3368</v>
      </c>
      <c r="D1047" s="205" t="s">
        <v>1086</v>
      </c>
      <c r="E1047" s="52" t="s">
        <v>983</v>
      </c>
    </row>
    <row r="1048" spans="1:5">
      <c r="A1048" s="49">
        <v>31623</v>
      </c>
      <c r="B1048" s="205">
        <v>1</v>
      </c>
      <c r="C1048" s="205" t="s">
        <v>3368</v>
      </c>
      <c r="D1048" s="205" t="s">
        <v>1087</v>
      </c>
      <c r="E1048" s="52" t="s">
        <v>983</v>
      </c>
    </row>
    <row r="1049" spans="1:5">
      <c r="A1049" s="49">
        <v>31624</v>
      </c>
      <c r="B1049" s="205">
        <v>1</v>
      </c>
      <c r="C1049" s="205" t="s">
        <v>3368</v>
      </c>
      <c r="D1049" s="205" t="s">
        <v>1088</v>
      </c>
      <c r="E1049" s="52" t="s">
        <v>983</v>
      </c>
    </row>
    <row r="1050" spans="1:5">
      <c r="A1050" s="49">
        <v>31625</v>
      </c>
      <c r="B1050" s="205">
        <v>1</v>
      </c>
      <c r="C1050" s="205" t="s">
        <v>3368</v>
      </c>
      <c r="D1050" s="205" t="s">
        <v>1089</v>
      </c>
      <c r="E1050" s="52" t="s">
        <v>983</v>
      </c>
    </row>
    <row r="1051" spans="1:5">
      <c r="A1051" s="49">
        <v>31626</v>
      </c>
      <c r="B1051" s="205">
        <v>1</v>
      </c>
      <c r="C1051" s="205" t="s">
        <v>3368</v>
      </c>
      <c r="D1051" s="205" t="s">
        <v>1090</v>
      </c>
      <c r="E1051" s="52" t="s">
        <v>983</v>
      </c>
    </row>
    <row r="1052" spans="1:5">
      <c r="A1052" s="49">
        <v>31627</v>
      </c>
      <c r="B1052" s="205">
        <v>1</v>
      </c>
      <c r="C1052" s="205" t="s">
        <v>3368</v>
      </c>
      <c r="D1052" s="205" t="s">
        <v>1091</v>
      </c>
      <c r="E1052" s="52" t="s">
        <v>983</v>
      </c>
    </row>
    <row r="1053" spans="1:5">
      <c r="A1053" s="49">
        <v>31628</v>
      </c>
      <c r="B1053" s="205">
        <v>1</v>
      </c>
      <c r="C1053" s="205" t="s">
        <v>3368</v>
      </c>
      <c r="D1053" s="205" t="s">
        <v>1092</v>
      </c>
      <c r="E1053" s="52" t="s">
        <v>983</v>
      </c>
    </row>
    <row r="1054" spans="1:5">
      <c r="A1054" s="49">
        <v>31629</v>
      </c>
      <c r="B1054" s="205">
        <v>1</v>
      </c>
      <c r="C1054" s="205" t="s">
        <v>3368</v>
      </c>
      <c r="D1054" s="205" t="s">
        <v>1093</v>
      </c>
      <c r="E1054" s="52" t="s">
        <v>983</v>
      </c>
    </row>
    <row r="1055" spans="1:5">
      <c r="A1055" s="49">
        <v>31630</v>
      </c>
      <c r="B1055" s="205">
        <v>1</v>
      </c>
      <c r="C1055" s="205" t="s">
        <v>3368</v>
      </c>
      <c r="D1055" s="205" t="s">
        <v>1094</v>
      </c>
      <c r="E1055" s="52" t="s">
        <v>983</v>
      </c>
    </row>
    <row r="1056" spans="1:5">
      <c r="A1056" s="49">
        <v>31631</v>
      </c>
      <c r="B1056" s="205">
        <v>1</v>
      </c>
      <c r="C1056" s="205" t="s">
        <v>3369</v>
      </c>
      <c r="D1056" s="205" t="s">
        <v>1095</v>
      </c>
      <c r="E1056" s="52" t="s">
        <v>747</v>
      </c>
    </row>
    <row r="1057" spans="1:5">
      <c r="A1057" s="49">
        <v>31632</v>
      </c>
      <c r="B1057" s="205">
        <v>1</v>
      </c>
      <c r="C1057" s="205" t="s">
        <v>3369</v>
      </c>
      <c r="D1057" s="205" t="s">
        <v>1096</v>
      </c>
      <c r="E1057" s="52" t="s">
        <v>747</v>
      </c>
    </row>
    <row r="1058" spans="1:5">
      <c r="A1058" s="49">
        <v>31633</v>
      </c>
      <c r="B1058" s="205">
        <v>1</v>
      </c>
      <c r="C1058" s="205" t="s">
        <v>3369</v>
      </c>
      <c r="D1058" s="205" t="s">
        <v>1097</v>
      </c>
      <c r="E1058" s="52" t="s">
        <v>747</v>
      </c>
    </row>
    <row r="1059" spans="1:5">
      <c r="A1059" s="49">
        <v>31634</v>
      </c>
      <c r="B1059" s="205">
        <v>1</v>
      </c>
      <c r="C1059" s="205" t="s">
        <v>3369</v>
      </c>
      <c r="D1059" s="205" t="s">
        <v>1098</v>
      </c>
      <c r="E1059" s="52" t="s">
        <v>747</v>
      </c>
    </row>
    <row r="1060" spans="1:5">
      <c r="A1060" s="49">
        <v>31635</v>
      </c>
      <c r="B1060" s="205">
        <v>1</v>
      </c>
      <c r="C1060" s="205" t="s">
        <v>3369</v>
      </c>
      <c r="D1060" s="205" t="s">
        <v>1099</v>
      </c>
      <c r="E1060" s="52" t="s">
        <v>747</v>
      </c>
    </row>
    <row r="1061" spans="1:5">
      <c r="A1061" s="49">
        <v>31636</v>
      </c>
      <c r="B1061" s="205">
        <v>1</v>
      </c>
      <c r="C1061" s="205" t="s">
        <v>3369</v>
      </c>
      <c r="D1061" s="205" t="s">
        <v>1100</v>
      </c>
      <c r="E1061" s="52" t="s">
        <v>747</v>
      </c>
    </row>
    <row r="1062" spans="1:5">
      <c r="A1062" s="49">
        <v>31637</v>
      </c>
      <c r="B1062" s="205">
        <v>1</v>
      </c>
      <c r="C1062" s="205" t="s">
        <v>3369</v>
      </c>
      <c r="D1062" s="205" t="s">
        <v>1101</v>
      </c>
      <c r="E1062" s="52" t="s">
        <v>747</v>
      </c>
    </row>
    <row r="1063" spans="1:5">
      <c r="A1063" s="49">
        <v>31638</v>
      </c>
      <c r="B1063" s="205">
        <v>1</v>
      </c>
      <c r="C1063" s="205" t="s">
        <v>3369</v>
      </c>
      <c r="D1063" s="205" t="s">
        <v>1102</v>
      </c>
      <c r="E1063" s="52" t="s">
        <v>747</v>
      </c>
    </row>
    <row r="1064" spans="1:5">
      <c r="A1064" s="49">
        <v>31639</v>
      </c>
      <c r="B1064" s="205">
        <v>1</v>
      </c>
      <c r="C1064" s="205" t="s">
        <v>3371</v>
      </c>
      <c r="D1064" s="205" t="s">
        <v>1103</v>
      </c>
      <c r="E1064" s="52" t="s">
        <v>751</v>
      </c>
    </row>
    <row r="1065" spans="1:5">
      <c r="A1065" s="49">
        <v>31640</v>
      </c>
      <c r="B1065" s="205">
        <v>1</v>
      </c>
      <c r="C1065" s="205" t="s">
        <v>3373</v>
      </c>
      <c r="D1065" s="205" t="s">
        <v>1104</v>
      </c>
      <c r="E1065" s="52" t="s">
        <v>991</v>
      </c>
    </row>
    <row r="1066" spans="1:5">
      <c r="A1066" s="49">
        <v>31641</v>
      </c>
      <c r="B1066" s="205">
        <v>1</v>
      </c>
      <c r="C1066" s="205" t="s">
        <v>3375</v>
      </c>
      <c r="D1066" s="205" t="s">
        <v>1105</v>
      </c>
      <c r="E1066" s="52" t="s">
        <v>787</v>
      </c>
    </row>
    <row r="1067" spans="1:5">
      <c r="A1067" s="49">
        <v>31642</v>
      </c>
      <c r="B1067" s="205">
        <v>1</v>
      </c>
      <c r="C1067" s="205" t="s">
        <v>3378</v>
      </c>
      <c r="D1067" s="205" t="s">
        <v>1106</v>
      </c>
      <c r="E1067" s="52" t="s">
        <v>795</v>
      </c>
    </row>
    <row r="1068" spans="1:5">
      <c r="A1068" s="49">
        <v>31643</v>
      </c>
      <c r="B1068" s="205">
        <v>1</v>
      </c>
      <c r="C1068" s="205" t="s">
        <v>3380</v>
      </c>
      <c r="D1068" s="205" t="s">
        <v>1107</v>
      </c>
      <c r="E1068" s="52" t="s">
        <v>811</v>
      </c>
    </row>
    <row r="1069" spans="1:5">
      <c r="A1069" s="1">
        <v>32001</v>
      </c>
      <c r="B1069" s="162">
        <v>1</v>
      </c>
      <c r="C1069" s="162" t="s">
        <v>3744</v>
      </c>
      <c r="D1069" s="162" t="s">
        <v>1108</v>
      </c>
      <c r="E1069" s="3" t="s">
        <v>717</v>
      </c>
    </row>
    <row r="1070" spans="1:5">
      <c r="A1070" s="1">
        <v>32002</v>
      </c>
      <c r="B1070" s="162">
        <v>1</v>
      </c>
      <c r="C1070" s="162" t="s">
        <v>3826</v>
      </c>
      <c r="D1070" s="162" t="s">
        <v>1109</v>
      </c>
      <c r="E1070" s="3" t="s">
        <v>1110</v>
      </c>
    </row>
    <row r="1071" spans="1:5">
      <c r="A1071" s="1">
        <v>32003</v>
      </c>
      <c r="B1071" s="162">
        <v>1</v>
      </c>
      <c r="C1071" s="162" t="s">
        <v>3827</v>
      </c>
      <c r="D1071" s="162" t="s">
        <v>1111</v>
      </c>
      <c r="E1071" s="3" t="s">
        <v>1112</v>
      </c>
    </row>
    <row r="1072" spans="1:5">
      <c r="A1072" s="1">
        <v>32004</v>
      </c>
      <c r="B1072" s="162">
        <v>1</v>
      </c>
      <c r="C1072" s="162" t="s">
        <v>3330</v>
      </c>
      <c r="D1072" s="162" t="s">
        <v>1025</v>
      </c>
      <c r="E1072" s="3" t="s">
        <v>1026</v>
      </c>
    </row>
    <row r="1073" spans="1:5">
      <c r="A1073" s="1">
        <v>32005</v>
      </c>
      <c r="B1073" s="162">
        <v>1</v>
      </c>
      <c r="C1073" s="162" t="s">
        <v>3335</v>
      </c>
      <c r="D1073" s="162" t="s">
        <v>1113</v>
      </c>
      <c r="E1073" s="3" t="s">
        <v>930</v>
      </c>
    </row>
    <row r="1074" spans="1:5">
      <c r="A1074" s="1">
        <v>32006</v>
      </c>
      <c r="B1074" s="162">
        <v>1</v>
      </c>
      <c r="C1074" s="162" t="s">
        <v>3828</v>
      </c>
      <c r="D1074" s="162" t="s">
        <v>1114</v>
      </c>
      <c r="E1074" s="3" t="s">
        <v>1115</v>
      </c>
    </row>
    <row r="1075" spans="1:5">
      <c r="A1075" s="1">
        <v>32007</v>
      </c>
      <c r="B1075" s="1">
        <v>1</v>
      </c>
      <c r="C1075" s="1" t="s">
        <v>3829</v>
      </c>
      <c r="D1075" s="1" t="s">
        <v>596</v>
      </c>
      <c r="E1075" s="3" t="s">
        <v>1116</v>
      </c>
    </row>
    <row r="1076" spans="1:5">
      <c r="A1076" s="1">
        <v>32008</v>
      </c>
      <c r="B1076" s="1">
        <v>1</v>
      </c>
      <c r="C1076" s="1" t="s">
        <v>3704</v>
      </c>
      <c r="D1076" s="1" t="s">
        <v>1117</v>
      </c>
      <c r="E1076" s="3" t="s">
        <v>597</v>
      </c>
    </row>
    <row r="1077" spans="1:5">
      <c r="A1077" s="1">
        <v>32009</v>
      </c>
      <c r="B1077" s="1">
        <v>1</v>
      </c>
      <c r="C1077" s="1" t="s">
        <v>3830</v>
      </c>
      <c r="D1077" s="1" t="s">
        <v>1118</v>
      </c>
      <c r="E1077" s="3" t="s">
        <v>1119</v>
      </c>
    </row>
    <row r="1078" spans="1:5">
      <c r="A1078" s="1">
        <v>32010</v>
      </c>
      <c r="B1078" s="1">
        <v>1</v>
      </c>
      <c r="C1078" s="1" t="s">
        <v>3831</v>
      </c>
      <c r="D1078" s="1" t="s">
        <v>1120</v>
      </c>
      <c r="E1078" s="3" t="s">
        <v>1121</v>
      </c>
    </row>
    <row r="1079" spans="1:5">
      <c r="A1079" s="1">
        <v>32011</v>
      </c>
      <c r="B1079" s="1">
        <v>1</v>
      </c>
      <c r="C1079" s="1" t="s">
        <v>3832</v>
      </c>
      <c r="D1079" s="1" t="s">
        <v>1122</v>
      </c>
      <c r="E1079" s="3" t="s">
        <v>1123</v>
      </c>
    </row>
    <row r="1080" spans="1:5">
      <c r="A1080" s="1">
        <v>32012</v>
      </c>
      <c r="B1080" s="1">
        <v>1</v>
      </c>
      <c r="C1080" s="1" t="s">
        <v>3833</v>
      </c>
      <c r="D1080" s="1" t="s">
        <v>1124</v>
      </c>
      <c r="E1080" s="3" t="s">
        <v>1125</v>
      </c>
    </row>
    <row r="1081" spans="1:5">
      <c r="A1081" s="1">
        <v>32013</v>
      </c>
      <c r="B1081" s="1">
        <v>1</v>
      </c>
      <c r="C1081" s="1" t="s">
        <v>3834</v>
      </c>
      <c r="D1081" s="1" t="s">
        <v>1126</v>
      </c>
      <c r="E1081" s="3" t="s">
        <v>1127</v>
      </c>
    </row>
    <row r="1082" spans="1:5">
      <c r="A1082" s="1">
        <v>32014</v>
      </c>
      <c r="B1082" s="1">
        <v>1</v>
      </c>
      <c r="C1082" s="1" t="s">
        <v>3835</v>
      </c>
      <c r="D1082" s="1" t="s">
        <v>1128</v>
      </c>
      <c r="E1082" s="3" t="s">
        <v>1129</v>
      </c>
    </row>
    <row r="1083" spans="1:5">
      <c r="A1083" s="1">
        <v>32015</v>
      </c>
      <c r="B1083" s="1">
        <v>1</v>
      </c>
      <c r="C1083" s="1" t="s">
        <v>3836</v>
      </c>
      <c r="D1083" s="1" t="s">
        <v>1130</v>
      </c>
      <c r="E1083" s="3" t="s">
        <v>1131</v>
      </c>
    </row>
    <row r="1084" spans="1:5">
      <c r="A1084" s="1">
        <v>32016</v>
      </c>
      <c r="B1084" s="1">
        <v>1</v>
      </c>
      <c r="C1084" s="1" t="s">
        <v>3837</v>
      </c>
      <c r="D1084" s="1" t="s">
        <v>1132</v>
      </c>
      <c r="E1084" s="3" t="s">
        <v>1133</v>
      </c>
    </row>
    <row r="1085" spans="1:5">
      <c r="A1085" s="1">
        <v>32017</v>
      </c>
      <c r="B1085" s="1">
        <v>1</v>
      </c>
      <c r="C1085" s="1" t="s">
        <v>3838</v>
      </c>
      <c r="D1085" s="1" t="s">
        <v>1132</v>
      </c>
      <c r="E1085" s="3" t="s">
        <v>1134</v>
      </c>
    </row>
    <row r="1086" spans="1:5">
      <c r="A1086" s="1">
        <v>32018</v>
      </c>
      <c r="B1086" s="1">
        <v>1</v>
      </c>
      <c r="C1086" s="1" t="s">
        <v>3839</v>
      </c>
      <c r="D1086" s="1" t="s">
        <v>1132</v>
      </c>
      <c r="E1086" s="3" t="s">
        <v>1135</v>
      </c>
    </row>
    <row r="1087" spans="1:5">
      <c r="A1087" s="1">
        <v>32019</v>
      </c>
      <c r="B1087" s="1">
        <v>1</v>
      </c>
      <c r="C1087" s="1" t="s">
        <v>3840</v>
      </c>
      <c r="D1087" s="1" t="s">
        <v>1136</v>
      </c>
      <c r="E1087" s="3" t="s">
        <v>1137</v>
      </c>
    </row>
    <row r="1088" spans="1:5">
      <c r="A1088" s="1">
        <v>32020</v>
      </c>
      <c r="B1088" s="1">
        <v>1</v>
      </c>
      <c r="C1088" s="1" t="s">
        <v>3841</v>
      </c>
      <c r="D1088" s="1" t="s">
        <v>1136</v>
      </c>
      <c r="E1088" s="3" t="s">
        <v>1138</v>
      </c>
    </row>
    <row r="1089" spans="1:5">
      <c r="A1089" s="1">
        <v>32021</v>
      </c>
      <c r="B1089" s="1">
        <v>1</v>
      </c>
      <c r="C1089" s="1" t="s">
        <v>3842</v>
      </c>
      <c r="D1089" s="1" t="s">
        <v>1136</v>
      </c>
      <c r="E1089" s="3" t="s">
        <v>1139</v>
      </c>
    </row>
    <row r="1090" spans="1:5">
      <c r="A1090" s="1">
        <v>32022</v>
      </c>
      <c r="B1090" s="1">
        <v>1</v>
      </c>
      <c r="C1090" s="1" t="s">
        <v>3843</v>
      </c>
      <c r="D1090" s="1" t="s">
        <v>1136</v>
      </c>
      <c r="E1090" s="3" t="s">
        <v>1140</v>
      </c>
    </row>
    <row r="1091" spans="1:5">
      <c r="A1091" s="1">
        <v>32023</v>
      </c>
      <c r="B1091" s="1">
        <v>1</v>
      </c>
      <c r="C1091" s="1" t="s">
        <v>3844</v>
      </c>
      <c r="D1091" s="1" t="s">
        <v>1136</v>
      </c>
      <c r="E1091" s="3" t="s">
        <v>1141</v>
      </c>
    </row>
    <row r="1092" spans="1:5">
      <c r="A1092" s="1">
        <v>32024</v>
      </c>
      <c r="B1092" s="1">
        <v>1</v>
      </c>
      <c r="C1092" s="1" t="s">
        <v>3845</v>
      </c>
      <c r="D1092" s="1" t="s">
        <v>1136</v>
      </c>
      <c r="E1092" s="3" t="s">
        <v>1142</v>
      </c>
    </row>
    <row r="1093" spans="1:5">
      <c r="A1093" s="1">
        <v>32025</v>
      </c>
      <c r="B1093" s="1">
        <v>1</v>
      </c>
      <c r="C1093" s="1" t="s">
        <v>3811</v>
      </c>
      <c r="D1093" s="1" t="s">
        <v>1143</v>
      </c>
      <c r="E1093" s="3" t="s">
        <v>979</v>
      </c>
    </row>
    <row r="1094" spans="1:5">
      <c r="A1094" s="1">
        <v>32026</v>
      </c>
      <c r="B1094" s="1">
        <v>1</v>
      </c>
      <c r="C1094" s="1" t="s">
        <v>3811</v>
      </c>
      <c r="D1094" s="1" t="s">
        <v>1143</v>
      </c>
      <c r="E1094" s="3" t="s">
        <v>979</v>
      </c>
    </row>
    <row r="1095" spans="1:5">
      <c r="A1095" s="1">
        <v>32027</v>
      </c>
      <c r="B1095" s="1">
        <v>1</v>
      </c>
      <c r="C1095" s="1" t="s">
        <v>3366</v>
      </c>
      <c r="D1095" s="1" t="s">
        <v>1143</v>
      </c>
      <c r="E1095" s="3" t="s">
        <v>981</v>
      </c>
    </row>
    <row r="1096" spans="1:5">
      <c r="A1096" s="1">
        <v>32028</v>
      </c>
      <c r="B1096" s="1">
        <v>1</v>
      </c>
      <c r="C1096" s="1" t="s">
        <v>3366</v>
      </c>
      <c r="D1096" s="1" t="s">
        <v>1143</v>
      </c>
      <c r="E1096" s="3" t="s">
        <v>981</v>
      </c>
    </row>
    <row r="1097" spans="1:5">
      <c r="A1097" s="1">
        <v>32029</v>
      </c>
      <c r="B1097" s="1">
        <v>1</v>
      </c>
      <c r="C1097" s="1" t="s">
        <v>3368</v>
      </c>
      <c r="D1097" s="1" t="s">
        <v>1143</v>
      </c>
      <c r="E1097" s="3" t="s">
        <v>983</v>
      </c>
    </row>
    <row r="1098" spans="1:5">
      <c r="A1098" s="1">
        <v>32030</v>
      </c>
      <c r="B1098" s="1">
        <v>1</v>
      </c>
      <c r="C1098" s="1" t="s">
        <v>3369</v>
      </c>
      <c r="D1098" s="1" t="s">
        <v>1143</v>
      </c>
      <c r="E1098" s="3" t="s">
        <v>747</v>
      </c>
    </row>
    <row r="1099" spans="1:5">
      <c r="A1099" s="1">
        <v>32031</v>
      </c>
      <c r="B1099" s="1">
        <v>1</v>
      </c>
      <c r="C1099" s="1" t="s">
        <v>3699</v>
      </c>
      <c r="D1099" s="1" t="s">
        <v>1144</v>
      </c>
      <c r="E1099" s="3" t="s">
        <v>628</v>
      </c>
    </row>
    <row r="1100" spans="1:5">
      <c r="A1100" s="1">
        <v>32032</v>
      </c>
      <c r="B1100" s="1">
        <v>1</v>
      </c>
      <c r="C1100" s="1" t="s">
        <v>3355</v>
      </c>
      <c r="D1100" s="1" t="s">
        <v>1144</v>
      </c>
      <c r="E1100" s="3" t="s">
        <v>599</v>
      </c>
    </row>
    <row r="1101" spans="1:5">
      <c r="A1101" s="1">
        <v>32033</v>
      </c>
      <c r="B1101" s="1">
        <v>1</v>
      </c>
      <c r="C1101" s="1" t="s">
        <v>3729</v>
      </c>
      <c r="D1101" s="1" t="s">
        <v>1144</v>
      </c>
      <c r="E1101" s="3" t="s">
        <v>653</v>
      </c>
    </row>
    <row r="1102" spans="1:5">
      <c r="A1102" s="1">
        <v>32034</v>
      </c>
      <c r="B1102" s="1">
        <v>1</v>
      </c>
      <c r="C1102" s="1" t="s">
        <v>3360</v>
      </c>
      <c r="D1102" s="1" t="s">
        <v>1144</v>
      </c>
      <c r="E1102" s="3" t="s">
        <v>604</v>
      </c>
    </row>
    <row r="1103" spans="1:5">
      <c r="A1103" s="1">
        <v>32035</v>
      </c>
      <c r="B1103" s="1">
        <v>1</v>
      </c>
      <c r="C1103" s="1" t="s">
        <v>3760</v>
      </c>
      <c r="D1103" s="1" t="s">
        <v>1144</v>
      </c>
      <c r="E1103" s="3" t="s">
        <v>789</v>
      </c>
    </row>
    <row r="1104" spans="1:5">
      <c r="A1104" s="1">
        <v>32036</v>
      </c>
      <c r="B1104" s="1">
        <v>1</v>
      </c>
      <c r="C1104" s="1" t="s">
        <v>3365</v>
      </c>
      <c r="D1104" s="1" t="s">
        <v>1144</v>
      </c>
      <c r="E1104" s="3" t="s">
        <v>793</v>
      </c>
    </row>
    <row r="1105" spans="1:5">
      <c r="A1105" s="1">
        <v>32037</v>
      </c>
      <c r="B1105" s="1">
        <v>1</v>
      </c>
      <c r="C1105" s="1" t="s">
        <v>3370</v>
      </c>
      <c r="D1105" s="1" t="s">
        <v>1143</v>
      </c>
      <c r="E1105" s="3" t="s">
        <v>986</v>
      </c>
    </row>
    <row r="1106" spans="1:5">
      <c r="A1106" s="1">
        <v>32038</v>
      </c>
      <c r="B1106" s="1">
        <v>1</v>
      </c>
      <c r="C1106" s="1" t="s">
        <v>3371</v>
      </c>
      <c r="D1106" s="1" t="s">
        <v>1143</v>
      </c>
      <c r="E1106" s="3" t="s">
        <v>751</v>
      </c>
    </row>
    <row r="1107" spans="1:5">
      <c r="A1107" s="1">
        <v>32039</v>
      </c>
      <c r="B1107" s="1">
        <v>1</v>
      </c>
      <c r="C1107" s="1" t="s">
        <v>3366</v>
      </c>
      <c r="D1107" s="1" t="s">
        <v>1143</v>
      </c>
      <c r="E1107" s="3" t="s">
        <v>981</v>
      </c>
    </row>
    <row r="1108" spans="1:5">
      <c r="A1108" s="1">
        <v>32040</v>
      </c>
      <c r="B1108" s="1">
        <v>1</v>
      </c>
      <c r="C1108" s="1" t="s">
        <v>3366</v>
      </c>
      <c r="D1108" s="1" t="s">
        <v>1143</v>
      </c>
      <c r="E1108" s="3" t="s">
        <v>981</v>
      </c>
    </row>
    <row r="1109" spans="1:5">
      <c r="A1109" s="1">
        <v>32041</v>
      </c>
      <c r="B1109" s="1">
        <v>1</v>
      </c>
      <c r="C1109" s="1" t="s">
        <v>3368</v>
      </c>
      <c r="D1109" s="1" t="s">
        <v>1143</v>
      </c>
      <c r="E1109" s="3" t="s">
        <v>983</v>
      </c>
    </row>
    <row r="1110" spans="1:5">
      <c r="A1110" s="1">
        <v>32042</v>
      </c>
      <c r="B1110" s="1">
        <v>1</v>
      </c>
      <c r="C1110" s="1" t="s">
        <v>3369</v>
      </c>
      <c r="D1110" s="1" t="s">
        <v>1143</v>
      </c>
      <c r="E1110" s="3" t="s">
        <v>747</v>
      </c>
    </row>
    <row r="1111" spans="1:5">
      <c r="A1111" s="1">
        <v>32043</v>
      </c>
      <c r="B1111" s="1">
        <v>1</v>
      </c>
      <c r="C1111" s="1" t="s">
        <v>3846</v>
      </c>
      <c r="D1111" s="1" t="s">
        <v>1145</v>
      </c>
      <c r="E1111" s="3" t="s">
        <v>1146</v>
      </c>
    </row>
    <row r="1112" spans="1:5">
      <c r="A1112" s="1">
        <v>32044</v>
      </c>
      <c r="B1112" s="1">
        <v>1</v>
      </c>
      <c r="C1112" s="1" t="s">
        <v>3847</v>
      </c>
      <c r="D1112" s="1" t="s">
        <v>1145</v>
      </c>
      <c r="E1112" s="3" t="s">
        <v>1147</v>
      </c>
    </row>
    <row r="1113" spans="1:5">
      <c r="A1113" s="1">
        <v>32045</v>
      </c>
      <c r="B1113" s="1">
        <v>1</v>
      </c>
      <c r="C1113" s="1" t="s">
        <v>3848</v>
      </c>
      <c r="D1113" s="1" t="s">
        <v>1145</v>
      </c>
      <c r="E1113" s="3" t="s">
        <v>1148</v>
      </c>
    </row>
    <row r="1114" spans="1:5">
      <c r="A1114" s="1">
        <v>32046</v>
      </c>
      <c r="B1114" s="1">
        <v>1</v>
      </c>
      <c r="C1114" s="1" t="s">
        <v>3849</v>
      </c>
      <c r="D1114" s="1" t="s">
        <v>1145</v>
      </c>
      <c r="E1114" s="3" t="s">
        <v>1149</v>
      </c>
    </row>
    <row r="1115" spans="1:5">
      <c r="A1115" s="1">
        <v>32047</v>
      </c>
      <c r="B1115" s="1">
        <v>1</v>
      </c>
      <c r="C1115" s="1" t="s">
        <v>3850</v>
      </c>
      <c r="D1115" s="1" t="s">
        <v>1145</v>
      </c>
      <c r="E1115" s="3" t="s">
        <v>1150</v>
      </c>
    </row>
    <row r="1116" spans="1:5">
      <c r="A1116" s="1">
        <v>32048</v>
      </c>
      <c r="B1116" s="1">
        <v>1</v>
      </c>
      <c r="C1116" s="1" t="s">
        <v>3851</v>
      </c>
      <c r="D1116" s="1" t="s">
        <v>7068</v>
      </c>
      <c r="E1116" s="3" t="s">
        <v>1152</v>
      </c>
    </row>
    <row r="1117" spans="1:5">
      <c r="A1117" s="1">
        <v>32049</v>
      </c>
      <c r="B1117" s="1">
        <v>1</v>
      </c>
      <c r="C1117" s="1" t="s">
        <v>3852</v>
      </c>
      <c r="D1117" s="1" t="s">
        <v>7068</v>
      </c>
      <c r="E1117" s="3" t="s">
        <v>1153</v>
      </c>
    </row>
    <row r="1118" spans="1:5">
      <c r="A1118" s="1">
        <v>32050</v>
      </c>
      <c r="B1118" s="1">
        <v>1</v>
      </c>
      <c r="C1118" s="1" t="s">
        <v>3853</v>
      </c>
      <c r="D1118" s="1" t="s">
        <v>7068</v>
      </c>
      <c r="E1118" s="3" t="s">
        <v>1154</v>
      </c>
    </row>
    <row r="1119" spans="1:5">
      <c r="A1119" s="1">
        <v>32051</v>
      </c>
      <c r="B1119" s="1">
        <v>1</v>
      </c>
      <c r="C1119" s="1" t="s">
        <v>3854</v>
      </c>
      <c r="D1119" s="1" t="s">
        <v>7068</v>
      </c>
      <c r="E1119" s="3" t="s">
        <v>1155</v>
      </c>
    </row>
    <row r="1120" spans="1:5">
      <c r="A1120" s="1">
        <v>32052</v>
      </c>
      <c r="B1120" s="1">
        <v>1</v>
      </c>
      <c r="C1120" s="1" t="s">
        <v>3855</v>
      </c>
      <c r="D1120" s="1" t="s">
        <v>7068</v>
      </c>
      <c r="E1120" s="3" t="s">
        <v>1156</v>
      </c>
    </row>
    <row r="1121" spans="1:5">
      <c r="A1121" s="1">
        <v>32053</v>
      </c>
      <c r="B1121" s="1">
        <v>1</v>
      </c>
      <c r="C1121" s="1" t="s">
        <v>3856</v>
      </c>
      <c r="D1121" s="1" t="s">
        <v>7068</v>
      </c>
      <c r="E1121" s="3" t="s">
        <v>1157</v>
      </c>
    </row>
    <row r="1122" spans="1:5">
      <c r="A1122" s="1">
        <v>32054</v>
      </c>
      <c r="B1122" s="1">
        <v>1</v>
      </c>
      <c r="C1122" s="1" t="s">
        <v>3857</v>
      </c>
      <c r="D1122" s="1" t="s">
        <v>1158</v>
      </c>
      <c r="E1122" s="3" t="s">
        <v>1159</v>
      </c>
    </row>
    <row r="1123" spans="1:5">
      <c r="A1123" s="1">
        <v>32055</v>
      </c>
      <c r="B1123" s="1">
        <v>1</v>
      </c>
      <c r="C1123" s="1" t="s">
        <v>3858</v>
      </c>
      <c r="D1123" s="1" t="s">
        <v>1160</v>
      </c>
      <c r="E1123" s="3" t="s">
        <v>1161</v>
      </c>
    </row>
    <row r="1124" spans="1:5">
      <c r="A1124" s="1">
        <v>32056</v>
      </c>
      <c r="B1124" s="1">
        <v>1</v>
      </c>
      <c r="C1124" s="1" t="s">
        <v>3859</v>
      </c>
      <c r="D1124" s="1" t="s">
        <v>1162</v>
      </c>
      <c r="E1124" s="3" t="s">
        <v>1163</v>
      </c>
    </row>
    <row r="1125" spans="1:5">
      <c r="A1125" s="1">
        <v>32057</v>
      </c>
      <c r="B1125" s="1">
        <v>1</v>
      </c>
      <c r="C1125" s="1" t="s">
        <v>3860</v>
      </c>
      <c r="D1125" s="1" t="s">
        <v>1164</v>
      </c>
      <c r="E1125" s="3" t="s">
        <v>1165</v>
      </c>
    </row>
    <row r="1126" spans="1:5">
      <c r="A1126" s="1">
        <v>32058</v>
      </c>
      <c r="B1126" s="1">
        <v>1</v>
      </c>
      <c r="C1126" s="1" t="s">
        <v>3861</v>
      </c>
      <c r="D1126" s="1" t="s">
        <v>1166</v>
      </c>
      <c r="E1126" s="3" t="s">
        <v>1167</v>
      </c>
    </row>
    <row r="1127" spans="1:5">
      <c r="A1127" s="1">
        <v>32059</v>
      </c>
      <c r="B1127" s="1">
        <v>1</v>
      </c>
      <c r="C1127" s="1" t="s">
        <v>3862</v>
      </c>
      <c r="D1127" s="1" t="s">
        <v>1168</v>
      </c>
      <c r="E1127" s="3" t="s">
        <v>1169</v>
      </c>
    </row>
    <row r="1128" spans="1:5">
      <c r="A1128" s="1">
        <v>32060</v>
      </c>
      <c r="B1128" s="1">
        <v>1</v>
      </c>
      <c r="C1128" s="1" t="s">
        <v>3366</v>
      </c>
      <c r="D1128" s="1" t="s">
        <v>1170</v>
      </c>
      <c r="E1128" s="3" t="s">
        <v>981</v>
      </c>
    </row>
    <row r="1129" spans="1:5">
      <c r="A1129" s="1">
        <v>32061</v>
      </c>
      <c r="B1129" s="1">
        <v>1</v>
      </c>
      <c r="C1129" s="1" t="s">
        <v>3369</v>
      </c>
      <c r="D1129" s="1" t="s">
        <v>1171</v>
      </c>
      <c r="E1129" s="3" t="s">
        <v>747</v>
      </c>
    </row>
    <row r="1130" spans="1:5">
      <c r="A1130" s="1">
        <v>32062</v>
      </c>
      <c r="B1130" s="1">
        <v>1</v>
      </c>
      <c r="C1130" s="1" t="s">
        <v>3371</v>
      </c>
      <c r="D1130" s="1" t="s">
        <v>1172</v>
      </c>
      <c r="E1130" s="3" t="s">
        <v>751</v>
      </c>
    </row>
    <row r="1131" spans="1:5">
      <c r="A1131" s="1">
        <v>32063</v>
      </c>
      <c r="B1131" s="1">
        <v>1</v>
      </c>
      <c r="C1131" s="1" t="s">
        <v>3375</v>
      </c>
      <c r="D1131" s="1" t="s">
        <v>1173</v>
      </c>
      <c r="E1131" s="3" t="s">
        <v>787</v>
      </c>
    </row>
    <row r="1132" spans="1:5">
      <c r="A1132" s="1">
        <v>32064</v>
      </c>
      <c r="B1132" s="1">
        <v>1</v>
      </c>
      <c r="C1132" s="1" t="s">
        <v>3382</v>
      </c>
      <c r="D1132" s="1" t="s">
        <v>1174</v>
      </c>
      <c r="E1132" s="3" t="s">
        <v>769</v>
      </c>
    </row>
    <row r="1133" spans="1:5">
      <c r="A1133" s="1">
        <v>32065</v>
      </c>
      <c r="B1133" s="1">
        <v>1</v>
      </c>
      <c r="C1133" s="1" t="s">
        <v>3393</v>
      </c>
      <c r="D1133" s="1" t="s">
        <v>1175</v>
      </c>
      <c r="E1133" s="3" t="s">
        <v>1176</v>
      </c>
    </row>
    <row r="1134" spans="1:5">
      <c r="A1134" s="1">
        <v>32066</v>
      </c>
      <c r="B1134" s="1">
        <v>1</v>
      </c>
      <c r="C1134" s="1" t="s">
        <v>3863</v>
      </c>
      <c r="D1134" s="1" t="s">
        <v>1177</v>
      </c>
      <c r="E1134" s="3" t="s">
        <v>1178</v>
      </c>
    </row>
    <row r="1135" spans="1:5">
      <c r="A1135" s="54">
        <v>33001</v>
      </c>
      <c r="B1135" s="192">
        <v>0</v>
      </c>
      <c r="C1135" s="54" t="s">
        <v>3864</v>
      </c>
      <c r="D1135" s="54" t="s">
        <v>1179</v>
      </c>
      <c r="E1135" s="148" t="s">
        <v>1180</v>
      </c>
    </row>
    <row r="1136" spans="1:5">
      <c r="A1136" s="22">
        <v>33002</v>
      </c>
      <c r="B1136" s="193">
        <v>0</v>
      </c>
      <c r="C1136" s="22" t="s">
        <v>3864</v>
      </c>
      <c r="D1136" s="22" t="s">
        <v>1181</v>
      </c>
      <c r="E1136" s="24" t="s">
        <v>1180</v>
      </c>
    </row>
    <row r="1137" spans="1:5">
      <c r="A1137" s="22">
        <v>33003</v>
      </c>
      <c r="B1137" s="193">
        <v>0</v>
      </c>
      <c r="C1137" s="22" t="s">
        <v>3864</v>
      </c>
      <c r="D1137" s="22" t="s">
        <v>1182</v>
      </c>
      <c r="E1137" s="24" t="s">
        <v>1180</v>
      </c>
    </row>
    <row r="1138" spans="1:5">
      <c r="A1138" s="22">
        <v>33004</v>
      </c>
      <c r="B1138" s="193">
        <v>0</v>
      </c>
      <c r="C1138" s="22" t="s">
        <v>3864</v>
      </c>
      <c r="D1138" s="22" t="s">
        <v>1183</v>
      </c>
      <c r="E1138" s="24" t="s">
        <v>1180</v>
      </c>
    </row>
    <row r="1139" spans="1:5">
      <c r="A1139" s="22">
        <v>33005</v>
      </c>
      <c r="B1139" s="193">
        <v>0</v>
      </c>
      <c r="C1139" s="22" t="s">
        <v>3865</v>
      </c>
      <c r="D1139" s="22" t="s">
        <v>1184</v>
      </c>
      <c r="E1139" s="24" t="s">
        <v>1185</v>
      </c>
    </row>
    <row r="1140" spans="1:5">
      <c r="A1140" s="22">
        <v>33006</v>
      </c>
      <c r="B1140" s="193">
        <v>0</v>
      </c>
      <c r="C1140" s="22" t="s">
        <v>3865</v>
      </c>
      <c r="D1140" s="22" t="s">
        <v>1186</v>
      </c>
      <c r="E1140" s="24" t="s">
        <v>1185</v>
      </c>
    </row>
    <row r="1141" spans="1:5">
      <c r="A1141" s="22">
        <v>33007</v>
      </c>
      <c r="B1141" s="193">
        <v>0</v>
      </c>
      <c r="C1141" s="22" t="s">
        <v>3865</v>
      </c>
      <c r="D1141" s="22" t="s">
        <v>1187</v>
      </c>
      <c r="E1141" s="24" t="s">
        <v>1185</v>
      </c>
    </row>
    <row r="1142" spans="1:5">
      <c r="A1142" s="22">
        <v>33008</v>
      </c>
      <c r="B1142" s="193">
        <v>0</v>
      </c>
      <c r="C1142" s="22" t="s">
        <v>3865</v>
      </c>
      <c r="D1142" s="22" t="s">
        <v>1188</v>
      </c>
      <c r="E1142" s="24" t="s">
        <v>1185</v>
      </c>
    </row>
    <row r="1143" spans="1:5">
      <c r="A1143" s="22">
        <v>33009</v>
      </c>
      <c r="B1143" s="193">
        <v>0</v>
      </c>
      <c r="C1143" s="22" t="s">
        <v>3866</v>
      </c>
      <c r="D1143" s="22" t="s">
        <v>1189</v>
      </c>
      <c r="E1143" s="24" t="s">
        <v>1190</v>
      </c>
    </row>
    <row r="1144" spans="1:5">
      <c r="A1144" s="22">
        <v>33010</v>
      </c>
      <c r="B1144" s="193">
        <v>0</v>
      </c>
      <c r="C1144" s="22" t="s">
        <v>3866</v>
      </c>
      <c r="D1144" s="22" t="s">
        <v>1191</v>
      </c>
      <c r="E1144" s="24" t="s">
        <v>1190</v>
      </c>
    </row>
    <row r="1145" spans="1:5">
      <c r="A1145" s="22">
        <v>33011</v>
      </c>
      <c r="B1145" s="193">
        <v>0</v>
      </c>
      <c r="C1145" s="22" t="s">
        <v>3866</v>
      </c>
      <c r="D1145" s="22" t="s">
        <v>1192</v>
      </c>
      <c r="E1145" s="24" t="s">
        <v>1190</v>
      </c>
    </row>
    <row r="1146" spans="1:5">
      <c r="A1146" s="22">
        <v>33012</v>
      </c>
      <c r="B1146" s="193">
        <v>0</v>
      </c>
      <c r="C1146" s="22" t="s">
        <v>3866</v>
      </c>
      <c r="D1146" s="22" t="s">
        <v>1193</v>
      </c>
      <c r="E1146" s="24" t="s">
        <v>1190</v>
      </c>
    </row>
    <row r="1147" spans="1:5">
      <c r="A1147" s="22">
        <v>33013</v>
      </c>
      <c r="B1147" s="193">
        <v>0</v>
      </c>
      <c r="C1147" s="22" t="s">
        <v>3867</v>
      </c>
      <c r="D1147" s="22" t="s">
        <v>1194</v>
      </c>
      <c r="E1147" s="24" t="s">
        <v>1195</v>
      </c>
    </row>
    <row r="1148" spans="1:5">
      <c r="A1148" s="22">
        <v>33014</v>
      </c>
      <c r="B1148" s="193">
        <v>0</v>
      </c>
      <c r="C1148" s="22" t="s">
        <v>3867</v>
      </c>
      <c r="D1148" s="22" t="s">
        <v>1196</v>
      </c>
      <c r="E1148" s="24" t="s">
        <v>1195</v>
      </c>
    </row>
    <row r="1149" spans="1:5">
      <c r="A1149" s="22">
        <v>33015</v>
      </c>
      <c r="B1149" s="193">
        <v>0</v>
      </c>
      <c r="C1149" s="22" t="s">
        <v>3867</v>
      </c>
      <c r="D1149" s="22" t="s">
        <v>1197</v>
      </c>
      <c r="E1149" s="24" t="s">
        <v>1195</v>
      </c>
    </row>
    <row r="1150" spans="1:5">
      <c r="A1150" s="22">
        <v>33016</v>
      </c>
      <c r="B1150" s="193">
        <v>0</v>
      </c>
      <c r="C1150" s="22" t="s">
        <v>3867</v>
      </c>
      <c r="D1150" s="22" t="s">
        <v>1198</v>
      </c>
      <c r="E1150" s="24" t="s">
        <v>1195</v>
      </c>
    </row>
    <row r="1151" spans="1:5">
      <c r="A1151" s="22">
        <v>33017</v>
      </c>
      <c r="B1151" s="193">
        <v>0</v>
      </c>
      <c r="C1151" s="22" t="s">
        <v>3868</v>
      </c>
      <c r="D1151" s="22" t="s">
        <v>1199</v>
      </c>
      <c r="E1151" s="24" t="s">
        <v>1200</v>
      </c>
    </row>
    <row r="1152" spans="1:5">
      <c r="A1152" s="22">
        <v>33018</v>
      </c>
      <c r="B1152" s="193">
        <v>0</v>
      </c>
      <c r="C1152" s="22" t="s">
        <v>3868</v>
      </c>
      <c r="D1152" s="22" t="s">
        <v>1201</v>
      </c>
      <c r="E1152" s="24" t="s">
        <v>1200</v>
      </c>
    </row>
    <row r="1153" spans="1:5">
      <c r="A1153" s="22">
        <v>33019</v>
      </c>
      <c r="B1153" s="193">
        <v>0</v>
      </c>
      <c r="C1153" s="22" t="s">
        <v>3868</v>
      </c>
      <c r="D1153" s="22" t="s">
        <v>1202</v>
      </c>
      <c r="E1153" s="24" t="s">
        <v>1200</v>
      </c>
    </row>
    <row r="1154" spans="1:5">
      <c r="A1154" s="22">
        <v>33020</v>
      </c>
      <c r="B1154" s="193">
        <v>0</v>
      </c>
      <c r="C1154" s="22" t="s">
        <v>3868</v>
      </c>
      <c r="D1154" s="22" t="s">
        <v>1203</v>
      </c>
      <c r="E1154" s="24" t="s">
        <v>1200</v>
      </c>
    </row>
    <row r="1155" spans="1:5">
      <c r="A1155" s="22">
        <v>33021</v>
      </c>
      <c r="B1155" s="193">
        <v>0</v>
      </c>
      <c r="C1155" s="22" t="s">
        <v>3869</v>
      </c>
      <c r="D1155" s="22" t="s">
        <v>1204</v>
      </c>
      <c r="E1155" s="24" t="s">
        <v>1205</v>
      </c>
    </row>
    <row r="1156" spans="1:5">
      <c r="A1156" s="22">
        <v>33022</v>
      </c>
      <c r="B1156" s="193">
        <v>0</v>
      </c>
      <c r="C1156" s="22" t="s">
        <v>3869</v>
      </c>
      <c r="D1156" s="22" t="s">
        <v>1206</v>
      </c>
      <c r="E1156" s="24" t="s">
        <v>1205</v>
      </c>
    </row>
    <row r="1157" spans="1:5">
      <c r="A1157" s="22">
        <v>33023</v>
      </c>
      <c r="B1157" s="193">
        <v>0</v>
      </c>
      <c r="C1157" s="22" t="s">
        <v>3869</v>
      </c>
      <c r="D1157" s="22" t="s">
        <v>1207</v>
      </c>
      <c r="E1157" s="24" t="s">
        <v>1205</v>
      </c>
    </row>
    <row r="1158" spans="1:5">
      <c r="A1158" s="22">
        <v>33024</v>
      </c>
      <c r="B1158" s="193">
        <v>0</v>
      </c>
      <c r="C1158" s="22" t="s">
        <v>3869</v>
      </c>
      <c r="D1158" s="22" t="s">
        <v>1208</v>
      </c>
      <c r="E1158" s="24" t="s">
        <v>1205</v>
      </c>
    </row>
    <row r="1159" spans="1:5">
      <c r="A1159" s="22">
        <v>33025</v>
      </c>
      <c r="B1159" s="193">
        <v>0</v>
      </c>
      <c r="C1159" s="22" t="s">
        <v>3870</v>
      </c>
      <c r="D1159" s="22" t="s">
        <v>1209</v>
      </c>
      <c r="E1159" s="24" t="s">
        <v>1210</v>
      </c>
    </row>
    <row r="1160" spans="1:5">
      <c r="A1160" s="22">
        <v>33026</v>
      </c>
      <c r="B1160" s="193">
        <v>0</v>
      </c>
      <c r="C1160" s="22" t="s">
        <v>3870</v>
      </c>
      <c r="D1160" s="22" t="s">
        <v>1211</v>
      </c>
      <c r="E1160" s="24" t="s">
        <v>1210</v>
      </c>
    </row>
    <row r="1161" spans="1:5">
      <c r="A1161" s="22">
        <v>33027</v>
      </c>
      <c r="B1161" s="193">
        <v>0</v>
      </c>
      <c r="C1161" s="22" t="s">
        <v>3870</v>
      </c>
      <c r="D1161" s="22" t="s">
        <v>1212</v>
      </c>
      <c r="E1161" s="24" t="s">
        <v>1210</v>
      </c>
    </row>
    <row r="1162" spans="1:5">
      <c r="A1162" s="22">
        <v>33028</v>
      </c>
      <c r="B1162" s="193">
        <v>0</v>
      </c>
      <c r="C1162" s="22" t="s">
        <v>3870</v>
      </c>
      <c r="D1162" s="22" t="s">
        <v>1213</v>
      </c>
      <c r="E1162" s="24" t="s">
        <v>1210</v>
      </c>
    </row>
    <row r="1163" spans="1:5">
      <c r="A1163" s="22">
        <v>33029</v>
      </c>
      <c r="B1163" s="193">
        <v>0</v>
      </c>
      <c r="C1163" s="22" t="s">
        <v>3871</v>
      </c>
      <c r="D1163" s="22" t="s">
        <v>1214</v>
      </c>
      <c r="E1163" s="24" t="s">
        <v>1215</v>
      </c>
    </row>
    <row r="1164" spans="1:5">
      <c r="A1164" s="22">
        <v>33030</v>
      </c>
      <c r="B1164" s="193">
        <v>0</v>
      </c>
      <c r="C1164" s="22" t="s">
        <v>3871</v>
      </c>
      <c r="D1164" s="22" t="s">
        <v>1216</v>
      </c>
      <c r="E1164" s="24" t="s">
        <v>1215</v>
      </c>
    </row>
    <row r="1165" spans="1:5">
      <c r="A1165" s="22">
        <v>33031</v>
      </c>
      <c r="B1165" s="193">
        <v>0</v>
      </c>
      <c r="C1165" s="22" t="s">
        <v>3871</v>
      </c>
      <c r="D1165" s="22" t="s">
        <v>1217</v>
      </c>
      <c r="E1165" s="24" t="s">
        <v>1215</v>
      </c>
    </row>
    <row r="1166" spans="1:5">
      <c r="A1166" s="22">
        <v>33032</v>
      </c>
      <c r="B1166" s="193">
        <v>0</v>
      </c>
      <c r="C1166" s="22" t="s">
        <v>3871</v>
      </c>
      <c r="D1166" s="22" t="s">
        <v>1218</v>
      </c>
      <c r="E1166" s="24" t="s">
        <v>1215</v>
      </c>
    </row>
    <row r="1167" spans="1:5">
      <c r="A1167" s="22">
        <v>33033</v>
      </c>
      <c r="B1167" s="193">
        <v>0</v>
      </c>
      <c r="C1167" s="22" t="s">
        <v>3872</v>
      </c>
      <c r="D1167" s="22" t="s">
        <v>1219</v>
      </c>
      <c r="E1167" s="24" t="s">
        <v>1220</v>
      </c>
    </row>
    <row r="1168" spans="1:5">
      <c r="A1168" s="22">
        <v>33034</v>
      </c>
      <c r="B1168" s="193">
        <v>0</v>
      </c>
      <c r="C1168" s="22" t="s">
        <v>3872</v>
      </c>
      <c r="D1168" s="22" t="s">
        <v>1221</v>
      </c>
      <c r="E1168" s="24" t="s">
        <v>1220</v>
      </c>
    </row>
    <row r="1169" spans="1:5">
      <c r="A1169" s="22">
        <v>33035</v>
      </c>
      <c r="B1169" s="193">
        <v>0</v>
      </c>
      <c r="C1169" s="22" t="s">
        <v>3872</v>
      </c>
      <c r="D1169" s="22" t="s">
        <v>1222</v>
      </c>
      <c r="E1169" s="24" t="s">
        <v>1220</v>
      </c>
    </row>
    <row r="1170" spans="1:5">
      <c r="A1170" s="22">
        <v>33036</v>
      </c>
      <c r="B1170" s="193">
        <v>0</v>
      </c>
      <c r="C1170" s="22" t="s">
        <v>3872</v>
      </c>
      <c r="D1170" s="22" t="s">
        <v>1223</v>
      </c>
      <c r="E1170" s="24" t="s">
        <v>1220</v>
      </c>
    </row>
    <row r="1171" spans="1:5">
      <c r="A1171" s="22">
        <v>33037</v>
      </c>
      <c r="B1171" s="193">
        <v>0</v>
      </c>
      <c r="C1171" s="22" t="s">
        <v>3873</v>
      </c>
      <c r="D1171" s="22" t="s">
        <v>1224</v>
      </c>
      <c r="E1171" s="24" t="s">
        <v>1225</v>
      </c>
    </row>
    <row r="1172" spans="1:5">
      <c r="A1172" s="22">
        <v>33038</v>
      </c>
      <c r="B1172" s="193">
        <v>0</v>
      </c>
      <c r="C1172" s="22" t="s">
        <v>3873</v>
      </c>
      <c r="D1172" s="22" t="s">
        <v>1226</v>
      </c>
      <c r="E1172" s="24" t="s">
        <v>1225</v>
      </c>
    </row>
    <row r="1173" spans="1:5">
      <c r="A1173" s="22">
        <v>33039</v>
      </c>
      <c r="B1173" s="193">
        <v>0</v>
      </c>
      <c r="C1173" s="22" t="s">
        <v>3873</v>
      </c>
      <c r="D1173" s="22" t="s">
        <v>1227</v>
      </c>
      <c r="E1173" s="24" t="s">
        <v>1225</v>
      </c>
    </row>
    <row r="1174" spans="1:5">
      <c r="A1174" s="22">
        <v>33040</v>
      </c>
      <c r="B1174" s="193">
        <v>0</v>
      </c>
      <c r="C1174" s="22" t="s">
        <v>3873</v>
      </c>
      <c r="D1174" s="22" t="s">
        <v>1228</v>
      </c>
      <c r="E1174" s="24" t="s">
        <v>1225</v>
      </c>
    </row>
    <row r="1175" spans="1:5">
      <c r="A1175" s="22">
        <v>33041</v>
      </c>
      <c r="B1175" s="193">
        <v>0</v>
      </c>
      <c r="C1175" s="22" t="s">
        <v>3874</v>
      </c>
      <c r="D1175" s="22" t="s">
        <v>1229</v>
      </c>
      <c r="E1175" s="24" t="s">
        <v>1230</v>
      </c>
    </row>
    <row r="1176" spans="1:5">
      <c r="A1176" s="22">
        <v>33042</v>
      </c>
      <c r="B1176" s="193">
        <v>0</v>
      </c>
      <c r="C1176" s="22" t="s">
        <v>3874</v>
      </c>
      <c r="D1176" s="22" t="s">
        <v>1231</v>
      </c>
      <c r="E1176" s="24" t="s">
        <v>1230</v>
      </c>
    </row>
    <row r="1177" spans="1:5">
      <c r="A1177" s="22">
        <v>33043</v>
      </c>
      <c r="B1177" s="193">
        <v>0</v>
      </c>
      <c r="C1177" s="22" t="s">
        <v>3874</v>
      </c>
      <c r="D1177" s="22" t="s">
        <v>1232</v>
      </c>
      <c r="E1177" s="24" t="s">
        <v>1230</v>
      </c>
    </row>
    <row r="1178" spans="1:5">
      <c r="A1178" s="22">
        <v>33044</v>
      </c>
      <c r="B1178" s="193">
        <v>0</v>
      </c>
      <c r="C1178" s="22" t="s">
        <v>3874</v>
      </c>
      <c r="D1178" s="22" t="s">
        <v>1233</v>
      </c>
      <c r="E1178" s="24" t="s">
        <v>1230</v>
      </c>
    </row>
    <row r="1179" spans="1:5">
      <c r="A1179" s="22">
        <v>33045</v>
      </c>
      <c r="B1179" s="193">
        <v>0</v>
      </c>
      <c r="C1179" s="22" t="s">
        <v>3875</v>
      </c>
      <c r="D1179" s="22" t="s">
        <v>1234</v>
      </c>
      <c r="E1179" s="24" t="s">
        <v>1235</v>
      </c>
    </row>
    <row r="1180" spans="1:5">
      <c r="A1180" s="22">
        <v>33046</v>
      </c>
      <c r="B1180" s="193">
        <v>0</v>
      </c>
      <c r="C1180" s="22" t="s">
        <v>3875</v>
      </c>
      <c r="D1180" s="22" t="s">
        <v>1236</v>
      </c>
      <c r="E1180" s="24" t="s">
        <v>1235</v>
      </c>
    </row>
    <row r="1181" spans="1:5">
      <c r="A1181" s="22">
        <v>33047</v>
      </c>
      <c r="B1181" s="193">
        <v>0</v>
      </c>
      <c r="C1181" s="22" t="s">
        <v>3875</v>
      </c>
      <c r="D1181" s="22" t="s">
        <v>1237</v>
      </c>
      <c r="E1181" s="24" t="s">
        <v>1235</v>
      </c>
    </row>
    <row r="1182" spans="1:5">
      <c r="A1182" s="22">
        <v>33048</v>
      </c>
      <c r="B1182" s="193">
        <v>0</v>
      </c>
      <c r="C1182" s="22" t="s">
        <v>3875</v>
      </c>
      <c r="D1182" s="22" t="s">
        <v>1238</v>
      </c>
      <c r="E1182" s="24" t="s">
        <v>1235</v>
      </c>
    </row>
    <row r="1183" spans="1:5">
      <c r="A1183" s="22">
        <v>33049</v>
      </c>
      <c r="B1183" s="193">
        <v>0</v>
      </c>
      <c r="C1183" s="22" t="s">
        <v>3876</v>
      </c>
      <c r="D1183" s="22" t="s">
        <v>1239</v>
      </c>
      <c r="E1183" s="24" t="s">
        <v>1240</v>
      </c>
    </row>
    <row r="1184" spans="1:5">
      <c r="A1184" s="22">
        <v>33050</v>
      </c>
      <c r="B1184" s="193">
        <v>0</v>
      </c>
      <c r="C1184" s="22" t="s">
        <v>3876</v>
      </c>
      <c r="D1184" s="22" t="s">
        <v>1241</v>
      </c>
      <c r="E1184" s="24" t="s">
        <v>1240</v>
      </c>
    </row>
    <row r="1185" spans="1:5">
      <c r="A1185" s="22">
        <v>33051</v>
      </c>
      <c r="B1185" s="193">
        <v>0</v>
      </c>
      <c r="C1185" s="22" t="s">
        <v>3876</v>
      </c>
      <c r="D1185" s="22" t="s">
        <v>1242</v>
      </c>
      <c r="E1185" s="24" t="s">
        <v>1240</v>
      </c>
    </row>
    <row r="1186" spans="1:5">
      <c r="A1186" s="22">
        <v>33052</v>
      </c>
      <c r="B1186" s="193">
        <v>0</v>
      </c>
      <c r="C1186" s="22" t="s">
        <v>3876</v>
      </c>
      <c r="D1186" s="22" t="s">
        <v>1243</v>
      </c>
      <c r="E1186" s="24" t="s">
        <v>1240</v>
      </c>
    </row>
    <row r="1187" spans="1:5">
      <c r="A1187" s="22">
        <v>33053</v>
      </c>
      <c r="B1187" s="193">
        <v>0</v>
      </c>
      <c r="C1187" s="22" t="s">
        <v>3877</v>
      </c>
      <c r="D1187" s="22" t="s">
        <v>1244</v>
      </c>
      <c r="E1187" s="24" t="s">
        <v>1245</v>
      </c>
    </row>
    <row r="1188" spans="1:5">
      <c r="A1188" s="22">
        <v>33054</v>
      </c>
      <c r="B1188" s="193">
        <v>0</v>
      </c>
      <c r="C1188" s="22" t="s">
        <v>3877</v>
      </c>
      <c r="D1188" s="22" t="s">
        <v>1246</v>
      </c>
      <c r="E1188" s="24" t="s">
        <v>1245</v>
      </c>
    </row>
    <row r="1189" spans="1:5">
      <c r="A1189" s="22">
        <v>33055</v>
      </c>
      <c r="B1189" s="193">
        <v>0</v>
      </c>
      <c r="C1189" s="22" t="s">
        <v>3877</v>
      </c>
      <c r="D1189" s="22" t="s">
        <v>1247</v>
      </c>
      <c r="E1189" s="24" t="s">
        <v>1245</v>
      </c>
    </row>
    <row r="1190" spans="1:5">
      <c r="A1190" s="22">
        <v>33056</v>
      </c>
      <c r="B1190" s="193">
        <v>0</v>
      </c>
      <c r="C1190" s="22" t="s">
        <v>3877</v>
      </c>
      <c r="D1190" s="22" t="s">
        <v>1248</v>
      </c>
      <c r="E1190" s="24" t="s">
        <v>1245</v>
      </c>
    </row>
    <row r="1191" spans="1:5">
      <c r="A1191" s="22">
        <v>33057</v>
      </c>
      <c r="B1191" s="193">
        <v>0</v>
      </c>
      <c r="C1191" s="22" t="s">
        <v>3878</v>
      </c>
      <c r="D1191" s="22" t="s">
        <v>1249</v>
      </c>
      <c r="E1191" s="24" t="s">
        <v>1250</v>
      </c>
    </row>
    <row r="1192" spans="1:5">
      <c r="A1192" s="22">
        <v>33058</v>
      </c>
      <c r="B1192" s="193">
        <v>0</v>
      </c>
      <c r="C1192" s="22" t="s">
        <v>3878</v>
      </c>
      <c r="D1192" s="22" t="s">
        <v>1251</v>
      </c>
      <c r="E1192" s="24" t="s">
        <v>1250</v>
      </c>
    </row>
    <row r="1193" spans="1:5">
      <c r="A1193" s="22">
        <v>33059</v>
      </c>
      <c r="B1193" s="193">
        <v>0</v>
      </c>
      <c r="C1193" s="22" t="s">
        <v>3878</v>
      </c>
      <c r="D1193" s="22" t="s">
        <v>1252</v>
      </c>
      <c r="E1193" s="24" t="s">
        <v>1250</v>
      </c>
    </row>
    <row r="1194" spans="1:5">
      <c r="A1194" s="22">
        <v>33060</v>
      </c>
      <c r="B1194" s="193">
        <v>0</v>
      </c>
      <c r="C1194" s="22" t="s">
        <v>3878</v>
      </c>
      <c r="D1194" s="22" t="s">
        <v>1253</v>
      </c>
      <c r="E1194" s="24" t="s">
        <v>1250</v>
      </c>
    </row>
    <row r="1195" spans="1:5">
      <c r="A1195" s="22">
        <v>33061</v>
      </c>
      <c r="B1195" s="193">
        <v>0</v>
      </c>
      <c r="C1195" s="22" t="s">
        <v>3879</v>
      </c>
      <c r="D1195" s="22" t="s">
        <v>1254</v>
      </c>
      <c r="E1195" s="24" t="s">
        <v>1255</v>
      </c>
    </row>
    <row r="1196" spans="1:5">
      <c r="A1196" s="22">
        <v>33062</v>
      </c>
      <c r="B1196" s="193">
        <v>0</v>
      </c>
      <c r="C1196" s="22" t="s">
        <v>3879</v>
      </c>
      <c r="D1196" s="22" t="s">
        <v>1234</v>
      </c>
      <c r="E1196" s="24" t="s">
        <v>1255</v>
      </c>
    </row>
    <row r="1197" spans="1:5">
      <c r="A1197" s="22">
        <v>33063</v>
      </c>
      <c r="B1197" s="193">
        <v>0</v>
      </c>
      <c r="C1197" s="22" t="s">
        <v>3879</v>
      </c>
      <c r="D1197" s="22" t="s">
        <v>1236</v>
      </c>
      <c r="E1197" s="24" t="s">
        <v>1255</v>
      </c>
    </row>
    <row r="1198" spans="1:5">
      <c r="A1198" s="22">
        <v>33064</v>
      </c>
      <c r="B1198" s="193">
        <v>0</v>
      </c>
      <c r="C1198" s="22" t="s">
        <v>3879</v>
      </c>
      <c r="D1198" s="22" t="s">
        <v>1237</v>
      </c>
      <c r="E1198" s="24" t="s">
        <v>1255</v>
      </c>
    </row>
    <row r="1199" spans="1:5">
      <c r="A1199" s="22">
        <v>33065</v>
      </c>
      <c r="B1199" s="193">
        <v>0</v>
      </c>
      <c r="C1199" s="22" t="s">
        <v>3880</v>
      </c>
      <c r="D1199" s="22" t="s">
        <v>1238</v>
      </c>
      <c r="E1199" s="24" t="s">
        <v>1256</v>
      </c>
    </row>
    <row r="1200" spans="1:5">
      <c r="A1200" s="22">
        <v>33066</v>
      </c>
      <c r="B1200" s="193">
        <v>0</v>
      </c>
      <c r="C1200" s="22" t="s">
        <v>3880</v>
      </c>
      <c r="D1200" s="22" t="s">
        <v>1239</v>
      </c>
      <c r="E1200" s="24" t="s">
        <v>1256</v>
      </c>
    </row>
    <row r="1201" spans="1:5">
      <c r="A1201" s="22">
        <v>33067</v>
      </c>
      <c r="B1201" s="193">
        <v>0</v>
      </c>
      <c r="C1201" s="22" t="s">
        <v>3880</v>
      </c>
      <c r="D1201" s="22" t="s">
        <v>1241</v>
      </c>
      <c r="E1201" s="24" t="s">
        <v>1256</v>
      </c>
    </row>
    <row r="1202" spans="1:5">
      <c r="A1202" s="22">
        <v>33068</v>
      </c>
      <c r="B1202" s="193">
        <v>0</v>
      </c>
      <c r="C1202" s="22" t="s">
        <v>3880</v>
      </c>
      <c r="D1202" s="22" t="s">
        <v>1242</v>
      </c>
      <c r="E1202" s="24" t="s">
        <v>1256</v>
      </c>
    </row>
    <row r="1203" spans="1:5">
      <c r="A1203" s="22">
        <v>33069</v>
      </c>
      <c r="B1203" s="193">
        <v>0</v>
      </c>
      <c r="C1203" s="22" t="s">
        <v>3881</v>
      </c>
      <c r="D1203" s="22" t="s">
        <v>1243</v>
      </c>
      <c r="E1203" s="24" t="s">
        <v>1257</v>
      </c>
    </row>
    <row r="1204" spans="1:5">
      <c r="A1204" s="22">
        <v>33070</v>
      </c>
      <c r="B1204" s="193">
        <v>0</v>
      </c>
      <c r="C1204" s="22" t="s">
        <v>3881</v>
      </c>
      <c r="D1204" s="22" t="s">
        <v>1244</v>
      </c>
      <c r="E1204" s="24" t="s">
        <v>1257</v>
      </c>
    </row>
    <row r="1205" spans="1:5">
      <c r="A1205" s="22">
        <v>33071</v>
      </c>
      <c r="B1205" s="193">
        <v>0</v>
      </c>
      <c r="C1205" s="22" t="s">
        <v>3881</v>
      </c>
      <c r="D1205" s="22" t="s">
        <v>1246</v>
      </c>
      <c r="E1205" s="24" t="s">
        <v>1257</v>
      </c>
    </row>
    <row r="1206" spans="1:5">
      <c r="A1206" s="22">
        <v>33072</v>
      </c>
      <c r="B1206" s="193">
        <v>0</v>
      </c>
      <c r="C1206" s="22" t="s">
        <v>3881</v>
      </c>
      <c r="D1206" s="22" t="s">
        <v>1247</v>
      </c>
      <c r="E1206" s="24" t="s">
        <v>1257</v>
      </c>
    </row>
    <row r="1207" spans="1:5">
      <c r="A1207" s="22">
        <v>33073</v>
      </c>
      <c r="B1207" s="193">
        <v>0</v>
      </c>
      <c r="C1207" s="22" t="s">
        <v>3882</v>
      </c>
      <c r="D1207" s="22" t="s">
        <v>1248</v>
      </c>
      <c r="E1207" s="24" t="s">
        <v>1258</v>
      </c>
    </row>
    <row r="1208" spans="1:5">
      <c r="A1208" s="22">
        <v>33074</v>
      </c>
      <c r="B1208" s="193">
        <v>0</v>
      </c>
      <c r="C1208" s="22" t="s">
        <v>3882</v>
      </c>
      <c r="D1208" s="22" t="s">
        <v>1249</v>
      </c>
      <c r="E1208" s="24" t="s">
        <v>1258</v>
      </c>
    </row>
    <row r="1209" spans="1:5">
      <c r="A1209" s="22">
        <v>33075</v>
      </c>
      <c r="B1209" s="193">
        <v>0</v>
      </c>
      <c r="C1209" s="22" t="s">
        <v>3882</v>
      </c>
      <c r="D1209" s="22" t="s">
        <v>1251</v>
      </c>
      <c r="E1209" s="24" t="s">
        <v>1258</v>
      </c>
    </row>
    <row r="1210" spans="1:5">
      <c r="A1210" s="56">
        <v>34001</v>
      </c>
      <c r="B1210" s="194">
        <v>0</v>
      </c>
      <c r="C1210" s="56" t="s">
        <v>3883</v>
      </c>
      <c r="D1210" s="56" t="s">
        <v>1259</v>
      </c>
      <c r="E1210" s="58" t="s">
        <v>1260</v>
      </c>
    </row>
    <row r="1211" spans="1:5">
      <c r="A1211" s="56">
        <v>34002</v>
      </c>
      <c r="B1211" s="194">
        <v>0</v>
      </c>
      <c r="C1211" s="56" t="s">
        <v>3884</v>
      </c>
      <c r="D1211" s="56" t="s">
        <v>1261</v>
      </c>
      <c r="E1211" s="58" t="s">
        <v>1262</v>
      </c>
    </row>
    <row r="1212" spans="1:5">
      <c r="A1212" s="56">
        <v>34003</v>
      </c>
      <c r="B1212" s="194">
        <v>0</v>
      </c>
      <c r="C1212" s="58" t="s">
        <v>3885</v>
      </c>
      <c r="D1212" s="58" t="s">
        <v>1263</v>
      </c>
      <c r="E1212" s="58" t="s">
        <v>1264</v>
      </c>
    </row>
    <row r="1213" spans="1:5">
      <c r="A1213" s="56">
        <v>34004</v>
      </c>
      <c r="B1213" s="194">
        <v>0</v>
      </c>
      <c r="C1213" s="58" t="s">
        <v>3886</v>
      </c>
      <c r="D1213" s="58" t="s">
        <v>1265</v>
      </c>
      <c r="E1213" s="58" t="s">
        <v>1266</v>
      </c>
    </row>
    <row r="1214" spans="1:5">
      <c r="A1214" s="60">
        <v>34005</v>
      </c>
      <c r="B1214" s="195">
        <v>0</v>
      </c>
      <c r="C1214" s="62" t="s">
        <v>3887</v>
      </c>
      <c r="D1214" s="62" t="s">
        <v>1267</v>
      </c>
      <c r="E1214" s="62" t="s">
        <v>1268</v>
      </c>
    </row>
    <row r="1215" spans="1:5">
      <c r="A1215" s="60">
        <v>34006</v>
      </c>
      <c r="B1215" s="195">
        <v>0</v>
      </c>
      <c r="C1215" s="62" t="s">
        <v>3888</v>
      </c>
      <c r="D1215" s="62" t="s">
        <v>1269</v>
      </c>
      <c r="E1215" s="62" t="s">
        <v>1270</v>
      </c>
    </row>
    <row r="1216" spans="1:5">
      <c r="A1216" s="60">
        <v>34007</v>
      </c>
      <c r="B1216" s="195">
        <v>0</v>
      </c>
      <c r="C1216" s="62" t="s">
        <v>3889</v>
      </c>
      <c r="D1216" s="62" t="s">
        <v>1271</v>
      </c>
      <c r="E1216" s="62" t="s">
        <v>1272</v>
      </c>
    </row>
    <row r="1217" spans="1:5">
      <c r="A1217" s="63">
        <v>34100</v>
      </c>
      <c r="B1217" s="196">
        <v>0</v>
      </c>
      <c r="C1217" s="65" t="s">
        <v>3890</v>
      </c>
      <c r="D1217" s="65" t="s">
        <v>1273</v>
      </c>
      <c r="E1217" s="65" t="s">
        <v>1274</v>
      </c>
    </row>
    <row r="1218" spans="1:5">
      <c r="A1218" s="63">
        <v>34101</v>
      </c>
      <c r="B1218" s="196">
        <v>0</v>
      </c>
      <c r="C1218" s="65" t="s">
        <v>3891</v>
      </c>
      <c r="D1218" s="65" t="s">
        <v>1275</v>
      </c>
      <c r="E1218" s="65" t="s">
        <v>1276</v>
      </c>
    </row>
    <row r="1219" spans="1:5">
      <c r="A1219" s="63">
        <v>34102</v>
      </c>
      <c r="B1219" s="196">
        <v>0</v>
      </c>
      <c r="C1219" s="65" t="s">
        <v>3709</v>
      </c>
      <c r="D1219" s="65" t="s">
        <v>1277</v>
      </c>
      <c r="E1219" s="65" t="s">
        <v>612</v>
      </c>
    </row>
    <row r="1220" spans="1:5">
      <c r="A1220" s="63">
        <v>34103</v>
      </c>
      <c r="B1220" s="196">
        <v>0</v>
      </c>
      <c r="C1220" s="65" t="s">
        <v>3892</v>
      </c>
      <c r="D1220" s="65" t="s">
        <v>1278</v>
      </c>
      <c r="E1220" s="65" t="s">
        <v>1279</v>
      </c>
    </row>
    <row r="1221" spans="1:5">
      <c r="A1221" s="63">
        <v>34104</v>
      </c>
      <c r="B1221" s="196">
        <v>0</v>
      </c>
      <c r="C1221" s="65" t="s">
        <v>3350</v>
      </c>
      <c r="D1221" s="65" t="s">
        <v>1280</v>
      </c>
      <c r="E1221" s="65" t="s">
        <v>616</v>
      </c>
    </row>
    <row r="1222" spans="1:5">
      <c r="A1222" s="63">
        <v>34105</v>
      </c>
      <c r="B1222" s="196">
        <v>0</v>
      </c>
      <c r="C1222" s="65" t="s">
        <v>3893</v>
      </c>
      <c r="D1222" s="65" t="s">
        <v>1281</v>
      </c>
      <c r="E1222" s="65" t="s">
        <v>1282</v>
      </c>
    </row>
    <row r="1223" spans="1:5">
      <c r="A1223" s="63">
        <v>34106</v>
      </c>
      <c r="B1223" s="196">
        <v>0</v>
      </c>
      <c r="C1223" s="65" t="s">
        <v>3713</v>
      </c>
      <c r="D1223" s="65" t="s">
        <v>1283</v>
      </c>
      <c r="E1223" s="65" t="s">
        <v>621</v>
      </c>
    </row>
    <row r="1224" spans="1:5">
      <c r="A1224" s="63">
        <v>34107</v>
      </c>
      <c r="B1224" s="196">
        <v>0</v>
      </c>
      <c r="C1224" s="65" t="s">
        <v>3894</v>
      </c>
      <c r="D1224" s="65" t="s">
        <v>1284</v>
      </c>
      <c r="E1224" s="65" t="s">
        <v>1285</v>
      </c>
    </row>
    <row r="1225" spans="1:5">
      <c r="A1225" s="63">
        <v>34108</v>
      </c>
      <c r="B1225" s="196">
        <v>0</v>
      </c>
      <c r="C1225" s="65" t="s">
        <v>3352</v>
      </c>
      <c r="D1225" s="65" t="s">
        <v>1286</v>
      </c>
      <c r="E1225" s="65" t="s">
        <v>713</v>
      </c>
    </row>
    <row r="1226" spans="1:5">
      <c r="A1226" s="63">
        <v>34109</v>
      </c>
      <c r="B1226" s="196">
        <v>0</v>
      </c>
      <c r="C1226" s="65" t="s">
        <v>3895</v>
      </c>
      <c r="D1226" s="65" t="s">
        <v>1287</v>
      </c>
      <c r="E1226" s="65" t="s">
        <v>1288</v>
      </c>
    </row>
    <row r="1227" spans="1:5">
      <c r="A1227" s="63">
        <v>34110</v>
      </c>
      <c r="B1227" s="196">
        <v>0</v>
      </c>
      <c r="C1227" s="65" t="s">
        <v>3699</v>
      </c>
      <c r="D1227" s="65" t="s">
        <v>1289</v>
      </c>
      <c r="E1227" s="65" t="s">
        <v>628</v>
      </c>
    </row>
    <row r="1228" spans="1:5">
      <c r="A1228" s="63">
        <v>34111</v>
      </c>
      <c r="B1228" s="196">
        <v>0</v>
      </c>
      <c r="C1228" s="65" t="s">
        <v>3896</v>
      </c>
      <c r="D1228" s="65" t="s">
        <v>1290</v>
      </c>
      <c r="E1228" s="65" t="s">
        <v>1291</v>
      </c>
    </row>
    <row r="1229" spans="1:5">
      <c r="A1229" s="63">
        <v>34112</v>
      </c>
      <c r="B1229" s="196">
        <v>0</v>
      </c>
      <c r="C1229" s="65" t="s">
        <v>3353</v>
      </c>
      <c r="D1229" s="65" t="s">
        <v>1292</v>
      </c>
      <c r="E1229" s="65" t="s">
        <v>1293</v>
      </c>
    </row>
    <row r="1230" spans="1:5">
      <c r="A1230" s="63">
        <v>34113</v>
      </c>
      <c r="B1230" s="196">
        <v>0</v>
      </c>
      <c r="C1230" s="65" t="s">
        <v>3897</v>
      </c>
      <c r="D1230" s="65" t="s">
        <v>1294</v>
      </c>
      <c r="E1230" s="65" t="s">
        <v>1295</v>
      </c>
    </row>
    <row r="1231" spans="1:5">
      <c r="A1231" s="63">
        <v>34114</v>
      </c>
      <c r="B1231" s="196">
        <v>0</v>
      </c>
      <c r="C1231" s="65" t="s">
        <v>3724</v>
      </c>
      <c r="D1231" s="65" t="s">
        <v>1296</v>
      </c>
      <c r="E1231" s="65" t="s">
        <v>642</v>
      </c>
    </row>
    <row r="1232" spans="1:5">
      <c r="A1232" s="63">
        <v>34115</v>
      </c>
      <c r="B1232" s="196">
        <v>0</v>
      </c>
      <c r="C1232" s="65" t="s">
        <v>3898</v>
      </c>
      <c r="D1232" s="65" t="s">
        <v>1297</v>
      </c>
      <c r="E1232" s="65" t="s">
        <v>1298</v>
      </c>
    </row>
    <row r="1233" spans="1:5">
      <c r="A1233" s="63">
        <v>34116</v>
      </c>
      <c r="B1233" s="196">
        <v>0</v>
      </c>
      <c r="C1233" s="65" t="s">
        <v>3354</v>
      </c>
      <c r="D1233" s="65" t="s">
        <v>1299</v>
      </c>
      <c r="E1233" s="65" t="s">
        <v>782</v>
      </c>
    </row>
    <row r="1234" spans="1:5">
      <c r="A1234" s="63">
        <v>34117</v>
      </c>
      <c r="B1234" s="196">
        <v>0</v>
      </c>
      <c r="C1234" s="65" t="s">
        <v>3899</v>
      </c>
      <c r="D1234" s="65" t="s">
        <v>1300</v>
      </c>
      <c r="E1234" s="65" t="s">
        <v>1301</v>
      </c>
    </row>
    <row r="1235" spans="1:5">
      <c r="A1235" s="63">
        <v>34118</v>
      </c>
      <c r="B1235" s="196">
        <v>0</v>
      </c>
      <c r="C1235" s="65" t="s">
        <v>3726</v>
      </c>
      <c r="D1235" s="65" t="s">
        <v>1302</v>
      </c>
      <c r="E1235" s="65" t="s">
        <v>645</v>
      </c>
    </row>
    <row r="1236" spans="1:5">
      <c r="A1236" s="63">
        <v>34119</v>
      </c>
      <c r="B1236" s="196">
        <v>0</v>
      </c>
      <c r="C1236" s="65" t="s">
        <v>3900</v>
      </c>
      <c r="D1236" s="65" t="s">
        <v>1303</v>
      </c>
      <c r="E1236" s="65" t="s">
        <v>1304</v>
      </c>
    </row>
    <row r="1237" spans="1:5">
      <c r="A1237" s="63">
        <v>34120</v>
      </c>
      <c r="B1237" s="196">
        <v>0</v>
      </c>
      <c r="C1237" s="65" t="s">
        <v>3355</v>
      </c>
      <c r="D1237" s="65" t="s">
        <v>1305</v>
      </c>
      <c r="E1237" s="65" t="s">
        <v>599</v>
      </c>
    </row>
    <row r="1238" spans="1:5">
      <c r="A1238" s="63">
        <v>34121</v>
      </c>
      <c r="B1238" s="196">
        <v>0</v>
      </c>
      <c r="C1238" s="65" t="s">
        <v>3901</v>
      </c>
      <c r="D1238" s="65" t="s">
        <v>1306</v>
      </c>
      <c r="E1238" s="65" t="s">
        <v>1307</v>
      </c>
    </row>
    <row r="1239" spans="1:5">
      <c r="A1239" s="63">
        <v>34122</v>
      </c>
      <c r="B1239" s="196">
        <v>0</v>
      </c>
      <c r="C1239" s="65" t="s">
        <v>3902</v>
      </c>
      <c r="D1239" s="65" t="s">
        <v>1308</v>
      </c>
      <c r="E1239" s="65" t="s">
        <v>1309</v>
      </c>
    </row>
    <row r="1240" spans="1:5">
      <c r="A1240" s="63">
        <v>34123</v>
      </c>
      <c r="B1240" s="196">
        <v>0</v>
      </c>
      <c r="C1240" s="65" t="s">
        <v>3903</v>
      </c>
      <c r="D1240" s="65" t="s">
        <v>1310</v>
      </c>
      <c r="E1240" s="65" t="s">
        <v>1311</v>
      </c>
    </row>
    <row r="1241" spans="1:5">
      <c r="A1241" s="63">
        <v>34124</v>
      </c>
      <c r="B1241" s="196">
        <v>0</v>
      </c>
      <c r="C1241" s="65" t="s">
        <v>3356</v>
      </c>
      <c r="D1241" s="65" t="s">
        <v>1312</v>
      </c>
      <c r="E1241" s="65" t="s">
        <v>649</v>
      </c>
    </row>
    <row r="1242" spans="1:5">
      <c r="A1242" s="63">
        <v>34125</v>
      </c>
      <c r="B1242" s="196">
        <v>0</v>
      </c>
      <c r="C1242" s="65" t="s">
        <v>3904</v>
      </c>
      <c r="D1242" s="65" t="s">
        <v>1313</v>
      </c>
      <c r="E1242" s="65" t="s">
        <v>1314</v>
      </c>
    </row>
    <row r="1243" spans="1:5">
      <c r="A1243" s="63">
        <v>34126</v>
      </c>
      <c r="B1243" s="196">
        <v>0</v>
      </c>
      <c r="C1243" s="65" t="s">
        <v>3905</v>
      </c>
      <c r="D1243" s="65" t="s">
        <v>1315</v>
      </c>
      <c r="E1243" s="65" t="s">
        <v>1316</v>
      </c>
    </row>
    <row r="1244" spans="1:5">
      <c r="A1244" s="63">
        <v>34127</v>
      </c>
      <c r="B1244" s="196">
        <v>0</v>
      </c>
      <c r="C1244" s="65" t="s">
        <v>3906</v>
      </c>
      <c r="D1244" s="65" t="s">
        <v>1317</v>
      </c>
      <c r="E1244" s="65" t="s">
        <v>1318</v>
      </c>
    </row>
    <row r="1245" spans="1:5">
      <c r="A1245" s="63">
        <v>34128</v>
      </c>
      <c r="B1245" s="196">
        <v>0</v>
      </c>
      <c r="C1245" s="65" t="s">
        <v>3357</v>
      </c>
      <c r="D1245" s="65" t="s">
        <v>1319</v>
      </c>
      <c r="E1245" s="65" t="s">
        <v>1320</v>
      </c>
    </row>
    <row r="1246" spans="1:5">
      <c r="A1246" s="63">
        <v>34129</v>
      </c>
      <c r="B1246" s="196">
        <v>0</v>
      </c>
      <c r="C1246" s="65" t="s">
        <v>3907</v>
      </c>
      <c r="D1246" s="65" t="s">
        <v>1321</v>
      </c>
      <c r="E1246" s="65" t="s">
        <v>1322</v>
      </c>
    </row>
    <row r="1247" spans="1:5">
      <c r="A1247" s="63">
        <v>34130</v>
      </c>
      <c r="B1247" s="196">
        <v>0</v>
      </c>
      <c r="C1247" s="65" t="s">
        <v>3729</v>
      </c>
      <c r="D1247" s="65" t="s">
        <v>1323</v>
      </c>
      <c r="E1247" s="65" t="s">
        <v>653</v>
      </c>
    </row>
    <row r="1248" spans="1:5">
      <c r="A1248" s="63">
        <v>34131</v>
      </c>
      <c r="B1248" s="196">
        <v>0</v>
      </c>
      <c r="C1248" s="65" t="s">
        <v>3908</v>
      </c>
      <c r="D1248" s="65" t="s">
        <v>1324</v>
      </c>
      <c r="E1248" s="65" t="s">
        <v>1325</v>
      </c>
    </row>
    <row r="1249" spans="1:5">
      <c r="A1249" s="63">
        <v>34132</v>
      </c>
      <c r="B1249" s="196">
        <v>0</v>
      </c>
      <c r="C1249" s="65" t="s">
        <v>3358</v>
      </c>
      <c r="D1249" s="65" t="s">
        <v>1326</v>
      </c>
      <c r="E1249" s="65" t="s">
        <v>1327</v>
      </c>
    </row>
    <row r="1250" spans="1:5">
      <c r="A1250" s="63">
        <v>34133</v>
      </c>
      <c r="B1250" s="196">
        <v>0</v>
      </c>
      <c r="C1250" s="65" t="s">
        <v>3909</v>
      </c>
      <c r="D1250" s="65" t="s">
        <v>1328</v>
      </c>
      <c r="E1250" s="65" t="s">
        <v>1329</v>
      </c>
    </row>
    <row r="1251" spans="1:5">
      <c r="A1251" s="63">
        <v>34134</v>
      </c>
      <c r="B1251" s="196">
        <v>0</v>
      </c>
      <c r="C1251" s="65" t="s">
        <v>3731</v>
      </c>
      <c r="D1251" s="65" t="s">
        <v>1330</v>
      </c>
      <c r="E1251" s="65" t="s">
        <v>657</v>
      </c>
    </row>
    <row r="1252" spans="1:5">
      <c r="A1252" s="63">
        <v>34135</v>
      </c>
      <c r="B1252" s="196">
        <v>0</v>
      </c>
      <c r="C1252" s="65" t="s">
        <v>3910</v>
      </c>
      <c r="D1252" s="65" t="s">
        <v>1331</v>
      </c>
      <c r="E1252" s="65" t="s">
        <v>1332</v>
      </c>
    </row>
    <row r="1253" spans="1:5">
      <c r="A1253" s="63">
        <v>34136</v>
      </c>
      <c r="B1253" s="196">
        <v>0</v>
      </c>
      <c r="C1253" s="65" t="s">
        <v>3359</v>
      </c>
      <c r="D1253" s="65" t="s">
        <v>1333</v>
      </c>
      <c r="E1253" s="65" t="s">
        <v>1334</v>
      </c>
    </row>
    <row r="1254" spans="1:5">
      <c r="A1254" s="63">
        <v>34137</v>
      </c>
      <c r="B1254" s="196">
        <v>0</v>
      </c>
      <c r="C1254" s="65" t="s">
        <v>3911</v>
      </c>
      <c r="D1254" s="65" t="s">
        <v>1335</v>
      </c>
      <c r="E1254" s="65" t="s">
        <v>1336</v>
      </c>
    </row>
    <row r="1255" spans="1:5">
      <c r="A1255" s="63">
        <v>34138</v>
      </c>
      <c r="B1255" s="196">
        <v>0</v>
      </c>
      <c r="C1255" s="65" t="s">
        <v>3912</v>
      </c>
      <c r="D1255" s="65" t="s">
        <v>1337</v>
      </c>
      <c r="E1255" s="65" t="s">
        <v>1338</v>
      </c>
    </row>
    <row r="1256" spans="1:5">
      <c r="A1256" s="63">
        <v>34139</v>
      </c>
      <c r="B1256" s="196">
        <v>0</v>
      </c>
      <c r="C1256" s="65" t="s">
        <v>3913</v>
      </c>
      <c r="D1256" s="65" t="s">
        <v>1339</v>
      </c>
      <c r="E1256" s="65" t="s">
        <v>1340</v>
      </c>
    </row>
    <row r="1257" spans="1:5">
      <c r="A1257" s="63">
        <v>34140</v>
      </c>
      <c r="B1257" s="196">
        <v>0</v>
      </c>
      <c r="C1257" s="65" t="s">
        <v>3360</v>
      </c>
      <c r="D1257" s="65" t="s">
        <v>1341</v>
      </c>
      <c r="E1257" s="65" t="s">
        <v>604</v>
      </c>
    </row>
    <row r="1258" spans="1:5">
      <c r="A1258" s="63">
        <v>34141</v>
      </c>
      <c r="B1258" s="196">
        <v>0</v>
      </c>
      <c r="C1258" s="65" t="s">
        <v>3914</v>
      </c>
      <c r="D1258" s="65" t="s">
        <v>1342</v>
      </c>
      <c r="E1258" s="65" t="s">
        <v>1343</v>
      </c>
    </row>
    <row r="1259" spans="1:5">
      <c r="A1259" s="63">
        <v>34142</v>
      </c>
      <c r="B1259" s="196">
        <v>0</v>
      </c>
      <c r="C1259" s="65" t="s">
        <v>3915</v>
      </c>
      <c r="D1259" s="65" t="s">
        <v>1344</v>
      </c>
      <c r="E1259" s="65" t="s">
        <v>1345</v>
      </c>
    </row>
    <row r="1260" spans="1:5">
      <c r="A1260" s="63">
        <v>34143</v>
      </c>
      <c r="B1260" s="196">
        <v>0</v>
      </c>
      <c r="C1260" s="65" t="s">
        <v>3916</v>
      </c>
      <c r="D1260" s="65" t="s">
        <v>1346</v>
      </c>
      <c r="E1260" s="65" t="s">
        <v>1347</v>
      </c>
    </row>
    <row r="1261" spans="1:5">
      <c r="A1261" s="63">
        <v>34144</v>
      </c>
      <c r="B1261" s="196">
        <v>0</v>
      </c>
      <c r="C1261" s="65" t="s">
        <v>3361</v>
      </c>
      <c r="D1261" s="65" t="s">
        <v>1348</v>
      </c>
      <c r="E1261" s="65" t="s">
        <v>1349</v>
      </c>
    </row>
    <row r="1262" spans="1:5">
      <c r="A1262" s="63">
        <v>34145</v>
      </c>
      <c r="B1262" s="196">
        <v>0</v>
      </c>
      <c r="C1262" s="65" t="s">
        <v>3917</v>
      </c>
      <c r="D1262" s="65" t="s">
        <v>1350</v>
      </c>
      <c r="E1262" s="65" t="s">
        <v>1351</v>
      </c>
    </row>
    <row r="1263" spans="1:5">
      <c r="A1263" s="63">
        <v>34146</v>
      </c>
      <c r="B1263" s="196">
        <v>0</v>
      </c>
      <c r="C1263" s="65" t="s">
        <v>3918</v>
      </c>
      <c r="D1263" s="65" t="s">
        <v>1352</v>
      </c>
      <c r="E1263" s="65" t="s">
        <v>1353</v>
      </c>
    </row>
    <row r="1264" spans="1:5">
      <c r="A1264" s="63">
        <v>34147</v>
      </c>
      <c r="B1264" s="196">
        <v>0</v>
      </c>
      <c r="C1264" s="65" t="s">
        <v>3919</v>
      </c>
      <c r="D1264" s="65" t="s">
        <v>1354</v>
      </c>
      <c r="E1264" s="65" t="s">
        <v>1355</v>
      </c>
    </row>
    <row r="1265" spans="1:5">
      <c r="A1265" s="63">
        <v>34148</v>
      </c>
      <c r="B1265" s="196">
        <v>0</v>
      </c>
      <c r="C1265" s="65" t="s">
        <v>3362</v>
      </c>
      <c r="D1265" s="65" t="s">
        <v>1356</v>
      </c>
      <c r="E1265" s="65" t="s">
        <v>1357</v>
      </c>
    </row>
    <row r="1266" spans="1:5">
      <c r="A1266" s="63">
        <v>34149</v>
      </c>
      <c r="B1266" s="196">
        <v>0</v>
      </c>
      <c r="C1266" s="65" t="s">
        <v>3920</v>
      </c>
      <c r="D1266" s="65" t="s">
        <v>1358</v>
      </c>
      <c r="E1266" s="65" t="s">
        <v>1359</v>
      </c>
    </row>
    <row r="1267" spans="1:5">
      <c r="A1267" s="63">
        <v>34150</v>
      </c>
      <c r="B1267" s="196">
        <v>0</v>
      </c>
      <c r="C1267" s="65" t="s">
        <v>3760</v>
      </c>
      <c r="D1267" s="65" t="s">
        <v>1360</v>
      </c>
      <c r="E1267" s="65" t="s">
        <v>789</v>
      </c>
    </row>
    <row r="1268" spans="1:5">
      <c r="A1268" s="46">
        <v>35001</v>
      </c>
      <c r="B1268" s="46">
        <v>0</v>
      </c>
      <c r="C1268" s="48" t="s">
        <v>11778</v>
      </c>
      <c r="D1268" s="46" t="s">
        <v>6198</v>
      </c>
      <c r="E1268" s="48" t="s">
        <v>11779</v>
      </c>
    </row>
    <row r="1269" spans="1:5">
      <c r="A1269" s="46">
        <v>35002</v>
      </c>
      <c r="B1269" s="46">
        <v>0</v>
      </c>
      <c r="C1269" s="48" t="s">
        <v>6247</v>
      </c>
      <c r="D1269" s="46" t="s">
        <v>6199</v>
      </c>
      <c r="E1269" s="48" t="s">
        <v>10418</v>
      </c>
    </row>
    <row r="1270" spans="1:5">
      <c r="A1270" s="137">
        <v>35011</v>
      </c>
      <c r="B1270" s="137">
        <v>0</v>
      </c>
      <c r="C1270" s="140" t="s">
        <v>6248</v>
      </c>
      <c r="D1270" s="137" t="s">
        <v>6158</v>
      </c>
      <c r="E1270" s="140" t="s">
        <v>10419</v>
      </c>
    </row>
    <row r="1271" spans="1:5">
      <c r="A1271" s="137">
        <v>35012</v>
      </c>
      <c r="B1271" s="137">
        <v>0</v>
      </c>
      <c r="C1271" s="140" t="s">
        <v>6249</v>
      </c>
      <c r="D1271" s="137" t="s">
        <v>6160</v>
      </c>
      <c r="E1271" s="140" t="s">
        <v>10420</v>
      </c>
    </row>
    <row r="1272" spans="1:5">
      <c r="A1272" s="137">
        <v>35013</v>
      </c>
      <c r="B1272" s="137">
        <v>0</v>
      </c>
      <c r="C1272" s="140" t="s">
        <v>6186</v>
      </c>
      <c r="D1272" s="137" t="s">
        <v>6162</v>
      </c>
      <c r="E1272" s="140" t="s">
        <v>10421</v>
      </c>
    </row>
    <row r="1273" spans="1:5">
      <c r="A1273" s="137">
        <v>35014</v>
      </c>
      <c r="B1273" s="137">
        <v>0</v>
      </c>
      <c r="C1273" s="140" t="s">
        <v>6187</v>
      </c>
      <c r="D1273" s="137" t="s">
        <v>6164</v>
      </c>
      <c r="E1273" s="140" t="s">
        <v>10422</v>
      </c>
    </row>
    <row r="1274" spans="1:5">
      <c r="A1274" s="137">
        <v>35015</v>
      </c>
      <c r="B1274" s="137">
        <v>0</v>
      </c>
      <c r="C1274" s="140" t="s">
        <v>6188</v>
      </c>
      <c r="D1274" s="137" t="s">
        <v>6165</v>
      </c>
      <c r="E1274" s="140" t="s">
        <v>10423</v>
      </c>
    </row>
    <row r="1275" spans="1:5">
      <c r="A1275" s="137">
        <v>35016</v>
      </c>
      <c r="B1275" s="137">
        <v>0</v>
      </c>
      <c r="C1275" s="140" t="s">
        <v>6189</v>
      </c>
      <c r="D1275" s="137" t="s">
        <v>6166</v>
      </c>
      <c r="E1275" s="140" t="s">
        <v>10424</v>
      </c>
    </row>
    <row r="1276" spans="1:5">
      <c r="A1276" s="137">
        <v>35017</v>
      </c>
      <c r="B1276" s="137">
        <v>0</v>
      </c>
      <c r="C1276" s="140" t="s">
        <v>6190</v>
      </c>
      <c r="D1276" s="137" t="s">
        <v>6167</v>
      </c>
      <c r="E1276" s="140" t="s">
        <v>10425</v>
      </c>
    </row>
    <row r="1277" spans="1:5">
      <c r="A1277" s="137">
        <v>35018</v>
      </c>
      <c r="B1277" s="137">
        <v>0</v>
      </c>
      <c r="C1277" s="140" t="s">
        <v>6191</v>
      </c>
      <c r="D1277" s="137" t="s">
        <v>6168</v>
      </c>
      <c r="E1277" s="140" t="s">
        <v>10426</v>
      </c>
    </row>
    <row r="1278" spans="1:5">
      <c r="A1278" s="137">
        <v>35019</v>
      </c>
      <c r="B1278" s="137">
        <v>0</v>
      </c>
      <c r="C1278" s="140" t="s">
        <v>6192</v>
      </c>
      <c r="D1278" s="137" t="s">
        <v>6169</v>
      </c>
      <c r="E1278" s="140" t="s">
        <v>10427</v>
      </c>
    </row>
    <row r="1279" spans="1:5">
      <c r="A1279" s="137">
        <v>35020</v>
      </c>
      <c r="B1279" s="137">
        <v>0</v>
      </c>
      <c r="C1279" s="140" t="s">
        <v>6193</v>
      </c>
      <c r="D1279" s="137" t="s">
        <v>6170</v>
      </c>
      <c r="E1279" s="140" t="s">
        <v>10428</v>
      </c>
    </row>
    <row r="1280" spans="1:5">
      <c r="A1280" s="137">
        <v>35021</v>
      </c>
      <c r="B1280" s="137">
        <v>0</v>
      </c>
      <c r="C1280" s="140" t="s">
        <v>6194</v>
      </c>
      <c r="D1280" s="137" t="s">
        <v>6171</v>
      </c>
      <c r="E1280" s="140" t="s">
        <v>10429</v>
      </c>
    </row>
    <row r="1281" spans="1:5">
      <c r="A1281" s="137">
        <v>35022</v>
      </c>
      <c r="B1281" s="137">
        <v>0</v>
      </c>
      <c r="C1281" s="140" t="s">
        <v>6195</v>
      </c>
      <c r="D1281" s="137" t="s">
        <v>6172</v>
      </c>
      <c r="E1281" s="140" t="s">
        <v>10430</v>
      </c>
    </row>
    <row r="1282" spans="1:5">
      <c r="A1282" s="137">
        <v>35023</v>
      </c>
      <c r="B1282" s="137">
        <v>0</v>
      </c>
      <c r="C1282" s="140" t="s">
        <v>6196</v>
      </c>
      <c r="D1282" s="137" t="s">
        <v>6173</v>
      </c>
      <c r="E1282" s="140" t="s">
        <v>10431</v>
      </c>
    </row>
    <row r="1283" spans="1:5">
      <c r="A1283" s="137">
        <v>35024</v>
      </c>
      <c r="B1283" s="137">
        <v>0</v>
      </c>
      <c r="C1283" s="140" t="s">
        <v>6197</v>
      </c>
      <c r="D1283" s="137" t="s">
        <v>6174</v>
      </c>
      <c r="E1283" s="140" t="s">
        <v>10432</v>
      </c>
    </row>
    <row r="1284" spans="1:5">
      <c r="A1284" s="66">
        <v>35051</v>
      </c>
      <c r="B1284" s="66">
        <v>0</v>
      </c>
      <c r="C1284" s="68" t="s">
        <v>6250</v>
      </c>
      <c r="D1284" s="66" t="s">
        <v>6159</v>
      </c>
      <c r="E1284" s="68" t="s">
        <v>10433</v>
      </c>
    </row>
    <row r="1285" spans="1:5">
      <c r="A1285" s="66">
        <v>35052</v>
      </c>
      <c r="B1285" s="66">
        <v>0</v>
      </c>
      <c r="C1285" s="68" t="s">
        <v>6251</v>
      </c>
      <c r="D1285" s="66" t="s">
        <v>6161</v>
      </c>
      <c r="E1285" s="68" t="s">
        <v>10434</v>
      </c>
    </row>
    <row r="1286" spans="1:5">
      <c r="A1286" s="66">
        <v>35053</v>
      </c>
      <c r="B1286" s="66">
        <v>0</v>
      </c>
      <c r="C1286" s="68" t="s">
        <v>6252</v>
      </c>
      <c r="D1286" s="66" t="s">
        <v>6163</v>
      </c>
      <c r="E1286" s="68" t="s">
        <v>10435</v>
      </c>
    </row>
    <row r="1287" spans="1:5">
      <c r="A1287" s="66">
        <v>35054</v>
      </c>
      <c r="B1287" s="66">
        <v>0</v>
      </c>
      <c r="C1287" s="68" t="s">
        <v>6253</v>
      </c>
      <c r="D1287" s="66" t="s">
        <v>6175</v>
      </c>
      <c r="E1287" s="68" t="s">
        <v>10436</v>
      </c>
    </row>
    <row r="1288" spans="1:5">
      <c r="A1288" s="66">
        <v>35055</v>
      </c>
      <c r="B1288" s="66">
        <v>0</v>
      </c>
      <c r="C1288" s="68" t="s">
        <v>6254</v>
      </c>
      <c r="D1288" s="66" t="s">
        <v>6176</v>
      </c>
      <c r="E1288" s="68" t="s">
        <v>10437</v>
      </c>
    </row>
    <row r="1289" spans="1:5">
      <c r="A1289" s="66">
        <v>35056</v>
      </c>
      <c r="B1289" s="66">
        <v>0</v>
      </c>
      <c r="C1289" s="68" t="s">
        <v>6255</v>
      </c>
      <c r="D1289" s="66" t="s">
        <v>6177</v>
      </c>
      <c r="E1289" s="68" t="s">
        <v>10438</v>
      </c>
    </row>
    <row r="1290" spans="1:5">
      <c r="A1290" s="66">
        <v>35057</v>
      </c>
      <c r="B1290" s="66">
        <v>0</v>
      </c>
      <c r="C1290" s="68" t="s">
        <v>6256</v>
      </c>
      <c r="D1290" s="66" t="s">
        <v>6178</v>
      </c>
      <c r="E1290" s="68" t="s">
        <v>10439</v>
      </c>
    </row>
    <row r="1291" spans="1:5">
      <c r="A1291" s="66">
        <v>35058</v>
      </c>
      <c r="B1291" s="66">
        <v>0</v>
      </c>
      <c r="C1291" s="68" t="s">
        <v>6257</v>
      </c>
      <c r="D1291" s="66" t="s">
        <v>6179</v>
      </c>
      <c r="E1291" s="68" t="s">
        <v>10440</v>
      </c>
    </row>
    <row r="1292" spans="1:5">
      <c r="A1292" s="66">
        <v>35059</v>
      </c>
      <c r="B1292" s="66">
        <v>0</v>
      </c>
      <c r="C1292" s="68" t="s">
        <v>6258</v>
      </c>
      <c r="D1292" s="66" t="s">
        <v>6180</v>
      </c>
      <c r="E1292" s="68" t="s">
        <v>10441</v>
      </c>
    </row>
    <row r="1293" spans="1:5">
      <c r="A1293" s="66">
        <v>35060</v>
      </c>
      <c r="B1293" s="66">
        <v>0</v>
      </c>
      <c r="C1293" s="68" t="s">
        <v>6259</v>
      </c>
      <c r="D1293" s="66" t="s">
        <v>6181</v>
      </c>
      <c r="E1293" s="68" t="s">
        <v>10442</v>
      </c>
    </row>
    <row r="1294" spans="1:5">
      <c r="A1294" s="66">
        <v>35061</v>
      </c>
      <c r="B1294" s="66">
        <v>0</v>
      </c>
      <c r="C1294" s="68" t="s">
        <v>6260</v>
      </c>
      <c r="D1294" s="66" t="s">
        <v>6182</v>
      </c>
      <c r="E1294" s="68" t="s">
        <v>10443</v>
      </c>
    </row>
    <row r="1295" spans="1:5">
      <c r="A1295" s="66">
        <v>35062</v>
      </c>
      <c r="B1295" s="66">
        <v>0</v>
      </c>
      <c r="C1295" s="68" t="s">
        <v>6261</v>
      </c>
      <c r="D1295" s="66" t="s">
        <v>6183</v>
      </c>
      <c r="E1295" s="68" t="s">
        <v>10444</v>
      </c>
    </row>
    <row r="1296" spans="1:5">
      <c r="A1296" s="66">
        <v>35063</v>
      </c>
      <c r="B1296" s="66">
        <v>0</v>
      </c>
      <c r="C1296" s="68" t="s">
        <v>6262</v>
      </c>
      <c r="D1296" s="66" t="s">
        <v>6184</v>
      </c>
      <c r="E1296" s="68" t="s">
        <v>10445</v>
      </c>
    </row>
    <row r="1297" spans="1:5">
      <c r="A1297" s="66">
        <v>35064</v>
      </c>
      <c r="B1297" s="66">
        <v>0</v>
      </c>
      <c r="C1297" s="68" t="s">
        <v>10404</v>
      </c>
      <c r="D1297" s="66" t="s">
        <v>6185</v>
      </c>
      <c r="E1297" s="68" t="s">
        <v>10446</v>
      </c>
    </row>
    <row r="1298" spans="1:5">
      <c r="A1298" s="1">
        <v>40001</v>
      </c>
      <c r="B1298" s="1">
        <v>1</v>
      </c>
      <c r="C1298" s="1" t="s">
        <v>3698</v>
      </c>
      <c r="D1298" s="1" t="s">
        <v>1384</v>
      </c>
      <c r="E1298" s="3" t="s">
        <v>1385</v>
      </c>
    </row>
    <row r="1299" spans="1:5">
      <c r="A1299" s="69">
        <v>40002</v>
      </c>
      <c r="B1299" s="69">
        <v>1</v>
      </c>
      <c r="C1299" s="69" t="s">
        <v>3927</v>
      </c>
      <c r="D1299" s="69" t="s">
        <v>1386</v>
      </c>
      <c r="E1299" s="71" t="s">
        <v>1387</v>
      </c>
    </row>
    <row r="1300" spans="1:5">
      <c r="A1300" s="72">
        <v>40003</v>
      </c>
      <c r="B1300" s="72">
        <v>1</v>
      </c>
      <c r="C1300" s="72" t="s">
        <v>3928</v>
      </c>
      <c r="D1300" s="72" t="s">
        <v>1388</v>
      </c>
      <c r="E1300" s="74" t="s">
        <v>4703</v>
      </c>
    </row>
    <row r="1301" spans="1:5">
      <c r="A1301" s="72">
        <v>40004</v>
      </c>
      <c r="B1301" s="72">
        <v>1</v>
      </c>
      <c r="C1301" s="72" t="s">
        <v>3929</v>
      </c>
      <c r="D1301" s="72" t="s">
        <v>1389</v>
      </c>
      <c r="E1301" s="74" t="s">
        <v>4704</v>
      </c>
    </row>
    <row r="1302" spans="1:5">
      <c r="A1302" s="69">
        <v>40051</v>
      </c>
      <c r="B1302" s="69">
        <v>1</v>
      </c>
      <c r="C1302" s="69" t="s">
        <v>3930</v>
      </c>
      <c r="D1302" s="69" t="s">
        <v>1390</v>
      </c>
      <c r="E1302" s="71" t="s">
        <v>4705</v>
      </c>
    </row>
    <row r="1303" spans="1:5">
      <c r="A1303" s="69">
        <v>40052</v>
      </c>
      <c r="B1303" s="69">
        <v>1</v>
      </c>
      <c r="C1303" s="69" t="s">
        <v>3931</v>
      </c>
      <c r="D1303" s="69" t="s">
        <v>1391</v>
      </c>
      <c r="E1303" s="71" t="s">
        <v>4706</v>
      </c>
    </row>
    <row r="1304" spans="1:5">
      <c r="A1304" s="69">
        <v>40053</v>
      </c>
      <c r="B1304" s="69">
        <v>1</v>
      </c>
      <c r="C1304" s="69" t="s">
        <v>3932</v>
      </c>
      <c r="D1304" s="69" t="s">
        <v>1392</v>
      </c>
      <c r="E1304" s="71" t="s">
        <v>4707</v>
      </c>
    </row>
    <row r="1305" spans="1:5">
      <c r="A1305" s="69">
        <v>40054</v>
      </c>
      <c r="B1305" s="69">
        <v>1</v>
      </c>
      <c r="C1305" s="69" t="s">
        <v>3933</v>
      </c>
      <c r="D1305" s="69" t="s">
        <v>1393</v>
      </c>
      <c r="E1305" s="71" t="s">
        <v>4708</v>
      </c>
    </row>
    <row r="1306" spans="1:5">
      <c r="A1306" s="69">
        <v>40055</v>
      </c>
      <c r="B1306" s="69">
        <v>1</v>
      </c>
      <c r="C1306" s="69" t="s">
        <v>3934</v>
      </c>
      <c r="D1306" s="69" t="s">
        <v>1394</v>
      </c>
      <c r="E1306" s="71" t="s">
        <v>4709</v>
      </c>
    </row>
    <row r="1307" spans="1:5">
      <c r="A1307" s="69">
        <v>40056</v>
      </c>
      <c r="B1307" s="69">
        <v>1</v>
      </c>
      <c r="C1307" s="69" t="s">
        <v>3935</v>
      </c>
      <c r="D1307" s="69" t="s">
        <v>1395</v>
      </c>
      <c r="E1307" s="71" t="s">
        <v>4710</v>
      </c>
    </row>
    <row r="1308" spans="1:5">
      <c r="A1308" s="1">
        <v>40101</v>
      </c>
      <c r="B1308" s="1">
        <v>1</v>
      </c>
      <c r="C1308" s="1" t="s">
        <v>3936</v>
      </c>
      <c r="D1308" s="1" t="s">
        <v>580</v>
      </c>
      <c r="E1308" s="3" t="s">
        <v>1396</v>
      </c>
    </row>
    <row r="1309" spans="1:5">
      <c r="A1309" s="69">
        <v>40102</v>
      </c>
      <c r="B1309" s="69">
        <v>1</v>
      </c>
      <c r="C1309" s="69" t="s">
        <v>3937</v>
      </c>
      <c r="D1309" s="69" t="s">
        <v>580</v>
      </c>
      <c r="E1309" s="71" t="s">
        <v>1397</v>
      </c>
    </row>
    <row r="1310" spans="1:5">
      <c r="A1310" s="75">
        <v>40103</v>
      </c>
      <c r="B1310" s="75">
        <v>1</v>
      </c>
      <c r="C1310" s="75" t="s">
        <v>3938</v>
      </c>
      <c r="D1310" s="75" t="s">
        <v>580</v>
      </c>
      <c r="E1310" s="77" t="s">
        <v>1398</v>
      </c>
    </row>
    <row r="1311" spans="1:5">
      <c r="A1311" s="72">
        <v>40104</v>
      </c>
      <c r="B1311" s="72">
        <v>1</v>
      </c>
      <c r="C1311" s="72" t="s">
        <v>3939</v>
      </c>
      <c r="D1311" s="72" t="s">
        <v>580</v>
      </c>
      <c r="E1311" s="74" t="s">
        <v>4711</v>
      </c>
    </row>
    <row r="1312" spans="1:5">
      <c r="A1312" s="72">
        <v>40105</v>
      </c>
      <c r="B1312" s="72">
        <v>1</v>
      </c>
      <c r="C1312" s="72" t="s">
        <v>3937</v>
      </c>
      <c r="D1312" s="72" t="s">
        <v>580</v>
      </c>
      <c r="E1312" s="74" t="s">
        <v>4712</v>
      </c>
    </row>
    <row r="1313" spans="1:5">
      <c r="A1313" s="72">
        <v>40106</v>
      </c>
      <c r="B1313" s="72">
        <v>1</v>
      </c>
      <c r="C1313" s="72" t="s">
        <v>3940</v>
      </c>
      <c r="D1313" s="72" t="s">
        <v>580</v>
      </c>
      <c r="E1313" s="74" t="s">
        <v>4713</v>
      </c>
    </row>
    <row r="1314" spans="1:5">
      <c r="A1314" s="72">
        <v>40107</v>
      </c>
      <c r="B1314" s="72">
        <v>1</v>
      </c>
      <c r="C1314" s="72" t="s">
        <v>3941</v>
      </c>
      <c r="D1314" s="72" t="s">
        <v>580</v>
      </c>
      <c r="E1314" s="74" t="s">
        <v>4714</v>
      </c>
    </row>
    <row r="1315" spans="1:5">
      <c r="A1315" s="1">
        <v>40151</v>
      </c>
      <c r="B1315" s="1">
        <v>1</v>
      </c>
      <c r="C1315" s="1" t="s">
        <v>3942</v>
      </c>
      <c r="D1315" s="1" t="s">
        <v>581</v>
      </c>
      <c r="E1315" s="3" t="s">
        <v>1399</v>
      </c>
    </row>
    <row r="1316" spans="1:5">
      <c r="A1316" s="75">
        <v>40152</v>
      </c>
      <c r="B1316" s="75">
        <v>1</v>
      </c>
      <c r="C1316" s="75" t="s">
        <v>3942</v>
      </c>
      <c r="D1316" s="75" t="s">
        <v>581</v>
      </c>
      <c r="E1316" s="77" t="s">
        <v>1400</v>
      </c>
    </row>
    <row r="1317" spans="1:5">
      <c r="A1317" s="75">
        <v>40153</v>
      </c>
      <c r="B1317" s="75">
        <v>1</v>
      </c>
      <c r="C1317" s="75" t="s">
        <v>3942</v>
      </c>
      <c r="D1317" s="75" t="s">
        <v>581</v>
      </c>
      <c r="E1317" s="77" t="s">
        <v>1401</v>
      </c>
    </row>
    <row r="1318" spans="1:5">
      <c r="A1318" s="69">
        <v>40154</v>
      </c>
      <c r="B1318" s="69">
        <v>1</v>
      </c>
      <c r="C1318" s="69" t="s">
        <v>3694</v>
      </c>
      <c r="D1318" s="69" t="s">
        <v>581</v>
      </c>
      <c r="E1318" s="71" t="s">
        <v>1402</v>
      </c>
    </row>
    <row r="1319" spans="1:5">
      <c r="A1319" s="69">
        <v>40155</v>
      </c>
      <c r="B1319" s="69">
        <v>1</v>
      </c>
      <c r="C1319" s="69" t="s">
        <v>3694</v>
      </c>
      <c r="D1319" s="69" t="s">
        <v>581</v>
      </c>
      <c r="E1319" s="71" t="s">
        <v>1403</v>
      </c>
    </row>
    <row r="1320" spans="1:5">
      <c r="A1320" s="69">
        <v>40156</v>
      </c>
      <c r="B1320" s="69">
        <v>1</v>
      </c>
      <c r="C1320" s="69" t="s">
        <v>3694</v>
      </c>
      <c r="D1320" s="69" t="s">
        <v>581</v>
      </c>
      <c r="E1320" s="71" t="s">
        <v>1404</v>
      </c>
    </row>
    <row r="1321" spans="1:5">
      <c r="A1321" s="72">
        <v>40157</v>
      </c>
      <c r="B1321" s="72">
        <v>1</v>
      </c>
      <c r="C1321" s="72" t="s">
        <v>3943</v>
      </c>
      <c r="D1321" s="72" t="s">
        <v>581</v>
      </c>
      <c r="E1321" s="74" t="s">
        <v>4715</v>
      </c>
    </row>
    <row r="1322" spans="1:5">
      <c r="A1322" s="1">
        <v>40201</v>
      </c>
      <c r="B1322" s="1">
        <v>1</v>
      </c>
      <c r="C1322" s="1" t="s">
        <v>3695</v>
      </c>
      <c r="D1322" s="1" t="s">
        <v>582</v>
      </c>
      <c r="E1322" s="3" t="s">
        <v>1405</v>
      </c>
    </row>
    <row r="1323" spans="1:5">
      <c r="A1323" s="69">
        <v>40202</v>
      </c>
      <c r="B1323" s="69">
        <v>1</v>
      </c>
      <c r="C1323" s="69" t="s">
        <v>3944</v>
      </c>
      <c r="D1323" s="69" t="s">
        <v>582</v>
      </c>
      <c r="E1323" s="71" t="s">
        <v>1406</v>
      </c>
    </row>
    <row r="1324" spans="1:5">
      <c r="A1324" s="72">
        <v>40203</v>
      </c>
      <c r="B1324" s="72">
        <v>1</v>
      </c>
      <c r="C1324" s="72" t="s">
        <v>3695</v>
      </c>
      <c r="D1324" s="72" t="s">
        <v>582</v>
      </c>
      <c r="E1324" s="74" t="s">
        <v>4716</v>
      </c>
    </row>
    <row r="1325" spans="1:5">
      <c r="A1325" s="72">
        <v>40204</v>
      </c>
      <c r="B1325" s="72">
        <v>1</v>
      </c>
      <c r="C1325" s="72" t="s">
        <v>3695</v>
      </c>
      <c r="D1325" s="72" t="s">
        <v>582</v>
      </c>
      <c r="E1325" s="74" t="s">
        <v>4717</v>
      </c>
    </row>
    <row r="1326" spans="1:5">
      <c r="A1326" s="72">
        <v>40205</v>
      </c>
      <c r="B1326" s="72">
        <v>1</v>
      </c>
      <c r="C1326" s="72" t="s">
        <v>3695</v>
      </c>
      <c r="D1326" s="72" t="s">
        <v>582</v>
      </c>
      <c r="E1326" s="74" t="s">
        <v>4718</v>
      </c>
    </row>
    <row r="1327" spans="1:5">
      <c r="A1327" s="72">
        <v>40206</v>
      </c>
      <c r="B1327" s="72">
        <v>1</v>
      </c>
      <c r="C1327" s="72" t="s">
        <v>3695</v>
      </c>
      <c r="D1327" s="72" t="s">
        <v>582</v>
      </c>
      <c r="E1327" s="74" t="s">
        <v>4719</v>
      </c>
    </row>
    <row r="1328" spans="1:5">
      <c r="A1328" s="72">
        <v>40207</v>
      </c>
      <c r="B1328" s="72">
        <v>1</v>
      </c>
      <c r="C1328" s="72" t="s">
        <v>3695</v>
      </c>
      <c r="D1328" s="72" t="s">
        <v>582</v>
      </c>
      <c r="E1328" s="74" t="s">
        <v>4720</v>
      </c>
    </row>
    <row r="1329" spans="1:5">
      <c r="A1329" s="72">
        <v>40208</v>
      </c>
      <c r="B1329" s="72">
        <v>1</v>
      </c>
      <c r="C1329" s="72" t="s">
        <v>3695</v>
      </c>
      <c r="D1329" s="72" t="s">
        <v>582</v>
      </c>
      <c r="E1329" s="74" t="s">
        <v>4721</v>
      </c>
    </row>
    <row r="1330" spans="1:5">
      <c r="A1330" s="72">
        <v>40209</v>
      </c>
      <c r="B1330" s="72">
        <v>1</v>
      </c>
      <c r="C1330" s="72" t="s">
        <v>3944</v>
      </c>
      <c r="D1330" s="72" t="s">
        <v>582</v>
      </c>
      <c r="E1330" s="74" t="s">
        <v>4722</v>
      </c>
    </row>
    <row r="1331" spans="1:5">
      <c r="A1331" s="72">
        <v>40210</v>
      </c>
      <c r="B1331" s="72">
        <v>1</v>
      </c>
      <c r="C1331" s="72" t="s">
        <v>3944</v>
      </c>
      <c r="D1331" s="72" t="s">
        <v>582</v>
      </c>
      <c r="E1331" s="74" t="s">
        <v>4723</v>
      </c>
    </row>
    <row r="1332" spans="1:5">
      <c r="A1332" s="72">
        <v>40211</v>
      </c>
      <c r="B1332" s="72">
        <v>1</v>
      </c>
      <c r="C1332" s="72" t="s">
        <v>3944</v>
      </c>
      <c r="D1332" s="72" t="s">
        <v>582</v>
      </c>
      <c r="E1332" s="74" t="s">
        <v>4724</v>
      </c>
    </row>
    <row r="1333" spans="1:5">
      <c r="A1333" s="72">
        <v>40212</v>
      </c>
      <c r="B1333" s="72">
        <v>1</v>
      </c>
      <c r="C1333" s="72" t="s">
        <v>3944</v>
      </c>
      <c r="D1333" s="72" t="s">
        <v>582</v>
      </c>
      <c r="E1333" s="74" t="s">
        <v>4725</v>
      </c>
    </row>
    <row r="1334" spans="1:5">
      <c r="A1334" s="72">
        <v>40213</v>
      </c>
      <c r="B1334" s="72">
        <v>1</v>
      </c>
      <c r="C1334" s="72" t="s">
        <v>3944</v>
      </c>
      <c r="D1334" s="72" t="s">
        <v>582</v>
      </c>
      <c r="E1334" s="74" t="s">
        <v>4726</v>
      </c>
    </row>
    <row r="1335" spans="1:5">
      <c r="A1335" s="72">
        <v>40214</v>
      </c>
      <c r="B1335" s="72">
        <v>1</v>
      </c>
      <c r="C1335" s="72" t="s">
        <v>3944</v>
      </c>
      <c r="D1335" s="72" t="s">
        <v>582</v>
      </c>
      <c r="E1335" s="74" t="s">
        <v>4727</v>
      </c>
    </row>
    <row r="1336" spans="1:5">
      <c r="A1336" s="72">
        <v>40215</v>
      </c>
      <c r="B1336" s="72">
        <v>1</v>
      </c>
      <c r="C1336" s="72" t="s">
        <v>3944</v>
      </c>
      <c r="D1336" s="72" t="s">
        <v>582</v>
      </c>
      <c r="E1336" s="74" t="s">
        <v>4728</v>
      </c>
    </row>
    <row r="1337" spans="1:5">
      <c r="A1337" s="72">
        <v>40216</v>
      </c>
      <c r="B1337" s="72">
        <v>1</v>
      </c>
      <c r="C1337" s="72" t="s">
        <v>3944</v>
      </c>
      <c r="D1337" s="72" t="s">
        <v>582</v>
      </c>
      <c r="E1337" s="74" t="s">
        <v>4729</v>
      </c>
    </row>
    <row r="1338" spans="1:5">
      <c r="A1338" s="1">
        <v>40900</v>
      </c>
      <c r="B1338" s="1">
        <v>1</v>
      </c>
      <c r="C1338" s="1" t="s">
        <v>3462</v>
      </c>
      <c r="D1338" s="1" t="s">
        <v>1407</v>
      </c>
      <c r="E1338" s="17" t="s">
        <v>119</v>
      </c>
    </row>
    <row r="1339" spans="1:5">
      <c r="A1339" s="1">
        <v>40901</v>
      </c>
      <c r="B1339" s="1">
        <v>1</v>
      </c>
      <c r="C1339" s="1" t="s">
        <v>3945</v>
      </c>
      <c r="D1339" s="1" t="s">
        <v>1408</v>
      </c>
      <c r="E1339" s="3" t="s">
        <v>1409</v>
      </c>
    </row>
    <row r="1340" spans="1:5">
      <c r="A1340" s="1">
        <v>40902</v>
      </c>
      <c r="B1340" s="1">
        <v>1</v>
      </c>
      <c r="C1340" s="1" t="s">
        <v>3479</v>
      </c>
      <c r="D1340" s="1" t="s">
        <v>1410</v>
      </c>
      <c r="E1340" s="3" t="s">
        <v>153</v>
      </c>
    </row>
    <row r="1341" spans="1:5">
      <c r="A1341" s="1">
        <v>40903</v>
      </c>
      <c r="B1341" s="1">
        <v>1</v>
      </c>
      <c r="C1341" s="1" t="s">
        <v>3475</v>
      </c>
      <c r="D1341" s="1" t="s">
        <v>1411</v>
      </c>
      <c r="E1341" s="3" t="s">
        <v>145</v>
      </c>
    </row>
    <row r="1342" spans="1:5">
      <c r="A1342" s="1">
        <v>40904</v>
      </c>
      <c r="B1342" s="1">
        <v>1</v>
      </c>
      <c r="C1342" s="1" t="s">
        <v>3466</v>
      </c>
      <c r="D1342" s="1" t="s">
        <v>1412</v>
      </c>
      <c r="E1342" s="3" t="s">
        <v>127</v>
      </c>
    </row>
    <row r="1343" spans="1:5">
      <c r="A1343" s="1">
        <v>40905</v>
      </c>
      <c r="B1343" s="1">
        <v>1</v>
      </c>
      <c r="C1343" s="1" t="s">
        <v>3744</v>
      </c>
      <c r="D1343" s="1" t="s">
        <v>1413</v>
      </c>
      <c r="E1343" s="17" t="s">
        <v>717</v>
      </c>
    </row>
    <row r="1344" spans="1:5">
      <c r="A1344" s="1">
        <v>40906</v>
      </c>
      <c r="B1344" s="1">
        <v>1</v>
      </c>
      <c r="C1344" s="1" t="s">
        <v>3946</v>
      </c>
      <c r="D1344" s="1" t="s">
        <v>1414</v>
      </c>
      <c r="E1344" s="17" t="s">
        <v>1415</v>
      </c>
    </row>
    <row r="1345" spans="1:5">
      <c r="A1345" s="1">
        <v>40907</v>
      </c>
      <c r="B1345" s="1">
        <v>1</v>
      </c>
      <c r="C1345" s="1" t="s">
        <v>3700</v>
      </c>
      <c r="D1345" s="1" t="s">
        <v>1416</v>
      </c>
      <c r="E1345" s="17" t="s">
        <v>1417</v>
      </c>
    </row>
    <row r="1346" spans="1:5">
      <c r="A1346" s="1">
        <v>40908</v>
      </c>
      <c r="B1346" s="1">
        <v>1</v>
      </c>
      <c r="C1346" s="1" t="s">
        <v>3854</v>
      </c>
      <c r="D1346" s="1" t="s">
        <v>1418</v>
      </c>
      <c r="E1346" s="17" t="s">
        <v>1155</v>
      </c>
    </row>
    <row r="1347" spans="1:5">
      <c r="A1347" s="1">
        <v>40911</v>
      </c>
      <c r="B1347" s="1">
        <v>1</v>
      </c>
      <c r="C1347" s="1" t="s">
        <v>6150</v>
      </c>
      <c r="D1347" s="1" t="s">
        <v>4761</v>
      </c>
      <c r="E1347" s="3" t="s">
        <v>1420</v>
      </c>
    </row>
    <row r="1348" spans="1:5">
      <c r="A1348" s="1">
        <v>40912</v>
      </c>
      <c r="B1348" s="1">
        <v>1</v>
      </c>
      <c r="C1348" s="1" t="s">
        <v>6151</v>
      </c>
      <c r="D1348" s="1" t="s">
        <v>4762</v>
      </c>
      <c r="E1348" s="3" t="s">
        <v>1422</v>
      </c>
    </row>
    <row r="1349" spans="1:5">
      <c r="A1349" s="1">
        <v>40920</v>
      </c>
      <c r="B1349" s="1">
        <v>1</v>
      </c>
      <c r="C1349" s="1" t="s">
        <v>3948</v>
      </c>
      <c r="D1349" s="1" t="s">
        <v>1423</v>
      </c>
      <c r="E1349" s="17" t="s">
        <v>1424</v>
      </c>
    </row>
    <row r="1350" spans="1:5">
      <c r="A1350" s="1">
        <v>40921</v>
      </c>
      <c r="B1350" s="1">
        <v>1</v>
      </c>
      <c r="C1350" s="1" t="s">
        <v>3949</v>
      </c>
      <c r="D1350" s="1" t="s">
        <v>1425</v>
      </c>
      <c r="E1350" s="17" t="s">
        <v>1426</v>
      </c>
    </row>
    <row r="1351" spans="1:5">
      <c r="A1351" s="1">
        <v>40922</v>
      </c>
      <c r="B1351" s="1">
        <v>1</v>
      </c>
      <c r="C1351" s="1" t="s">
        <v>3950</v>
      </c>
      <c r="D1351" s="1" t="s">
        <v>1427</v>
      </c>
      <c r="E1351" s="17" t="s">
        <v>1428</v>
      </c>
    </row>
    <row r="1352" spans="1:5">
      <c r="A1352" s="1">
        <v>40923</v>
      </c>
      <c r="B1352" s="1">
        <v>1</v>
      </c>
      <c r="C1352" s="1" t="s">
        <v>3951</v>
      </c>
      <c r="D1352" s="1" t="s">
        <v>1429</v>
      </c>
      <c r="E1352" s="17" t="s">
        <v>1430</v>
      </c>
    </row>
    <row r="1353" spans="1:5">
      <c r="A1353" s="1">
        <v>40924</v>
      </c>
      <c r="B1353" s="1">
        <v>1</v>
      </c>
      <c r="C1353" s="1" t="s">
        <v>3952</v>
      </c>
      <c r="D1353" s="1" t="s">
        <v>1431</v>
      </c>
      <c r="E1353" s="17" t="s">
        <v>1432</v>
      </c>
    </row>
    <row r="1354" spans="1:5">
      <c r="A1354" s="43">
        <v>41001</v>
      </c>
      <c r="B1354" s="43">
        <v>1</v>
      </c>
      <c r="C1354" s="43" t="s">
        <v>12223</v>
      </c>
      <c r="D1354" s="43" t="s">
        <v>12075</v>
      </c>
      <c r="E1354" s="43" t="s">
        <v>11941</v>
      </c>
    </row>
    <row r="1355" spans="1:5">
      <c r="A1355" s="43">
        <v>41002</v>
      </c>
      <c r="B1355" s="43">
        <v>1</v>
      </c>
      <c r="C1355" s="43" t="s">
        <v>6539</v>
      </c>
      <c r="D1355" s="43" t="s">
        <v>6497</v>
      </c>
      <c r="E1355" s="43" t="s">
        <v>11942</v>
      </c>
    </row>
    <row r="1356" spans="1:5">
      <c r="A1356" s="43">
        <v>41003</v>
      </c>
      <c r="B1356" s="43">
        <v>1</v>
      </c>
      <c r="C1356" s="43" t="s">
        <v>6540</v>
      </c>
      <c r="D1356" s="43" t="s">
        <v>6502</v>
      </c>
      <c r="E1356" s="43" t="s">
        <v>11943</v>
      </c>
    </row>
    <row r="1357" spans="1:5">
      <c r="A1357" s="43">
        <v>41004</v>
      </c>
      <c r="B1357" s="43">
        <v>1</v>
      </c>
      <c r="C1357" s="43" t="s">
        <v>6542</v>
      </c>
      <c r="D1357" s="43" t="s">
        <v>6505</v>
      </c>
      <c r="E1357" s="43" t="s">
        <v>11944</v>
      </c>
    </row>
    <row r="1358" spans="1:5">
      <c r="A1358" s="43">
        <v>41005</v>
      </c>
      <c r="B1358" s="43">
        <v>1</v>
      </c>
      <c r="C1358" s="43" t="s">
        <v>6543</v>
      </c>
      <c r="D1358" s="43" t="s">
        <v>6507</v>
      </c>
      <c r="E1358" s="43" t="s">
        <v>11945</v>
      </c>
    </row>
    <row r="1359" spans="1:5">
      <c r="A1359" s="43">
        <v>41006</v>
      </c>
      <c r="B1359" s="43">
        <v>1</v>
      </c>
      <c r="C1359" s="43" t="s">
        <v>6541</v>
      </c>
      <c r="D1359" s="43" t="s">
        <v>6504</v>
      </c>
      <c r="E1359" s="43" t="s">
        <v>11946</v>
      </c>
    </row>
    <row r="1360" spans="1:5">
      <c r="A1360" s="43">
        <v>41007</v>
      </c>
      <c r="B1360" s="43">
        <v>1</v>
      </c>
      <c r="C1360" s="43" t="s">
        <v>12224</v>
      </c>
      <c r="D1360" s="43" t="s">
        <v>12076</v>
      </c>
      <c r="E1360" s="43" t="s">
        <v>11947</v>
      </c>
    </row>
    <row r="1361" spans="1:5">
      <c r="A1361" s="43">
        <v>41008</v>
      </c>
      <c r="B1361" s="43">
        <v>1</v>
      </c>
      <c r="C1361" s="43" t="s">
        <v>3526</v>
      </c>
      <c r="D1361" s="43" t="s">
        <v>12077</v>
      </c>
      <c r="E1361" s="43" t="s">
        <v>11948</v>
      </c>
    </row>
    <row r="1362" spans="1:5">
      <c r="A1362" s="43">
        <v>41009</v>
      </c>
      <c r="B1362" s="43">
        <v>1</v>
      </c>
      <c r="C1362" s="43" t="s">
        <v>3520</v>
      </c>
      <c r="D1362" s="43" t="s">
        <v>6511</v>
      </c>
      <c r="E1362" s="43" t="s">
        <v>11949</v>
      </c>
    </row>
    <row r="1363" spans="1:5">
      <c r="A1363" s="43">
        <v>41010</v>
      </c>
      <c r="B1363" s="43">
        <v>1</v>
      </c>
      <c r="C1363" s="43" t="s">
        <v>3519</v>
      </c>
      <c r="D1363" s="43" t="s">
        <v>6499</v>
      </c>
      <c r="E1363" s="43" t="s">
        <v>11950</v>
      </c>
    </row>
    <row r="1364" spans="1:5">
      <c r="A1364" s="43">
        <v>41011</v>
      </c>
      <c r="B1364" s="43">
        <v>1</v>
      </c>
      <c r="C1364" s="43" t="s">
        <v>3518</v>
      </c>
      <c r="D1364" s="43" t="s">
        <v>6498</v>
      </c>
      <c r="E1364" s="43" t="s">
        <v>11951</v>
      </c>
    </row>
    <row r="1365" spans="1:5">
      <c r="A1365" s="43">
        <v>41012</v>
      </c>
      <c r="B1365" s="43">
        <v>1</v>
      </c>
      <c r="C1365" s="43" t="s">
        <v>3517</v>
      </c>
      <c r="D1365" s="43" t="s">
        <v>6512</v>
      </c>
      <c r="E1365" s="43" t="s">
        <v>11952</v>
      </c>
    </row>
    <row r="1366" spans="1:5">
      <c r="A1366" s="43">
        <v>41013</v>
      </c>
      <c r="B1366" s="43">
        <v>1</v>
      </c>
      <c r="C1366" s="43" t="s">
        <v>3515</v>
      </c>
      <c r="D1366" s="43" t="s">
        <v>6510</v>
      </c>
      <c r="E1366" s="43" t="s">
        <v>11953</v>
      </c>
    </row>
    <row r="1367" spans="1:5">
      <c r="A1367" s="43">
        <v>41014</v>
      </c>
      <c r="B1367" s="43">
        <v>1</v>
      </c>
      <c r="C1367" s="43" t="s">
        <v>3513</v>
      </c>
      <c r="D1367" s="43" t="s">
        <v>6501</v>
      </c>
      <c r="E1367" s="43" t="s">
        <v>11954</v>
      </c>
    </row>
    <row r="1368" spans="1:5">
      <c r="A1368" s="43">
        <v>41015</v>
      </c>
      <c r="B1368" s="43">
        <v>1</v>
      </c>
      <c r="C1368" s="43" t="s">
        <v>3512</v>
      </c>
      <c r="D1368" s="43" t="s">
        <v>6506</v>
      </c>
      <c r="E1368" s="43" t="s">
        <v>11955</v>
      </c>
    </row>
    <row r="1369" spans="1:5">
      <c r="A1369" s="43">
        <v>41016</v>
      </c>
      <c r="B1369" s="43">
        <v>1</v>
      </c>
      <c r="C1369" s="43" t="s">
        <v>3509</v>
      </c>
      <c r="D1369" s="43" t="s">
        <v>6503</v>
      </c>
      <c r="E1369" s="43" t="s">
        <v>11956</v>
      </c>
    </row>
    <row r="1370" spans="1:5">
      <c r="A1370" s="43">
        <v>41017</v>
      </c>
      <c r="B1370" s="43">
        <v>1</v>
      </c>
      <c r="C1370" s="43" t="s">
        <v>3507</v>
      </c>
      <c r="D1370" s="43" t="s">
        <v>6508</v>
      </c>
      <c r="E1370" s="43" t="s">
        <v>11957</v>
      </c>
    </row>
    <row r="1371" spans="1:5">
      <c r="A1371" s="43">
        <v>41018</v>
      </c>
      <c r="B1371" s="43">
        <v>1</v>
      </c>
      <c r="C1371" s="43" t="s">
        <v>3497</v>
      </c>
      <c r="D1371" s="43" t="s">
        <v>6509</v>
      </c>
      <c r="E1371" s="43" t="s">
        <v>11958</v>
      </c>
    </row>
    <row r="1372" spans="1:5">
      <c r="A1372" s="86">
        <v>41019</v>
      </c>
      <c r="B1372" s="86">
        <v>1</v>
      </c>
      <c r="C1372" s="86" t="s">
        <v>6545</v>
      </c>
      <c r="D1372" s="86" t="s">
        <v>6519</v>
      </c>
      <c r="E1372" s="86" t="s">
        <v>11959</v>
      </c>
    </row>
    <row r="1373" spans="1:5">
      <c r="A1373" s="86">
        <v>41020</v>
      </c>
      <c r="B1373" s="86">
        <v>1</v>
      </c>
      <c r="C1373" s="86" t="s">
        <v>6546</v>
      </c>
      <c r="D1373" s="86" t="s">
        <v>12078</v>
      </c>
      <c r="E1373" s="86" t="s">
        <v>11960</v>
      </c>
    </row>
    <row r="1374" spans="1:5">
      <c r="A1374" s="86">
        <v>41021</v>
      </c>
      <c r="B1374" s="86">
        <v>1</v>
      </c>
      <c r="C1374" s="86" t="s">
        <v>6547</v>
      </c>
      <c r="D1374" s="86" t="s">
        <v>12079</v>
      </c>
      <c r="E1374" s="86" t="s">
        <v>11961</v>
      </c>
    </row>
    <row r="1375" spans="1:5">
      <c r="A1375" s="86">
        <v>41022</v>
      </c>
      <c r="B1375" s="86">
        <v>1</v>
      </c>
      <c r="C1375" s="86" t="s">
        <v>6544</v>
      </c>
      <c r="D1375" s="86" t="s">
        <v>6513</v>
      </c>
      <c r="E1375" s="86" t="s">
        <v>11962</v>
      </c>
    </row>
    <row r="1376" spans="1:5">
      <c r="A1376" s="86">
        <v>41023</v>
      </c>
      <c r="B1376" s="86">
        <v>1</v>
      </c>
      <c r="C1376" s="86" t="s">
        <v>3508</v>
      </c>
      <c r="D1376" s="86" t="s">
        <v>6516</v>
      </c>
      <c r="E1376" s="86" t="s">
        <v>11963</v>
      </c>
    </row>
    <row r="1377" spans="1:5">
      <c r="A1377" s="86">
        <v>41024</v>
      </c>
      <c r="B1377" s="86">
        <v>1</v>
      </c>
      <c r="C1377" s="86" t="s">
        <v>3516</v>
      </c>
      <c r="D1377" s="86" t="s">
        <v>6518</v>
      </c>
      <c r="E1377" s="86" t="s">
        <v>11964</v>
      </c>
    </row>
    <row r="1378" spans="1:5">
      <c r="A1378" s="86">
        <v>41025</v>
      </c>
      <c r="B1378" s="86">
        <v>1</v>
      </c>
      <c r="C1378" s="86" t="s">
        <v>3514</v>
      </c>
      <c r="D1378" s="86" t="s">
        <v>6526</v>
      </c>
      <c r="E1378" s="86" t="s">
        <v>11965</v>
      </c>
    </row>
    <row r="1379" spans="1:5">
      <c r="A1379" s="86">
        <v>41026</v>
      </c>
      <c r="B1379" s="86">
        <v>1</v>
      </c>
      <c r="C1379" s="86" t="s">
        <v>3511</v>
      </c>
      <c r="D1379" s="86" t="s">
        <v>6527</v>
      </c>
      <c r="E1379" s="86" t="s">
        <v>11966</v>
      </c>
    </row>
    <row r="1380" spans="1:5">
      <c r="A1380" s="86">
        <v>41027</v>
      </c>
      <c r="B1380" s="86">
        <v>1</v>
      </c>
      <c r="C1380" s="86" t="s">
        <v>3510</v>
      </c>
      <c r="D1380" s="86" t="s">
        <v>6517</v>
      </c>
      <c r="E1380" s="86" t="s">
        <v>11967</v>
      </c>
    </row>
    <row r="1381" spans="1:5">
      <c r="A1381" s="86">
        <v>41028</v>
      </c>
      <c r="B1381" s="86">
        <v>1</v>
      </c>
      <c r="C1381" s="86" t="s">
        <v>3505</v>
      </c>
      <c r="D1381" s="86" t="s">
        <v>6532</v>
      </c>
      <c r="E1381" s="86" t="s">
        <v>11968</v>
      </c>
    </row>
    <row r="1382" spans="1:5">
      <c r="A1382" s="86">
        <v>41029</v>
      </c>
      <c r="B1382" s="86">
        <v>1</v>
      </c>
      <c r="C1382" s="86" t="s">
        <v>3504</v>
      </c>
      <c r="D1382" s="86" t="s">
        <v>12080</v>
      </c>
      <c r="E1382" s="86" t="s">
        <v>11969</v>
      </c>
    </row>
    <row r="1383" spans="1:5">
      <c r="A1383" s="86">
        <v>41030</v>
      </c>
      <c r="B1383" s="86">
        <v>1</v>
      </c>
      <c r="C1383" s="86" t="s">
        <v>3502</v>
      </c>
      <c r="D1383" s="86" t="s">
        <v>6514</v>
      </c>
      <c r="E1383" s="86" t="s">
        <v>11970</v>
      </c>
    </row>
    <row r="1384" spans="1:5">
      <c r="A1384" s="86">
        <v>41031</v>
      </c>
      <c r="B1384" s="86">
        <v>1</v>
      </c>
      <c r="C1384" s="86" t="s">
        <v>3501</v>
      </c>
      <c r="D1384" s="86" t="s">
        <v>6522</v>
      </c>
      <c r="E1384" s="86" t="s">
        <v>11971</v>
      </c>
    </row>
    <row r="1385" spans="1:5">
      <c r="A1385" s="86">
        <v>41032</v>
      </c>
      <c r="B1385" s="86">
        <v>1</v>
      </c>
      <c r="C1385" s="86" t="s">
        <v>3496</v>
      </c>
      <c r="D1385" s="86" t="s">
        <v>6515</v>
      </c>
      <c r="E1385" s="86" t="s">
        <v>11972</v>
      </c>
    </row>
    <row r="1386" spans="1:5">
      <c r="A1386" s="86">
        <v>41033</v>
      </c>
      <c r="B1386" s="86">
        <v>1</v>
      </c>
      <c r="C1386" s="86" t="s">
        <v>3495</v>
      </c>
      <c r="D1386" s="86" t="s">
        <v>6536</v>
      </c>
      <c r="E1386" s="86" t="s">
        <v>11973</v>
      </c>
    </row>
    <row r="1387" spans="1:5">
      <c r="A1387" s="86">
        <v>41034</v>
      </c>
      <c r="B1387" s="86">
        <v>1</v>
      </c>
      <c r="C1387" s="86" t="s">
        <v>3493</v>
      </c>
      <c r="D1387" s="86" t="s">
        <v>6523</v>
      </c>
      <c r="E1387" s="86" t="s">
        <v>11974</v>
      </c>
    </row>
    <row r="1388" spans="1:5">
      <c r="A1388" s="86">
        <v>41035</v>
      </c>
      <c r="B1388" s="86">
        <v>1</v>
      </c>
      <c r="C1388" s="86" t="s">
        <v>3489</v>
      </c>
      <c r="D1388" s="86" t="s">
        <v>6524</v>
      </c>
      <c r="E1388" s="86" t="s">
        <v>11975</v>
      </c>
    </row>
    <row r="1389" spans="1:5">
      <c r="A1389" s="86">
        <v>41036</v>
      </c>
      <c r="B1389" s="86">
        <v>1</v>
      </c>
      <c r="C1389" s="86" t="s">
        <v>3488</v>
      </c>
      <c r="D1389" s="86" t="s">
        <v>6534</v>
      </c>
      <c r="E1389" s="86" t="s">
        <v>11976</v>
      </c>
    </row>
    <row r="1390" spans="1:5">
      <c r="A1390" s="86">
        <v>41037</v>
      </c>
      <c r="B1390" s="86">
        <v>1</v>
      </c>
      <c r="C1390" s="86" t="s">
        <v>3486</v>
      </c>
      <c r="D1390" s="86" t="s">
        <v>6500</v>
      </c>
      <c r="E1390" s="86" t="s">
        <v>11977</v>
      </c>
    </row>
    <row r="1391" spans="1:5">
      <c r="A1391" s="86">
        <v>41038</v>
      </c>
      <c r="B1391" s="86">
        <v>1</v>
      </c>
      <c r="C1391" s="86" t="s">
        <v>3485</v>
      </c>
      <c r="D1391" s="86" t="s">
        <v>6520</v>
      </c>
      <c r="E1391" s="86" t="s">
        <v>11978</v>
      </c>
    </row>
    <row r="1392" spans="1:5">
      <c r="A1392" s="86">
        <v>41039</v>
      </c>
      <c r="B1392" s="86">
        <v>1</v>
      </c>
      <c r="C1392" s="86" t="s">
        <v>3483</v>
      </c>
      <c r="D1392" s="86" t="s">
        <v>6525</v>
      </c>
      <c r="E1392" s="86" t="s">
        <v>11979</v>
      </c>
    </row>
    <row r="1393" spans="1:5">
      <c r="A1393" s="98">
        <v>41040</v>
      </c>
      <c r="B1393" s="98">
        <v>1</v>
      </c>
      <c r="C1393" s="98" t="s">
        <v>3482</v>
      </c>
      <c r="D1393" s="98" t="s">
        <v>6533</v>
      </c>
      <c r="E1393" s="98" t="s">
        <v>11980</v>
      </c>
    </row>
    <row r="1394" spans="1:5">
      <c r="A1394" s="98">
        <v>41041</v>
      </c>
      <c r="B1394" s="98">
        <v>1</v>
      </c>
      <c r="C1394" s="98" t="s">
        <v>12225</v>
      </c>
      <c r="D1394" s="98" t="s">
        <v>12081</v>
      </c>
      <c r="E1394" s="98" t="s">
        <v>11981</v>
      </c>
    </row>
    <row r="1395" spans="1:5">
      <c r="A1395" s="98">
        <v>41042</v>
      </c>
      <c r="B1395" s="98">
        <v>1</v>
      </c>
      <c r="C1395" s="98" t="s">
        <v>3494</v>
      </c>
      <c r="D1395" s="98" t="s">
        <v>6521</v>
      </c>
      <c r="E1395" s="98" t="s">
        <v>11982</v>
      </c>
    </row>
    <row r="1396" spans="1:5">
      <c r="A1396" s="98">
        <v>41043</v>
      </c>
      <c r="B1396" s="98">
        <v>1</v>
      </c>
      <c r="C1396" s="98" t="s">
        <v>12226</v>
      </c>
      <c r="D1396" s="98" t="s">
        <v>12082</v>
      </c>
      <c r="E1396" s="98" t="s">
        <v>11983</v>
      </c>
    </row>
    <row r="1397" spans="1:5">
      <c r="A1397" s="98">
        <v>41044</v>
      </c>
      <c r="B1397" s="98">
        <v>1</v>
      </c>
      <c r="C1397" s="98" t="s">
        <v>3491</v>
      </c>
      <c r="D1397" s="98" t="s">
        <v>12083</v>
      </c>
      <c r="E1397" s="98" t="s">
        <v>11984</v>
      </c>
    </row>
    <row r="1398" spans="1:5">
      <c r="A1398" s="98">
        <v>41045</v>
      </c>
      <c r="B1398" s="98">
        <v>1</v>
      </c>
      <c r="C1398" s="98" t="s">
        <v>12227</v>
      </c>
      <c r="D1398" s="98" t="s">
        <v>12084</v>
      </c>
      <c r="E1398" s="98" t="s">
        <v>11985</v>
      </c>
    </row>
    <row r="1399" spans="1:5">
      <c r="A1399" s="98">
        <v>41046</v>
      </c>
      <c r="B1399" s="98">
        <v>1</v>
      </c>
      <c r="C1399" s="98" t="s">
        <v>3499</v>
      </c>
      <c r="D1399" s="98" t="s">
        <v>12085</v>
      </c>
      <c r="E1399" s="98" t="s">
        <v>11986</v>
      </c>
    </row>
    <row r="1400" spans="1:5">
      <c r="A1400" s="98">
        <v>41047</v>
      </c>
      <c r="B1400" s="98">
        <v>1</v>
      </c>
      <c r="C1400" s="98" t="s">
        <v>3492</v>
      </c>
      <c r="D1400" s="98" t="s">
        <v>6528</v>
      </c>
      <c r="E1400" s="98" t="s">
        <v>11987</v>
      </c>
    </row>
    <row r="1401" spans="1:5">
      <c r="A1401" s="98">
        <v>41048</v>
      </c>
      <c r="B1401" s="98">
        <v>1</v>
      </c>
      <c r="C1401" s="98" t="s">
        <v>3487</v>
      </c>
      <c r="D1401" s="98" t="s">
        <v>12086</v>
      </c>
      <c r="E1401" s="98" t="s">
        <v>11988</v>
      </c>
    </row>
    <row r="1402" spans="1:5">
      <c r="A1402" s="98">
        <v>41049</v>
      </c>
      <c r="B1402" s="98">
        <v>1</v>
      </c>
      <c r="C1402" s="98" t="s">
        <v>3506</v>
      </c>
      <c r="D1402" s="98" t="s">
        <v>6529</v>
      </c>
      <c r="E1402" s="98" t="s">
        <v>11989</v>
      </c>
    </row>
    <row r="1403" spans="1:5">
      <c r="A1403" s="98">
        <v>41050</v>
      </c>
      <c r="B1403" s="98">
        <v>1</v>
      </c>
      <c r="C1403" s="98" t="s">
        <v>6549</v>
      </c>
      <c r="D1403" s="98" t="s">
        <v>6531</v>
      </c>
      <c r="E1403" s="98" t="s">
        <v>11990</v>
      </c>
    </row>
    <row r="1404" spans="1:5">
      <c r="A1404" s="98">
        <v>41051</v>
      </c>
      <c r="B1404" s="98">
        <v>1</v>
      </c>
      <c r="C1404" s="98" t="s">
        <v>3481</v>
      </c>
      <c r="D1404" s="98" t="s">
        <v>12087</v>
      </c>
      <c r="E1404" s="98" t="s">
        <v>11991</v>
      </c>
    </row>
    <row r="1405" spans="1:5">
      <c r="A1405" s="98">
        <v>41052</v>
      </c>
      <c r="B1405" s="98">
        <v>1</v>
      </c>
      <c r="C1405" s="98" t="s">
        <v>6548</v>
      </c>
      <c r="D1405" s="98" t="s">
        <v>6530</v>
      </c>
      <c r="E1405" s="98" t="s">
        <v>11992</v>
      </c>
    </row>
    <row r="1406" spans="1:5">
      <c r="A1406" s="98">
        <v>41053</v>
      </c>
      <c r="B1406" s="98">
        <v>1</v>
      </c>
      <c r="C1406" s="98" t="s">
        <v>12228</v>
      </c>
      <c r="D1406" s="98" t="s">
        <v>12088</v>
      </c>
      <c r="E1406" s="98" t="s">
        <v>11993</v>
      </c>
    </row>
    <row r="1407" spans="1:5">
      <c r="A1407" s="98">
        <v>41054</v>
      </c>
      <c r="B1407" s="98">
        <v>1</v>
      </c>
      <c r="C1407" s="98" t="s">
        <v>3490</v>
      </c>
      <c r="D1407" s="98" t="s">
        <v>6535</v>
      </c>
      <c r="E1407" s="98" t="s">
        <v>11994</v>
      </c>
    </row>
    <row r="1408" spans="1:5">
      <c r="A1408" s="49">
        <v>41060</v>
      </c>
      <c r="B1408" s="49">
        <v>1</v>
      </c>
      <c r="C1408" s="49" t="s">
        <v>3536</v>
      </c>
      <c r="D1408" s="49" t="s">
        <v>6537</v>
      </c>
      <c r="E1408" s="52" t="s">
        <v>11995</v>
      </c>
    </row>
    <row r="1409" spans="1:5">
      <c r="A1409" s="49">
        <v>41061</v>
      </c>
      <c r="B1409" s="49">
        <v>1</v>
      </c>
      <c r="C1409" s="49" t="s">
        <v>3537</v>
      </c>
      <c r="D1409" s="49" t="s">
        <v>12089</v>
      </c>
      <c r="E1409" s="52" t="s">
        <v>11996</v>
      </c>
    </row>
    <row r="1410" spans="1:5">
      <c r="A1410" s="49">
        <v>41062</v>
      </c>
      <c r="B1410" s="49">
        <v>1</v>
      </c>
      <c r="C1410" s="49" t="s">
        <v>3538</v>
      </c>
      <c r="D1410" s="49" t="s">
        <v>12090</v>
      </c>
      <c r="E1410" s="52" t="s">
        <v>11997</v>
      </c>
    </row>
    <row r="1411" spans="1:5">
      <c r="A1411" s="49">
        <v>41063</v>
      </c>
      <c r="B1411" s="49">
        <v>1</v>
      </c>
      <c r="C1411" s="49" t="s">
        <v>3539</v>
      </c>
      <c r="D1411" s="49" t="s">
        <v>12091</v>
      </c>
      <c r="E1411" s="52" t="s">
        <v>11998</v>
      </c>
    </row>
    <row r="1412" spans="1:5">
      <c r="A1412" s="40">
        <v>41064</v>
      </c>
      <c r="B1412" s="40">
        <v>1</v>
      </c>
      <c r="C1412" s="40" t="s">
        <v>3568</v>
      </c>
      <c r="D1412" s="40" t="s">
        <v>11862</v>
      </c>
      <c r="E1412" s="40" t="s">
        <v>11999</v>
      </c>
    </row>
    <row r="1413" spans="1:5">
      <c r="A1413" s="40">
        <v>41065</v>
      </c>
      <c r="B1413" s="40">
        <v>1</v>
      </c>
      <c r="C1413" s="40" t="s">
        <v>3569</v>
      </c>
      <c r="D1413" s="40" t="s">
        <v>11863</v>
      </c>
      <c r="E1413" s="40" t="s">
        <v>12000</v>
      </c>
    </row>
    <row r="1414" spans="1:5">
      <c r="A1414" s="40">
        <v>41066</v>
      </c>
      <c r="B1414" s="40">
        <v>1</v>
      </c>
      <c r="C1414" s="40" t="s">
        <v>3570</v>
      </c>
      <c r="D1414" s="40" t="s">
        <v>6538</v>
      </c>
      <c r="E1414" s="40" t="s">
        <v>12001</v>
      </c>
    </row>
    <row r="1415" spans="1:5">
      <c r="A1415" s="40">
        <v>41067</v>
      </c>
      <c r="B1415" s="40">
        <v>1</v>
      </c>
      <c r="C1415" s="40" t="s">
        <v>3571</v>
      </c>
      <c r="D1415" s="40" t="s">
        <v>11864</v>
      </c>
      <c r="E1415" s="40" t="s">
        <v>12002</v>
      </c>
    </row>
    <row r="1416" spans="1:5">
      <c r="A1416" s="40">
        <v>41068</v>
      </c>
      <c r="B1416" s="40">
        <v>1</v>
      </c>
      <c r="C1416" s="40" t="s">
        <v>3572</v>
      </c>
      <c r="D1416" s="40" t="s">
        <v>11865</v>
      </c>
      <c r="E1416" s="40" t="s">
        <v>12003</v>
      </c>
    </row>
    <row r="1417" spans="1:5">
      <c r="A1417" s="40">
        <v>41069</v>
      </c>
      <c r="B1417" s="40">
        <v>1</v>
      </c>
      <c r="C1417" s="40" t="s">
        <v>3573</v>
      </c>
      <c r="D1417" s="40" t="s">
        <v>11866</v>
      </c>
      <c r="E1417" s="40" t="s">
        <v>12004</v>
      </c>
    </row>
    <row r="1418" spans="1:5">
      <c r="A1418" s="40">
        <v>41070</v>
      </c>
      <c r="B1418" s="40">
        <v>1</v>
      </c>
      <c r="C1418" s="40" t="s">
        <v>3574</v>
      </c>
      <c r="D1418" s="40" t="s">
        <v>11867</v>
      </c>
      <c r="E1418" s="40" t="s">
        <v>12005</v>
      </c>
    </row>
    <row r="1419" spans="1:5">
      <c r="A1419" s="40">
        <v>41071</v>
      </c>
      <c r="B1419" s="40">
        <v>1</v>
      </c>
      <c r="C1419" s="40" t="s">
        <v>3575</v>
      </c>
      <c r="D1419" s="40" t="s">
        <v>11868</v>
      </c>
      <c r="E1419" s="40" t="s">
        <v>12006</v>
      </c>
    </row>
    <row r="1420" spans="1:5">
      <c r="A1420" s="40">
        <v>41072</v>
      </c>
      <c r="B1420" s="40">
        <v>1</v>
      </c>
      <c r="C1420" s="40" t="s">
        <v>3576</v>
      </c>
      <c r="D1420" s="40" t="s">
        <v>11869</v>
      </c>
      <c r="E1420" s="40" t="s">
        <v>12007</v>
      </c>
    </row>
    <row r="1421" spans="1:5">
      <c r="A1421" s="40">
        <v>41073</v>
      </c>
      <c r="B1421" s="40">
        <v>1</v>
      </c>
      <c r="C1421" s="40" t="s">
        <v>3577</v>
      </c>
      <c r="D1421" s="40" t="s">
        <v>11870</v>
      </c>
      <c r="E1421" s="40" t="s">
        <v>12008</v>
      </c>
    </row>
    <row r="1422" spans="1:5">
      <c r="A1422" s="40">
        <v>41074</v>
      </c>
      <c r="B1422" s="40">
        <v>1</v>
      </c>
      <c r="C1422" s="40" t="s">
        <v>3578</v>
      </c>
      <c r="D1422" s="40" t="s">
        <v>11871</v>
      </c>
      <c r="E1422" s="40" t="s">
        <v>12009</v>
      </c>
    </row>
    <row r="1423" spans="1:5">
      <c r="A1423" s="40">
        <v>41075</v>
      </c>
      <c r="B1423" s="40">
        <v>1</v>
      </c>
      <c r="C1423" s="40" t="s">
        <v>3579</v>
      </c>
      <c r="D1423" s="40" t="s">
        <v>11872</v>
      </c>
      <c r="E1423" s="40" t="s">
        <v>12010</v>
      </c>
    </row>
    <row r="1424" spans="1:5">
      <c r="A1424" s="43">
        <v>41076</v>
      </c>
      <c r="B1424" s="43">
        <v>1</v>
      </c>
      <c r="C1424" s="43" t="s">
        <v>3580</v>
      </c>
      <c r="D1424" s="43" t="s">
        <v>11873</v>
      </c>
      <c r="E1424" s="43" t="s">
        <v>12011</v>
      </c>
    </row>
    <row r="1425" spans="1:5">
      <c r="A1425" s="43">
        <v>41077</v>
      </c>
      <c r="B1425" s="43">
        <v>1</v>
      </c>
      <c r="C1425" s="43" t="s">
        <v>3581</v>
      </c>
      <c r="D1425" s="43" t="s">
        <v>11874</v>
      </c>
      <c r="E1425" s="43" t="s">
        <v>12012</v>
      </c>
    </row>
    <row r="1426" spans="1:5">
      <c r="A1426" s="43">
        <v>41078</v>
      </c>
      <c r="B1426" s="43">
        <v>1</v>
      </c>
      <c r="C1426" s="43" t="s">
        <v>3582</v>
      </c>
      <c r="D1426" s="43" t="s">
        <v>11875</v>
      </c>
      <c r="E1426" s="43" t="s">
        <v>12013</v>
      </c>
    </row>
    <row r="1427" spans="1:5">
      <c r="A1427" s="43">
        <v>41079</v>
      </c>
      <c r="B1427" s="43">
        <v>1</v>
      </c>
      <c r="C1427" s="43" t="s">
        <v>3583</v>
      </c>
      <c r="D1427" s="43" t="s">
        <v>11876</v>
      </c>
      <c r="E1427" s="43" t="s">
        <v>12014</v>
      </c>
    </row>
    <row r="1428" spans="1:5">
      <c r="A1428" s="43">
        <v>41080</v>
      </c>
      <c r="B1428" s="43">
        <v>1</v>
      </c>
      <c r="C1428" s="43" t="s">
        <v>3584</v>
      </c>
      <c r="D1428" s="43" t="s">
        <v>11877</v>
      </c>
      <c r="E1428" s="43" t="s">
        <v>12015</v>
      </c>
    </row>
    <row r="1429" spans="1:5">
      <c r="A1429" s="43">
        <v>41081</v>
      </c>
      <c r="B1429" s="43">
        <v>1</v>
      </c>
      <c r="C1429" s="43" t="s">
        <v>3585</v>
      </c>
      <c r="D1429" s="43" t="s">
        <v>11878</v>
      </c>
      <c r="E1429" s="43" t="s">
        <v>12016</v>
      </c>
    </row>
    <row r="1430" spans="1:5">
      <c r="A1430" s="43">
        <v>41082</v>
      </c>
      <c r="B1430" s="43">
        <v>1</v>
      </c>
      <c r="C1430" s="43" t="s">
        <v>3586</v>
      </c>
      <c r="D1430" s="43" t="s">
        <v>11879</v>
      </c>
      <c r="E1430" s="43" t="s">
        <v>12017</v>
      </c>
    </row>
    <row r="1431" spans="1:5">
      <c r="A1431" s="43">
        <v>41083</v>
      </c>
      <c r="B1431" s="43">
        <v>1</v>
      </c>
      <c r="C1431" s="43" t="s">
        <v>3587</v>
      </c>
      <c r="D1431" s="43" t="s">
        <v>11880</v>
      </c>
      <c r="E1431" s="43" t="s">
        <v>12018</v>
      </c>
    </row>
    <row r="1432" spans="1:5">
      <c r="A1432" s="43">
        <v>41084</v>
      </c>
      <c r="B1432" s="43">
        <v>1</v>
      </c>
      <c r="C1432" s="43" t="s">
        <v>3588</v>
      </c>
      <c r="D1432" s="43" t="s">
        <v>11881</v>
      </c>
      <c r="E1432" s="43" t="s">
        <v>12019</v>
      </c>
    </row>
    <row r="1433" spans="1:5">
      <c r="A1433" s="43">
        <v>41085</v>
      </c>
      <c r="B1433" s="43">
        <v>1</v>
      </c>
      <c r="C1433" s="43" t="s">
        <v>3589</v>
      </c>
      <c r="D1433" s="43" t="s">
        <v>11882</v>
      </c>
      <c r="E1433" s="43" t="s">
        <v>12020</v>
      </c>
    </row>
    <row r="1434" spans="1:5">
      <c r="A1434" s="43">
        <v>41086</v>
      </c>
      <c r="B1434" s="43">
        <v>1</v>
      </c>
      <c r="C1434" s="43" t="s">
        <v>3590</v>
      </c>
      <c r="D1434" s="43" t="s">
        <v>11883</v>
      </c>
      <c r="E1434" s="43" t="s">
        <v>12021</v>
      </c>
    </row>
    <row r="1435" spans="1:5">
      <c r="A1435" s="43">
        <v>41087</v>
      </c>
      <c r="B1435" s="43">
        <v>1</v>
      </c>
      <c r="C1435" s="43" t="s">
        <v>3591</v>
      </c>
      <c r="D1435" s="43" t="s">
        <v>11884</v>
      </c>
      <c r="E1435" s="43" t="s">
        <v>12022</v>
      </c>
    </row>
    <row r="1436" spans="1:5">
      <c r="A1436" s="98">
        <v>41088</v>
      </c>
      <c r="B1436" s="98">
        <v>1</v>
      </c>
      <c r="C1436" s="98" t="s">
        <v>3592</v>
      </c>
      <c r="D1436" s="98" t="s">
        <v>11885</v>
      </c>
      <c r="E1436" s="98" t="s">
        <v>12023</v>
      </c>
    </row>
    <row r="1437" spans="1:5">
      <c r="A1437" s="98">
        <v>41089</v>
      </c>
      <c r="B1437" s="98">
        <v>1</v>
      </c>
      <c r="C1437" s="98" t="s">
        <v>3593</v>
      </c>
      <c r="D1437" s="98" t="s">
        <v>11886</v>
      </c>
      <c r="E1437" s="98" t="s">
        <v>12024</v>
      </c>
    </row>
    <row r="1438" spans="1:5">
      <c r="A1438" s="98">
        <v>41090</v>
      </c>
      <c r="B1438" s="98">
        <v>1</v>
      </c>
      <c r="C1438" s="98" t="s">
        <v>3594</v>
      </c>
      <c r="D1438" s="98" t="s">
        <v>11887</v>
      </c>
      <c r="E1438" s="98" t="s">
        <v>12025</v>
      </c>
    </row>
    <row r="1439" spans="1:5">
      <c r="A1439" s="98">
        <v>41091</v>
      </c>
      <c r="B1439" s="98">
        <v>1</v>
      </c>
      <c r="C1439" s="98" t="s">
        <v>3595</v>
      </c>
      <c r="D1439" s="98" t="s">
        <v>11888</v>
      </c>
      <c r="E1439" s="98" t="s">
        <v>12026</v>
      </c>
    </row>
    <row r="1440" spans="1:5">
      <c r="A1440" s="98">
        <v>41092</v>
      </c>
      <c r="B1440" s="98">
        <v>1</v>
      </c>
      <c r="C1440" s="98" t="s">
        <v>6552</v>
      </c>
      <c r="D1440" s="98" t="s">
        <v>11889</v>
      </c>
      <c r="E1440" s="98" t="s">
        <v>12027</v>
      </c>
    </row>
    <row r="1441" spans="1:5">
      <c r="A1441" s="98">
        <v>41093</v>
      </c>
      <c r="B1441" s="98">
        <v>1</v>
      </c>
      <c r="C1441" s="98" t="s">
        <v>6553</v>
      </c>
      <c r="D1441" s="98" t="s">
        <v>11890</v>
      </c>
      <c r="E1441" s="98" t="s">
        <v>12028</v>
      </c>
    </row>
    <row r="1442" spans="1:5">
      <c r="A1442" s="98">
        <v>41094</v>
      </c>
      <c r="B1442" s="98">
        <v>1</v>
      </c>
      <c r="C1442" s="98" t="s">
        <v>6551</v>
      </c>
      <c r="D1442" s="98" t="s">
        <v>11891</v>
      </c>
      <c r="E1442" s="98" t="s">
        <v>12029</v>
      </c>
    </row>
    <row r="1443" spans="1:5">
      <c r="A1443" s="98">
        <v>41095</v>
      </c>
      <c r="B1443" s="98">
        <v>1</v>
      </c>
      <c r="C1443" s="98" t="s">
        <v>6550</v>
      </c>
      <c r="D1443" s="98" t="s">
        <v>11892</v>
      </c>
      <c r="E1443" s="98" t="s">
        <v>12030</v>
      </c>
    </row>
    <row r="1444" spans="1:5">
      <c r="A1444" s="98">
        <v>41096</v>
      </c>
      <c r="B1444" s="98">
        <v>1</v>
      </c>
      <c r="C1444" s="98" t="s">
        <v>6556</v>
      </c>
      <c r="D1444" s="98" t="s">
        <v>11893</v>
      </c>
      <c r="E1444" s="98" t="s">
        <v>12031</v>
      </c>
    </row>
    <row r="1445" spans="1:5">
      <c r="A1445" s="98">
        <v>41097</v>
      </c>
      <c r="B1445" s="98">
        <v>1</v>
      </c>
      <c r="C1445" s="98" t="s">
        <v>6557</v>
      </c>
      <c r="D1445" s="98" t="s">
        <v>11894</v>
      </c>
      <c r="E1445" s="98" t="s">
        <v>12032</v>
      </c>
    </row>
    <row r="1446" spans="1:5">
      <c r="A1446" s="98">
        <v>41098</v>
      </c>
      <c r="B1446" s="98">
        <v>1</v>
      </c>
      <c r="C1446" s="98" t="s">
        <v>6555</v>
      </c>
      <c r="D1446" s="98" t="s">
        <v>11895</v>
      </c>
      <c r="E1446" s="98" t="s">
        <v>12033</v>
      </c>
    </row>
    <row r="1447" spans="1:5">
      <c r="A1447" s="98">
        <v>41099</v>
      </c>
      <c r="B1447" s="98">
        <v>1</v>
      </c>
      <c r="C1447" s="98" t="s">
        <v>6554</v>
      </c>
      <c r="D1447" s="98" t="s">
        <v>11896</v>
      </c>
      <c r="E1447" s="98" t="s">
        <v>12034</v>
      </c>
    </row>
    <row r="1448" spans="1:5">
      <c r="A1448" s="43">
        <v>41501</v>
      </c>
      <c r="B1448" s="43">
        <v>1</v>
      </c>
      <c r="C1448" s="43" t="s">
        <v>12223</v>
      </c>
      <c r="D1448" s="43" t="s">
        <v>12092</v>
      </c>
      <c r="E1448" s="43" t="s">
        <v>12129</v>
      </c>
    </row>
    <row r="1449" spans="1:5">
      <c r="A1449" s="43">
        <v>41502</v>
      </c>
      <c r="B1449" s="43">
        <v>1</v>
      </c>
      <c r="C1449" s="43" t="s">
        <v>6539</v>
      </c>
      <c r="D1449" s="43" t="s">
        <v>12035</v>
      </c>
      <c r="E1449" s="43" t="s">
        <v>12130</v>
      </c>
    </row>
    <row r="1450" spans="1:5">
      <c r="A1450" s="43">
        <v>41503</v>
      </c>
      <c r="B1450" s="43">
        <v>1</v>
      </c>
      <c r="C1450" s="43" t="s">
        <v>6540</v>
      </c>
      <c r="D1450" s="43" t="s">
        <v>12040</v>
      </c>
      <c r="E1450" s="43" t="s">
        <v>12131</v>
      </c>
    </row>
    <row r="1451" spans="1:5">
      <c r="A1451" s="43">
        <v>41504</v>
      </c>
      <c r="B1451" s="43">
        <v>1</v>
      </c>
      <c r="C1451" s="43" t="s">
        <v>6542</v>
      </c>
      <c r="D1451" s="43" t="s">
        <v>12043</v>
      </c>
      <c r="E1451" s="43" t="s">
        <v>12132</v>
      </c>
    </row>
    <row r="1452" spans="1:5">
      <c r="A1452" s="43">
        <v>41505</v>
      </c>
      <c r="B1452" s="43">
        <v>1</v>
      </c>
      <c r="C1452" s="43" t="s">
        <v>6543</v>
      </c>
      <c r="D1452" s="43" t="s">
        <v>12045</v>
      </c>
      <c r="E1452" s="43" t="s">
        <v>12133</v>
      </c>
    </row>
    <row r="1453" spans="1:5">
      <c r="A1453" s="43">
        <v>41506</v>
      </c>
      <c r="B1453" s="43">
        <v>1</v>
      </c>
      <c r="C1453" s="43" t="s">
        <v>6541</v>
      </c>
      <c r="D1453" s="43" t="s">
        <v>12042</v>
      </c>
      <c r="E1453" s="43" t="s">
        <v>12134</v>
      </c>
    </row>
    <row r="1454" spans="1:5">
      <c r="A1454" s="43">
        <v>41507</v>
      </c>
      <c r="B1454" s="43">
        <v>1</v>
      </c>
      <c r="C1454" s="43" t="s">
        <v>12224</v>
      </c>
      <c r="D1454" s="43" t="s">
        <v>12093</v>
      </c>
      <c r="E1454" s="43" t="s">
        <v>12135</v>
      </c>
    </row>
    <row r="1455" spans="1:5">
      <c r="A1455" s="43">
        <v>41508</v>
      </c>
      <c r="B1455" s="43">
        <v>1</v>
      </c>
      <c r="C1455" s="43" t="s">
        <v>3526</v>
      </c>
      <c r="D1455" s="43" t="s">
        <v>12094</v>
      </c>
      <c r="E1455" s="43" t="s">
        <v>12136</v>
      </c>
    </row>
    <row r="1456" spans="1:5">
      <c r="A1456" s="43">
        <v>41509</v>
      </c>
      <c r="B1456" s="43">
        <v>1</v>
      </c>
      <c r="C1456" s="43" t="s">
        <v>3520</v>
      </c>
      <c r="D1456" s="43" t="s">
        <v>12049</v>
      </c>
      <c r="E1456" s="43" t="s">
        <v>12137</v>
      </c>
    </row>
    <row r="1457" spans="1:5">
      <c r="A1457" s="43">
        <v>41510</v>
      </c>
      <c r="B1457" s="43">
        <v>1</v>
      </c>
      <c r="C1457" s="43" t="s">
        <v>3519</v>
      </c>
      <c r="D1457" s="43" t="s">
        <v>12037</v>
      </c>
      <c r="E1457" s="43" t="s">
        <v>12138</v>
      </c>
    </row>
    <row r="1458" spans="1:5">
      <c r="A1458" s="43">
        <v>41511</v>
      </c>
      <c r="B1458" s="43">
        <v>1</v>
      </c>
      <c r="C1458" s="43" t="s">
        <v>3518</v>
      </c>
      <c r="D1458" s="43" t="s">
        <v>12036</v>
      </c>
      <c r="E1458" s="43" t="s">
        <v>12139</v>
      </c>
    </row>
    <row r="1459" spans="1:5">
      <c r="A1459" s="43">
        <v>41512</v>
      </c>
      <c r="B1459" s="43">
        <v>1</v>
      </c>
      <c r="C1459" s="43" t="s">
        <v>3517</v>
      </c>
      <c r="D1459" s="43" t="s">
        <v>12050</v>
      </c>
      <c r="E1459" s="43" t="s">
        <v>12140</v>
      </c>
    </row>
    <row r="1460" spans="1:5">
      <c r="A1460" s="43">
        <v>41513</v>
      </c>
      <c r="B1460" s="43">
        <v>1</v>
      </c>
      <c r="C1460" s="43" t="s">
        <v>3515</v>
      </c>
      <c r="D1460" s="43" t="s">
        <v>12048</v>
      </c>
      <c r="E1460" s="43" t="s">
        <v>12141</v>
      </c>
    </row>
    <row r="1461" spans="1:5">
      <c r="A1461" s="43">
        <v>41514</v>
      </c>
      <c r="B1461" s="43">
        <v>1</v>
      </c>
      <c r="C1461" s="43" t="s">
        <v>3513</v>
      </c>
      <c r="D1461" s="43" t="s">
        <v>12039</v>
      </c>
      <c r="E1461" s="43" t="s">
        <v>12142</v>
      </c>
    </row>
    <row r="1462" spans="1:5">
      <c r="A1462" s="43">
        <v>41515</v>
      </c>
      <c r="B1462" s="43">
        <v>1</v>
      </c>
      <c r="C1462" s="43" t="s">
        <v>3512</v>
      </c>
      <c r="D1462" s="43" t="s">
        <v>12044</v>
      </c>
      <c r="E1462" s="43" t="s">
        <v>12143</v>
      </c>
    </row>
    <row r="1463" spans="1:5">
      <c r="A1463" s="43">
        <v>41516</v>
      </c>
      <c r="B1463" s="43">
        <v>1</v>
      </c>
      <c r="C1463" s="43" t="s">
        <v>3509</v>
      </c>
      <c r="D1463" s="43" t="s">
        <v>12041</v>
      </c>
      <c r="E1463" s="43" t="s">
        <v>12144</v>
      </c>
    </row>
    <row r="1464" spans="1:5">
      <c r="A1464" s="43">
        <v>41517</v>
      </c>
      <c r="B1464" s="43">
        <v>1</v>
      </c>
      <c r="C1464" s="43" t="s">
        <v>3507</v>
      </c>
      <c r="D1464" s="43" t="s">
        <v>12046</v>
      </c>
      <c r="E1464" s="43" t="s">
        <v>12145</v>
      </c>
    </row>
    <row r="1465" spans="1:5">
      <c r="A1465" s="43">
        <v>41518</v>
      </c>
      <c r="B1465" s="43">
        <v>1</v>
      </c>
      <c r="C1465" s="43" t="s">
        <v>3497</v>
      </c>
      <c r="D1465" s="43" t="s">
        <v>12047</v>
      </c>
      <c r="E1465" s="43" t="s">
        <v>12146</v>
      </c>
    </row>
    <row r="1466" spans="1:5">
      <c r="A1466" s="86">
        <v>41519</v>
      </c>
      <c r="B1466" s="86">
        <v>1</v>
      </c>
      <c r="C1466" s="86" t="s">
        <v>6545</v>
      </c>
      <c r="D1466" s="86" t="s">
        <v>12057</v>
      </c>
      <c r="E1466" s="86" t="s">
        <v>12147</v>
      </c>
    </row>
    <row r="1467" spans="1:5">
      <c r="A1467" s="86">
        <v>41520</v>
      </c>
      <c r="B1467" s="86">
        <v>1</v>
      </c>
      <c r="C1467" s="86" t="s">
        <v>6546</v>
      </c>
      <c r="D1467" s="86" t="s">
        <v>12095</v>
      </c>
      <c r="E1467" s="86" t="s">
        <v>12148</v>
      </c>
    </row>
    <row r="1468" spans="1:5">
      <c r="A1468" s="86">
        <v>41521</v>
      </c>
      <c r="B1468" s="86">
        <v>1</v>
      </c>
      <c r="C1468" s="86" t="s">
        <v>6547</v>
      </c>
      <c r="D1468" s="86" t="s">
        <v>12096</v>
      </c>
      <c r="E1468" s="86" t="s">
        <v>12149</v>
      </c>
    </row>
    <row r="1469" spans="1:5">
      <c r="A1469" s="86">
        <v>41522</v>
      </c>
      <c r="B1469" s="86">
        <v>1</v>
      </c>
      <c r="C1469" s="86" t="s">
        <v>6544</v>
      </c>
      <c r="D1469" s="86" t="s">
        <v>12051</v>
      </c>
      <c r="E1469" s="86" t="s">
        <v>12150</v>
      </c>
    </row>
    <row r="1470" spans="1:5">
      <c r="A1470" s="86">
        <v>41523</v>
      </c>
      <c r="B1470" s="86">
        <v>1</v>
      </c>
      <c r="C1470" s="86" t="s">
        <v>3508</v>
      </c>
      <c r="D1470" s="86" t="s">
        <v>12054</v>
      </c>
      <c r="E1470" s="86" t="s">
        <v>12151</v>
      </c>
    </row>
    <row r="1471" spans="1:5">
      <c r="A1471" s="86">
        <v>41524</v>
      </c>
      <c r="B1471" s="86">
        <v>1</v>
      </c>
      <c r="C1471" s="86" t="s">
        <v>3516</v>
      </c>
      <c r="D1471" s="86" t="s">
        <v>12056</v>
      </c>
      <c r="E1471" s="86" t="s">
        <v>12152</v>
      </c>
    </row>
    <row r="1472" spans="1:5">
      <c r="A1472" s="86">
        <v>41525</v>
      </c>
      <c r="B1472" s="86">
        <v>1</v>
      </c>
      <c r="C1472" s="86" t="s">
        <v>3514</v>
      </c>
      <c r="D1472" s="86" t="s">
        <v>12064</v>
      </c>
      <c r="E1472" s="86" t="s">
        <v>12153</v>
      </c>
    </row>
    <row r="1473" spans="1:6">
      <c r="A1473" s="86">
        <v>41526</v>
      </c>
      <c r="B1473" s="86">
        <v>1</v>
      </c>
      <c r="C1473" s="86" t="s">
        <v>3511</v>
      </c>
      <c r="D1473" s="86" t="s">
        <v>12065</v>
      </c>
      <c r="E1473" s="86" t="s">
        <v>12154</v>
      </c>
    </row>
    <row r="1474" spans="1:6">
      <c r="A1474" s="86">
        <v>41527</v>
      </c>
      <c r="B1474" s="86">
        <v>1</v>
      </c>
      <c r="C1474" s="86" t="s">
        <v>3510</v>
      </c>
      <c r="D1474" s="86" t="s">
        <v>12055</v>
      </c>
      <c r="E1474" s="86" t="s">
        <v>12155</v>
      </c>
    </row>
    <row r="1475" spans="1:6">
      <c r="A1475" s="86">
        <v>41528</v>
      </c>
      <c r="B1475" s="86">
        <v>1</v>
      </c>
      <c r="C1475" s="86" t="s">
        <v>3505</v>
      </c>
      <c r="D1475" s="86" t="s">
        <v>12070</v>
      </c>
      <c r="E1475" s="86" t="s">
        <v>12156</v>
      </c>
    </row>
    <row r="1476" spans="1:6">
      <c r="A1476" s="86">
        <v>41529</v>
      </c>
      <c r="B1476" s="86">
        <v>1</v>
      </c>
      <c r="C1476" s="86" t="s">
        <v>3504</v>
      </c>
      <c r="D1476" s="86" t="s">
        <v>12097</v>
      </c>
      <c r="E1476" s="86" t="s">
        <v>12157</v>
      </c>
    </row>
    <row r="1477" spans="1:6">
      <c r="A1477" s="86">
        <v>41530</v>
      </c>
      <c r="B1477" s="86">
        <v>1</v>
      </c>
      <c r="C1477" s="86" t="s">
        <v>3502</v>
      </c>
      <c r="D1477" s="86" t="s">
        <v>12052</v>
      </c>
      <c r="E1477" s="86" t="s">
        <v>12158</v>
      </c>
    </row>
    <row r="1478" spans="1:6">
      <c r="A1478" s="86">
        <v>41531</v>
      </c>
      <c r="B1478" s="86">
        <v>1</v>
      </c>
      <c r="C1478" s="86" t="s">
        <v>3501</v>
      </c>
      <c r="D1478" s="86" t="s">
        <v>12060</v>
      </c>
      <c r="E1478" s="86" t="s">
        <v>12159</v>
      </c>
    </row>
    <row r="1479" spans="1:6">
      <c r="A1479" s="86">
        <v>41532</v>
      </c>
      <c r="B1479" s="86">
        <v>1</v>
      </c>
      <c r="C1479" s="86" t="s">
        <v>3496</v>
      </c>
      <c r="D1479" s="86" t="s">
        <v>12053</v>
      </c>
      <c r="E1479" s="86" t="s">
        <v>12160</v>
      </c>
    </row>
    <row r="1480" spans="1:6">
      <c r="A1480" s="86">
        <v>41533</v>
      </c>
      <c r="B1480" s="86">
        <v>1</v>
      </c>
      <c r="C1480" s="86" t="s">
        <v>3495</v>
      </c>
      <c r="D1480" s="86" t="s">
        <v>12074</v>
      </c>
      <c r="E1480" s="86" t="s">
        <v>12161</v>
      </c>
    </row>
    <row r="1481" spans="1:6">
      <c r="A1481" s="86">
        <v>41534</v>
      </c>
      <c r="B1481" s="86">
        <v>1</v>
      </c>
      <c r="C1481" s="86" t="s">
        <v>3493</v>
      </c>
      <c r="D1481" s="86" t="s">
        <v>12061</v>
      </c>
      <c r="E1481" s="86" t="s">
        <v>12162</v>
      </c>
    </row>
    <row r="1482" spans="1:6">
      <c r="A1482" s="86">
        <v>41535</v>
      </c>
      <c r="B1482" s="86">
        <v>1</v>
      </c>
      <c r="C1482" s="86" t="s">
        <v>3489</v>
      </c>
      <c r="D1482" s="86" t="s">
        <v>12062</v>
      </c>
      <c r="E1482" s="86" t="s">
        <v>12163</v>
      </c>
    </row>
    <row r="1483" spans="1:6">
      <c r="A1483" s="86">
        <v>41536</v>
      </c>
      <c r="B1483" s="86">
        <v>1</v>
      </c>
      <c r="C1483" s="86" t="s">
        <v>3488</v>
      </c>
      <c r="D1483" s="86" t="s">
        <v>12072</v>
      </c>
      <c r="E1483" s="86" t="s">
        <v>12164</v>
      </c>
    </row>
    <row r="1484" spans="1:6">
      <c r="A1484" s="86">
        <v>41537</v>
      </c>
      <c r="B1484" s="86">
        <v>1</v>
      </c>
      <c r="C1484" s="86" t="s">
        <v>3486</v>
      </c>
      <c r="D1484" s="86" t="s">
        <v>12038</v>
      </c>
      <c r="E1484" s="86" t="s">
        <v>12165</v>
      </c>
    </row>
    <row r="1485" spans="1:6">
      <c r="A1485" s="86">
        <v>41538</v>
      </c>
      <c r="B1485" s="86">
        <v>1</v>
      </c>
      <c r="C1485" s="86" t="s">
        <v>3485</v>
      </c>
      <c r="D1485" s="86" t="s">
        <v>12058</v>
      </c>
      <c r="E1485" s="86" t="s">
        <v>12166</v>
      </c>
    </row>
    <row r="1486" spans="1:6" s="311" customFormat="1">
      <c r="A1486" s="86">
        <v>41539</v>
      </c>
      <c r="B1486" s="86">
        <v>1</v>
      </c>
      <c r="C1486" s="86" t="s">
        <v>3483</v>
      </c>
      <c r="D1486" s="86" t="s">
        <v>12063</v>
      </c>
      <c r="E1486" s="86" t="s">
        <v>12167</v>
      </c>
      <c r="F1486" s="310"/>
    </row>
    <row r="1487" spans="1:6">
      <c r="A1487" s="98">
        <v>41540</v>
      </c>
      <c r="B1487" s="98">
        <v>1</v>
      </c>
      <c r="C1487" s="98" t="s">
        <v>3482</v>
      </c>
      <c r="D1487" s="98" t="s">
        <v>12071</v>
      </c>
      <c r="E1487" s="98" t="s">
        <v>12168</v>
      </c>
    </row>
    <row r="1488" spans="1:6">
      <c r="A1488" s="98">
        <v>41541</v>
      </c>
      <c r="B1488" s="98">
        <v>1</v>
      </c>
      <c r="C1488" s="98" t="s">
        <v>12225</v>
      </c>
      <c r="D1488" s="98" t="s">
        <v>12098</v>
      </c>
      <c r="E1488" s="98" t="s">
        <v>12169</v>
      </c>
    </row>
    <row r="1489" spans="1:5">
      <c r="A1489" s="98">
        <v>41542</v>
      </c>
      <c r="B1489" s="98">
        <v>1</v>
      </c>
      <c r="C1489" s="98" t="s">
        <v>3494</v>
      </c>
      <c r="D1489" s="98" t="s">
        <v>12059</v>
      </c>
      <c r="E1489" s="98" t="s">
        <v>12170</v>
      </c>
    </row>
    <row r="1490" spans="1:5">
      <c r="A1490" s="98">
        <v>41543</v>
      </c>
      <c r="B1490" s="98">
        <v>1</v>
      </c>
      <c r="C1490" s="98" t="s">
        <v>12226</v>
      </c>
      <c r="D1490" s="98" t="s">
        <v>12099</v>
      </c>
      <c r="E1490" s="98" t="s">
        <v>12171</v>
      </c>
    </row>
    <row r="1491" spans="1:5">
      <c r="A1491" s="98">
        <v>41544</v>
      </c>
      <c r="B1491" s="98">
        <v>1</v>
      </c>
      <c r="C1491" s="98" t="s">
        <v>3491</v>
      </c>
      <c r="D1491" s="98" t="s">
        <v>12100</v>
      </c>
      <c r="E1491" s="98" t="s">
        <v>12172</v>
      </c>
    </row>
    <row r="1492" spans="1:5">
      <c r="A1492" s="98">
        <v>41545</v>
      </c>
      <c r="B1492" s="98">
        <v>1</v>
      </c>
      <c r="C1492" s="98" t="s">
        <v>12227</v>
      </c>
      <c r="D1492" s="98" t="s">
        <v>12101</v>
      </c>
      <c r="E1492" s="98" t="s">
        <v>12173</v>
      </c>
    </row>
    <row r="1493" spans="1:5">
      <c r="A1493" s="98">
        <v>41546</v>
      </c>
      <c r="B1493" s="98">
        <v>1</v>
      </c>
      <c r="C1493" s="98" t="s">
        <v>3499</v>
      </c>
      <c r="D1493" s="98" t="s">
        <v>12102</v>
      </c>
      <c r="E1493" s="98" t="s">
        <v>12174</v>
      </c>
    </row>
    <row r="1494" spans="1:5">
      <c r="A1494" s="98">
        <v>41547</v>
      </c>
      <c r="B1494" s="98">
        <v>1</v>
      </c>
      <c r="C1494" s="98" t="s">
        <v>3492</v>
      </c>
      <c r="D1494" s="98" t="s">
        <v>12066</v>
      </c>
      <c r="E1494" s="98" t="s">
        <v>12175</v>
      </c>
    </row>
    <row r="1495" spans="1:5">
      <c r="A1495" s="98">
        <v>41548</v>
      </c>
      <c r="B1495" s="98">
        <v>1</v>
      </c>
      <c r="C1495" s="98" t="s">
        <v>3487</v>
      </c>
      <c r="D1495" s="98" t="s">
        <v>12103</v>
      </c>
      <c r="E1495" s="98" t="s">
        <v>12176</v>
      </c>
    </row>
    <row r="1496" spans="1:5">
      <c r="A1496" s="98">
        <v>41549</v>
      </c>
      <c r="B1496" s="98">
        <v>1</v>
      </c>
      <c r="C1496" s="98" t="s">
        <v>3506</v>
      </c>
      <c r="D1496" s="98" t="s">
        <v>12067</v>
      </c>
      <c r="E1496" s="98" t="s">
        <v>12177</v>
      </c>
    </row>
    <row r="1497" spans="1:5">
      <c r="A1497" s="98">
        <v>41550</v>
      </c>
      <c r="B1497" s="98">
        <v>1</v>
      </c>
      <c r="C1497" s="98" t="s">
        <v>6549</v>
      </c>
      <c r="D1497" s="98" t="s">
        <v>12069</v>
      </c>
      <c r="E1497" s="98" t="s">
        <v>12178</v>
      </c>
    </row>
    <row r="1498" spans="1:5">
      <c r="A1498" s="98">
        <v>41551</v>
      </c>
      <c r="B1498" s="98">
        <v>1</v>
      </c>
      <c r="C1498" s="98" t="s">
        <v>3481</v>
      </c>
      <c r="D1498" s="98" t="s">
        <v>12104</v>
      </c>
      <c r="E1498" s="98" t="s">
        <v>12179</v>
      </c>
    </row>
    <row r="1499" spans="1:5">
      <c r="A1499" s="98">
        <v>41552</v>
      </c>
      <c r="B1499" s="98">
        <v>1</v>
      </c>
      <c r="C1499" s="98" t="s">
        <v>6548</v>
      </c>
      <c r="D1499" s="98" t="s">
        <v>12068</v>
      </c>
      <c r="E1499" s="98" t="s">
        <v>12180</v>
      </c>
    </row>
    <row r="1500" spans="1:5">
      <c r="A1500" s="98">
        <v>41553</v>
      </c>
      <c r="B1500" s="98">
        <v>1</v>
      </c>
      <c r="C1500" s="98" t="s">
        <v>12228</v>
      </c>
      <c r="D1500" s="98" t="s">
        <v>12105</v>
      </c>
      <c r="E1500" s="98" t="s">
        <v>12181</v>
      </c>
    </row>
    <row r="1501" spans="1:5">
      <c r="A1501" s="98">
        <v>41554</v>
      </c>
      <c r="B1501" s="98">
        <v>1</v>
      </c>
      <c r="C1501" s="98" t="s">
        <v>3490</v>
      </c>
      <c r="D1501" s="98" t="s">
        <v>12073</v>
      </c>
      <c r="E1501" s="98" t="s">
        <v>12182</v>
      </c>
    </row>
    <row r="1502" spans="1:5">
      <c r="A1502" s="49">
        <v>41560</v>
      </c>
      <c r="B1502" s="49">
        <v>1</v>
      </c>
      <c r="C1502" s="49" t="s">
        <v>3536</v>
      </c>
      <c r="D1502" s="49" t="s">
        <v>11904</v>
      </c>
      <c r="E1502" s="52" t="s">
        <v>12183</v>
      </c>
    </row>
    <row r="1503" spans="1:5">
      <c r="A1503" s="49">
        <v>41561</v>
      </c>
      <c r="B1503" s="49">
        <v>1</v>
      </c>
      <c r="C1503" s="49" t="s">
        <v>3537</v>
      </c>
      <c r="D1503" s="49" t="s">
        <v>12106</v>
      </c>
      <c r="E1503" s="52" t="s">
        <v>12184</v>
      </c>
    </row>
    <row r="1504" spans="1:5">
      <c r="A1504" s="49">
        <v>41562</v>
      </c>
      <c r="B1504" s="49">
        <v>1</v>
      </c>
      <c r="C1504" s="49" t="s">
        <v>3538</v>
      </c>
      <c r="D1504" s="49" t="s">
        <v>12107</v>
      </c>
      <c r="E1504" s="52" t="s">
        <v>12185</v>
      </c>
    </row>
    <row r="1505" spans="1:5">
      <c r="A1505" s="49">
        <v>41563</v>
      </c>
      <c r="B1505" s="49">
        <v>1</v>
      </c>
      <c r="C1505" s="49" t="s">
        <v>3539</v>
      </c>
      <c r="D1505" s="49" t="s">
        <v>12108</v>
      </c>
      <c r="E1505" s="52" t="s">
        <v>12186</v>
      </c>
    </row>
    <row r="1506" spans="1:5">
      <c r="A1506" s="40">
        <v>41564</v>
      </c>
      <c r="B1506" s="40">
        <v>1</v>
      </c>
      <c r="C1506" s="40" t="s">
        <v>3568</v>
      </c>
      <c r="D1506" s="40" t="s">
        <v>11905</v>
      </c>
      <c r="E1506" s="40" t="s">
        <v>12187</v>
      </c>
    </row>
    <row r="1507" spans="1:5">
      <c r="A1507" s="40">
        <v>41565</v>
      </c>
      <c r="B1507" s="40">
        <v>1</v>
      </c>
      <c r="C1507" s="40" t="s">
        <v>3569</v>
      </c>
      <c r="D1507" s="40" t="s">
        <v>11906</v>
      </c>
      <c r="E1507" s="40" t="s">
        <v>12188</v>
      </c>
    </row>
    <row r="1508" spans="1:5">
      <c r="A1508" s="40">
        <v>41566</v>
      </c>
      <c r="B1508" s="40">
        <v>1</v>
      </c>
      <c r="C1508" s="40" t="s">
        <v>3570</v>
      </c>
      <c r="D1508" s="40" t="s">
        <v>11907</v>
      </c>
      <c r="E1508" s="40" t="s">
        <v>12189</v>
      </c>
    </row>
    <row r="1509" spans="1:5">
      <c r="A1509" s="40">
        <v>41567</v>
      </c>
      <c r="B1509" s="40">
        <v>1</v>
      </c>
      <c r="C1509" s="40" t="s">
        <v>3571</v>
      </c>
      <c r="D1509" s="40" t="s">
        <v>11908</v>
      </c>
      <c r="E1509" s="40" t="s">
        <v>12190</v>
      </c>
    </row>
    <row r="1510" spans="1:5">
      <c r="A1510" s="40">
        <v>41568</v>
      </c>
      <c r="B1510" s="40">
        <v>1</v>
      </c>
      <c r="C1510" s="40" t="s">
        <v>3572</v>
      </c>
      <c r="D1510" s="40" t="s">
        <v>11909</v>
      </c>
      <c r="E1510" s="40" t="s">
        <v>12191</v>
      </c>
    </row>
    <row r="1511" spans="1:5">
      <c r="A1511" s="40">
        <v>41569</v>
      </c>
      <c r="B1511" s="40">
        <v>1</v>
      </c>
      <c r="C1511" s="40" t="s">
        <v>3573</v>
      </c>
      <c r="D1511" s="40" t="s">
        <v>11910</v>
      </c>
      <c r="E1511" s="40" t="s">
        <v>12192</v>
      </c>
    </row>
    <row r="1512" spans="1:5">
      <c r="A1512" s="40">
        <v>41570</v>
      </c>
      <c r="B1512" s="40">
        <v>1</v>
      </c>
      <c r="C1512" s="40" t="s">
        <v>3574</v>
      </c>
      <c r="D1512" s="40" t="s">
        <v>11911</v>
      </c>
      <c r="E1512" s="40" t="s">
        <v>12193</v>
      </c>
    </row>
    <row r="1513" spans="1:5">
      <c r="A1513" s="40">
        <v>41571</v>
      </c>
      <c r="B1513" s="40">
        <v>1</v>
      </c>
      <c r="C1513" s="40" t="s">
        <v>3575</v>
      </c>
      <c r="D1513" s="40" t="s">
        <v>11912</v>
      </c>
      <c r="E1513" s="40" t="s">
        <v>12194</v>
      </c>
    </row>
    <row r="1514" spans="1:5">
      <c r="A1514" s="40">
        <v>41572</v>
      </c>
      <c r="B1514" s="40">
        <v>1</v>
      </c>
      <c r="C1514" s="40" t="s">
        <v>3576</v>
      </c>
      <c r="D1514" s="40" t="s">
        <v>11913</v>
      </c>
      <c r="E1514" s="40" t="s">
        <v>12195</v>
      </c>
    </row>
    <row r="1515" spans="1:5">
      <c r="A1515" s="40">
        <v>41573</v>
      </c>
      <c r="B1515" s="40">
        <v>1</v>
      </c>
      <c r="C1515" s="40" t="s">
        <v>3577</v>
      </c>
      <c r="D1515" s="40" t="s">
        <v>11914</v>
      </c>
      <c r="E1515" s="40" t="s">
        <v>12196</v>
      </c>
    </row>
    <row r="1516" spans="1:5">
      <c r="A1516" s="40">
        <v>41574</v>
      </c>
      <c r="B1516" s="40">
        <v>1</v>
      </c>
      <c r="C1516" s="40" t="s">
        <v>3578</v>
      </c>
      <c r="D1516" s="40" t="s">
        <v>11915</v>
      </c>
      <c r="E1516" s="40" t="s">
        <v>12197</v>
      </c>
    </row>
    <row r="1517" spans="1:5">
      <c r="A1517" s="40">
        <v>41575</v>
      </c>
      <c r="B1517" s="40">
        <v>1</v>
      </c>
      <c r="C1517" s="40" t="s">
        <v>3579</v>
      </c>
      <c r="D1517" s="40" t="s">
        <v>11916</v>
      </c>
      <c r="E1517" s="40" t="s">
        <v>12198</v>
      </c>
    </row>
    <row r="1518" spans="1:5">
      <c r="A1518" s="43">
        <v>41576</v>
      </c>
      <c r="B1518" s="43">
        <v>1</v>
      </c>
      <c r="C1518" s="43" t="s">
        <v>3580</v>
      </c>
      <c r="D1518" s="43" t="s">
        <v>11917</v>
      </c>
      <c r="E1518" s="43" t="s">
        <v>12199</v>
      </c>
    </row>
    <row r="1519" spans="1:5">
      <c r="A1519" s="43">
        <v>41577</v>
      </c>
      <c r="B1519" s="43">
        <v>1</v>
      </c>
      <c r="C1519" s="43" t="s">
        <v>3581</v>
      </c>
      <c r="D1519" s="43" t="s">
        <v>11918</v>
      </c>
      <c r="E1519" s="43" t="s">
        <v>12200</v>
      </c>
    </row>
    <row r="1520" spans="1:5">
      <c r="A1520" s="43">
        <v>41578</v>
      </c>
      <c r="B1520" s="43">
        <v>1</v>
      </c>
      <c r="C1520" s="43" t="s">
        <v>3582</v>
      </c>
      <c r="D1520" s="43" t="s">
        <v>11919</v>
      </c>
      <c r="E1520" s="43" t="s">
        <v>12201</v>
      </c>
    </row>
    <row r="1521" spans="1:5">
      <c r="A1521" s="43">
        <v>41579</v>
      </c>
      <c r="B1521" s="43">
        <v>1</v>
      </c>
      <c r="C1521" s="43" t="s">
        <v>3583</v>
      </c>
      <c r="D1521" s="43" t="s">
        <v>11920</v>
      </c>
      <c r="E1521" s="43" t="s">
        <v>12202</v>
      </c>
    </row>
    <row r="1522" spans="1:5">
      <c r="A1522" s="43">
        <v>41580</v>
      </c>
      <c r="B1522" s="43">
        <v>1</v>
      </c>
      <c r="C1522" s="43" t="s">
        <v>3584</v>
      </c>
      <c r="D1522" s="43" t="s">
        <v>11921</v>
      </c>
      <c r="E1522" s="43" t="s">
        <v>12203</v>
      </c>
    </row>
    <row r="1523" spans="1:5">
      <c r="A1523" s="43">
        <v>41581</v>
      </c>
      <c r="B1523" s="43">
        <v>1</v>
      </c>
      <c r="C1523" s="43" t="s">
        <v>3585</v>
      </c>
      <c r="D1523" s="43" t="s">
        <v>11922</v>
      </c>
      <c r="E1523" s="43" t="s">
        <v>12204</v>
      </c>
    </row>
    <row r="1524" spans="1:5">
      <c r="A1524" s="43">
        <v>41582</v>
      </c>
      <c r="B1524" s="43">
        <v>1</v>
      </c>
      <c r="C1524" s="43" t="s">
        <v>3586</v>
      </c>
      <c r="D1524" s="43" t="s">
        <v>11923</v>
      </c>
      <c r="E1524" s="43" t="s">
        <v>12205</v>
      </c>
    </row>
    <row r="1525" spans="1:5">
      <c r="A1525" s="43">
        <v>41583</v>
      </c>
      <c r="B1525" s="43">
        <v>1</v>
      </c>
      <c r="C1525" s="43" t="s">
        <v>3587</v>
      </c>
      <c r="D1525" s="43" t="s">
        <v>11924</v>
      </c>
      <c r="E1525" s="43" t="s">
        <v>12206</v>
      </c>
    </row>
    <row r="1526" spans="1:5">
      <c r="A1526" s="43">
        <v>41584</v>
      </c>
      <c r="B1526" s="43">
        <v>1</v>
      </c>
      <c r="C1526" s="43" t="s">
        <v>3588</v>
      </c>
      <c r="D1526" s="43" t="s">
        <v>11925</v>
      </c>
      <c r="E1526" s="43" t="s">
        <v>12207</v>
      </c>
    </row>
    <row r="1527" spans="1:5">
      <c r="A1527" s="43">
        <v>41585</v>
      </c>
      <c r="B1527" s="43">
        <v>1</v>
      </c>
      <c r="C1527" s="43" t="s">
        <v>3589</v>
      </c>
      <c r="D1527" s="43" t="s">
        <v>11926</v>
      </c>
      <c r="E1527" s="43" t="s">
        <v>12208</v>
      </c>
    </row>
    <row r="1528" spans="1:5">
      <c r="A1528" s="43">
        <v>41586</v>
      </c>
      <c r="B1528" s="43">
        <v>1</v>
      </c>
      <c r="C1528" s="43" t="s">
        <v>3590</v>
      </c>
      <c r="D1528" s="43" t="s">
        <v>11927</v>
      </c>
      <c r="E1528" s="43" t="s">
        <v>12209</v>
      </c>
    </row>
    <row r="1529" spans="1:5">
      <c r="A1529" s="43">
        <v>41587</v>
      </c>
      <c r="B1529" s="43">
        <v>1</v>
      </c>
      <c r="C1529" s="43" t="s">
        <v>3591</v>
      </c>
      <c r="D1529" s="43" t="s">
        <v>11928</v>
      </c>
      <c r="E1529" s="43" t="s">
        <v>12210</v>
      </c>
    </row>
    <row r="1530" spans="1:5">
      <c r="A1530" s="98">
        <v>41588</v>
      </c>
      <c r="B1530" s="98">
        <v>1</v>
      </c>
      <c r="C1530" s="98" t="s">
        <v>3592</v>
      </c>
      <c r="D1530" s="98" t="s">
        <v>11929</v>
      </c>
      <c r="E1530" s="98" t="s">
        <v>12211</v>
      </c>
    </row>
    <row r="1531" spans="1:5">
      <c r="A1531" s="98">
        <v>41589</v>
      </c>
      <c r="B1531" s="98">
        <v>1</v>
      </c>
      <c r="C1531" s="98" t="s">
        <v>3593</v>
      </c>
      <c r="D1531" s="98" t="s">
        <v>11930</v>
      </c>
      <c r="E1531" s="98" t="s">
        <v>12212</v>
      </c>
    </row>
    <row r="1532" spans="1:5">
      <c r="A1532" s="98">
        <v>41590</v>
      </c>
      <c r="B1532" s="98">
        <v>1</v>
      </c>
      <c r="C1532" s="98" t="s">
        <v>3594</v>
      </c>
      <c r="D1532" s="98" t="s">
        <v>11931</v>
      </c>
      <c r="E1532" s="98" t="s">
        <v>12213</v>
      </c>
    </row>
    <row r="1533" spans="1:5">
      <c r="A1533" s="98">
        <v>41591</v>
      </c>
      <c r="B1533" s="98">
        <v>1</v>
      </c>
      <c r="C1533" s="98" t="s">
        <v>3595</v>
      </c>
      <c r="D1533" s="98" t="s">
        <v>11932</v>
      </c>
      <c r="E1533" s="98" t="s">
        <v>12214</v>
      </c>
    </row>
    <row r="1534" spans="1:5">
      <c r="A1534" s="98">
        <v>41592</v>
      </c>
      <c r="B1534" s="98">
        <v>1</v>
      </c>
      <c r="C1534" s="98" t="s">
        <v>6552</v>
      </c>
      <c r="D1534" s="98" t="s">
        <v>11933</v>
      </c>
      <c r="E1534" s="98" t="s">
        <v>12215</v>
      </c>
    </row>
    <row r="1535" spans="1:5">
      <c r="A1535" s="98">
        <v>41593</v>
      </c>
      <c r="B1535" s="98">
        <v>1</v>
      </c>
      <c r="C1535" s="98" t="s">
        <v>6553</v>
      </c>
      <c r="D1535" s="98" t="s">
        <v>11934</v>
      </c>
      <c r="E1535" s="98" t="s">
        <v>12216</v>
      </c>
    </row>
    <row r="1536" spans="1:5">
      <c r="A1536" s="98">
        <v>41594</v>
      </c>
      <c r="B1536" s="98">
        <v>1</v>
      </c>
      <c r="C1536" s="98" t="s">
        <v>6551</v>
      </c>
      <c r="D1536" s="98" t="s">
        <v>11935</v>
      </c>
      <c r="E1536" s="98" t="s">
        <v>12217</v>
      </c>
    </row>
    <row r="1537" spans="1:5">
      <c r="A1537" s="98">
        <v>41595</v>
      </c>
      <c r="B1537" s="98">
        <v>1</v>
      </c>
      <c r="C1537" s="98" t="s">
        <v>6550</v>
      </c>
      <c r="D1537" s="98" t="s">
        <v>11936</v>
      </c>
      <c r="E1537" s="98" t="s">
        <v>12218</v>
      </c>
    </row>
    <row r="1538" spans="1:5">
      <c r="A1538" s="98">
        <v>41596</v>
      </c>
      <c r="B1538" s="98">
        <v>1</v>
      </c>
      <c r="C1538" s="98" t="s">
        <v>6556</v>
      </c>
      <c r="D1538" s="98" t="s">
        <v>11937</v>
      </c>
      <c r="E1538" s="98" t="s">
        <v>12219</v>
      </c>
    </row>
    <row r="1539" spans="1:5">
      <c r="A1539" s="98">
        <v>41597</v>
      </c>
      <c r="B1539" s="98">
        <v>1</v>
      </c>
      <c r="C1539" s="98" t="s">
        <v>6557</v>
      </c>
      <c r="D1539" s="98" t="s">
        <v>11938</v>
      </c>
      <c r="E1539" s="98" t="s">
        <v>12220</v>
      </c>
    </row>
    <row r="1540" spans="1:5">
      <c r="A1540" s="98">
        <v>41598</v>
      </c>
      <c r="B1540" s="98">
        <v>1</v>
      </c>
      <c r="C1540" s="98" t="s">
        <v>6555</v>
      </c>
      <c r="D1540" s="98" t="s">
        <v>11939</v>
      </c>
      <c r="E1540" s="98" t="s">
        <v>12221</v>
      </c>
    </row>
    <row r="1541" spans="1:5">
      <c r="A1541" s="98">
        <v>41599</v>
      </c>
      <c r="B1541" s="98">
        <v>1</v>
      </c>
      <c r="C1541" s="98" t="s">
        <v>6554</v>
      </c>
      <c r="D1541" s="98" t="s">
        <v>11940</v>
      </c>
      <c r="E1541" s="98" t="s">
        <v>12222</v>
      </c>
    </row>
    <row r="1542" spans="1:5">
      <c r="A1542" s="165">
        <v>42001</v>
      </c>
      <c r="B1542" s="165">
        <v>0</v>
      </c>
      <c r="C1542" s="165" t="s">
        <v>9610</v>
      </c>
      <c r="D1542" s="165" t="s">
        <v>4763</v>
      </c>
      <c r="E1542" s="166" t="s">
        <v>9460</v>
      </c>
    </row>
    <row r="1543" spans="1:5">
      <c r="A1543" s="165">
        <v>42002</v>
      </c>
      <c r="B1543" s="165">
        <v>0</v>
      </c>
      <c r="C1543" s="165" t="s">
        <v>9611</v>
      </c>
      <c r="D1543" s="165" t="s">
        <v>4764</v>
      </c>
      <c r="E1543" s="166" t="s">
        <v>9461</v>
      </c>
    </row>
    <row r="1544" spans="1:5">
      <c r="A1544" s="165">
        <v>42003</v>
      </c>
      <c r="B1544" s="165">
        <v>0</v>
      </c>
      <c r="C1544" s="165" t="s">
        <v>9612</v>
      </c>
      <c r="D1544" s="165" t="s">
        <v>4765</v>
      </c>
      <c r="E1544" s="166" t="s">
        <v>9462</v>
      </c>
    </row>
    <row r="1545" spans="1:5">
      <c r="A1545" s="165">
        <v>42004</v>
      </c>
      <c r="B1545" s="165">
        <v>0</v>
      </c>
      <c r="C1545" s="165" t="s">
        <v>9613</v>
      </c>
      <c r="D1545" s="165" t="s">
        <v>4766</v>
      </c>
      <c r="E1545" s="166" t="s">
        <v>9463</v>
      </c>
    </row>
    <row r="1546" spans="1:5">
      <c r="A1546" s="165">
        <v>42005</v>
      </c>
      <c r="B1546" s="165">
        <v>0</v>
      </c>
      <c r="C1546" s="165" t="s">
        <v>9614</v>
      </c>
      <c r="D1546" s="165" t="s">
        <v>4767</v>
      </c>
      <c r="E1546" s="166" t="s">
        <v>9464</v>
      </c>
    </row>
    <row r="1547" spans="1:5">
      <c r="A1547" s="165">
        <v>42006</v>
      </c>
      <c r="B1547" s="165">
        <v>0</v>
      </c>
      <c r="C1547" s="165" t="s">
        <v>9615</v>
      </c>
      <c r="D1547" s="165" t="s">
        <v>4768</v>
      </c>
      <c r="E1547" s="166" t="s">
        <v>9465</v>
      </c>
    </row>
    <row r="1548" spans="1:5">
      <c r="A1548" s="165">
        <v>42007</v>
      </c>
      <c r="B1548" s="165">
        <v>0</v>
      </c>
      <c r="C1548" s="165" t="s">
        <v>9616</v>
      </c>
      <c r="D1548" s="165" t="s">
        <v>4769</v>
      </c>
      <c r="E1548" s="166" t="s">
        <v>9466</v>
      </c>
    </row>
    <row r="1549" spans="1:5">
      <c r="A1549" s="165">
        <v>42008</v>
      </c>
      <c r="B1549" s="165">
        <v>0</v>
      </c>
      <c r="C1549" s="165" t="s">
        <v>9617</v>
      </c>
      <c r="D1549" s="165" t="s">
        <v>4770</v>
      </c>
      <c r="E1549" s="166" t="s">
        <v>9467</v>
      </c>
    </row>
    <row r="1550" spans="1:5">
      <c r="A1550" s="165">
        <v>42009</v>
      </c>
      <c r="B1550" s="165">
        <v>0</v>
      </c>
      <c r="C1550" s="165" t="s">
        <v>9618</v>
      </c>
      <c r="D1550" s="165" t="s">
        <v>4771</v>
      </c>
      <c r="E1550" s="166" t="s">
        <v>9468</v>
      </c>
    </row>
    <row r="1551" spans="1:5">
      <c r="A1551" s="165">
        <v>42010</v>
      </c>
      <c r="B1551" s="165">
        <v>0</v>
      </c>
      <c r="C1551" s="165" t="s">
        <v>9619</v>
      </c>
      <c r="D1551" s="165" t="s">
        <v>4772</v>
      </c>
      <c r="E1551" s="166" t="s">
        <v>9469</v>
      </c>
    </row>
    <row r="1552" spans="1:5">
      <c r="A1552" s="165">
        <v>42011</v>
      </c>
      <c r="B1552" s="165">
        <v>0</v>
      </c>
      <c r="C1552" s="165" t="s">
        <v>9620</v>
      </c>
      <c r="D1552" s="165" t="s">
        <v>4773</v>
      </c>
      <c r="E1552" s="166" t="s">
        <v>9470</v>
      </c>
    </row>
    <row r="1553" spans="1:5">
      <c r="A1553" s="165">
        <v>42012</v>
      </c>
      <c r="B1553" s="165">
        <v>0</v>
      </c>
      <c r="C1553" s="165" t="s">
        <v>9621</v>
      </c>
      <c r="D1553" s="165" t="s">
        <v>4774</v>
      </c>
      <c r="E1553" s="166" t="s">
        <v>9471</v>
      </c>
    </row>
    <row r="1554" spans="1:5">
      <c r="A1554" s="165">
        <v>42013</v>
      </c>
      <c r="B1554" s="165">
        <v>0</v>
      </c>
      <c r="C1554" s="165" t="s">
        <v>9622</v>
      </c>
      <c r="D1554" s="165" t="s">
        <v>4775</v>
      </c>
      <c r="E1554" s="166" t="s">
        <v>9472</v>
      </c>
    </row>
    <row r="1555" spans="1:5">
      <c r="A1555" s="165">
        <v>42014</v>
      </c>
      <c r="B1555" s="165">
        <v>0</v>
      </c>
      <c r="C1555" s="165" t="s">
        <v>9623</v>
      </c>
      <c r="D1555" s="165" t="s">
        <v>4776</v>
      </c>
      <c r="E1555" s="166" t="s">
        <v>9473</v>
      </c>
    </row>
    <row r="1556" spans="1:5">
      <c r="A1556" s="165">
        <v>42015</v>
      </c>
      <c r="B1556" s="165">
        <v>0</v>
      </c>
      <c r="C1556" s="165" t="s">
        <v>9624</v>
      </c>
      <c r="D1556" s="165" t="s">
        <v>4777</v>
      </c>
      <c r="E1556" s="166" t="s">
        <v>9474</v>
      </c>
    </row>
    <row r="1557" spans="1:5">
      <c r="A1557" s="165">
        <v>42016</v>
      </c>
      <c r="B1557" s="165">
        <v>0</v>
      </c>
      <c r="C1557" s="165" t="s">
        <v>9625</v>
      </c>
      <c r="D1557" s="165" t="s">
        <v>4778</v>
      </c>
      <c r="E1557" s="166" t="s">
        <v>9475</v>
      </c>
    </row>
    <row r="1558" spans="1:5">
      <c r="A1558" s="165">
        <v>42017</v>
      </c>
      <c r="B1558" s="165">
        <v>0</v>
      </c>
      <c r="C1558" s="165" t="s">
        <v>9626</v>
      </c>
      <c r="D1558" s="165" t="s">
        <v>4779</v>
      </c>
      <c r="E1558" s="166" t="s">
        <v>9476</v>
      </c>
    </row>
    <row r="1559" spans="1:5">
      <c r="A1559" s="165">
        <v>42018</v>
      </c>
      <c r="B1559" s="165">
        <v>0</v>
      </c>
      <c r="C1559" s="165" t="s">
        <v>9627</v>
      </c>
      <c r="D1559" s="165" t="s">
        <v>4780</v>
      </c>
      <c r="E1559" s="166" t="s">
        <v>9477</v>
      </c>
    </row>
    <row r="1560" spans="1:5">
      <c r="A1560" s="165">
        <v>42019</v>
      </c>
      <c r="B1560" s="165">
        <v>0</v>
      </c>
      <c r="C1560" s="165" t="s">
        <v>9628</v>
      </c>
      <c r="D1560" s="165" t="s">
        <v>4781</v>
      </c>
      <c r="E1560" s="166" t="s">
        <v>9478</v>
      </c>
    </row>
    <row r="1561" spans="1:5">
      <c r="A1561" s="165">
        <v>42020</v>
      </c>
      <c r="B1561" s="165">
        <v>0</v>
      </c>
      <c r="C1561" s="165" t="s">
        <v>9629</v>
      </c>
      <c r="D1561" s="165" t="s">
        <v>4782</v>
      </c>
      <c r="E1561" s="166" t="s">
        <v>9479</v>
      </c>
    </row>
    <row r="1562" spans="1:5">
      <c r="A1562" s="165">
        <v>42021</v>
      </c>
      <c r="B1562" s="165">
        <v>0</v>
      </c>
      <c r="C1562" s="165" t="s">
        <v>9630</v>
      </c>
      <c r="D1562" s="165" t="s">
        <v>4783</v>
      </c>
      <c r="E1562" s="166" t="s">
        <v>9480</v>
      </c>
    </row>
    <row r="1563" spans="1:5">
      <c r="A1563" s="165">
        <v>42022</v>
      </c>
      <c r="B1563" s="165">
        <v>0</v>
      </c>
      <c r="C1563" s="165" t="s">
        <v>9631</v>
      </c>
      <c r="D1563" s="165" t="s">
        <v>4784</v>
      </c>
      <c r="E1563" s="166" t="s">
        <v>9481</v>
      </c>
    </row>
    <row r="1564" spans="1:5">
      <c r="A1564" s="165">
        <v>42023</v>
      </c>
      <c r="B1564" s="165">
        <v>0</v>
      </c>
      <c r="C1564" s="165" t="s">
        <v>9632</v>
      </c>
      <c r="D1564" s="165" t="s">
        <v>4785</v>
      </c>
      <c r="E1564" s="166" t="s">
        <v>9482</v>
      </c>
    </row>
    <row r="1565" spans="1:5">
      <c r="A1565" s="165">
        <v>42024</v>
      </c>
      <c r="B1565" s="165">
        <v>0</v>
      </c>
      <c r="C1565" s="165" t="s">
        <v>9633</v>
      </c>
      <c r="D1565" s="165" t="s">
        <v>4786</v>
      </c>
      <c r="E1565" s="166" t="s">
        <v>9483</v>
      </c>
    </row>
    <row r="1566" spans="1:5">
      <c r="A1566" s="165">
        <v>42025</v>
      </c>
      <c r="B1566" s="165">
        <v>0</v>
      </c>
      <c r="C1566" s="165" t="s">
        <v>9634</v>
      </c>
      <c r="D1566" s="165" t="s">
        <v>4787</v>
      </c>
      <c r="E1566" s="166" t="s">
        <v>9484</v>
      </c>
    </row>
    <row r="1567" spans="1:5">
      <c r="A1567" s="165">
        <v>42026</v>
      </c>
      <c r="B1567" s="165">
        <v>0</v>
      </c>
      <c r="C1567" s="165" t="s">
        <v>9635</v>
      </c>
      <c r="D1567" s="165" t="s">
        <v>4788</v>
      </c>
      <c r="E1567" s="166" t="s">
        <v>9485</v>
      </c>
    </row>
    <row r="1568" spans="1:5">
      <c r="A1568" s="165">
        <v>42027</v>
      </c>
      <c r="B1568" s="165">
        <v>0</v>
      </c>
      <c r="C1568" s="165" t="s">
        <v>9636</v>
      </c>
      <c r="D1568" s="165" t="s">
        <v>4789</v>
      </c>
      <c r="E1568" s="166" t="s">
        <v>9486</v>
      </c>
    </row>
    <row r="1569" spans="1:5">
      <c r="A1569" s="165">
        <v>42028</v>
      </c>
      <c r="B1569" s="165">
        <v>0</v>
      </c>
      <c r="C1569" s="165" t="s">
        <v>9637</v>
      </c>
      <c r="D1569" s="165" t="s">
        <v>4790</v>
      </c>
      <c r="E1569" s="166" t="s">
        <v>9487</v>
      </c>
    </row>
    <row r="1570" spans="1:5">
      <c r="A1570" s="165">
        <v>42029</v>
      </c>
      <c r="B1570" s="165">
        <v>0</v>
      </c>
      <c r="C1570" s="165" t="s">
        <v>9638</v>
      </c>
      <c r="D1570" s="165" t="s">
        <v>4791</v>
      </c>
      <c r="E1570" s="166" t="s">
        <v>9488</v>
      </c>
    </row>
    <row r="1571" spans="1:5">
      <c r="A1571" s="165">
        <v>42030</v>
      </c>
      <c r="B1571" s="165">
        <v>0</v>
      </c>
      <c r="C1571" s="165" t="s">
        <v>9639</v>
      </c>
      <c r="D1571" s="165" t="s">
        <v>4792</v>
      </c>
      <c r="E1571" s="166" t="s">
        <v>9489</v>
      </c>
    </row>
    <row r="1572" spans="1:5">
      <c r="A1572" s="165">
        <v>42031</v>
      </c>
      <c r="B1572" s="165">
        <v>0</v>
      </c>
      <c r="C1572" s="165" t="s">
        <v>9640</v>
      </c>
      <c r="D1572" s="165" t="s">
        <v>4793</v>
      </c>
      <c r="E1572" s="166" t="s">
        <v>9490</v>
      </c>
    </row>
    <row r="1573" spans="1:5">
      <c r="A1573" s="165">
        <v>42032</v>
      </c>
      <c r="B1573" s="165">
        <v>0</v>
      </c>
      <c r="C1573" s="165" t="s">
        <v>9641</v>
      </c>
      <c r="D1573" s="165" t="s">
        <v>4794</v>
      </c>
      <c r="E1573" s="166" t="s">
        <v>9491</v>
      </c>
    </row>
    <row r="1574" spans="1:5">
      <c r="A1574" s="165">
        <v>42033</v>
      </c>
      <c r="B1574" s="165">
        <v>0</v>
      </c>
      <c r="C1574" s="165" t="s">
        <v>9642</v>
      </c>
      <c r="D1574" s="165" t="s">
        <v>4795</v>
      </c>
      <c r="E1574" s="166" t="s">
        <v>9492</v>
      </c>
    </row>
    <row r="1575" spans="1:5">
      <c r="A1575" s="165">
        <v>42034</v>
      </c>
      <c r="B1575" s="165">
        <v>0</v>
      </c>
      <c r="C1575" s="165" t="s">
        <v>9643</v>
      </c>
      <c r="D1575" s="165" t="s">
        <v>4796</v>
      </c>
      <c r="E1575" s="166" t="s">
        <v>9493</v>
      </c>
    </row>
    <row r="1576" spans="1:5">
      <c r="A1576" s="165">
        <v>42035</v>
      </c>
      <c r="B1576" s="165">
        <v>0</v>
      </c>
      <c r="C1576" s="165" t="s">
        <v>9644</v>
      </c>
      <c r="D1576" s="165" t="s">
        <v>4797</v>
      </c>
      <c r="E1576" s="166" t="s">
        <v>9494</v>
      </c>
    </row>
    <row r="1577" spans="1:5">
      <c r="A1577" s="165">
        <v>42036</v>
      </c>
      <c r="B1577" s="165">
        <v>0</v>
      </c>
      <c r="C1577" s="165" t="s">
        <v>9645</v>
      </c>
      <c r="D1577" s="165" t="s">
        <v>4798</v>
      </c>
      <c r="E1577" s="166" t="s">
        <v>9495</v>
      </c>
    </row>
    <row r="1578" spans="1:5">
      <c r="A1578" s="165">
        <v>42037</v>
      </c>
      <c r="B1578" s="165">
        <v>0</v>
      </c>
      <c r="C1578" s="165" t="s">
        <v>9646</v>
      </c>
      <c r="D1578" s="165" t="s">
        <v>4799</v>
      </c>
      <c r="E1578" s="166" t="s">
        <v>9496</v>
      </c>
    </row>
    <row r="1579" spans="1:5">
      <c r="A1579" s="165">
        <v>42038</v>
      </c>
      <c r="B1579" s="165">
        <v>0</v>
      </c>
      <c r="C1579" s="165" t="s">
        <v>9647</v>
      </c>
      <c r="D1579" s="165" t="s">
        <v>4800</v>
      </c>
      <c r="E1579" s="166" t="s">
        <v>9497</v>
      </c>
    </row>
    <row r="1580" spans="1:5">
      <c r="A1580" s="165">
        <v>42039</v>
      </c>
      <c r="B1580" s="165">
        <v>0</v>
      </c>
      <c r="C1580" s="165" t="s">
        <v>9648</v>
      </c>
      <c r="D1580" s="165" t="s">
        <v>4801</v>
      </c>
      <c r="E1580" s="166" t="s">
        <v>9498</v>
      </c>
    </row>
    <row r="1581" spans="1:5">
      <c r="A1581" s="165">
        <v>42040</v>
      </c>
      <c r="B1581" s="165">
        <v>0</v>
      </c>
      <c r="C1581" s="165" t="s">
        <v>9649</v>
      </c>
      <c r="D1581" s="165" t="s">
        <v>4802</v>
      </c>
      <c r="E1581" s="166" t="s">
        <v>9499</v>
      </c>
    </row>
    <row r="1582" spans="1:5">
      <c r="A1582" s="165">
        <v>42041</v>
      </c>
      <c r="B1582" s="165">
        <v>0</v>
      </c>
      <c r="C1582" s="165" t="s">
        <v>9650</v>
      </c>
      <c r="D1582" s="165" t="s">
        <v>4803</v>
      </c>
      <c r="E1582" s="166" t="s">
        <v>9500</v>
      </c>
    </row>
    <row r="1583" spans="1:5">
      <c r="A1583" s="165">
        <v>42042</v>
      </c>
      <c r="B1583" s="165">
        <v>0</v>
      </c>
      <c r="C1583" s="165" t="s">
        <v>9651</v>
      </c>
      <c r="D1583" s="165" t="s">
        <v>4804</v>
      </c>
      <c r="E1583" s="166" t="s">
        <v>9501</v>
      </c>
    </row>
    <row r="1584" spans="1:5">
      <c r="A1584" s="165">
        <v>42043</v>
      </c>
      <c r="B1584" s="165">
        <v>0</v>
      </c>
      <c r="C1584" s="165" t="s">
        <v>9652</v>
      </c>
      <c r="D1584" s="165" t="s">
        <v>4805</v>
      </c>
      <c r="E1584" s="166" t="s">
        <v>9502</v>
      </c>
    </row>
    <row r="1585" spans="1:5">
      <c r="A1585" s="165">
        <v>42044</v>
      </c>
      <c r="B1585" s="165">
        <v>0</v>
      </c>
      <c r="C1585" s="165" t="s">
        <v>9653</v>
      </c>
      <c r="D1585" s="165" t="s">
        <v>4806</v>
      </c>
      <c r="E1585" s="166" t="s">
        <v>9503</v>
      </c>
    </row>
    <row r="1586" spans="1:5">
      <c r="A1586" s="165">
        <v>42045</v>
      </c>
      <c r="B1586" s="165">
        <v>0</v>
      </c>
      <c r="C1586" s="165" t="s">
        <v>9654</v>
      </c>
      <c r="D1586" s="165" t="s">
        <v>4807</v>
      </c>
      <c r="E1586" s="166" t="s">
        <v>9504</v>
      </c>
    </row>
    <row r="1587" spans="1:5">
      <c r="A1587" s="165">
        <v>42046</v>
      </c>
      <c r="B1587" s="165">
        <v>0</v>
      </c>
      <c r="C1587" s="165" t="s">
        <v>9655</v>
      </c>
      <c r="D1587" s="165" t="s">
        <v>4808</v>
      </c>
      <c r="E1587" s="166" t="s">
        <v>9505</v>
      </c>
    </row>
    <row r="1588" spans="1:5">
      <c r="A1588" s="165">
        <v>42047</v>
      </c>
      <c r="B1588" s="165">
        <v>0</v>
      </c>
      <c r="C1588" s="165" t="s">
        <v>9656</v>
      </c>
      <c r="D1588" s="165" t="s">
        <v>4809</v>
      </c>
      <c r="E1588" s="166" t="s">
        <v>9506</v>
      </c>
    </row>
    <row r="1589" spans="1:5">
      <c r="A1589" s="165">
        <v>42048</v>
      </c>
      <c r="B1589" s="165">
        <v>0</v>
      </c>
      <c r="C1589" s="165" t="s">
        <v>9657</v>
      </c>
      <c r="D1589" s="165" t="s">
        <v>4810</v>
      </c>
      <c r="E1589" s="166" t="s">
        <v>9507</v>
      </c>
    </row>
    <row r="1590" spans="1:5">
      <c r="A1590" s="165">
        <v>42049</v>
      </c>
      <c r="B1590" s="165">
        <v>0</v>
      </c>
      <c r="C1590" s="165" t="s">
        <v>9658</v>
      </c>
      <c r="D1590" s="165" t="s">
        <v>4811</v>
      </c>
      <c r="E1590" s="166" t="s">
        <v>9508</v>
      </c>
    </row>
    <row r="1591" spans="1:5">
      <c r="A1591" s="165">
        <v>42050</v>
      </c>
      <c r="B1591" s="165">
        <v>0</v>
      </c>
      <c r="C1591" s="165" t="s">
        <v>9659</v>
      </c>
      <c r="D1591" s="165" t="s">
        <v>4812</v>
      </c>
      <c r="E1591" s="166" t="s">
        <v>9509</v>
      </c>
    </row>
    <row r="1592" spans="1:5">
      <c r="A1592" s="165">
        <v>42051</v>
      </c>
      <c r="B1592" s="165">
        <v>0</v>
      </c>
      <c r="C1592" s="165" t="s">
        <v>9660</v>
      </c>
      <c r="D1592" s="165" t="s">
        <v>4813</v>
      </c>
      <c r="E1592" s="166" t="s">
        <v>9510</v>
      </c>
    </row>
    <row r="1593" spans="1:5">
      <c r="A1593" s="165">
        <v>42052</v>
      </c>
      <c r="B1593" s="165">
        <v>0</v>
      </c>
      <c r="C1593" s="165" t="s">
        <v>9661</v>
      </c>
      <c r="D1593" s="165" t="s">
        <v>4814</v>
      </c>
      <c r="E1593" s="166" t="s">
        <v>9511</v>
      </c>
    </row>
    <row r="1594" spans="1:5">
      <c r="A1594" s="165">
        <v>42053</v>
      </c>
      <c r="B1594" s="165">
        <v>0</v>
      </c>
      <c r="C1594" s="165" t="s">
        <v>9662</v>
      </c>
      <c r="D1594" s="165" t="s">
        <v>4815</v>
      </c>
      <c r="E1594" s="166" t="s">
        <v>9512</v>
      </c>
    </row>
    <row r="1595" spans="1:5">
      <c r="A1595" s="165">
        <v>42054</v>
      </c>
      <c r="B1595" s="165">
        <v>0</v>
      </c>
      <c r="C1595" s="165" t="s">
        <v>9663</v>
      </c>
      <c r="D1595" s="165" t="s">
        <v>4816</v>
      </c>
      <c r="E1595" s="166" t="s">
        <v>9513</v>
      </c>
    </row>
    <row r="1596" spans="1:5">
      <c r="A1596" s="165">
        <v>42055</v>
      </c>
      <c r="B1596" s="165">
        <v>0</v>
      </c>
      <c r="C1596" s="165" t="s">
        <v>9664</v>
      </c>
      <c r="D1596" s="165" t="s">
        <v>4817</v>
      </c>
      <c r="E1596" s="166" t="s">
        <v>9514</v>
      </c>
    </row>
    <row r="1597" spans="1:5">
      <c r="A1597" s="165">
        <v>42056</v>
      </c>
      <c r="B1597" s="165">
        <v>0</v>
      </c>
      <c r="C1597" s="165" t="s">
        <v>9665</v>
      </c>
      <c r="D1597" s="165" t="s">
        <v>4818</v>
      </c>
      <c r="E1597" s="166" t="s">
        <v>9515</v>
      </c>
    </row>
    <row r="1598" spans="1:5">
      <c r="A1598" s="165">
        <v>42057</v>
      </c>
      <c r="B1598" s="165">
        <v>0</v>
      </c>
      <c r="C1598" s="165" t="s">
        <v>9666</v>
      </c>
      <c r="D1598" s="165" t="s">
        <v>4819</v>
      </c>
      <c r="E1598" s="166" t="s">
        <v>9516</v>
      </c>
    </row>
    <row r="1599" spans="1:5">
      <c r="A1599" s="165">
        <v>42058</v>
      </c>
      <c r="B1599" s="165">
        <v>0</v>
      </c>
      <c r="C1599" s="165" t="s">
        <v>9667</v>
      </c>
      <c r="D1599" s="165" t="s">
        <v>4820</v>
      </c>
      <c r="E1599" s="166" t="s">
        <v>9517</v>
      </c>
    </row>
    <row r="1600" spans="1:5">
      <c r="A1600" s="165">
        <v>42059</v>
      </c>
      <c r="B1600" s="165">
        <v>0</v>
      </c>
      <c r="C1600" s="165" t="s">
        <v>9668</v>
      </c>
      <c r="D1600" s="165" t="s">
        <v>4821</v>
      </c>
      <c r="E1600" s="166" t="s">
        <v>9518</v>
      </c>
    </row>
    <row r="1601" spans="1:5">
      <c r="A1601" s="165">
        <v>42060</v>
      </c>
      <c r="B1601" s="165">
        <v>0</v>
      </c>
      <c r="C1601" s="165" t="s">
        <v>9669</v>
      </c>
      <c r="D1601" s="165" t="s">
        <v>4822</v>
      </c>
      <c r="E1601" s="166" t="s">
        <v>9519</v>
      </c>
    </row>
    <row r="1602" spans="1:5">
      <c r="A1602" s="165">
        <v>42061</v>
      </c>
      <c r="B1602" s="165">
        <v>0</v>
      </c>
      <c r="C1602" s="165" t="s">
        <v>9670</v>
      </c>
      <c r="D1602" s="165" t="s">
        <v>4823</v>
      </c>
      <c r="E1602" s="166" t="s">
        <v>9520</v>
      </c>
    </row>
    <row r="1603" spans="1:5">
      <c r="A1603" s="165">
        <v>42062</v>
      </c>
      <c r="B1603" s="165">
        <v>0</v>
      </c>
      <c r="C1603" s="165" t="s">
        <v>9671</v>
      </c>
      <c r="D1603" s="165" t="s">
        <v>4824</v>
      </c>
      <c r="E1603" s="166" t="s">
        <v>9521</v>
      </c>
    </row>
    <row r="1604" spans="1:5">
      <c r="A1604" s="165">
        <v>42063</v>
      </c>
      <c r="B1604" s="165">
        <v>0</v>
      </c>
      <c r="C1604" s="165" t="s">
        <v>9672</v>
      </c>
      <c r="D1604" s="165" t="s">
        <v>4825</v>
      </c>
      <c r="E1604" s="166" t="s">
        <v>9522</v>
      </c>
    </row>
    <row r="1605" spans="1:5">
      <c r="A1605" s="165">
        <v>42064</v>
      </c>
      <c r="B1605" s="165">
        <v>0</v>
      </c>
      <c r="C1605" s="165" t="s">
        <v>9673</v>
      </c>
      <c r="D1605" s="165" t="s">
        <v>4826</v>
      </c>
      <c r="E1605" s="166" t="s">
        <v>9523</v>
      </c>
    </row>
    <row r="1606" spans="1:5">
      <c r="A1606" s="165">
        <v>42065</v>
      </c>
      <c r="B1606" s="165">
        <v>0</v>
      </c>
      <c r="C1606" s="165" t="s">
        <v>9674</v>
      </c>
      <c r="D1606" s="165" t="s">
        <v>4827</v>
      </c>
      <c r="E1606" s="166" t="s">
        <v>9524</v>
      </c>
    </row>
    <row r="1607" spans="1:5">
      <c r="A1607" s="165">
        <v>42066</v>
      </c>
      <c r="B1607" s="165">
        <v>0</v>
      </c>
      <c r="C1607" s="165" t="s">
        <v>9675</v>
      </c>
      <c r="D1607" s="165" t="s">
        <v>4828</v>
      </c>
      <c r="E1607" s="166" t="s">
        <v>9525</v>
      </c>
    </row>
    <row r="1608" spans="1:5">
      <c r="A1608" s="165">
        <v>42067</v>
      </c>
      <c r="B1608" s="165">
        <v>0</v>
      </c>
      <c r="C1608" s="165" t="s">
        <v>9676</v>
      </c>
      <c r="D1608" s="165" t="s">
        <v>4829</v>
      </c>
      <c r="E1608" s="166" t="s">
        <v>9526</v>
      </c>
    </row>
    <row r="1609" spans="1:5">
      <c r="A1609" s="165">
        <v>42068</v>
      </c>
      <c r="B1609" s="165">
        <v>0</v>
      </c>
      <c r="C1609" s="165" t="s">
        <v>9677</v>
      </c>
      <c r="D1609" s="165" t="s">
        <v>4830</v>
      </c>
      <c r="E1609" s="166" t="s">
        <v>9527</v>
      </c>
    </row>
    <row r="1610" spans="1:5">
      <c r="A1610" s="165">
        <v>42069</v>
      </c>
      <c r="B1610" s="165">
        <v>0</v>
      </c>
      <c r="C1610" s="165" t="s">
        <v>9678</v>
      </c>
      <c r="D1610" s="165" t="s">
        <v>4831</v>
      </c>
      <c r="E1610" s="166" t="s">
        <v>9528</v>
      </c>
    </row>
    <row r="1611" spans="1:5">
      <c r="A1611" s="165">
        <v>42070</v>
      </c>
      <c r="B1611" s="165">
        <v>0</v>
      </c>
      <c r="C1611" s="165" t="s">
        <v>9679</v>
      </c>
      <c r="D1611" s="165" t="s">
        <v>4832</v>
      </c>
      <c r="E1611" s="166" t="s">
        <v>9529</v>
      </c>
    </row>
    <row r="1612" spans="1:5">
      <c r="A1612" s="165">
        <v>42071</v>
      </c>
      <c r="B1612" s="165">
        <v>0</v>
      </c>
      <c r="C1612" s="165" t="s">
        <v>9680</v>
      </c>
      <c r="D1612" s="165" t="s">
        <v>4833</v>
      </c>
      <c r="E1612" s="166" t="s">
        <v>9530</v>
      </c>
    </row>
    <row r="1613" spans="1:5">
      <c r="A1613" s="165">
        <v>42072</v>
      </c>
      <c r="B1613" s="165">
        <v>0</v>
      </c>
      <c r="C1613" s="165" t="s">
        <v>9681</v>
      </c>
      <c r="D1613" s="165" t="s">
        <v>4834</v>
      </c>
      <c r="E1613" s="166" t="s">
        <v>9531</v>
      </c>
    </row>
    <row r="1614" spans="1:5">
      <c r="A1614" s="165">
        <v>42073</v>
      </c>
      <c r="B1614" s="165">
        <v>0</v>
      </c>
      <c r="C1614" s="165" t="s">
        <v>9682</v>
      </c>
      <c r="D1614" s="165" t="s">
        <v>4835</v>
      </c>
      <c r="E1614" s="166" t="s">
        <v>9532</v>
      </c>
    </row>
    <row r="1615" spans="1:5">
      <c r="A1615" s="165">
        <v>42074</v>
      </c>
      <c r="B1615" s="165">
        <v>0</v>
      </c>
      <c r="C1615" s="165" t="s">
        <v>9683</v>
      </c>
      <c r="D1615" s="165" t="s">
        <v>4836</v>
      </c>
      <c r="E1615" s="166" t="s">
        <v>9533</v>
      </c>
    </row>
    <row r="1616" spans="1:5">
      <c r="A1616" s="165">
        <v>42075</v>
      </c>
      <c r="B1616" s="165">
        <v>0</v>
      </c>
      <c r="C1616" s="165" t="s">
        <v>9684</v>
      </c>
      <c r="D1616" s="165" t="s">
        <v>4837</v>
      </c>
      <c r="E1616" s="166" t="s">
        <v>9534</v>
      </c>
    </row>
    <row r="1617" spans="1:5">
      <c r="A1617" s="165">
        <v>42076</v>
      </c>
      <c r="B1617" s="165">
        <v>0</v>
      </c>
      <c r="C1617" s="165" t="s">
        <v>9685</v>
      </c>
      <c r="D1617" s="165" t="s">
        <v>4838</v>
      </c>
      <c r="E1617" s="166" t="s">
        <v>9535</v>
      </c>
    </row>
    <row r="1618" spans="1:5">
      <c r="A1618" s="165">
        <v>42077</v>
      </c>
      <c r="B1618" s="165">
        <v>0</v>
      </c>
      <c r="C1618" s="165" t="s">
        <v>9686</v>
      </c>
      <c r="D1618" s="165" t="s">
        <v>4839</v>
      </c>
      <c r="E1618" s="166" t="s">
        <v>9536</v>
      </c>
    </row>
    <row r="1619" spans="1:5">
      <c r="A1619" s="165">
        <v>42078</v>
      </c>
      <c r="B1619" s="165">
        <v>0</v>
      </c>
      <c r="C1619" s="165" t="s">
        <v>9687</v>
      </c>
      <c r="D1619" s="165" t="s">
        <v>4840</v>
      </c>
      <c r="E1619" s="166" t="s">
        <v>9537</v>
      </c>
    </row>
    <row r="1620" spans="1:5">
      <c r="A1620" s="165">
        <v>42079</v>
      </c>
      <c r="B1620" s="165">
        <v>0</v>
      </c>
      <c r="C1620" s="165" t="s">
        <v>9688</v>
      </c>
      <c r="D1620" s="165" t="s">
        <v>4841</v>
      </c>
      <c r="E1620" s="166" t="s">
        <v>9538</v>
      </c>
    </row>
    <row r="1621" spans="1:5">
      <c r="A1621" s="165">
        <v>42080</v>
      </c>
      <c r="B1621" s="165">
        <v>0</v>
      </c>
      <c r="C1621" s="165" t="s">
        <v>9689</v>
      </c>
      <c r="D1621" s="165" t="s">
        <v>4842</v>
      </c>
      <c r="E1621" s="166" t="s">
        <v>9539</v>
      </c>
    </row>
    <row r="1622" spans="1:5">
      <c r="A1622" s="165">
        <v>42081</v>
      </c>
      <c r="B1622" s="165">
        <v>0</v>
      </c>
      <c r="C1622" s="165" t="s">
        <v>9690</v>
      </c>
      <c r="D1622" s="165" t="s">
        <v>4843</v>
      </c>
      <c r="E1622" s="166" t="s">
        <v>9540</v>
      </c>
    </row>
    <row r="1623" spans="1:5">
      <c r="A1623" s="165">
        <v>42082</v>
      </c>
      <c r="B1623" s="165">
        <v>0</v>
      </c>
      <c r="C1623" s="165" t="s">
        <v>9691</v>
      </c>
      <c r="D1623" s="165" t="s">
        <v>4844</v>
      </c>
      <c r="E1623" s="166" t="s">
        <v>9541</v>
      </c>
    </row>
    <row r="1624" spans="1:5">
      <c r="A1624" s="165">
        <v>42083</v>
      </c>
      <c r="B1624" s="165">
        <v>0</v>
      </c>
      <c r="C1624" s="165" t="s">
        <v>9692</v>
      </c>
      <c r="D1624" s="165" t="s">
        <v>4845</v>
      </c>
      <c r="E1624" s="166" t="s">
        <v>9542</v>
      </c>
    </row>
    <row r="1625" spans="1:5">
      <c r="A1625" s="165">
        <v>42084</v>
      </c>
      <c r="B1625" s="165">
        <v>0</v>
      </c>
      <c r="C1625" s="165" t="s">
        <v>9693</v>
      </c>
      <c r="D1625" s="165" t="s">
        <v>4846</v>
      </c>
      <c r="E1625" s="166" t="s">
        <v>9543</v>
      </c>
    </row>
    <row r="1626" spans="1:5">
      <c r="A1626" s="165">
        <v>42085</v>
      </c>
      <c r="B1626" s="165">
        <v>0</v>
      </c>
      <c r="C1626" s="165" t="s">
        <v>9694</v>
      </c>
      <c r="D1626" s="165" t="s">
        <v>4847</v>
      </c>
      <c r="E1626" s="166" t="s">
        <v>9544</v>
      </c>
    </row>
    <row r="1627" spans="1:5">
      <c r="A1627" s="165">
        <v>42086</v>
      </c>
      <c r="B1627" s="165">
        <v>0</v>
      </c>
      <c r="C1627" s="165" t="s">
        <v>9695</v>
      </c>
      <c r="D1627" s="165" t="s">
        <v>4848</v>
      </c>
      <c r="E1627" s="166" t="s">
        <v>9545</v>
      </c>
    </row>
    <row r="1628" spans="1:5">
      <c r="A1628" s="165">
        <v>42087</v>
      </c>
      <c r="B1628" s="165">
        <v>0</v>
      </c>
      <c r="C1628" s="165" t="s">
        <v>9696</v>
      </c>
      <c r="D1628" s="165" t="s">
        <v>4849</v>
      </c>
      <c r="E1628" s="166" t="s">
        <v>9546</v>
      </c>
    </row>
    <row r="1629" spans="1:5">
      <c r="A1629" s="165">
        <v>42088</v>
      </c>
      <c r="B1629" s="165">
        <v>0</v>
      </c>
      <c r="C1629" s="165" t="s">
        <v>9697</v>
      </c>
      <c r="D1629" s="165" t="s">
        <v>4850</v>
      </c>
      <c r="E1629" s="166" t="s">
        <v>9547</v>
      </c>
    </row>
    <row r="1630" spans="1:5">
      <c r="A1630" s="165">
        <v>42089</v>
      </c>
      <c r="B1630" s="165">
        <v>0</v>
      </c>
      <c r="C1630" s="165" t="s">
        <v>9698</v>
      </c>
      <c r="D1630" s="165" t="s">
        <v>4851</v>
      </c>
      <c r="E1630" s="166" t="s">
        <v>9548</v>
      </c>
    </row>
    <row r="1631" spans="1:5">
      <c r="A1631" s="165">
        <v>42090</v>
      </c>
      <c r="B1631" s="165">
        <v>0</v>
      </c>
      <c r="C1631" s="165" t="s">
        <v>9699</v>
      </c>
      <c r="D1631" s="165" t="s">
        <v>4852</v>
      </c>
      <c r="E1631" s="166" t="s">
        <v>9549</v>
      </c>
    </row>
    <row r="1632" spans="1:5">
      <c r="A1632" s="165">
        <v>42091</v>
      </c>
      <c r="B1632" s="165">
        <v>0</v>
      </c>
      <c r="C1632" s="165" t="s">
        <v>9700</v>
      </c>
      <c r="D1632" s="165" t="s">
        <v>4853</v>
      </c>
      <c r="E1632" s="166" t="s">
        <v>9550</v>
      </c>
    </row>
    <row r="1633" spans="1:5">
      <c r="A1633" s="165">
        <v>42092</v>
      </c>
      <c r="B1633" s="165">
        <v>0</v>
      </c>
      <c r="C1633" s="165" t="s">
        <v>9701</v>
      </c>
      <c r="D1633" s="165" t="s">
        <v>4854</v>
      </c>
      <c r="E1633" s="166" t="s">
        <v>9551</v>
      </c>
    </row>
    <row r="1634" spans="1:5">
      <c r="A1634" s="165">
        <v>42093</v>
      </c>
      <c r="B1634" s="165">
        <v>0</v>
      </c>
      <c r="C1634" s="165" t="s">
        <v>9702</v>
      </c>
      <c r="D1634" s="165" t="s">
        <v>4855</v>
      </c>
      <c r="E1634" s="166" t="s">
        <v>9552</v>
      </c>
    </row>
    <row r="1635" spans="1:5">
      <c r="A1635" s="165">
        <v>42094</v>
      </c>
      <c r="B1635" s="165">
        <v>0</v>
      </c>
      <c r="C1635" s="165" t="s">
        <v>9703</v>
      </c>
      <c r="D1635" s="165" t="s">
        <v>4856</v>
      </c>
      <c r="E1635" s="166" t="s">
        <v>9553</v>
      </c>
    </row>
    <row r="1636" spans="1:5">
      <c r="A1636" s="165">
        <v>42095</v>
      </c>
      <c r="B1636" s="165">
        <v>0</v>
      </c>
      <c r="C1636" s="165" t="s">
        <v>9704</v>
      </c>
      <c r="D1636" s="165" t="s">
        <v>4857</v>
      </c>
      <c r="E1636" s="166" t="s">
        <v>9554</v>
      </c>
    </row>
    <row r="1637" spans="1:5">
      <c r="A1637" s="165">
        <v>42096</v>
      </c>
      <c r="B1637" s="165">
        <v>0</v>
      </c>
      <c r="C1637" s="165" t="s">
        <v>9705</v>
      </c>
      <c r="D1637" s="165" t="s">
        <v>4858</v>
      </c>
      <c r="E1637" s="166" t="s">
        <v>9555</v>
      </c>
    </row>
    <row r="1638" spans="1:5">
      <c r="A1638" s="165">
        <v>42097</v>
      </c>
      <c r="B1638" s="165">
        <v>0</v>
      </c>
      <c r="C1638" s="165" t="s">
        <v>9706</v>
      </c>
      <c r="D1638" s="165" t="s">
        <v>4859</v>
      </c>
      <c r="E1638" s="166" t="s">
        <v>9556</v>
      </c>
    </row>
    <row r="1639" spans="1:5">
      <c r="A1639" s="165">
        <v>42098</v>
      </c>
      <c r="B1639" s="165">
        <v>0</v>
      </c>
      <c r="C1639" s="165" t="s">
        <v>9707</v>
      </c>
      <c r="D1639" s="165" t="s">
        <v>4860</v>
      </c>
      <c r="E1639" s="166" t="s">
        <v>9557</v>
      </c>
    </row>
    <row r="1640" spans="1:5">
      <c r="A1640" s="165">
        <v>42099</v>
      </c>
      <c r="B1640" s="165">
        <v>0</v>
      </c>
      <c r="C1640" s="165" t="s">
        <v>9708</v>
      </c>
      <c r="D1640" s="165" t="s">
        <v>4861</v>
      </c>
      <c r="E1640" s="166" t="s">
        <v>9558</v>
      </c>
    </row>
    <row r="1641" spans="1:5">
      <c r="A1641" s="165">
        <v>42100</v>
      </c>
      <c r="B1641" s="165">
        <v>0</v>
      </c>
      <c r="C1641" s="165" t="s">
        <v>9709</v>
      </c>
      <c r="D1641" s="165" t="s">
        <v>4862</v>
      </c>
      <c r="E1641" s="166" t="s">
        <v>9559</v>
      </c>
    </row>
    <row r="1642" spans="1:5">
      <c r="A1642" s="165">
        <v>42101</v>
      </c>
      <c r="B1642" s="165">
        <v>0</v>
      </c>
      <c r="C1642" s="165" t="s">
        <v>9710</v>
      </c>
      <c r="D1642" s="165" t="s">
        <v>4863</v>
      </c>
      <c r="E1642" s="166" t="s">
        <v>9560</v>
      </c>
    </row>
    <row r="1643" spans="1:5">
      <c r="A1643" s="165">
        <v>42102</v>
      </c>
      <c r="B1643" s="165">
        <v>0</v>
      </c>
      <c r="C1643" s="165" t="s">
        <v>9711</v>
      </c>
      <c r="D1643" s="165" t="s">
        <v>4864</v>
      </c>
      <c r="E1643" s="166" t="s">
        <v>9561</v>
      </c>
    </row>
    <row r="1644" spans="1:5">
      <c r="A1644" s="165">
        <v>42103</v>
      </c>
      <c r="B1644" s="165">
        <v>0</v>
      </c>
      <c r="C1644" s="165" t="s">
        <v>9712</v>
      </c>
      <c r="D1644" s="165" t="s">
        <v>4865</v>
      </c>
      <c r="E1644" s="166" t="s">
        <v>9562</v>
      </c>
    </row>
    <row r="1645" spans="1:5">
      <c r="A1645" s="165">
        <v>42104</v>
      </c>
      <c r="B1645" s="165">
        <v>0</v>
      </c>
      <c r="C1645" s="165" t="s">
        <v>9713</v>
      </c>
      <c r="D1645" s="165" t="s">
        <v>4866</v>
      </c>
      <c r="E1645" s="166" t="s">
        <v>9563</v>
      </c>
    </row>
    <row r="1646" spans="1:5">
      <c r="A1646" s="165">
        <v>42105</v>
      </c>
      <c r="B1646" s="165">
        <v>0</v>
      </c>
      <c r="C1646" s="165" t="s">
        <v>9714</v>
      </c>
      <c r="D1646" s="165" t="s">
        <v>4867</v>
      </c>
      <c r="E1646" s="166" t="s">
        <v>9564</v>
      </c>
    </row>
    <row r="1647" spans="1:5">
      <c r="A1647" s="165">
        <v>42106</v>
      </c>
      <c r="B1647" s="165">
        <v>0</v>
      </c>
      <c r="C1647" s="165" t="s">
        <v>9715</v>
      </c>
      <c r="D1647" s="165" t="s">
        <v>4868</v>
      </c>
      <c r="E1647" s="166" t="s">
        <v>9565</v>
      </c>
    </row>
    <row r="1648" spans="1:5">
      <c r="A1648" s="165">
        <v>42107</v>
      </c>
      <c r="B1648" s="165">
        <v>0</v>
      </c>
      <c r="C1648" s="165" t="s">
        <v>9716</v>
      </c>
      <c r="D1648" s="165" t="s">
        <v>4869</v>
      </c>
      <c r="E1648" s="166" t="s">
        <v>9566</v>
      </c>
    </row>
    <row r="1649" spans="1:5">
      <c r="A1649" s="165">
        <v>42108</v>
      </c>
      <c r="B1649" s="165">
        <v>0</v>
      </c>
      <c r="C1649" s="165" t="s">
        <v>9717</v>
      </c>
      <c r="D1649" s="165" t="s">
        <v>4870</v>
      </c>
      <c r="E1649" s="166" t="s">
        <v>9567</v>
      </c>
    </row>
    <row r="1650" spans="1:5">
      <c r="A1650" s="165">
        <v>42109</v>
      </c>
      <c r="B1650" s="165">
        <v>0</v>
      </c>
      <c r="C1650" s="165" t="s">
        <v>9718</v>
      </c>
      <c r="D1650" s="165" t="s">
        <v>4871</v>
      </c>
      <c r="E1650" s="166" t="s">
        <v>9568</v>
      </c>
    </row>
    <row r="1651" spans="1:5">
      <c r="A1651" s="165">
        <v>42110</v>
      </c>
      <c r="B1651" s="165">
        <v>0</v>
      </c>
      <c r="C1651" s="165" t="s">
        <v>9719</v>
      </c>
      <c r="D1651" s="165" t="s">
        <v>4872</v>
      </c>
      <c r="E1651" s="166" t="s">
        <v>9569</v>
      </c>
    </row>
    <row r="1652" spans="1:5">
      <c r="A1652" s="165">
        <v>42111</v>
      </c>
      <c r="B1652" s="165">
        <v>0</v>
      </c>
      <c r="C1652" s="165" t="s">
        <v>9720</v>
      </c>
      <c r="D1652" s="165" t="s">
        <v>4873</v>
      </c>
      <c r="E1652" s="166" t="s">
        <v>9570</v>
      </c>
    </row>
    <row r="1653" spans="1:5">
      <c r="A1653" s="165">
        <v>42112</v>
      </c>
      <c r="B1653" s="165">
        <v>0</v>
      </c>
      <c r="C1653" s="165" t="s">
        <v>9721</v>
      </c>
      <c r="D1653" s="165" t="s">
        <v>4874</v>
      </c>
      <c r="E1653" s="166" t="s">
        <v>9571</v>
      </c>
    </row>
    <row r="1654" spans="1:5">
      <c r="A1654" s="165">
        <v>42113</v>
      </c>
      <c r="B1654" s="165">
        <v>0</v>
      </c>
      <c r="C1654" s="165" t="s">
        <v>9722</v>
      </c>
      <c r="D1654" s="165" t="s">
        <v>4875</v>
      </c>
      <c r="E1654" s="166" t="s">
        <v>9572</v>
      </c>
    </row>
    <row r="1655" spans="1:5">
      <c r="A1655" s="165">
        <v>42114</v>
      </c>
      <c r="B1655" s="165">
        <v>0</v>
      </c>
      <c r="C1655" s="165" t="s">
        <v>9723</v>
      </c>
      <c r="D1655" s="165" t="s">
        <v>4876</v>
      </c>
      <c r="E1655" s="166" t="s">
        <v>9573</v>
      </c>
    </row>
    <row r="1656" spans="1:5">
      <c r="A1656" s="165">
        <v>42115</v>
      </c>
      <c r="B1656" s="165">
        <v>0</v>
      </c>
      <c r="C1656" s="165" t="s">
        <v>9724</v>
      </c>
      <c r="D1656" s="165" t="s">
        <v>4877</v>
      </c>
      <c r="E1656" s="166" t="s">
        <v>9574</v>
      </c>
    </row>
    <row r="1657" spans="1:5">
      <c r="A1657" s="165">
        <v>42116</v>
      </c>
      <c r="B1657" s="165">
        <v>0</v>
      </c>
      <c r="C1657" s="165" t="s">
        <v>9725</v>
      </c>
      <c r="D1657" s="165" t="s">
        <v>4878</v>
      </c>
      <c r="E1657" s="166" t="s">
        <v>9575</v>
      </c>
    </row>
    <row r="1658" spans="1:5">
      <c r="A1658" s="165">
        <v>42117</v>
      </c>
      <c r="B1658" s="165">
        <v>0</v>
      </c>
      <c r="C1658" s="165" t="s">
        <v>9726</v>
      </c>
      <c r="D1658" s="165" t="s">
        <v>4879</v>
      </c>
      <c r="E1658" s="166" t="s">
        <v>9576</v>
      </c>
    </row>
    <row r="1659" spans="1:5">
      <c r="A1659" s="165">
        <v>42118</v>
      </c>
      <c r="B1659" s="165">
        <v>0</v>
      </c>
      <c r="C1659" s="165" t="s">
        <v>9727</v>
      </c>
      <c r="D1659" s="165" t="s">
        <v>4880</v>
      </c>
      <c r="E1659" s="166" t="s">
        <v>9577</v>
      </c>
    </row>
    <row r="1660" spans="1:5">
      <c r="A1660" s="165">
        <v>42119</v>
      </c>
      <c r="B1660" s="165">
        <v>0</v>
      </c>
      <c r="C1660" s="165" t="s">
        <v>9728</v>
      </c>
      <c r="D1660" s="165" t="s">
        <v>4881</v>
      </c>
      <c r="E1660" s="166" t="s">
        <v>9578</v>
      </c>
    </row>
    <row r="1661" spans="1:5">
      <c r="A1661" s="165">
        <v>42120</v>
      </c>
      <c r="B1661" s="165">
        <v>0</v>
      </c>
      <c r="C1661" s="165" t="s">
        <v>9729</v>
      </c>
      <c r="D1661" s="165" t="s">
        <v>4882</v>
      </c>
      <c r="E1661" s="166" t="s">
        <v>9579</v>
      </c>
    </row>
    <row r="1662" spans="1:5">
      <c r="A1662" s="165">
        <v>42121</v>
      </c>
      <c r="B1662" s="165">
        <v>0</v>
      </c>
      <c r="C1662" s="165" t="s">
        <v>9730</v>
      </c>
      <c r="D1662" s="165" t="s">
        <v>4883</v>
      </c>
      <c r="E1662" s="166" t="s">
        <v>9580</v>
      </c>
    </row>
    <row r="1663" spans="1:5">
      <c r="A1663" s="165">
        <v>42122</v>
      </c>
      <c r="B1663" s="165">
        <v>0</v>
      </c>
      <c r="C1663" s="165" t="s">
        <v>9731</v>
      </c>
      <c r="D1663" s="165" t="s">
        <v>4884</v>
      </c>
      <c r="E1663" s="166" t="s">
        <v>9581</v>
      </c>
    </row>
    <row r="1664" spans="1:5">
      <c r="A1664" s="165">
        <v>42123</v>
      </c>
      <c r="B1664" s="165">
        <v>0</v>
      </c>
      <c r="C1664" s="165" t="s">
        <v>9732</v>
      </c>
      <c r="D1664" s="165" t="s">
        <v>4885</v>
      </c>
      <c r="E1664" s="166" t="s">
        <v>9582</v>
      </c>
    </row>
    <row r="1665" spans="1:5">
      <c r="A1665" s="165">
        <v>42124</v>
      </c>
      <c r="B1665" s="165">
        <v>0</v>
      </c>
      <c r="C1665" s="165" t="s">
        <v>9733</v>
      </c>
      <c r="D1665" s="165" t="s">
        <v>4886</v>
      </c>
      <c r="E1665" s="166" t="s">
        <v>9583</v>
      </c>
    </row>
    <row r="1666" spans="1:5">
      <c r="A1666" s="165">
        <v>42125</v>
      </c>
      <c r="B1666" s="165">
        <v>0</v>
      </c>
      <c r="C1666" s="165" t="s">
        <v>9734</v>
      </c>
      <c r="D1666" s="165" t="s">
        <v>4887</v>
      </c>
      <c r="E1666" s="166" t="s">
        <v>9584</v>
      </c>
    </row>
    <row r="1667" spans="1:5">
      <c r="A1667" s="165">
        <v>42126</v>
      </c>
      <c r="B1667" s="165">
        <v>0</v>
      </c>
      <c r="C1667" s="165" t="s">
        <v>9735</v>
      </c>
      <c r="D1667" s="165" t="s">
        <v>4888</v>
      </c>
      <c r="E1667" s="166" t="s">
        <v>9585</v>
      </c>
    </row>
    <row r="1668" spans="1:5">
      <c r="A1668" s="165">
        <v>42127</v>
      </c>
      <c r="B1668" s="165">
        <v>0</v>
      </c>
      <c r="C1668" s="165" t="s">
        <v>9736</v>
      </c>
      <c r="D1668" s="165" t="s">
        <v>4889</v>
      </c>
      <c r="E1668" s="166" t="s">
        <v>9586</v>
      </c>
    </row>
    <row r="1669" spans="1:5">
      <c r="A1669" s="165">
        <v>42128</v>
      </c>
      <c r="B1669" s="165">
        <v>0</v>
      </c>
      <c r="C1669" s="165" t="s">
        <v>9737</v>
      </c>
      <c r="D1669" s="165" t="s">
        <v>4890</v>
      </c>
      <c r="E1669" s="166" t="s">
        <v>9587</v>
      </c>
    </row>
    <row r="1670" spans="1:5">
      <c r="A1670" s="165">
        <v>42129</v>
      </c>
      <c r="B1670" s="165">
        <v>0</v>
      </c>
      <c r="C1670" s="165" t="s">
        <v>9738</v>
      </c>
      <c r="D1670" s="165" t="s">
        <v>4891</v>
      </c>
      <c r="E1670" s="166" t="s">
        <v>9588</v>
      </c>
    </row>
    <row r="1671" spans="1:5">
      <c r="A1671" s="165">
        <v>42130</v>
      </c>
      <c r="B1671" s="165">
        <v>0</v>
      </c>
      <c r="C1671" s="165" t="s">
        <v>9739</v>
      </c>
      <c r="D1671" s="165" t="s">
        <v>4892</v>
      </c>
      <c r="E1671" s="166" t="s">
        <v>9589</v>
      </c>
    </row>
    <row r="1672" spans="1:5">
      <c r="A1672" s="165">
        <v>42131</v>
      </c>
      <c r="B1672" s="165">
        <v>0</v>
      </c>
      <c r="C1672" s="165" t="s">
        <v>9740</v>
      </c>
      <c r="D1672" s="165" t="s">
        <v>4893</v>
      </c>
      <c r="E1672" s="166" t="s">
        <v>9590</v>
      </c>
    </row>
    <row r="1673" spans="1:5">
      <c r="A1673" s="165">
        <v>42132</v>
      </c>
      <c r="B1673" s="165">
        <v>0</v>
      </c>
      <c r="C1673" s="165" t="s">
        <v>9741</v>
      </c>
      <c r="D1673" s="165" t="s">
        <v>4894</v>
      </c>
      <c r="E1673" s="166" t="s">
        <v>9591</v>
      </c>
    </row>
    <row r="1674" spans="1:5">
      <c r="A1674" s="165">
        <v>42133</v>
      </c>
      <c r="B1674" s="165">
        <v>0</v>
      </c>
      <c r="C1674" s="165" t="s">
        <v>9742</v>
      </c>
      <c r="D1674" s="165" t="s">
        <v>4895</v>
      </c>
      <c r="E1674" s="166" t="s">
        <v>9592</v>
      </c>
    </row>
    <row r="1675" spans="1:5">
      <c r="A1675" s="165">
        <v>42134</v>
      </c>
      <c r="B1675" s="165">
        <v>0</v>
      </c>
      <c r="C1675" s="165" t="s">
        <v>9743</v>
      </c>
      <c r="D1675" s="165" t="s">
        <v>4896</v>
      </c>
      <c r="E1675" s="166" t="s">
        <v>9593</v>
      </c>
    </row>
    <row r="1676" spans="1:5">
      <c r="A1676" s="165">
        <v>42135</v>
      </c>
      <c r="B1676" s="165">
        <v>0</v>
      </c>
      <c r="C1676" s="165" t="s">
        <v>9744</v>
      </c>
      <c r="D1676" s="165" t="s">
        <v>4897</v>
      </c>
      <c r="E1676" s="166" t="s">
        <v>9594</v>
      </c>
    </row>
    <row r="1677" spans="1:5">
      <c r="A1677" s="165">
        <v>42136</v>
      </c>
      <c r="B1677" s="165">
        <v>0</v>
      </c>
      <c r="C1677" s="165" t="s">
        <v>9745</v>
      </c>
      <c r="D1677" s="165" t="s">
        <v>4898</v>
      </c>
      <c r="E1677" s="166" t="s">
        <v>9595</v>
      </c>
    </row>
    <row r="1678" spans="1:5">
      <c r="A1678" s="165">
        <v>42137</v>
      </c>
      <c r="B1678" s="165">
        <v>0</v>
      </c>
      <c r="C1678" s="165" t="s">
        <v>9746</v>
      </c>
      <c r="D1678" s="165" t="s">
        <v>4899</v>
      </c>
      <c r="E1678" s="166" t="s">
        <v>9596</v>
      </c>
    </row>
    <row r="1679" spans="1:5">
      <c r="A1679" s="165">
        <v>42138</v>
      </c>
      <c r="B1679" s="165">
        <v>0</v>
      </c>
      <c r="C1679" s="165" t="s">
        <v>9747</v>
      </c>
      <c r="D1679" s="165" t="s">
        <v>4900</v>
      </c>
      <c r="E1679" s="166" t="s">
        <v>9597</v>
      </c>
    </row>
    <row r="1680" spans="1:5">
      <c r="A1680" s="165">
        <v>42139</v>
      </c>
      <c r="B1680" s="165">
        <v>0</v>
      </c>
      <c r="C1680" s="165" t="s">
        <v>9748</v>
      </c>
      <c r="D1680" s="165" t="s">
        <v>4901</v>
      </c>
      <c r="E1680" s="166" t="s">
        <v>9598</v>
      </c>
    </row>
    <row r="1681" spans="1:5">
      <c r="A1681" s="165">
        <v>42140</v>
      </c>
      <c r="B1681" s="165">
        <v>0</v>
      </c>
      <c r="C1681" s="165" t="s">
        <v>9749</v>
      </c>
      <c r="D1681" s="165" t="s">
        <v>4902</v>
      </c>
      <c r="E1681" s="166" t="s">
        <v>9599</v>
      </c>
    </row>
    <row r="1682" spans="1:5">
      <c r="A1682" s="165">
        <v>42141</v>
      </c>
      <c r="B1682" s="165">
        <v>0</v>
      </c>
      <c r="C1682" s="165" t="s">
        <v>9750</v>
      </c>
      <c r="D1682" s="165" t="s">
        <v>4903</v>
      </c>
      <c r="E1682" s="166" t="s">
        <v>9600</v>
      </c>
    </row>
    <row r="1683" spans="1:5">
      <c r="A1683" s="165">
        <v>42142</v>
      </c>
      <c r="B1683" s="165">
        <v>0</v>
      </c>
      <c r="C1683" s="165" t="s">
        <v>9751</v>
      </c>
      <c r="D1683" s="165" t="s">
        <v>4904</v>
      </c>
      <c r="E1683" s="166" t="s">
        <v>9601</v>
      </c>
    </row>
    <row r="1684" spans="1:5">
      <c r="A1684" s="165">
        <v>42143</v>
      </c>
      <c r="B1684" s="165">
        <v>0</v>
      </c>
      <c r="C1684" s="165" t="s">
        <v>9752</v>
      </c>
      <c r="D1684" s="165" t="s">
        <v>4905</v>
      </c>
      <c r="E1684" s="166" t="s">
        <v>9602</v>
      </c>
    </row>
    <row r="1685" spans="1:5">
      <c r="A1685" s="165">
        <v>42144</v>
      </c>
      <c r="B1685" s="165">
        <v>0</v>
      </c>
      <c r="C1685" s="165" t="s">
        <v>9753</v>
      </c>
      <c r="D1685" s="165" t="s">
        <v>4906</v>
      </c>
      <c r="E1685" s="166" t="s">
        <v>9603</v>
      </c>
    </row>
    <row r="1686" spans="1:5">
      <c r="A1686" s="165">
        <v>42145</v>
      </c>
      <c r="B1686" s="165">
        <v>0</v>
      </c>
      <c r="C1686" s="165" t="s">
        <v>9754</v>
      </c>
      <c r="D1686" s="165" t="s">
        <v>4907</v>
      </c>
      <c r="E1686" s="166" t="s">
        <v>9604</v>
      </c>
    </row>
    <row r="1687" spans="1:5">
      <c r="A1687" s="165">
        <v>42146</v>
      </c>
      <c r="B1687" s="165">
        <v>0</v>
      </c>
      <c r="C1687" s="165" t="s">
        <v>9755</v>
      </c>
      <c r="D1687" s="165" t="s">
        <v>4908</v>
      </c>
      <c r="E1687" s="166" t="s">
        <v>9605</v>
      </c>
    </row>
    <row r="1688" spans="1:5">
      <c r="A1688" s="165">
        <v>42147</v>
      </c>
      <c r="B1688" s="165">
        <v>0</v>
      </c>
      <c r="C1688" s="165" t="s">
        <v>9756</v>
      </c>
      <c r="D1688" s="165" t="s">
        <v>4909</v>
      </c>
      <c r="E1688" s="166" t="s">
        <v>9606</v>
      </c>
    </row>
    <row r="1689" spans="1:5">
      <c r="A1689" s="165">
        <v>42148</v>
      </c>
      <c r="B1689" s="165">
        <v>0</v>
      </c>
      <c r="C1689" s="165" t="s">
        <v>9757</v>
      </c>
      <c r="D1689" s="165" t="s">
        <v>4910</v>
      </c>
      <c r="E1689" s="166" t="s">
        <v>9607</v>
      </c>
    </row>
    <row r="1690" spans="1:5">
      <c r="A1690" s="165">
        <v>42149</v>
      </c>
      <c r="B1690" s="165">
        <v>0</v>
      </c>
      <c r="C1690" s="165" t="s">
        <v>9758</v>
      </c>
      <c r="D1690" s="165" t="s">
        <v>4911</v>
      </c>
      <c r="E1690" s="166" t="s">
        <v>9608</v>
      </c>
    </row>
    <row r="1691" spans="1:5">
      <c r="A1691" s="165">
        <v>42150</v>
      </c>
      <c r="B1691" s="165">
        <v>0</v>
      </c>
      <c r="C1691" s="165" t="s">
        <v>9759</v>
      </c>
      <c r="D1691" s="165" t="s">
        <v>4912</v>
      </c>
      <c r="E1691" s="166" t="s">
        <v>9609</v>
      </c>
    </row>
    <row r="1692" spans="1:5">
      <c r="A1692" s="201">
        <v>42301</v>
      </c>
      <c r="B1692" s="201">
        <v>0</v>
      </c>
      <c r="C1692" s="201" t="s">
        <v>9908</v>
      </c>
      <c r="D1692" s="201" t="s">
        <v>7537</v>
      </c>
      <c r="E1692" s="202" t="s">
        <v>9760</v>
      </c>
    </row>
    <row r="1693" spans="1:5">
      <c r="A1693" s="201">
        <v>42302</v>
      </c>
      <c r="B1693" s="201">
        <v>0</v>
      </c>
      <c r="C1693" s="201" t="s">
        <v>9909</v>
      </c>
      <c r="D1693" s="201" t="s">
        <v>7538</v>
      </c>
      <c r="E1693" s="202" t="s">
        <v>9761</v>
      </c>
    </row>
    <row r="1694" spans="1:5">
      <c r="A1694" s="201">
        <v>42303</v>
      </c>
      <c r="B1694" s="201">
        <v>0</v>
      </c>
      <c r="C1694" s="201" t="s">
        <v>9910</v>
      </c>
      <c r="D1694" s="201" t="s">
        <v>7539</v>
      </c>
      <c r="E1694" s="202" t="s">
        <v>9762</v>
      </c>
    </row>
    <row r="1695" spans="1:5">
      <c r="A1695" s="201">
        <v>42304</v>
      </c>
      <c r="B1695" s="201">
        <v>0</v>
      </c>
      <c r="C1695" s="201" t="s">
        <v>9911</v>
      </c>
      <c r="D1695" s="201" t="s">
        <v>7540</v>
      </c>
      <c r="E1695" s="202" t="s">
        <v>9763</v>
      </c>
    </row>
    <row r="1696" spans="1:5">
      <c r="A1696" s="201">
        <v>42305</v>
      </c>
      <c r="B1696" s="201">
        <v>0</v>
      </c>
      <c r="C1696" s="201" t="s">
        <v>9912</v>
      </c>
      <c r="D1696" s="201" t="s">
        <v>7541</v>
      </c>
      <c r="E1696" s="202" t="s">
        <v>9764</v>
      </c>
    </row>
    <row r="1697" spans="1:5">
      <c r="A1697" s="201">
        <v>42306</v>
      </c>
      <c r="B1697" s="201">
        <v>0</v>
      </c>
      <c r="C1697" s="201" t="s">
        <v>9913</v>
      </c>
      <c r="D1697" s="201" t="s">
        <v>7542</v>
      </c>
      <c r="E1697" s="202" t="s">
        <v>9765</v>
      </c>
    </row>
    <row r="1698" spans="1:5">
      <c r="A1698" s="201">
        <v>42307</v>
      </c>
      <c r="B1698" s="201">
        <v>0</v>
      </c>
      <c r="C1698" s="201" t="s">
        <v>9914</v>
      </c>
      <c r="D1698" s="201" t="s">
        <v>7543</v>
      </c>
      <c r="E1698" s="202" t="s">
        <v>9766</v>
      </c>
    </row>
    <row r="1699" spans="1:5">
      <c r="A1699" s="201">
        <v>42308</v>
      </c>
      <c r="B1699" s="201">
        <v>0</v>
      </c>
      <c r="C1699" s="201" t="s">
        <v>9915</v>
      </c>
      <c r="D1699" s="201" t="s">
        <v>7544</v>
      </c>
      <c r="E1699" s="202" t="s">
        <v>9767</v>
      </c>
    </row>
    <row r="1700" spans="1:5">
      <c r="A1700" s="201">
        <v>42309</v>
      </c>
      <c r="B1700" s="201">
        <v>0</v>
      </c>
      <c r="C1700" s="201" t="s">
        <v>9916</v>
      </c>
      <c r="D1700" s="201" t="s">
        <v>7545</v>
      </c>
      <c r="E1700" s="202" t="s">
        <v>9768</v>
      </c>
    </row>
    <row r="1701" spans="1:5">
      <c r="A1701" s="201">
        <v>42310</v>
      </c>
      <c r="B1701" s="201">
        <v>0</v>
      </c>
      <c r="C1701" s="201" t="s">
        <v>9917</v>
      </c>
      <c r="D1701" s="201" t="s">
        <v>7546</v>
      </c>
      <c r="E1701" s="202" t="s">
        <v>9769</v>
      </c>
    </row>
    <row r="1702" spans="1:5">
      <c r="A1702" s="201">
        <v>42311</v>
      </c>
      <c r="B1702" s="201">
        <v>0</v>
      </c>
      <c r="C1702" s="201" t="s">
        <v>9918</v>
      </c>
      <c r="D1702" s="201" t="s">
        <v>7547</v>
      </c>
      <c r="E1702" s="202" t="s">
        <v>9770</v>
      </c>
    </row>
    <row r="1703" spans="1:5">
      <c r="A1703" s="201">
        <v>42312</v>
      </c>
      <c r="B1703" s="201">
        <v>0</v>
      </c>
      <c r="C1703" s="201" t="s">
        <v>9919</v>
      </c>
      <c r="D1703" s="201" t="s">
        <v>7548</v>
      </c>
      <c r="E1703" s="202" t="s">
        <v>9771</v>
      </c>
    </row>
    <row r="1704" spans="1:5">
      <c r="A1704" s="201">
        <v>42313</v>
      </c>
      <c r="B1704" s="201">
        <v>0</v>
      </c>
      <c r="C1704" s="201" t="s">
        <v>9920</v>
      </c>
      <c r="D1704" s="201" t="s">
        <v>7549</v>
      </c>
      <c r="E1704" s="202" t="s">
        <v>9772</v>
      </c>
    </row>
    <row r="1705" spans="1:5">
      <c r="A1705" s="201">
        <v>42314</v>
      </c>
      <c r="B1705" s="201">
        <v>0</v>
      </c>
      <c r="C1705" s="201" t="s">
        <v>9921</v>
      </c>
      <c r="D1705" s="201" t="s">
        <v>7550</v>
      </c>
      <c r="E1705" s="202" t="s">
        <v>9773</v>
      </c>
    </row>
    <row r="1706" spans="1:5">
      <c r="A1706" s="201">
        <v>42315</v>
      </c>
      <c r="B1706" s="201">
        <v>0</v>
      </c>
      <c r="C1706" s="201" t="s">
        <v>9922</v>
      </c>
      <c r="D1706" s="201" t="s">
        <v>7551</v>
      </c>
      <c r="E1706" s="202" t="s">
        <v>9774</v>
      </c>
    </row>
    <row r="1707" spans="1:5">
      <c r="A1707" s="201">
        <v>42316</v>
      </c>
      <c r="B1707" s="201">
        <v>0</v>
      </c>
      <c r="C1707" s="201" t="s">
        <v>9923</v>
      </c>
      <c r="D1707" s="201" t="s">
        <v>7552</v>
      </c>
      <c r="E1707" s="202" t="s">
        <v>9775</v>
      </c>
    </row>
    <row r="1708" spans="1:5">
      <c r="A1708" s="201">
        <v>42317</v>
      </c>
      <c r="B1708" s="201">
        <v>0</v>
      </c>
      <c r="C1708" s="201" t="s">
        <v>9924</v>
      </c>
      <c r="D1708" s="201" t="s">
        <v>7553</v>
      </c>
      <c r="E1708" s="202" t="s">
        <v>9776</v>
      </c>
    </row>
    <row r="1709" spans="1:5">
      <c r="A1709" s="201">
        <v>42318</v>
      </c>
      <c r="B1709" s="201">
        <v>0</v>
      </c>
      <c r="C1709" s="201" t="s">
        <v>9925</v>
      </c>
      <c r="D1709" s="201" t="s">
        <v>7554</v>
      </c>
      <c r="E1709" s="202" t="s">
        <v>9777</v>
      </c>
    </row>
    <row r="1710" spans="1:5">
      <c r="A1710" s="201">
        <v>42319</v>
      </c>
      <c r="B1710" s="201">
        <v>0</v>
      </c>
      <c r="C1710" s="201" t="s">
        <v>9926</v>
      </c>
      <c r="D1710" s="201" t="s">
        <v>7555</v>
      </c>
      <c r="E1710" s="202" t="s">
        <v>9778</v>
      </c>
    </row>
    <row r="1711" spans="1:5">
      <c r="A1711" s="201">
        <v>42320</v>
      </c>
      <c r="B1711" s="201">
        <v>0</v>
      </c>
      <c r="C1711" s="201" t="s">
        <v>9927</v>
      </c>
      <c r="D1711" s="201" t="s">
        <v>7556</v>
      </c>
      <c r="E1711" s="202" t="s">
        <v>9779</v>
      </c>
    </row>
    <row r="1712" spans="1:5">
      <c r="A1712" s="201">
        <v>42321</v>
      </c>
      <c r="B1712" s="201">
        <v>0</v>
      </c>
      <c r="C1712" s="201" t="s">
        <v>9928</v>
      </c>
      <c r="D1712" s="201" t="s">
        <v>7557</v>
      </c>
      <c r="E1712" s="202" t="s">
        <v>9780</v>
      </c>
    </row>
    <row r="1713" spans="1:5">
      <c r="A1713" s="201">
        <v>42322</v>
      </c>
      <c r="B1713" s="201">
        <v>0</v>
      </c>
      <c r="C1713" s="201" t="s">
        <v>9929</v>
      </c>
      <c r="D1713" s="201" t="s">
        <v>7558</v>
      </c>
      <c r="E1713" s="202" t="s">
        <v>9781</v>
      </c>
    </row>
    <row r="1714" spans="1:5">
      <c r="A1714" s="201">
        <v>42323</v>
      </c>
      <c r="B1714" s="201">
        <v>0</v>
      </c>
      <c r="C1714" s="201" t="s">
        <v>9930</v>
      </c>
      <c r="D1714" s="201" t="s">
        <v>7559</v>
      </c>
      <c r="E1714" s="202" t="s">
        <v>9782</v>
      </c>
    </row>
    <row r="1715" spans="1:5">
      <c r="A1715" s="201">
        <v>42324</v>
      </c>
      <c r="B1715" s="201">
        <v>0</v>
      </c>
      <c r="C1715" s="201" t="s">
        <v>9931</v>
      </c>
      <c r="D1715" s="201" t="s">
        <v>7560</v>
      </c>
      <c r="E1715" s="202" t="s">
        <v>9783</v>
      </c>
    </row>
    <row r="1716" spans="1:5">
      <c r="A1716" s="201">
        <v>42325</v>
      </c>
      <c r="B1716" s="201">
        <v>0</v>
      </c>
      <c r="C1716" s="201" t="s">
        <v>9932</v>
      </c>
      <c r="D1716" s="201" t="s">
        <v>7561</v>
      </c>
      <c r="E1716" s="202" t="s">
        <v>9784</v>
      </c>
    </row>
    <row r="1717" spans="1:5">
      <c r="A1717" s="201">
        <v>42326</v>
      </c>
      <c r="B1717" s="201">
        <v>0</v>
      </c>
      <c r="C1717" s="201" t="s">
        <v>9933</v>
      </c>
      <c r="D1717" s="201" t="s">
        <v>7562</v>
      </c>
      <c r="E1717" s="202" t="s">
        <v>9785</v>
      </c>
    </row>
    <row r="1718" spans="1:5">
      <c r="A1718" s="201">
        <v>42327</v>
      </c>
      <c r="B1718" s="201">
        <v>0</v>
      </c>
      <c r="C1718" s="201" t="s">
        <v>9934</v>
      </c>
      <c r="D1718" s="201" t="s">
        <v>7563</v>
      </c>
      <c r="E1718" s="202" t="s">
        <v>9786</v>
      </c>
    </row>
    <row r="1719" spans="1:5">
      <c r="A1719" s="201">
        <v>42328</v>
      </c>
      <c r="B1719" s="201">
        <v>0</v>
      </c>
      <c r="C1719" s="201" t="s">
        <v>9935</v>
      </c>
      <c r="D1719" s="201" t="s">
        <v>7564</v>
      </c>
      <c r="E1719" s="202" t="s">
        <v>9787</v>
      </c>
    </row>
    <row r="1720" spans="1:5">
      <c r="A1720" s="201">
        <v>42329</v>
      </c>
      <c r="B1720" s="201">
        <v>0</v>
      </c>
      <c r="C1720" s="201" t="s">
        <v>9936</v>
      </c>
      <c r="D1720" s="201" t="s">
        <v>7565</v>
      </c>
      <c r="E1720" s="202" t="s">
        <v>9788</v>
      </c>
    </row>
    <row r="1721" spans="1:5">
      <c r="A1721" s="201">
        <v>42330</v>
      </c>
      <c r="B1721" s="201">
        <v>0</v>
      </c>
      <c r="C1721" s="201" t="s">
        <v>9937</v>
      </c>
      <c r="D1721" s="201" t="s">
        <v>7566</v>
      </c>
      <c r="E1721" s="202" t="s">
        <v>9789</v>
      </c>
    </row>
    <row r="1722" spans="1:5">
      <c r="A1722" s="201">
        <v>42331</v>
      </c>
      <c r="B1722" s="201">
        <v>0</v>
      </c>
      <c r="C1722" s="201" t="s">
        <v>9938</v>
      </c>
      <c r="D1722" s="201" t="s">
        <v>7567</v>
      </c>
      <c r="E1722" s="202" t="s">
        <v>9790</v>
      </c>
    </row>
    <row r="1723" spans="1:5">
      <c r="A1723" s="201">
        <v>42332</v>
      </c>
      <c r="B1723" s="201">
        <v>0</v>
      </c>
      <c r="C1723" s="201" t="s">
        <v>9939</v>
      </c>
      <c r="D1723" s="201" t="s">
        <v>7568</v>
      </c>
      <c r="E1723" s="202" t="s">
        <v>9791</v>
      </c>
    </row>
    <row r="1724" spans="1:5">
      <c r="A1724" s="201">
        <v>42333</v>
      </c>
      <c r="B1724" s="201">
        <v>0</v>
      </c>
      <c r="C1724" s="201" t="s">
        <v>9940</v>
      </c>
      <c r="D1724" s="201" t="s">
        <v>7569</v>
      </c>
      <c r="E1724" s="202" t="s">
        <v>9792</v>
      </c>
    </row>
    <row r="1725" spans="1:5">
      <c r="A1725" s="201">
        <v>42334</v>
      </c>
      <c r="B1725" s="201">
        <v>0</v>
      </c>
      <c r="C1725" s="201" t="s">
        <v>9941</v>
      </c>
      <c r="D1725" s="201" t="s">
        <v>7570</v>
      </c>
      <c r="E1725" s="202" t="s">
        <v>9793</v>
      </c>
    </row>
    <row r="1726" spans="1:5">
      <c r="A1726" s="201">
        <v>42335</v>
      </c>
      <c r="B1726" s="201">
        <v>0</v>
      </c>
      <c r="C1726" s="201" t="s">
        <v>9942</v>
      </c>
      <c r="D1726" s="201" t="s">
        <v>7571</v>
      </c>
      <c r="E1726" s="202" t="s">
        <v>9794</v>
      </c>
    </row>
    <row r="1727" spans="1:5">
      <c r="A1727" s="201">
        <v>42336</v>
      </c>
      <c r="B1727" s="201">
        <v>0</v>
      </c>
      <c r="C1727" s="201" t="s">
        <v>9943</v>
      </c>
      <c r="D1727" s="201" t="s">
        <v>7572</v>
      </c>
      <c r="E1727" s="202" t="s">
        <v>9795</v>
      </c>
    </row>
    <row r="1728" spans="1:5">
      <c r="A1728" s="201">
        <v>42337</v>
      </c>
      <c r="B1728" s="201">
        <v>0</v>
      </c>
      <c r="C1728" s="201" t="s">
        <v>9944</v>
      </c>
      <c r="D1728" s="201" t="s">
        <v>7573</v>
      </c>
      <c r="E1728" s="202" t="s">
        <v>9796</v>
      </c>
    </row>
    <row r="1729" spans="1:5">
      <c r="A1729" s="201">
        <v>42338</v>
      </c>
      <c r="B1729" s="201">
        <v>0</v>
      </c>
      <c r="C1729" s="201" t="s">
        <v>9945</v>
      </c>
      <c r="D1729" s="201" t="s">
        <v>7574</v>
      </c>
      <c r="E1729" s="202" t="s">
        <v>9797</v>
      </c>
    </row>
    <row r="1730" spans="1:5">
      <c r="A1730" s="201">
        <v>42339</v>
      </c>
      <c r="B1730" s="201">
        <v>0</v>
      </c>
      <c r="C1730" s="201" t="s">
        <v>9946</v>
      </c>
      <c r="D1730" s="201" t="s">
        <v>7575</v>
      </c>
      <c r="E1730" s="202" t="s">
        <v>9798</v>
      </c>
    </row>
    <row r="1731" spans="1:5">
      <c r="A1731" s="201">
        <v>42340</v>
      </c>
      <c r="B1731" s="201">
        <v>0</v>
      </c>
      <c r="C1731" s="201" t="s">
        <v>9947</v>
      </c>
      <c r="D1731" s="201" t="s">
        <v>7576</v>
      </c>
      <c r="E1731" s="202" t="s">
        <v>9799</v>
      </c>
    </row>
    <row r="1732" spans="1:5">
      <c r="A1732" s="201">
        <v>42341</v>
      </c>
      <c r="B1732" s="201">
        <v>0</v>
      </c>
      <c r="C1732" s="201" t="s">
        <v>9948</v>
      </c>
      <c r="D1732" s="201" t="s">
        <v>7577</v>
      </c>
      <c r="E1732" s="202" t="s">
        <v>9800</v>
      </c>
    </row>
    <row r="1733" spans="1:5">
      <c r="A1733" s="201">
        <v>42342</v>
      </c>
      <c r="B1733" s="201">
        <v>0</v>
      </c>
      <c r="C1733" s="201" t="s">
        <v>9949</v>
      </c>
      <c r="D1733" s="201" t="s">
        <v>7578</v>
      </c>
      <c r="E1733" s="202" t="s">
        <v>9801</v>
      </c>
    </row>
    <row r="1734" spans="1:5">
      <c r="A1734" s="201">
        <v>42343</v>
      </c>
      <c r="B1734" s="201">
        <v>0</v>
      </c>
      <c r="C1734" s="201" t="s">
        <v>9950</v>
      </c>
      <c r="D1734" s="201" t="s">
        <v>7579</v>
      </c>
      <c r="E1734" s="202" t="s">
        <v>9802</v>
      </c>
    </row>
    <row r="1735" spans="1:5">
      <c r="A1735" s="201">
        <v>42344</v>
      </c>
      <c r="B1735" s="201">
        <v>0</v>
      </c>
      <c r="C1735" s="201" t="s">
        <v>9951</v>
      </c>
      <c r="D1735" s="201" t="s">
        <v>7580</v>
      </c>
      <c r="E1735" s="202" t="s">
        <v>9803</v>
      </c>
    </row>
    <row r="1736" spans="1:5">
      <c r="A1736" s="201">
        <v>42345</v>
      </c>
      <c r="B1736" s="201">
        <v>0</v>
      </c>
      <c r="C1736" s="201" t="s">
        <v>9952</v>
      </c>
      <c r="D1736" s="201" t="s">
        <v>7581</v>
      </c>
      <c r="E1736" s="202" t="s">
        <v>9804</v>
      </c>
    </row>
    <row r="1737" spans="1:5">
      <c r="A1737" s="201">
        <v>42346</v>
      </c>
      <c r="B1737" s="201">
        <v>0</v>
      </c>
      <c r="C1737" s="201" t="s">
        <v>9953</v>
      </c>
      <c r="D1737" s="201" t="s">
        <v>7582</v>
      </c>
      <c r="E1737" s="202" t="s">
        <v>9805</v>
      </c>
    </row>
    <row r="1738" spans="1:5">
      <c r="A1738" s="201">
        <v>42347</v>
      </c>
      <c r="B1738" s="201">
        <v>0</v>
      </c>
      <c r="C1738" s="201" t="s">
        <v>9954</v>
      </c>
      <c r="D1738" s="201" t="s">
        <v>7583</v>
      </c>
      <c r="E1738" s="202" t="s">
        <v>9806</v>
      </c>
    </row>
    <row r="1739" spans="1:5">
      <c r="A1739" s="201">
        <v>42348</v>
      </c>
      <c r="B1739" s="201">
        <v>0</v>
      </c>
      <c r="C1739" s="201" t="s">
        <v>9955</v>
      </c>
      <c r="D1739" s="201" t="s">
        <v>7584</v>
      </c>
      <c r="E1739" s="202" t="s">
        <v>9807</v>
      </c>
    </row>
    <row r="1740" spans="1:5">
      <c r="A1740" s="201">
        <v>42349</v>
      </c>
      <c r="B1740" s="201">
        <v>0</v>
      </c>
      <c r="C1740" s="201" t="s">
        <v>9956</v>
      </c>
      <c r="D1740" s="201" t="s">
        <v>7585</v>
      </c>
      <c r="E1740" s="202" t="s">
        <v>9808</v>
      </c>
    </row>
    <row r="1741" spans="1:5">
      <c r="A1741" s="201">
        <v>42350</v>
      </c>
      <c r="B1741" s="201">
        <v>0</v>
      </c>
      <c r="C1741" s="201" t="s">
        <v>9957</v>
      </c>
      <c r="D1741" s="201" t="s">
        <v>7586</v>
      </c>
      <c r="E1741" s="202" t="s">
        <v>9809</v>
      </c>
    </row>
    <row r="1742" spans="1:5">
      <c r="A1742" s="201">
        <v>42351</v>
      </c>
      <c r="B1742" s="201">
        <v>0</v>
      </c>
      <c r="C1742" s="201" t="s">
        <v>9958</v>
      </c>
      <c r="D1742" s="201" t="s">
        <v>7587</v>
      </c>
      <c r="E1742" s="202" t="s">
        <v>9810</v>
      </c>
    </row>
    <row r="1743" spans="1:5">
      <c r="A1743" s="201">
        <v>42352</v>
      </c>
      <c r="B1743" s="201">
        <v>0</v>
      </c>
      <c r="C1743" s="201" t="s">
        <v>9959</v>
      </c>
      <c r="D1743" s="201" t="s">
        <v>7588</v>
      </c>
      <c r="E1743" s="202" t="s">
        <v>9811</v>
      </c>
    </row>
    <row r="1744" spans="1:5">
      <c r="A1744" s="201">
        <v>42353</v>
      </c>
      <c r="B1744" s="201">
        <v>0</v>
      </c>
      <c r="C1744" s="201" t="s">
        <v>9960</v>
      </c>
      <c r="D1744" s="201" t="s">
        <v>7589</v>
      </c>
      <c r="E1744" s="202" t="s">
        <v>9812</v>
      </c>
    </row>
    <row r="1745" spans="1:5">
      <c r="A1745" s="201">
        <v>42354</v>
      </c>
      <c r="B1745" s="201">
        <v>0</v>
      </c>
      <c r="C1745" s="201" t="s">
        <v>9961</v>
      </c>
      <c r="D1745" s="201" t="s">
        <v>7590</v>
      </c>
      <c r="E1745" s="202" t="s">
        <v>9813</v>
      </c>
    </row>
    <row r="1746" spans="1:5">
      <c r="A1746" s="201">
        <v>42355</v>
      </c>
      <c r="B1746" s="201">
        <v>0</v>
      </c>
      <c r="C1746" s="201" t="s">
        <v>9962</v>
      </c>
      <c r="D1746" s="201" t="s">
        <v>7591</v>
      </c>
      <c r="E1746" s="202" t="s">
        <v>9814</v>
      </c>
    </row>
    <row r="1747" spans="1:5">
      <c r="A1747" s="201">
        <v>42356</v>
      </c>
      <c r="B1747" s="201">
        <v>0</v>
      </c>
      <c r="C1747" s="201" t="s">
        <v>9963</v>
      </c>
      <c r="D1747" s="201" t="s">
        <v>7592</v>
      </c>
      <c r="E1747" s="202" t="s">
        <v>9815</v>
      </c>
    </row>
    <row r="1748" spans="1:5">
      <c r="A1748" s="201">
        <v>42357</v>
      </c>
      <c r="B1748" s="201">
        <v>0</v>
      </c>
      <c r="C1748" s="201" t="s">
        <v>9964</v>
      </c>
      <c r="D1748" s="201" t="s">
        <v>7593</v>
      </c>
      <c r="E1748" s="202" t="s">
        <v>9816</v>
      </c>
    </row>
    <row r="1749" spans="1:5">
      <c r="A1749" s="201">
        <v>42358</v>
      </c>
      <c r="B1749" s="201">
        <v>0</v>
      </c>
      <c r="C1749" s="201" t="s">
        <v>9965</v>
      </c>
      <c r="D1749" s="201" t="s">
        <v>7594</v>
      </c>
      <c r="E1749" s="202" t="s">
        <v>9817</v>
      </c>
    </row>
    <row r="1750" spans="1:5">
      <c r="A1750" s="201">
        <v>42359</v>
      </c>
      <c r="B1750" s="201">
        <v>0</v>
      </c>
      <c r="C1750" s="201" t="s">
        <v>9966</v>
      </c>
      <c r="D1750" s="201" t="s">
        <v>7595</v>
      </c>
      <c r="E1750" s="202" t="s">
        <v>9818</v>
      </c>
    </row>
    <row r="1751" spans="1:5">
      <c r="A1751" s="201">
        <v>42360</v>
      </c>
      <c r="B1751" s="201">
        <v>0</v>
      </c>
      <c r="C1751" s="201" t="s">
        <v>9967</v>
      </c>
      <c r="D1751" s="201" t="s">
        <v>7596</v>
      </c>
      <c r="E1751" s="202" t="s">
        <v>9819</v>
      </c>
    </row>
    <row r="1752" spans="1:5">
      <c r="A1752" s="201">
        <v>42361</v>
      </c>
      <c r="B1752" s="201">
        <v>0</v>
      </c>
      <c r="C1752" s="201" t="s">
        <v>9968</v>
      </c>
      <c r="D1752" s="201" t="s">
        <v>7597</v>
      </c>
      <c r="E1752" s="202" t="s">
        <v>9820</v>
      </c>
    </row>
    <row r="1753" spans="1:5">
      <c r="A1753" s="201">
        <v>42362</v>
      </c>
      <c r="B1753" s="201">
        <v>0</v>
      </c>
      <c r="C1753" s="201" t="s">
        <v>9969</v>
      </c>
      <c r="D1753" s="201" t="s">
        <v>7598</v>
      </c>
      <c r="E1753" s="202" t="s">
        <v>9821</v>
      </c>
    </row>
    <row r="1754" spans="1:5">
      <c r="A1754" s="201">
        <v>42363</v>
      </c>
      <c r="B1754" s="201">
        <v>0</v>
      </c>
      <c r="C1754" s="201" t="s">
        <v>9970</v>
      </c>
      <c r="D1754" s="201" t="s">
        <v>7599</v>
      </c>
      <c r="E1754" s="202" t="s">
        <v>9822</v>
      </c>
    </row>
    <row r="1755" spans="1:5">
      <c r="A1755" s="201">
        <v>42364</v>
      </c>
      <c r="B1755" s="201">
        <v>0</v>
      </c>
      <c r="C1755" s="201" t="s">
        <v>9971</v>
      </c>
      <c r="D1755" s="201" t="s">
        <v>7600</v>
      </c>
      <c r="E1755" s="202" t="s">
        <v>9823</v>
      </c>
    </row>
    <row r="1756" spans="1:5">
      <c r="A1756" s="201">
        <v>42365</v>
      </c>
      <c r="B1756" s="201">
        <v>0</v>
      </c>
      <c r="C1756" s="201" t="s">
        <v>9972</v>
      </c>
      <c r="D1756" s="201" t="s">
        <v>7601</v>
      </c>
      <c r="E1756" s="202" t="s">
        <v>9824</v>
      </c>
    </row>
    <row r="1757" spans="1:5">
      <c r="A1757" s="201">
        <v>42366</v>
      </c>
      <c r="B1757" s="201">
        <v>0</v>
      </c>
      <c r="C1757" s="201" t="s">
        <v>9973</v>
      </c>
      <c r="D1757" s="201" t="s">
        <v>7602</v>
      </c>
      <c r="E1757" s="202" t="s">
        <v>9825</v>
      </c>
    </row>
    <row r="1758" spans="1:5">
      <c r="A1758" s="201">
        <v>42367</v>
      </c>
      <c r="B1758" s="201">
        <v>0</v>
      </c>
      <c r="C1758" s="201" t="s">
        <v>9974</v>
      </c>
      <c r="D1758" s="201" t="s">
        <v>7603</v>
      </c>
      <c r="E1758" s="202" t="s">
        <v>9826</v>
      </c>
    </row>
    <row r="1759" spans="1:5">
      <c r="A1759" s="201">
        <v>42368</v>
      </c>
      <c r="B1759" s="201">
        <v>0</v>
      </c>
      <c r="C1759" s="201" t="s">
        <v>9975</v>
      </c>
      <c r="D1759" s="201" t="s">
        <v>7604</v>
      </c>
      <c r="E1759" s="202" t="s">
        <v>9827</v>
      </c>
    </row>
    <row r="1760" spans="1:5">
      <c r="A1760" s="201">
        <v>42369</v>
      </c>
      <c r="B1760" s="201">
        <v>0</v>
      </c>
      <c r="C1760" s="201" t="s">
        <v>9976</v>
      </c>
      <c r="D1760" s="201" t="s">
        <v>7605</v>
      </c>
      <c r="E1760" s="202" t="s">
        <v>9828</v>
      </c>
    </row>
    <row r="1761" spans="1:5">
      <c r="A1761" s="201">
        <v>42370</v>
      </c>
      <c r="B1761" s="201">
        <v>0</v>
      </c>
      <c r="C1761" s="201" t="s">
        <v>9977</v>
      </c>
      <c r="D1761" s="201" t="s">
        <v>7606</v>
      </c>
      <c r="E1761" s="202" t="s">
        <v>9829</v>
      </c>
    </row>
    <row r="1762" spans="1:5">
      <c r="A1762" s="201">
        <v>42371</v>
      </c>
      <c r="B1762" s="201">
        <v>0</v>
      </c>
      <c r="C1762" s="201" t="s">
        <v>9978</v>
      </c>
      <c r="D1762" s="201" t="s">
        <v>7607</v>
      </c>
      <c r="E1762" s="202" t="s">
        <v>9830</v>
      </c>
    </row>
    <row r="1763" spans="1:5">
      <c r="A1763" s="201">
        <v>42372</v>
      </c>
      <c r="B1763" s="201">
        <v>0</v>
      </c>
      <c r="C1763" s="201" t="s">
        <v>9979</v>
      </c>
      <c r="D1763" s="201" t="s">
        <v>7608</v>
      </c>
      <c r="E1763" s="202" t="s">
        <v>9831</v>
      </c>
    </row>
    <row r="1764" spans="1:5">
      <c r="A1764" s="201">
        <v>42373</v>
      </c>
      <c r="B1764" s="201">
        <v>0</v>
      </c>
      <c r="C1764" s="201" t="s">
        <v>9980</v>
      </c>
      <c r="D1764" s="201" t="s">
        <v>7609</v>
      </c>
      <c r="E1764" s="202" t="s">
        <v>9832</v>
      </c>
    </row>
    <row r="1765" spans="1:5">
      <c r="A1765" s="201">
        <v>42374</v>
      </c>
      <c r="B1765" s="201">
        <v>0</v>
      </c>
      <c r="C1765" s="201" t="s">
        <v>9981</v>
      </c>
      <c r="D1765" s="201" t="s">
        <v>7610</v>
      </c>
      <c r="E1765" s="202" t="s">
        <v>9833</v>
      </c>
    </row>
    <row r="1766" spans="1:5">
      <c r="A1766" s="201">
        <v>42375</v>
      </c>
      <c r="B1766" s="201">
        <v>0</v>
      </c>
      <c r="C1766" s="201" t="s">
        <v>9982</v>
      </c>
      <c r="D1766" s="201" t="s">
        <v>7611</v>
      </c>
      <c r="E1766" s="202" t="s">
        <v>9834</v>
      </c>
    </row>
    <row r="1767" spans="1:5">
      <c r="A1767" s="201">
        <v>42376</v>
      </c>
      <c r="B1767" s="201">
        <v>0</v>
      </c>
      <c r="C1767" s="201" t="s">
        <v>9983</v>
      </c>
      <c r="D1767" s="201" t="s">
        <v>7612</v>
      </c>
      <c r="E1767" s="202" t="s">
        <v>9835</v>
      </c>
    </row>
    <row r="1768" spans="1:5">
      <c r="A1768" s="201">
        <v>42377</v>
      </c>
      <c r="B1768" s="201">
        <v>0</v>
      </c>
      <c r="C1768" s="201" t="s">
        <v>9984</v>
      </c>
      <c r="D1768" s="201" t="s">
        <v>7613</v>
      </c>
      <c r="E1768" s="202" t="s">
        <v>9836</v>
      </c>
    </row>
    <row r="1769" spans="1:5">
      <c r="A1769" s="201">
        <v>42378</v>
      </c>
      <c r="B1769" s="201">
        <v>0</v>
      </c>
      <c r="C1769" s="201" t="s">
        <v>9985</v>
      </c>
      <c r="D1769" s="201" t="s">
        <v>7614</v>
      </c>
      <c r="E1769" s="202" t="s">
        <v>9837</v>
      </c>
    </row>
    <row r="1770" spans="1:5">
      <c r="A1770" s="201">
        <v>42379</v>
      </c>
      <c r="B1770" s="201">
        <v>0</v>
      </c>
      <c r="C1770" s="201" t="s">
        <v>9986</v>
      </c>
      <c r="D1770" s="201" t="s">
        <v>7615</v>
      </c>
      <c r="E1770" s="202" t="s">
        <v>9838</v>
      </c>
    </row>
    <row r="1771" spans="1:5">
      <c r="A1771" s="201">
        <v>42380</v>
      </c>
      <c r="B1771" s="201">
        <v>0</v>
      </c>
      <c r="C1771" s="201" t="s">
        <v>7239</v>
      </c>
      <c r="D1771" s="201" t="s">
        <v>7616</v>
      </c>
      <c r="E1771" s="202" t="s">
        <v>7240</v>
      </c>
    </row>
    <row r="1772" spans="1:5">
      <c r="A1772" s="201">
        <v>42381</v>
      </c>
      <c r="B1772" s="201">
        <v>0</v>
      </c>
      <c r="C1772" s="201" t="s">
        <v>9987</v>
      </c>
      <c r="D1772" s="201" t="s">
        <v>7617</v>
      </c>
      <c r="E1772" s="202" t="s">
        <v>9839</v>
      </c>
    </row>
    <row r="1773" spans="1:5">
      <c r="A1773" s="201">
        <v>42382</v>
      </c>
      <c r="B1773" s="201">
        <v>0</v>
      </c>
      <c r="C1773" s="201" t="s">
        <v>9988</v>
      </c>
      <c r="D1773" s="201" t="s">
        <v>7618</v>
      </c>
      <c r="E1773" s="202" t="s">
        <v>9840</v>
      </c>
    </row>
    <row r="1774" spans="1:5">
      <c r="A1774" s="201">
        <v>42383</v>
      </c>
      <c r="B1774" s="201">
        <v>0</v>
      </c>
      <c r="C1774" s="201" t="s">
        <v>9989</v>
      </c>
      <c r="D1774" s="201" t="s">
        <v>7619</v>
      </c>
      <c r="E1774" s="202" t="s">
        <v>9841</v>
      </c>
    </row>
    <row r="1775" spans="1:5">
      <c r="A1775" s="201">
        <v>42384</v>
      </c>
      <c r="B1775" s="201">
        <v>0</v>
      </c>
      <c r="C1775" s="201" t="s">
        <v>9990</v>
      </c>
      <c r="D1775" s="201" t="s">
        <v>7620</v>
      </c>
      <c r="E1775" s="202" t="s">
        <v>9842</v>
      </c>
    </row>
    <row r="1776" spans="1:5">
      <c r="A1776" s="201">
        <v>42385</v>
      </c>
      <c r="B1776" s="201">
        <v>0</v>
      </c>
      <c r="C1776" s="201" t="s">
        <v>9991</v>
      </c>
      <c r="D1776" s="201" t="s">
        <v>7621</v>
      </c>
      <c r="E1776" s="202" t="s">
        <v>9843</v>
      </c>
    </row>
    <row r="1777" spans="1:5">
      <c r="A1777" s="201">
        <v>42386</v>
      </c>
      <c r="B1777" s="201">
        <v>0</v>
      </c>
      <c r="C1777" s="201" t="s">
        <v>9992</v>
      </c>
      <c r="D1777" s="201" t="s">
        <v>7622</v>
      </c>
      <c r="E1777" s="202" t="s">
        <v>9844</v>
      </c>
    </row>
    <row r="1778" spans="1:5">
      <c r="A1778" s="201">
        <v>42387</v>
      </c>
      <c r="B1778" s="201">
        <v>0</v>
      </c>
      <c r="C1778" s="201" t="s">
        <v>9993</v>
      </c>
      <c r="D1778" s="201" t="s">
        <v>7623</v>
      </c>
      <c r="E1778" s="202" t="s">
        <v>9845</v>
      </c>
    </row>
    <row r="1779" spans="1:5">
      <c r="A1779" s="201">
        <v>42388</v>
      </c>
      <c r="B1779" s="201">
        <v>0</v>
      </c>
      <c r="C1779" s="201" t="s">
        <v>9994</v>
      </c>
      <c r="D1779" s="201" t="s">
        <v>7624</v>
      </c>
      <c r="E1779" s="202" t="s">
        <v>9846</v>
      </c>
    </row>
    <row r="1780" spans="1:5">
      <c r="A1780" s="201">
        <v>42389</v>
      </c>
      <c r="B1780" s="201">
        <v>0</v>
      </c>
      <c r="C1780" s="201" t="s">
        <v>9995</v>
      </c>
      <c r="D1780" s="201" t="s">
        <v>7625</v>
      </c>
      <c r="E1780" s="202" t="s">
        <v>9847</v>
      </c>
    </row>
    <row r="1781" spans="1:5">
      <c r="A1781" s="201">
        <v>42390</v>
      </c>
      <c r="B1781" s="201">
        <v>0</v>
      </c>
      <c r="C1781" s="201" t="s">
        <v>9996</v>
      </c>
      <c r="D1781" s="201" t="s">
        <v>7626</v>
      </c>
      <c r="E1781" s="202" t="s">
        <v>9848</v>
      </c>
    </row>
    <row r="1782" spans="1:5">
      <c r="A1782" s="201">
        <v>42391</v>
      </c>
      <c r="B1782" s="201">
        <v>0</v>
      </c>
      <c r="C1782" s="201" t="s">
        <v>9997</v>
      </c>
      <c r="D1782" s="201" t="s">
        <v>7627</v>
      </c>
      <c r="E1782" s="202" t="s">
        <v>9849</v>
      </c>
    </row>
    <row r="1783" spans="1:5">
      <c r="A1783" s="201">
        <v>42392</v>
      </c>
      <c r="B1783" s="201">
        <v>0</v>
      </c>
      <c r="C1783" s="201" t="s">
        <v>9998</v>
      </c>
      <c r="D1783" s="201" t="s">
        <v>7628</v>
      </c>
      <c r="E1783" s="202" t="s">
        <v>9850</v>
      </c>
    </row>
    <row r="1784" spans="1:5">
      <c r="A1784" s="201">
        <v>42393</v>
      </c>
      <c r="B1784" s="201">
        <v>0</v>
      </c>
      <c r="C1784" s="201" t="s">
        <v>9999</v>
      </c>
      <c r="D1784" s="201" t="s">
        <v>7629</v>
      </c>
      <c r="E1784" s="202" t="s">
        <v>9851</v>
      </c>
    </row>
    <row r="1785" spans="1:5">
      <c r="A1785" s="201">
        <v>42394</v>
      </c>
      <c r="B1785" s="201">
        <v>0</v>
      </c>
      <c r="C1785" s="201" t="s">
        <v>10000</v>
      </c>
      <c r="D1785" s="201" t="s">
        <v>7630</v>
      </c>
      <c r="E1785" s="202" t="s">
        <v>9852</v>
      </c>
    </row>
    <row r="1786" spans="1:5">
      <c r="A1786" s="201">
        <v>42395</v>
      </c>
      <c r="B1786" s="201">
        <v>0</v>
      </c>
      <c r="C1786" s="201" t="s">
        <v>10001</v>
      </c>
      <c r="D1786" s="201" t="s">
        <v>7631</v>
      </c>
      <c r="E1786" s="202" t="s">
        <v>9853</v>
      </c>
    </row>
    <row r="1787" spans="1:5">
      <c r="A1787" s="201">
        <v>42396</v>
      </c>
      <c r="B1787" s="201">
        <v>0</v>
      </c>
      <c r="C1787" s="201" t="s">
        <v>10002</v>
      </c>
      <c r="D1787" s="201" t="s">
        <v>7632</v>
      </c>
      <c r="E1787" s="202" t="s">
        <v>9854</v>
      </c>
    </row>
    <row r="1788" spans="1:5">
      <c r="A1788" s="201">
        <v>42397</v>
      </c>
      <c r="B1788" s="201">
        <v>0</v>
      </c>
      <c r="C1788" s="201" t="s">
        <v>10003</v>
      </c>
      <c r="D1788" s="201" t="s">
        <v>7633</v>
      </c>
      <c r="E1788" s="202" t="s">
        <v>9855</v>
      </c>
    </row>
    <row r="1789" spans="1:5">
      <c r="A1789" s="201">
        <v>42398</v>
      </c>
      <c r="B1789" s="201">
        <v>0</v>
      </c>
      <c r="C1789" s="201" t="s">
        <v>10004</v>
      </c>
      <c r="D1789" s="201" t="s">
        <v>7634</v>
      </c>
      <c r="E1789" s="202" t="s">
        <v>9856</v>
      </c>
    </row>
    <row r="1790" spans="1:5">
      <c r="A1790" s="201">
        <v>42399</v>
      </c>
      <c r="B1790" s="201">
        <v>0</v>
      </c>
      <c r="C1790" s="201" t="s">
        <v>10005</v>
      </c>
      <c r="D1790" s="201" t="s">
        <v>7635</v>
      </c>
      <c r="E1790" s="202" t="s">
        <v>9857</v>
      </c>
    </row>
    <row r="1791" spans="1:5">
      <c r="A1791" s="201">
        <v>42400</v>
      </c>
      <c r="B1791" s="201">
        <v>0</v>
      </c>
      <c r="C1791" s="201" t="s">
        <v>9659</v>
      </c>
      <c r="D1791" s="201" t="s">
        <v>7636</v>
      </c>
      <c r="E1791" s="202" t="s">
        <v>9509</v>
      </c>
    </row>
    <row r="1792" spans="1:5">
      <c r="A1792" s="201">
        <v>42401</v>
      </c>
      <c r="B1792" s="201">
        <v>0</v>
      </c>
      <c r="C1792" s="201" t="s">
        <v>10006</v>
      </c>
      <c r="D1792" s="201" t="s">
        <v>7637</v>
      </c>
      <c r="E1792" s="202" t="s">
        <v>9858</v>
      </c>
    </row>
    <row r="1793" spans="1:5">
      <c r="A1793" s="201">
        <v>42402</v>
      </c>
      <c r="B1793" s="201">
        <v>0</v>
      </c>
      <c r="C1793" s="201" t="s">
        <v>10007</v>
      </c>
      <c r="D1793" s="201" t="s">
        <v>7638</v>
      </c>
      <c r="E1793" s="202" t="s">
        <v>9859</v>
      </c>
    </row>
    <row r="1794" spans="1:5">
      <c r="A1794" s="201">
        <v>42403</v>
      </c>
      <c r="B1794" s="201">
        <v>0</v>
      </c>
      <c r="C1794" s="201" t="s">
        <v>10008</v>
      </c>
      <c r="D1794" s="201" t="s">
        <v>7639</v>
      </c>
      <c r="E1794" s="202" t="s">
        <v>9860</v>
      </c>
    </row>
    <row r="1795" spans="1:5">
      <c r="A1795" s="201">
        <v>42404</v>
      </c>
      <c r="B1795" s="201">
        <v>0</v>
      </c>
      <c r="C1795" s="201" t="s">
        <v>10009</v>
      </c>
      <c r="D1795" s="201" t="s">
        <v>7640</v>
      </c>
      <c r="E1795" s="202" t="s">
        <v>9861</v>
      </c>
    </row>
    <row r="1796" spans="1:5">
      <c r="A1796" s="201">
        <v>42405</v>
      </c>
      <c r="B1796" s="201">
        <v>0</v>
      </c>
      <c r="C1796" s="201" t="s">
        <v>10010</v>
      </c>
      <c r="D1796" s="201" t="s">
        <v>7641</v>
      </c>
      <c r="E1796" s="202" t="s">
        <v>9862</v>
      </c>
    </row>
    <row r="1797" spans="1:5">
      <c r="A1797" s="201">
        <v>42406</v>
      </c>
      <c r="B1797" s="201">
        <v>0</v>
      </c>
      <c r="C1797" s="201" t="s">
        <v>10011</v>
      </c>
      <c r="D1797" s="201" t="s">
        <v>7642</v>
      </c>
      <c r="E1797" s="202" t="s">
        <v>9863</v>
      </c>
    </row>
    <row r="1798" spans="1:5">
      <c r="A1798" s="201">
        <v>42407</v>
      </c>
      <c r="B1798" s="201">
        <v>0</v>
      </c>
      <c r="C1798" s="201" t="s">
        <v>10012</v>
      </c>
      <c r="D1798" s="201" t="s">
        <v>7643</v>
      </c>
      <c r="E1798" s="202" t="s">
        <v>9864</v>
      </c>
    </row>
    <row r="1799" spans="1:5">
      <c r="A1799" s="201">
        <v>42408</v>
      </c>
      <c r="B1799" s="201">
        <v>0</v>
      </c>
      <c r="C1799" s="201" t="s">
        <v>10013</v>
      </c>
      <c r="D1799" s="201" t="s">
        <v>7644</v>
      </c>
      <c r="E1799" s="202" t="s">
        <v>9865</v>
      </c>
    </row>
    <row r="1800" spans="1:5">
      <c r="A1800" s="201">
        <v>42409</v>
      </c>
      <c r="B1800" s="201">
        <v>0</v>
      </c>
      <c r="C1800" s="201" t="s">
        <v>10014</v>
      </c>
      <c r="D1800" s="201" t="s">
        <v>7645</v>
      </c>
      <c r="E1800" s="202" t="s">
        <v>9866</v>
      </c>
    </row>
    <row r="1801" spans="1:5">
      <c r="A1801" s="201">
        <v>42410</v>
      </c>
      <c r="B1801" s="201">
        <v>0</v>
      </c>
      <c r="C1801" s="201" t="s">
        <v>10015</v>
      </c>
      <c r="D1801" s="201" t="s">
        <v>7646</v>
      </c>
      <c r="E1801" s="202" t="s">
        <v>9867</v>
      </c>
    </row>
    <row r="1802" spans="1:5">
      <c r="A1802" s="201">
        <v>42411</v>
      </c>
      <c r="B1802" s="201">
        <v>0</v>
      </c>
      <c r="C1802" s="201" t="s">
        <v>10016</v>
      </c>
      <c r="D1802" s="201" t="s">
        <v>7647</v>
      </c>
      <c r="E1802" s="202" t="s">
        <v>9868</v>
      </c>
    </row>
    <row r="1803" spans="1:5">
      <c r="A1803" s="201">
        <v>42412</v>
      </c>
      <c r="B1803" s="201">
        <v>0</v>
      </c>
      <c r="C1803" s="201" t="s">
        <v>10017</v>
      </c>
      <c r="D1803" s="201" t="s">
        <v>7648</v>
      </c>
      <c r="E1803" s="202" t="s">
        <v>9869</v>
      </c>
    </row>
    <row r="1804" spans="1:5">
      <c r="A1804" s="201">
        <v>42413</v>
      </c>
      <c r="B1804" s="201">
        <v>0</v>
      </c>
      <c r="C1804" s="201" t="s">
        <v>10018</v>
      </c>
      <c r="D1804" s="201" t="s">
        <v>7649</v>
      </c>
      <c r="E1804" s="202" t="s">
        <v>9870</v>
      </c>
    </row>
    <row r="1805" spans="1:5">
      <c r="A1805" s="201">
        <v>42414</v>
      </c>
      <c r="B1805" s="201">
        <v>0</v>
      </c>
      <c r="C1805" s="201" t="s">
        <v>10019</v>
      </c>
      <c r="D1805" s="201" t="s">
        <v>7650</v>
      </c>
      <c r="E1805" s="202" t="s">
        <v>9871</v>
      </c>
    </row>
    <row r="1806" spans="1:5">
      <c r="A1806" s="201">
        <v>42415</v>
      </c>
      <c r="B1806" s="201">
        <v>0</v>
      </c>
      <c r="C1806" s="201" t="s">
        <v>10020</v>
      </c>
      <c r="D1806" s="201" t="s">
        <v>7651</v>
      </c>
      <c r="E1806" s="202" t="s">
        <v>9872</v>
      </c>
    </row>
    <row r="1807" spans="1:5">
      <c r="A1807" s="201">
        <v>42416</v>
      </c>
      <c r="B1807" s="201">
        <v>0</v>
      </c>
      <c r="C1807" s="201" t="s">
        <v>10021</v>
      </c>
      <c r="D1807" s="201" t="s">
        <v>7652</v>
      </c>
      <c r="E1807" s="202" t="s">
        <v>9873</v>
      </c>
    </row>
    <row r="1808" spans="1:5">
      <c r="A1808" s="201">
        <v>42417</v>
      </c>
      <c r="B1808" s="201">
        <v>0</v>
      </c>
      <c r="C1808" s="201" t="s">
        <v>10022</v>
      </c>
      <c r="D1808" s="201" t="s">
        <v>7653</v>
      </c>
      <c r="E1808" s="202" t="s">
        <v>9874</v>
      </c>
    </row>
    <row r="1809" spans="1:5">
      <c r="A1809" s="201">
        <v>42418</v>
      </c>
      <c r="B1809" s="201">
        <v>0</v>
      </c>
      <c r="C1809" s="201" t="s">
        <v>10023</v>
      </c>
      <c r="D1809" s="201" t="s">
        <v>7654</v>
      </c>
      <c r="E1809" s="202" t="s">
        <v>9875</v>
      </c>
    </row>
    <row r="1810" spans="1:5">
      <c r="A1810" s="201">
        <v>42419</v>
      </c>
      <c r="B1810" s="201">
        <v>0</v>
      </c>
      <c r="C1810" s="201" t="s">
        <v>10024</v>
      </c>
      <c r="D1810" s="201" t="s">
        <v>7655</v>
      </c>
      <c r="E1810" s="202" t="s">
        <v>9876</v>
      </c>
    </row>
    <row r="1811" spans="1:5">
      <c r="A1811" s="201">
        <v>42420</v>
      </c>
      <c r="B1811" s="201">
        <v>0</v>
      </c>
      <c r="C1811" s="201" t="s">
        <v>10025</v>
      </c>
      <c r="D1811" s="201" t="s">
        <v>7656</v>
      </c>
      <c r="E1811" s="202" t="s">
        <v>9877</v>
      </c>
    </row>
    <row r="1812" spans="1:5">
      <c r="A1812" s="201">
        <v>42421</v>
      </c>
      <c r="B1812" s="201">
        <v>0</v>
      </c>
      <c r="C1812" s="201" t="s">
        <v>10026</v>
      </c>
      <c r="D1812" s="201" t="s">
        <v>7657</v>
      </c>
      <c r="E1812" s="202" t="s">
        <v>9878</v>
      </c>
    </row>
    <row r="1813" spans="1:5">
      <c r="A1813" s="201">
        <v>42422</v>
      </c>
      <c r="B1813" s="201">
        <v>0</v>
      </c>
      <c r="C1813" s="201" t="s">
        <v>10027</v>
      </c>
      <c r="D1813" s="201" t="s">
        <v>7658</v>
      </c>
      <c r="E1813" s="202" t="s">
        <v>9879</v>
      </c>
    </row>
    <row r="1814" spans="1:5">
      <c r="A1814" s="201">
        <v>42423</v>
      </c>
      <c r="B1814" s="201">
        <v>0</v>
      </c>
      <c r="C1814" s="201" t="s">
        <v>10028</v>
      </c>
      <c r="D1814" s="201" t="s">
        <v>7659</v>
      </c>
      <c r="E1814" s="202" t="s">
        <v>9880</v>
      </c>
    </row>
    <row r="1815" spans="1:5">
      <c r="A1815" s="201">
        <v>42424</v>
      </c>
      <c r="B1815" s="201">
        <v>0</v>
      </c>
      <c r="C1815" s="201" t="s">
        <v>10029</v>
      </c>
      <c r="D1815" s="201" t="s">
        <v>7660</v>
      </c>
      <c r="E1815" s="202" t="s">
        <v>9881</v>
      </c>
    </row>
    <row r="1816" spans="1:5">
      <c r="A1816" s="201">
        <v>42425</v>
      </c>
      <c r="B1816" s="201">
        <v>0</v>
      </c>
      <c r="C1816" s="201" t="s">
        <v>10030</v>
      </c>
      <c r="D1816" s="201" t="s">
        <v>7661</v>
      </c>
      <c r="E1816" s="202" t="s">
        <v>9882</v>
      </c>
    </row>
    <row r="1817" spans="1:5">
      <c r="A1817" s="201">
        <v>42426</v>
      </c>
      <c r="B1817" s="201">
        <v>0</v>
      </c>
      <c r="C1817" s="201" t="s">
        <v>10031</v>
      </c>
      <c r="D1817" s="201" t="s">
        <v>7662</v>
      </c>
      <c r="E1817" s="202" t="s">
        <v>9883</v>
      </c>
    </row>
    <row r="1818" spans="1:5">
      <c r="A1818" s="201">
        <v>42427</v>
      </c>
      <c r="B1818" s="201">
        <v>0</v>
      </c>
      <c r="C1818" s="201" t="s">
        <v>10032</v>
      </c>
      <c r="D1818" s="201" t="s">
        <v>7663</v>
      </c>
      <c r="E1818" s="202" t="s">
        <v>9884</v>
      </c>
    </row>
    <row r="1819" spans="1:5">
      <c r="A1819" s="201">
        <v>42428</v>
      </c>
      <c r="B1819" s="201">
        <v>0</v>
      </c>
      <c r="C1819" s="201" t="s">
        <v>10033</v>
      </c>
      <c r="D1819" s="201" t="s">
        <v>7664</v>
      </c>
      <c r="E1819" s="202" t="s">
        <v>9885</v>
      </c>
    </row>
    <row r="1820" spans="1:5">
      <c r="A1820" s="201">
        <v>42429</v>
      </c>
      <c r="B1820" s="201">
        <v>0</v>
      </c>
      <c r="C1820" s="201" t="s">
        <v>10034</v>
      </c>
      <c r="D1820" s="201" t="s">
        <v>7665</v>
      </c>
      <c r="E1820" s="202" t="s">
        <v>9886</v>
      </c>
    </row>
    <row r="1821" spans="1:5">
      <c r="A1821" s="201">
        <v>42430</v>
      </c>
      <c r="B1821" s="201">
        <v>0</v>
      </c>
      <c r="C1821" s="201" t="s">
        <v>10035</v>
      </c>
      <c r="D1821" s="201" t="s">
        <v>7666</v>
      </c>
      <c r="E1821" s="202" t="s">
        <v>9887</v>
      </c>
    </row>
    <row r="1822" spans="1:5">
      <c r="A1822" s="201">
        <v>42431</v>
      </c>
      <c r="B1822" s="201">
        <v>0</v>
      </c>
      <c r="C1822" s="201" t="s">
        <v>10036</v>
      </c>
      <c r="D1822" s="201" t="s">
        <v>7667</v>
      </c>
      <c r="E1822" s="202" t="s">
        <v>9888</v>
      </c>
    </row>
    <row r="1823" spans="1:5">
      <c r="A1823" s="201">
        <v>42432</v>
      </c>
      <c r="B1823" s="201">
        <v>0</v>
      </c>
      <c r="C1823" s="201" t="s">
        <v>10037</v>
      </c>
      <c r="D1823" s="201" t="s">
        <v>7668</v>
      </c>
      <c r="E1823" s="202" t="s">
        <v>9889</v>
      </c>
    </row>
    <row r="1824" spans="1:5">
      <c r="A1824" s="201">
        <v>42433</v>
      </c>
      <c r="B1824" s="201">
        <v>0</v>
      </c>
      <c r="C1824" s="201" t="s">
        <v>10038</v>
      </c>
      <c r="D1824" s="201" t="s">
        <v>7669</v>
      </c>
      <c r="E1824" s="202" t="s">
        <v>9890</v>
      </c>
    </row>
    <row r="1825" spans="1:5">
      <c r="A1825" s="201">
        <v>42434</v>
      </c>
      <c r="B1825" s="201">
        <v>0</v>
      </c>
      <c r="C1825" s="201" t="s">
        <v>10039</v>
      </c>
      <c r="D1825" s="201" t="s">
        <v>7670</v>
      </c>
      <c r="E1825" s="202" t="s">
        <v>9891</v>
      </c>
    </row>
    <row r="1826" spans="1:5">
      <c r="A1826" s="201">
        <v>42435</v>
      </c>
      <c r="B1826" s="201">
        <v>0</v>
      </c>
      <c r="C1826" s="201" t="s">
        <v>10040</v>
      </c>
      <c r="D1826" s="201" t="s">
        <v>7671</v>
      </c>
      <c r="E1826" s="202" t="s">
        <v>9892</v>
      </c>
    </row>
    <row r="1827" spans="1:5">
      <c r="A1827" s="201">
        <v>42436</v>
      </c>
      <c r="B1827" s="201">
        <v>0</v>
      </c>
      <c r="C1827" s="201" t="s">
        <v>10041</v>
      </c>
      <c r="D1827" s="201" t="s">
        <v>7672</v>
      </c>
      <c r="E1827" s="202" t="s">
        <v>9893</v>
      </c>
    </row>
    <row r="1828" spans="1:5">
      <c r="A1828" s="201">
        <v>42437</v>
      </c>
      <c r="B1828" s="201">
        <v>0</v>
      </c>
      <c r="C1828" s="201" t="s">
        <v>10042</v>
      </c>
      <c r="D1828" s="201" t="s">
        <v>7673</v>
      </c>
      <c r="E1828" s="202" t="s">
        <v>9894</v>
      </c>
    </row>
    <row r="1829" spans="1:5">
      <c r="A1829" s="201">
        <v>42438</v>
      </c>
      <c r="B1829" s="201">
        <v>0</v>
      </c>
      <c r="C1829" s="201" t="s">
        <v>10043</v>
      </c>
      <c r="D1829" s="201" t="s">
        <v>7674</v>
      </c>
      <c r="E1829" s="202" t="s">
        <v>9895</v>
      </c>
    </row>
    <row r="1830" spans="1:5">
      <c r="A1830" s="201">
        <v>42439</v>
      </c>
      <c r="B1830" s="201">
        <v>0</v>
      </c>
      <c r="C1830" s="201" t="s">
        <v>10044</v>
      </c>
      <c r="D1830" s="201" t="s">
        <v>7675</v>
      </c>
      <c r="E1830" s="202" t="s">
        <v>9896</v>
      </c>
    </row>
    <row r="1831" spans="1:5">
      <c r="A1831" s="201">
        <v>42440</v>
      </c>
      <c r="B1831" s="201">
        <v>0</v>
      </c>
      <c r="C1831" s="201" t="s">
        <v>10045</v>
      </c>
      <c r="D1831" s="201" t="s">
        <v>7676</v>
      </c>
      <c r="E1831" s="202" t="s">
        <v>9897</v>
      </c>
    </row>
    <row r="1832" spans="1:5">
      <c r="A1832" s="201">
        <v>42441</v>
      </c>
      <c r="B1832" s="201">
        <v>0</v>
      </c>
      <c r="C1832" s="201" t="s">
        <v>10046</v>
      </c>
      <c r="D1832" s="201" t="s">
        <v>7677</v>
      </c>
      <c r="E1832" s="202" t="s">
        <v>9898</v>
      </c>
    </row>
    <row r="1833" spans="1:5">
      <c r="A1833" s="201">
        <v>42442</v>
      </c>
      <c r="B1833" s="201">
        <v>0</v>
      </c>
      <c r="C1833" s="201" t="s">
        <v>10047</v>
      </c>
      <c r="D1833" s="201" t="s">
        <v>7678</v>
      </c>
      <c r="E1833" s="202" t="s">
        <v>9899</v>
      </c>
    </row>
    <row r="1834" spans="1:5">
      <c r="A1834" s="201">
        <v>42443</v>
      </c>
      <c r="B1834" s="201">
        <v>0</v>
      </c>
      <c r="C1834" s="201" t="s">
        <v>10048</v>
      </c>
      <c r="D1834" s="201" t="s">
        <v>7679</v>
      </c>
      <c r="E1834" s="202" t="s">
        <v>9900</v>
      </c>
    </row>
    <row r="1835" spans="1:5">
      <c r="A1835" s="201">
        <v>42444</v>
      </c>
      <c r="B1835" s="201">
        <v>0</v>
      </c>
      <c r="C1835" s="201" t="s">
        <v>10049</v>
      </c>
      <c r="D1835" s="201" t="s">
        <v>7680</v>
      </c>
      <c r="E1835" s="202" t="s">
        <v>9901</v>
      </c>
    </row>
    <row r="1836" spans="1:5">
      <c r="A1836" s="201">
        <v>42445</v>
      </c>
      <c r="B1836" s="201">
        <v>0</v>
      </c>
      <c r="C1836" s="201" t="s">
        <v>10050</v>
      </c>
      <c r="D1836" s="201" t="s">
        <v>7681</v>
      </c>
      <c r="E1836" s="202" t="s">
        <v>9902</v>
      </c>
    </row>
    <row r="1837" spans="1:5">
      <c r="A1837" s="201">
        <v>42446</v>
      </c>
      <c r="B1837" s="201">
        <v>0</v>
      </c>
      <c r="C1837" s="201" t="s">
        <v>10051</v>
      </c>
      <c r="D1837" s="201" t="s">
        <v>7682</v>
      </c>
      <c r="E1837" s="202" t="s">
        <v>9903</v>
      </c>
    </row>
    <row r="1838" spans="1:5">
      <c r="A1838" s="201">
        <v>42447</v>
      </c>
      <c r="B1838" s="201">
        <v>0</v>
      </c>
      <c r="C1838" s="201" t="s">
        <v>10052</v>
      </c>
      <c r="D1838" s="201" t="s">
        <v>7683</v>
      </c>
      <c r="E1838" s="202" t="s">
        <v>9904</v>
      </c>
    </row>
    <row r="1839" spans="1:5">
      <c r="A1839" s="201">
        <v>42448</v>
      </c>
      <c r="B1839" s="201">
        <v>0</v>
      </c>
      <c r="C1839" s="201" t="s">
        <v>10053</v>
      </c>
      <c r="D1839" s="201" t="s">
        <v>7684</v>
      </c>
      <c r="E1839" s="202" t="s">
        <v>9905</v>
      </c>
    </row>
    <row r="1840" spans="1:5">
      <c r="A1840" s="201">
        <v>42449</v>
      </c>
      <c r="B1840" s="201">
        <v>0</v>
      </c>
      <c r="C1840" s="201" t="s">
        <v>10054</v>
      </c>
      <c r="D1840" s="201" t="s">
        <v>7685</v>
      </c>
      <c r="E1840" s="202" t="s">
        <v>9906</v>
      </c>
    </row>
    <row r="1841" spans="1:5">
      <c r="A1841" s="201">
        <v>42450</v>
      </c>
      <c r="B1841" s="201">
        <v>0</v>
      </c>
      <c r="C1841" s="201" t="s">
        <v>10055</v>
      </c>
      <c r="D1841" s="201" t="s">
        <v>7686</v>
      </c>
      <c r="E1841" s="202" t="s">
        <v>9907</v>
      </c>
    </row>
    <row r="1842" spans="1:5">
      <c r="A1842" s="165">
        <v>42701</v>
      </c>
      <c r="B1842" s="165">
        <v>0</v>
      </c>
      <c r="C1842" s="165" t="s">
        <v>9611</v>
      </c>
      <c r="D1842" s="165" t="s">
        <v>14408</v>
      </c>
      <c r="E1842" s="166" t="s">
        <v>9461</v>
      </c>
    </row>
    <row r="1843" spans="1:5">
      <c r="A1843" s="165">
        <v>42702</v>
      </c>
      <c r="B1843" s="165">
        <v>0</v>
      </c>
      <c r="C1843" s="165" t="s">
        <v>9613</v>
      </c>
      <c r="D1843" s="165" t="s">
        <v>14409</v>
      </c>
      <c r="E1843" s="166" t="s">
        <v>9463</v>
      </c>
    </row>
    <row r="1844" spans="1:5">
      <c r="A1844" s="165">
        <v>42703</v>
      </c>
      <c r="B1844" s="165">
        <v>0</v>
      </c>
      <c r="C1844" s="165" t="s">
        <v>9615</v>
      </c>
      <c r="D1844" s="165" t="s">
        <v>14410</v>
      </c>
      <c r="E1844" s="166" t="s">
        <v>9465</v>
      </c>
    </row>
    <row r="1845" spans="1:5">
      <c r="A1845" s="165">
        <v>42704</v>
      </c>
      <c r="B1845" s="165">
        <v>0</v>
      </c>
      <c r="C1845" s="165" t="s">
        <v>9617</v>
      </c>
      <c r="D1845" s="165" t="s">
        <v>14411</v>
      </c>
      <c r="E1845" s="166" t="s">
        <v>9467</v>
      </c>
    </row>
    <row r="1846" spans="1:5">
      <c r="A1846" s="165">
        <v>42705</v>
      </c>
      <c r="B1846" s="165">
        <v>0</v>
      </c>
      <c r="C1846" s="165" t="s">
        <v>9619</v>
      </c>
      <c r="D1846" s="165" t="s">
        <v>14412</v>
      </c>
      <c r="E1846" s="166" t="s">
        <v>9469</v>
      </c>
    </row>
    <row r="1847" spans="1:5">
      <c r="A1847" s="165">
        <v>42706</v>
      </c>
      <c r="B1847" s="165">
        <v>0</v>
      </c>
      <c r="C1847" s="165" t="s">
        <v>9621</v>
      </c>
      <c r="D1847" s="165" t="s">
        <v>14413</v>
      </c>
      <c r="E1847" s="166" t="s">
        <v>9471</v>
      </c>
    </row>
    <row r="1848" spans="1:5">
      <c r="A1848" s="165">
        <v>42707</v>
      </c>
      <c r="B1848" s="165">
        <v>0</v>
      </c>
      <c r="C1848" s="165" t="s">
        <v>9623</v>
      </c>
      <c r="D1848" s="165" t="s">
        <v>14414</v>
      </c>
      <c r="E1848" s="166" t="s">
        <v>9473</v>
      </c>
    </row>
    <row r="1849" spans="1:5">
      <c r="A1849" s="165">
        <v>42708</v>
      </c>
      <c r="B1849" s="165">
        <v>0</v>
      </c>
      <c r="C1849" s="165" t="s">
        <v>9625</v>
      </c>
      <c r="D1849" s="165" t="s">
        <v>14415</v>
      </c>
      <c r="E1849" s="166" t="s">
        <v>9475</v>
      </c>
    </row>
    <row r="1850" spans="1:5">
      <c r="A1850" s="165">
        <v>42709</v>
      </c>
      <c r="B1850" s="165">
        <v>0</v>
      </c>
      <c r="C1850" s="165" t="s">
        <v>9627</v>
      </c>
      <c r="D1850" s="165" t="s">
        <v>14416</v>
      </c>
      <c r="E1850" s="166" t="s">
        <v>9477</v>
      </c>
    </row>
    <row r="1851" spans="1:5">
      <c r="A1851" s="165">
        <v>42710</v>
      </c>
      <c r="B1851" s="165">
        <v>0</v>
      </c>
      <c r="C1851" s="165" t="s">
        <v>9629</v>
      </c>
      <c r="D1851" s="165" t="s">
        <v>14417</v>
      </c>
      <c r="E1851" s="166" t="s">
        <v>9479</v>
      </c>
    </row>
    <row r="1852" spans="1:5">
      <c r="A1852" s="165">
        <v>42711</v>
      </c>
      <c r="B1852" s="165">
        <v>0</v>
      </c>
      <c r="C1852" s="165" t="s">
        <v>9631</v>
      </c>
      <c r="D1852" s="165" t="s">
        <v>14418</v>
      </c>
      <c r="E1852" s="166" t="s">
        <v>9481</v>
      </c>
    </row>
    <row r="1853" spans="1:5">
      <c r="A1853" s="165">
        <v>42712</v>
      </c>
      <c r="B1853" s="165">
        <v>0</v>
      </c>
      <c r="C1853" s="165" t="s">
        <v>9633</v>
      </c>
      <c r="D1853" s="165" t="s">
        <v>14419</v>
      </c>
      <c r="E1853" s="166" t="s">
        <v>9483</v>
      </c>
    </row>
    <row r="1854" spans="1:5">
      <c r="A1854" s="165">
        <v>42713</v>
      </c>
      <c r="B1854" s="165">
        <v>0</v>
      </c>
      <c r="C1854" s="165" t="s">
        <v>9635</v>
      </c>
      <c r="D1854" s="165" t="s">
        <v>14420</v>
      </c>
      <c r="E1854" s="166" t="s">
        <v>9485</v>
      </c>
    </row>
    <row r="1855" spans="1:5">
      <c r="A1855" s="165">
        <v>42714</v>
      </c>
      <c r="B1855" s="165">
        <v>0</v>
      </c>
      <c r="C1855" s="165" t="s">
        <v>9637</v>
      </c>
      <c r="D1855" s="165" t="s">
        <v>14421</v>
      </c>
      <c r="E1855" s="166" t="s">
        <v>9487</v>
      </c>
    </row>
    <row r="1856" spans="1:5">
      <c r="A1856" s="165">
        <v>42715</v>
      </c>
      <c r="B1856" s="165">
        <v>0</v>
      </c>
      <c r="C1856" s="165" t="s">
        <v>9639</v>
      </c>
      <c r="D1856" s="165" t="s">
        <v>14422</v>
      </c>
      <c r="E1856" s="166" t="s">
        <v>9489</v>
      </c>
    </row>
    <row r="1857" spans="1:5">
      <c r="A1857" s="165">
        <v>42716</v>
      </c>
      <c r="B1857" s="165">
        <v>0</v>
      </c>
      <c r="C1857" s="165" t="s">
        <v>9641</v>
      </c>
      <c r="D1857" s="165" t="s">
        <v>14423</v>
      </c>
      <c r="E1857" s="166" t="s">
        <v>9491</v>
      </c>
    </row>
    <row r="1858" spans="1:5">
      <c r="A1858" s="165">
        <v>42717</v>
      </c>
      <c r="B1858" s="165">
        <v>0</v>
      </c>
      <c r="C1858" s="165" t="s">
        <v>9643</v>
      </c>
      <c r="D1858" s="165" t="s">
        <v>14424</v>
      </c>
      <c r="E1858" s="166" t="s">
        <v>9493</v>
      </c>
    </row>
    <row r="1859" spans="1:5">
      <c r="A1859" s="165">
        <v>42718</v>
      </c>
      <c r="B1859" s="165">
        <v>0</v>
      </c>
      <c r="C1859" s="165" t="s">
        <v>9645</v>
      </c>
      <c r="D1859" s="165" t="s">
        <v>14425</v>
      </c>
      <c r="E1859" s="166" t="s">
        <v>9495</v>
      </c>
    </row>
    <row r="1860" spans="1:5">
      <c r="A1860" s="165">
        <v>42719</v>
      </c>
      <c r="B1860" s="165">
        <v>0</v>
      </c>
      <c r="C1860" s="165" t="s">
        <v>9647</v>
      </c>
      <c r="D1860" s="165" t="s">
        <v>14426</v>
      </c>
      <c r="E1860" s="166" t="s">
        <v>9497</v>
      </c>
    </row>
    <row r="1861" spans="1:5">
      <c r="A1861" s="165">
        <v>42720</v>
      </c>
      <c r="B1861" s="165">
        <v>0</v>
      </c>
      <c r="C1861" s="165" t="s">
        <v>9649</v>
      </c>
      <c r="D1861" s="165" t="s">
        <v>14427</v>
      </c>
      <c r="E1861" s="166" t="s">
        <v>9499</v>
      </c>
    </row>
    <row r="1862" spans="1:5">
      <c r="A1862" s="165">
        <v>42721</v>
      </c>
      <c r="B1862" s="165">
        <v>0</v>
      </c>
      <c r="C1862" s="165" t="s">
        <v>9651</v>
      </c>
      <c r="D1862" s="165" t="s">
        <v>14428</v>
      </c>
      <c r="E1862" s="166" t="s">
        <v>9501</v>
      </c>
    </row>
    <row r="1863" spans="1:5">
      <c r="A1863" s="165">
        <v>42722</v>
      </c>
      <c r="B1863" s="165">
        <v>0</v>
      </c>
      <c r="C1863" s="165" t="s">
        <v>9653</v>
      </c>
      <c r="D1863" s="165" t="s">
        <v>14429</v>
      </c>
      <c r="E1863" s="166" t="s">
        <v>9503</v>
      </c>
    </row>
    <row r="1864" spans="1:5">
      <c r="A1864" s="165">
        <v>42723</v>
      </c>
      <c r="B1864" s="165">
        <v>0</v>
      </c>
      <c r="C1864" s="165" t="s">
        <v>9655</v>
      </c>
      <c r="D1864" s="165" t="s">
        <v>14430</v>
      </c>
      <c r="E1864" s="166" t="s">
        <v>9505</v>
      </c>
    </row>
    <row r="1865" spans="1:5">
      <c r="A1865" s="165">
        <v>42724</v>
      </c>
      <c r="B1865" s="165">
        <v>0</v>
      </c>
      <c r="C1865" s="165" t="s">
        <v>9657</v>
      </c>
      <c r="D1865" s="165" t="s">
        <v>14431</v>
      </c>
      <c r="E1865" s="166" t="s">
        <v>9507</v>
      </c>
    </row>
    <row r="1866" spans="1:5">
      <c r="A1866" s="165">
        <v>42725</v>
      </c>
      <c r="B1866" s="165">
        <v>0</v>
      </c>
      <c r="C1866" s="165" t="s">
        <v>9659</v>
      </c>
      <c r="D1866" s="165" t="s">
        <v>14432</v>
      </c>
      <c r="E1866" s="166" t="s">
        <v>9509</v>
      </c>
    </row>
    <row r="1867" spans="1:5">
      <c r="A1867" s="165">
        <v>42726</v>
      </c>
      <c r="B1867" s="165">
        <v>0</v>
      </c>
      <c r="C1867" s="165" t="s">
        <v>9661</v>
      </c>
      <c r="D1867" s="165" t="s">
        <v>14433</v>
      </c>
      <c r="E1867" s="166" t="s">
        <v>9511</v>
      </c>
    </row>
    <row r="1868" spans="1:5">
      <c r="A1868" s="165">
        <v>42727</v>
      </c>
      <c r="B1868" s="165">
        <v>0</v>
      </c>
      <c r="C1868" s="165" t="s">
        <v>9663</v>
      </c>
      <c r="D1868" s="165" t="s">
        <v>14434</v>
      </c>
      <c r="E1868" s="166" t="s">
        <v>9513</v>
      </c>
    </row>
    <row r="1869" spans="1:5">
      <c r="A1869" s="165">
        <v>42728</v>
      </c>
      <c r="B1869" s="165">
        <v>0</v>
      </c>
      <c r="C1869" s="165" t="s">
        <v>9665</v>
      </c>
      <c r="D1869" s="165" t="s">
        <v>14435</v>
      </c>
      <c r="E1869" s="166" t="s">
        <v>9515</v>
      </c>
    </row>
    <row r="1870" spans="1:5">
      <c r="A1870" s="165">
        <v>42729</v>
      </c>
      <c r="B1870" s="165">
        <v>0</v>
      </c>
      <c r="C1870" s="165" t="s">
        <v>9667</v>
      </c>
      <c r="D1870" s="165" t="s">
        <v>14436</v>
      </c>
      <c r="E1870" s="166" t="s">
        <v>9517</v>
      </c>
    </row>
    <row r="1871" spans="1:5">
      <c r="A1871" s="165">
        <v>42730</v>
      </c>
      <c r="B1871" s="165">
        <v>0</v>
      </c>
      <c r="C1871" s="165" t="s">
        <v>9669</v>
      </c>
      <c r="D1871" s="165" t="s">
        <v>14437</v>
      </c>
      <c r="E1871" s="166" t="s">
        <v>9519</v>
      </c>
    </row>
    <row r="1872" spans="1:5">
      <c r="A1872" s="165">
        <v>42731</v>
      </c>
      <c r="B1872" s="165">
        <v>0</v>
      </c>
      <c r="C1872" s="165" t="s">
        <v>9671</v>
      </c>
      <c r="D1872" s="165" t="s">
        <v>14438</v>
      </c>
      <c r="E1872" s="166" t="s">
        <v>9521</v>
      </c>
    </row>
    <row r="1873" spans="1:5">
      <c r="A1873" s="165">
        <v>42732</v>
      </c>
      <c r="B1873" s="165">
        <v>0</v>
      </c>
      <c r="C1873" s="165" t="s">
        <v>9673</v>
      </c>
      <c r="D1873" s="165" t="s">
        <v>14439</v>
      </c>
      <c r="E1873" s="166" t="s">
        <v>9523</v>
      </c>
    </row>
    <row r="1874" spans="1:5">
      <c r="A1874" s="165">
        <v>42733</v>
      </c>
      <c r="B1874" s="165">
        <v>0</v>
      </c>
      <c r="C1874" s="165" t="s">
        <v>9675</v>
      </c>
      <c r="D1874" s="165" t="s">
        <v>14440</v>
      </c>
      <c r="E1874" s="166" t="s">
        <v>9525</v>
      </c>
    </row>
    <row r="1875" spans="1:5">
      <c r="A1875" s="165">
        <v>42734</v>
      </c>
      <c r="B1875" s="165">
        <v>0</v>
      </c>
      <c r="C1875" s="165" t="s">
        <v>9677</v>
      </c>
      <c r="D1875" s="165" t="s">
        <v>14441</v>
      </c>
      <c r="E1875" s="166" t="s">
        <v>9527</v>
      </c>
    </row>
    <row r="1876" spans="1:5">
      <c r="A1876" s="165">
        <v>42735</v>
      </c>
      <c r="B1876" s="165">
        <v>0</v>
      </c>
      <c r="C1876" s="165" t="s">
        <v>9679</v>
      </c>
      <c r="D1876" s="165" t="s">
        <v>14442</v>
      </c>
      <c r="E1876" s="166" t="s">
        <v>9529</v>
      </c>
    </row>
    <row r="1877" spans="1:5">
      <c r="A1877" s="165">
        <v>42736</v>
      </c>
      <c r="B1877" s="165">
        <v>0</v>
      </c>
      <c r="C1877" s="165" t="s">
        <v>9681</v>
      </c>
      <c r="D1877" s="165" t="s">
        <v>14443</v>
      </c>
      <c r="E1877" s="166" t="s">
        <v>9531</v>
      </c>
    </row>
    <row r="1878" spans="1:5">
      <c r="A1878" s="165">
        <v>42737</v>
      </c>
      <c r="B1878" s="165">
        <v>0</v>
      </c>
      <c r="C1878" s="165" t="s">
        <v>9683</v>
      </c>
      <c r="D1878" s="165" t="s">
        <v>14444</v>
      </c>
      <c r="E1878" s="166" t="s">
        <v>9533</v>
      </c>
    </row>
    <row r="1879" spans="1:5">
      <c r="A1879" s="165">
        <v>42738</v>
      </c>
      <c r="B1879" s="165">
        <v>0</v>
      </c>
      <c r="C1879" s="165" t="s">
        <v>9685</v>
      </c>
      <c r="D1879" s="165" t="s">
        <v>14445</v>
      </c>
      <c r="E1879" s="166" t="s">
        <v>9535</v>
      </c>
    </row>
    <row r="1880" spans="1:5">
      <c r="A1880" s="165">
        <v>42739</v>
      </c>
      <c r="B1880" s="165">
        <v>0</v>
      </c>
      <c r="C1880" s="165" t="s">
        <v>9687</v>
      </c>
      <c r="D1880" s="165" t="s">
        <v>14446</v>
      </c>
      <c r="E1880" s="166" t="s">
        <v>9537</v>
      </c>
    </row>
    <row r="1881" spans="1:5">
      <c r="A1881" s="165">
        <v>42740</v>
      </c>
      <c r="B1881" s="165">
        <v>0</v>
      </c>
      <c r="C1881" s="165" t="s">
        <v>9689</v>
      </c>
      <c r="D1881" s="165" t="s">
        <v>14447</v>
      </c>
      <c r="E1881" s="166" t="s">
        <v>9539</v>
      </c>
    </row>
    <row r="1882" spans="1:5">
      <c r="A1882" s="165">
        <v>42741</v>
      </c>
      <c r="B1882" s="165">
        <v>0</v>
      </c>
      <c r="C1882" s="165" t="s">
        <v>9691</v>
      </c>
      <c r="D1882" s="165" t="s">
        <v>14448</v>
      </c>
      <c r="E1882" s="166" t="s">
        <v>9541</v>
      </c>
    </row>
    <row r="1883" spans="1:5">
      <c r="A1883" s="165">
        <v>42742</v>
      </c>
      <c r="B1883" s="165">
        <v>0</v>
      </c>
      <c r="C1883" s="165" t="s">
        <v>9693</v>
      </c>
      <c r="D1883" s="165" t="s">
        <v>14449</v>
      </c>
      <c r="E1883" s="166" t="s">
        <v>9543</v>
      </c>
    </row>
    <row r="1884" spans="1:5">
      <c r="A1884" s="165">
        <v>42743</v>
      </c>
      <c r="B1884" s="165">
        <v>0</v>
      </c>
      <c r="C1884" s="165" t="s">
        <v>9695</v>
      </c>
      <c r="D1884" s="165" t="s">
        <v>14450</v>
      </c>
      <c r="E1884" s="166" t="s">
        <v>9545</v>
      </c>
    </row>
    <row r="1885" spans="1:5">
      <c r="A1885" s="165">
        <v>42744</v>
      </c>
      <c r="B1885" s="165">
        <v>0</v>
      </c>
      <c r="C1885" s="165" t="s">
        <v>9697</v>
      </c>
      <c r="D1885" s="165" t="s">
        <v>14451</v>
      </c>
      <c r="E1885" s="166" t="s">
        <v>9547</v>
      </c>
    </row>
    <row r="1886" spans="1:5">
      <c r="A1886" s="165">
        <v>42745</v>
      </c>
      <c r="B1886" s="165">
        <v>0</v>
      </c>
      <c r="C1886" s="165" t="s">
        <v>9699</v>
      </c>
      <c r="D1886" s="165" t="s">
        <v>14452</v>
      </c>
      <c r="E1886" s="166" t="s">
        <v>9549</v>
      </c>
    </row>
    <row r="1887" spans="1:5">
      <c r="A1887" s="165">
        <v>42746</v>
      </c>
      <c r="B1887" s="165">
        <v>0</v>
      </c>
      <c r="C1887" s="165" t="s">
        <v>9701</v>
      </c>
      <c r="D1887" s="165" t="s">
        <v>14453</v>
      </c>
      <c r="E1887" s="166" t="s">
        <v>9551</v>
      </c>
    </row>
    <row r="1888" spans="1:5">
      <c r="A1888" s="165">
        <v>42747</v>
      </c>
      <c r="B1888" s="165">
        <v>0</v>
      </c>
      <c r="C1888" s="165" t="s">
        <v>9703</v>
      </c>
      <c r="D1888" s="165" t="s">
        <v>14454</v>
      </c>
      <c r="E1888" s="166" t="s">
        <v>9553</v>
      </c>
    </row>
    <row r="1889" spans="1:5">
      <c r="A1889" s="165">
        <v>42748</v>
      </c>
      <c r="B1889" s="165">
        <v>0</v>
      </c>
      <c r="C1889" s="165" t="s">
        <v>9705</v>
      </c>
      <c r="D1889" s="165" t="s">
        <v>14455</v>
      </c>
      <c r="E1889" s="166" t="s">
        <v>9555</v>
      </c>
    </row>
    <row r="1890" spans="1:5">
      <c r="A1890" s="165">
        <v>42749</v>
      </c>
      <c r="B1890" s="165">
        <v>0</v>
      </c>
      <c r="C1890" s="165" t="s">
        <v>9707</v>
      </c>
      <c r="D1890" s="165" t="s">
        <v>14456</v>
      </c>
      <c r="E1890" s="166" t="s">
        <v>9557</v>
      </c>
    </row>
    <row r="1891" spans="1:5">
      <c r="A1891" s="165">
        <v>42750</v>
      </c>
      <c r="B1891" s="165">
        <v>0</v>
      </c>
      <c r="C1891" s="165" t="s">
        <v>9709</v>
      </c>
      <c r="D1891" s="165" t="s">
        <v>14457</v>
      </c>
      <c r="E1891" s="166" t="s">
        <v>9559</v>
      </c>
    </row>
    <row r="1892" spans="1:5">
      <c r="A1892" s="165">
        <v>42751</v>
      </c>
      <c r="B1892" s="165">
        <v>0</v>
      </c>
      <c r="C1892" s="165" t="s">
        <v>9711</v>
      </c>
      <c r="D1892" s="165" t="s">
        <v>14458</v>
      </c>
      <c r="E1892" s="166" t="s">
        <v>9561</v>
      </c>
    </row>
    <row r="1893" spans="1:5">
      <c r="A1893" s="165">
        <v>42752</v>
      </c>
      <c r="B1893" s="165">
        <v>0</v>
      </c>
      <c r="C1893" s="165" t="s">
        <v>9713</v>
      </c>
      <c r="D1893" s="165" t="s">
        <v>14459</v>
      </c>
      <c r="E1893" s="166" t="s">
        <v>9563</v>
      </c>
    </row>
    <row r="1894" spans="1:5">
      <c r="A1894" s="165">
        <v>42753</v>
      </c>
      <c r="B1894" s="165">
        <v>0</v>
      </c>
      <c r="C1894" s="165" t="s">
        <v>9715</v>
      </c>
      <c r="D1894" s="165" t="s">
        <v>14460</v>
      </c>
      <c r="E1894" s="166" t="s">
        <v>9565</v>
      </c>
    </row>
    <row r="1895" spans="1:5">
      <c r="A1895" s="165">
        <v>42754</v>
      </c>
      <c r="B1895" s="165">
        <v>0</v>
      </c>
      <c r="C1895" s="165" t="s">
        <v>9717</v>
      </c>
      <c r="D1895" s="165" t="s">
        <v>14461</v>
      </c>
      <c r="E1895" s="166" t="s">
        <v>9567</v>
      </c>
    </row>
    <row r="1896" spans="1:5">
      <c r="A1896" s="165">
        <v>42755</v>
      </c>
      <c r="B1896" s="165">
        <v>0</v>
      </c>
      <c r="C1896" s="165" t="s">
        <v>9719</v>
      </c>
      <c r="D1896" s="165" t="s">
        <v>14462</v>
      </c>
      <c r="E1896" s="166" t="s">
        <v>9569</v>
      </c>
    </row>
    <row r="1897" spans="1:5">
      <c r="A1897" s="165">
        <v>42756</v>
      </c>
      <c r="B1897" s="165">
        <v>0</v>
      </c>
      <c r="C1897" s="165" t="s">
        <v>9721</v>
      </c>
      <c r="D1897" s="165" t="s">
        <v>14463</v>
      </c>
      <c r="E1897" s="166" t="s">
        <v>9571</v>
      </c>
    </row>
    <row r="1898" spans="1:5">
      <c r="A1898" s="165">
        <v>42757</v>
      </c>
      <c r="B1898" s="165">
        <v>0</v>
      </c>
      <c r="C1898" s="165" t="s">
        <v>9723</v>
      </c>
      <c r="D1898" s="165" t="s">
        <v>14464</v>
      </c>
      <c r="E1898" s="166" t="s">
        <v>9573</v>
      </c>
    </row>
    <row r="1899" spans="1:5">
      <c r="A1899" s="165">
        <v>42758</v>
      </c>
      <c r="B1899" s="165">
        <v>0</v>
      </c>
      <c r="C1899" s="165" t="s">
        <v>9725</v>
      </c>
      <c r="D1899" s="165" t="s">
        <v>14465</v>
      </c>
      <c r="E1899" s="166" t="s">
        <v>9575</v>
      </c>
    </row>
    <row r="1900" spans="1:5">
      <c r="A1900" s="165">
        <v>42759</v>
      </c>
      <c r="B1900" s="165">
        <v>0</v>
      </c>
      <c r="C1900" s="165" t="s">
        <v>9727</v>
      </c>
      <c r="D1900" s="165" t="s">
        <v>14466</v>
      </c>
      <c r="E1900" s="166" t="s">
        <v>9577</v>
      </c>
    </row>
    <row r="1901" spans="1:5">
      <c r="A1901" s="165">
        <v>42760</v>
      </c>
      <c r="B1901" s="165">
        <v>0</v>
      </c>
      <c r="C1901" s="165" t="s">
        <v>9729</v>
      </c>
      <c r="D1901" s="165" t="s">
        <v>14467</v>
      </c>
      <c r="E1901" s="166" t="s">
        <v>9579</v>
      </c>
    </row>
    <row r="1902" spans="1:5">
      <c r="A1902" s="165">
        <v>42761</v>
      </c>
      <c r="B1902" s="165">
        <v>0</v>
      </c>
      <c r="C1902" s="165" t="s">
        <v>9731</v>
      </c>
      <c r="D1902" s="165" t="s">
        <v>14468</v>
      </c>
      <c r="E1902" s="166" t="s">
        <v>9581</v>
      </c>
    </row>
    <row r="1903" spans="1:5">
      <c r="A1903" s="165">
        <v>42762</v>
      </c>
      <c r="B1903" s="165">
        <v>0</v>
      </c>
      <c r="C1903" s="165" t="s">
        <v>9733</v>
      </c>
      <c r="D1903" s="165" t="s">
        <v>14469</v>
      </c>
      <c r="E1903" s="166" t="s">
        <v>9583</v>
      </c>
    </row>
    <row r="1904" spans="1:5">
      <c r="A1904" s="165">
        <v>42763</v>
      </c>
      <c r="B1904" s="165">
        <v>0</v>
      </c>
      <c r="C1904" s="165" t="s">
        <v>9735</v>
      </c>
      <c r="D1904" s="165" t="s">
        <v>14470</v>
      </c>
      <c r="E1904" s="166" t="s">
        <v>9585</v>
      </c>
    </row>
    <row r="1905" spans="1:5">
      <c r="A1905" s="165">
        <v>42764</v>
      </c>
      <c r="B1905" s="165">
        <v>0</v>
      </c>
      <c r="C1905" s="165" t="s">
        <v>9737</v>
      </c>
      <c r="D1905" s="165" t="s">
        <v>14471</v>
      </c>
      <c r="E1905" s="166" t="s">
        <v>9587</v>
      </c>
    </row>
    <row r="1906" spans="1:5">
      <c r="A1906" s="165">
        <v>42765</v>
      </c>
      <c r="B1906" s="165">
        <v>0</v>
      </c>
      <c r="C1906" s="165" t="s">
        <v>9739</v>
      </c>
      <c r="D1906" s="165" t="s">
        <v>14472</v>
      </c>
      <c r="E1906" s="166" t="s">
        <v>9589</v>
      </c>
    </row>
    <row r="1907" spans="1:5">
      <c r="A1907" s="165">
        <v>42766</v>
      </c>
      <c r="B1907" s="165">
        <v>0</v>
      </c>
      <c r="C1907" s="165" t="s">
        <v>9741</v>
      </c>
      <c r="D1907" s="165" t="s">
        <v>14473</v>
      </c>
      <c r="E1907" s="166" t="s">
        <v>9591</v>
      </c>
    </row>
    <row r="1908" spans="1:5">
      <c r="A1908" s="165">
        <v>42767</v>
      </c>
      <c r="B1908" s="165">
        <v>0</v>
      </c>
      <c r="C1908" s="165" t="s">
        <v>9743</v>
      </c>
      <c r="D1908" s="165" t="s">
        <v>14474</v>
      </c>
      <c r="E1908" s="166" t="s">
        <v>9593</v>
      </c>
    </row>
    <row r="1909" spans="1:5">
      <c r="A1909" s="165">
        <v>42768</v>
      </c>
      <c r="B1909" s="165">
        <v>0</v>
      </c>
      <c r="C1909" s="165" t="s">
        <v>9745</v>
      </c>
      <c r="D1909" s="165" t="s">
        <v>14475</v>
      </c>
      <c r="E1909" s="166" t="s">
        <v>9595</v>
      </c>
    </row>
    <row r="1910" spans="1:5">
      <c r="A1910" s="165">
        <v>42769</v>
      </c>
      <c r="B1910" s="165">
        <v>0</v>
      </c>
      <c r="C1910" s="165" t="s">
        <v>9747</v>
      </c>
      <c r="D1910" s="165" t="s">
        <v>14476</v>
      </c>
      <c r="E1910" s="166" t="s">
        <v>9597</v>
      </c>
    </row>
    <row r="1911" spans="1:5">
      <c r="A1911" s="165">
        <v>42770</v>
      </c>
      <c r="B1911" s="165">
        <v>0</v>
      </c>
      <c r="C1911" s="165" t="s">
        <v>9749</v>
      </c>
      <c r="D1911" s="165" t="s">
        <v>14477</v>
      </c>
      <c r="E1911" s="166" t="s">
        <v>9599</v>
      </c>
    </row>
    <row r="1912" spans="1:5">
      <c r="A1912" s="165">
        <v>42771</v>
      </c>
      <c r="B1912" s="165">
        <v>0</v>
      </c>
      <c r="C1912" s="165" t="s">
        <v>9751</v>
      </c>
      <c r="D1912" s="165" t="s">
        <v>14478</v>
      </c>
      <c r="E1912" s="166" t="s">
        <v>9601</v>
      </c>
    </row>
    <row r="1913" spans="1:5">
      <c r="A1913" s="165">
        <v>42772</v>
      </c>
      <c r="B1913" s="165">
        <v>0</v>
      </c>
      <c r="C1913" s="165" t="s">
        <v>9753</v>
      </c>
      <c r="D1913" s="165" t="s">
        <v>14479</v>
      </c>
      <c r="E1913" s="166" t="s">
        <v>9603</v>
      </c>
    </row>
    <row r="1914" spans="1:5">
      <c r="A1914" s="165">
        <v>42773</v>
      </c>
      <c r="B1914" s="165">
        <v>0</v>
      </c>
      <c r="C1914" s="165" t="s">
        <v>9755</v>
      </c>
      <c r="D1914" s="165" t="s">
        <v>14480</v>
      </c>
      <c r="E1914" s="166" t="s">
        <v>9605</v>
      </c>
    </row>
    <row r="1915" spans="1:5">
      <c r="A1915" s="165">
        <v>42774</v>
      </c>
      <c r="B1915" s="165">
        <v>0</v>
      </c>
      <c r="C1915" s="165" t="s">
        <v>9757</v>
      </c>
      <c r="D1915" s="165" t="s">
        <v>14481</v>
      </c>
      <c r="E1915" s="166" t="s">
        <v>9607</v>
      </c>
    </row>
    <row r="1916" spans="1:5">
      <c r="A1916" s="165">
        <v>42775</v>
      </c>
      <c r="B1916" s="165">
        <v>0</v>
      </c>
      <c r="C1916" s="165" t="s">
        <v>9759</v>
      </c>
      <c r="D1916" s="165" t="s">
        <v>14482</v>
      </c>
      <c r="E1916" s="166" t="s">
        <v>9609</v>
      </c>
    </row>
    <row r="1917" spans="1:5">
      <c r="A1917" s="165">
        <v>42776</v>
      </c>
      <c r="B1917" s="165">
        <v>0</v>
      </c>
      <c r="C1917" s="165" t="s">
        <v>10160</v>
      </c>
      <c r="D1917" s="165" t="s">
        <v>14483</v>
      </c>
      <c r="E1917" s="166" t="s">
        <v>10235</v>
      </c>
    </row>
    <row r="1918" spans="1:5">
      <c r="A1918" s="165">
        <v>42777</v>
      </c>
      <c r="B1918" s="165">
        <v>0</v>
      </c>
      <c r="C1918" s="165" t="s">
        <v>10161</v>
      </c>
      <c r="D1918" s="165" t="s">
        <v>14484</v>
      </c>
      <c r="E1918" s="166" t="s">
        <v>10236</v>
      </c>
    </row>
    <row r="1919" spans="1:5">
      <c r="A1919" s="165">
        <v>42778</v>
      </c>
      <c r="B1919" s="165">
        <v>0</v>
      </c>
      <c r="C1919" s="165" t="s">
        <v>10162</v>
      </c>
      <c r="D1919" s="165" t="s">
        <v>14485</v>
      </c>
      <c r="E1919" s="166" t="s">
        <v>10237</v>
      </c>
    </row>
    <row r="1920" spans="1:5">
      <c r="A1920" s="165">
        <v>42779</v>
      </c>
      <c r="B1920" s="165">
        <v>0</v>
      </c>
      <c r="C1920" s="165" t="s">
        <v>10163</v>
      </c>
      <c r="D1920" s="165" t="s">
        <v>14486</v>
      </c>
      <c r="E1920" s="166" t="s">
        <v>10238</v>
      </c>
    </row>
    <row r="1921" spans="1:5">
      <c r="A1921" s="165">
        <v>42780</v>
      </c>
      <c r="B1921" s="165">
        <v>0</v>
      </c>
      <c r="C1921" s="165" t="s">
        <v>10164</v>
      </c>
      <c r="D1921" s="165" t="s">
        <v>14487</v>
      </c>
      <c r="E1921" s="166" t="s">
        <v>10239</v>
      </c>
    </row>
    <row r="1922" spans="1:5">
      <c r="A1922" s="165">
        <v>42781</v>
      </c>
      <c r="B1922" s="165">
        <v>0</v>
      </c>
      <c r="C1922" s="165" t="s">
        <v>10165</v>
      </c>
      <c r="D1922" s="165" t="s">
        <v>14488</v>
      </c>
      <c r="E1922" s="166" t="s">
        <v>10240</v>
      </c>
    </row>
    <row r="1923" spans="1:5">
      <c r="A1923" s="165">
        <v>42782</v>
      </c>
      <c r="B1923" s="165">
        <v>0</v>
      </c>
      <c r="C1923" s="165" t="s">
        <v>10166</v>
      </c>
      <c r="D1923" s="165" t="s">
        <v>14489</v>
      </c>
      <c r="E1923" s="166" t="s">
        <v>10241</v>
      </c>
    </row>
    <row r="1924" spans="1:5">
      <c r="A1924" s="165">
        <v>42783</v>
      </c>
      <c r="B1924" s="165">
        <v>0</v>
      </c>
      <c r="C1924" s="165" t="s">
        <v>10167</v>
      </c>
      <c r="D1924" s="165" t="s">
        <v>14490</v>
      </c>
      <c r="E1924" s="166" t="s">
        <v>10242</v>
      </c>
    </row>
    <row r="1925" spans="1:5">
      <c r="A1925" s="165">
        <v>42784</v>
      </c>
      <c r="B1925" s="165">
        <v>0</v>
      </c>
      <c r="C1925" s="165" t="s">
        <v>10168</v>
      </c>
      <c r="D1925" s="165" t="s">
        <v>14491</v>
      </c>
      <c r="E1925" s="166" t="s">
        <v>10243</v>
      </c>
    </row>
    <row r="1926" spans="1:5">
      <c r="A1926" s="165">
        <v>42785</v>
      </c>
      <c r="B1926" s="165">
        <v>0</v>
      </c>
      <c r="C1926" s="165" t="s">
        <v>10169</v>
      </c>
      <c r="D1926" s="165" t="s">
        <v>14492</v>
      </c>
      <c r="E1926" s="166" t="s">
        <v>10244</v>
      </c>
    </row>
    <row r="1927" spans="1:5">
      <c r="A1927" s="165">
        <v>42786</v>
      </c>
      <c r="B1927" s="165">
        <v>0</v>
      </c>
      <c r="C1927" s="165" t="s">
        <v>10170</v>
      </c>
      <c r="D1927" s="165" t="s">
        <v>14493</v>
      </c>
      <c r="E1927" s="166" t="s">
        <v>10245</v>
      </c>
    </row>
    <row r="1928" spans="1:5">
      <c r="A1928" s="165">
        <v>42787</v>
      </c>
      <c r="B1928" s="165">
        <v>0</v>
      </c>
      <c r="C1928" s="165" t="s">
        <v>10171</v>
      </c>
      <c r="D1928" s="165" t="s">
        <v>14494</v>
      </c>
      <c r="E1928" s="166" t="s">
        <v>10246</v>
      </c>
    </row>
    <row r="1929" spans="1:5">
      <c r="A1929" s="165">
        <v>42788</v>
      </c>
      <c r="B1929" s="165">
        <v>0</v>
      </c>
      <c r="C1929" s="165" t="s">
        <v>10172</v>
      </c>
      <c r="D1929" s="165" t="s">
        <v>14495</v>
      </c>
      <c r="E1929" s="166" t="s">
        <v>10247</v>
      </c>
    </row>
    <row r="1930" spans="1:5">
      <c r="A1930" s="165">
        <v>42789</v>
      </c>
      <c r="B1930" s="165">
        <v>0</v>
      </c>
      <c r="C1930" s="165" t="s">
        <v>10173</v>
      </c>
      <c r="D1930" s="165" t="s">
        <v>14496</v>
      </c>
      <c r="E1930" s="166" t="s">
        <v>10248</v>
      </c>
    </row>
    <row r="1931" spans="1:5">
      <c r="A1931" s="165">
        <v>42790</v>
      </c>
      <c r="B1931" s="165">
        <v>0</v>
      </c>
      <c r="C1931" s="165" t="s">
        <v>10174</v>
      </c>
      <c r="D1931" s="165" t="s">
        <v>14497</v>
      </c>
      <c r="E1931" s="166" t="s">
        <v>10249</v>
      </c>
    </row>
    <row r="1932" spans="1:5">
      <c r="A1932" s="165">
        <v>42791</v>
      </c>
      <c r="B1932" s="165">
        <v>0</v>
      </c>
      <c r="C1932" s="165" t="s">
        <v>10175</v>
      </c>
      <c r="D1932" s="165" t="s">
        <v>14498</v>
      </c>
      <c r="E1932" s="166" t="s">
        <v>10250</v>
      </c>
    </row>
    <row r="1933" spans="1:5">
      <c r="A1933" s="165">
        <v>42792</v>
      </c>
      <c r="B1933" s="165">
        <v>0</v>
      </c>
      <c r="C1933" s="165" t="s">
        <v>10176</v>
      </c>
      <c r="D1933" s="165" t="s">
        <v>14499</v>
      </c>
      <c r="E1933" s="166" t="s">
        <v>10251</v>
      </c>
    </row>
    <row r="1934" spans="1:5">
      <c r="A1934" s="165">
        <v>42793</v>
      </c>
      <c r="B1934" s="165">
        <v>0</v>
      </c>
      <c r="C1934" s="165" t="s">
        <v>10177</v>
      </c>
      <c r="D1934" s="165" t="s">
        <v>14500</v>
      </c>
      <c r="E1934" s="166" t="s">
        <v>10252</v>
      </c>
    </row>
    <row r="1935" spans="1:5">
      <c r="A1935" s="165">
        <v>42794</v>
      </c>
      <c r="B1935" s="165">
        <v>0</v>
      </c>
      <c r="C1935" s="165" t="s">
        <v>10178</v>
      </c>
      <c r="D1935" s="165" t="s">
        <v>14501</v>
      </c>
      <c r="E1935" s="166" t="s">
        <v>10253</v>
      </c>
    </row>
    <row r="1936" spans="1:5">
      <c r="A1936" s="165">
        <v>42795</v>
      </c>
      <c r="B1936" s="165">
        <v>0</v>
      </c>
      <c r="C1936" s="165" t="s">
        <v>10179</v>
      </c>
      <c r="D1936" s="165" t="s">
        <v>14502</v>
      </c>
      <c r="E1936" s="166" t="s">
        <v>10254</v>
      </c>
    </row>
    <row r="1937" spans="1:5">
      <c r="A1937" s="165">
        <v>42796</v>
      </c>
      <c r="B1937" s="165">
        <v>0</v>
      </c>
      <c r="C1937" s="165" t="s">
        <v>10180</v>
      </c>
      <c r="D1937" s="165" t="s">
        <v>14503</v>
      </c>
      <c r="E1937" s="166" t="s">
        <v>10255</v>
      </c>
    </row>
    <row r="1938" spans="1:5">
      <c r="A1938" s="165">
        <v>42797</v>
      </c>
      <c r="B1938" s="165">
        <v>0</v>
      </c>
      <c r="C1938" s="165" t="s">
        <v>10181</v>
      </c>
      <c r="D1938" s="165" t="s">
        <v>14504</v>
      </c>
      <c r="E1938" s="166" t="s">
        <v>10256</v>
      </c>
    </row>
    <row r="1939" spans="1:5">
      <c r="A1939" s="165">
        <v>42798</v>
      </c>
      <c r="B1939" s="165">
        <v>0</v>
      </c>
      <c r="C1939" s="165" t="s">
        <v>10182</v>
      </c>
      <c r="D1939" s="165" t="s">
        <v>14505</v>
      </c>
      <c r="E1939" s="166" t="s">
        <v>10257</v>
      </c>
    </row>
    <row r="1940" spans="1:5">
      <c r="A1940" s="165">
        <v>42799</v>
      </c>
      <c r="B1940" s="165">
        <v>0</v>
      </c>
      <c r="C1940" s="165" t="s">
        <v>10183</v>
      </c>
      <c r="D1940" s="165" t="s">
        <v>14506</v>
      </c>
      <c r="E1940" s="166" t="s">
        <v>10258</v>
      </c>
    </row>
    <row r="1941" spans="1:5">
      <c r="A1941" s="165">
        <v>42800</v>
      </c>
      <c r="B1941" s="165">
        <v>0</v>
      </c>
      <c r="C1941" s="165" t="s">
        <v>10184</v>
      </c>
      <c r="D1941" s="165" t="s">
        <v>14507</v>
      </c>
      <c r="E1941" s="166" t="s">
        <v>10259</v>
      </c>
    </row>
    <row r="1942" spans="1:5">
      <c r="A1942" s="165">
        <v>42801</v>
      </c>
      <c r="B1942" s="165">
        <v>0</v>
      </c>
      <c r="C1942" s="165" t="s">
        <v>10185</v>
      </c>
      <c r="D1942" s="165" t="s">
        <v>14508</v>
      </c>
      <c r="E1942" s="166" t="s">
        <v>10260</v>
      </c>
    </row>
    <row r="1943" spans="1:5">
      <c r="A1943" s="165">
        <v>42802</v>
      </c>
      <c r="B1943" s="165">
        <v>0</v>
      </c>
      <c r="C1943" s="165" t="s">
        <v>10186</v>
      </c>
      <c r="D1943" s="165" t="s">
        <v>14509</v>
      </c>
      <c r="E1943" s="166" t="s">
        <v>10261</v>
      </c>
    </row>
    <row r="1944" spans="1:5">
      <c r="A1944" s="165">
        <v>42803</v>
      </c>
      <c r="B1944" s="165">
        <v>0</v>
      </c>
      <c r="C1944" s="165" t="s">
        <v>10187</v>
      </c>
      <c r="D1944" s="165" t="s">
        <v>14510</v>
      </c>
      <c r="E1944" s="166" t="s">
        <v>10262</v>
      </c>
    </row>
    <row r="1945" spans="1:5">
      <c r="A1945" s="165">
        <v>42804</v>
      </c>
      <c r="B1945" s="165">
        <v>0</v>
      </c>
      <c r="C1945" s="165" t="s">
        <v>10188</v>
      </c>
      <c r="D1945" s="165" t="s">
        <v>14511</v>
      </c>
      <c r="E1945" s="166" t="s">
        <v>10263</v>
      </c>
    </row>
    <row r="1946" spans="1:5">
      <c r="A1946" s="165">
        <v>42805</v>
      </c>
      <c r="B1946" s="165">
        <v>0</v>
      </c>
      <c r="C1946" s="165" t="s">
        <v>10189</v>
      </c>
      <c r="D1946" s="165" t="s">
        <v>14512</v>
      </c>
      <c r="E1946" s="166" t="s">
        <v>10264</v>
      </c>
    </row>
    <row r="1947" spans="1:5">
      <c r="A1947" s="165">
        <v>42806</v>
      </c>
      <c r="B1947" s="165">
        <v>0</v>
      </c>
      <c r="C1947" s="165" t="s">
        <v>10190</v>
      </c>
      <c r="D1947" s="165" t="s">
        <v>14513</v>
      </c>
      <c r="E1947" s="166" t="s">
        <v>10265</v>
      </c>
    </row>
    <row r="1948" spans="1:5">
      <c r="A1948" s="165">
        <v>42807</v>
      </c>
      <c r="B1948" s="165">
        <v>0</v>
      </c>
      <c r="C1948" s="165" t="s">
        <v>10191</v>
      </c>
      <c r="D1948" s="165" t="s">
        <v>14514</v>
      </c>
      <c r="E1948" s="166" t="s">
        <v>10266</v>
      </c>
    </row>
    <row r="1949" spans="1:5">
      <c r="A1949" s="165">
        <v>42808</v>
      </c>
      <c r="B1949" s="165">
        <v>0</v>
      </c>
      <c r="C1949" s="165" t="s">
        <v>10192</v>
      </c>
      <c r="D1949" s="165" t="s">
        <v>14515</v>
      </c>
      <c r="E1949" s="166" t="s">
        <v>10267</v>
      </c>
    </row>
    <row r="1950" spans="1:5">
      <c r="A1950" s="165">
        <v>42809</v>
      </c>
      <c r="B1950" s="165">
        <v>0</v>
      </c>
      <c r="C1950" s="165" t="s">
        <v>10193</v>
      </c>
      <c r="D1950" s="165" t="s">
        <v>14516</v>
      </c>
      <c r="E1950" s="166" t="s">
        <v>10268</v>
      </c>
    </row>
    <row r="1951" spans="1:5">
      <c r="A1951" s="165">
        <v>42810</v>
      </c>
      <c r="B1951" s="165">
        <v>0</v>
      </c>
      <c r="C1951" s="165" t="s">
        <v>10194</v>
      </c>
      <c r="D1951" s="165" t="s">
        <v>14517</v>
      </c>
      <c r="E1951" s="166" t="s">
        <v>10269</v>
      </c>
    </row>
    <row r="1952" spans="1:5">
      <c r="A1952" s="165">
        <v>42811</v>
      </c>
      <c r="B1952" s="165">
        <v>0</v>
      </c>
      <c r="C1952" s="165" t="s">
        <v>10195</v>
      </c>
      <c r="D1952" s="165" t="s">
        <v>14518</v>
      </c>
      <c r="E1952" s="166" t="s">
        <v>10270</v>
      </c>
    </row>
    <row r="1953" spans="1:5">
      <c r="A1953" s="165">
        <v>42812</v>
      </c>
      <c r="B1953" s="165">
        <v>0</v>
      </c>
      <c r="C1953" s="165" t="s">
        <v>10196</v>
      </c>
      <c r="D1953" s="165" t="s">
        <v>14519</v>
      </c>
      <c r="E1953" s="166" t="s">
        <v>10271</v>
      </c>
    </row>
    <row r="1954" spans="1:5">
      <c r="A1954" s="165">
        <v>42813</v>
      </c>
      <c r="B1954" s="165">
        <v>0</v>
      </c>
      <c r="C1954" s="165" t="s">
        <v>10197</v>
      </c>
      <c r="D1954" s="165" t="s">
        <v>14520</v>
      </c>
      <c r="E1954" s="166" t="s">
        <v>10272</v>
      </c>
    </row>
    <row r="1955" spans="1:5">
      <c r="A1955" s="165">
        <v>42814</v>
      </c>
      <c r="B1955" s="165">
        <v>0</v>
      </c>
      <c r="C1955" s="165" t="s">
        <v>10198</v>
      </c>
      <c r="D1955" s="165" t="s">
        <v>14521</v>
      </c>
      <c r="E1955" s="166" t="s">
        <v>10273</v>
      </c>
    </row>
    <row r="1956" spans="1:5">
      <c r="A1956" s="165">
        <v>42815</v>
      </c>
      <c r="B1956" s="165">
        <v>0</v>
      </c>
      <c r="C1956" s="165" t="s">
        <v>10199</v>
      </c>
      <c r="D1956" s="165" t="s">
        <v>14522</v>
      </c>
      <c r="E1956" s="166" t="s">
        <v>10274</v>
      </c>
    </row>
    <row r="1957" spans="1:5">
      <c r="A1957" s="165">
        <v>42816</v>
      </c>
      <c r="B1957" s="165">
        <v>0</v>
      </c>
      <c r="C1957" s="165" t="s">
        <v>10200</v>
      </c>
      <c r="D1957" s="165" t="s">
        <v>14523</v>
      </c>
      <c r="E1957" s="166" t="s">
        <v>10275</v>
      </c>
    </row>
    <row r="1958" spans="1:5">
      <c r="A1958" s="165">
        <v>42817</v>
      </c>
      <c r="B1958" s="165">
        <v>0</v>
      </c>
      <c r="C1958" s="165" t="s">
        <v>10201</v>
      </c>
      <c r="D1958" s="165" t="s">
        <v>14524</v>
      </c>
      <c r="E1958" s="166" t="s">
        <v>10276</v>
      </c>
    </row>
    <row r="1959" spans="1:5">
      <c r="A1959" s="165">
        <v>42818</v>
      </c>
      <c r="B1959" s="165">
        <v>0</v>
      </c>
      <c r="C1959" s="165" t="s">
        <v>10202</v>
      </c>
      <c r="D1959" s="165" t="s">
        <v>14525</v>
      </c>
      <c r="E1959" s="166" t="s">
        <v>10277</v>
      </c>
    </row>
    <row r="1960" spans="1:5">
      <c r="A1960" s="165">
        <v>42819</v>
      </c>
      <c r="B1960" s="165">
        <v>0</v>
      </c>
      <c r="C1960" s="165" t="s">
        <v>10203</v>
      </c>
      <c r="D1960" s="165" t="s">
        <v>14526</v>
      </c>
      <c r="E1960" s="166" t="s">
        <v>10278</v>
      </c>
    </row>
    <row r="1961" spans="1:5">
      <c r="A1961" s="165">
        <v>42820</v>
      </c>
      <c r="B1961" s="165">
        <v>0</v>
      </c>
      <c r="C1961" s="165" t="s">
        <v>10204</v>
      </c>
      <c r="D1961" s="165" t="s">
        <v>14527</v>
      </c>
      <c r="E1961" s="166" t="s">
        <v>10279</v>
      </c>
    </row>
    <row r="1962" spans="1:5">
      <c r="A1962" s="165">
        <v>42821</v>
      </c>
      <c r="B1962" s="165">
        <v>0</v>
      </c>
      <c r="C1962" s="165" t="s">
        <v>10205</v>
      </c>
      <c r="D1962" s="165" t="s">
        <v>14528</v>
      </c>
      <c r="E1962" s="166" t="s">
        <v>10280</v>
      </c>
    </row>
    <row r="1963" spans="1:5">
      <c r="A1963" s="165">
        <v>42822</v>
      </c>
      <c r="B1963" s="165">
        <v>0</v>
      </c>
      <c r="C1963" s="165" t="s">
        <v>10206</v>
      </c>
      <c r="D1963" s="165" t="s">
        <v>14529</v>
      </c>
      <c r="E1963" s="166" t="s">
        <v>10281</v>
      </c>
    </row>
    <row r="1964" spans="1:5">
      <c r="A1964" s="165">
        <v>42823</v>
      </c>
      <c r="B1964" s="165">
        <v>0</v>
      </c>
      <c r="C1964" s="165" t="s">
        <v>10207</v>
      </c>
      <c r="D1964" s="165" t="s">
        <v>14530</v>
      </c>
      <c r="E1964" s="166" t="s">
        <v>10282</v>
      </c>
    </row>
    <row r="1965" spans="1:5">
      <c r="A1965" s="165">
        <v>42824</v>
      </c>
      <c r="B1965" s="165">
        <v>0</v>
      </c>
      <c r="C1965" s="165" t="s">
        <v>10208</v>
      </c>
      <c r="D1965" s="165" t="s">
        <v>14531</v>
      </c>
      <c r="E1965" s="166" t="s">
        <v>10283</v>
      </c>
    </row>
    <row r="1966" spans="1:5">
      <c r="A1966" s="165">
        <v>42825</v>
      </c>
      <c r="B1966" s="165">
        <v>0</v>
      </c>
      <c r="C1966" s="165" t="s">
        <v>10209</v>
      </c>
      <c r="D1966" s="165" t="s">
        <v>14532</v>
      </c>
      <c r="E1966" s="166" t="s">
        <v>10284</v>
      </c>
    </row>
    <row r="1967" spans="1:5">
      <c r="A1967" s="165">
        <v>42826</v>
      </c>
      <c r="B1967" s="165">
        <v>0</v>
      </c>
      <c r="C1967" s="165" t="s">
        <v>10210</v>
      </c>
      <c r="D1967" s="165" t="s">
        <v>14533</v>
      </c>
      <c r="E1967" s="166" t="s">
        <v>10285</v>
      </c>
    </row>
    <row r="1968" spans="1:5">
      <c r="A1968" s="165">
        <v>42827</v>
      </c>
      <c r="B1968" s="165">
        <v>0</v>
      </c>
      <c r="C1968" s="165" t="s">
        <v>10211</v>
      </c>
      <c r="D1968" s="165" t="s">
        <v>14534</v>
      </c>
      <c r="E1968" s="166" t="s">
        <v>10286</v>
      </c>
    </row>
    <row r="1969" spans="1:5">
      <c r="A1969" s="165">
        <v>42828</v>
      </c>
      <c r="B1969" s="165">
        <v>0</v>
      </c>
      <c r="C1969" s="165" t="s">
        <v>10212</v>
      </c>
      <c r="D1969" s="165" t="s">
        <v>14535</v>
      </c>
      <c r="E1969" s="166" t="s">
        <v>10287</v>
      </c>
    </row>
    <row r="1970" spans="1:5">
      <c r="A1970" s="165">
        <v>42829</v>
      </c>
      <c r="B1970" s="165">
        <v>0</v>
      </c>
      <c r="C1970" s="165" t="s">
        <v>10213</v>
      </c>
      <c r="D1970" s="165" t="s">
        <v>14536</v>
      </c>
      <c r="E1970" s="166" t="s">
        <v>10288</v>
      </c>
    </row>
    <row r="1971" spans="1:5">
      <c r="A1971" s="165">
        <v>42830</v>
      </c>
      <c r="B1971" s="165">
        <v>0</v>
      </c>
      <c r="C1971" s="165" t="s">
        <v>10214</v>
      </c>
      <c r="D1971" s="165" t="s">
        <v>14537</v>
      </c>
      <c r="E1971" s="166" t="s">
        <v>10289</v>
      </c>
    </row>
    <row r="1972" spans="1:5">
      <c r="A1972" s="165">
        <v>42831</v>
      </c>
      <c r="B1972" s="165">
        <v>0</v>
      </c>
      <c r="C1972" s="165" t="s">
        <v>10215</v>
      </c>
      <c r="D1972" s="165" t="s">
        <v>14538</v>
      </c>
      <c r="E1972" s="166" t="s">
        <v>10290</v>
      </c>
    </row>
    <row r="1973" spans="1:5">
      <c r="A1973" s="165">
        <v>42832</v>
      </c>
      <c r="B1973" s="165">
        <v>0</v>
      </c>
      <c r="C1973" s="165" t="s">
        <v>10216</v>
      </c>
      <c r="D1973" s="165" t="s">
        <v>14539</v>
      </c>
      <c r="E1973" s="166" t="s">
        <v>10291</v>
      </c>
    </row>
    <row r="1974" spans="1:5">
      <c r="A1974" s="165">
        <v>42833</v>
      </c>
      <c r="B1974" s="165">
        <v>0</v>
      </c>
      <c r="C1974" s="165" t="s">
        <v>10217</v>
      </c>
      <c r="D1974" s="165" t="s">
        <v>14540</v>
      </c>
      <c r="E1974" s="166" t="s">
        <v>10292</v>
      </c>
    </row>
    <row r="1975" spans="1:5">
      <c r="A1975" s="165">
        <v>42834</v>
      </c>
      <c r="B1975" s="165">
        <v>0</v>
      </c>
      <c r="C1975" s="165" t="s">
        <v>10218</v>
      </c>
      <c r="D1975" s="165" t="s">
        <v>14541</v>
      </c>
      <c r="E1975" s="166" t="s">
        <v>10293</v>
      </c>
    </row>
    <row r="1976" spans="1:5">
      <c r="A1976" s="165">
        <v>42835</v>
      </c>
      <c r="B1976" s="165">
        <v>0</v>
      </c>
      <c r="C1976" s="165" t="s">
        <v>10219</v>
      </c>
      <c r="D1976" s="165" t="s">
        <v>14542</v>
      </c>
      <c r="E1976" s="166" t="s">
        <v>10294</v>
      </c>
    </row>
    <row r="1977" spans="1:5">
      <c r="A1977" s="165">
        <v>42836</v>
      </c>
      <c r="B1977" s="165">
        <v>0</v>
      </c>
      <c r="C1977" s="165" t="s">
        <v>10220</v>
      </c>
      <c r="D1977" s="165" t="s">
        <v>14543</v>
      </c>
      <c r="E1977" s="166" t="s">
        <v>10295</v>
      </c>
    </row>
    <row r="1978" spans="1:5">
      <c r="A1978" s="165">
        <v>42837</v>
      </c>
      <c r="B1978" s="165">
        <v>0</v>
      </c>
      <c r="C1978" s="165" t="s">
        <v>10221</v>
      </c>
      <c r="D1978" s="165" t="s">
        <v>14544</v>
      </c>
      <c r="E1978" s="166" t="s">
        <v>10296</v>
      </c>
    </row>
    <row r="1979" spans="1:5">
      <c r="A1979" s="165">
        <v>42838</v>
      </c>
      <c r="B1979" s="165">
        <v>0</v>
      </c>
      <c r="C1979" s="165" t="s">
        <v>10222</v>
      </c>
      <c r="D1979" s="165" t="s">
        <v>14545</v>
      </c>
      <c r="E1979" s="166" t="s">
        <v>10297</v>
      </c>
    </row>
    <row r="1980" spans="1:5">
      <c r="A1980" s="165">
        <v>42839</v>
      </c>
      <c r="B1980" s="165">
        <v>0</v>
      </c>
      <c r="C1980" s="165" t="s">
        <v>10223</v>
      </c>
      <c r="D1980" s="165" t="s">
        <v>14546</v>
      </c>
      <c r="E1980" s="166" t="s">
        <v>10298</v>
      </c>
    </row>
    <row r="1981" spans="1:5">
      <c r="A1981" s="165">
        <v>42840</v>
      </c>
      <c r="B1981" s="165">
        <v>0</v>
      </c>
      <c r="C1981" s="165" t="s">
        <v>10224</v>
      </c>
      <c r="D1981" s="165" t="s">
        <v>14547</v>
      </c>
      <c r="E1981" s="166" t="s">
        <v>10299</v>
      </c>
    </row>
    <row r="1982" spans="1:5">
      <c r="A1982" s="165">
        <v>42841</v>
      </c>
      <c r="B1982" s="165">
        <v>0</v>
      </c>
      <c r="C1982" s="165" t="s">
        <v>10225</v>
      </c>
      <c r="D1982" s="165" t="s">
        <v>14548</v>
      </c>
      <c r="E1982" s="166" t="s">
        <v>10300</v>
      </c>
    </row>
    <row r="1983" spans="1:5">
      <c r="A1983" s="165">
        <v>42842</v>
      </c>
      <c r="B1983" s="165">
        <v>0</v>
      </c>
      <c r="C1983" s="165" t="s">
        <v>10226</v>
      </c>
      <c r="D1983" s="165" t="s">
        <v>14549</v>
      </c>
      <c r="E1983" s="166" t="s">
        <v>10301</v>
      </c>
    </row>
    <row r="1984" spans="1:5">
      <c r="A1984" s="165">
        <v>42843</v>
      </c>
      <c r="B1984" s="165">
        <v>0</v>
      </c>
      <c r="C1984" s="165" t="s">
        <v>10227</v>
      </c>
      <c r="D1984" s="165" t="s">
        <v>14550</v>
      </c>
      <c r="E1984" s="166" t="s">
        <v>10302</v>
      </c>
    </row>
    <row r="1985" spans="1:6">
      <c r="A1985" s="165">
        <v>42844</v>
      </c>
      <c r="B1985" s="165">
        <v>0</v>
      </c>
      <c r="C1985" s="165" t="s">
        <v>10228</v>
      </c>
      <c r="D1985" s="165" t="s">
        <v>14551</v>
      </c>
      <c r="E1985" s="166" t="s">
        <v>10303</v>
      </c>
    </row>
    <row r="1986" spans="1:6">
      <c r="A1986" s="165">
        <v>42845</v>
      </c>
      <c r="B1986" s="165">
        <v>0</v>
      </c>
      <c r="C1986" s="165" t="s">
        <v>10229</v>
      </c>
      <c r="D1986" s="165" t="s">
        <v>14552</v>
      </c>
      <c r="E1986" s="166" t="s">
        <v>10304</v>
      </c>
    </row>
    <row r="1987" spans="1:6">
      <c r="A1987" s="165">
        <v>42846</v>
      </c>
      <c r="B1987" s="165">
        <v>0</v>
      </c>
      <c r="C1987" s="165" t="s">
        <v>10230</v>
      </c>
      <c r="D1987" s="165" t="s">
        <v>14553</v>
      </c>
      <c r="E1987" s="166" t="s">
        <v>10305</v>
      </c>
    </row>
    <row r="1988" spans="1:6">
      <c r="A1988" s="165">
        <v>42847</v>
      </c>
      <c r="B1988" s="165">
        <v>0</v>
      </c>
      <c r="C1988" s="165" t="s">
        <v>10231</v>
      </c>
      <c r="D1988" s="165" t="s">
        <v>14554</v>
      </c>
      <c r="E1988" s="166" t="s">
        <v>10306</v>
      </c>
    </row>
    <row r="1989" spans="1:6">
      <c r="A1989" s="165">
        <v>42848</v>
      </c>
      <c r="B1989" s="165">
        <v>0</v>
      </c>
      <c r="C1989" s="165" t="s">
        <v>10232</v>
      </c>
      <c r="D1989" s="165" t="s">
        <v>14406</v>
      </c>
      <c r="E1989" s="166" t="s">
        <v>10307</v>
      </c>
    </row>
    <row r="1990" spans="1:6">
      <c r="A1990" s="165">
        <v>42849</v>
      </c>
      <c r="B1990" s="165">
        <v>0</v>
      </c>
      <c r="C1990" s="165" t="s">
        <v>10233</v>
      </c>
      <c r="D1990" s="165" t="s">
        <v>14407</v>
      </c>
      <c r="E1990" s="166" t="s">
        <v>10308</v>
      </c>
    </row>
    <row r="1991" spans="1:6">
      <c r="A1991" s="165">
        <v>42850</v>
      </c>
      <c r="B1991" s="165">
        <v>0</v>
      </c>
      <c r="C1991" s="165" t="s">
        <v>10234</v>
      </c>
      <c r="D1991" s="165" t="s">
        <v>14405</v>
      </c>
      <c r="E1991" s="166" t="s">
        <v>10309</v>
      </c>
    </row>
    <row r="1992" spans="1:6" s="257" customFormat="1">
      <c r="A1992" s="169">
        <v>42998</v>
      </c>
      <c r="B1992" s="169">
        <v>1</v>
      </c>
      <c r="C1992" s="169" t="s">
        <v>4678</v>
      </c>
      <c r="D1992" s="169" t="s">
        <v>7241</v>
      </c>
      <c r="E1992" s="170" t="s">
        <v>10447</v>
      </c>
      <c r="F1992" s="270"/>
    </row>
    <row r="1993" spans="1:6" s="257" customFormat="1">
      <c r="A1993" s="169">
        <v>42999</v>
      </c>
      <c r="B1993" s="169">
        <v>1</v>
      </c>
      <c r="C1993" s="169" t="s">
        <v>6152</v>
      </c>
      <c r="D1993" s="169" t="s">
        <v>4913</v>
      </c>
      <c r="E1993" s="170" t="s">
        <v>10448</v>
      </c>
      <c r="F1993" s="270"/>
    </row>
    <row r="1994" spans="1:6" s="257" customFormat="1">
      <c r="A1994" s="169">
        <v>43000</v>
      </c>
      <c r="B1994" s="169">
        <v>0</v>
      </c>
      <c r="C1994" s="169" t="s">
        <v>10405</v>
      </c>
      <c r="D1994" s="169" t="s">
        <v>6571</v>
      </c>
      <c r="E1994" s="170" t="s">
        <v>10449</v>
      </c>
      <c r="F1994" s="270"/>
    </row>
    <row r="1995" spans="1:6">
      <c r="A1995" s="167">
        <v>43001</v>
      </c>
      <c r="B1995" s="167">
        <v>0</v>
      </c>
      <c r="C1995" s="167" t="s">
        <v>6475</v>
      </c>
      <c r="D1995" s="167" t="s">
        <v>6264</v>
      </c>
      <c r="E1995" s="168" t="s">
        <v>12229</v>
      </c>
    </row>
    <row r="1996" spans="1:6">
      <c r="A1996" s="167">
        <v>43002</v>
      </c>
      <c r="B1996" s="167">
        <v>0</v>
      </c>
      <c r="C1996" s="167" t="s">
        <v>6476</v>
      </c>
      <c r="D1996" s="167" t="s">
        <v>6265</v>
      </c>
      <c r="E1996" s="168" t="s">
        <v>12230</v>
      </c>
    </row>
    <row r="1997" spans="1:6">
      <c r="A1997" s="167">
        <v>43003</v>
      </c>
      <c r="B1997" s="167">
        <v>0</v>
      </c>
      <c r="C1997" s="167" t="s">
        <v>6477</v>
      </c>
      <c r="D1997" s="167" t="s">
        <v>6266</v>
      </c>
      <c r="E1997" s="168" t="s">
        <v>12231</v>
      </c>
    </row>
    <row r="1998" spans="1:6">
      <c r="A1998" s="167">
        <v>43004</v>
      </c>
      <c r="B1998" s="167">
        <v>0</v>
      </c>
      <c r="C1998" s="167" t="s">
        <v>4924</v>
      </c>
      <c r="D1998" s="167" t="s">
        <v>6267</v>
      </c>
      <c r="E1998" s="168" t="s">
        <v>12232</v>
      </c>
    </row>
    <row r="1999" spans="1:6">
      <c r="A1999" s="167">
        <v>43005</v>
      </c>
      <c r="B1999" s="167">
        <v>0</v>
      </c>
      <c r="C1999" s="167" t="s">
        <v>12353</v>
      </c>
      <c r="D1999" s="167" t="s">
        <v>6268</v>
      </c>
      <c r="E1999" s="168" t="s">
        <v>12233</v>
      </c>
    </row>
    <row r="2000" spans="1:6">
      <c r="A2000" s="167">
        <v>43006</v>
      </c>
      <c r="B2000" s="167">
        <v>0</v>
      </c>
      <c r="C2000" s="167" t="s">
        <v>6478</v>
      </c>
      <c r="D2000" s="167" t="s">
        <v>6269</v>
      </c>
      <c r="E2000" s="168" t="s">
        <v>12234</v>
      </c>
    </row>
    <row r="2001" spans="1:5">
      <c r="A2001" s="167">
        <v>43007</v>
      </c>
      <c r="B2001" s="167">
        <v>0</v>
      </c>
      <c r="C2001" s="167" t="s">
        <v>6480</v>
      </c>
      <c r="D2001" s="167" t="s">
        <v>6270</v>
      </c>
      <c r="E2001" s="168" t="s">
        <v>4915</v>
      </c>
    </row>
    <row r="2002" spans="1:5">
      <c r="A2002" s="167">
        <v>43008</v>
      </c>
      <c r="B2002" s="167">
        <v>0</v>
      </c>
      <c r="C2002" s="167" t="s">
        <v>12354</v>
      </c>
      <c r="D2002" s="167" t="s">
        <v>6271</v>
      </c>
      <c r="E2002" s="168" t="s">
        <v>12235</v>
      </c>
    </row>
    <row r="2003" spans="1:5">
      <c r="A2003" s="167">
        <v>43009</v>
      </c>
      <c r="B2003" s="167">
        <v>0</v>
      </c>
      <c r="C2003" s="167" t="s">
        <v>12355</v>
      </c>
      <c r="D2003" s="167" t="s">
        <v>6272</v>
      </c>
      <c r="E2003" s="168" t="s">
        <v>6566</v>
      </c>
    </row>
    <row r="2004" spans="1:5">
      <c r="A2004" s="167">
        <v>43010</v>
      </c>
      <c r="B2004" s="167">
        <v>0</v>
      </c>
      <c r="C2004" s="167" t="s">
        <v>6482</v>
      </c>
      <c r="D2004" s="167" t="s">
        <v>6273</v>
      </c>
      <c r="E2004" s="168" t="s">
        <v>6559</v>
      </c>
    </row>
    <row r="2005" spans="1:5">
      <c r="A2005" s="167">
        <v>43011</v>
      </c>
      <c r="B2005" s="167">
        <v>0</v>
      </c>
      <c r="C2005" s="167" t="s">
        <v>12356</v>
      </c>
      <c r="D2005" s="167" t="s">
        <v>6274</v>
      </c>
      <c r="E2005" s="168" t="s">
        <v>12236</v>
      </c>
    </row>
    <row r="2006" spans="1:5">
      <c r="A2006" s="167">
        <v>43012</v>
      </c>
      <c r="B2006" s="167">
        <v>0</v>
      </c>
      <c r="C2006" s="167" t="s">
        <v>12357</v>
      </c>
      <c r="D2006" s="167" t="s">
        <v>6275</v>
      </c>
      <c r="E2006" s="168" t="s">
        <v>6568</v>
      </c>
    </row>
    <row r="2007" spans="1:5">
      <c r="A2007" s="167">
        <v>43013</v>
      </c>
      <c r="B2007" s="167">
        <v>0</v>
      </c>
      <c r="C2007" s="167" t="s">
        <v>12358</v>
      </c>
      <c r="D2007" s="167" t="s">
        <v>6276</v>
      </c>
      <c r="E2007" s="168" t="s">
        <v>6561</v>
      </c>
    </row>
    <row r="2008" spans="1:5">
      <c r="A2008" s="167">
        <v>43014</v>
      </c>
      <c r="B2008" s="167">
        <v>0</v>
      </c>
      <c r="C2008" s="167" t="s">
        <v>12359</v>
      </c>
      <c r="D2008" s="167" t="s">
        <v>6277</v>
      </c>
      <c r="E2008" s="168" t="s">
        <v>12237</v>
      </c>
    </row>
    <row r="2009" spans="1:5">
      <c r="A2009" s="167">
        <v>43015</v>
      </c>
      <c r="B2009" s="167">
        <v>0</v>
      </c>
      <c r="C2009" s="167" t="s">
        <v>12360</v>
      </c>
      <c r="D2009" s="167" t="s">
        <v>6278</v>
      </c>
      <c r="E2009" s="168" t="s">
        <v>11899</v>
      </c>
    </row>
    <row r="2010" spans="1:5">
      <c r="A2010" s="167">
        <v>43016</v>
      </c>
      <c r="B2010" s="167">
        <v>0</v>
      </c>
      <c r="C2010" s="167" t="s">
        <v>4927</v>
      </c>
      <c r="D2010" s="167" t="s">
        <v>6279</v>
      </c>
      <c r="E2010" s="168" t="s">
        <v>6563</v>
      </c>
    </row>
    <row r="2011" spans="1:5">
      <c r="A2011" s="167">
        <v>43017</v>
      </c>
      <c r="B2011" s="167">
        <v>0</v>
      </c>
      <c r="C2011" s="167" t="s">
        <v>12361</v>
      </c>
      <c r="D2011" s="167" t="s">
        <v>6280</v>
      </c>
      <c r="E2011" s="168" t="s">
        <v>12238</v>
      </c>
    </row>
    <row r="2012" spans="1:5">
      <c r="A2012" s="167">
        <v>43018</v>
      </c>
      <c r="B2012" s="167">
        <v>0</v>
      </c>
      <c r="C2012" s="167" t="s">
        <v>12362</v>
      </c>
      <c r="D2012" s="167" t="s">
        <v>6281</v>
      </c>
      <c r="E2012" s="168" t="s">
        <v>12239</v>
      </c>
    </row>
    <row r="2013" spans="1:5">
      <c r="A2013" s="167">
        <v>43019</v>
      </c>
      <c r="B2013" s="167">
        <v>0</v>
      </c>
      <c r="C2013" s="167" t="s">
        <v>4929</v>
      </c>
      <c r="D2013" s="167" t="s">
        <v>6282</v>
      </c>
      <c r="E2013" s="168" t="s">
        <v>4918</v>
      </c>
    </row>
    <row r="2014" spans="1:5">
      <c r="A2014" s="167">
        <v>43020</v>
      </c>
      <c r="B2014" s="167">
        <v>0</v>
      </c>
      <c r="C2014" s="167" t="s">
        <v>12363</v>
      </c>
      <c r="D2014" s="167" t="s">
        <v>6283</v>
      </c>
      <c r="E2014" s="168" t="s">
        <v>12240</v>
      </c>
    </row>
    <row r="2015" spans="1:5">
      <c r="A2015" s="167">
        <v>43021</v>
      </c>
      <c r="B2015" s="167">
        <v>0</v>
      </c>
      <c r="C2015" s="167" t="s">
        <v>12364</v>
      </c>
      <c r="D2015" s="167" t="s">
        <v>6284</v>
      </c>
      <c r="E2015" s="168" t="s">
        <v>12241</v>
      </c>
    </row>
    <row r="2016" spans="1:5">
      <c r="A2016" s="167">
        <v>43022</v>
      </c>
      <c r="B2016" s="167">
        <v>0</v>
      </c>
      <c r="C2016" s="167" t="s">
        <v>4925</v>
      </c>
      <c r="D2016" s="167" t="s">
        <v>6285</v>
      </c>
      <c r="E2016" s="168" t="s">
        <v>6564</v>
      </c>
    </row>
    <row r="2017" spans="1:5">
      <c r="A2017" s="167">
        <v>43023</v>
      </c>
      <c r="B2017" s="167">
        <v>0</v>
      </c>
      <c r="C2017" s="167" t="s">
        <v>12365</v>
      </c>
      <c r="D2017" s="167" t="s">
        <v>6286</v>
      </c>
      <c r="E2017" s="168" t="s">
        <v>12242</v>
      </c>
    </row>
    <row r="2018" spans="1:5">
      <c r="A2018" s="167">
        <v>43024</v>
      </c>
      <c r="B2018" s="167">
        <v>0</v>
      </c>
      <c r="C2018" s="167" t="s">
        <v>12366</v>
      </c>
      <c r="D2018" s="167" t="s">
        <v>6287</v>
      </c>
      <c r="E2018" s="168" t="s">
        <v>11903</v>
      </c>
    </row>
    <row r="2019" spans="1:5">
      <c r="A2019" s="167">
        <v>43025</v>
      </c>
      <c r="B2019" s="167">
        <v>0</v>
      </c>
      <c r="C2019" s="167" t="s">
        <v>4931</v>
      </c>
      <c r="D2019" s="167" t="s">
        <v>6288</v>
      </c>
      <c r="E2019" s="168" t="s">
        <v>4921</v>
      </c>
    </row>
    <row r="2020" spans="1:5">
      <c r="A2020" s="167">
        <v>43026</v>
      </c>
      <c r="B2020" s="167">
        <v>0</v>
      </c>
      <c r="C2020" s="167" t="s">
        <v>12367</v>
      </c>
      <c r="D2020" s="167" t="s">
        <v>6289</v>
      </c>
      <c r="E2020" s="168" t="s">
        <v>12243</v>
      </c>
    </row>
    <row r="2021" spans="1:5">
      <c r="A2021" s="167">
        <v>43027</v>
      </c>
      <c r="B2021" s="167">
        <v>0</v>
      </c>
      <c r="C2021" s="167" t="s">
        <v>12368</v>
      </c>
      <c r="D2021" s="167" t="s">
        <v>6290</v>
      </c>
      <c r="E2021" s="168" t="s">
        <v>12244</v>
      </c>
    </row>
    <row r="2022" spans="1:5">
      <c r="A2022" s="167">
        <v>43028</v>
      </c>
      <c r="B2022" s="167">
        <v>0</v>
      </c>
      <c r="C2022" s="167" t="s">
        <v>4930</v>
      </c>
      <c r="D2022" s="167" t="s">
        <v>6291</v>
      </c>
      <c r="E2022" s="168" t="s">
        <v>11897</v>
      </c>
    </row>
    <row r="2023" spans="1:5">
      <c r="A2023" s="167">
        <v>43029</v>
      </c>
      <c r="B2023" s="167">
        <v>0</v>
      </c>
      <c r="C2023" s="167" t="s">
        <v>12369</v>
      </c>
      <c r="D2023" s="167" t="s">
        <v>6292</v>
      </c>
      <c r="E2023" s="168" t="s">
        <v>12245</v>
      </c>
    </row>
    <row r="2024" spans="1:5">
      <c r="A2024" s="167">
        <v>43030</v>
      </c>
      <c r="B2024" s="167">
        <v>0</v>
      </c>
      <c r="C2024" s="167" t="s">
        <v>12370</v>
      </c>
      <c r="D2024" s="167" t="s">
        <v>6293</v>
      </c>
      <c r="E2024" s="168" t="s">
        <v>12246</v>
      </c>
    </row>
    <row r="2025" spans="1:5">
      <c r="A2025" s="167">
        <v>43031</v>
      </c>
      <c r="B2025" s="167">
        <v>0</v>
      </c>
      <c r="C2025" s="167" t="s">
        <v>6486</v>
      </c>
      <c r="D2025" s="167" t="s">
        <v>6294</v>
      </c>
      <c r="E2025" s="168" t="s">
        <v>6558</v>
      </c>
    </row>
    <row r="2026" spans="1:5">
      <c r="A2026" s="167">
        <v>43032</v>
      </c>
      <c r="B2026" s="167">
        <v>0</v>
      </c>
      <c r="C2026" s="167" t="s">
        <v>6479</v>
      </c>
      <c r="D2026" s="167" t="s">
        <v>6295</v>
      </c>
      <c r="E2026" s="168" t="s">
        <v>12247</v>
      </c>
    </row>
    <row r="2027" spans="1:5">
      <c r="A2027" s="167">
        <v>43033</v>
      </c>
      <c r="B2027" s="167">
        <v>0</v>
      </c>
      <c r="C2027" s="167" t="s">
        <v>12371</v>
      </c>
      <c r="D2027" s="167" t="s">
        <v>6296</v>
      </c>
      <c r="E2027" s="168" t="s">
        <v>12248</v>
      </c>
    </row>
    <row r="2028" spans="1:5">
      <c r="A2028" s="167">
        <v>43034</v>
      </c>
      <c r="B2028" s="167">
        <v>0</v>
      </c>
      <c r="C2028" s="167" t="s">
        <v>6483</v>
      </c>
      <c r="D2028" s="167" t="s">
        <v>6297</v>
      </c>
      <c r="E2028" s="168" t="s">
        <v>6560</v>
      </c>
    </row>
    <row r="2029" spans="1:5">
      <c r="A2029" s="167">
        <v>43035</v>
      </c>
      <c r="B2029" s="167">
        <v>0</v>
      </c>
      <c r="C2029" s="167" t="s">
        <v>12372</v>
      </c>
      <c r="D2029" s="167" t="s">
        <v>6298</v>
      </c>
      <c r="E2029" s="168" t="s">
        <v>11901</v>
      </c>
    </row>
    <row r="2030" spans="1:5">
      <c r="A2030" s="167">
        <v>43036</v>
      </c>
      <c r="B2030" s="167">
        <v>0</v>
      </c>
      <c r="C2030" s="167" t="s">
        <v>12373</v>
      </c>
      <c r="D2030" s="167" t="s">
        <v>6299</v>
      </c>
      <c r="E2030" s="168" t="s">
        <v>12249</v>
      </c>
    </row>
    <row r="2031" spans="1:5">
      <c r="A2031" s="167">
        <v>43037</v>
      </c>
      <c r="B2031" s="167">
        <v>0</v>
      </c>
      <c r="C2031" s="167" t="s">
        <v>6481</v>
      </c>
      <c r="D2031" s="167" t="s">
        <v>6300</v>
      </c>
      <c r="E2031" s="168" t="s">
        <v>4916</v>
      </c>
    </row>
    <row r="2032" spans="1:5">
      <c r="A2032" s="167">
        <v>43038</v>
      </c>
      <c r="B2032" s="167">
        <v>0</v>
      </c>
      <c r="C2032" s="167" t="s">
        <v>12374</v>
      </c>
      <c r="D2032" s="167" t="s">
        <v>6301</v>
      </c>
      <c r="E2032" s="168" t="s">
        <v>11902</v>
      </c>
    </row>
    <row r="2033" spans="1:5">
      <c r="A2033" s="167">
        <v>43039</v>
      </c>
      <c r="B2033" s="167">
        <v>0</v>
      </c>
      <c r="C2033" s="167" t="s">
        <v>12375</v>
      </c>
      <c r="D2033" s="167" t="s">
        <v>6302</v>
      </c>
      <c r="E2033" s="168" t="s">
        <v>12250</v>
      </c>
    </row>
    <row r="2034" spans="1:5">
      <c r="A2034" s="167">
        <v>43040</v>
      </c>
      <c r="B2034" s="167">
        <v>0</v>
      </c>
      <c r="C2034" s="167" t="s">
        <v>12376</v>
      </c>
      <c r="D2034" s="167" t="s">
        <v>6303</v>
      </c>
      <c r="E2034" s="168" t="s">
        <v>4917</v>
      </c>
    </row>
    <row r="2035" spans="1:5">
      <c r="A2035" s="167">
        <v>43041</v>
      </c>
      <c r="B2035" s="167">
        <v>0</v>
      </c>
      <c r="C2035" s="167" t="s">
        <v>12377</v>
      </c>
      <c r="D2035" s="167" t="s">
        <v>6304</v>
      </c>
      <c r="E2035" s="168" t="s">
        <v>12251</v>
      </c>
    </row>
    <row r="2036" spans="1:5">
      <c r="A2036" s="167">
        <v>43042</v>
      </c>
      <c r="B2036" s="167">
        <v>0</v>
      </c>
      <c r="C2036" s="167" t="s">
        <v>12378</v>
      </c>
      <c r="D2036" s="167" t="s">
        <v>6305</v>
      </c>
      <c r="E2036" s="168" t="s">
        <v>12252</v>
      </c>
    </row>
    <row r="2037" spans="1:5">
      <c r="A2037" s="167">
        <v>43043</v>
      </c>
      <c r="B2037" s="167">
        <v>0</v>
      </c>
      <c r="C2037" s="167" t="s">
        <v>4922</v>
      </c>
      <c r="D2037" s="167" t="s">
        <v>6306</v>
      </c>
      <c r="E2037" s="168" t="s">
        <v>6562</v>
      </c>
    </row>
    <row r="2038" spans="1:5">
      <c r="A2038" s="167">
        <v>43044</v>
      </c>
      <c r="B2038" s="167">
        <v>0</v>
      </c>
      <c r="C2038" s="167" t="s">
        <v>12379</v>
      </c>
      <c r="D2038" s="167" t="s">
        <v>6307</v>
      </c>
      <c r="E2038" s="168" t="s">
        <v>12253</v>
      </c>
    </row>
    <row r="2039" spans="1:5">
      <c r="A2039" s="167">
        <v>43045</v>
      </c>
      <c r="B2039" s="167">
        <v>0</v>
      </c>
      <c r="C2039" s="167" t="s">
        <v>12380</v>
      </c>
      <c r="D2039" s="167" t="s">
        <v>6308</v>
      </c>
      <c r="E2039" s="168" t="s">
        <v>6567</v>
      </c>
    </row>
    <row r="2040" spans="1:5">
      <c r="A2040" s="167">
        <v>43046</v>
      </c>
      <c r="B2040" s="167">
        <v>0</v>
      </c>
      <c r="C2040" s="167" t="s">
        <v>4926</v>
      </c>
      <c r="D2040" s="167" t="s">
        <v>6309</v>
      </c>
      <c r="E2040" s="168" t="s">
        <v>4919</v>
      </c>
    </row>
    <row r="2041" spans="1:5">
      <c r="A2041" s="167">
        <v>43047</v>
      </c>
      <c r="B2041" s="167">
        <v>0</v>
      </c>
      <c r="C2041" s="167" t="s">
        <v>12381</v>
      </c>
      <c r="D2041" s="167" t="s">
        <v>6310</v>
      </c>
      <c r="E2041" s="168" t="s">
        <v>12254</v>
      </c>
    </row>
    <row r="2042" spans="1:5">
      <c r="A2042" s="167">
        <v>43048</v>
      </c>
      <c r="B2042" s="167">
        <v>0</v>
      </c>
      <c r="C2042" s="167" t="s">
        <v>12382</v>
      </c>
      <c r="D2042" s="167" t="s">
        <v>6311</v>
      </c>
      <c r="E2042" s="168" t="s">
        <v>12255</v>
      </c>
    </row>
    <row r="2043" spans="1:5">
      <c r="A2043" s="167">
        <v>43049</v>
      </c>
      <c r="B2043" s="167">
        <v>0</v>
      </c>
      <c r="C2043" s="167" t="s">
        <v>4928</v>
      </c>
      <c r="D2043" s="167" t="s">
        <v>6312</v>
      </c>
      <c r="E2043" s="168" t="s">
        <v>4920</v>
      </c>
    </row>
    <row r="2044" spans="1:5">
      <c r="A2044" s="167">
        <v>43050</v>
      </c>
      <c r="B2044" s="167">
        <v>0</v>
      </c>
      <c r="C2044" s="167" t="s">
        <v>12383</v>
      </c>
      <c r="D2044" s="167" t="s">
        <v>6313</v>
      </c>
      <c r="E2044" s="168" t="s">
        <v>11900</v>
      </c>
    </row>
    <row r="2045" spans="1:5">
      <c r="A2045" s="167">
        <v>43051</v>
      </c>
      <c r="B2045" s="167">
        <v>0</v>
      </c>
      <c r="C2045" s="167" t="s">
        <v>12384</v>
      </c>
      <c r="D2045" s="167" t="s">
        <v>6314</v>
      </c>
      <c r="E2045" s="168" t="s">
        <v>12256</v>
      </c>
    </row>
    <row r="2046" spans="1:5">
      <c r="A2046" s="167">
        <v>43052</v>
      </c>
      <c r="B2046" s="167">
        <v>0</v>
      </c>
      <c r="C2046" s="167" t="s">
        <v>4923</v>
      </c>
      <c r="D2046" s="167" t="s">
        <v>6315</v>
      </c>
      <c r="E2046" s="168" t="s">
        <v>6565</v>
      </c>
    </row>
    <row r="2047" spans="1:5">
      <c r="A2047" s="167">
        <v>43053</v>
      </c>
      <c r="B2047" s="167">
        <v>0</v>
      </c>
      <c r="C2047" s="167" t="s">
        <v>12385</v>
      </c>
      <c r="D2047" s="167" t="s">
        <v>6316</v>
      </c>
      <c r="E2047" s="168" t="s">
        <v>12257</v>
      </c>
    </row>
    <row r="2048" spans="1:5">
      <c r="A2048" s="167">
        <v>43054</v>
      </c>
      <c r="B2048" s="167">
        <v>0</v>
      </c>
      <c r="C2048" s="167" t="s">
        <v>12386</v>
      </c>
      <c r="D2048" s="167" t="s">
        <v>6317</v>
      </c>
      <c r="E2048" s="168" t="s">
        <v>12258</v>
      </c>
    </row>
    <row r="2049" spans="1:5">
      <c r="A2049" s="167">
        <v>43055</v>
      </c>
      <c r="B2049" s="167">
        <v>0</v>
      </c>
      <c r="C2049" s="167" t="s">
        <v>6484</v>
      </c>
      <c r="D2049" s="167" t="s">
        <v>6318</v>
      </c>
      <c r="E2049" s="168" t="s">
        <v>11898</v>
      </c>
    </row>
    <row r="2050" spans="1:5">
      <c r="A2050" s="167">
        <v>43056</v>
      </c>
      <c r="B2050" s="167">
        <v>0</v>
      </c>
      <c r="C2050" s="167" t="s">
        <v>12387</v>
      </c>
      <c r="D2050" s="167" t="s">
        <v>6319</v>
      </c>
      <c r="E2050" s="168" t="s">
        <v>12259</v>
      </c>
    </row>
    <row r="2051" spans="1:5">
      <c r="A2051" s="167">
        <v>43057</v>
      </c>
      <c r="B2051" s="167">
        <v>0</v>
      </c>
      <c r="C2051" s="167" t="s">
        <v>12388</v>
      </c>
      <c r="D2051" s="167" t="s">
        <v>6320</v>
      </c>
      <c r="E2051" s="168" t="s">
        <v>12260</v>
      </c>
    </row>
    <row r="2052" spans="1:5">
      <c r="A2052" s="167">
        <v>43058</v>
      </c>
      <c r="B2052" s="167">
        <v>0</v>
      </c>
      <c r="C2052" s="167" t="s">
        <v>12389</v>
      </c>
      <c r="D2052" s="167" t="s">
        <v>6321</v>
      </c>
      <c r="E2052" s="168" t="s">
        <v>4914</v>
      </c>
    </row>
    <row r="2053" spans="1:5">
      <c r="A2053" s="167">
        <v>43059</v>
      </c>
      <c r="B2053" s="167">
        <v>0</v>
      </c>
      <c r="C2053" s="167" t="s">
        <v>12390</v>
      </c>
      <c r="D2053" s="167" t="s">
        <v>6322</v>
      </c>
      <c r="E2053" s="168" t="s">
        <v>12261</v>
      </c>
    </row>
    <row r="2054" spans="1:5">
      <c r="A2054" s="167">
        <v>43060</v>
      </c>
      <c r="B2054" s="167">
        <v>0</v>
      </c>
      <c r="C2054" s="167" t="s">
        <v>12391</v>
      </c>
      <c r="D2054" s="167" t="s">
        <v>6323</v>
      </c>
      <c r="E2054" s="168" t="s">
        <v>12262</v>
      </c>
    </row>
    <row r="2055" spans="1:5">
      <c r="A2055" s="167">
        <v>43061</v>
      </c>
      <c r="B2055" s="167">
        <v>0</v>
      </c>
      <c r="C2055" s="167" t="s">
        <v>6480</v>
      </c>
      <c r="D2055" s="167" t="s">
        <v>6324</v>
      </c>
      <c r="E2055" s="168" t="s">
        <v>4915</v>
      </c>
    </row>
    <row r="2056" spans="1:5">
      <c r="A2056" s="167">
        <v>43062</v>
      </c>
      <c r="B2056" s="167">
        <v>0</v>
      </c>
      <c r="C2056" s="167" t="s">
        <v>6487</v>
      </c>
      <c r="D2056" s="167" t="s">
        <v>6325</v>
      </c>
      <c r="E2056" s="168" t="s">
        <v>12263</v>
      </c>
    </row>
    <row r="2057" spans="1:5">
      <c r="A2057" s="167">
        <v>43063</v>
      </c>
      <c r="B2057" s="167">
        <v>0</v>
      </c>
      <c r="C2057" s="167" t="s">
        <v>12392</v>
      </c>
      <c r="D2057" s="167" t="s">
        <v>6326</v>
      </c>
      <c r="E2057" s="168" t="s">
        <v>12264</v>
      </c>
    </row>
    <row r="2058" spans="1:5">
      <c r="A2058" s="167">
        <v>43064</v>
      </c>
      <c r="B2058" s="167">
        <v>0</v>
      </c>
      <c r="C2058" s="167" t="s">
        <v>6482</v>
      </c>
      <c r="D2058" s="167" t="s">
        <v>6327</v>
      </c>
      <c r="E2058" s="168" t="s">
        <v>6559</v>
      </c>
    </row>
    <row r="2059" spans="1:5">
      <c r="A2059" s="167">
        <v>43065</v>
      </c>
      <c r="B2059" s="167">
        <v>0</v>
      </c>
      <c r="C2059" s="167" t="s">
        <v>12393</v>
      </c>
      <c r="D2059" s="167" t="s">
        <v>6328</v>
      </c>
      <c r="E2059" s="168" t="s">
        <v>12265</v>
      </c>
    </row>
    <row r="2060" spans="1:5">
      <c r="A2060" s="167">
        <v>43066</v>
      </c>
      <c r="B2060" s="167">
        <v>0</v>
      </c>
      <c r="C2060" s="167" t="s">
        <v>6485</v>
      </c>
      <c r="D2060" s="167" t="s">
        <v>6329</v>
      </c>
      <c r="E2060" s="168" t="s">
        <v>12266</v>
      </c>
    </row>
    <row r="2061" spans="1:5">
      <c r="A2061" s="167">
        <v>43067</v>
      </c>
      <c r="B2061" s="167">
        <v>0</v>
      </c>
      <c r="C2061" s="167" t="s">
        <v>12358</v>
      </c>
      <c r="D2061" s="167" t="s">
        <v>6330</v>
      </c>
      <c r="E2061" s="168" t="s">
        <v>6561</v>
      </c>
    </row>
    <row r="2062" spans="1:5">
      <c r="A2062" s="167">
        <v>43068</v>
      </c>
      <c r="B2062" s="167">
        <v>0</v>
      </c>
      <c r="C2062" s="167" t="s">
        <v>12394</v>
      </c>
      <c r="D2062" s="167" t="s">
        <v>6331</v>
      </c>
      <c r="E2062" s="168" t="s">
        <v>12267</v>
      </c>
    </row>
    <row r="2063" spans="1:5">
      <c r="A2063" s="167">
        <v>43069</v>
      </c>
      <c r="B2063" s="167">
        <v>0</v>
      </c>
      <c r="C2063" s="167" t="s">
        <v>12395</v>
      </c>
      <c r="D2063" s="167" t="s">
        <v>6332</v>
      </c>
      <c r="E2063" s="168" t="s">
        <v>12268</v>
      </c>
    </row>
    <row r="2064" spans="1:5">
      <c r="A2064" s="167">
        <v>43070</v>
      </c>
      <c r="B2064" s="167">
        <v>0</v>
      </c>
      <c r="C2064" s="167" t="s">
        <v>4927</v>
      </c>
      <c r="D2064" s="167" t="s">
        <v>6333</v>
      </c>
      <c r="E2064" s="168" t="s">
        <v>6563</v>
      </c>
    </row>
    <row r="2065" spans="1:5">
      <c r="A2065" s="167">
        <v>43071</v>
      </c>
      <c r="B2065" s="167">
        <v>0</v>
      </c>
      <c r="C2065" s="167" t="s">
        <v>12396</v>
      </c>
      <c r="D2065" s="167" t="s">
        <v>6334</v>
      </c>
      <c r="E2065" s="168" t="s">
        <v>12269</v>
      </c>
    </row>
    <row r="2066" spans="1:5">
      <c r="A2066" s="167">
        <v>43072</v>
      </c>
      <c r="B2066" s="167">
        <v>0</v>
      </c>
      <c r="C2066" s="167" t="s">
        <v>12397</v>
      </c>
      <c r="D2066" s="167" t="s">
        <v>6335</v>
      </c>
      <c r="E2066" s="168" t="s">
        <v>12270</v>
      </c>
    </row>
    <row r="2067" spans="1:5">
      <c r="A2067" s="167">
        <v>43073</v>
      </c>
      <c r="B2067" s="167">
        <v>0</v>
      </c>
      <c r="C2067" s="167" t="s">
        <v>4929</v>
      </c>
      <c r="D2067" s="167" t="s">
        <v>6336</v>
      </c>
      <c r="E2067" s="168" t="s">
        <v>4918</v>
      </c>
    </row>
    <row r="2068" spans="1:5">
      <c r="A2068" s="167">
        <v>43074</v>
      </c>
      <c r="B2068" s="167">
        <v>0</v>
      </c>
      <c r="C2068" s="167" t="s">
        <v>12398</v>
      </c>
      <c r="D2068" s="167" t="s">
        <v>6337</v>
      </c>
      <c r="E2068" s="168" t="s">
        <v>12271</v>
      </c>
    </row>
    <row r="2069" spans="1:5">
      <c r="A2069" s="167">
        <v>43075</v>
      </c>
      <c r="B2069" s="167">
        <v>0</v>
      </c>
      <c r="C2069" s="167" t="s">
        <v>12399</v>
      </c>
      <c r="D2069" s="167" t="s">
        <v>6338</v>
      </c>
      <c r="E2069" s="168" t="s">
        <v>12272</v>
      </c>
    </row>
    <row r="2070" spans="1:5">
      <c r="A2070" s="167">
        <v>43076</v>
      </c>
      <c r="B2070" s="167">
        <v>0</v>
      </c>
      <c r="C2070" s="167" t="s">
        <v>4925</v>
      </c>
      <c r="D2070" s="167" t="s">
        <v>6339</v>
      </c>
      <c r="E2070" s="168" t="s">
        <v>6564</v>
      </c>
    </row>
    <row r="2071" spans="1:5">
      <c r="A2071" s="167">
        <v>43077</v>
      </c>
      <c r="B2071" s="167">
        <v>0</v>
      </c>
      <c r="C2071" s="167" t="s">
        <v>12400</v>
      </c>
      <c r="D2071" s="167" t="s">
        <v>6340</v>
      </c>
      <c r="E2071" s="168" t="s">
        <v>12273</v>
      </c>
    </row>
    <row r="2072" spans="1:5">
      <c r="A2072" s="167">
        <v>43078</v>
      </c>
      <c r="B2072" s="167">
        <v>0</v>
      </c>
      <c r="C2072" s="167" t="s">
        <v>12401</v>
      </c>
      <c r="D2072" s="167" t="s">
        <v>6341</v>
      </c>
      <c r="E2072" s="168" t="s">
        <v>12274</v>
      </c>
    </row>
    <row r="2073" spans="1:5">
      <c r="A2073" s="167">
        <v>43079</v>
      </c>
      <c r="B2073" s="167">
        <v>0</v>
      </c>
      <c r="C2073" s="167" t="s">
        <v>4931</v>
      </c>
      <c r="D2073" s="167" t="s">
        <v>6342</v>
      </c>
      <c r="E2073" s="168" t="s">
        <v>4921</v>
      </c>
    </row>
    <row r="2074" spans="1:5">
      <c r="A2074" s="167">
        <v>43080</v>
      </c>
      <c r="B2074" s="167">
        <v>0</v>
      </c>
      <c r="C2074" s="167" t="s">
        <v>12402</v>
      </c>
      <c r="D2074" s="167" t="s">
        <v>6343</v>
      </c>
      <c r="E2074" s="168" t="s">
        <v>12275</v>
      </c>
    </row>
    <row r="2075" spans="1:5">
      <c r="A2075" s="167">
        <v>43081</v>
      </c>
      <c r="B2075" s="167">
        <v>0</v>
      </c>
      <c r="C2075" s="167" t="s">
        <v>12403</v>
      </c>
      <c r="D2075" s="167" t="s">
        <v>6344</v>
      </c>
      <c r="E2075" s="168" t="s">
        <v>12276</v>
      </c>
    </row>
    <row r="2076" spans="1:5">
      <c r="A2076" s="167">
        <v>43082</v>
      </c>
      <c r="B2076" s="167">
        <v>0</v>
      </c>
      <c r="C2076" s="167" t="s">
        <v>4930</v>
      </c>
      <c r="D2076" s="167" t="s">
        <v>6345</v>
      </c>
      <c r="E2076" s="168" t="s">
        <v>11897</v>
      </c>
    </row>
    <row r="2077" spans="1:5">
      <c r="A2077" s="167">
        <v>43083</v>
      </c>
      <c r="B2077" s="167">
        <v>0</v>
      </c>
      <c r="C2077" s="167" t="s">
        <v>12404</v>
      </c>
      <c r="D2077" s="167" t="s">
        <v>6346</v>
      </c>
      <c r="E2077" s="168" t="s">
        <v>12277</v>
      </c>
    </row>
    <row r="2078" spans="1:5">
      <c r="A2078" s="167">
        <v>43084</v>
      </c>
      <c r="B2078" s="167">
        <v>0</v>
      </c>
      <c r="C2078" s="167" t="s">
        <v>12405</v>
      </c>
      <c r="D2078" s="167" t="s">
        <v>6347</v>
      </c>
      <c r="E2078" s="168" t="s">
        <v>12278</v>
      </c>
    </row>
    <row r="2079" spans="1:5">
      <c r="A2079" s="167">
        <v>43085</v>
      </c>
      <c r="B2079" s="167">
        <v>0</v>
      </c>
      <c r="C2079" s="167" t="s">
        <v>6486</v>
      </c>
      <c r="D2079" s="167" t="s">
        <v>6348</v>
      </c>
      <c r="E2079" s="168" t="s">
        <v>6558</v>
      </c>
    </row>
    <row r="2080" spans="1:5">
      <c r="A2080" s="167">
        <v>43086</v>
      </c>
      <c r="B2080" s="167">
        <v>0</v>
      </c>
      <c r="C2080" s="167" t="s">
        <v>12406</v>
      </c>
      <c r="D2080" s="167" t="s">
        <v>6349</v>
      </c>
      <c r="E2080" s="168" t="s">
        <v>6570</v>
      </c>
    </row>
    <row r="2081" spans="1:5">
      <c r="A2081" s="167">
        <v>43087</v>
      </c>
      <c r="B2081" s="167">
        <v>0</v>
      </c>
      <c r="C2081" s="167" t="s">
        <v>12407</v>
      </c>
      <c r="D2081" s="167" t="s">
        <v>6350</v>
      </c>
      <c r="E2081" s="168" t="s">
        <v>12279</v>
      </c>
    </row>
    <row r="2082" spans="1:5">
      <c r="A2082" s="167">
        <v>43088</v>
      </c>
      <c r="B2082" s="167">
        <v>0</v>
      </c>
      <c r="C2082" s="167" t="s">
        <v>6483</v>
      </c>
      <c r="D2082" s="167" t="s">
        <v>6351</v>
      </c>
      <c r="E2082" s="168" t="s">
        <v>6560</v>
      </c>
    </row>
    <row r="2083" spans="1:5">
      <c r="A2083" s="167">
        <v>43089</v>
      </c>
      <c r="B2083" s="167">
        <v>0</v>
      </c>
      <c r="C2083" s="167" t="s">
        <v>12408</v>
      </c>
      <c r="D2083" s="167" t="s">
        <v>6352</v>
      </c>
      <c r="E2083" s="168" t="s">
        <v>12280</v>
      </c>
    </row>
    <row r="2084" spans="1:5">
      <c r="A2084" s="167">
        <v>43090</v>
      </c>
      <c r="B2084" s="167">
        <v>0</v>
      </c>
      <c r="C2084" s="167" t="s">
        <v>12409</v>
      </c>
      <c r="D2084" s="167" t="s">
        <v>6353</v>
      </c>
      <c r="E2084" s="168" t="s">
        <v>12281</v>
      </c>
    </row>
    <row r="2085" spans="1:5">
      <c r="A2085" s="167">
        <v>43091</v>
      </c>
      <c r="B2085" s="167">
        <v>0</v>
      </c>
      <c r="C2085" s="167" t="s">
        <v>6481</v>
      </c>
      <c r="D2085" s="167" t="s">
        <v>6354</v>
      </c>
      <c r="E2085" s="168" t="s">
        <v>4916</v>
      </c>
    </row>
    <row r="2086" spans="1:5">
      <c r="A2086" s="167">
        <v>43092</v>
      </c>
      <c r="B2086" s="167">
        <v>0</v>
      </c>
      <c r="C2086" s="167" t="s">
        <v>12410</v>
      </c>
      <c r="D2086" s="167" t="s">
        <v>6355</v>
      </c>
      <c r="E2086" s="168" t="s">
        <v>6569</v>
      </c>
    </row>
    <row r="2087" spans="1:5">
      <c r="A2087" s="167">
        <v>43093</v>
      </c>
      <c r="B2087" s="167">
        <v>0</v>
      </c>
      <c r="C2087" s="167" t="s">
        <v>12411</v>
      </c>
      <c r="D2087" s="167" t="s">
        <v>6356</v>
      </c>
      <c r="E2087" s="168" t="s">
        <v>12282</v>
      </c>
    </row>
    <row r="2088" spans="1:5">
      <c r="A2088" s="167">
        <v>43094</v>
      </c>
      <c r="B2088" s="167">
        <v>0</v>
      </c>
      <c r="C2088" s="167" t="s">
        <v>12376</v>
      </c>
      <c r="D2088" s="167" t="s">
        <v>6357</v>
      </c>
      <c r="E2088" s="168" t="s">
        <v>4917</v>
      </c>
    </row>
    <row r="2089" spans="1:5">
      <c r="A2089" s="167">
        <v>43095</v>
      </c>
      <c r="B2089" s="167">
        <v>0</v>
      </c>
      <c r="C2089" s="167" t="s">
        <v>12412</v>
      </c>
      <c r="D2089" s="167" t="s">
        <v>6358</v>
      </c>
      <c r="E2089" s="168" t="s">
        <v>12283</v>
      </c>
    </row>
    <row r="2090" spans="1:5">
      <c r="A2090" s="167">
        <v>43096</v>
      </c>
      <c r="B2090" s="167">
        <v>0</v>
      </c>
      <c r="C2090" s="167" t="s">
        <v>12413</v>
      </c>
      <c r="D2090" s="167" t="s">
        <v>6359</v>
      </c>
      <c r="E2090" s="168" t="s">
        <v>12284</v>
      </c>
    </row>
    <row r="2091" spans="1:5">
      <c r="A2091" s="167">
        <v>43097</v>
      </c>
      <c r="B2091" s="167">
        <v>0</v>
      </c>
      <c r="C2091" s="167" t="s">
        <v>4922</v>
      </c>
      <c r="D2091" s="167" t="s">
        <v>6360</v>
      </c>
      <c r="E2091" s="168" t="s">
        <v>6562</v>
      </c>
    </row>
    <row r="2092" spans="1:5">
      <c r="A2092" s="167">
        <v>43098</v>
      </c>
      <c r="B2092" s="167">
        <v>0</v>
      </c>
      <c r="C2092" s="167" t="s">
        <v>12414</v>
      </c>
      <c r="D2092" s="167" t="s">
        <v>6361</v>
      </c>
      <c r="E2092" s="168" t="s">
        <v>12285</v>
      </c>
    </row>
    <row r="2093" spans="1:5">
      <c r="A2093" s="167">
        <v>43099</v>
      </c>
      <c r="B2093" s="167">
        <v>0</v>
      </c>
      <c r="C2093" s="167" t="s">
        <v>12415</v>
      </c>
      <c r="D2093" s="167" t="s">
        <v>6362</v>
      </c>
      <c r="E2093" s="168" t="s">
        <v>12286</v>
      </c>
    </row>
    <row r="2094" spans="1:5">
      <c r="A2094" s="167">
        <v>43100</v>
      </c>
      <c r="B2094" s="167">
        <v>0</v>
      </c>
      <c r="C2094" s="167" t="s">
        <v>4926</v>
      </c>
      <c r="D2094" s="167" t="s">
        <v>6363</v>
      </c>
      <c r="E2094" s="168" t="s">
        <v>4919</v>
      </c>
    </row>
    <row r="2095" spans="1:5">
      <c r="A2095" s="167">
        <v>43101</v>
      </c>
      <c r="B2095" s="167">
        <v>0</v>
      </c>
      <c r="C2095" s="167" t="s">
        <v>12416</v>
      </c>
      <c r="D2095" s="167" t="s">
        <v>6364</v>
      </c>
      <c r="E2095" s="168" t="s">
        <v>12287</v>
      </c>
    </row>
    <row r="2096" spans="1:5">
      <c r="A2096" s="167">
        <v>43102</v>
      </c>
      <c r="B2096" s="167">
        <v>0</v>
      </c>
      <c r="C2096" s="167" t="s">
        <v>12417</v>
      </c>
      <c r="D2096" s="167" t="s">
        <v>6365</v>
      </c>
      <c r="E2096" s="168" t="s">
        <v>12288</v>
      </c>
    </row>
    <row r="2097" spans="1:5">
      <c r="A2097" s="167">
        <v>43103</v>
      </c>
      <c r="B2097" s="167">
        <v>0</v>
      </c>
      <c r="C2097" s="167" t="s">
        <v>4928</v>
      </c>
      <c r="D2097" s="167" t="s">
        <v>6366</v>
      </c>
      <c r="E2097" s="168" t="s">
        <v>4920</v>
      </c>
    </row>
    <row r="2098" spans="1:5">
      <c r="A2098" s="167">
        <v>43104</v>
      </c>
      <c r="B2098" s="167">
        <v>0</v>
      </c>
      <c r="C2098" s="167" t="s">
        <v>12418</v>
      </c>
      <c r="D2098" s="167" t="s">
        <v>6367</v>
      </c>
      <c r="E2098" s="168" t="s">
        <v>12289</v>
      </c>
    </row>
    <row r="2099" spans="1:5">
      <c r="A2099" s="167">
        <v>43105</v>
      </c>
      <c r="B2099" s="167">
        <v>0</v>
      </c>
      <c r="C2099" s="167" t="s">
        <v>12419</v>
      </c>
      <c r="D2099" s="167" t="s">
        <v>6368</v>
      </c>
      <c r="E2099" s="168" t="s">
        <v>12290</v>
      </c>
    </row>
    <row r="2100" spans="1:5">
      <c r="A2100" s="167">
        <v>43106</v>
      </c>
      <c r="B2100" s="167">
        <v>0</v>
      </c>
      <c r="C2100" s="167" t="s">
        <v>4923</v>
      </c>
      <c r="D2100" s="167" t="s">
        <v>6369</v>
      </c>
      <c r="E2100" s="168" t="s">
        <v>6565</v>
      </c>
    </row>
    <row r="2101" spans="1:5">
      <c r="A2101" s="167">
        <v>43107</v>
      </c>
      <c r="B2101" s="167">
        <v>0</v>
      </c>
      <c r="C2101" s="167" t="s">
        <v>12420</v>
      </c>
      <c r="D2101" s="167" t="s">
        <v>6370</v>
      </c>
      <c r="E2101" s="168" t="s">
        <v>12291</v>
      </c>
    </row>
    <row r="2102" spans="1:5">
      <c r="A2102" s="167">
        <v>43108</v>
      </c>
      <c r="B2102" s="167">
        <v>0</v>
      </c>
      <c r="C2102" s="167" t="s">
        <v>12421</v>
      </c>
      <c r="D2102" s="167" t="s">
        <v>6371</v>
      </c>
      <c r="E2102" s="168" t="s">
        <v>12292</v>
      </c>
    </row>
    <row r="2103" spans="1:5">
      <c r="A2103" s="167">
        <v>43109</v>
      </c>
      <c r="B2103" s="167">
        <v>0</v>
      </c>
      <c r="C2103" s="167" t="s">
        <v>6484</v>
      </c>
      <c r="D2103" s="167" t="s">
        <v>6372</v>
      </c>
      <c r="E2103" s="168" t="s">
        <v>11898</v>
      </c>
    </row>
    <row r="2104" spans="1:5">
      <c r="A2104" s="167">
        <v>43110</v>
      </c>
      <c r="B2104" s="167">
        <v>0</v>
      </c>
      <c r="C2104" s="167" t="s">
        <v>12422</v>
      </c>
      <c r="D2104" s="167" t="s">
        <v>6373</v>
      </c>
      <c r="E2104" s="168" t="s">
        <v>12293</v>
      </c>
    </row>
    <row r="2105" spans="1:5">
      <c r="A2105" s="167">
        <v>43111</v>
      </c>
      <c r="B2105" s="167">
        <v>0</v>
      </c>
      <c r="C2105" s="167" t="s">
        <v>12423</v>
      </c>
      <c r="D2105" s="167" t="s">
        <v>6374</v>
      </c>
      <c r="E2105" s="168" t="s">
        <v>12294</v>
      </c>
    </row>
    <row r="2106" spans="1:5">
      <c r="A2106" s="167">
        <v>43112</v>
      </c>
      <c r="B2106" s="167">
        <v>0</v>
      </c>
      <c r="C2106" s="167" t="s">
        <v>12389</v>
      </c>
      <c r="D2106" s="167" t="s">
        <v>6375</v>
      </c>
      <c r="E2106" s="168" t="s">
        <v>4914</v>
      </c>
    </row>
    <row r="2107" spans="1:5">
      <c r="A2107" s="167">
        <v>43113</v>
      </c>
      <c r="B2107" s="167">
        <v>0</v>
      </c>
      <c r="C2107" s="167" t="s">
        <v>12424</v>
      </c>
      <c r="D2107" s="167" t="s">
        <v>6376</v>
      </c>
      <c r="E2107" s="168" t="s">
        <v>12295</v>
      </c>
    </row>
    <row r="2108" spans="1:5">
      <c r="A2108" s="167">
        <v>43114</v>
      </c>
      <c r="B2108" s="167">
        <v>0</v>
      </c>
      <c r="C2108" s="167" t="s">
        <v>12425</v>
      </c>
      <c r="D2108" s="167" t="s">
        <v>6377</v>
      </c>
      <c r="E2108" s="168" t="s">
        <v>12296</v>
      </c>
    </row>
    <row r="2109" spans="1:5">
      <c r="A2109" s="167">
        <v>43115</v>
      </c>
      <c r="B2109" s="167">
        <v>0</v>
      </c>
      <c r="C2109" s="167" t="s">
        <v>6480</v>
      </c>
      <c r="D2109" s="167" t="s">
        <v>6378</v>
      </c>
      <c r="E2109" s="168" t="s">
        <v>4915</v>
      </c>
    </row>
    <row r="2110" spans="1:5">
      <c r="A2110" s="167">
        <v>43116</v>
      </c>
      <c r="B2110" s="167">
        <v>0</v>
      </c>
      <c r="C2110" s="167" t="s">
        <v>12426</v>
      </c>
      <c r="D2110" s="167" t="s">
        <v>6379</v>
      </c>
      <c r="E2110" s="168" t="s">
        <v>12297</v>
      </c>
    </row>
    <row r="2111" spans="1:5">
      <c r="A2111" s="167">
        <v>43117</v>
      </c>
      <c r="B2111" s="167">
        <v>0</v>
      </c>
      <c r="C2111" s="167" t="s">
        <v>12427</v>
      </c>
      <c r="D2111" s="167" t="s">
        <v>6380</v>
      </c>
      <c r="E2111" s="168" t="s">
        <v>12298</v>
      </c>
    </row>
    <row r="2112" spans="1:5">
      <c r="A2112" s="167">
        <v>43118</v>
      </c>
      <c r="B2112" s="167">
        <v>0</v>
      </c>
      <c r="C2112" s="167" t="s">
        <v>6482</v>
      </c>
      <c r="D2112" s="167" t="s">
        <v>6381</v>
      </c>
      <c r="E2112" s="168" t="s">
        <v>6559</v>
      </c>
    </row>
    <row r="2113" spans="1:5">
      <c r="A2113" s="167">
        <v>43119</v>
      </c>
      <c r="B2113" s="167">
        <v>0</v>
      </c>
      <c r="C2113" s="167" t="s">
        <v>12428</v>
      </c>
      <c r="D2113" s="167" t="s">
        <v>6382</v>
      </c>
      <c r="E2113" s="168" t="s">
        <v>12299</v>
      </c>
    </row>
    <row r="2114" spans="1:5">
      <c r="A2114" s="167">
        <v>43120</v>
      </c>
      <c r="B2114" s="167">
        <v>0</v>
      </c>
      <c r="C2114" s="167" t="s">
        <v>12429</v>
      </c>
      <c r="D2114" s="167" t="s">
        <v>6383</v>
      </c>
      <c r="E2114" s="168" t="s">
        <v>12300</v>
      </c>
    </row>
    <row r="2115" spans="1:5">
      <c r="A2115" s="167">
        <v>43121</v>
      </c>
      <c r="B2115" s="167">
        <v>0</v>
      </c>
      <c r="C2115" s="167" t="s">
        <v>12358</v>
      </c>
      <c r="D2115" s="167" t="s">
        <v>6384</v>
      </c>
      <c r="E2115" s="168" t="s">
        <v>6561</v>
      </c>
    </row>
    <row r="2116" spans="1:5">
      <c r="A2116" s="167">
        <v>43122</v>
      </c>
      <c r="B2116" s="167">
        <v>0</v>
      </c>
      <c r="C2116" s="167" t="s">
        <v>12430</v>
      </c>
      <c r="D2116" s="167" t="s">
        <v>6385</v>
      </c>
      <c r="E2116" s="168" t="s">
        <v>12301</v>
      </c>
    </row>
    <row r="2117" spans="1:5">
      <c r="A2117" s="167">
        <v>43123</v>
      </c>
      <c r="B2117" s="167">
        <v>0</v>
      </c>
      <c r="C2117" s="167" t="s">
        <v>12431</v>
      </c>
      <c r="D2117" s="167" t="s">
        <v>6386</v>
      </c>
      <c r="E2117" s="168" t="s">
        <v>12302</v>
      </c>
    </row>
    <row r="2118" spans="1:5">
      <c r="A2118" s="167">
        <v>43124</v>
      </c>
      <c r="B2118" s="167">
        <v>0</v>
      </c>
      <c r="C2118" s="167" t="s">
        <v>4927</v>
      </c>
      <c r="D2118" s="167" t="s">
        <v>6387</v>
      </c>
      <c r="E2118" s="168" t="s">
        <v>6563</v>
      </c>
    </row>
    <row r="2119" spans="1:5">
      <c r="A2119" s="167">
        <v>43125</v>
      </c>
      <c r="B2119" s="167">
        <v>0</v>
      </c>
      <c r="C2119" s="167" t="s">
        <v>12432</v>
      </c>
      <c r="D2119" s="167" t="s">
        <v>6388</v>
      </c>
      <c r="E2119" s="168" t="s">
        <v>12303</v>
      </c>
    </row>
    <row r="2120" spans="1:5">
      <c r="A2120" s="167">
        <v>43126</v>
      </c>
      <c r="B2120" s="167">
        <v>0</v>
      </c>
      <c r="C2120" s="167" t="s">
        <v>12433</v>
      </c>
      <c r="D2120" s="167" t="s">
        <v>6389</v>
      </c>
      <c r="E2120" s="168" t="s">
        <v>12304</v>
      </c>
    </row>
    <row r="2121" spans="1:5">
      <c r="A2121" s="167">
        <v>43127</v>
      </c>
      <c r="B2121" s="167">
        <v>0</v>
      </c>
      <c r="C2121" s="167" t="s">
        <v>4929</v>
      </c>
      <c r="D2121" s="167" t="s">
        <v>6390</v>
      </c>
      <c r="E2121" s="168" t="s">
        <v>4918</v>
      </c>
    </row>
    <row r="2122" spans="1:5">
      <c r="A2122" s="167">
        <v>43128</v>
      </c>
      <c r="B2122" s="167">
        <v>0</v>
      </c>
      <c r="C2122" s="167" t="s">
        <v>12434</v>
      </c>
      <c r="D2122" s="167" t="s">
        <v>6391</v>
      </c>
      <c r="E2122" s="168" t="s">
        <v>12305</v>
      </c>
    </row>
    <row r="2123" spans="1:5">
      <c r="A2123" s="167">
        <v>43129</v>
      </c>
      <c r="B2123" s="167">
        <v>0</v>
      </c>
      <c r="C2123" s="167" t="s">
        <v>12435</v>
      </c>
      <c r="D2123" s="167" t="s">
        <v>6392</v>
      </c>
      <c r="E2123" s="168" t="s">
        <v>12306</v>
      </c>
    </row>
    <row r="2124" spans="1:5">
      <c r="A2124" s="167">
        <v>43130</v>
      </c>
      <c r="B2124" s="167">
        <v>0</v>
      </c>
      <c r="C2124" s="167" t="s">
        <v>4925</v>
      </c>
      <c r="D2124" s="167" t="s">
        <v>6393</v>
      </c>
      <c r="E2124" s="168" t="s">
        <v>6564</v>
      </c>
    </row>
    <row r="2125" spans="1:5">
      <c r="A2125" s="167">
        <v>43131</v>
      </c>
      <c r="B2125" s="167">
        <v>0</v>
      </c>
      <c r="C2125" s="167" t="s">
        <v>12436</v>
      </c>
      <c r="D2125" s="167" t="s">
        <v>6394</v>
      </c>
      <c r="E2125" s="168" t="s">
        <v>12307</v>
      </c>
    </row>
    <row r="2126" spans="1:5">
      <c r="A2126" s="167">
        <v>43132</v>
      </c>
      <c r="B2126" s="167">
        <v>0</v>
      </c>
      <c r="C2126" s="167" t="s">
        <v>12437</v>
      </c>
      <c r="D2126" s="167" t="s">
        <v>6395</v>
      </c>
      <c r="E2126" s="168" t="s">
        <v>12308</v>
      </c>
    </row>
    <row r="2127" spans="1:5">
      <c r="A2127" s="167">
        <v>43133</v>
      </c>
      <c r="B2127" s="167">
        <v>0</v>
      </c>
      <c r="C2127" s="167" t="s">
        <v>4931</v>
      </c>
      <c r="D2127" s="167" t="s">
        <v>6396</v>
      </c>
      <c r="E2127" s="168" t="s">
        <v>4921</v>
      </c>
    </row>
    <row r="2128" spans="1:5">
      <c r="A2128" s="167">
        <v>43134</v>
      </c>
      <c r="B2128" s="167">
        <v>0</v>
      </c>
      <c r="C2128" s="167" t="s">
        <v>12438</v>
      </c>
      <c r="D2128" s="167" t="s">
        <v>6397</v>
      </c>
      <c r="E2128" s="168" t="s">
        <v>12309</v>
      </c>
    </row>
    <row r="2129" spans="1:5">
      <c r="A2129" s="167">
        <v>43135</v>
      </c>
      <c r="B2129" s="167">
        <v>0</v>
      </c>
      <c r="C2129" s="167" t="s">
        <v>12439</v>
      </c>
      <c r="D2129" s="167" t="s">
        <v>6398</v>
      </c>
      <c r="E2129" s="168" t="s">
        <v>12310</v>
      </c>
    </row>
    <row r="2130" spans="1:5">
      <c r="A2130" s="167">
        <v>43136</v>
      </c>
      <c r="B2130" s="167">
        <v>0</v>
      </c>
      <c r="C2130" s="167" t="s">
        <v>4930</v>
      </c>
      <c r="D2130" s="167" t="s">
        <v>6399</v>
      </c>
      <c r="E2130" s="168" t="s">
        <v>11897</v>
      </c>
    </row>
    <row r="2131" spans="1:5">
      <c r="A2131" s="167">
        <v>43137</v>
      </c>
      <c r="B2131" s="167">
        <v>0</v>
      </c>
      <c r="C2131" s="167" t="s">
        <v>6496</v>
      </c>
      <c r="D2131" s="167" t="s">
        <v>6400</v>
      </c>
      <c r="E2131" s="168" t="s">
        <v>12311</v>
      </c>
    </row>
    <row r="2132" spans="1:5">
      <c r="A2132" s="167">
        <v>43138</v>
      </c>
      <c r="B2132" s="167">
        <v>0</v>
      </c>
      <c r="C2132" s="167" t="s">
        <v>12440</v>
      </c>
      <c r="D2132" s="167" t="s">
        <v>6401</v>
      </c>
      <c r="E2132" s="168" t="s">
        <v>12312</v>
      </c>
    </row>
    <row r="2133" spans="1:5">
      <c r="A2133" s="167">
        <v>43139</v>
      </c>
      <c r="B2133" s="167">
        <v>0</v>
      </c>
      <c r="C2133" s="167" t="s">
        <v>6486</v>
      </c>
      <c r="D2133" s="167" t="s">
        <v>6402</v>
      </c>
      <c r="E2133" s="168" t="s">
        <v>6558</v>
      </c>
    </row>
    <row r="2134" spans="1:5">
      <c r="A2134" s="167">
        <v>43140</v>
      </c>
      <c r="B2134" s="167">
        <v>0</v>
      </c>
      <c r="C2134" s="167" t="s">
        <v>12441</v>
      </c>
      <c r="D2134" s="167" t="s">
        <v>6403</v>
      </c>
      <c r="E2134" s="168" t="s">
        <v>12313</v>
      </c>
    </row>
    <row r="2135" spans="1:5">
      <c r="A2135" s="167">
        <v>43141</v>
      </c>
      <c r="B2135" s="167">
        <v>0</v>
      </c>
      <c r="C2135" s="167" t="s">
        <v>12442</v>
      </c>
      <c r="D2135" s="167" t="s">
        <v>6404</v>
      </c>
      <c r="E2135" s="168" t="s">
        <v>12314</v>
      </c>
    </row>
    <row r="2136" spans="1:5">
      <c r="A2136" s="167">
        <v>43142</v>
      </c>
      <c r="B2136" s="167">
        <v>0</v>
      </c>
      <c r="C2136" s="167" t="s">
        <v>6483</v>
      </c>
      <c r="D2136" s="167" t="s">
        <v>6405</v>
      </c>
      <c r="E2136" s="168" t="s">
        <v>6560</v>
      </c>
    </row>
    <row r="2137" spans="1:5">
      <c r="A2137" s="167">
        <v>43143</v>
      </c>
      <c r="B2137" s="167">
        <v>0</v>
      </c>
      <c r="C2137" s="167" t="s">
        <v>12443</v>
      </c>
      <c r="D2137" s="167" t="s">
        <v>6406</v>
      </c>
      <c r="E2137" s="168" t="s">
        <v>12315</v>
      </c>
    </row>
    <row r="2138" spans="1:5">
      <c r="A2138" s="167">
        <v>43144</v>
      </c>
      <c r="B2138" s="167">
        <v>0</v>
      </c>
      <c r="C2138" s="167" t="s">
        <v>12444</v>
      </c>
      <c r="D2138" s="167" t="s">
        <v>6407</v>
      </c>
      <c r="E2138" s="168" t="s">
        <v>12316</v>
      </c>
    </row>
    <row r="2139" spans="1:5">
      <c r="A2139" s="167">
        <v>43145</v>
      </c>
      <c r="B2139" s="167">
        <v>0</v>
      </c>
      <c r="C2139" s="167" t="s">
        <v>6481</v>
      </c>
      <c r="D2139" s="167" t="s">
        <v>6408</v>
      </c>
      <c r="E2139" s="168" t="s">
        <v>4916</v>
      </c>
    </row>
    <row r="2140" spans="1:5">
      <c r="A2140" s="167">
        <v>43146</v>
      </c>
      <c r="B2140" s="167">
        <v>0</v>
      </c>
      <c r="C2140" s="167" t="s">
        <v>6495</v>
      </c>
      <c r="D2140" s="167" t="s">
        <v>6409</v>
      </c>
      <c r="E2140" s="168" t="s">
        <v>12317</v>
      </c>
    </row>
    <row r="2141" spans="1:5">
      <c r="A2141" s="167">
        <v>43147</v>
      </c>
      <c r="B2141" s="167">
        <v>0</v>
      </c>
      <c r="C2141" s="167" t="s">
        <v>12445</v>
      </c>
      <c r="D2141" s="167" t="s">
        <v>6410</v>
      </c>
      <c r="E2141" s="168" t="s">
        <v>12318</v>
      </c>
    </row>
    <row r="2142" spans="1:5">
      <c r="A2142" s="167">
        <v>43148</v>
      </c>
      <c r="B2142" s="167">
        <v>0</v>
      </c>
      <c r="C2142" s="167" t="s">
        <v>12376</v>
      </c>
      <c r="D2142" s="167" t="s">
        <v>6411</v>
      </c>
      <c r="E2142" s="168" t="s">
        <v>4917</v>
      </c>
    </row>
    <row r="2143" spans="1:5">
      <c r="A2143" s="167">
        <v>43149</v>
      </c>
      <c r="B2143" s="167">
        <v>0</v>
      </c>
      <c r="C2143" s="167" t="s">
        <v>6490</v>
      </c>
      <c r="D2143" s="167" t="s">
        <v>6412</v>
      </c>
      <c r="E2143" s="168" t="s">
        <v>12319</v>
      </c>
    </row>
    <row r="2144" spans="1:5">
      <c r="A2144" s="167">
        <v>43150</v>
      </c>
      <c r="B2144" s="167">
        <v>0</v>
      </c>
      <c r="C2144" s="167" t="s">
        <v>12446</v>
      </c>
      <c r="D2144" s="167" t="s">
        <v>6413</v>
      </c>
      <c r="E2144" s="168" t="s">
        <v>12320</v>
      </c>
    </row>
    <row r="2145" spans="1:5">
      <c r="A2145" s="167">
        <v>43151</v>
      </c>
      <c r="B2145" s="167">
        <v>0</v>
      </c>
      <c r="C2145" s="167" t="s">
        <v>4922</v>
      </c>
      <c r="D2145" s="167" t="s">
        <v>6414</v>
      </c>
      <c r="E2145" s="168" t="s">
        <v>6562</v>
      </c>
    </row>
    <row r="2146" spans="1:5">
      <c r="A2146" s="167">
        <v>43152</v>
      </c>
      <c r="B2146" s="167">
        <v>0</v>
      </c>
      <c r="C2146" s="167" t="s">
        <v>6491</v>
      </c>
      <c r="D2146" s="167" t="s">
        <v>6415</v>
      </c>
      <c r="E2146" s="168" t="s">
        <v>12321</v>
      </c>
    </row>
    <row r="2147" spans="1:5">
      <c r="A2147" s="167">
        <v>43153</v>
      </c>
      <c r="B2147" s="167">
        <v>0</v>
      </c>
      <c r="C2147" s="167" t="s">
        <v>12447</v>
      </c>
      <c r="D2147" s="167" t="s">
        <v>6416</v>
      </c>
      <c r="E2147" s="168" t="s">
        <v>12322</v>
      </c>
    </row>
    <row r="2148" spans="1:5">
      <c r="A2148" s="167">
        <v>43154</v>
      </c>
      <c r="B2148" s="167">
        <v>0</v>
      </c>
      <c r="C2148" s="167" t="s">
        <v>4926</v>
      </c>
      <c r="D2148" s="167" t="s">
        <v>6417</v>
      </c>
      <c r="E2148" s="168" t="s">
        <v>4919</v>
      </c>
    </row>
    <row r="2149" spans="1:5">
      <c r="A2149" s="167">
        <v>43155</v>
      </c>
      <c r="B2149" s="167">
        <v>0</v>
      </c>
      <c r="C2149" s="167" t="s">
        <v>6492</v>
      </c>
      <c r="D2149" s="167" t="s">
        <v>6418</v>
      </c>
      <c r="E2149" s="168" t="s">
        <v>12323</v>
      </c>
    </row>
    <row r="2150" spans="1:5">
      <c r="A2150" s="167">
        <v>43156</v>
      </c>
      <c r="B2150" s="167">
        <v>0</v>
      </c>
      <c r="C2150" s="167" t="s">
        <v>6488</v>
      </c>
      <c r="D2150" s="167" t="s">
        <v>6419</v>
      </c>
      <c r="E2150" s="168" t="s">
        <v>12324</v>
      </c>
    </row>
    <row r="2151" spans="1:5">
      <c r="A2151" s="167">
        <v>43157</v>
      </c>
      <c r="B2151" s="167">
        <v>0</v>
      </c>
      <c r="C2151" s="167" t="s">
        <v>4928</v>
      </c>
      <c r="D2151" s="167" t="s">
        <v>6420</v>
      </c>
      <c r="E2151" s="168" t="s">
        <v>4920</v>
      </c>
    </row>
    <row r="2152" spans="1:5">
      <c r="A2152" s="167">
        <v>43158</v>
      </c>
      <c r="B2152" s="167">
        <v>0</v>
      </c>
      <c r="C2152" s="167" t="s">
        <v>12448</v>
      </c>
      <c r="D2152" s="167" t="s">
        <v>6421</v>
      </c>
      <c r="E2152" s="168" t="s">
        <v>12325</v>
      </c>
    </row>
    <row r="2153" spans="1:5">
      <c r="A2153" s="167">
        <v>43159</v>
      </c>
      <c r="B2153" s="167">
        <v>0</v>
      </c>
      <c r="C2153" s="167" t="s">
        <v>12449</v>
      </c>
      <c r="D2153" s="167" t="s">
        <v>6422</v>
      </c>
      <c r="E2153" s="168" t="s">
        <v>12326</v>
      </c>
    </row>
    <row r="2154" spans="1:5">
      <c r="A2154" s="167">
        <v>43160</v>
      </c>
      <c r="B2154" s="167">
        <v>0</v>
      </c>
      <c r="C2154" s="167" t="s">
        <v>4923</v>
      </c>
      <c r="D2154" s="167" t="s">
        <v>6423</v>
      </c>
      <c r="E2154" s="168" t="s">
        <v>6565</v>
      </c>
    </row>
    <row r="2155" spans="1:5">
      <c r="A2155" s="167">
        <v>43161</v>
      </c>
      <c r="B2155" s="167">
        <v>0</v>
      </c>
      <c r="C2155" s="167" t="s">
        <v>6494</v>
      </c>
      <c r="D2155" s="167" t="s">
        <v>6424</v>
      </c>
      <c r="E2155" s="168" t="s">
        <v>12327</v>
      </c>
    </row>
    <row r="2156" spans="1:5">
      <c r="A2156" s="167">
        <v>43162</v>
      </c>
      <c r="B2156" s="167">
        <v>0</v>
      </c>
      <c r="C2156" s="167" t="s">
        <v>12450</v>
      </c>
      <c r="D2156" s="167" t="s">
        <v>6425</v>
      </c>
      <c r="E2156" s="168" t="s">
        <v>12328</v>
      </c>
    </row>
    <row r="2157" spans="1:5">
      <c r="A2157" s="167">
        <v>43163</v>
      </c>
      <c r="B2157" s="167">
        <v>0</v>
      </c>
      <c r="C2157" s="167" t="s">
        <v>6484</v>
      </c>
      <c r="D2157" s="167" t="s">
        <v>6426</v>
      </c>
      <c r="E2157" s="168" t="s">
        <v>11898</v>
      </c>
    </row>
    <row r="2158" spans="1:5">
      <c r="A2158" s="167">
        <v>43164</v>
      </c>
      <c r="B2158" s="167">
        <v>0</v>
      </c>
      <c r="C2158" s="167" t="s">
        <v>12451</v>
      </c>
      <c r="D2158" s="167" t="s">
        <v>6427</v>
      </c>
      <c r="E2158" s="168" t="s">
        <v>12329</v>
      </c>
    </row>
    <row r="2159" spans="1:5">
      <c r="A2159" s="167">
        <v>43165</v>
      </c>
      <c r="B2159" s="167">
        <v>0</v>
      </c>
      <c r="C2159" s="167" t="s">
        <v>12452</v>
      </c>
      <c r="D2159" s="167" t="s">
        <v>6428</v>
      </c>
      <c r="E2159" s="168" t="s">
        <v>12330</v>
      </c>
    </row>
    <row r="2160" spans="1:5">
      <c r="A2160" s="167">
        <v>43166</v>
      </c>
      <c r="B2160" s="167">
        <v>0</v>
      </c>
      <c r="C2160" s="167" t="s">
        <v>12389</v>
      </c>
      <c r="D2160" s="167" t="s">
        <v>6429</v>
      </c>
      <c r="E2160" s="168" t="s">
        <v>4914</v>
      </c>
    </row>
    <row r="2161" spans="1:5">
      <c r="A2161" s="167">
        <v>43167</v>
      </c>
      <c r="B2161" s="167">
        <v>0</v>
      </c>
      <c r="C2161" s="167" t="s">
        <v>12453</v>
      </c>
      <c r="D2161" s="167" t="s">
        <v>6430</v>
      </c>
      <c r="E2161" s="168" t="s">
        <v>12331</v>
      </c>
    </row>
    <row r="2162" spans="1:5">
      <c r="A2162" s="167">
        <v>43168</v>
      </c>
      <c r="B2162" s="167">
        <v>0</v>
      </c>
      <c r="C2162" s="167" t="s">
        <v>12454</v>
      </c>
      <c r="D2162" s="167" t="s">
        <v>6431</v>
      </c>
      <c r="E2162" s="168" t="s">
        <v>12332</v>
      </c>
    </row>
    <row r="2163" spans="1:5">
      <c r="A2163" s="167">
        <v>43169</v>
      </c>
      <c r="B2163" s="167">
        <v>0</v>
      </c>
      <c r="C2163" s="167" t="s">
        <v>6480</v>
      </c>
      <c r="D2163" s="167" t="s">
        <v>6432</v>
      </c>
      <c r="E2163" s="168" t="s">
        <v>4915</v>
      </c>
    </row>
    <row r="2164" spans="1:5">
      <c r="A2164" s="167">
        <v>43170</v>
      </c>
      <c r="B2164" s="167">
        <v>0</v>
      </c>
      <c r="C2164" s="167" t="s">
        <v>12455</v>
      </c>
      <c r="D2164" s="167" t="s">
        <v>6433</v>
      </c>
      <c r="E2164" s="168" t="s">
        <v>12333</v>
      </c>
    </row>
    <row r="2165" spans="1:5">
      <c r="A2165" s="167">
        <v>43171</v>
      </c>
      <c r="B2165" s="167">
        <v>0</v>
      </c>
      <c r="C2165" s="167" t="s">
        <v>12456</v>
      </c>
      <c r="D2165" s="167" t="s">
        <v>6434</v>
      </c>
      <c r="E2165" s="168" t="s">
        <v>12334</v>
      </c>
    </row>
    <row r="2166" spans="1:5">
      <c r="A2166" s="167">
        <v>43172</v>
      </c>
      <c r="B2166" s="167">
        <v>0</v>
      </c>
      <c r="C2166" s="167" t="s">
        <v>6482</v>
      </c>
      <c r="D2166" s="167" t="s">
        <v>6435</v>
      </c>
      <c r="E2166" s="168" t="s">
        <v>6559</v>
      </c>
    </row>
    <row r="2167" spans="1:5">
      <c r="A2167" s="167">
        <v>43173</v>
      </c>
      <c r="B2167" s="167">
        <v>0</v>
      </c>
      <c r="C2167" s="167" t="s">
        <v>12457</v>
      </c>
      <c r="D2167" s="167" t="s">
        <v>6436</v>
      </c>
      <c r="E2167" s="168" t="s">
        <v>12335</v>
      </c>
    </row>
    <row r="2168" spans="1:5">
      <c r="A2168" s="167">
        <v>43174</v>
      </c>
      <c r="B2168" s="167">
        <v>0</v>
      </c>
      <c r="C2168" s="167" t="s">
        <v>12458</v>
      </c>
      <c r="D2168" s="167" t="s">
        <v>6437</v>
      </c>
      <c r="E2168" s="168" t="s">
        <v>12336</v>
      </c>
    </row>
    <row r="2169" spans="1:5">
      <c r="A2169" s="167">
        <v>43175</v>
      </c>
      <c r="B2169" s="167">
        <v>0</v>
      </c>
      <c r="C2169" s="167" t="s">
        <v>12358</v>
      </c>
      <c r="D2169" s="167" t="s">
        <v>6438</v>
      </c>
      <c r="E2169" s="168" t="s">
        <v>6561</v>
      </c>
    </row>
    <row r="2170" spans="1:5">
      <c r="A2170" s="167">
        <v>43176</v>
      </c>
      <c r="B2170" s="167">
        <v>0</v>
      </c>
      <c r="C2170" s="167" t="s">
        <v>6493</v>
      </c>
      <c r="D2170" s="167" t="s">
        <v>6439</v>
      </c>
      <c r="E2170" s="168" t="s">
        <v>12337</v>
      </c>
    </row>
    <row r="2171" spans="1:5">
      <c r="A2171" s="167">
        <v>43177</v>
      </c>
      <c r="B2171" s="167">
        <v>0</v>
      </c>
      <c r="C2171" s="167" t="s">
        <v>12459</v>
      </c>
      <c r="D2171" s="167" t="s">
        <v>6440</v>
      </c>
      <c r="E2171" s="168" t="s">
        <v>12338</v>
      </c>
    </row>
    <row r="2172" spans="1:5">
      <c r="A2172" s="167">
        <v>43178</v>
      </c>
      <c r="B2172" s="167">
        <v>0</v>
      </c>
      <c r="C2172" s="167" t="s">
        <v>4927</v>
      </c>
      <c r="D2172" s="167" t="s">
        <v>6441</v>
      </c>
      <c r="E2172" s="168" t="s">
        <v>6563</v>
      </c>
    </row>
    <row r="2173" spans="1:5">
      <c r="A2173" s="167">
        <v>43179</v>
      </c>
      <c r="B2173" s="167">
        <v>0</v>
      </c>
      <c r="C2173" s="167" t="s">
        <v>12460</v>
      </c>
      <c r="D2173" s="167" t="s">
        <v>6442</v>
      </c>
      <c r="E2173" s="168" t="s">
        <v>12339</v>
      </c>
    </row>
    <row r="2174" spans="1:5">
      <c r="A2174" s="167">
        <v>43180</v>
      </c>
      <c r="B2174" s="167">
        <v>0</v>
      </c>
      <c r="C2174" s="167" t="s">
        <v>12461</v>
      </c>
      <c r="D2174" s="167" t="s">
        <v>6443</v>
      </c>
      <c r="E2174" s="168" t="s">
        <v>12340</v>
      </c>
    </row>
    <row r="2175" spans="1:5">
      <c r="A2175" s="167">
        <v>43181</v>
      </c>
      <c r="B2175" s="167">
        <v>0</v>
      </c>
      <c r="C2175" s="167" t="s">
        <v>4929</v>
      </c>
      <c r="D2175" s="167" t="s">
        <v>6444</v>
      </c>
      <c r="E2175" s="168" t="s">
        <v>4918</v>
      </c>
    </row>
    <row r="2176" spans="1:5">
      <c r="A2176" s="167">
        <v>43182</v>
      </c>
      <c r="B2176" s="167">
        <v>0</v>
      </c>
      <c r="C2176" s="167" t="s">
        <v>12462</v>
      </c>
      <c r="D2176" s="167" t="s">
        <v>6445</v>
      </c>
      <c r="E2176" s="168" t="s">
        <v>12341</v>
      </c>
    </row>
    <row r="2177" spans="1:5">
      <c r="A2177" s="167">
        <v>43183</v>
      </c>
      <c r="B2177" s="167">
        <v>0</v>
      </c>
      <c r="C2177" s="167" t="s">
        <v>12463</v>
      </c>
      <c r="D2177" s="167" t="s">
        <v>6446</v>
      </c>
      <c r="E2177" s="168" t="s">
        <v>12342</v>
      </c>
    </row>
    <row r="2178" spans="1:5">
      <c r="A2178" s="167">
        <v>43184</v>
      </c>
      <c r="B2178" s="167">
        <v>0</v>
      </c>
      <c r="C2178" s="167" t="s">
        <v>4925</v>
      </c>
      <c r="D2178" s="167" t="s">
        <v>6447</v>
      </c>
      <c r="E2178" s="168" t="s">
        <v>6564</v>
      </c>
    </row>
    <row r="2179" spans="1:5">
      <c r="A2179" s="167">
        <v>43185</v>
      </c>
      <c r="B2179" s="167">
        <v>0</v>
      </c>
      <c r="C2179" s="167" t="s">
        <v>12464</v>
      </c>
      <c r="D2179" s="167" t="s">
        <v>6448</v>
      </c>
      <c r="E2179" s="168" t="s">
        <v>12343</v>
      </c>
    </row>
    <row r="2180" spans="1:5">
      <c r="A2180" s="167">
        <v>43186</v>
      </c>
      <c r="B2180" s="167">
        <v>0</v>
      </c>
      <c r="C2180" s="167" t="s">
        <v>12465</v>
      </c>
      <c r="D2180" s="167" t="s">
        <v>6449</v>
      </c>
      <c r="E2180" s="168" t="s">
        <v>12344</v>
      </c>
    </row>
    <row r="2181" spans="1:5">
      <c r="A2181" s="167">
        <v>43187</v>
      </c>
      <c r="B2181" s="167">
        <v>0</v>
      </c>
      <c r="C2181" s="167" t="s">
        <v>4931</v>
      </c>
      <c r="D2181" s="167" t="s">
        <v>6450</v>
      </c>
      <c r="E2181" s="168" t="s">
        <v>4921</v>
      </c>
    </row>
    <row r="2182" spans="1:5">
      <c r="A2182" s="167">
        <v>43188</v>
      </c>
      <c r="B2182" s="167">
        <v>0</v>
      </c>
      <c r="C2182" s="167" t="s">
        <v>12466</v>
      </c>
      <c r="D2182" s="167" t="s">
        <v>6451</v>
      </c>
      <c r="E2182" s="168" t="s">
        <v>12345</v>
      </c>
    </row>
    <row r="2183" spans="1:5">
      <c r="A2183" s="167">
        <v>43189</v>
      </c>
      <c r="B2183" s="167">
        <v>0</v>
      </c>
      <c r="C2183" s="167" t="s">
        <v>12467</v>
      </c>
      <c r="D2183" s="167" t="s">
        <v>6452</v>
      </c>
      <c r="E2183" s="168" t="s">
        <v>12346</v>
      </c>
    </row>
    <row r="2184" spans="1:5">
      <c r="A2184" s="167">
        <v>43190</v>
      </c>
      <c r="B2184" s="167">
        <v>0</v>
      </c>
      <c r="C2184" s="167" t="s">
        <v>4930</v>
      </c>
      <c r="D2184" s="167" t="s">
        <v>6453</v>
      </c>
      <c r="E2184" s="168" t="s">
        <v>11897</v>
      </c>
    </row>
    <row r="2185" spans="1:5">
      <c r="A2185" s="167">
        <v>43191</v>
      </c>
      <c r="B2185" s="167">
        <v>0</v>
      </c>
      <c r="C2185" s="167" t="s">
        <v>6489</v>
      </c>
      <c r="D2185" s="167" t="s">
        <v>6454</v>
      </c>
      <c r="E2185" s="168" t="s">
        <v>12347</v>
      </c>
    </row>
    <row r="2186" spans="1:5">
      <c r="A2186" s="167">
        <v>43192</v>
      </c>
      <c r="B2186" s="167">
        <v>0</v>
      </c>
      <c r="C2186" s="167" t="s">
        <v>12468</v>
      </c>
      <c r="D2186" s="167" t="s">
        <v>6455</v>
      </c>
      <c r="E2186" s="168" t="s">
        <v>12348</v>
      </c>
    </row>
    <row r="2187" spans="1:5">
      <c r="A2187" s="167">
        <v>43193</v>
      </c>
      <c r="B2187" s="167">
        <v>0</v>
      </c>
      <c r="C2187" s="167" t="s">
        <v>6486</v>
      </c>
      <c r="D2187" s="167" t="s">
        <v>6456</v>
      </c>
      <c r="E2187" s="168" t="s">
        <v>6558</v>
      </c>
    </row>
    <row r="2188" spans="1:5">
      <c r="A2188" s="167">
        <v>43194</v>
      </c>
      <c r="B2188" s="167">
        <v>0</v>
      </c>
      <c r="C2188" s="167" t="s">
        <v>12469</v>
      </c>
      <c r="D2188" s="167" t="s">
        <v>6457</v>
      </c>
      <c r="E2188" s="168" t="s">
        <v>12349</v>
      </c>
    </row>
    <row r="2189" spans="1:5">
      <c r="A2189" s="167">
        <v>43195</v>
      </c>
      <c r="B2189" s="167">
        <v>0</v>
      </c>
      <c r="C2189" s="167" t="s">
        <v>12470</v>
      </c>
      <c r="D2189" s="167" t="s">
        <v>6458</v>
      </c>
      <c r="E2189" s="168" t="s">
        <v>12350</v>
      </c>
    </row>
    <row r="2190" spans="1:5">
      <c r="A2190" s="167">
        <v>43196</v>
      </c>
      <c r="B2190" s="167">
        <v>0</v>
      </c>
      <c r="C2190" s="167" t="s">
        <v>6483</v>
      </c>
      <c r="D2190" s="167" t="s">
        <v>6459</v>
      </c>
      <c r="E2190" s="168" t="s">
        <v>6560</v>
      </c>
    </row>
    <row r="2191" spans="1:5">
      <c r="A2191" s="167">
        <v>43197</v>
      </c>
      <c r="B2191" s="167">
        <v>0</v>
      </c>
      <c r="C2191" s="167" t="s">
        <v>12471</v>
      </c>
      <c r="D2191" s="167" t="s">
        <v>6460</v>
      </c>
      <c r="E2191" s="168" t="s">
        <v>12351</v>
      </c>
    </row>
    <row r="2192" spans="1:5">
      <c r="A2192" s="167">
        <v>43198</v>
      </c>
      <c r="B2192" s="167">
        <v>0</v>
      </c>
      <c r="C2192" s="167" t="s">
        <v>12472</v>
      </c>
      <c r="D2192" s="167" t="s">
        <v>6461</v>
      </c>
      <c r="E2192" s="168" t="s">
        <v>12352</v>
      </c>
    </row>
    <row r="2193" spans="1:5">
      <c r="A2193" s="167">
        <v>43199</v>
      </c>
      <c r="B2193" s="167">
        <v>0</v>
      </c>
      <c r="C2193" s="167" t="s">
        <v>6481</v>
      </c>
      <c r="D2193" s="167" t="s">
        <v>14775</v>
      </c>
      <c r="E2193" s="168" t="s">
        <v>4916</v>
      </c>
    </row>
    <row r="2194" spans="1:5">
      <c r="A2194" s="167">
        <v>43200</v>
      </c>
      <c r="B2194" s="167">
        <v>0</v>
      </c>
      <c r="C2194" s="167" t="s">
        <v>14757</v>
      </c>
      <c r="D2194" s="167" t="s">
        <v>14776</v>
      </c>
      <c r="E2194" s="168" t="s">
        <v>14739</v>
      </c>
    </row>
    <row r="2195" spans="1:5">
      <c r="A2195" s="167">
        <v>43201</v>
      </c>
      <c r="B2195" s="167">
        <v>0</v>
      </c>
      <c r="C2195" s="167" t="s">
        <v>14758</v>
      </c>
      <c r="D2195" s="167" t="s">
        <v>14777</v>
      </c>
      <c r="E2195" s="168" t="s">
        <v>14740</v>
      </c>
    </row>
    <row r="2196" spans="1:5">
      <c r="A2196" s="167">
        <v>43202</v>
      </c>
      <c r="B2196" s="167">
        <v>0</v>
      </c>
      <c r="C2196" s="167" t="s">
        <v>12376</v>
      </c>
      <c r="D2196" s="167" t="s">
        <v>14778</v>
      </c>
      <c r="E2196" s="168" t="s">
        <v>4917</v>
      </c>
    </row>
    <row r="2197" spans="1:5">
      <c r="A2197" s="167">
        <v>43203</v>
      </c>
      <c r="B2197" s="167">
        <v>0</v>
      </c>
      <c r="C2197" s="167" t="s">
        <v>14759</v>
      </c>
      <c r="D2197" s="167" t="s">
        <v>14779</v>
      </c>
      <c r="E2197" s="168" t="s">
        <v>14741</v>
      </c>
    </row>
    <row r="2198" spans="1:5">
      <c r="A2198" s="167">
        <v>43204</v>
      </c>
      <c r="B2198" s="167">
        <v>0</v>
      </c>
      <c r="C2198" s="167" t="s">
        <v>14760</v>
      </c>
      <c r="D2198" s="167" t="s">
        <v>14780</v>
      </c>
      <c r="E2198" s="168" t="s">
        <v>14742</v>
      </c>
    </row>
    <row r="2199" spans="1:5">
      <c r="A2199" s="167">
        <v>43205</v>
      </c>
      <c r="B2199" s="167">
        <v>0</v>
      </c>
      <c r="C2199" s="167" t="s">
        <v>4922</v>
      </c>
      <c r="D2199" s="167" t="s">
        <v>14781</v>
      </c>
      <c r="E2199" s="168" t="s">
        <v>6562</v>
      </c>
    </row>
    <row r="2200" spans="1:5">
      <c r="A2200" s="167">
        <v>43206</v>
      </c>
      <c r="B2200" s="167">
        <v>0</v>
      </c>
      <c r="C2200" s="167" t="s">
        <v>14761</v>
      </c>
      <c r="D2200" s="167" t="s">
        <v>14782</v>
      </c>
      <c r="E2200" s="168" t="s">
        <v>14743</v>
      </c>
    </row>
    <row r="2201" spans="1:5">
      <c r="A2201" s="167">
        <v>43207</v>
      </c>
      <c r="B2201" s="167">
        <v>0</v>
      </c>
      <c r="C2201" s="167" t="s">
        <v>14762</v>
      </c>
      <c r="D2201" s="167" t="s">
        <v>14783</v>
      </c>
      <c r="E2201" s="168" t="s">
        <v>14744</v>
      </c>
    </row>
    <row r="2202" spans="1:5">
      <c r="A2202" s="167">
        <v>43208</v>
      </c>
      <c r="B2202" s="167">
        <v>0</v>
      </c>
      <c r="C2202" s="167" t="s">
        <v>4926</v>
      </c>
      <c r="D2202" s="167" t="s">
        <v>14784</v>
      </c>
      <c r="E2202" s="168" t="s">
        <v>4919</v>
      </c>
    </row>
    <row r="2203" spans="1:5">
      <c r="A2203" s="167">
        <v>43209</v>
      </c>
      <c r="B2203" s="167">
        <v>0</v>
      </c>
      <c r="C2203" s="167" t="s">
        <v>14763</v>
      </c>
      <c r="D2203" s="167" t="s">
        <v>14785</v>
      </c>
      <c r="E2203" s="168" t="s">
        <v>14745</v>
      </c>
    </row>
    <row r="2204" spans="1:5">
      <c r="A2204" s="167">
        <v>43210</v>
      </c>
      <c r="B2204" s="167">
        <v>0</v>
      </c>
      <c r="C2204" s="167" t="s">
        <v>12429</v>
      </c>
      <c r="D2204" s="167" t="s">
        <v>14786</v>
      </c>
      <c r="E2204" s="168" t="s">
        <v>12300</v>
      </c>
    </row>
    <row r="2205" spans="1:5">
      <c r="A2205" s="167">
        <v>43211</v>
      </c>
      <c r="B2205" s="167">
        <v>0</v>
      </c>
      <c r="C2205" s="167" t="s">
        <v>4928</v>
      </c>
      <c r="D2205" s="167" t="s">
        <v>14787</v>
      </c>
      <c r="E2205" s="168" t="s">
        <v>4920</v>
      </c>
    </row>
    <row r="2206" spans="1:5">
      <c r="A2206" s="167">
        <v>43212</v>
      </c>
      <c r="B2206" s="167">
        <v>0</v>
      </c>
      <c r="C2206" s="167" t="s">
        <v>14764</v>
      </c>
      <c r="D2206" s="167" t="s">
        <v>14788</v>
      </c>
      <c r="E2206" s="168" t="s">
        <v>14746</v>
      </c>
    </row>
    <row r="2207" spans="1:5">
      <c r="A2207" s="167">
        <v>43213</v>
      </c>
      <c r="B2207" s="167">
        <v>0</v>
      </c>
      <c r="C2207" s="167" t="s">
        <v>12431</v>
      </c>
      <c r="D2207" s="167" t="s">
        <v>14789</v>
      </c>
      <c r="E2207" s="168" t="s">
        <v>12302</v>
      </c>
    </row>
    <row r="2208" spans="1:5">
      <c r="A2208" s="167">
        <v>43214</v>
      </c>
      <c r="B2208" s="167">
        <v>0</v>
      </c>
      <c r="C2208" s="167" t="s">
        <v>4923</v>
      </c>
      <c r="D2208" s="167" t="s">
        <v>14790</v>
      </c>
      <c r="E2208" s="168" t="s">
        <v>6565</v>
      </c>
    </row>
    <row r="2209" spans="1:5">
      <c r="A2209" s="167">
        <v>43215</v>
      </c>
      <c r="B2209" s="167">
        <v>0</v>
      </c>
      <c r="C2209" s="167" t="s">
        <v>14765</v>
      </c>
      <c r="D2209" s="167" t="s">
        <v>14791</v>
      </c>
      <c r="E2209" s="168" t="s">
        <v>14747</v>
      </c>
    </row>
    <row r="2210" spans="1:5">
      <c r="A2210" s="167">
        <v>43216</v>
      </c>
      <c r="B2210" s="167">
        <v>0</v>
      </c>
      <c r="C2210" s="167" t="s">
        <v>12433</v>
      </c>
      <c r="D2210" s="167" t="s">
        <v>14792</v>
      </c>
      <c r="E2210" s="168" t="s">
        <v>12304</v>
      </c>
    </row>
    <row r="2211" spans="1:5">
      <c r="A2211" s="167">
        <v>43217</v>
      </c>
      <c r="B2211" s="167">
        <v>0</v>
      </c>
      <c r="C2211" s="167" t="s">
        <v>6484</v>
      </c>
      <c r="D2211" s="167" t="s">
        <v>14793</v>
      </c>
      <c r="E2211" s="168" t="s">
        <v>11898</v>
      </c>
    </row>
    <row r="2212" spans="1:5">
      <c r="A2212" s="167">
        <v>43218</v>
      </c>
      <c r="B2212" s="167">
        <v>0</v>
      </c>
      <c r="C2212" s="167" t="s">
        <v>14766</v>
      </c>
      <c r="D2212" s="167" t="s">
        <v>14794</v>
      </c>
      <c r="E2212" s="168" t="s">
        <v>14748</v>
      </c>
    </row>
    <row r="2213" spans="1:5">
      <c r="A2213" s="167">
        <v>43219</v>
      </c>
      <c r="B2213" s="167">
        <v>0</v>
      </c>
      <c r="C2213" s="167" t="s">
        <v>12435</v>
      </c>
      <c r="D2213" s="167" t="s">
        <v>14795</v>
      </c>
      <c r="E2213" s="168" t="s">
        <v>12306</v>
      </c>
    </row>
    <row r="2214" spans="1:5">
      <c r="A2214" s="167">
        <v>43220</v>
      </c>
      <c r="B2214" s="167">
        <v>0</v>
      </c>
      <c r="C2214" s="167" t="s">
        <v>12389</v>
      </c>
      <c r="D2214" s="167" t="s">
        <v>14796</v>
      </c>
      <c r="E2214" s="168" t="s">
        <v>4914</v>
      </c>
    </row>
    <row r="2215" spans="1:5">
      <c r="A2215" s="167">
        <v>43221</v>
      </c>
      <c r="B2215" s="167">
        <v>0</v>
      </c>
      <c r="C2215" s="167" t="s">
        <v>14767</v>
      </c>
      <c r="D2215" s="167" t="s">
        <v>14797</v>
      </c>
      <c r="E2215" s="168" t="s">
        <v>14749</v>
      </c>
    </row>
    <row r="2216" spans="1:5">
      <c r="A2216" s="167">
        <v>43222</v>
      </c>
      <c r="B2216" s="167">
        <v>0</v>
      </c>
      <c r="C2216" s="167" t="s">
        <v>12437</v>
      </c>
      <c r="D2216" s="167" t="s">
        <v>14798</v>
      </c>
      <c r="E2216" s="168" t="s">
        <v>12308</v>
      </c>
    </row>
    <row r="2217" spans="1:5">
      <c r="A2217" s="167">
        <v>43223</v>
      </c>
      <c r="B2217" s="167">
        <v>0</v>
      </c>
      <c r="C2217" s="167" t="s">
        <v>6480</v>
      </c>
      <c r="D2217" s="167" t="s">
        <v>14799</v>
      </c>
      <c r="E2217" s="168" t="s">
        <v>4915</v>
      </c>
    </row>
    <row r="2218" spans="1:5">
      <c r="A2218" s="167">
        <v>43224</v>
      </c>
      <c r="B2218" s="167">
        <v>0</v>
      </c>
      <c r="C2218" s="167" t="s">
        <v>14768</v>
      </c>
      <c r="D2218" s="167" t="s">
        <v>14800</v>
      </c>
      <c r="E2218" s="168" t="s">
        <v>14750</v>
      </c>
    </row>
    <row r="2219" spans="1:5">
      <c r="A2219" s="167">
        <v>43225</v>
      </c>
      <c r="B2219" s="167">
        <v>0</v>
      </c>
      <c r="C2219" s="167" t="s">
        <v>12439</v>
      </c>
      <c r="D2219" s="167" t="s">
        <v>14801</v>
      </c>
      <c r="E2219" s="168" t="s">
        <v>12310</v>
      </c>
    </row>
    <row r="2220" spans="1:5">
      <c r="A2220" s="167">
        <v>43226</v>
      </c>
      <c r="B2220" s="167">
        <v>0</v>
      </c>
      <c r="C2220" s="167" t="s">
        <v>6482</v>
      </c>
      <c r="D2220" s="167" t="s">
        <v>14802</v>
      </c>
      <c r="E2220" s="168" t="s">
        <v>6559</v>
      </c>
    </row>
    <row r="2221" spans="1:5">
      <c r="A2221" s="167">
        <v>43227</v>
      </c>
      <c r="B2221" s="167">
        <v>0</v>
      </c>
      <c r="C2221" s="167" t="s">
        <v>14769</v>
      </c>
      <c r="D2221" s="167" t="s">
        <v>14803</v>
      </c>
      <c r="E2221" s="168" t="s">
        <v>14751</v>
      </c>
    </row>
    <row r="2222" spans="1:5">
      <c r="A2222" s="167">
        <v>43228</v>
      </c>
      <c r="B2222" s="167">
        <v>0</v>
      </c>
      <c r="C2222" s="167" t="s">
        <v>12440</v>
      </c>
      <c r="D2222" s="167" t="s">
        <v>14804</v>
      </c>
      <c r="E2222" s="168" t="s">
        <v>12312</v>
      </c>
    </row>
    <row r="2223" spans="1:5">
      <c r="A2223" s="167">
        <v>43229</v>
      </c>
      <c r="B2223" s="167">
        <v>0</v>
      </c>
      <c r="C2223" s="167" t="s">
        <v>12358</v>
      </c>
      <c r="D2223" s="167" t="s">
        <v>14805</v>
      </c>
      <c r="E2223" s="168" t="s">
        <v>6561</v>
      </c>
    </row>
    <row r="2224" spans="1:5">
      <c r="A2224" s="167">
        <v>43230</v>
      </c>
      <c r="B2224" s="167">
        <v>0</v>
      </c>
      <c r="C2224" s="167" t="s">
        <v>14770</v>
      </c>
      <c r="D2224" s="167" t="s">
        <v>14806</v>
      </c>
      <c r="E2224" s="168" t="s">
        <v>14752</v>
      </c>
    </row>
    <row r="2225" spans="1:5">
      <c r="A2225" s="167">
        <v>43231</v>
      </c>
      <c r="B2225" s="167">
        <v>0</v>
      </c>
      <c r="C2225" s="167" t="s">
        <v>12442</v>
      </c>
      <c r="D2225" s="167" t="s">
        <v>14807</v>
      </c>
      <c r="E2225" s="168" t="s">
        <v>12314</v>
      </c>
    </row>
    <row r="2226" spans="1:5">
      <c r="A2226" s="167">
        <v>43232</v>
      </c>
      <c r="B2226" s="167">
        <v>0</v>
      </c>
      <c r="C2226" s="167" t="s">
        <v>4927</v>
      </c>
      <c r="D2226" s="167" t="s">
        <v>14808</v>
      </c>
      <c r="E2226" s="168" t="s">
        <v>6563</v>
      </c>
    </row>
    <row r="2227" spans="1:5">
      <c r="A2227" s="167">
        <v>43233</v>
      </c>
      <c r="B2227" s="167">
        <v>0</v>
      </c>
      <c r="C2227" s="167" t="s">
        <v>14771</v>
      </c>
      <c r="D2227" s="167" t="s">
        <v>14809</v>
      </c>
      <c r="E2227" s="168" t="s">
        <v>14753</v>
      </c>
    </row>
    <row r="2228" spans="1:5">
      <c r="A2228" s="167">
        <v>43234</v>
      </c>
      <c r="B2228" s="167">
        <v>0</v>
      </c>
      <c r="C2228" s="167" t="s">
        <v>12444</v>
      </c>
      <c r="D2228" s="167" t="s">
        <v>14810</v>
      </c>
      <c r="E2228" s="168" t="s">
        <v>12316</v>
      </c>
    </row>
    <row r="2229" spans="1:5">
      <c r="A2229" s="167">
        <v>43235</v>
      </c>
      <c r="B2229" s="167">
        <v>0</v>
      </c>
      <c r="C2229" s="167" t="s">
        <v>4929</v>
      </c>
      <c r="D2229" s="167" t="s">
        <v>14811</v>
      </c>
      <c r="E2229" s="168" t="s">
        <v>4918</v>
      </c>
    </row>
    <row r="2230" spans="1:5">
      <c r="A2230" s="167">
        <v>43236</v>
      </c>
      <c r="B2230" s="167">
        <v>0</v>
      </c>
      <c r="C2230" s="167" t="s">
        <v>14772</v>
      </c>
      <c r="D2230" s="167" t="s">
        <v>14812</v>
      </c>
      <c r="E2230" s="168" t="s">
        <v>14754</v>
      </c>
    </row>
    <row r="2231" spans="1:5">
      <c r="A2231" s="167">
        <v>43237</v>
      </c>
      <c r="B2231" s="167">
        <v>0</v>
      </c>
      <c r="C2231" s="167" t="s">
        <v>12445</v>
      </c>
      <c r="D2231" s="167" t="s">
        <v>14813</v>
      </c>
      <c r="E2231" s="168" t="s">
        <v>12318</v>
      </c>
    </row>
    <row r="2232" spans="1:5">
      <c r="A2232" s="167">
        <v>43238</v>
      </c>
      <c r="B2232" s="167">
        <v>0</v>
      </c>
      <c r="C2232" s="167" t="s">
        <v>4925</v>
      </c>
      <c r="D2232" s="167" t="s">
        <v>14814</v>
      </c>
      <c r="E2232" s="168" t="s">
        <v>6564</v>
      </c>
    </row>
    <row r="2233" spans="1:5">
      <c r="A2233" s="167">
        <v>43239</v>
      </c>
      <c r="B2233" s="167">
        <v>0</v>
      </c>
      <c r="C2233" s="167" t="s">
        <v>14773</v>
      </c>
      <c r="D2233" s="167" t="s">
        <v>14815</v>
      </c>
      <c r="E2233" s="168" t="s">
        <v>14755</v>
      </c>
    </row>
    <row r="2234" spans="1:5">
      <c r="A2234" s="167">
        <v>43240</v>
      </c>
      <c r="B2234" s="167">
        <v>0</v>
      </c>
      <c r="C2234" s="167" t="s">
        <v>12446</v>
      </c>
      <c r="D2234" s="167" t="s">
        <v>14816</v>
      </c>
      <c r="E2234" s="168" t="s">
        <v>12320</v>
      </c>
    </row>
    <row r="2235" spans="1:5">
      <c r="A2235" s="167">
        <v>43241</v>
      </c>
      <c r="B2235" s="167">
        <v>0</v>
      </c>
      <c r="C2235" s="167" t="s">
        <v>4931</v>
      </c>
      <c r="D2235" s="167" t="s">
        <v>14817</v>
      </c>
      <c r="E2235" s="168" t="s">
        <v>4921</v>
      </c>
    </row>
    <row r="2236" spans="1:5">
      <c r="A2236" s="167">
        <v>43242</v>
      </c>
      <c r="B2236" s="167">
        <v>0</v>
      </c>
      <c r="C2236" s="167" t="s">
        <v>14774</v>
      </c>
      <c r="D2236" s="167" t="s">
        <v>14818</v>
      </c>
      <c r="E2236" s="168" t="s">
        <v>14756</v>
      </c>
    </row>
    <row r="2237" spans="1:5">
      <c r="A2237" s="167">
        <v>43243</v>
      </c>
      <c r="B2237" s="167">
        <v>0</v>
      </c>
      <c r="C2237" s="167" t="s">
        <v>12447</v>
      </c>
      <c r="D2237" s="167" t="s">
        <v>14819</v>
      </c>
      <c r="E2237" s="168" t="s">
        <v>12322</v>
      </c>
    </row>
    <row r="2238" spans="1:5">
      <c r="A2238" s="167">
        <v>43244</v>
      </c>
      <c r="B2238" s="167">
        <v>0</v>
      </c>
      <c r="C2238" s="167" t="s">
        <v>4930</v>
      </c>
      <c r="D2238" s="167" t="s">
        <v>14820</v>
      </c>
      <c r="E2238" s="168" t="s">
        <v>11897</v>
      </c>
    </row>
    <row r="2239" spans="1:5">
      <c r="A2239" s="167">
        <v>43245</v>
      </c>
      <c r="B2239" s="167">
        <v>0</v>
      </c>
      <c r="C2239" s="167" t="s">
        <v>12428</v>
      </c>
      <c r="D2239" s="167" t="s">
        <v>14821</v>
      </c>
      <c r="E2239" s="168" t="s">
        <v>12299</v>
      </c>
    </row>
    <row r="2240" spans="1:5">
      <c r="A2240" s="167">
        <v>43246</v>
      </c>
      <c r="B2240" s="167">
        <v>0</v>
      </c>
      <c r="C2240" s="167" t="s">
        <v>6488</v>
      </c>
      <c r="D2240" s="167" t="s">
        <v>14822</v>
      </c>
      <c r="E2240" s="168" t="s">
        <v>12324</v>
      </c>
    </row>
    <row r="2241" spans="1:5">
      <c r="A2241" s="167">
        <v>43247</v>
      </c>
      <c r="B2241" s="167">
        <v>0</v>
      </c>
      <c r="C2241" s="167" t="s">
        <v>6486</v>
      </c>
      <c r="D2241" s="167" t="s">
        <v>14823</v>
      </c>
      <c r="E2241" s="168" t="s">
        <v>6558</v>
      </c>
    </row>
    <row r="2242" spans="1:5">
      <c r="A2242" s="167">
        <v>43248</v>
      </c>
      <c r="B2242" s="167">
        <v>0</v>
      </c>
      <c r="C2242" s="167" t="s">
        <v>12430</v>
      </c>
      <c r="D2242" s="167" t="s">
        <v>14824</v>
      </c>
      <c r="E2242" s="168" t="s">
        <v>12301</v>
      </c>
    </row>
    <row r="2243" spans="1:5">
      <c r="A2243" s="167">
        <v>43249</v>
      </c>
      <c r="B2243" s="167">
        <v>0</v>
      </c>
      <c r="C2243" s="167" t="s">
        <v>12449</v>
      </c>
      <c r="D2243" s="167" t="s">
        <v>14825</v>
      </c>
      <c r="E2243" s="168" t="s">
        <v>12326</v>
      </c>
    </row>
    <row r="2244" spans="1:5">
      <c r="A2244" s="167">
        <v>43250</v>
      </c>
      <c r="B2244" s="167">
        <v>0</v>
      </c>
      <c r="C2244" s="167" t="s">
        <v>6483</v>
      </c>
      <c r="D2244" s="167" t="s">
        <v>14826</v>
      </c>
      <c r="E2244" s="168" t="s">
        <v>6560</v>
      </c>
    </row>
    <row r="2245" spans="1:5">
      <c r="A2245" s="167">
        <v>43251</v>
      </c>
      <c r="B2245" s="167">
        <v>0</v>
      </c>
      <c r="C2245" s="167" t="s">
        <v>12432</v>
      </c>
      <c r="D2245" s="167" t="s">
        <v>14827</v>
      </c>
      <c r="E2245" s="168" t="s">
        <v>12303</v>
      </c>
    </row>
    <row r="2246" spans="1:5">
      <c r="A2246" s="167">
        <v>43252</v>
      </c>
      <c r="B2246" s="167">
        <v>0</v>
      </c>
      <c r="C2246" s="167" t="s">
        <v>12450</v>
      </c>
      <c r="D2246" s="167" t="s">
        <v>14828</v>
      </c>
      <c r="E2246" s="168" t="s">
        <v>12328</v>
      </c>
    </row>
    <row r="2247" spans="1:5">
      <c r="A2247" s="167">
        <v>43253</v>
      </c>
      <c r="B2247" s="167">
        <v>0</v>
      </c>
      <c r="C2247" s="167" t="s">
        <v>6481</v>
      </c>
      <c r="D2247" s="167" t="s">
        <v>14829</v>
      </c>
      <c r="E2247" s="168" t="s">
        <v>4916</v>
      </c>
    </row>
    <row r="2248" spans="1:5">
      <c r="A2248" s="167">
        <v>43254</v>
      </c>
      <c r="B2248" s="167">
        <v>0</v>
      </c>
      <c r="C2248" s="167" t="s">
        <v>12434</v>
      </c>
      <c r="D2248" s="167" t="s">
        <v>14830</v>
      </c>
      <c r="E2248" s="168" t="s">
        <v>12305</v>
      </c>
    </row>
    <row r="2249" spans="1:5">
      <c r="A2249" s="167">
        <v>43255</v>
      </c>
      <c r="B2249" s="167">
        <v>0</v>
      </c>
      <c r="C2249" s="167" t="s">
        <v>12452</v>
      </c>
      <c r="D2249" s="167" t="s">
        <v>14831</v>
      </c>
      <c r="E2249" s="168" t="s">
        <v>12330</v>
      </c>
    </row>
    <row r="2250" spans="1:5">
      <c r="A2250" s="167">
        <v>43256</v>
      </c>
      <c r="B2250" s="167">
        <v>0</v>
      </c>
      <c r="C2250" s="167" t="s">
        <v>12376</v>
      </c>
      <c r="D2250" s="167" t="s">
        <v>14832</v>
      </c>
      <c r="E2250" s="168" t="s">
        <v>4917</v>
      </c>
    </row>
    <row r="2251" spans="1:5">
      <c r="A2251" s="167">
        <v>43257</v>
      </c>
      <c r="B2251" s="167">
        <v>0</v>
      </c>
      <c r="C2251" s="167" t="s">
        <v>12436</v>
      </c>
      <c r="D2251" s="167" t="s">
        <v>14833</v>
      </c>
      <c r="E2251" s="168" t="s">
        <v>12307</v>
      </c>
    </row>
    <row r="2252" spans="1:5">
      <c r="A2252" s="167">
        <v>43258</v>
      </c>
      <c r="B2252" s="167">
        <v>0</v>
      </c>
      <c r="C2252" s="167" t="s">
        <v>12454</v>
      </c>
      <c r="D2252" s="167" t="s">
        <v>14834</v>
      </c>
      <c r="E2252" s="168" t="s">
        <v>12332</v>
      </c>
    </row>
    <row r="2253" spans="1:5">
      <c r="A2253" s="167">
        <v>43259</v>
      </c>
      <c r="B2253" s="167">
        <v>0</v>
      </c>
      <c r="C2253" s="167" t="s">
        <v>4922</v>
      </c>
      <c r="D2253" s="167" t="s">
        <v>14835</v>
      </c>
      <c r="E2253" s="168" t="s">
        <v>6562</v>
      </c>
    </row>
    <row r="2254" spans="1:5">
      <c r="A2254" s="167">
        <v>43260</v>
      </c>
      <c r="B2254" s="167">
        <v>0</v>
      </c>
      <c r="C2254" s="167" t="s">
        <v>12438</v>
      </c>
      <c r="D2254" s="167" t="s">
        <v>14836</v>
      </c>
      <c r="E2254" s="168" t="s">
        <v>12309</v>
      </c>
    </row>
    <row r="2255" spans="1:5">
      <c r="A2255" s="167">
        <v>43261</v>
      </c>
      <c r="B2255" s="167">
        <v>0</v>
      </c>
      <c r="C2255" s="167" t="s">
        <v>12456</v>
      </c>
      <c r="D2255" s="167" t="s">
        <v>14837</v>
      </c>
      <c r="E2255" s="168" t="s">
        <v>12334</v>
      </c>
    </row>
    <row r="2256" spans="1:5">
      <c r="A2256" s="167">
        <v>43262</v>
      </c>
      <c r="B2256" s="167">
        <v>0</v>
      </c>
      <c r="C2256" s="167" t="s">
        <v>4926</v>
      </c>
      <c r="D2256" s="167" t="s">
        <v>14838</v>
      </c>
      <c r="E2256" s="168" t="s">
        <v>4919</v>
      </c>
    </row>
    <row r="2257" spans="1:5">
      <c r="A2257" s="167">
        <v>43263</v>
      </c>
      <c r="B2257" s="167">
        <v>0</v>
      </c>
      <c r="C2257" s="167" t="s">
        <v>6496</v>
      </c>
      <c r="D2257" s="167" t="s">
        <v>14839</v>
      </c>
      <c r="E2257" s="168" t="s">
        <v>12311</v>
      </c>
    </row>
    <row r="2258" spans="1:5">
      <c r="A2258" s="167">
        <v>43264</v>
      </c>
      <c r="B2258" s="167">
        <v>0</v>
      </c>
      <c r="C2258" s="167" t="s">
        <v>12458</v>
      </c>
      <c r="D2258" s="167" t="s">
        <v>14840</v>
      </c>
      <c r="E2258" s="168" t="s">
        <v>12336</v>
      </c>
    </row>
    <row r="2259" spans="1:5">
      <c r="A2259" s="167">
        <v>43265</v>
      </c>
      <c r="B2259" s="167">
        <v>0</v>
      </c>
      <c r="C2259" s="167" t="s">
        <v>4928</v>
      </c>
      <c r="D2259" s="167" t="s">
        <v>14841</v>
      </c>
      <c r="E2259" s="168" t="s">
        <v>4920</v>
      </c>
    </row>
    <row r="2260" spans="1:5">
      <c r="A2260" s="167">
        <v>43266</v>
      </c>
      <c r="B2260" s="167">
        <v>0</v>
      </c>
      <c r="C2260" s="167" t="s">
        <v>12441</v>
      </c>
      <c r="D2260" s="167" t="s">
        <v>14842</v>
      </c>
      <c r="E2260" s="168" t="s">
        <v>12313</v>
      </c>
    </row>
    <row r="2261" spans="1:5">
      <c r="A2261" s="167">
        <v>43267</v>
      </c>
      <c r="B2261" s="167">
        <v>0</v>
      </c>
      <c r="C2261" s="167" t="s">
        <v>12459</v>
      </c>
      <c r="D2261" s="167" t="s">
        <v>14843</v>
      </c>
      <c r="E2261" s="168" t="s">
        <v>12338</v>
      </c>
    </row>
    <row r="2262" spans="1:5">
      <c r="A2262" s="167">
        <v>43268</v>
      </c>
      <c r="B2262" s="167">
        <v>0</v>
      </c>
      <c r="C2262" s="167" t="s">
        <v>4923</v>
      </c>
      <c r="D2262" s="167" t="s">
        <v>14844</v>
      </c>
      <c r="E2262" s="168" t="s">
        <v>6565</v>
      </c>
    </row>
    <row r="2263" spans="1:5">
      <c r="A2263" s="167">
        <v>43269</v>
      </c>
      <c r="B2263" s="167">
        <v>0</v>
      </c>
      <c r="C2263" s="167" t="s">
        <v>12443</v>
      </c>
      <c r="D2263" s="167" t="s">
        <v>14845</v>
      </c>
      <c r="E2263" s="168" t="s">
        <v>12315</v>
      </c>
    </row>
    <row r="2264" spans="1:5">
      <c r="A2264" s="167">
        <v>43270</v>
      </c>
      <c r="B2264" s="167">
        <v>0</v>
      </c>
      <c r="C2264" s="167" t="s">
        <v>12461</v>
      </c>
      <c r="D2264" s="167" t="s">
        <v>14846</v>
      </c>
      <c r="E2264" s="168" t="s">
        <v>12340</v>
      </c>
    </row>
    <row r="2265" spans="1:5">
      <c r="A2265" s="167">
        <v>43271</v>
      </c>
      <c r="B2265" s="167">
        <v>0</v>
      </c>
      <c r="C2265" s="167" t="s">
        <v>6484</v>
      </c>
      <c r="D2265" s="167" t="s">
        <v>14847</v>
      </c>
      <c r="E2265" s="168" t="s">
        <v>11898</v>
      </c>
    </row>
    <row r="2266" spans="1:5">
      <c r="A2266" s="167">
        <v>43272</v>
      </c>
      <c r="B2266" s="167">
        <v>0</v>
      </c>
      <c r="C2266" s="167" t="s">
        <v>6495</v>
      </c>
      <c r="D2266" s="167" t="s">
        <v>14848</v>
      </c>
      <c r="E2266" s="168" t="s">
        <v>12317</v>
      </c>
    </row>
    <row r="2267" spans="1:5">
      <c r="A2267" s="167">
        <v>43273</v>
      </c>
      <c r="B2267" s="167">
        <v>0</v>
      </c>
      <c r="C2267" s="167" t="s">
        <v>12463</v>
      </c>
      <c r="D2267" s="167" t="s">
        <v>14849</v>
      </c>
      <c r="E2267" s="168" t="s">
        <v>12342</v>
      </c>
    </row>
    <row r="2268" spans="1:5">
      <c r="A2268" s="167">
        <v>43274</v>
      </c>
      <c r="B2268" s="167">
        <v>0</v>
      </c>
      <c r="C2268" s="167" t="s">
        <v>12389</v>
      </c>
      <c r="D2268" s="167" t="s">
        <v>14850</v>
      </c>
      <c r="E2268" s="168" t="s">
        <v>4914</v>
      </c>
    </row>
    <row r="2269" spans="1:5">
      <c r="A2269" s="167">
        <v>43275</v>
      </c>
      <c r="B2269" s="167">
        <v>0</v>
      </c>
      <c r="C2269" s="167" t="s">
        <v>6490</v>
      </c>
      <c r="D2269" s="167" t="s">
        <v>14851</v>
      </c>
      <c r="E2269" s="168" t="s">
        <v>12319</v>
      </c>
    </row>
    <row r="2270" spans="1:5">
      <c r="A2270" s="167">
        <v>43276</v>
      </c>
      <c r="B2270" s="167">
        <v>0</v>
      </c>
      <c r="C2270" s="167" t="s">
        <v>12465</v>
      </c>
      <c r="D2270" s="167" t="s">
        <v>14852</v>
      </c>
      <c r="E2270" s="168" t="s">
        <v>12344</v>
      </c>
    </row>
    <row r="2271" spans="1:5">
      <c r="A2271" s="167">
        <v>43277</v>
      </c>
      <c r="B2271" s="167">
        <v>0</v>
      </c>
      <c r="C2271" s="167" t="s">
        <v>6480</v>
      </c>
      <c r="D2271" s="167" t="s">
        <v>14853</v>
      </c>
      <c r="E2271" s="168" t="s">
        <v>4915</v>
      </c>
    </row>
    <row r="2272" spans="1:5">
      <c r="A2272" s="167">
        <v>43278</v>
      </c>
      <c r="B2272" s="167">
        <v>0</v>
      </c>
      <c r="C2272" s="167" t="s">
        <v>6491</v>
      </c>
      <c r="D2272" s="167" t="s">
        <v>14854</v>
      </c>
      <c r="E2272" s="168" t="s">
        <v>12321</v>
      </c>
    </row>
    <row r="2273" spans="1:5">
      <c r="A2273" s="167">
        <v>43279</v>
      </c>
      <c r="B2273" s="167">
        <v>0</v>
      </c>
      <c r="C2273" s="167" t="s">
        <v>12467</v>
      </c>
      <c r="D2273" s="167" t="s">
        <v>14855</v>
      </c>
      <c r="E2273" s="168" t="s">
        <v>12346</v>
      </c>
    </row>
    <row r="2274" spans="1:5">
      <c r="A2274" s="167">
        <v>43280</v>
      </c>
      <c r="B2274" s="167">
        <v>0</v>
      </c>
      <c r="C2274" s="167" t="s">
        <v>6482</v>
      </c>
      <c r="D2274" s="167" t="s">
        <v>14856</v>
      </c>
      <c r="E2274" s="168" t="s">
        <v>6559</v>
      </c>
    </row>
    <row r="2275" spans="1:5">
      <c r="A2275" s="167">
        <v>43281</v>
      </c>
      <c r="B2275" s="167">
        <v>0</v>
      </c>
      <c r="C2275" s="167" t="s">
        <v>6492</v>
      </c>
      <c r="D2275" s="167" t="s">
        <v>14857</v>
      </c>
      <c r="E2275" s="168" t="s">
        <v>12323</v>
      </c>
    </row>
    <row r="2276" spans="1:5">
      <c r="A2276" s="167">
        <v>43282</v>
      </c>
      <c r="B2276" s="167">
        <v>0</v>
      </c>
      <c r="C2276" s="167" t="s">
        <v>12468</v>
      </c>
      <c r="D2276" s="167" t="s">
        <v>14858</v>
      </c>
      <c r="E2276" s="168" t="s">
        <v>12348</v>
      </c>
    </row>
    <row r="2277" spans="1:5">
      <c r="A2277" s="167">
        <v>43283</v>
      </c>
      <c r="B2277" s="167">
        <v>0</v>
      </c>
      <c r="C2277" s="167" t="s">
        <v>12358</v>
      </c>
      <c r="D2277" s="167" t="s">
        <v>14859</v>
      </c>
      <c r="E2277" s="168" t="s">
        <v>6561</v>
      </c>
    </row>
    <row r="2278" spans="1:5">
      <c r="A2278" s="167">
        <v>43284</v>
      </c>
      <c r="B2278" s="167">
        <v>0</v>
      </c>
      <c r="C2278" s="167" t="s">
        <v>12448</v>
      </c>
      <c r="D2278" s="167" t="s">
        <v>14860</v>
      </c>
      <c r="E2278" s="168" t="s">
        <v>12325</v>
      </c>
    </row>
    <row r="2279" spans="1:5">
      <c r="A2279" s="167">
        <v>43285</v>
      </c>
      <c r="B2279" s="167">
        <v>0</v>
      </c>
      <c r="C2279" s="167" t="s">
        <v>12470</v>
      </c>
      <c r="D2279" s="167" t="s">
        <v>14861</v>
      </c>
      <c r="E2279" s="168" t="s">
        <v>12350</v>
      </c>
    </row>
    <row r="2280" spans="1:5">
      <c r="A2280" s="167">
        <v>43286</v>
      </c>
      <c r="B2280" s="167">
        <v>0</v>
      </c>
      <c r="C2280" s="167" t="s">
        <v>4927</v>
      </c>
      <c r="D2280" s="167" t="s">
        <v>14862</v>
      </c>
      <c r="E2280" s="168" t="s">
        <v>6563</v>
      </c>
    </row>
    <row r="2281" spans="1:5">
      <c r="A2281" s="167">
        <v>43287</v>
      </c>
      <c r="B2281" s="167">
        <v>0</v>
      </c>
      <c r="C2281" s="167" t="s">
        <v>6494</v>
      </c>
      <c r="D2281" s="167" t="s">
        <v>14863</v>
      </c>
      <c r="E2281" s="168" t="s">
        <v>12327</v>
      </c>
    </row>
    <row r="2282" spans="1:5">
      <c r="A2282" s="167">
        <v>43288</v>
      </c>
      <c r="B2282" s="167">
        <v>0</v>
      </c>
      <c r="C2282" s="167" t="s">
        <v>12472</v>
      </c>
      <c r="D2282" s="167" t="s">
        <v>14864</v>
      </c>
      <c r="E2282" s="168" t="s">
        <v>12352</v>
      </c>
    </row>
    <row r="2283" spans="1:5">
      <c r="A2283" s="167">
        <v>43289</v>
      </c>
      <c r="B2283" s="167">
        <v>0</v>
      </c>
      <c r="C2283" s="167" t="s">
        <v>4929</v>
      </c>
      <c r="D2283" s="167" t="s">
        <v>14865</v>
      </c>
      <c r="E2283" s="168" t="s">
        <v>4918</v>
      </c>
    </row>
    <row r="2284" spans="1:5">
      <c r="A2284" s="167">
        <v>43290</v>
      </c>
      <c r="B2284" s="167">
        <v>0</v>
      </c>
      <c r="C2284" s="167" t="s">
        <v>12451</v>
      </c>
      <c r="D2284" s="167" t="s">
        <v>14866</v>
      </c>
      <c r="E2284" s="168" t="s">
        <v>12329</v>
      </c>
    </row>
    <row r="2285" spans="1:5">
      <c r="A2285" s="167">
        <v>43291</v>
      </c>
      <c r="B2285" s="167">
        <v>0</v>
      </c>
      <c r="C2285" s="167" t="s">
        <v>14758</v>
      </c>
      <c r="D2285" s="167" t="s">
        <v>14867</v>
      </c>
      <c r="E2285" s="168" t="s">
        <v>14740</v>
      </c>
    </row>
    <row r="2286" spans="1:5">
      <c r="A2286" s="167">
        <v>43292</v>
      </c>
      <c r="B2286" s="167">
        <v>0</v>
      </c>
      <c r="C2286" s="167" t="s">
        <v>4925</v>
      </c>
      <c r="D2286" s="167" t="s">
        <v>14868</v>
      </c>
      <c r="E2286" s="168" t="s">
        <v>6564</v>
      </c>
    </row>
    <row r="2287" spans="1:5">
      <c r="A2287" s="167">
        <v>43293</v>
      </c>
      <c r="B2287" s="167">
        <v>0</v>
      </c>
      <c r="C2287" s="167" t="s">
        <v>12453</v>
      </c>
      <c r="D2287" s="167" t="s">
        <v>14869</v>
      </c>
      <c r="E2287" s="168" t="s">
        <v>12331</v>
      </c>
    </row>
    <row r="2288" spans="1:5">
      <c r="A2288" s="167">
        <v>43294</v>
      </c>
      <c r="B2288" s="167">
        <v>0</v>
      </c>
      <c r="C2288" s="167" t="s">
        <v>14760</v>
      </c>
      <c r="D2288" s="167" t="s">
        <v>14870</v>
      </c>
      <c r="E2288" s="168" t="s">
        <v>14742</v>
      </c>
    </row>
    <row r="2289" spans="1:5">
      <c r="A2289" s="167">
        <v>43295</v>
      </c>
      <c r="B2289" s="167">
        <v>0</v>
      </c>
      <c r="C2289" s="167" t="s">
        <v>4931</v>
      </c>
      <c r="D2289" s="167" t="s">
        <v>14871</v>
      </c>
      <c r="E2289" s="168" t="s">
        <v>4921</v>
      </c>
    </row>
    <row r="2290" spans="1:5">
      <c r="A2290" s="167">
        <v>43296</v>
      </c>
      <c r="B2290" s="167">
        <v>0</v>
      </c>
      <c r="C2290" s="167" t="s">
        <v>12455</v>
      </c>
      <c r="D2290" s="167" t="s">
        <v>14872</v>
      </c>
      <c r="E2290" s="168" t="s">
        <v>12333</v>
      </c>
    </row>
    <row r="2291" spans="1:5">
      <c r="A2291" s="167">
        <v>43297</v>
      </c>
      <c r="B2291" s="167">
        <v>0</v>
      </c>
      <c r="C2291" s="167" t="s">
        <v>14762</v>
      </c>
      <c r="D2291" s="167" t="s">
        <v>14873</v>
      </c>
      <c r="E2291" s="168" t="s">
        <v>14744</v>
      </c>
    </row>
    <row r="2292" spans="1:5">
      <c r="A2292" s="167">
        <v>43298</v>
      </c>
      <c r="B2292" s="167">
        <v>0</v>
      </c>
      <c r="C2292" s="167" t="s">
        <v>4930</v>
      </c>
      <c r="D2292" s="167" t="s">
        <v>14874</v>
      </c>
      <c r="E2292" s="168" t="s">
        <v>11897</v>
      </c>
    </row>
    <row r="2293" spans="1:5">
      <c r="A2293" s="167">
        <v>43299</v>
      </c>
      <c r="B2293" s="167">
        <v>0</v>
      </c>
      <c r="C2293" s="167" t="s">
        <v>12457</v>
      </c>
      <c r="D2293" s="167" t="s">
        <v>14875</v>
      </c>
      <c r="E2293" s="168" t="s">
        <v>12335</v>
      </c>
    </row>
    <row r="2294" spans="1:5">
      <c r="A2294" s="167">
        <v>43300</v>
      </c>
      <c r="B2294" s="167">
        <v>0</v>
      </c>
      <c r="C2294" s="167" t="s">
        <v>12429</v>
      </c>
      <c r="D2294" s="167" t="s">
        <v>14876</v>
      </c>
      <c r="E2294" s="168" t="s">
        <v>12300</v>
      </c>
    </row>
    <row r="2295" spans="1:5">
      <c r="A2295" s="167">
        <v>43301</v>
      </c>
      <c r="B2295" s="167">
        <v>0</v>
      </c>
      <c r="C2295" s="167" t="s">
        <v>6486</v>
      </c>
      <c r="D2295" s="167" t="s">
        <v>14877</v>
      </c>
      <c r="E2295" s="168" t="s">
        <v>6558</v>
      </c>
    </row>
    <row r="2296" spans="1:5">
      <c r="A2296" s="167">
        <v>43302</v>
      </c>
      <c r="B2296" s="167">
        <v>0</v>
      </c>
      <c r="C2296" s="167" t="s">
        <v>6493</v>
      </c>
      <c r="D2296" s="167" t="s">
        <v>14878</v>
      </c>
      <c r="E2296" s="168" t="s">
        <v>12337</v>
      </c>
    </row>
    <row r="2297" spans="1:5">
      <c r="A2297" s="167">
        <v>43303</v>
      </c>
      <c r="B2297" s="167">
        <v>0</v>
      </c>
      <c r="C2297" s="167" t="s">
        <v>12431</v>
      </c>
      <c r="D2297" s="167" t="s">
        <v>14879</v>
      </c>
      <c r="E2297" s="168" t="s">
        <v>12302</v>
      </c>
    </row>
    <row r="2298" spans="1:5">
      <c r="A2298" s="167">
        <v>43304</v>
      </c>
      <c r="B2298" s="167">
        <v>0</v>
      </c>
      <c r="C2298" s="167" t="s">
        <v>6483</v>
      </c>
      <c r="D2298" s="167" t="s">
        <v>14880</v>
      </c>
      <c r="E2298" s="168" t="s">
        <v>6560</v>
      </c>
    </row>
    <row r="2299" spans="1:5">
      <c r="A2299" s="167">
        <v>43305</v>
      </c>
      <c r="B2299" s="167">
        <v>0</v>
      </c>
      <c r="C2299" s="167" t="s">
        <v>12460</v>
      </c>
      <c r="D2299" s="167" t="s">
        <v>14881</v>
      </c>
      <c r="E2299" s="168" t="s">
        <v>12339</v>
      </c>
    </row>
    <row r="2300" spans="1:5">
      <c r="A2300" s="167">
        <v>43306</v>
      </c>
      <c r="B2300" s="167">
        <v>0</v>
      </c>
      <c r="C2300" s="167" t="s">
        <v>12433</v>
      </c>
      <c r="D2300" s="167" t="s">
        <v>14882</v>
      </c>
      <c r="E2300" s="168" t="s">
        <v>12304</v>
      </c>
    </row>
    <row r="2301" spans="1:5">
      <c r="A2301" s="167">
        <v>43307</v>
      </c>
      <c r="B2301" s="167">
        <v>0</v>
      </c>
      <c r="C2301" s="167" t="s">
        <v>6481</v>
      </c>
      <c r="D2301" s="167" t="s">
        <v>14883</v>
      </c>
      <c r="E2301" s="168" t="s">
        <v>4916</v>
      </c>
    </row>
    <row r="2302" spans="1:5">
      <c r="A2302" s="167">
        <v>43308</v>
      </c>
      <c r="B2302" s="167">
        <v>0</v>
      </c>
      <c r="C2302" s="167" t="s">
        <v>12462</v>
      </c>
      <c r="D2302" s="167" t="s">
        <v>14884</v>
      </c>
      <c r="E2302" s="168" t="s">
        <v>12341</v>
      </c>
    </row>
    <row r="2303" spans="1:5">
      <c r="A2303" s="167">
        <v>43309</v>
      </c>
      <c r="B2303" s="167">
        <v>0</v>
      </c>
      <c r="C2303" s="167" t="s">
        <v>12435</v>
      </c>
      <c r="D2303" s="167" t="s">
        <v>14885</v>
      </c>
      <c r="E2303" s="168" t="s">
        <v>12306</v>
      </c>
    </row>
    <row r="2304" spans="1:5">
      <c r="A2304" s="167">
        <v>43310</v>
      </c>
      <c r="B2304" s="167">
        <v>0</v>
      </c>
      <c r="C2304" s="167" t="s">
        <v>12376</v>
      </c>
      <c r="D2304" s="167" t="s">
        <v>14886</v>
      </c>
      <c r="E2304" s="168" t="s">
        <v>4917</v>
      </c>
    </row>
    <row r="2305" spans="1:5">
      <c r="A2305" s="167">
        <v>43311</v>
      </c>
      <c r="B2305" s="167">
        <v>0</v>
      </c>
      <c r="C2305" s="167" t="s">
        <v>12464</v>
      </c>
      <c r="D2305" s="167" t="s">
        <v>14887</v>
      </c>
      <c r="E2305" s="168" t="s">
        <v>12343</v>
      </c>
    </row>
    <row r="2306" spans="1:5">
      <c r="A2306" s="167">
        <v>43312</v>
      </c>
      <c r="B2306" s="167">
        <v>0</v>
      </c>
      <c r="C2306" s="167" t="s">
        <v>12437</v>
      </c>
      <c r="D2306" s="167" t="s">
        <v>14888</v>
      </c>
      <c r="E2306" s="168" t="s">
        <v>12308</v>
      </c>
    </row>
    <row r="2307" spans="1:5">
      <c r="A2307" s="167">
        <v>43313</v>
      </c>
      <c r="B2307" s="167">
        <v>0</v>
      </c>
      <c r="C2307" s="167" t="s">
        <v>4922</v>
      </c>
      <c r="D2307" s="167" t="s">
        <v>14889</v>
      </c>
      <c r="E2307" s="168" t="s">
        <v>6562</v>
      </c>
    </row>
    <row r="2308" spans="1:5">
      <c r="A2308" s="167">
        <v>43314</v>
      </c>
      <c r="B2308" s="167">
        <v>0</v>
      </c>
      <c r="C2308" s="167" t="s">
        <v>12466</v>
      </c>
      <c r="D2308" s="167" t="s">
        <v>14890</v>
      </c>
      <c r="E2308" s="168" t="s">
        <v>12345</v>
      </c>
    </row>
    <row r="2309" spans="1:5">
      <c r="A2309" s="167">
        <v>43315</v>
      </c>
      <c r="B2309" s="167">
        <v>0</v>
      </c>
      <c r="C2309" s="167" t="s">
        <v>12439</v>
      </c>
      <c r="D2309" s="167" t="s">
        <v>14891</v>
      </c>
      <c r="E2309" s="168" t="s">
        <v>12310</v>
      </c>
    </row>
    <row r="2310" spans="1:5">
      <c r="A2310" s="167">
        <v>43316</v>
      </c>
      <c r="B2310" s="167">
        <v>0</v>
      </c>
      <c r="C2310" s="167" t="s">
        <v>4926</v>
      </c>
      <c r="D2310" s="167" t="s">
        <v>14892</v>
      </c>
      <c r="E2310" s="168" t="s">
        <v>4919</v>
      </c>
    </row>
    <row r="2311" spans="1:5">
      <c r="A2311" s="167">
        <v>43317</v>
      </c>
      <c r="B2311" s="167">
        <v>0</v>
      </c>
      <c r="C2311" s="167" t="s">
        <v>6489</v>
      </c>
      <c r="D2311" s="167" t="s">
        <v>14893</v>
      </c>
      <c r="E2311" s="168" t="s">
        <v>12347</v>
      </c>
    </row>
    <row r="2312" spans="1:5">
      <c r="A2312" s="167">
        <v>43318</v>
      </c>
      <c r="B2312" s="167">
        <v>0</v>
      </c>
      <c r="C2312" s="167" t="s">
        <v>12440</v>
      </c>
      <c r="D2312" s="167" t="s">
        <v>14894</v>
      </c>
      <c r="E2312" s="168" t="s">
        <v>12312</v>
      </c>
    </row>
    <row r="2313" spans="1:5">
      <c r="A2313" s="167">
        <v>43319</v>
      </c>
      <c r="B2313" s="167">
        <v>0</v>
      </c>
      <c r="C2313" s="167" t="s">
        <v>4928</v>
      </c>
      <c r="D2313" s="167" t="s">
        <v>14895</v>
      </c>
      <c r="E2313" s="168" t="s">
        <v>4920</v>
      </c>
    </row>
    <row r="2314" spans="1:5">
      <c r="A2314" s="167">
        <v>43320</v>
      </c>
      <c r="B2314" s="167">
        <v>0</v>
      </c>
      <c r="C2314" s="167" t="s">
        <v>12469</v>
      </c>
      <c r="D2314" s="167" t="s">
        <v>14896</v>
      </c>
      <c r="E2314" s="168" t="s">
        <v>12349</v>
      </c>
    </row>
    <row r="2315" spans="1:5">
      <c r="A2315" s="167">
        <v>43321</v>
      </c>
      <c r="B2315" s="167">
        <v>0</v>
      </c>
      <c r="C2315" s="167" t="s">
        <v>12442</v>
      </c>
      <c r="D2315" s="167" t="s">
        <v>14897</v>
      </c>
      <c r="E2315" s="168" t="s">
        <v>12314</v>
      </c>
    </row>
    <row r="2316" spans="1:5">
      <c r="A2316" s="167">
        <v>43322</v>
      </c>
      <c r="B2316" s="167">
        <v>0</v>
      </c>
      <c r="C2316" s="167" t="s">
        <v>4923</v>
      </c>
      <c r="D2316" s="167" t="s">
        <v>14898</v>
      </c>
      <c r="E2316" s="168" t="s">
        <v>6565</v>
      </c>
    </row>
    <row r="2317" spans="1:5">
      <c r="A2317" s="167">
        <v>43323</v>
      </c>
      <c r="B2317" s="167">
        <v>0</v>
      </c>
      <c r="C2317" s="167" t="s">
        <v>12471</v>
      </c>
      <c r="D2317" s="167" t="s">
        <v>14899</v>
      </c>
      <c r="E2317" s="168" t="s">
        <v>12351</v>
      </c>
    </row>
    <row r="2318" spans="1:5">
      <c r="A2318" s="167">
        <v>43324</v>
      </c>
      <c r="B2318" s="167">
        <v>0</v>
      </c>
      <c r="C2318" s="167" t="s">
        <v>12444</v>
      </c>
      <c r="D2318" s="167" t="s">
        <v>14900</v>
      </c>
      <c r="E2318" s="168" t="s">
        <v>12316</v>
      </c>
    </row>
    <row r="2319" spans="1:5">
      <c r="A2319" s="167">
        <v>43325</v>
      </c>
      <c r="B2319" s="167">
        <v>0</v>
      </c>
      <c r="C2319" s="167" t="s">
        <v>6484</v>
      </c>
      <c r="D2319" s="167" t="s">
        <v>14901</v>
      </c>
      <c r="E2319" s="168" t="s">
        <v>11898</v>
      </c>
    </row>
    <row r="2320" spans="1:5">
      <c r="A2320" s="167">
        <v>43326</v>
      </c>
      <c r="B2320" s="167">
        <v>0</v>
      </c>
      <c r="C2320" s="167" t="s">
        <v>14757</v>
      </c>
      <c r="D2320" s="167" t="s">
        <v>14902</v>
      </c>
      <c r="E2320" s="168" t="s">
        <v>14739</v>
      </c>
    </row>
    <row r="2321" spans="1:5">
      <c r="A2321" s="167">
        <v>43327</v>
      </c>
      <c r="B2321" s="167">
        <v>0</v>
      </c>
      <c r="C2321" s="167" t="s">
        <v>12445</v>
      </c>
      <c r="D2321" s="167" t="s">
        <v>14903</v>
      </c>
      <c r="E2321" s="168" t="s">
        <v>12318</v>
      </c>
    </row>
    <row r="2322" spans="1:5">
      <c r="A2322" s="167">
        <v>43328</v>
      </c>
      <c r="B2322" s="167">
        <v>0</v>
      </c>
      <c r="C2322" s="167" t="s">
        <v>12389</v>
      </c>
      <c r="D2322" s="167" t="s">
        <v>14904</v>
      </c>
      <c r="E2322" s="168" t="s">
        <v>4914</v>
      </c>
    </row>
    <row r="2323" spans="1:5">
      <c r="A2323" s="167">
        <v>43329</v>
      </c>
      <c r="B2323" s="167">
        <v>0</v>
      </c>
      <c r="C2323" s="167" t="s">
        <v>14759</v>
      </c>
      <c r="D2323" s="167" t="s">
        <v>14905</v>
      </c>
      <c r="E2323" s="168" t="s">
        <v>14741</v>
      </c>
    </row>
    <row r="2324" spans="1:5">
      <c r="A2324" s="167">
        <v>43330</v>
      </c>
      <c r="B2324" s="167">
        <v>0</v>
      </c>
      <c r="C2324" s="167" t="s">
        <v>12446</v>
      </c>
      <c r="D2324" s="167" t="s">
        <v>14906</v>
      </c>
      <c r="E2324" s="168" t="s">
        <v>12320</v>
      </c>
    </row>
    <row r="2325" spans="1:5">
      <c r="A2325" s="167">
        <v>43331</v>
      </c>
      <c r="B2325" s="167">
        <v>0</v>
      </c>
      <c r="C2325" s="167" t="s">
        <v>6480</v>
      </c>
      <c r="D2325" s="167" t="s">
        <v>14907</v>
      </c>
      <c r="E2325" s="168" t="s">
        <v>4915</v>
      </c>
    </row>
    <row r="2326" spans="1:5">
      <c r="A2326" s="167">
        <v>43332</v>
      </c>
      <c r="B2326" s="167">
        <v>0</v>
      </c>
      <c r="C2326" s="167" t="s">
        <v>14761</v>
      </c>
      <c r="D2326" s="167" t="s">
        <v>14908</v>
      </c>
      <c r="E2326" s="168" t="s">
        <v>14743</v>
      </c>
    </row>
    <row r="2327" spans="1:5">
      <c r="A2327" s="167">
        <v>43333</v>
      </c>
      <c r="B2327" s="167">
        <v>0</v>
      </c>
      <c r="C2327" s="167" t="s">
        <v>12447</v>
      </c>
      <c r="D2327" s="167" t="s">
        <v>14909</v>
      </c>
      <c r="E2327" s="168" t="s">
        <v>12322</v>
      </c>
    </row>
    <row r="2328" spans="1:5">
      <c r="A2328" s="167">
        <v>43334</v>
      </c>
      <c r="B2328" s="167">
        <v>0</v>
      </c>
      <c r="C2328" s="167" t="s">
        <v>6482</v>
      </c>
      <c r="D2328" s="167" t="s">
        <v>14910</v>
      </c>
      <c r="E2328" s="168" t="s">
        <v>6559</v>
      </c>
    </row>
    <row r="2329" spans="1:5">
      <c r="A2329" s="167">
        <v>43335</v>
      </c>
      <c r="B2329" s="167">
        <v>0</v>
      </c>
      <c r="C2329" s="167" t="s">
        <v>14763</v>
      </c>
      <c r="D2329" s="167" t="s">
        <v>14911</v>
      </c>
      <c r="E2329" s="168" t="s">
        <v>14745</v>
      </c>
    </row>
    <row r="2330" spans="1:5">
      <c r="A2330" s="167">
        <v>43336</v>
      </c>
      <c r="B2330" s="167">
        <v>0</v>
      </c>
      <c r="C2330" s="167" t="s">
        <v>6488</v>
      </c>
      <c r="D2330" s="167" t="s">
        <v>14912</v>
      </c>
      <c r="E2330" s="168" t="s">
        <v>12324</v>
      </c>
    </row>
    <row r="2331" spans="1:5">
      <c r="A2331" s="167">
        <v>43337</v>
      </c>
      <c r="B2331" s="167">
        <v>0</v>
      </c>
      <c r="C2331" s="167" t="s">
        <v>12358</v>
      </c>
      <c r="D2331" s="167" t="s">
        <v>14913</v>
      </c>
      <c r="E2331" s="168" t="s">
        <v>6561</v>
      </c>
    </row>
    <row r="2332" spans="1:5">
      <c r="A2332" s="167">
        <v>43338</v>
      </c>
      <c r="B2332" s="167">
        <v>0</v>
      </c>
      <c r="C2332" s="167" t="s">
        <v>14764</v>
      </c>
      <c r="D2332" s="167" t="s">
        <v>14914</v>
      </c>
      <c r="E2332" s="168" t="s">
        <v>14746</v>
      </c>
    </row>
    <row r="2333" spans="1:5">
      <c r="A2333" s="167">
        <v>43339</v>
      </c>
      <c r="B2333" s="167">
        <v>0</v>
      </c>
      <c r="C2333" s="167" t="s">
        <v>12449</v>
      </c>
      <c r="D2333" s="167" t="s">
        <v>14915</v>
      </c>
      <c r="E2333" s="168" t="s">
        <v>12326</v>
      </c>
    </row>
    <row r="2334" spans="1:5">
      <c r="A2334" s="167">
        <v>43340</v>
      </c>
      <c r="B2334" s="167">
        <v>0</v>
      </c>
      <c r="C2334" s="167" t="s">
        <v>4927</v>
      </c>
      <c r="D2334" s="167" t="s">
        <v>14916</v>
      </c>
      <c r="E2334" s="168" t="s">
        <v>6563</v>
      </c>
    </row>
    <row r="2335" spans="1:5">
      <c r="A2335" s="167">
        <v>43341</v>
      </c>
      <c r="B2335" s="167">
        <v>0</v>
      </c>
      <c r="C2335" s="167" t="s">
        <v>14765</v>
      </c>
      <c r="D2335" s="167" t="s">
        <v>14917</v>
      </c>
      <c r="E2335" s="168" t="s">
        <v>14747</v>
      </c>
    </row>
    <row r="2336" spans="1:5">
      <c r="A2336" s="167">
        <v>43342</v>
      </c>
      <c r="B2336" s="167">
        <v>0</v>
      </c>
      <c r="C2336" s="167" t="s">
        <v>12450</v>
      </c>
      <c r="D2336" s="167" t="s">
        <v>14918</v>
      </c>
      <c r="E2336" s="168" t="s">
        <v>12328</v>
      </c>
    </row>
    <row r="2337" spans="1:5">
      <c r="A2337" s="167">
        <v>43343</v>
      </c>
      <c r="B2337" s="167">
        <v>0</v>
      </c>
      <c r="C2337" s="167" t="s">
        <v>4929</v>
      </c>
      <c r="D2337" s="167" t="s">
        <v>14919</v>
      </c>
      <c r="E2337" s="168" t="s">
        <v>4918</v>
      </c>
    </row>
    <row r="2338" spans="1:5">
      <c r="A2338" s="167">
        <v>43344</v>
      </c>
      <c r="B2338" s="167">
        <v>0</v>
      </c>
      <c r="C2338" s="167" t="s">
        <v>14766</v>
      </c>
      <c r="D2338" s="167" t="s">
        <v>14920</v>
      </c>
      <c r="E2338" s="168" t="s">
        <v>14748</v>
      </c>
    </row>
    <row r="2339" spans="1:5">
      <c r="A2339" s="167">
        <v>43345</v>
      </c>
      <c r="B2339" s="167">
        <v>0</v>
      </c>
      <c r="C2339" s="167" t="s">
        <v>12452</v>
      </c>
      <c r="D2339" s="167" t="s">
        <v>14921</v>
      </c>
      <c r="E2339" s="168" t="s">
        <v>12330</v>
      </c>
    </row>
    <row r="2340" spans="1:5">
      <c r="A2340" s="167">
        <v>43346</v>
      </c>
      <c r="B2340" s="167">
        <v>0</v>
      </c>
      <c r="C2340" s="167" t="s">
        <v>4925</v>
      </c>
      <c r="D2340" s="167" t="s">
        <v>14922</v>
      </c>
      <c r="E2340" s="168" t="s">
        <v>6564</v>
      </c>
    </row>
    <row r="2341" spans="1:5">
      <c r="A2341" s="167">
        <v>43347</v>
      </c>
      <c r="B2341" s="167">
        <v>0</v>
      </c>
      <c r="C2341" s="167" t="s">
        <v>14767</v>
      </c>
      <c r="D2341" s="167" t="s">
        <v>14923</v>
      </c>
      <c r="E2341" s="168" t="s">
        <v>14749</v>
      </c>
    </row>
    <row r="2342" spans="1:5">
      <c r="A2342" s="167">
        <v>43348</v>
      </c>
      <c r="B2342" s="167">
        <v>0</v>
      </c>
      <c r="C2342" s="167" t="s">
        <v>12454</v>
      </c>
      <c r="D2342" s="167" t="s">
        <v>14924</v>
      </c>
      <c r="E2342" s="168" t="s">
        <v>12332</v>
      </c>
    </row>
    <row r="2343" spans="1:5">
      <c r="A2343" s="167">
        <v>43349</v>
      </c>
      <c r="B2343" s="167">
        <v>0</v>
      </c>
      <c r="C2343" s="167" t="s">
        <v>4931</v>
      </c>
      <c r="D2343" s="167" t="s">
        <v>14925</v>
      </c>
      <c r="E2343" s="168" t="s">
        <v>4921</v>
      </c>
    </row>
    <row r="2344" spans="1:5">
      <c r="A2344" s="167">
        <v>43350</v>
      </c>
      <c r="B2344" s="167">
        <v>0</v>
      </c>
      <c r="C2344" s="167" t="s">
        <v>14768</v>
      </c>
      <c r="D2344" s="167" t="s">
        <v>14926</v>
      </c>
      <c r="E2344" s="168" t="s">
        <v>14750</v>
      </c>
    </row>
    <row r="2345" spans="1:5">
      <c r="A2345" s="167">
        <v>43351</v>
      </c>
      <c r="B2345" s="167">
        <v>0</v>
      </c>
      <c r="C2345" s="167" t="s">
        <v>12456</v>
      </c>
      <c r="D2345" s="167" t="s">
        <v>14927</v>
      </c>
      <c r="E2345" s="168" t="s">
        <v>12334</v>
      </c>
    </row>
    <row r="2346" spans="1:5">
      <c r="A2346" s="167">
        <v>43352</v>
      </c>
      <c r="B2346" s="167">
        <v>0</v>
      </c>
      <c r="C2346" s="167" t="s">
        <v>4930</v>
      </c>
      <c r="D2346" s="167" t="s">
        <v>14928</v>
      </c>
      <c r="E2346" s="168" t="s">
        <v>11897</v>
      </c>
    </row>
    <row r="2347" spans="1:5">
      <c r="A2347" s="167">
        <v>43353</v>
      </c>
      <c r="B2347" s="167">
        <v>0</v>
      </c>
      <c r="C2347" s="167" t="s">
        <v>14769</v>
      </c>
      <c r="D2347" s="167" t="s">
        <v>14929</v>
      </c>
      <c r="E2347" s="168" t="s">
        <v>14751</v>
      </c>
    </row>
    <row r="2348" spans="1:5">
      <c r="A2348" s="167">
        <v>43354</v>
      </c>
      <c r="B2348" s="167">
        <v>0</v>
      </c>
      <c r="C2348" s="167" t="s">
        <v>12458</v>
      </c>
      <c r="D2348" s="167" t="s">
        <v>14930</v>
      </c>
      <c r="E2348" s="168" t="s">
        <v>12336</v>
      </c>
    </row>
    <row r="2349" spans="1:5">
      <c r="A2349" s="167">
        <v>43355</v>
      </c>
      <c r="B2349" s="167">
        <v>0</v>
      </c>
      <c r="C2349" s="167" t="s">
        <v>6486</v>
      </c>
      <c r="D2349" s="167" t="s">
        <v>14931</v>
      </c>
      <c r="E2349" s="168" t="s">
        <v>6558</v>
      </c>
    </row>
    <row r="2350" spans="1:5">
      <c r="A2350" s="167">
        <v>43356</v>
      </c>
      <c r="B2350" s="167">
        <v>0</v>
      </c>
      <c r="C2350" s="167" t="s">
        <v>14770</v>
      </c>
      <c r="D2350" s="167" t="s">
        <v>14932</v>
      </c>
      <c r="E2350" s="168" t="s">
        <v>14752</v>
      </c>
    </row>
    <row r="2351" spans="1:5">
      <c r="A2351" s="167">
        <v>43357</v>
      </c>
      <c r="B2351" s="167">
        <v>0</v>
      </c>
      <c r="C2351" s="167" t="s">
        <v>12459</v>
      </c>
      <c r="D2351" s="167" t="s">
        <v>14933</v>
      </c>
      <c r="E2351" s="168" t="s">
        <v>12338</v>
      </c>
    </row>
    <row r="2352" spans="1:5">
      <c r="A2352" s="167">
        <v>43358</v>
      </c>
      <c r="B2352" s="167">
        <v>0</v>
      </c>
      <c r="C2352" s="167" t="s">
        <v>6483</v>
      </c>
      <c r="D2352" s="167" t="s">
        <v>14934</v>
      </c>
      <c r="E2352" s="168" t="s">
        <v>6560</v>
      </c>
    </row>
    <row r="2353" spans="1:5">
      <c r="A2353" s="167">
        <v>43359</v>
      </c>
      <c r="B2353" s="167">
        <v>0</v>
      </c>
      <c r="C2353" s="167" t="s">
        <v>14771</v>
      </c>
      <c r="D2353" s="167" t="s">
        <v>14935</v>
      </c>
      <c r="E2353" s="168" t="s">
        <v>14753</v>
      </c>
    </row>
    <row r="2354" spans="1:5">
      <c r="A2354" s="167">
        <v>43360</v>
      </c>
      <c r="B2354" s="167">
        <v>0</v>
      </c>
      <c r="C2354" s="167" t="s">
        <v>12461</v>
      </c>
      <c r="D2354" s="167" t="s">
        <v>14936</v>
      </c>
      <c r="E2354" s="168" t="s">
        <v>12340</v>
      </c>
    </row>
    <row r="2355" spans="1:5">
      <c r="A2355" s="167">
        <v>43361</v>
      </c>
      <c r="B2355" s="167">
        <v>0</v>
      </c>
      <c r="C2355" s="167" t="s">
        <v>6481</v>
      </c>
      <c r="D2355" s="167" t="s">
        <v>14937</v>
      </c>
      <c r="E2355" s="168" t="s">
        <v>4916</v>
      </c>
    </row>
    <row r="2356" spans="1:5">
      <c r="A2356" s="167">
        <v>43362</v>
      </c>
      <c r="B2356" s="167">
        <v>0</v>
      </c>
      <c r="C2356" s="167" t="s">
        <v>14772</v>
      </c>
      <c r="D2356" s="167" t="s">
        <v>14938</v>
      </c>
      <c r="E2356" s="168" t="s">
        <v>14754</v>
      </c>
    </row>
    <row r="2357" spans="1:5">
      <c r="A2357" s="167">
        <v>43363</v>
      </c>
      <c r="B2357" s="167">
        <v>0</v>
      </c>
      <c r="C2357" s="167" t="s">
        <v>12463</v>
      </c>
      <c r="D2357" s="167" t="s">
        <v>14939</v>
      </c>
      <c r="E2357" s="168" t="s">
        <v>12342</v>
      </c>
    </row>
    <row r="2358" spans="1:5">
      <c r="A2358" s="167">
        <v>43364</v>
      </c>
      <c r="B2358" s="167">
        <v>0</v>
      </c>
      <c r="C2358" s="167" t="s">
        <v>12376</v>
      </c>
      <c r="D2358" s="167" t="s">
        <v>14940</v>
      </c>
      <c r="E2358" s="168" t="s">
        <v>4917</v>
      </c>
    </row>
    <row r="2359" spans="1:5">
      <c r="A2359" s="167">
        <v>43365</v>
      </c>
      <c r="B2359" s="167">
        <v>0</v>
      </c>
      <c r="C2359" s="167" t="s">
        <v>14773</v>
      </c>
      <c r="D2359" s="167" t="s">
        <v>14941</v>
      </c>
      <c r="E2359" s="168" t="s">
        <v>14755</v>
      </c>
    </row>
    <row r="2360" spans="1:5">
      <c r="A2360" s="167">
        <v>43366</v>
      </c>
      <c r="B2360" s="167">
        <v>0</v>
      </c>
      <c r="C2360" s="167" t="s">
        <v>12465</v>
      </c>
      <c r="D2360" s="167" t="s">
        <v>14942</v>
      </c>
      <c r="E2360" s="168" t="s">
        <v>12344</v>
      </c>
    </row>
    <row r="2361" spans="1:5">
      <c r="A2361" s="167">
        <v>43367</v>
      </c>
      <c r="B2361" s="167">
        <v>0</v>
      </c>
      <c r="C2361" s="167" t="s">
        <v>4922</v>
      </c>
      <c r="D2361" s="167" t="s">
        <v>14943</v>
      </c>
      <c r="E2361" s="168" t="s">
        <v>6562</v>
      </c>
    </row>
    <row r="2362" spans="1:5">
      <c r="A2362" s="167">
        <v>43368</v>
      </c>
      <c r="B2362" s="167">
        <v>0</v>
      </c>
      <c r="C2362" s="167" t="s">
        <v>14774</v>
      </c>
      <c r="D2362" s="167" t="s">
        <v>14944</v>
      </c>
      <c r="E2362" s="168" t="s">
        <v>14756</v>
      </c>
    </row>
    <row r="2363" spans="1:5">
      <c r="A2363" s="167">
        <v>43369</v>
      </c>
      <c r="B2363" s="167">
        <v>0</v>
      </c>
      <c r="C2363" s="167" t="s">
        <v>12467</v>
      </c>
      <c r="D2363" s="167" t="s">
        <v>14945</v>
      </c>
      <c r="E2363" s="168" t="s">
        <v>12346</v>
      </c>
    </row>
    <row r="2364" spans="1:5">
      <c r="A2364" s="167">
        <v>43370</v>
      </c>
      <c r="B2364" s="167">
        <v>0</v>
      </c>
      <c r="C2364" s="167" t="s">
        <v>4926</v>
      </c>
      <c r="D2364" s="167" t="s">
        <v>14946</v>
      </c>
      <c r="E2364" s="168" t="s">
        <v>4919</v>
      </c>
    </row>
    <row r="2365" spans="1:5">
      <c r="A2365" s="167">
        <v>43371</v>
      </c>
      <c r="B2365" s="167">
        <v>0</v>
      </c>
      <c r="C2365" s="167" t="s">
        <v>12428</v>
      </c>
      <c r="D2365" s="167" t="s">
        <v>14947</v>
      </c>
      <c r="E2365" s="168" t="s">
        <v>12299</v>
      </c>
    </row>
    <row r="2366" spans="1:5">
      <c r="A2366" s="167">
        <v>43372</v>
      </c>
      <c r="B2366" s="167">
        <v>0</v>
      </c>
      <c r="C2366" s="167" t="s">
        <v>12468</v>
      </c>
      <c r="D2366" s="167" t="s">
        <v>14948</v>
      </c>
      <c r="E2366" s="168" t="s">
        <v>12348</v>
      </c>
    </row>
    <row r="2367" spans="1:5">
      <c r="A2367" s="167">
        <v>43373</v>
      </c>
      <c r="B2367" s="167">
        <v>0</v>
      </c>
      <c r="C2367" s="167" t="s">
        <v>4928</v>
      </c>
      <c r="D2367" s="167" t="s">
        <v>14949</v>
      </c>
      <c r="E2367" s="168" t="s">
        <v>4920</v>
      </c>
    </row>
    <row r="2368" spans="1:5">
      <c r="A2368" s="167">
        <v>43374</v>
      </c>
      <c r="B2368" s="167">
        <v>0</v>
      </c>
      <c r="C2368" s="167" t="s">
        <v>12430</v>
      </c>
      <c r="D2368" s="167" t="s">
        <v>14950</v>
      </c>
      <c r="E2368" s="168" t="s">
        <v>12301</v>
      </c>
    </row>
    <row r="2369" spans="1:5">
      <c r="A2369" s="167">
        <v>43375</v>
      </c>
      <c r="B2369" s="167">
        <v>0</v>
      </c>
      <c r="C2369" s="167" t="s">
        <v>12470</v>
      </c>
      <c r="D2369" s="167" t="s">
        <v>14951</v>
      </c>
      <c r="E2369" s="168" t="s">
        <v>12350</v>
      </c>
    </row>
    <row r="2370" spans="1:5">
      <c r="A2370" s="167">
        <v>43376</v>
      </c>
      <c r="B2370" s="167">
        <v>0</v>
      </c>
      <c r="C2370" s="167" t="s">
        <v>4923</v>
      </c>
      <c r="D2370" s="167" t="s">
        <v>14952</v>
      </c>
      <c r="E2370" s="168" t="s">
        <v>6565</v>
      </c>
    </row>
    <row r="2371" spans="1:5">
      <c r="A2371" s="167">
        <v>43377</v>
      </c>
      <c r="B2371" s="167">
        <v>0</v>
      </c>
      <c r="C2371" s="167" t="s">
        <v>12432</v>
      </c>
      <c r="D2371" s="167" t="s">
        <v>14953</v>
      </c>
      <c r="E2371" s="168" t="s">
        <v>12303</v>
      </c>
    </row>
    <row r="2372" spans="1:5">
      <c r="A2372" s="167">
        <v>43378</v>
      </c>
      <c r="B2372" s="167">
        <v>0</v>
      </c>
      <c r="C2372" s="167" t="s">
        <v>12472</v>
      </c>
      <c r="D2372" s="167" t="s">
        <v>14954</v>
      </c>
      <c r="E2372" s="168" t="s">
        <v>12352</v>
      </c>
    </row>
    <row r="2373" spans="1:5">
      <c r="A2373" s="167">
        <v>43379</v>
      </c>
      <c r="B2373" s="167">
        <v>0</v>
      </c>
      <c r="C2373" s="167" t="s">
        <v>6484</v>
      </c>
      <c r="D2373" s="167" t="s">
        <v>14955</v>
      </c>
      <c r="E2373" s="168" t="s">
        <v>11898</v>
      </c>
    </row>
    <row r="2374" spans="1:5">
      <c r="A2374" s="167">
        <v>43380</v>
      </c>
      <c r="B2374" s="167">
        <v>0</v>
      </c>
      <c r="C2374" s="167" t="s">
        <v>12434</v>
      </c>
      <c r="D2374" s="167" t="s">
        <v>14956</v>
      </c>
      <c r="E2374" s="168" t="s">
        <v>12305</v>
      </c>
    </row>
    <row r="2375" spans="1:5">
      <c r="A2375" s="167">
        <v>43381</v>
      </c>
      <c r="B2375" s="167">
        <v>0</v>
      </c>
      <c r="C2375" s="167" t="s">
        <v>14758</v>
      </c>
      <c r="D2375" s="167" t="s">
        <v>14957</v>
      </c>
      <c r="E2375" s="168" t="s">
        <v>14740</v>
      </c>
    </row>
    <row r="2376" spans="1:5">
      <c r="A2376" s="167">
        <v>43382</v>
      </c>
      <c r="B2376" s="167">
        <v>0</v>
      </c>
      <c r="C2376" s="167" t="s">
        <v>4922</v>
      </c>
      <c r="D2376" s="167" t="s">
        <v>14958</v>
      </c>
      <c r="E2376" s="168" t="s">
        <v>6562</v>
      </c>
    </row>
    <row r="2377" spans="1:5">
      <c r="A2377" s="167">
        <v>43383</v>
      </c>
      <c r="B2377" s="167">
        <v>0</v>
      </c>
      <c r="C2377" s="167" t="s">
        <v>12436</v>
      </c>
      <c r="D2377" s="167" t="s">
        <v>14959</v>
      </c>
      <c r="E2377" s="168" t="s">
        <v>12307</v>
      </c>
    </row>
    <row r="2378" spans="1:5">
      <c r="A2378" s="167">
        <v>43384</v>
      </c>
      <c r="B2378" s="167">
        <v>0</v>
      </c>
      <c r="C2378" s="167" t="s">
        <v>14760</v>
      </c>
      <c r="D2378" s="167" t="s">
        <v>14960</v>
      </c>
      <c r="E2378" s="168" t="s">
        <v>14742</v>
      </c>
    </row>
    <row r="2379" spans="1:5">
      <c r="A2379" s="167">
        <v>43385</v>
      </c>
      <c r="B2379" s="167">
        <v>0</v>
      </c>
      <c r="C2379" s="167" t="s">
        <v>12389</v>
      </c>
      <c r="D2379" s="167" t="s">
        <v>14961</v>
      </c>
      <c r="E2379" s="168" t="s">
        <v>4914</v>
      </c>
    </row>
    <row r="2380" spans="1:5">
      <c r="A2380" s="167">
        <v>43386</v>
      </c>
      <c r="B2380" s="167">
        <v>0</v>
      </c>
      <c r="C2380" s="167" t="s">
        <v>12438</v>
      </c>
      <c r="D2380" s="167" t="s">
        <v>14962</v>
      </c>
      <c r="E2380" s="168" t="s">
        <v>12309</v>
      </c>
    </row>
    <row r="2381" spans="1:5">
      <c r="A2381" s="167">
        <v>43387</v>
      </c>
      <c r="B2381" s="167">
        <v>0</v>
      </c>
      <c r="C2381" s="167" t="s">
        <v>14762</v>
      </c>
      <c r="D2381" s="167" t="s">
        <v>14963</v>
      </c>
      <c r="E2381" s="168" t="s">
        <v>14744</v>
      </c>
    </row>
    <row r="2382" spans="1:5">
      <c r="A2382" s="167">
        <v>43388</v>
      </c>
      <c r="B2382" s="167">
        <v>0</v>
      </c>
      <c r="C2382" s="167" t="s">
        <v>6480</v>
      </c>
      <c r="D2382" s="167" t="s">
        <v>14964</v>
      </c>
      <c r="E2382" s="168" t="s">
        <v>4915</v>
      </c>
    </row>
    <row r="2383" spans="1:5">
      <c r="A2383" s="167">
        <v>43389</v>
      </c>
      <c r="B2383" s="167">
        <v>0</v>
      </c>
      <c r="C2383" s="167" t="s">
        <v>6496</v>
      </c>
      <c r="D2383" s="167" t="s">
        <v>14965</v>
      </c>
      <c r="E2383" s="168" t="s">
        <v>12311</v>
      </c>
    </row>
    <row r="2384" spans="1:5">
      <c r="A2384" s="167">
        <v>43390</v>
      </c>
      <c r="B2384" s="167">
        <v>0</v>
      </c>
      <c r="C2384" s="167" t="s">
        <v>12429</v>
      </c>
      <c r="D2384" s="167" t="s">
        <v>14966</v>
      </c>
      <c r="E2384" s="168" t="s">
        <v>12300</v>
      </c>
    </row>
    <row r="2385" spans="1:6">
      <c r="A2385" s="167">
        <v>43391</v>
      </c>
      <c r="B2385" s="167">
        <v>0</v>
      </c>
      <c r="C2385" s="167" t="s">
        <v>6482</v>
      </c>
      <c r="D2385" s="167" t="s">
        <v>14967</v>
      </c>
      <c r="E2385" s="168" t="s">
        <v>6559</v>
      </c>
    </row>
    <row r="2386" spans="1:6">
      <c r="A2386" s="167">
        <v>43392</v>
      </c>
      <c r="B2386" s="167">
        <v>0</v>
      </c>
      <c r="C2386" s="167" t="s">
        <v>12441</v>
      </c>
      <c r="D2386" s="167" t="s">
        <v>14968</v>
      </c>
      <c r="E2386" s="168" t="s">
        <v>12313</v>
      </c>
    </row>
    <row r="2387" spans="1:6">
      <c r="A2387" s="167">
        <v>43393</v>
      </c>
      <c r="B2387" s="167">
        <v>0</v>
      </c>
      <c r="C2387" s="167" t="s">
        <v>12431</v>
      </c>
      <c r="D2387" s="167" t="s">
        <v>14969</v>
      </c>
      <c r="E2387" s="168" t="s">
        <v>12302</v>
      </c>
    </row>
    <row r="2388" spans="1:6" s="257" customFormat="1">
      <c r="A2388" s="169">
        <v>43998</v>
      </c>
      <c r="B2388" s="169">
        <v>1</v>
      </c>
      <c r="C2388" s="169" t="s">
        <v>4678</v>
      </c>
      <c r="D2388" s="169" t="s">
        <v>7315</v>
      </c>
      <c r="E2388" s="170" t="s">
        <v>10450</v>
      </c>
      <c r="F2388" s="270"/>
    </row>
    <row r="2389" spans="1:6" s="257" customFormat="1">
      <c r="A2389" s="169">
        <v>43999</v>
      </c>
      <c r="B2389" s="169">
        <v>1</v>
      </c>
      <c r="C2389" s="169" t="s">
        <v>6152</v>
      </c>
      <c r="D2389" s="169" t="s">
        <v>7316</v>
      </c>
      <c r="E2389" s="170" t="s">
        <v>10451</v>
      </c>
      <c r="F2389" s="270"/>
    </row>
    <row r="2390" spans="1:6" s="257" customFormat="1">
      <c r="A2390" s="169">
        <v>44000</v>
      </c>
      <c r="B2390" s="169">
        <v>0</v>
      </c>
      <c r="C2390" s="169" t="s">
        <v>10405</v>
      </c>
      <c r="D2390" s="169" t="s">
        <v>7317</v>
      </c>
      <c r="E2390" s="170" t="s">
        <v>10452</v>
      </c>
      <c r="F2390" s="270"/>
    </row>
    <row r="2391" spans="1:6">
      <c r="A2391" s="167">
        <v>44001</v>
      </c>
      <c r="B2391" s="167">
        <v>0</v>
      </c>
      <c r="C2391" s="167" t="s">
        <v>6475</v>
      </c>
      <c r="D2391" s="167" t="s">
        <v>7318</v>
      </c>
      <c r="E2391" s="168" t="s">
        <v>12473</v>
      </c>
    </row>
    <row r="2392" spans="1:6">
      <c r="A2392" s="167">
        <v>44002</v>
      </c>
      <c r="B2392" s="167">
        <v>0</v>
      </c>
      <c r="C2392" s="167" t="s">
        <v>6476</v>
      </c>
      <c r="D2392" s="167" t="s">
        <v>7319</v>
      </c>
      <c r="E2392" s="168" t="s">
        <v>12474</v>
      </c>
    </row>
    <row r="2393" spans="1:6">
      <c r="A2393" s="167">
        <v>44003</v>
      </c>
      <c r="B2393" s="167">
        <v>0</v>
      </c>
      <c r="C2393" s="167" t="s">
        <v>6477</v>
      </c>
      <c r="D2393" s="167" t="s">
        <v>7320</v>
      </c>
      <c r="E2393" s="168" t="s">
        <v>12475</v>
      </c>
    </row>
    <row r="2394" spans="1:6">
      <c r="A2394" s="167">
        <v>44004</v>
      </c>
      <c r="B2394" s="167">
        <v>0</v>
      </c>
      <c r="C2394" s="167" t="s">
        <v>4924</v>
      </c>
      <c r="D2394" s="167" t="s">
        <v>7321</v>
      </c>
      <c r="E2394" s="168" t="s">
        <v>12476</v>
      </c>
    </row>
    <row r="2395" spans="1:6">
      <c r="A2395" s="167">
        <v>44005</v>
      </c>
      <c r="B2395" s="167">
        <v>0</v>
      </c>
      <c r="C2395" s="167" t="s">
        <v>12353</v>
      </c>
      <c r="D2395" s="167" t="s">
        <v>7322</v>
      </c>
      <c r="E2395" s="168" t="s">
        <v>12477</v>
      </c>
    </row>
    <row r="2396" spans="1:6">
      <c r="A2396" s="167">
        <v>44006</v>
      </c>
      <c r="B2396" s="167">
        <v>0</v>
      </c>
      <c r="C2396" s="167" t="s">
        <v>6478</v>
      </c>
      <c r="D2396" s="167" t="s">
        <v>7323</v>
      </c>
      <c r="E2396" s="168" t="s">
        <v>12478</v>
      </c>
    </row>
    <row r="2397" spans="1:6">
      <c r="A2397" s="167">
        <v>44007</v>
      </c>
      <c r="B2397" s="167">
        <v>0</v>
      </c>
      <c r="C2397" s="167" t="s">
        <v>6480</v>
      </c>
      <c r="D2397" s="167" t="s">
        <v>7324</v>
      </c>
      <c r="E2397" s="168" t="s">
        <v>7517</v>
      </c>
    </row>
    <row r="2398" spans="1:6">
      <c r="A2398" s="167">
        <v>44008</v>
      </c>
      <c r="B2398" s="167">
        <v>0</v>
      </c>
      <c r="C2398" s="167" t="s">
        <v>12354</v>
      </c>
      <c r="D2398" s="167" t="s">
        <v>7325</v>
      </c>
      <c r="E2398" s="168" t="s">
        <v>12479</v>
      </c>
    </row>
    <row r="2399" spans="1:6">
      <c r="A2399" s="167">
        <v>44009</v>
      </c>
      <c r="B2399" s="167">
        <v>0</v>
      </c>
      <c r="C2399" s="167" t="s">
        <v>12355</v>
      </c>
      <c r="D2399" s="167" t="s">
        <v>7326</v>
      </c>
      <c r="E2399" s="168" t="s">
        <v>7531</v>
      </c>
    </row>
    <row r="2400" spans="1:6">
      <c r="A2400" s="167">
        <v>44010</v>
      </c>
      <c r="B2400" s="167">
        <v>0</v>
      </c>
      <c r="C2400" s="167" t="s">
        <v>6482</v>
      </c>
      <c r="D2400" s="167" t="s">
        <v>7327</v>
      </c>
      <c r="E2400" s="168" t="s">
        <v>7518</v>
      </c>
    </row>
    <row r="2401" spans="1:5">
      <c r="A2401" s="167">
        <v>44011</v>
      </c>
      <c r="B2401" s="167">
        <v>0</v>
      </c>
      <c r="C2401" s="167" t="s">
        <v>12356</v>
      </c>
      <c r="D2401" s="167" t="s">
        <v>7328</v>
      </c>
      <c r="E2401" s="168" t="s">
        <v>12480</v>
      </c>
    </row>
    <row r="2402" spans="1:5">
      <c r="A2402" s="167">
        <v>44012</v>
      </c>
      <c r="B2402" s="167">
        <v>0</v>
      </c>
      <c r="C2402" s="167" t="s">
        <v>12357</v>
      </c>
      <c r="D2402" s="167" t="s">
        <v>7329</v>
      </c>
      <c r="E2402" s="168" t="s">
        <v>7534</v>
      </c>
    </row>
    <row r="2403" spans="1:5">
      <c r="A2403" s="167">
        <v>44013</v>
      </c>
      <c r="B2403" s="167">
        <v>0</v>
      </c>
      <c r="C2403" s="167" t="s">
        <v>12358</v>
      </c>
      <c r="D2403" s="167" t="s">
        <v>7330</v>
      </c>
      <c r="E2403" s="168" t="s">
        <v>7522</v>
      </c>
    </row>
    <row r="2404" spans="1:5">
      <c r="A2404" s="167">
        <v>44014</v>
      </c>
      <c r="B2404" s="167">
        <v>0</v>
      </c>
      <c r="C2404" s="167" t="s">
        <v>12359</v>
      </c>
      <c r="D2404" s="167" t="s">
        <v>7331</v>
      </c>
      <c r="E2404" s="168" t="s">
        <v>12481</v>
      </c>
    </row>
    <row r="2405" spans="1:5">
      <c r="A2405" s="167">
        <v>44015</v>
      </c>
      <c r="B2405" s="167">
        <v>0</v>
      </c>
      <c r="C2405" s="167" t="s">
        <v>12360</v>
      </c>
      <c r="D2405" s="167" t="s">
        <v>7332</v>
      </c>
      <c r="E2405" s="168" t="s">
        <v>12482</v>
      </c>
    </row>
    <row r="2406" spans="1:5">
      <c r="A2406" s="167">
        <v>44016</v>
      </c>
      <c r="B2406" s="167">
        <v>0</v>
      </c>
      <c r="C2406" s="167" t="s">
        <v>4927</v>
      </c>
      <c r="D2406" s="167" t="s">
        <v>7333</v>
      </c>
      <c r="E2406" s="168" t="s">
        <v>7524</v>
      </c>
    </row>
    <row r="2407" spans="1:5">
      <c r="A2407" s="167">
        <v>44017</v>
      </c>
      <c r="B2407" s="167">
        <v>0</v>
      </c>
      <c r="C2407" s="167" t="s">
        <v>12361</v>
      </c>
      <c r="D2407" s="167" t="s">
        <v>7334</v>
      </c>
      <c r="E2407" s="168" t="s">
        <v>12483</v>
      </c>
    </row>
    <row r="2408" spans="1:5">
      <c r="A2408" s="167">
        <v>44018</v>
      </c>
      <c r="B2408" s="167">
        <v>0</v>
      </c>
      <c r="C2408" s="167" t="s">
        <v>12362</v>
      </c>
      <c r="D2408" s="167" t="s">
        <v>7335</v>
      </c>
      <c r="E2408" s="168" t="s">
        <v>12484</v>
      </c>
    </row>
    <row r="2409" spans="1:5">
      <c r="A2409" s="167">
        <v>44019</v>
      </c>
      <c r="B2409" s="167">
        <v>0</v>
      </c>
      <c r="C2409" s="167" t="s">
        <v>4929</v>
      </c>
      <c r="D2409" s="167" t="s">
        <v>7336</v>
      </c>
      <c r="E2409" s="168" t="s">
        <v>7525</v>
      </c>
    </row>
    <row r="2410" spans="1:5">
      <c r="A2410" s="167">
        <v>44020</v>
      </c>
      <c r="B2410" s="167">
        <v>0</v>
      </c>
      <c r="C2410" s="167" t="s">
        <v>12363</v>
      </c>
      <c r="D2410" s="167" t="s">
        <v>7337</v>
      </c>
      <c r="E2410" s="168" t="s">
        <v>12485</v>
      </c>
    </row>
    <row r="2411" spans="1:5">
      <c r="A2411" s="167">
        <v>44021</v>
      </c>
      <c r="B2411" s="167">
        <v>0</v>
      </c>
      <c r="C2411" s="167" t="s">
        <v>12364</v>
      </c>
      <c r="D2411" s="167" t="s">
        <v>7338</v>
      </c>
      <c r="E2411" s="168" t="s">
        <v>12486</v>
      </c>
    </row>
    <row r="2412" spans="1:5">
      <c r="A2412" s="167">
        <v>44022</v>
      </c>
      <c r="B2412" s="167">
        <v>0</v>
      </c>
      <c r="C2412" s="167" t="s">
        <v>4925</v>
      </c>
      <c r="D2412" s="167" t="s">
        <v>7339</v>
      </c>
      <c r="E2412" s="168" t="s">
        <v>7528</v>
      </c>
    </row>
    <row r="2413" spans="1:5">
      <c r="A2413" s="167">
        <v>44023</v>
      </c>
      <c r="B2413" s="167">
        <v>0</v>
      </c>
      <c r="C2413" s="167" t="s">
        <v>12365</v>
      </c>
      <c r="D2413" s="167" t="s">
        <v>7340</v>
      </c>
      <c r="E2413" s="168" t="s">
        <v>12487</v>
      </c>
    </row>
    <row r="2414" spans="1:5">
      <c r="A2414" s="167">
        <v>44024</v>
      </c>
      <c r="B2414" s="167">
        <v>0</v>
      </c>
      <c r="C2414" s="167" t="s">
        <v>12366</v>
      </c>
      <c r="D2414" s="167" t="s">
        <v>7341</v>
      </c>
      <c r="E2414" s="168" t="s">
        <v>12488</v>
      </c>
    </row>
    <row r="2415" spans="1:5">
      <c r="A2415" s="167">
        <v>44025</v>
      </c>
      <c r="B2415" s="167">
        <v>0</v>
      </c>
      <c r="C2415" s="167" t="s">
        <v>4931</v>
      </c>
      <c r="D2415" s="167" t="s">
        <v>7342</v>
      </c>
      <c r="E2415" s="168" t="s">
        <v>7530</v>
      </c>
    </row>
    <row r="2416" spans="1:5">
      <c r="A2416" s="167">
        <v>44026</v>
      </c>
      <c r="B2416" s="167">
        <v>0</v>
      </c>
      <c r="C2416" s="167" t="s">
        <v>12367</v>
      </c>
      <c r="D2416" s="167" t="s">
        <v>7343</v>
      </c>
      <c r="E2416" s="168" t="s">
        <v>12489</v>
      </c>
    </row>
    <row r="2417" spans="1:5">
      <c r="A2417" s="167">
        <v>44027</v>
      </c>
      <c r="B2417" s="167">
        <v>0</v>
      </c>
      <c r="C2417" s="167" t="s">
        <v>12368</v>
      </c>
      <c r="D2417" s="167" t="s">
        <v>7344</v>
      </c>
      <c r="E2417" s="168" t="s">
        <v>12490</v>
      </c>
    </row>
    <row r="2418" spans="1:5">
      <c r="A2418" s="167">
        <v>44028</v>
      </c>
      <c r="B2418" s="167">
        <v>0</v>
      </c>
      <c r="C2418" s="167" t="s">
        <v>4930</v>
      </c>
      <c r="D2418" s="167" t="s">
        <v>7345</v>
      </c>
      <c r="E2418" s="168" t="s">
        <v>12491</v>
      </c>
    </row>
    <row r="2419" spans="1:5">
      <c r="A2419" s="167">
        <v>44029</v>
      </c>
      <c r="B2419" s="167">
        <v>0</v>
      </c>
      <c r="C2419" s="167" t="s">
        <v>12369</v>
      </c>
      <c r="D2419" s="167" t="s">
        <v>7346</v>
      </c>
      <c r="E2419" s="168" t="s">
        <v>12492</v>
      </c>
    </row>
    <row r="2420" spans="1:5">
      <c r="A2420" s="167">
        <v>44030</v>
      </c>
      <c r="B2420" s="167">
        <v>0</v>
      </c>
      <c r="C2420" s="167" t="s">
        <v>12370</v>
      </c>
      <c r="D2420" s="167" t="s">
        <v>7347</v>
      </c>
      <c r="E2420" s="168" t="s">
        <v>12493</v>
      </c>
    </row>
    <row r="2421" spans="1:5">
      <c r="A2421" s="167">
        <v>44031</v>
      </c>
      <c r="B2421" s="167">
        <v>0</v>
      </c>
      <c r="C2421" s="167" t="s">
        <v>6486</v>
      </c>
      <c r="D2421" s="167" t="s">
        <v>7348</v>
      </c>
      <c r="E2421" s="168" t="s">
        <v>7516</v>
      </c>
    </row>
    <row r="2422" spans="1:5">
      <c r="A2422" s="167">
        <v>44032</v>
      </c>
      <c r="B2422" s="167">
        <v>0</v>
      </c>
      <c r="C2422" s="167" t="s">
        <v>6479</v>
      </c>
      <c r="D2422" s="167" t="s">
        <v>7349</v>
      </c>
      <c r="E2422" s="168" t="s">
        <v>12494</v>
      </c>
    </row>
    <row r="2423" spans="1:5">
      <c r="A2423" s="167">
        <v>44033</v>
      </c>
      <c r="B2423" s="167">
        <v>0</v>
      </c>
      <c r="C2423" s="167" t="s">
        <v>12371</v>
      </c>
      <c r="D2423" s="167" t="s">
        <v>7350</v>
      </c>
      <c r="E2423" s="168" t="s">
        <v>12495</v>
      </c>
    </row>
    <row r="2424" spans="1:5">
      <c r="A2424" s="167">
        <v>44034</v>
      </c>
      <c r="B2424" s="167">
        <v>0</v>
      </c>
      <c r="C2424" s="167" t="s">
        <v>6483</v>
      </c>
      <c r="D2424" s="167" t="s">
        <v>7351</v>
      </c>
      <c r="E2424" s="168" t="s">
        <v>7519</v>
      </c>
    </row>
    <row r="2425" spans="1:5">
      <c r="A2425" s="167">
        <v>44035</v>
      </c>
      <c r="B2425" s="167">
        <v>0</v>
      </c>
      <c r="C2425" s="167" t="s">
        <v>12372</v>
      </c>
      <c r="D2425" s="167" t="s">
        <v>7352</v>
      </c>
      <c r="E2425" s="168" t="s">
        <v>12496</v>
      </c>
    </row>
    <row r="2426" spans="1:5">
      <c r="A2426" s="167">
        <v>44036</v>
      </c>
      <c r="B2426" s="167">
        <v>0</v>
      </c>
      <c r="C2426" s="167" t="s">
        <v>12373</v>
      </c>
      <c r="D2426" s="167" t="s">
        <v>7353</v>
      </c>
      <c r="E2426" s="168" t="s">
        <v>12497</v>
      </c>
    </row>
    <row r="2427" spans="1:5">
      <c r="A2427" s="167">
        <v>44037</v>
      </c>
      <c r="B2427" s="167">
        <v>0</v>
      </c>
      <c r="C2427" s="167" t="s">
        <v>6481</v>
      </c>
      <c r="D2427" s="167" t="s">
        <v>7354</v>
      </c>
      <c r="E2427" s="168" t="s">
        <v>7520</v>
      </c>
    </row>
    <row r="2428" spans="1:5">
      <c r="A2428" s="167">
        <v>44038</v>
      </c>
      <c r="B2428" s="167">
        <v>0</v>
      </c>
      <c r="C2428" s="167" t="s">
        <v>12374</v>
      </c>
      <c r="D2428" s="167" t="s">
        <v>7355</v>
      </c>
      <c r="E2428" s="168" t="s">
        <v>12498</v>
      </c>
    </row>
    <row r="2429" spans="1:5">
      <c r="A2429" s="167">
        <v>44039</v>
      </c>
      <c r="B2429" s="167">
        <v>0</v>
      </c>
      <c r="C2429" s="167" t="s">
        <v>12375</v>
      </c>
      <c r="D2429" s="167" t="s">
        <v>7356</v>
      </c>
      <c r="E2429" s="168" t="s">
        <v>12499</v>
      </c>
    </row>
    <row r="2430" spans="1:5">
      <c r="A2430" s="167">
        <v>44040</v>
      </c>
      <c r="B2430" s="167">
        <v>0</v>
      </c>
      <c r="C2430" s="167" t="s">
        <v>12376</v>
      </c>
      <c r="D2430" s="167" t="s">
        <v>7357</v>
      </c>
      <c r="E2430" s="168" t="s">
        <v>7521</v>
      </c>
    </row>
    <row r="2431" spans="1:5">
      <c r="A2431" s="167">
        <v>44041</v>
      </c>
      <c r="B2431" s="167">
        <v>0</v>
      </c>
      <c r="C2431" s="167" t="s">
        <v>12377</v>
      </c>
      <c r="D2431" s="167" t="s">
        <v>7358</v>
      </c>
      <c r="E2431" s="168" t="s">
        <v>12500</v>
      </c>
    </row>
    <row r="2432" spans="1:5">
      <c r="A2432" s="167">
        <v>44042</v>
      </c>
      <c r="B2432" s="167">
        <v>0</v>
      </c>
      <c r="C2432" s="167" t="s">
        <v>12378</v>
      </c>
      <c r="D2432" s="167" t="s">
        <v>7359</v>
      </c>
      <c r="E2432" s="168" t="s">
        <v>12501</v>
      </c>
    </row>
    <row r="2433" spans="1:5">
      <c r="A2433" s="167">
        <v>44043</v>
      </c>
      <c r="B2433" s="167">
        <v>0</v>
      </c>
      <c r="C2433" s="167" t="s">
        <v>4922</v>
      </c>
      <c r="D2433" s="167" t="s">
        <v>7360</v>
      </c>
      <c r="E2433" s="168" t="s">
        <v>7523</v>
      </c>
    </row>
    <row r="2434" spans="1:5">
      <c r="A2434" s="167">
        <v>44044</v>
      </c>
      <c r="B2434" s="167">
        <v>0</v>
      </c>
      <c r="C2434" s="167" t="s">
        <v>12379</v>
      </c>
      <c r="D2434" s="167" t="s">
        <v>7361</v>
      </c>
      <c r="E2434" s="168" t="s">
        <v>12502</v>
      </c>
    </row>
    <row r="2435" spans="1:5">
      <c r="A2435" s="167">
        <v>44045</v>
      </c>
      <c r="B2435" s="167">
        <v>0</v>
      </c>
      <c r="C2435" s="167" t="s">
        <v>12380</v>
      </c>
      <c r="D2435" s="167" t="s">
        <v>7362</v>
      </c>
      <c r="E2435" s="168" t="s">
        <v>7533</v>
      </c>
    </row>
    <row r="2436" spans="1:5">
      <c r="A2436" s="167">
        <v>44046</v>
      </c>
      <c r="B2436" s="167">
        <v>0</v>
      </c>
      <c r="C2436" s="167" t="s">
        <v>4926</v>
      </c>
      <c r="D2436" s="167" t="s">
        <v>7363</v>
      </c>
      <c r="E2436" s="168" t="s">
        <v>7526</v>
      </c>
    </row>
    <row r="2437" spans="1:5">
      <c r="A2437" s="167">
        <v>44047</v>
      </c>
      <c r="B2437" s="167">
        <v>0</v>
      </c>
      <c r="C2437" s="167" t="s">
        <v>12381</v>
      </c>
      <c r="D2437" s="167" t="s">
        <v>7364</v>
      </c>
      <c r="E2437" s="168" t="s">
        <v>12503</v>
      </c>
    </row>
    <row r="2438" spans="1:5">
      <c r="A2438" s="167">
        <v>44048</v>
      </c>
      <c r="B2438" s="167">
        <v>0</v>
      </c>
      <c r="C2438" s="167" t="s">
        <v>12382</v>
      </c>
      <c r="D2438" s="167" t="s">
        <v>7365</v>
      </c>
      <c r="E2438" s="168" t="s">
        <v>12504</v>
      </c>
    </row>
    <row r="2439" spans="1:5">
      <c r="A2439" s="167">
        <v>44049</v>
      </c>
      <c r="B2439" s="167">
        <v>0</v>
      </c>
      <c r="C2439" s="167" t="s">
        <v>4928</v>
      </c>
      <c r="D2439" s="167" t="s">
        <v>7366</v>
      </c>
      <c r="E2439" s="168" t="s">
        <v>7527</v>
      </c>
    </row>
    <row r="2440" spans="1:5">
      <c r="A2440" s="167">
        <v>44050</v>
      </c>
      <c r="B2440" s="167">
        <v>0</v>
      </c>
      <c r="C2440" s="167" t="s">
        <v>12383</v>
      </c>
      <c r="D2440" s="167" t="s">
        <v>7367</v>
      </c>
      <c r="E2440" s="168" t="s">
        <v>12505</v>
      </c>
    </row>
    <row r="2441" spans="1:5">
      <c r="A2441" s="167">
        <v>44051</v>
      </c>
      <c r="B2441" s="167">
        <v>0</v>
      </c>
      <c r="C2441" s="167" t="s">
        <v>12384</v>
      </c>
      <c r="D2441" s="167" t="s">
        <v>7368</v>
      </c>
      <c r="E2441" s="168" t="s">
        <v>12506</v>
      </c>
    </row>
    <row r="2442" spans="1:5">
      <c r="A2442" s="167">
        <v>44052</v>
      </c>
      <c r="B2442" s="167">
        <v>0</v>
      </c>
      <c r="C2442" s="167" t="s">
        <v>4923</v>
      </c>
      <c r="D2442" s="167" t="s">
        <v>7369</v>
      </c>
      <c r="E2442" s="168" t="s">
        <v>7529</v>
      </c>
    </row>
    <row r="2443" spans="1:5">
      <c r="A2443" s="167">
        <v>44053</v>
      </c>
      <c r="B2443" s="167">
        <v>0</v>
      </c>
      <c r="C2443" s="167" t="s">
        <v>12385</v>
      </c>
      <c r="D2443" s="167" t="s">
        <v>7370</v>
      </c>
      <c r="E2443" s="168" t="s">
        <v>12507</v>
      </c>
    </row>
    <row r="2444" spans="1:5">
      <c r="A2444" s="167">
        <v>44054</v>
      </c>
      <c r="B2444" s="167">
        <v>0</v>
      </c>
      <c r="C2444" s="167" t="s">
        <v>12386</v>
      </c>
      <c r="D2444" s="167" t="s">
        <v>7371</v>
      </c>
      <c r="E2444" s="168" t="s">
        <v>12508</v>
      </c>
    </row>
    <row r="2445" spans="1:5">
      <c r="A2445" s="167">
        <v>44055</v>
      </c>
      <c r="B2445" s="167">
        <v>0</v>
      </c>
      <c r="C2445" s="167" t="s">
        <v>6484</v>
      </c>
      <c r="D2445" s="167" t="s">
        <v>7372</v>
      </c>
      <c r="E2445" s="168" t="s">
        <v>12509</v>
      </c>
    </row>
    <row r="2446" spans="1:5">
      <c r="A2446" s="167">
        <v>44056</v>
      </c>
      <c r="B2446" s="167">
        <v>0</v>
      </c>
      <c r="C2446" s="167" t="s">
        <v>12387</v>
      </c>
      <c r="D2446" s="167" t="s">
        <v>7373</v>
      </c>
      <c r="E2446" s="168" t="s">
        <v>12510</v>
      </c>
    </row>
    <row r="2447" spans="1:5">
      <c r="A2447" s="167">
        <v>44057</v>
      </c>
      <c r="B2447" s="167">
        <v>0</v>
      </c>
      <c r="C2447" s="167" t="s">
        <v>12388</v>
      </c>
      <c r="D2447" s="167" t="s">
        <v>7374</v>
      </c>
      <c r="E2447" s="168" t="s">
        <v>12511</v>
      </c>
    </row>
    <row r="2448" spans="1:5">
      <c r="A2448" s="167">
        <v>44058</v>
      </c>
      <c r="B2448" s="167">
        <v>0</v>
      </c>
      <c r="C2448" s="167" t="s">
        <v>12389</v>
      </c>
      <c r="D2448" s="167" t="s">
        <v>7375</v>
      </c>
      <c r="E2448" s="168" t="s">
        <v>7532</v>
      </c>
    </row>
    <row r="2449" spans="1:5">
      <c r="A2449" s="167">
        <v>44059</v>
      </c>
      <c r="B2449" s="167">
        <v>0</v>
      </c>
      <c r="C2449" s="167" t="s">
        <v>12390</v>
      </c>
      <c r="D2449" s="167" t="s">
        <v>7376</v>
      </c>
      <c r="E2449" s="168" t="s">
        <v>12512</v>
      </c>
    </row>
    <row r="2450" spans="1:5">
      <c r="A2450" s="167">
        <v>44060</v>
      </c>
      <c r="B2450" s="167">
        <v>0</v>
      </c>
      <c r="C2450" s="167" t="s">
        <v>12391</v>
      </c>
      <c r="D2450" s="167" t="s">
        <v>7377</v>
      </c>
      <c r="E2450" s="168" t="s">
        <v>12513</v>
      </c>
    </row>
    <row r="2451" spans="1:5">
      <c r="A2451" s="167">
        <v>44061</v>
      </c>
      <c r="B2451" s="167">
        <v>0</v>
      </c>
      <c r="C2451" s="167" t="s">
        <v>6480</v>
      </c>
      <c r="D2451" s="167" t="s">
        <v>7378</v>
      </c>
      <c r="E2451" s="168" t="s">
        <v>7517</v>
      </c>
    </row>
    <row r="2452" spans="1:5">
      <c r="A2452" s="167">
        <v>44062</v>
      </c>
      <c r="B2452" s="167">
        <v>0</v>
      </c>
      <c r="C2452" s="167" t="s">
        <v>6487</v>
      </c>
      <c r="D2452" s="167" t="s">
        <v>7379</v>
      </c>
      <c r="E2452" s="168" t="s">
        <v>12514</v>
      </c>
    </row>
    <row r="2453" spans="1:5">
      <c r="A2453" s="167">
        <v>44063</v>
      </c>
      <c r="B2453" s="167">
        <v>0</v>
      </c>
      <c r="C2453" s="167" t="s">
        <v>12392</v>
      </c>
      <c r="D2453" s="167" t="s">
        <v>7380</v>
      </c>
      <c r="E2453" s="168" t="s">
        <v>12515</v>
      </c>
    </row>
    <row r="2454" spans="1:5">
      <c r="A2454" s="167">
        <v>44064</v>
      </c>
      <c r="B2454" s="167">
        <v>0</v>
      </c>
      <c r="C2454" s="167" t="s">
        <v>6482</v>
      </c>
      <c r="D2454" s="167" t="s">
        <v>7381</v>
      </c>
      <c r="E2454" s="168" t="s">
        <v>7518</v>
      </c>
    </row>
    <row r="2455" spans="1:5">
      <c r="A2455" s="167">
        <v>44065</v>
      </c>
      <c r="B2455" s="167">
        <v>0</v>
      </c>
      <c r="C2455" s="167" t="s">
        <v>12393</v>
      </c>
      <c r="D2455" s="167" t="s">
        <v>7382</v>
      </c>
      <c r="E2455" s="168" t="s">
        <v>12516</v>
      </c>
    </row>
    <row r="2456" spans="1:5">
      <c r="A2456" s="167">
        <v>44066</v>
      </c>
      <c r="B2456" s="167">
        <v>0</v>
      </c>
      <c r="C2456" s="167" t="s">
        <v>6485</v>
      </c>
      <c r="D2456" s="167" t="s">
        <v>7383</v>
      </c>
      <c r="E2456" s="168" t="s">
        <v>12517</v>
      </c>
    </row>
    <row r="2457" spans="1:5">
      <c r="A2457" s="167">
        <v>44067</v>
      </c>
      <c r="B2457" s="167">
        <v>0</v>
      </c>
      <c r="C2457" s="167" t="s">
        <v>12358</v>
      </c>
      <c r="D2457" s="167" t="s">
        <v>7384</v>
      </c>
      <c r="E2457" s="168" t="s">
        <v>7522</v>
      </c>
    </row>
    <row r="2458" spans="1:5">
      <c r="A2458" s="167">
        <v>44068</v>
      </c>
      <c r="B2458" s="167">
        <v>0</v>
      </c>
      <c r="C2458" s="167" t="s">
        <v>12394</v>
      </c>
      <c r="D2458" s="167" t="s">
        <v>7385</v>
      </c>
      <c r="E2458" s="168" t="s">
        <v>12518</v>
      </c>
    </row>
    <row r="2459" spans="1:5">
      <c r="A2459" s="167">
        <v>44069</v>
      </c>
      <c r="B2459" s="167">
        <v>0</v>
      </c>
      <c r="C2459" s="167" t="s">
        <v>12395</v>
      </c>
      <c r="D2459" s="167" t="s">
        <v>7386</v>
      </c>
      <c r="E2459" s="168" t="s">
        <v>12519</v>
      </c>
    </row>
    <row r="2460" spans="1:5">
      <c r="A2460" s="167">
        <v>44070</v>
      </c>
      <c r="B2460" s="167">
        <v>0</v>
      </c>
      <c r="C2460" s="167" t="s">
        <v>4927</v>
      </c>
      <c r="D2460" s="167" t="s">
        <v>7387</v>
      </c>
      <c r="E2460" s="168" t="s">
        <v>7524</v>
      </c>
    </row>
    <row r="2461" spans="1:5">
      <c r="A2461" s="167">
        <v>44071</v>
      </c>
      <c r="B2461" s="167">
        <v>0</v>
      </c>
      <c r="C2461" s="167" t="s">
        <v>12396</v>
      </c>
      <c r="D2461" s="167" t="s">
        <v>7388</v>
      </c>
      <c r="E2461" s="168" t="s">
        <v>12520</v>
      </c>
    </row>
    <row r="2462" spans="1:5">
      <c r="A2462" s="167">
        <v>44072</v>
      </c>
      <c r="B2462" s="167">
        <v>0</v>
      </c>
      <c r="C2462" s="167" t="s">
        <v>12397</v>
      </c>
      <c r="D2462" s="167" t="s">
        <v>7389</v>
      </c>
      <c r="E2462" s="168" t="s">
        <v>12521</v>
      </c>
    </row>
    <row r="2463" spans="1:5">
      <c r="A2463" s="167">
        <v>44073</v>
      </c>
      <c r="B2463" s="167">
        <v>0</v>
      </c>
      <c r="C2463" s="167" t="s">
        <v>4929</v>
      </c>
      <c r="D2463" s="167" t="s">
        <v>7390</v>
      </c>
      <c r="E2463" s="168" t="s">
        <v>7525</v>
      </c>
    </row>
    <row r="2464" spans="1:5">
      <c r="A2464" s="167">
        <v>44074</v>
      </c>
      <c r="B2464" s="167">
        <v>0</v>
      </c>
      <c r="C2464" s="167" t="s">
        <v>12398</v>
      </c>
      <c r="D2464" s="167" t="s">
        <v>7391</v>
      </c>
      <c r="E2464" s="168" t="s">
        <v>12522</v>
      </c>
    </row>
    <row r="2465" spans="1:5">
      <c r="A2465" s="167">
        <v>44075</v>
      </c>
      <c r="B2465" s="167">
        <v>0</v>
      </c>
      <c r="C2465" s="167" t="s">
        <v>12399</v>
      </c>
      <c r="D2465" s="167" t="s">
        <v>7392</v>
      </c>
      <c r="E2465" s="168" t="s">
        <v>12523</v>
      </c>
    </row>
    <row r="2466" spans="1:5">
      <c r="A2466" s="167">
        <v>44076</v>
      </c>
      <c r="B2466" s="167">
        <v>0</v>
      </c>
      <c r="C2466" s="167" t="s">
        <v>4925</v>
      </c>
      <c r="D2466" s="167" t="s">
        <v>7393</v>
      </c>
      <c r="E2466" s="168" t="s">
        <v>7528</v>
      </c>
    </row>
    <row r="2467" spans="1:5">
      <c r="A2467" s="167">
        <v>44077</v>
      </c>
      <c r="B2467" s="167">
        <v>0</v>
      </c>
      <c r="C2467" s="167" t="s">
        <v>12400</v>
      </c>
      <c r="D2467" s="167" t="s">
        <v>7394</v>
      </c>
      <c r="E2467" s="168" t="s">
        <v>12524</v>
      </c>
    </row>
    <row r="2468" spans="1:5">
      <c r="A2468" s="167">
        <v>44078</v>
      </c>
      <c r="B2468" s="167">
        <v>0</v>
      </c>
      <c r="C2468" s="167" t="s">
        <v>12401</v>
      </c>
      <c r="D2468" s="167" t="s">
        <v>7395</v>
      </c>
      <c r="E2468" s="168" t="s">
        <v>12525</v>
      </c>
    </row>
    <row r="2469" spans="1:5">
      <c r="A2469" s="167">
        <v>44079</v>
      </c>
      <c r="B2469" s="167">
        <v>0</v>
      </c>
      <c r="C2469" s="167" t="s">
        <v>4931</v>
      </c>
      <c r="D2469" s="167" t="s">
        <v>7396</v>
      </c>
      <c r="E2469" s="168" t="s">
        <v>7530</v>
      </c>
    </row>
    <row r="2470" spans="1:5">
      <c r="A2470" s="167">
        <v>44080</v>
      </c>
      <c r="B2470" s="167">
        <v>0</v>
      </c>
      <c r="C2470" s="167" t="s">
        <v>12402</v>
      </c>
      <c r="D2470" s="167" t="s">
        <v>7397</v>
      </c>
      <c r="E2470" s="168" t="s">
        <v>12526</v>
      </c>
    </row>
    <row r="2471" spans="1:5">
      <c r="A2471" s="167">
        <v>44081</v>
      </c>
      <c r="B2471" s="167">
        <v>0</v>
      </c>
      <c r="C2471" s="167" t="s">
        <v>12403</v>
      </c>
      <c r="D2471" s="167" t="s">
        <v>7398</v>
      </c>
      <c r="E2471" s="168" t="s">
        <v>12527</v>
      </c>
    </row>
    <row r="2472" spans="1:5">
      <c r="A2472" s="167">
        <v>44082</v>
      </c>
      <c r="B2472" s="167">
        <v>0</v>
      </c>
      <c r="C2472" s="167" t="s">
        <v>4930</v>
      </c>
      <c r="D2472" s="167" t="s">
        <v>7399</v>
      </c>
      <c r="E2472" s="168" t="s">
        <v>12491</v>
      </c>
    </row>
    <row r="2473" spans="1:5">
      <c r="A2473" s="167">
        <v>44083</v>
      </c>
      <c r="B2473" s="167">
        <v>0</v>
      </c>
      <c r="C2473" s="167" t="s">
        <v>12404</v>
      </c>
      <c r="D2473" s="167" t="s">
        <v>7400</v>
      </c>
      <c r="E2473" s="168" t="s">
        <v>12528</v>
      </c>
    </row>
    <row r="2474" spans="1:5">
      <c r="A2474" s="167">
        <v>44084</v>
      </c>
      <c r="B2474" s="167">
        <v>0</v>
      </c>
      <c r="C2474" s="167" t="s">
        <v>12405</v>
      </c>
      <c r="D2474" s="167" t="s">
        <v>7401</v>
      </c>
      <c r="E2474" s="168" t="s">
        <v>12529</v>
      </c>
    </row>
    <row r="2475" spans="1:5">
      <c r="A2475" s="167">
        <v>44085</v>
      </c>
      <c r="B2475" s="167">
        <v>0</v>
      </c>
      <c r="C2475" s="167" t="s">
        <v>6486</v>
      </c>
      <c r="D2475" s="167" t="s">
        <v>7402</v>
      </c>
      <c r="E2475" s="168" t="s">
        <v>7516</v>
      </c>
    </row>
    <row r="2476" spans="1:5">
      <c r="A2476" s="167">
        <v>44086</v>
      </c>
      <c r="B2476" s="167">
        <v>0</v>
      </c>
      <c r="C2476" s="167" t="s">
        <v>12406</v>
      </c>
      <c r="D2476" s="167" t="s">
        <v>7403</v>
      </c>
      <c r="E2476" s="168" t="s">
        <v>7536</v>
      </c>
    </row>
    <row r="2477" spans="1:5">
      <c r="A2477" s="167">
        <v>44087</v>
      </c>
      <c r="B2477" s="167">
        <v>0</v>
      </c>
      <c r="C2477" s="167" t="s">
        <v>12407</v>
      </c>
      <c r="D2477" s="167" t="s">
        <v>7404</v>
      </c>
      <c r="E2477" s="168" t="s">
        <v>12530</v>
      </c>
    </row>
    <row r="2478" spans="1:5">
      <c r="A2478" s="167">
        <v>44088</v>
      </c>
      <c r="B2478" s="167">
        <v>0</v>
      </c>
      <c r="C2478" s="167" t="s">
        <v>6483</v>
      </c>
      <c r="D2478" s="167" t="s">
        <v>7405</v>
      </c>
      <c r="E2478" s="168" t="s">
        <v>7519</v>
      </c>
    </row>
    <row r="2479" spans="1:5">
      <c r="A2479" s="167">
        <v>44089</v>
      </c>
      <c r="B2479" s="167">
        <v>0</v>
      </c>
      <c r="C2479" s="167" t="s">
        <v>12408</v>
      </c>
      <c r="D2479" s="167" t="s">
        <v>7406</v>
      </c>
      <c r="E2479" s="168" t="s">
        <v>12531</v>
      </c>
    </row>
    <row r="2480" spans="1:5">
      <c r="A2480" s="167">
        <v>44090</v>
      </c>
      <c r="B2480" s="167">
        <v>0</v>
      </c>
      <c r="C2480" s="167" t="s">
        <v>12409</v>
      </c>
      <c r="D2480" s="167" t="s">
        <v>7407</v>
      </c>
      <c r="E2480" s="168" t="s">
        <v>12532</v>
      </c>
    </row>
    <row r="2481" spans="1:5">
      <c r="A2481" s="167">
        <v>44091</v>
      </c>
      <c r="B2481" s="167">
        <v>0</v>
      </c>
      <c r="C2481" s="167" t="s">
        <v>6481</v>
      </c>
      <c r="D2481" s="167" t="s">
        <v>7408</v>
      </c>
      <c r="E2481" s="168" t="s">
        <v>7520</v>
      </c>
    </row>
    <row r="2482" spans="1:5">
      <c r="A2482" s="167">
        <v>44092</v>
      </c>
      <c r="B2482" s="167">
        <v>0</v>
      </c>
      <c r="C2482" s="167" t="s">
        <v>12410</v>
      </c>
      <c r="D2482" s="167" t="s">
        <v>7409</v>
      </c>
      <c r="E2482" s="168" t="s">
        <v>7535</v>
      </c>
    </row>
    <row r="2483" spans="1:5">
      <c r="A2483" s="167">
        <v>44093</v>
      </c>
      <c r="B2483" s="167">
        <v>0</v>
      </c>
      <c r="C2483" s="167" t="s">
        <v>12411</v>
      </c>
      <c r="D2483" s="167" t="s">
        <v>7410</v>
      </c>
      <c r="E2483" s="168" t="s">
        <v>12533</v>
      </c>
    </row>
    <row r="2484" spans="1:5">
      <c r="A2484" s="167">
        <v>44094</v>
      </c>
      <c r="B2484" s="167">
        <v>0</v>
      </c>
      <c r="C2484" s="167" t="s">
        <v>12376</v>
      </c>
      <c r="D2484" s="167" t="s">
        <v>7411</v>
      </c>
      <c r="E2484" s="168" t="s">
        <v>7521</v>
      </c>
    </row>
    <row r="2485" spans="1:5">
      <c r="A2485" s="167">
        <v>44095</v>
      </c>
      <c r="B2485" s="167">
        <v>0</v>
      </c>
      <c r="C2485" s="167" t="s">
        <v>12412</v>
      </c>
      <c r="D2485" s="167" t="s">
        <v>7412</v>
      </c>
      <c r="E2485" s="168" t="s">
        <v>12534</v>
      </c>
    </row>
    <row r="2486" spans="1:5">
      <c r="A2486" s="167">
        <v>44096</v>
      </c>
      <c r="B2486" s="167">
        <v>0</v>
      </c>
      <c r="C2486" s="167" t="s">
        <v>12413</v>
      </c>
      <c r="D2486" s="167" t="s">
        <v>7413</v>
      </c>
      <c r="E2486" s="168" t="s">
        <v>12535</v>
      </c>
    </row>
    <row r="2487" spans="1:5">
      <c r="A2487" s="167">
        <v>44097</v>
      </c>
      <c r="B2487" s="167">
        <v>0</v>
      </c>
      <c r="C2487" s="167" t="s">
        <v>4922</v>
      </c>
      <c r="D2487" s="167" t="s">
        <v>7414</v>
      </c>
      <c r="E2487" s="168" t="s">
        <v>7523</v>
      </c>
    </row>
    <row r="2488" spans="1:5">
      <c r="A2488" s="167">
        <v>44098</v>
      </c>
      <c r="B2488" s="167">
        <v>0</v>
      </c>
      <c r="C2488" s="167" t="s">
        <v>12414</v>
      </c>
      <c r="D2488" s="167" t="s">
        <v>7415</v>
      </c>
      <c r="E2488" s="168" t="s">
        <v>12536</v>
      </c>
    </row>
    <row r="2489" spans="1:5">
      <c r="A2489" s="167">
        <v>44099</v>
      </c>
      <c r="B2489" s="167">
        <v>0</v>
      </c>
      <c r="C2489" s="167" t="s">
        <v>12415</v>
      </c>
      <c r="D2489" s="167" t="s">
        <v>7416</v>
      </c>
      <c r="E2489" s="168" t="s">
        <v>12537</v>
      </c>
    </row>
    <row r="2490" spans="1:5">
      <c r="A2490" s="167">
        <v>44100</v>
      </c>
      <c r="B2490" s="167">
        <v>0</v>
      </c>
      <c r="C2490" s="167" t="s">
        <v>4926</v>
      </c>
      <c r="D2490" s="167" t="s">
        <v>7417</v>
      </c>
      <c r="E2490" s="168" t="s">
        <v>7526</v>
      </c>
    </row>
    <row r="2491" spans="1:5">
      <c r="A2491" s="167">
        <v>44101</v>
      </c>
      <c r="B2491" s="167">
        <v>0</v>
      </c>
      <c r="C2491" s="167" t="s">
        <v>12416</v>
      </c>
      <c r="D2491" s="167" t="s">
        <v>7418</v>
      </c>
      <c r="E2491" s="168" t="s">
        <v>12538</v>
      </c>
    </row>
    <row r="2492" spans="1:5">
      <c r="A2492" s="167">
        <v>44102</v>
      </c>
      <c r="B2492" s="167">
        <v>0</v>
      </c>
      <c r="C2492" s="167" t="s">
        <v>12417</v>
      </c>
      <c r="D2492" s="167" t="s">
        <v>7419</v>
      </c>
      <c r="E2492" s="168" t="s">
        <v>12539</v>
      </c>
    </row>
    <row r="2493" spans="1:5">
      <c r="A2493" s="167">
        <v>44103</v>
      </c>
      <c r="B2493" s="167">
        <v>0</v>
      </c>
      <c r="C2493" s="167" t="s">
        <v>4928</v>
      </c>
      <c r="D2493" s="167" t="s">
        <v>7420</v>
      </c>
      <c r="E2493" s="168" t="s">
        <v>7527</v>
      </c>
    </row>
    <row r="2494" spans="1:5">
      <c r="A2494" s="167">
        <v>44104</v>
      </c>
      <c r="B2494" s="167">
        <v>0</v>
      </c>
      <c r="C2494" s="167" t="s">
        <v>12418</v>
      </c>
      <c r="D2494" s="167" t="s">
        <v>7421</v>
      </c>
      <c r="E2494" s="168" t="s">
        <v>12540</v>
      </c>
    </row>
    <row r="2495" spans="1:5">
      <c r="A2495" s="167">
        <v>44105</v>
      </c>
      <c r="B2495" s="167">
        <v>0</v>
      </c>
      <c r="C2495" s="167" t="s">
        <v>12419</v>
      </c>
      <c r="D2495" s="167" t="s">
        <v>7422</v>
      </c>
      <c r="E2495" s="168" t="s">
        <v>12541</v>
      </c>
    </row>
    <row r="2496" spans="1:5">
      <c r="A2496" s="167">
        <v>44106</v>
      </c>
      <c r="B2496" s="167">
        <v>0</v>
      </c>
      <c r="C2496" s="167" t="s">
        <v>4923</v>
      </c>
      <c r="D2496" s="167" t="s">
        <v>7423</v>
      </c>
      <c r="E2496" s="168" t="s">
        <v>7529</v>
      </c>
    </row>
    <row r="2497" spans="1:5">
      <c r="A2497" s="167">
        <v>44107</v>
      </c>
      <c r="B2497" s="167">
        <v>0</v>
      </c>
      <c r="C2497" s="167" t="s">
        <v>12420</v>
      </c>
      <c r="D2497" s="167" t="s">
        <v>7424</v>
      </c>
      <c r="E2497" s="168" t="s">
        <v>12542</v>
      </c>
    </row>
    <row r="2498" spans="1:5">
      <c r="A2498" s="167">
        <v>44108</v>
      </c>
      <c r="B2498" s="167">
        <v>0</v>
      </c>
      <c r="C2498" s="167" t="s">
        <v>12421</v>
      </c>
      <c r="D2498" s="167" t="s">
        <v>7425</v>
      </c>
      <c r="E2498" s="168" t="s">
        <v>12543</v>
      </c>
    </row>
    <row r="2499" spans="1:5">
      <c r="A2499" s="167">
        <v>44109</v>
      </c>
      <c r="B2499" s="167">
        <v>0</v>
      </c>
      <c r="C2499" s="167" t="s">
        <v>6484</v>
      </c>
      <c r="D2499" s="167" t="s">
        <v>7426</v>
      </c>
      <c r="E2499" s="168" t="s">
        <v>12509</v>
      </c>
    </row>
    <row r="2500" spans="1:5">
      <c r="A2500" s="167">
        <v>44110</v>
      </c>
      <c r="B2500" s="167">
        <v>0</v>
      </c>
      <c r="C2500" s="167" t="s">
        <v>12422</v>
      </c>
      <c r="D2500" s="167" t="s">
        <v>7427</v>
      </c>
      <c r="E2500" s="168" t="s">
        <v>12544</v>
      </c>
    </row>
    <row r="2501" spans="1:5">
      <c r="A2501" s="167">
        <v>44111</v>
      </c>
      <c r="B2501" s="167">
        <v>0</v>
      </c>
      <c r="C2501" s="167" t="s">
        <v>12423</v>
      </c>
      <c r="D2501" s="167" t="s">
        <v>7428</v>
      </c>
      <c r="E2501" s="168" t="s">
        <v>12545</v>
      </c>
    </row>
    <row r="2502" spans="1:5">
      <c r="A2502" s="167">
        <v>44112</v>
      </c>
      <c r="B2502" s="167">
        <v>0</v>
      </c>
      <c r="C2502" s="167" t="s">
        <v>12389</v>
      </c>
      <c r="D2502" s="167" t="s">
        <v>7429</v>
      </c>
      <c r="E2502" s="168" t="s">
        <v>7532</v>
      </c>
    </row>
    <row r="2503" spans="1:5">
      <c r="A2503" s="167">
        <v>44113</v>
      </c>
      <c r="B2503" s="167">
        <v>0</v>
      </c>
      <c r="C2503" s="167" t="s">
        <v>12424</v>
      </c>
      <c r="D2503" s="167" t="s">
        <v>7430</v>
      </c>
      <c r="E2503" s="168" t="s">
        <v>12546</v>
      </c>
    </row>
    <row r="2504" spans="1:5">
      <c r="A2504" s="167">
        <v>44114</v>
      </c>
      <c r="B2504" s="167">
        <v>0</v>
      </c>
      <c r="C2504" s="167" t="s">
        <v>12425</v>
      </c>
      <c r="D2504" s="167" t="s">
        <v>7431</v>
      </c>
      <c r="E2504" s="168" t="s">
        <v>12547</v>
      </c>
    </row>
    <row r="2505" spans="1:5">
      <c r="A2505" s="167">
        <v>44115</v>
      </c>
      <c r="B2505" s="167">
        <v>0</v>
      </c>
      <c r="C2505" s="167" t="s">
        <v>6480</v>
      </c>
      <c r="D2505" s="167" t="s">
        <v>7432</v>
      </c>
      <c r="E2505" s="168" t="s">
        <v>7517</v>
      </c>
    </row>
    <row r="2506" spans="1:5">
      <c r="A2506" s="167">
        <v>44116</v>
      </c>
      <c r="B2506" s="167">
        <v>0</v>
      </c>
      <c r="C2506" s="167" t="s">
        <v>12426</v>
      </c>
      <c r="D2506" s="167" t="s">
        <v>7433</v>
      </c>
      <c r="E2506" s="168" t="s">
        <v>12548</v>
      </c>
    </row>
    <row r="2507" spans="1:5">
      <c r="A2507" s="167">
        <v>44117</v>
      </c>
      <c r="B2507" s="167">
        <v>0</v>
      </c>
      <c r="C2507" s="167" t="s">
        <v>12427</v>
      </c>
      <c r="D2507" s="167" t="s">
        <v>7434</v>
      </c>
      <c r="E2507" s="168" t="s">
        <v>12549</v>
      </c>
    </row>
    <row r="2508" spans="1:5">
      <c r="A2508" s="167">
        <v>44118</v>
      </c>
      <c r="B2508" s="167">
        <v>0</v>
      </c>
      <c r="C2508" s="167" t="s">
        <v>6482</v>
      </c>
      <c r="D2508" s="167" t="s">
        <v>7435</v>
      </c>
      <c r="E2508" s="168" t="s">
        <v>7518</v>
      </c>
    </row>
    <row r="2509" spans="1:5">
      <c r="A2509" s="167">
        <v>44119</v>
      </c>
      <c r="B2509" s="167">
        <v>0</v>
      </c>
      <c r="C2509" s="167" t="s">
        <v>12428</v>
      </c>
      <c r="D2509" s="167" t="s">
        <v>7436</v>
      </c>
      <c r="E2509" s="168" t="s">
        <v>12550</v>
      </c>
    </row>
    <row r="2510" spans="1:5">
      <c r="A2510" s="167">
        <v>44120</v>
      </c>
      <c r="B2510" s="167">
        <v>0</v>
      </c>
      <c r="C2510" s="167" t="s">
        <v>12429</v>
      </c>
      <c r="D2510" s="167" t="s">
        <v>7437</v>
      </c>
      <c r="E2510" s="168" t="s">
        <v>12551</v>
      </c>
    </row>
    <row r="2511" spans="1:5">
      <c r="A2511" s="167">
        <v>44121</v>
      </c>
      <c r="B2511" s="167">
        <v>0</v>
      </c>
      <c r="C2511" s="167" t="s">
        <v>12358</v>
      </c>
      <c r="D2511" s="167" t="s">
        <v>7438</v>
      </c>
      <c r="E2511" s="168" t="s">
        <v>7522</v>
      </c>
    </row>
    <row r="2512" spans="1:5">
      <c r="A2512" s="167">
        <v>44122</v>
      </c>
      <c r="B2512" s="167">
        <v>0</v>
      </c>
      <c r="C2512" s="167" t="s">
        <v>12430</v>
      </c>
      <c r="D2512" s="167" t="s">
        <v>7439</v>
      </c>
      <c r="E2512" s="168" t="s">
        <v>12552</v>
      </c>
    </row>
    <row r="2513" spans="1:5">
      <c r="A2513" s="167">
        <v>44123</v>
      </c>
      <c r="B2513" s="167">
        <v>0</v>
      </c>
      <c r="C2513" s="167" t="s">
        <v>12431</v>
      </c>
      <c r="D2513" s="167" t="s">
        <v>7440</v>
      </c>
      <c r="E2513" s="168" t="s">
        <v>12553</v>
      </c>
    </row>
    <row r="2514" spans="1:5">
      <c r="A2514" s="167">
        <v>44124</v>
      </c>
      <c r="B2514" s="167">
        <v>0</v>
      </c>
      <c r="C2514" s="167" t="s">
        <v>4927</v>
      </c>
      <c r="D2514" s="167" t="s">
        <v>7441</v>
      </c>
      <c r="E2514" s="168" t="s">
        <v>7524</v>
      </c>
    </row>
    <row r="2515" spans="1:5">
      <c r="A2515" s="167">
        <v>44125</v>
      </c>
      <c r="B2515" s="167">
        <v>0</v>
      </c>
      <c r="C2515" s="167" t="s">
        <v>12432</v>
      </c>
      <c r="D2515" s="167" t="s">
        <v>7442</v>
      </c>
      <c r="E2515" s="168" t="s">
        <v>12554</v>
      </c>
    </row>
    <row r="2516" spans="1:5">
      <c r="A2516" s="167">
        <v>44126</v>
      </c>
      <c r="B2516" s="167">
        <v>0</v>
      </c>
      <c r="C2516" s="167" t="s">
        <v>12433</v>
      </c>
      <c r="D2516" s="167" t="s">
        <v>7443</v>
      </c>
      <c r="E2516" s="168" t="s">
        <v>12555</v>
      </c>
    </row>
    <row r="2517" spans="1:5">
      <c r="A2517" s="167">
        <v>44127</v>
      </c>
      <c r="B2517" s="167">
        <v>0</v>
      </c>
      <c r="C2517" s="167" t="s">
        <v>4929</v>
      </c>
      <c r="D2517" s="167" t="s">
        <v>7444</v>
      </c>
      <c r="E2517" s="168" t="s">
        <v>7525</v>
      </c>
    </row>
    <row r="2518" spans="1:5">
      <c r="A2518" s="167">
        <v>44128</v>
      </c>
      <c r="B2518" s="167">
        <v>0</v>
      </c>
      <c r="C2518" s="167" t="s">
        <v>12434</v>
      </c>
      <c r="D2518" s="167" t="s">
        <v>7445</v>
      </c>
      <c r="E2518" s="168" t="s">
        <v>12556</v>
      </c>
    </row>
    <row r="2519" spans="1:5">
      <c r="A2519" s="167">
        <v>44129</v>
      </c>
      <c r="B2519" s="167">
        <v>0</v>
      </c>
      <c r="C2519" s="167" t="s">
        <v>12435</v>
      </c>
      <c r="D2519" s="167" t="s">
        <v>7446</v>
      </c>
      <c r="E2519" s="168" t="s">
        <v>12557</v>
      </c>
    </row>
    <row r="2520" spans="1:5">
      <c r="A2520" s="167">
        <v>44130</v>
      </c>
      <c r="B2520" s="167">
        <v>0</v>
      </c>
      <c r="C2520" s="167" t="s">
        <v>4925</v>
      </c>
      <c r="D2520" s="167" t="s">
        <v>7447</v>
      </c>
      <c r="E2520" s="168" t="s">
        <v>7528</v>
      </c>
    </row>
    <row r="2521" spans="1:5">
      <c r="A2521" s="167">
        <v>44131</v>
      </c>
      <c r="B2521" s="167">
        <v>0</v>
      </c>
      <c r="C2521" s="167" t="s">
        <v>12436</v>
      </c>
      <c r="D2521" s="167" t="s">
        <v>7448</v>
      </c>
      <c r="E2521" s="168" t="s">
        <v>12558</v>
      </c>
    </row>
    <row r="2522" spans="1:5">
      <c r="A2522" s="167">
        <v>44132</v>
      </c>
      <c r="B2522" s="167">
        <v>0</v>
      </c>
      <c r="C2522" s="167" t="s">
        <v>12437</v>
      </c>
      <c r="D2522" s="167" t="s">
        <v>7449</v>
      </c>
      <c r="E2522" s="168" t="s">
        <v>12559</v>
      </c>
    </row>
    <row r="2523" spans="1:5">
      <c r="A2523" s="167">
        <v>44133</v>
      </c>
      <c r="B2523" s="167">
        <v>0</v>
      </c>
      <c r="C2523" s="167" t="s">
        <v>4931</v>
      </c>
      <c r="D2523" s="167" t="s">
        <v>7450</v>
      </c>
      <c r="E2523" s="168" t="s">
        <v>7530</v>
      </c>
    </row>
    <row r="2524" spans="1:5">
      <c r="A2524" s="167">
        <v>44134</v>
      </c>
      <c r="B2524" s="167">
        <v>0</v>
      </c>
      <c r="C2524" s="167" t="s">
        <v>12438</v>
      </c>
      <c r="D2524" s="167" t="s">
        <v>7451</v>
      </c>
      <c r="E2524" s="168" t="s">
        <v>12560</v>
      </c>
    </row>
    <row r="2525" spans="1:5">
      <c r="A2525" s="167">
        <v>44135</v>
      </c>
      <c r="B2525" s="167">
        <v>0</v>
      </c>
      <c r="C2525" s="167" t="s">
        <v>12439</v>
      </c>
      <c r="D2525" s="167" t="s">
        <v>7452</v>
      </c>
      <c r="E2525" s="168" t="s">
        <v>12561</v>
      </c>
    </row>
    <row r="2526" spans="1:5">
      <c r="A2526" s="167">
        <v>44136</v>
      </c>
      <c r="B2526" s="167">
        <v>0</v>
      </c>
      <c r="C2526" s="167" t="s">
        <v>4930</v>
      </c>
      <c r="D2526" s="167" t="s">
        <v>7453</v>
      </c>
      <c r="E2526" s="168" t="s">
        <v>12491</v>
      </c>
    </row>
    <row r="2527" spans="1:5">
      <c r="A2527" s="167">
        <v>44137</v>
      </c>
      <c r="B2527" s="167">
        <v>0</v>
      </c>
      <c r="C2527" s="167" t="s">
        <v>6496</v>
      </c>
      <c r="D2527" s="167" t="s">
        <v>7454</v>
      </c>
      <c r="E2527" s="168" t="s">
        <v>12562</v>
      </c>
    </row>
    <row r="2528" spans="1:5">
      <c r="A2528" s="167">
        <v>44138</v>
      </c>
      <c r="B2528" s="167">
        <v>0</v>
      </c>
      <c r="C2528" s="167" t="s">
        <v>12440</v>
      </c>
      <c r="D2528" s="167" t="s">
        <v>7455</v>
      </c>
      <c r="E2528" s="168" t="s">
        <v>12563</v>
      </c>
    </row>
    <row r="2529" spans="1:5">
      <c r="A2529" s="167">
        <v>44139</v>
      </c>
      <c r="B2529" s="167">
        <v>0</v>
      </c>
      <c r="C2529" s="167" t="s">
        <v>6486</v>
      </c>
      <c r="D2529" s="167" t="s">
        <v>7456</v>
      </c>
      <c r="E2529" s="168" t="s">
        <v>7516</v>
      </c>
    </row>
    <row r="2530" spans="1:5">
      <c r="A2530" s="167">
        <v>44140</v>
      </c>
      <c r="B2530" s="167">
        <v>0</v>
      </c>
      <c r="C2530" s="167" t="s">
        <v>12441</v>
      </c>
      <c r="D2530" s="167" t="s">
        <v>7457</v>
      </c>
      <c r="E2530" s="168" t="s">
        <v>12564</v>
      </c>
    </row>
    <row r="2531" spans="1:5">
      <c r="A2531" s="167">
        <v>44141</v>
      </c>
      <c r="B2531" s="167">
        <v>0</v>
      </c>
      <c r="C2531" s="167" t="s">
        <v>12442</v>
      </c>
      <c r="D2531" s="167" t="s">
        <v>7458</v>
      </c>
      <c r="E2531" s="168" t="s">
        <v>12565</v>
      </c>
    </row>
    <row r="2532" spans="1:5">
      <c r="A2532" s="167">
        <v>44142</v>
      </c>
      <c r="B2532" s="167">
        <v>0</v>
      </c>
      <c r="C2532" s="167" t="s">
        <v>6483</v>
      </c>
      <c r="D2532" s="167" t="s">
        <v>7459</v>
      </c>
      <c r="E2532" s="168" t="s">
        <v>7519</v>
      </c>
    </row>
    <row r="2533" spans="1:5">
      <c r="A2533" s="167">
        <v>44143</v>
      </c>
      <c r="B2533" s="167">
        <v>0</v>
      </c>
      <c r="C2533" s="167" t="s">
        <v>12443</v>
      </c>
      <c r="D2533" s="167" t="s">
        <v>7460</v>
      </c>
      <c r="E2533" s="168" t="s">
        <v>12566</v>
      </c>
    </row>
    <row r="2534" spans="1:5">
      <c r="A2534" s="167">
        <v>44144</v>
      </c>
      <c r="B2534" s="167">
        <v>0</v>
      </c>
      <c r="C2534" s="167" t="s">
        <v>12444</v>
      </c>
      <c r="D2534" s="167" t="s">
        <v>7461</v>
      </c>
      <c r="E2534" s="168" t="s">
        <v>12567</v>
      </c>
    </row>
    <row r="2535" spans="1:5">
      <c r="A2535" s="167">
        <v>44145</v>
      </c>
      <c r="B2535" s="167">
        <v>0</v>
      </c>
      <c r="C2535" s="167" t="s">
        <v>6481</v>
      </c>
      <c r="D2535" s="167" t="s">
        <v>7462</v>
      </c>
      <c r="E2535" s="168" t="s">
        <v>7520</v>
      </c>
    </row>
    <row r="2536" spans="1:5">
      <c r="A2536" s="167">
        <v>44146</v>
      </c>
      <c r="B2536" s="167">
        <v>0</v>
      </c>
      <c r="C2536" s="167" t="s">
        <v>6495</v>
      </c>
      <c r="D2536" s="167" t="s">
        <v>7463</v>
      </c>
      <c r="E2536" s="168" t="s">
        <v>12568</v>
      </c>
    </row>
    <row r="2537" spans="1:5">
      <c r="A2537" s="167">
        <v>44147</v>
      </c>
      <c r="B2537" s="167">
        <v>0</v>
      </c>
      <c r="C2537" s="167" t="s">
        <v>12445</v>
      </c>
      <c r="D2537" s="167" t="s">
        <v>7464</v>
      </c>
      <c r="E2537" s="168" t="s">
        <v>12569</v>
      </c>
    </row>
    <row r="2538" spans="1:5">
      <c r="A2538" s="167">
        <v>44148</v>
      </c>
      <c r="B2538" s="167">
        <v>0</v>
      </c>
      <c r="C2538" s="167" t="s">
        <v>12376</v>
      </c>
      <c r="D2538" s="167" t="s">
        <v>7465</v>
      </c>
      <c r="E2538" s="168" t="s">
        <v>7521</v>
      </c>
    </row>
    <row r="2539" spans="1:5">
      <c r="A2539" s="167">
        <v>44149</v>
      </c>
      <c r="B2539" s="167">
        <v>0</v>
      </c>
      <c r="C2539" s="167" t="s">
        <v>6490</v>
      </c>
      <c r="D2539" s="167" t="s">
        <v>7466</v>
      </c>
      <c r="E2539" s="168" t="s">
        <v>12570</v>
      </c>
    </row>
    <row r="2540" spans="1:5">
      <c r="A2540" s="167">
        <v>44150</v>
      </c>
      <c r="B2540" s="167">
        <v>0</v>
      </c>
      <c r="C2540" s="167" t="s">
        <v>12446</v>
      </c>
      <c r="D2540" s="167" t="s">
        <v>7467</v>
      </c>
      <c r="E2540" s="168" t="s">
        <v>12571</v>
      </c>
    </row>
    <row r="2541" spans="1:5">
      <c r="A2541" s="167">
        <v>44151</v>
      </c>
      <c r="B2541" s="167">
        <v>0</v>
      </c>
      <c r="C2541" s="167" t="s">
        <v>4922</v>
      </c>
      <c r="D2541" s="167" t="s">
        <v>7468</v>
      </c>
      <c r="E2541" s="168" t="s">
        <v>7523</v>
      </c>
    </row>
    <row r="2542" spans="1:5">
      <c r="A2542" s="167">
        <v>44152</v>
      </c>
      <c r="B2542" s="167">
        <v>0</v>
      </c>
      <c r="C2542" s="167" t="s">
        <v>6491</v>
      </c>
      <c r="D2542" s="167" t="s">
        <v>7469</v>
      </c>
      <c r="E2542" s="168" t="s">
        <v>12572</v>
      </c>
    </row>
    <row r="2543" spans="1:5">
      <c r="A2543" s="167">
        <v>44153</v>
      </c>
      <c r="B2543" s="167">
        <v>0</v>
      </c>
      <c r="C2543" s="167" t="s">
        <v>12447</v>
      </c>
      <c r="D2543" s="167" t="s">
        <v>7470</v>
      </c>
      <c r="E2543" s="168" t="s">
        <v>12573</v>
      </c>
    </row>
    <row r="2544" spans="1:5">
      <c r="A2544" s="167">
        <v>44154</v>
      </c>
      <c r="B2544" s="167">
        <v>0</v>
      </c>
      <c r="C2544" s="167" t="s">
        <v>4926</v>
      </c>
      <c r="D2544" s="167" t="s">
        <v>7471</v>
      </c>
      <c r="E2544" s="168" t="s">
        <v>7526</v>
      </c>
    </row>
    <row r="2545" spans="1:5">
      <c r="A2545" s="167">
        <v>44155</v>
      </c>
      <c r="B2545" s="167">
        <v>0</v>
      </c>
      <c r="C2545" s="167" t="s">
        <v>6492</v>
      </c>
      <c r="D2545" s="167" t="s">
        <v>7472</v>
      </c>
      <c r="E2545" s="168" t="s">
        <v>12574</v>
      </c>
    </row>
    <row r="2546" spans="1:5">
      <c r="A2546" s="167">
        <v>44156</v>
      </c>
      <c r="B2546" s="167">
        <v>0</v>
      </c>
      <c r="C2546" s="167" t="s">
        <v>6488</v>
      </c>
      <c r="D2546" s="167" t="s">
        <v>7473</v>
      </c>
      <c r="E2546" s="168" t="s">
        <v>12575</v>
      </c>
    </row>
    <row r="2547" spans="1:5">
      <c r="A2547" s="167">
        <v>44157</v>
      </c>
      <c r="B2547" s="167">
        <v>0</v>
      </c>
      <c r="C2547" s="167" t="s">
        <v>4928</v>
      </c>
      <c r="D2547" s="167" t="s">
        <v>7474</v>
      </c>
      <c r="E2547" s="168" t="s">
        <v>7527</v>
      </c>
    </row>
    <row r="2548" spans="1:5">
      <c r="A2548" s="167">
        <v>44158</v>
      </c>
      <c r="B2548" s="167">
        <v>0</v>
      </c>
      <c r="C2548" s="167" t="s">
        <v>12448</v>
      </c>
      <c r="D2548" s="167" t="s">
        <v>7475</v>
      </c>
      <c r="E2548" s="168" t="s">
        <v>12576</v>
      </c>
    </row>
    <row r="2549" spans="1:5">
      <c r="A2549" s="167">
        <v>44159</v>
      </c>
      <c r="B2549" s="167">
        <v>0</v>
      </c>
      <c r="C2549" s="167" t="s">
        <v>12449</v>
      </c>
      <c r="D2549" s="167" t="s">
        <v>7476</v>
      </c>
      <c r="E2549" s="168" t="s">
        <v>12577</v>
      </c>
    </row>
    <row r="2550" spans="1:5">
      <c r="A2550" s="167">
        <v>44160</v>
      </c>
      <c r="B2550" s="167">
        <v>0</v>
      </c>
      <c r="C2550" s="167" t="s">
        <v>4923</v>
      </c>
      <c r="D2550" s="167" t="s">
        <v>7477</v>
      </c>
      <c r="E2550" s="168" t="s">
        <v>7529</v>
      </c>
    </row>
    <row r="2551" spans="1:5">
      <c r="A2551" s="167">
        <v>44161</v>
      </c>
      <c r="B2551" s="167">
        <v>0</v>
      </c>
      <c r="C2551" s="167" t="s">
        <v>6494</v>
      </c>
      <c r="D2551" s="167" t="s">
        <v>7478</v>
      </c>
      <c r="E2551" s="168" t="s">
        <v>12578</v>
      </c>
    </row>
    <row r="2552" spans="1:5">
      <c r="A2552" s="167">
        <v>44162</v>
      </c>
      <c r="B2552" s="167">
        <v>0</v>
      </c>
      <c r="C2552" s="167" t="s">
        <v>12450</v>
      </c>
      <c r="D2552" s="167" t="s">
        <v>7479</v>
      </c>
      <c r="E2552" s="168" t="s">
        <v>12579</v>
      </c>
    </row>
    <row r="2553" spans="1:5">
      <c r="A2553" s="167">
        <v>44163</v>
      </c>
      <c r="B2553" s="167">
        <v>0</v>
      </c>
      <c r="C2553" s="167" t="s">
        <v>6484</v>
      </c>
      <c r="D2553" s="167" t="s">
        <v>7480</v>
      </c>
      <c r="E2553" s="168" t="s">
        <v>12509</v>
      </c>
    </row>
    <row r="2554" spans="1:5">
      <c r="A2554" s="167">
        <v>44164</v>
      </c>
      <c r="B2554" s="167">
        <v>0</v>
      </c>
      <c r="C2554" s="167" t="s">
        <v>12451</v>
      </c>
      <c r="D2554" s="167" t="s">
        <v>7481</v>
      </c>
      <c r="E2554" s="168" t="s">
        <v>12580</v>
      </c>
    </row>
    <row r="2555" spans="1:5">
      <c r="A2555" s="167">
        <v>44165</v>
      </c>
      <c r="B2555" s="167">
        <v>0</v>
      </c>
      <c r="C2555" s="167" t="s">
        <v>12452</v>
      </c>
      <c r="D2555" s="167" t="s">
        <v>7482</v>
      </c>
      <c r="E2555" s="168" t="s">
        <v>12581</v>
      </c>
    </row>
    <row r="2556" spans="1:5">
      <c r="A2556" s="167">
        <v>44166</v>
      </c>
      <c r="B2556" s="167">
        <v>0</v>
      </c>
      <c r="C2556" s="167" t="s">
        <v>12389</v>
      </c>
      <c r="D2556" s="167" t="s">
        <v>7483</v>
      </c>
      <c r="E2556" s="168" t="s">
        <v>7532</v>
      </c>
    </row>
    <row r="2557" spans="1:5">
      <c r="A2557" s="167">
        <v>44167</v>
      </c>
      <c r="B2557" s="167">
        <v>0</v>
      </c>
      <c r="C2557" s="167" t="s">
        <v>12453</v>
      </c>
      <c r="D2557" s="167" t="s">
        <v>7484</v>
      </c>
      <c r="E2557" s="168" t="s">
        <v>12582</v>
      </c>
    </row>
    <row r="2558" spans="1:5">
      <c r="A2558" s="167">
        <v>44168</v>
      </c>
      <c r="B2558" s="167">
        <v>0</v>
      </c>
      <c r="C2558" s="167" t="s">
        <v>12454</v>
      </c>
      <c r="D2558" s="167" t="s">
        <v>7485</v>
      </c>
      <c r="E2558" s="168" t="s">
        <v>12583</v>
      </c>
    </row>
    <row r="2559" spans="1:5">
      <c r="A2559" s="167">
        <v>44169</v>
      </c>
      <c r="B2559" s="167">
        <v>0</v>
      </c>
      <c r="C2559" s="167" t="s">
        <v>6480</v>
      </c>
      <c r="D2559" s="167" t="s">
        <v>7486</v>
      </c>
      <c r="E2559" s="168" t="s">
        <v>7517</v>
      </c>
    </row>
    <row r="2560" spans="1:5">
      <c r="A2560" s="167">
        <v>44170</v>
      </c>
      <c r="B2560" s="167">
        <v>0</v>
      </c>
      <c r="C2560" s="167" t="s">
        <v>12455</v>
      </c>
      <c r="D2560" s="167" t="s">
        <v>7487</v>
      </c>
      <c r="E2560" s="168" t="s">
        <v>12584</v>
      </c>
    </row>
    <row r="2561" spans="1:5">
      <c r="A2561" s="167">
        <v>44171</v>
      </c>
      <c r="B2561" s="167">
        <v>0</v>
      </c>
      <c r="C2561" s="167" t="s">
        <v>12456</v>
      </c>
      <c r="D2561" s="167" t="s">
        <v>7488</v>
      </c>
      <c r="E2561" s="168" t="s">
        <v>12585</v>
      </c>
    </row>
    <row r="2562" spans="1:5">
      <c r="A2562" s="167">
        <v>44172</v>
      </c>
      <c r="B2562" s="167">
        <v>0</v>
      </c>
      <c r="C2562" s="167" t="s">
        <v>6482</v>
      </c>
      <c r="D2562" s="167" t="s">
        <v>7489</v>
      </c>
      <c r="E2562" s="168" t="s">
        <v>7518</v>
      </c>
    </row>
    <row r="2563" spans="1:5">
      <c r="A2563" s="167">
        <v>44173</v>
      </c>
      <c r="B2563" s="167">
        <v>0</v>
      </c>
      <c r="C2563" s="167" t="s">
        <v>12457</v>
      </c>
      <c r="D2563" s="167" t="s">
        <v>7490</v>
      </c>
      <c r="E2563" s="168" t="s">
        <v>12586</v>
      </c>
    </row>
    <row r="2564" spans="1:5">
      <c r="A2564" s="167">
        <v>44174</v>
      </c>
      <c r="B2564" s="167">
        <v>0</v>
      </c>
      <c r="C2564" s="167" t="s">
        <v>12458</v>
      </c>
      <c r="D2564" s="167" t="s">
        <v>7491</v>
      </c>
      <c r="E2564" s="168" t="s">
        <v>12587</v>
      </c>
    </row>
    <row r="2565" spans="1:5">
      <c r="A2565" s="167">
        <v>44175</v>
      </c>
      <c r="B2565" s="167">
        <v>0</v>
      </c>
      <c r="C2565" s="167" t="s">
        <v>12358</v>
      </c>
      <c r="D2565" s="167" t="s">
        <v>7492</v>
      </c>
      <c r="E2565" s="168" t="s">
        <v>7522</v>
      </c>
    </row>
    <row r="2566" spans="1:5">
      <c r="A2566" s="167">
        <v>44176</v>
      </c>
      <c r="B2566" s="167">
        <v>0</v>
      </c>
      <c r="C2566" s="167" t="s">
        <v>6493</v>
      </c>
      <c r="D2566" s="167" t="s">
        <v>7493</v>
      </c>
      <c r="E2566" s="168" t="s">
        <v>12588</v>
      </c>
    </row>
    <row r="2567" spans="1:5">
      <c r="A2567" s="167">
        <v>44177</v>
      </c>
      <c r="B2567" s="167">
        <v>0</v>
      </c>
      <c r="C2567" s="167" t="s">
        <v>12459</v>
      </c>
      <c r="D2567" s="167" t="s">
        <v>7494</v>
      </c>
      <c r="E2567" s="168" t="s">
        <v>12589</v>
      </c>
    </row>
    <row r="2568" spans="1:5">
      <c r="A2568" s="167">
        <v>44178</v>
      </c>
      <c r="B2568" s="167">
        <v>0</v>
      </c>
      <c r="C2568" s="167" t="s">
        <v>4927</v>
      </c>
      <c r="D2568" s="167" t="s">
        <v>7495</v>
      </c>
      <c r="E2568" s="168" t="s">
        <v>7524</v>
      </c>
    </row>
    <row r="2569" spans="1:5">
      <c r="A2569" s="167">
        <v>44179</v>
      </c>
      <c r="B2569" s="167">
        <v>0</v>
      </c>
      <c r="C2569" s="167" t="s">
        <v>12460</v>
      </c>
      <c r="D2569" s="167" t="s">
        <v>7496</v>
      </c>
      <c r="E2569" s="168" t="s">
        <v>12590</v>
      </c>
    </row>
    <row r="2570" spans="1:5">
      <c r="A2570" s="167">
        <v>44180</v>
      </c>
      <c r="B2570" s="167">
        <v>0</v>
      </c>
      <c r="C2570" s="167" t="s">
        <v>12461</v>
      </c>
      <c r="D2570" s="167" t="s">
        <v>7497</v>
      </c>
      <c r="E2570" s="168" t="s">
        <v>12591</v>
      </c>
    </row>
    <row r="2571" spans="1:5">
      <c r="A2571" s="167">
        <v>44181</v>
      </c>
      <c r="B2571" s="167">
        <v>0</v>
      </c>
      <c r="C2571" s="167" t="s">
        <v>4929</v>
      </c>
      <c r="D2571" s="167" t="s">
        <v>7498</v>
      </c>
      <c r="E2571" s="168" t="s">
        <v>7525</v>
      </c>
    </row>
    <row r="2572" spans="1:5">
      <c r="A2572" s="167">
        <v>44182</v>
      </c>
      <c r="B2572" s="167">
        <v>0</v>
      </c>
      <c r="C2572" s="167" t="s">
        <v>12462</v>
      </c>
      <c r="D2572" s="167" t="s">
        <v>7499</v>
      </c>
      <c r="E2572" s="168" t="s">
        <v>12592</v>
      </c>
    </row>
    <row r="2573" spans="1:5">
      <c r="A2573" s="167">
        <v>44183</v>
      </c>
      <c r="B2573" s="167">
        <v>0</v>
      </c>
      <c r="C2573" s="167" t="s">
        <v>12463</v>
      </c>
      <c r="D2573" s="167" t="s">
        <v>7500</v>
      </c>
      <c r="E2573" s="168" t="s">
        <v>12593</v>
      </c>
    </row>
    <row r="2574" spans="1:5">
      <c r="A2574" s="167">
        <v>44184</v>
      </c>
      <c r="B2574" s="167">
        <v>0</v>
      </c>
      <c r="C2574" s="167" t="s">
        <v>4925</v>
      </c>
      <c r="D2574" s="167" t="s">
        <v>7501</v>
      </c>
      <c r="E2574" s="168" t="s">
        <v>7528</v>
      </c>
    </row>
    <row r="2575" spans="1:5">
      <c r="A2575" s="167">
        <v>44185</v>
      </c>
      <c r="B2575" s="167">
        <v>0</v>
      </c>
      <c r="C2575" s="167" t="s">
        <v>12464</v>
      </c>
      <c r="D2575" s="167" t="s">
        <v>7502</v>
      </c>
      <c r="E2575" s="168" t="s">
        <v>12594</v>
      </c>
    </row>
    <row r="2576" spans="1:5">
      <c r="A2576" s="167">
        <v>44186</v>
      </c>
      <c r="B2576" s="167">
        <v>0</v>
      </c>
      <c r="C2576" s="167" t="s">
        <v>12465</v>
      </c>
      <c r="D2576" s="167" t="s">
        <v>7503</v>
      </c>
      <c r="E2576" s="168" t="s">
        <v>12595</v>
      </c>
    </row>
    <row r="2577" spans="1:5">
      <c r="A2577" s="167">
        <v>44187</v>
      </c>
      <c r="B2577" s="167">
        <v>0</v>
      </c>
      <c r="C2577" s="167" t="s">
        <v>4931</v>
      </c>
      <c r="D2577" s="167" t="s">
        <v>7504</v>
      </c>
      <c r="E2577" s="168" t="s">
        <v>7530</v>
      </c>
    </row>
    <row r="2578" spans="1:5">
      <c r="A2578" s="167">
        <v>44188</v>
      </c>
      <c r="B2578" s="167">
        <v>0</v>
      </c>
      <c r="C2578" s="167" t="s">
        <v>12466</v>
      </c>
      <c r="D2578" s="167" t="s">
        <v>7505</v>
      </c>
      <c r="E2578" s="168" t="s">
        <v>12596</v>
      </c>
    </row>
    <row r="2579" spans="1:5">
      <c r="A2579" s="167">
        <v>44189</v>
      </c>
      <c r="B2579" s="167">
        <v>0</v>
      </c>
      <c r="C2579" s="167" t="s">
        <v>12467</v>
      </c>
      <c r="D2579" s="167" t="s">
        <v>7506</v>
      </c>
      <c r="E2579" s="168" t="s">
        <v>12597</v>
      </c>
    </row>
    <row r="2580" spans="1:5">
      <c r="A2580" s="167">
        <v>44190</v>
      </c>
      <c r="B2580" s="167">
        <v>0</v>
      </c>
      <c r="C2580" s="167" t="s">
        <v>4930</v>
      </c>
      <c r="D2580" s="167" t="s">
        <v>7507</v>
      </c>
      <c r="E2580" s="168" t="s">
        <v>12491</v>
      </c>
    </row>
    <row r="2581" spans="1:5">
      <c r="A2581" s="167">
        <v>44191</v>
      </c>
      <c r="B2581" s="167">
        <v>0</v>
      </c>
      <c r="C2581" s="167" t="s">
        <v>6489</v>
      </c>
      <c r="D2581" s="167" t="s">
        <v>7508</v>
      </c>
      <c r="E2581" s="168" t="s">
        <v>12598</v>
      </c>
    </row>
    <row r="2582" spans="1:5">
      <c r="A2582" s="167">
        <v>44192</v>
      </c>
      <c r="B2582" s="167">
        <v>0</v>
      </c>
      <c r="C2582" s="167" t="s">
        <v>12468</v>
      </c>
      <c r="D2582" s="167" t="s">
        <v>7509</v>
      </c>
      <c r="E2582" s="168" t="s">
        <v>12599</v>
      </c>
    </row>
    <row r="2583" spans="1:5">
      <c r="A2583" s="167">
        <v>44193</v>
      </c>
      <c r="B2583" s="167">
        <v>0</v>
      </c>
      <c r="C2583" s="167" t="s">
        <v>6486</v>
      </c>
      <c r="D2583" s="167" t="s">
        <v>7510</v>
      </c>
      <c r="E2583" s="168" t="s">
        <v>7516</v>
      </c>
    </row>
    <row r="2584" spans="1:5">
      <c r="A2584" s="167">
        <v>44194</v>
      </c>
      <c r="B2584" s="167">
        <v>0</v>
      </c>
      <c r="C2584" s="167" t="s">
        <v>12469</v>
      </c>
      <c r="D2584" s="167" t="s">
        <v>7511</v>
      </c>
      <c r="E2584" s="168" t="s">
        <v>12600</v>
      </c>
    </row>
    <row r="2585" spans="1:5">
      <c r="A2585" s="167">
        <v>44195</v>
      </c>
      <c r="B2585" s="167">
        <v>0</v>
      </c>
      <c r="C2585" s="167" t="s">
        <v>12470</v>
      </c>
      <c r="D2585" s="167" t="s">
        <v>7512</v>
      </c>
      <c r="E2585" s="168" t="s">
        <v>12601</v>
      </c>
    </row>
    <row r="2586" spans="1:5">
      <c r="A2586" s="167">
        <v>44196</v>
      </c>
      <c r="B2586" s="167">
        <v>0</v>
      </c>
      <c r="C2586" s="167" t="s">
        <v>6483</v>
      </c>
      <c r="D2586" s="167" t="s">
        <v>7513</v>
      </c>
      <c r="E2586" s="168" t="s">
        <v>7519</v>
      </c>
    </row>
    <row r="2587" spans="1:5">
      <c r="A2587" s="167">
        <v>44197</v>
      </c>
      <c r="B2587" s="167">
        <v>0</v>
      </c>
      <c r="C2587" s="167" t="s">
        <v>12471</v>
      </c>
      <c r="D2587" s="167" t="s">
        <v>7514</v>
      </c>
      <c r="E2587" s="168" t="s">
        <v>12602</v>
      </c>
    </row>
    <row r="2588" spans="1:5">
      <c r="A2588" s="167">
        <v>44198</v>
      </c>
      <c r="B2588" s="167">
        <v>0</v>
      </c>
      <c r="C2588" s="167" t="s">
        <v>12472</v>
      </c>
      <c r="D2588" s="167" t="s">
        <v>7515</v>
      </c>
      <c r="E2588" s="168" t="s">
        <v>12603</v>
      </c>
    </row>
    <row r="2589" spans="1:5">
      <c r="A2589" s="167">
        <v>44199</v>
      </c>
      <c r="B2589" s="167">
        <v>0</v>
      </c>
      <c r="C2589" s="167" t="s">
        <v>6481</v>
      </c>
      <c r="D2589" s="167" t="s">
        <v>14970</v>
      </c>
      <c r="E2589" s="168" t="s">
        <v>7520</v>
      </c>
    </row>
    <row r="2590" spans="1:5">
      <c r="A2590" s="167">
        <v>44200</v>
      </c>
      <c r="B2590" s="167">
        <v>0</v>
      </c>
      <c r="C2590" s="167" t="s">
        <v>14757</v>
      </c>
      <c r="D2590" s="167" t="s">
        <v>14971</v>
      </c>
      <c r="E2590" s="168" t="s">
        <v>15165</v>
      </c>
    </row>
    <row r="2591" spans="1:5">
      <c r="A2591" s="167">
        <v>44201</v>
      </c>
      <c r="B2591" s="167">
        <v>0</v>
      </c>
      <c r="C2591" s="167" t="s">
        <v>14758</v>
      </c>
      <c r="D2591" s="167" t="s">
        <v>14972</v>
      </c>
      <c r="E2591" s="168" t="s">
        <v>15166</v>
      </c>
    </row>
    <row r="2592" spans="1:5">
      <c r="A2592" s="167">
        <v>44202</v>
      </c>
      <c r="B2592" s="167">
        <v>0</v>
      </c>
      <c r="C2592" s="167" t="s">
        <v>12376</v>
      </c>
      <c r="D2592" s="167" t="s">
        <v>14973</v>
      </c>
      <c r="E2592" s="168" t="s">
        <v>7521</v>
      </c>
    </row>
    <row r="2593" spans="1:5">
      <c r="A2593" s="167">
        <v>44203</v>
      </c>
      <c r="B2593" s="167">
        <v>0</v>
      </c>
      <c r="C2593" s="167" t="s">
        <v>14759</v>
      </c>
      <c r="D2593" s="167" t="s">
        <v>14974</v>
      </c>
      <c r="E2593" s="168" t="s">
        <v>15167</v>
      </c>
    </row>
    <row r="2594" spans="1:5">
      <c r="A2594" s="167">
        <v>44204</v>
      </c>
      <c r="B2594" s="167">
        <v>0</v>
      </c>
      <c r="C2594" s="167" t="s">
        <v>14760</v>
      </c>
      <c r="D2594" s="167" t="s">
        <v>14975</v>
      </c>
      <c r="E2594" s="168" t="s">
        <v>15168</v>
      </c>
    </row>
    <row r="2595" spans="1:5">
      <c r="A2595" s="167">
        <v>44205</v>
      </c>
      <c r="B2595" s="167">
        <v>0</v>
      </c>
      <c r="C2595" s="167" t="s">
        <v>4922</v>
      </c>
      <c r="D2595" s="167" t="s">
        <v>14976</v>
      </c>
      <c r="E2595" s="168" t="s">
        <v>7523</v>
      </c>
    </row>
    <row r="2596" spans="1:5">
      <c r="A2596" s="167">
        <v>44206</v>
      </c>
      <c r="B2596" s="167">
        <v>0</v>
      </c>
      <c r="C2596" s="167" t="s">
        <v>14761</v>
      </c>
      <c r="D2596" s="167" t="s">
        <v>14977</v>
      </c>
      <c r="E2596" s="168" t="s">
        <v>15169</v>
      </c>
    </row>
    <row r="2597" spans="1:5">
      <c r="A2597" s="167">
        <v>44207</v>
      </c>
      <c r="B2597" s="167">
        <v>0</v>
      </c>
      <c r="C2597" s="167" t="s">
        <v>14762</v>
      </c>
      <c r="D2597" s="167" t="s">
        <v>14978</v>
      </c>
      <c r="E2597" s="168" t="s">
        <v>15170</v>
      </c>
    </row>
    <row r="2598" spans="1:5">
      <c r="A2598" s="167">
        <v>44208</v>
      </c>
      <c r="B2598" s="167">
        <v>0</v>
      </c>
      <c r="C2598" s="167" t="s">
        <v>4926</v>
      </c>
      <c r="D2598" s="167" t="s">
        <v>14979</v>
      </c>
      <c r="E2598" s="168" t="s">
        <v>7526</v>
      </c>
    </row>
    <row r="2599" spans="1:5">
      <c r="A2599" s="167">
        <v>44209</v>
      </c>
      <c r="B2599" s="167">
        <v>0</v>
      </c>
      <c r="C2599" s="167" t="s">
        <v>14763</v>
      </c>
      <c r="D2599" s="167" t="s">
        <v>14980</v>
      </c>
      <c r="E2599" s="168" t="s">
        <v>15171</v>
      </c>
    </row>
    <row r="2600" spans="1:5">
      <c r="A2600" s="167">
        <v>44210</v>
      </c>
      <c r="B2600" s="167">
        <v>0</v>
      </c>
      <c r="C2600" s="167" t="s">
        <v>12429</v>
      </c>
      <c r="D2600" s="167" t="s">
        <v>14981</v>
      </c>
      <c r="E2600" s="168" t="s">
        <v>12551</v>
      </c>
    </row>
    <row r="2601" spans="1:5">
      <c r="A2601" s="167">
        <v>44211</v>
      </c>
      <c r="B2601" s="167">
        <v>0</v>
      </c>
      <c r="C2601" s="167" t="s">
        <v>4928</v>
      </c>
      <c r="D2601" s="167" t="s">
        <v>14982</v>
      </c>
      <c r="E2601" s="168" t="s">
        <v>7527</v>
      </c>
    </row>
    <row r="2602" spans="1:5">
      <c r="A2602" s="167">
        <v>44212</v>
      </c>
      <c r="B2602" s="167">
        <v>0</v>
      </c>
      <c r="C2602" s="167" t="s">
        <v>14764</v>
      </c>
      <c r="D2602" s="167" t="s">
        <v>14983</v>
      </c>
      <c r="E2602" s="168" t="s">
        <v>15172</v>
      </c>
    </row>
    <row r="2603" spans="1:5">
      <c r="A2603" s="167">
        <v>44213</v>
      </c>
      <c r="B2603" s="167">
        <v>0</v>
      </c>
      <c r="C2603" s="167" t="s">
        <v>12431</v>
      </c>
      <c r="D2603" s="167" t="s">
        <v>14984</v>
      </c>
      <c r="E2603" s="168" t="s">
        <v>12553</v>
      </c>
    </row>
    <row r="2604" spans="1:5">
      <c r="A2604" s="167">
        <v>44214</v>
      </c>
      <c r="B2604" s="167">
        <v>0</v>
      </c>
      <c r="C2604" s="167" t="s">
        <v>4923</v>
      </c>
      <c r="D2604" s="167" t="s">
        <v>14985</v>
      </c>
      <c r="E2604" s="168" t="s">
        <v>7529</v>
      </c>
    </row>
    <row r="2605" spans="1:5">
      <c r="A2605" s="167">
        <v>44215</v>
      </c>
      <c r="B2605" s="167">
        <v>0</v>
      </c>
      <c r="C2605" s="167" t="s">
        <v>14765</v>
      </c>
      <c r="D2605" s="167" t="s">
        <v>14986</v>
      </c>
      <c r="E2605" s="168" t="s">
        <v>15173</v>
      </c>
    </row>
    <row r="2606" spans="1:5">
      <c r="A2606" s="167">
        <v>44216</v>
      </c>
      <c r="B2606" s="167">
        <v>0</v>
      </c>
      <c r="C2606" s="167" t="s">
        <v>12433</v>
      </c>
      <c r="D2606" s="167" t="s">
        <v>14987</v>
      </c>
      <c r="E2606" s="168" t="s">
        <v>12555</v>
      </c>
    </row>
    <row r="2607" spans="1:5">
      <c r="A2607" s="167">
        <v>44217</v>
      </c>
      <c r="B2607" s="167">
        <v>0</v>
      </c>
      <c r="C2607" s="167" t="s">
        <v>6484</v>
      </c>
      <c r="D2607" s="167" t="s">
        <v>14988</v>
      </c>
      <c r="E2607" s="168" t="s">
        <v>12509</v>
      </c>
    </row>
    <row r="2608" spans="1:5">
      <c r="A2608" s="167">
        <v>44218</v>
      </c>
      <c r="B2608" s="167">
        <v>0</v>
      </c>
      <c r="C2608" s="167" t="s">
        <v>14766</v>
      </c>
      <c r="D2608" s="167" t="s">
        <v>14989</v>
      </c>
      <c r="E2608" s="168" t="s">
        <v>15174</v>
      </c>
    </row>
    <row r="2609" spans="1:5">
      <c r="A2609" s="167">
        <v>44219</v>
      </c>
      <c r="B2609" s="167">
        <v>0</v>
      </c>
      <c r="C2609" s="167" t="s">
        <v>12435</v>
      </c>
      <c r="D2609" s="167" t="s">
        <v>14990</v>
      </c>
      <c r="E2609" s="168" t="s">
        <v>12557</v>
      </c>
    </row>
    <row r="2610" spans="1:5">
      <c r="A2610" s="167">
        <v>44220</v>
      </c>
      <c r="B2610" s="167">
        <v>0</v>
      </c>
      <c r="C2610" s="167" t="s">
        <v>12389</v>
      </c>
      <c r="D2610" s="167" t="s">
        <v>14991</v>
      </c>
      <c r="E2610" s="168" t="s">
        <v>7532</v>
      </c>
    </row>
    <row r="2611" spans="1:5">
      <c r="A2611" s="167">
        <v>44221</v>
      </c>
      <c r="B2611" s="167">
        <v>0</v>
      </c>
      <c r="C2611" s="167" t="s">
        <v>14767</v>
      </c>
      <c r="D2611" s="167" t="s">
        <v>14992</v>
      </c>
      <c r="E2611" s="168" t="s">
        <v>15175</v>
      </c>
    </row>
    <row r="2612" spans="1:5">
      <c r="A2612" s="167">
        <v>44222</v>
      </c>
      <c r="B2612" s="167">
        <v>0</v>
      </c>
      <c r="C2612" s="167" t="s">
        <v>12437</v>
      </c>
      <c r="D2612" s="167" t="s">
        <v>14993</v>
      </c>
      <c r="E2612" s="168" t="s">
        <v>12559</v>
      </c>
    </row>
    <row r="2613" spans="1:5">
      <c r="A2613" s="167">
        <v>44223</v>
      </c>
      <c r="B2613" s="167">
        <v>0</v>
      </c>
      <c r="C2613" s="167" t="s">
        <v>6480</v>
      </c>
      <c r="D2613" s="167" t="s">
        <v>14994</v>
      </c>
      <c r="E2613" s="168" t="s">
        <v>7517</v>
      </c>
    </row>
    <row r="2614" spans="1:5">
      <c r="A2614" s="167">
        <v>44224</v>
      </c>
      <c r="B2614" s="167">
        <v>0</v>
      </c>
      <c r="C2614" s="167" t="s">
        <v>14768</v>
      </c>
      <c r="D2614" s="167" t="s">
        <v>14995</v>
      </c>
      <c r="E2614" s="168" t="s">
        <v>15176</v>
      </c>
    </row>
    <row r="2615" spans="1:5">
      <c r="A2615" s="167">
        <v>44225</v>
      </c>
      <c r="B2615" s="167">
        <v>0</v>
      </c>
      <c r="C2615" s="167" t="s">
        <v>12439</v>
      </c>
      <c r="D2615" s="167" t="s">
        <v>14996</v>
      </c>
      <c r="E2615" s="168" t="s">
        <v>12561</v>
      </c>
    </row>
    <row r="2616" spans="1:5">
      <c r="A2616" s="167">
        <v>44226</v>
      </c>
      <c r="B2616" s="167">
        <v>0</v>
      </c>
      <c r="C2616" s="167" t="s">
        <v>6482</v>
      </c>
      <c r="D2616" s="167" t="s">
        <v>14997</v>
      </c>
      <c r="E2616" s="168" t="s">
        <v>7518</v>
      </c>
    </row>
    <row r="2617" spans="1:5">
      <c r="A2617" s="167">
        <v>44227</v>
      </c>
      <c r="B2617" s="167">
        <v>0</v>
      </c>
      <c r="C2617" s="167" t="s">
        <v>14769</v>
      </c>
      <c r="D2617" s="167" t="s">
        <v>14998</v>
      </c>
      <c r="E2617" s="168" t="s">
        <v>15177</v>
      </c>
    </row>
    <row r="2618" spans="1:5">
      <c r="A2618" s="167">
        <v>44228</v>
      </c>
      <c r="B2618" s="167">
        <v>0</v>
      </c>
      <c r="C2618" s="167" t="s">
        <v>12440</v>
      </c>
      <c r="D2618" s="167" t="s">
        <v>14999</v>
      </c>
      <c r="E2618" s="168" t="s">
        <v>12563</v>
      </c>
    </row>
    <row r="2619" spans="1:5">
      <c r="A2619" s="167">
        <v>44229</v>
      </c>
      <c r="B2619" s="167">
        <v>0</v>
      </c>
      <c r="C2619" s="167" t="s">
        <v>12358</v>
      </c>
      <c r="D2619" s="167" t="s">
        <v>15000</v>
      </c>
      <c r="E2619" s="168" t="s">
        <v>7522</v>
      </c>
    </row>
    <row r="2620" spans="1:5">
      <c r="A2620" s="167">
        <v>44230</v>
      </c>
      <c r="B2620" s="167">
        <v>0</v>
      </c>
      <c r="C2620" s="167" t="s">
        <v>14770</v>
      </c>
      <c r="D2620" s="167" t="s">
        <v>15001</v>
      </c>
      <c r="E2620" s="168" t="s">
        <v>15178</v>
      </c>
    </row>
    <row r="2621" spans="1:5">
      <c r="A2621" s="167">
        <v>44231</v>
      </c>
      <c r="B2621" s="167">
        <v>0</v>
      </c>
      <c r="C2621" s="167" t="s">
        <v>12442</v>
      </c>
      <c r="D2621" s="167" t="s">
        <v>15002</v>
      </c>
      <c r="E2621" s="168" t="s">
        <v>12565</v>
      </c>
    </row>
    <row r="2622" spans="1:5">
      <c r="A2622" s="167">
        <v>44232</v>
      </c>
      <c r="B2622" s="167">
        <v>0</v>
      </c>
      <c r="C2622" s="167" t="s">
        <v>4927</v>
      </c>
      <c r="D2622" s="167" t="s">
        <v>15003</v>
      </c>
      <c r="E2622" s="168" t="s">
        <v>7524</v>
      </c>
    </row>
    <row r="2623" spans="1:5">
      <c r="A2623" s="167">
        <v>44233</v>
      </c>
      <c r="B2623" s="167">
        <v>0</v>
      </c>
      <c r="C2623" s="167" t="s">
        <v>14771</v>
      </c>
      <c r="D2623" s="167" t="s">
        <v>15004</v>
      </c>
      <c r="E2623" s="168" t="s">
        <v>15179</v>
      </c>
    </row>
    <row r="2624" spans="1:5">
      <c r="A2624" s="167">
        <v>44234</v>
      </c>
      <c r="B2624" s="167">
        <v>0</v>
      </c>
      <c r="C2624" s="167" t="s">
        <v>12444</v>
      </c>
      <c r="D2624" s="167" t="s">
        <v>15005</v>
      </c>
      <c r="E2624" s="168" t="s">
        <v>12567</v>
      </c>
    </row>
    <row r="2625" spans="1:5">
      <c r="A2625" s="167">
        <v>44235</v>
      </c>
      <c r="B2625" s="167">
        <v>0</v>
      </c>
      <c r="C2625" s="167" t="s">
        <v>4929</v>
      </c>
      <c r="D2625" s="167" t="s">
        <v>15006</v>
      </c>
      <c r="E2625" s="168" t="s">
        <v>7525</v>
      </c>
    </row>
    <row r="2626" spans="1:5">
      <c r="A2626" s="167">
        <v>44236</v>
      </c>
      <c r="B2626" s="167">
        <v>0</v>
      </c>
      <c r="C2626" s="167" t="s">
        <v>14772</v>
      </c>
      <c r="D2626" s="167" t="s">
        <v>15007</v>
      </c>
      <c r="E2626" s="168" t="s">
        <v>15180</v>
      </c>
    </row>
    <row r="2627" spans="1:5">
      <c r="A2627" s="167">
        <v>44237</v>
      </c>
      <c r="B2627" s="167">
        <v>0</v>
      </c>
      <c r="C2627" s="167" t="s">
        <v>12445</v>
      </c>
      <c r="D2627" s="167" t="s">
        <v>15008</v>
      </c>
      <c r="E2627" s="168" t="s">
        <v>12569</v>
      </c>
    </row>
    <row r="2628" spans="1:5">
      <c r="A2628" s="167">
        <v>44238</v>
      </c>
      <c r="B2628" s="167">
        <v>0</v>
      </c>
      <c r="C2628" s="167" t="s">
        <v>4925</v>
      </c>
      <c r="D2628" s="167" t="s">
        <v>15009</v>
      </c>
      <c r="E2628" s="168" t="s">
        <v>7528</v>
      </c>
    </row>
    <row r="2629" spans="1:5">
      <c r="A2629" s="167">
        <v>44239</v>
      </c>
      <c r="B2629" s="167">
        <v>0</v>
      </c>
      <c r="C2629" s="167" t="s">
        <v>14773</v>
      </c>
      <c r="D2629" s="167" t="s">
        <v>15010</v>
      </c>
      <c r="E2629" s="168" t="s">
        <v>15181</v>
      </c>
    </row>
    <row r="2630" spans="1:5">
      <c r="A2630" s="167">
        <v>44240</v>
      </c>
      <c r="B2630" s="167">
        <v>0</v>
      </c>
      <c r="C2630" s="167" t="s">
        <v>12446</v>
      </c>
      <c r="D2630" s="167" t="s">
        <v>15011</v>
      </c>
      <c r="E2630" s="168" t="s">
        <v>12571</v>
      </c>
    </row>
    <row r="2631" spans="1:5">
      <c r="A2631" s="167">
        <v>44241</v>
      </c>
      <c r="B2631" s="167">
        <v>0</v>
      </c>
      <c r="C2631" s="167" t="s">
        <v>4931</v>
      </c>
      <c r="D2631" s="167" t="s">
        <v>15012</v>
      </c>
      <c r="E2631" s="168" t="s">
        <v>7530</v>
      </c>
    </row>
    <row r="2632" spans="1:5">
      <c r="A2632" s="167">
        <v>44242</v>
      </c>
      <c r="B2632" s="167">
        <v>0</v>
      </c>
      <c r="C2632" s="167" t="s">
        <v>14774</v>
      </c>
      <c r="D2632" s="167" t="s">
        <v>15013</v>
      </c>
      <c r="E2632" s="168" t="s">
        <v>15182</v>
      </c>
    </row>
    <row r="2633" spans="1:5">
      <c r="A2633" s="167">
        <v>44243</v>
      </c>
      <c r="B2633" s="167">
        <v>0</v>
      </c>
      <c r="C2633" s="167" t="s">
        <v>12447</v>
      </c>
      <c r="D2633" s="167" t="s">
        <v>15014</v>
      </c>
      <c r="E2633" s="168" t="s">
        <v>12573</v>
      </c>
    </row>
    <row r="2634" spans="1:5">
      <c r="A2634" s="167">
        <v>44244</v>
      </c>
      <c r="B2634" s="167">
        <v>0</v>
      </c>
      <c r="C2634" s="167" t="s">
        <v>4930</v>
      </c>
      <c r="D2634" s="167" t="s">
        <v>15015</v>
      </c>
      <c r="E2634" s="168" t="s">
        <v>12491</v>
      </c>
    </row>
    <row r="2635" spans="1:5">
      <c r="A2635" s="167">
        <v>44245</v>
      </c>
      <c r="B2635" s="167">
        <v>0</v>
      </c>
      <c r="C2635" s="167" t="s">
        <v>12428</v>
      </c>
      <c r="D2635" s="167" t="s">
        <v>15016</v>
      </c>
      <c r="E2635" s="168" t="s">
        <v>12550</v>
      </c>
    </row>
    <row r="2636" spans="1:5">
      <c r="A2636" s="167">
        <v>44246</v>
      </c>
      <c r="B2636" s="167">
        <v>0</v>
      </c>
      <c r="C2636" s="167" t="s">
        <v>6488</v>
      </c>
      <c r="D2636" s="167" t="s">
        <v>15017</v>
      </c>
      <c r="E2636" s="168" t="s">
        <v>12575</v>
      </c>
    </row>
    <row r="2637" spans="1:5">
      <c r="A2637" s="167">
        <v>44247</v>
      </c>
      <c r="B2637" s="167">
        <v>0</v>
      </c>
      <c r="C2637" s="167" t="s">
        <v>6486</v>
      </c>
      <c r="D2637" s="167" t="s">
        <v>15018</v>
      </c>
      <c r="E2637" s="168" t="s">
        <v>7516</v>
      </c>
    </row>
    <row r="2638" spans="1:5">
      <c r="A2638" s="167">
        <v>44248</v>
      </c>
      <c r="B2638" s="167">
        <v>0</v>
      </c>
      <c r="C2638" s="167" t="s">
        <v>12430</v>
      </c>
      <c r="D2638" s="167" t="s">
        <v>15019</v>
      </c>
      <c r="E2638" s="168" t="s">
        <v>12552</v>
      </c>
    </row>
    <row r="2639" spans="1:5">
      <c r="A2639" s="167">
        <v>44249</v>
      </c>
      <c r="B2639" s="167">
        <v>0</v>
      </c>
      <c r="C2639" s="167" t="s">
        <v>12449</v>
      </c>
      <c r="D2639" s="167" t="s">
        <v>15020</v>
      </c>
      <c r="E2639" s="168" t="s">
        <v>12577</v>
      </c>
    </row>
    <row r="2640" spans="1:5">
      <c r="A2640" s="167">
        <v>44250</v>
      </c>
      <c r="B2640" s="167">
        <v>0</v>
      </c>
      <c r="C2640" s="167" t="s">
        <v>6483</v>
      </c>
      <c r="D2640" s="167" t="s">
        <v>15021</v>
      </c>
      <c r="E2640" s="168" t="s">
        <v>7519</v>
      </c>
    </row>
    <row r="2641" spans="1:5">
      <c r="A2641" s="167">
        <v>44251</v>
      </c>
      <c r="B2641" s="167">
        <v>0</v>
      </c>
      <c r="C2641" s="167" t="s">
        <v>12432</v>
      </c>
      <c r="D2641" s="167" t="s">
        <v>15022</v>
      </c>
      <c r="E2641" s="168" t="s">
        <v>12554</v>
      </c>
    </row>
    <row r="2642" spans="1:5">
      <c r="A2642" s="167">
        <v>44252</v>
      </c>
      <c r="B2642" s="167">
        <v>0</v>
      </c>
      <c r="C2642" s="167" t="s">
        <v>12450</v>
      </c>
      <c r="D2642" s="167" t="s">
        <v>15023</v>
      </c>
      <c r="E2642" s="168" t="s">
        <v>12579</v>
      </c>
    </row>
    <row r="2643" spans="1:5">
      <c r="A2643" s="167">
        <v>44253</v>
      </c>
      <c r="B2643" s="167">
        <v>0</v>
      </c>
      <c r="C2643" s="167" t="s">
        <v>6481</v>
      </c>
      <c r="D2643" s="167" t="s">
        <v>15024</v>
      </c>
      <c r="E2643" s="168" t="s">
        <v>7520</v>
      </c>
    </row>
    <row r="2644" spans="1:5">
      <c r="A2644" s="167">
        <v>44254</v>
      </c>
      <c r="B2644" s="167">
        <v>0</v>
      </c>
      <c r="C2644" s="167" t="s">
        <v>12434</v>
      </c>
      <c r="D2644" s="167" t="s">
        <v>15025</v>
      </c>
      <c r="E2644" s="168" t="s">
        <v>12556</v>
      </c>
    </row>
    <row r="2645" spans="1:5">
      <c r="A2645" s="167">
        <v>44255</v>
      </c>
      <c r="B2645" s="167">
        <v>0</v>
      </c>
      <c r="C2645" s="167" t="s">
        <v>12452</v>
      </c>
      <c r="D2645" s="167" t="s">
        <v>15026</v>
      </c>
      <c r="E2645" s="168" t="s">
        <v>12581</v>
      </c>
    </row>
    <row r="2646" spans="1:5">
      <c r="A2646" s="167">
        <v>44256</v>
      </c>
      <c r="B2646" s="167">
        <v>0</v>
      </c>
      <c r="C2646" s="167" t="s">
        <v>12376</v>
      </c>
      <c r="D2646" s="167" t="s">
        <v>15027</v>
      </c>
      <c r="E2646" s="168" t="s">
        <v>7521</v>
      </c>
    </row>
    <row r="2647" spans="1:5">
      <c r="A2647" s="167">
        <v>44257</v>
      </c>
      <c r="B2647" s="167">
        <v>0</v>
      </c>
      <c r="C2647" s="167" t="s">
        <v>12436</v>
      </c>
      <c r="D2647" s="167" t="s">
        <v>15028</v>
      </c>
      <c r="E2647" s="168" t="s">
        <v>12558</v>
      </c>
    </row>
    <row r="2648" spans="1:5">
      <c r="A2648" s="167">
        <v>44258</v>
      </c>
      <c r="B2648" s="167">
        <v>0</v>
      </c>
      <c r="C2648" s="167" t="s">
        <v>12454</v>
      </c>
      <c r="D2648" s="167" t="s">
        <v>15029</v>
      </c>
      <c r="E2648" s="168" t="s">
        <v>12583</v>
      </c>
    </row>
    <row r="2649" spans="1:5">
      <c r="A2649" s="167">
        <v>44259</v>
      </c>
      <c r="B2649" s="167">
        <v>0</v>
      </c>
      <c r="C2649" s="167" t="s">
        <v>4922</v>
      </c>
      <c r="D2649" s="167" t="s">
        <v>15030</v>
      </c>
      <c r="E2649" s="168" t="s">
        <v>7523</v>
      </c>
    </row>
    <row r="2650" spans="1:5">
      <c r="A2650" s="167">
        <v>44260</v>
      </c>
      <c r="B2650" s="167">
        <v>0</v>
      </c>
      <c r="C2650" s="167" t="s">
        <v>12438</v>
      </c>
      <c r="D2650" s="167" t="s">
        <v>15031</v>
      </c>
      <c r="E2650" s="168" t="s">
        <v>12560</v>
      </c>
    </row>
    <row r="2651" spans="1:5">
      <c r="A2651" s="167">
        <v>44261</v>
      </c>
      <c r="B2651" s="167">
        <v>0</v>
      </c>
      <c r="C2651" s="167" t="s">
        <v>12456</v>
      </c>
      <c r="D2651" s="167" t="s">
        <v>15032</v>
      </c>
      <c r="E2651" s="168" t="s">
        <v>12585</v>
      </c>
    </row>
    <row r="2652" spans="1:5">
      <c r="A2652" s="167">
        <v>44262</v>
      </c>
      <c r="B2652" s="167">
        <v>0</v>
      </c>
      <c r="C2652" s="167" t="s">
        <v>4926</v>
      </c>
      <c r="D2652" s="167" t="s">
        <v>15033</v>
      </c>
      <c r="E2652" s="168" t="s">
        <v>7526</v>
      </c>
    </row>
    <row r="2653" spans="1:5">
      <c r="A2653" s="167">
        <v>44263</v>
      </c>
      <c r="B2653" s="167">
        <v>0</v>
      </c>
      <c r="C2653" s="167" t="s">
        <v>6496</v>
      </c>
      <c r="D2653" s="167" t="s">
        <v>15034</v>
      </c>
      <c r="E2653" s="168" t="s">
        <v>12562</v>
      </c>
    </row>
    <row r="2654" spans="1:5">
      <c r="A2654" s="167">
        <v>44264</v>
      </c>
      <c r="B2654" s="167">
        <v>0</v>
      </c>
      <c r="C2654" s="167" t="s">
        <v>12458</v>
      </c>
      <c r="D2654" s="167" t="s">
        <v>15035</v>
      </c>
      <c r="E2654" s="168" t="s">
        <v>12587</v>
      </c>
    </row>
    <row r="2655" spans="1:5">
      <c r="A2655" s="167">
        <v>44265</v>
      </c>
      <c r="B2655" s="167">
        <v>0</v>
      </c>
      <c r="C2655" s="167" t="s">
        <v>4928</v>
      </c>
      <c r="D2655" s="167" t="s">
        <v>15036</v>
      </c>
      <c r="E2655" s="168" t="s">
        <v>7527</v>
      </c>
    </row>
    <row r="2656" spans="1:5">
      <c r="A2656" s="167">
        <v>44266</v>
      </c>
      <c r="B2656" s="167">
        <v>0</v>
      </c>
      <c r="C2656" s="167" t="s">
        <v>12441</v>
      </c>
      <c r="D2656" s="167" t="s">
        <v>15037</v>
      </c>
      <c r="E2656" s="168" t="s">
        <v>12564</v>
      </c>
    </row>
    <row r="2657" spans="1:5">
      <c r="A2657" s="167">
        <v>44267</v>
      </c>
      <c r="B2657" s="167">
        <v>0</v>
      </c>
      <c r="C2657" s="167" t="s">
        <v>12459</v>
      </c>
      <c r="D2657" s="167" t="s">
        <v>15038</v>
      </c>
      <c r="E2657" s="168" t="s">
        <v>12589</v>
      </c>
    </row>
    <row r="2658" spans="1:5">
      <c r="A2658" s="167">
        <v>44268</v>
      </c>
      <c r="B2658" s="167">
        <v>0</v>
      </c>
      <c r="C2658" s="167" t="s">
        <v>4923</v>
      </c>
      <c r="D2658" s="167" t="s">
        <v>15039</v>
      </c>
      <c r="E2658" s="168" t="s">
        <v>7529</v>
      </c>
    </row>
    <row r="2659" spans="1:5">
      <c r="A2659" s="167">
        <v>44269</v>
      </c>
      <c r="B2659" s="167">
        <v>0</v>
      </c>
      <c r="C2659" s="167" t="s">
        <v>12443</v>
      </c>
      <c r="D2659" s="167" t="s">
        <v>15040</v>
      </c>
      <c r="E2659" s="168" t="s">
        <v>12566</v>
      </c>
    </row>
    <row r="2660" spans="1:5">
      <c r="A2660" s="167">
        <v>44270</v>
      </c>
      <c r="B2660" s="167">
        <v>0</v>
      </c>
      <c r="C2660" s="167" t="s">
        <v>12461</v>
      </c>
      <c r="D2660" s="167" t="s">
        <v>15041</v>
      </c>
      <c r="E2660" s="168" t="s">
        <v>12591</v>
      </c>
    </row>
    <row r="2661" spans="1:5">
      <c r="A2661" s="167">
        <v>44271</v>
      </c>
      <c r="B2661" s="167">
        <v>0</v>
      </c>
      <c r="C2661" s="167" t="s">
        <v>6484</v>
      </c>
      <c r="D2661" s="167" t="s">
        <v>15042</v>
      </c>
      <c r="E2661" s="168" t="s">
        <v>12509</v>
      </c>
    </row>
    <row r="2662" spans="1:5">
      <c r="A2662" s="167">
        <v>44272</v>
      </c>
      <c r="B2662" s="167">
        <v>0</v>
      </c>
      <c r="C2662" s="167" t="s">
        <v>6495</v>
      </c>
      <c r="D2662" s="167" t="s">
        <v>15043</v>
      </c>
      <c r="E2662" s="168" t="s">
        <v>12568</v>
      </c>
    </row>
    <row r="2663" spans="1:5">
      <c r="A2663" s="167">
        <v>44273</v>
      </c>
      <c r="B2663" s="167">
        <v>0</v>
      </c>
      <c r="C2663" s="167" t="s">
        <v>12463</v>
      </c>
      <c r="D2663" s="167" t="s">
        <v>15044</v>
      </c>
      <c r="E2663" s="168" t="s">
        <v>12593</v>
      </c>
    </row>
    <row r="2664" spans="1:5">
      <c r="A2664" s="167">
        <v>44274</v>
      </c>
      <c r="B2664" s="167">
        <v>0</v>
      </c>
      <c r="C2664" s="167" t="s">
        <v>12389</v>
      </c>
      <c r="D2664" s="167" t="s">
        <v>15045</v>
      </c>
      <c r="E2664" s="168" t="s">
        <v>7532</v>
      </c>
    </row>
    <row r="2665" spans="1:5">
      <c r="A2665" s="167">
        <v>44275</v>
      </c>
      <c r="B2665" s="167">
        <v>0</v>
      </c>
      <c r="C2665" s="167" t="s">
        <v>6490</v>
      </c>
      <c r="D2665" s="167" t="s">
        <v>15046</v>
      </c>
      <c r="E2665" s="168" t="s">
        <v>12570</v>
      </c>
    </row>
    <row r="2666" spans="1:5">
      <c r="A2666" s="167">
        <v>44276</v>
      </c>
      <c r="B2666" s="167">
        <v>0</v>
      </c>
      <c r="C2666" s="167" t="s">
        <v>12465</v>
      </c>
      <c r="D2666" s="167" t="s">
        <v>15047</v>
      </c>
      <c r="E2666" s="168" t="s">
        <v>12595</v>
      </c>
    </row>
    <row r="2667" spans="1:5">
      <c r="A2667" s="167">
        <v>44277</v>
      </c>
      <c r="B2667" s="167">
        <v>0</v>
      </c>
      <c r="C2667" s="167" t="s">
        <v>6480</v>
      </c>
      <c r="D2667" s="167" t="s">
        <v>15048</v>
      </c>
      <c r="E2667" s="168" t="s">
        <v>7517</v>
      </c>
    </row>
    <row r="2668" spans="1:5">
      <c r="A2668" s="167">
        <v>44278</v>
      </c>
      <c r="B2668" s="167">
        <v>0</v>
      </c>
      <c r="C2668" s="167" t="s">
        <v>6491</v>
      </c>
      <c r="D2668" s="167" t="s">
        <v>15049</v>
      </c>
      <c r="E2668" s="168" t="s">
        <v>12572</v>
      </c>
    </row>
    <row r="2669" spans="1:5">
      <c r="A2669" s="167">
        <v>44279</v>
      </c>
      <c r="B2669" s="167">
        <v>0</v>
      </c>
      <c r="C2669" s="167" t="s">
        <v>12467</v>
      </c>
      <c r="D2669" s="167" t="s">
        <v>15050</v>
      </c>
      <c r="E2669" s="168" t="s">
        <v>12597</v>
      </c>
    </row>
    <row r="2670" spans="1:5">
      <c r="A2670" s="167">
        <v>44280</v>
      </c>
      <c r="B2670" s="167">
        <v>0</v>
      </c>
      <c r="C2670" s="167" t="s">
        <v>6482</v>
      </c>
      <c r="D2670" s="167" t="s">
        <v>15051</v>
      </c>
      <c r="E2670" s="168" t="s">
        <v>7518</v>
      </c>
    </row>
    <row r="2671" spans="1:5">
      <c r="A2671" s="167">
        <v>44281</v>
      </c>
      <c r="B2671" s="167">
        <v>0</v>
      </c>
      <c r="C2671" s="167" t="s">
        <v>6492</v>
      </c>
      <c r="D2671" s="167" t="s">
        <v>15052</v>
      </c>
      <c r="E2671" s="168" t="s">
        <v>12574</v>
      </c>
    </row>
    <row r="2672" spans="1:5">
      <c r="A2672" s="167">
        <v>44282</v>
      </c>
      <c r="B2672" s="167">
        <v>0</v>
      </c>
      <c r="C2672" s="167" t="s">
        <v>12468</v>
      </c>
      <c r="D2672" s="167" t="s">
        <v>15053</v>
      </c>
      <c r="E2672" s="168" t="s">
        <v>12599</v>
      </c>
    </row>
    <row r="2673" spans="1:5">
      <c r="A2673" s="167">
        <v>44283</v>
      </c>
      <c r="B2673" s="167">
        <v>0</v>
      </c>
      <c r="C2673" s="167" t="s">
        <v>12358</v>
      </c>
      <c r="D2673" s="167" t="s">
        <v>15054</v>
      </c>
      <c r="E2673" s="168" t="s">
        <v>7522</v>
      </c>
    </row>
    <row r="2674" spans="1:5">
      <c r="A2674" s="167">
        <v>44284</v>
      </c>
      <c r="B2674" s="167">
        <v>0</v>
      </c>
      <c r="C2674" s="167" t="s">
        <v>12448</v>
      </c>
      <c r="D2674" s="167" t="s">
        <v>15055</v>
      </c>
      <c r="E2674" s="168" t="s">
        <v>12576</v>
      </c>
    </row>
    <row r="2675" spans="1:5">
      <c r="A2675" s="167">
        <v>44285</v>
      </c>
      <c r="B2675" s="167">
        <v>0</v>
      </c>
      <c r="C2675" s="167" t="s">
        <v>12470</v>
      </c>
      <c r="D2675" s="167" t="s">
        <v>15056</v>
      </c>
      <c r="E2675" s="168" t="s">
        <v>12601</v>
      </c>
    </row>
    <row r="2676" spans="1:5">
      <c r="A2676" s="167">
        <v>44286</v>
      </c>
      <c r="B2676" s="167">
        <v>0</v>
      </c>
      <c r="C2676" s="167" t="s">
        <v>4927</v>
      </c>
      <c r="D2676" s="167" t="s">
        <v>15057</v>
      </c>
      <c r="E2676" s="168" t="s">
        <v>7524</v>
      </c>
    </row>
    <row r="2677" spans="1:5">
      <c r="A2677" s="167">
        <v>44287</v>
      </c>
      <c r="B2677" s="167">
        <v>0</v>
      </c>
      <c r="C2677" s="167" t="s">
        <v>6494</v>
      </c>
      <c r="D2677" s="167" t="s">
        <v>15058</v>
      </c>
      <c r="E2677" s="168" t="s">
        <v>12578</v>
      </c>
    </row>
    <row r="2678" spans="1:5">
      <c r="A2678" s="167">
        <v>44288</v>
      </c>
      <c r="B2678" s="167">
        <v>0</v>
      </c>
      <c r="C2678" s="167" t="s">
        <v>12472</v>
      </c>
      <c r="D2678" s="167" t="s">
        <v>15059</v>
      </c>
      <c r="E2678" s="168" t="s">
        <v>12603</v>
      </c>
    </row>
    <row r="2679" spans="1:5">
      <c r="A2679" s="167">
        <v>44289</v>
      </c>
      <c r="B2679" s="167">
        <v>0</v>
      </c>
      <c r="C2679" s="167" t="s">
        <v>4929</v>
      </c>
      <c r="D2679" s="167" t="s">
        <v>15060</v>
      </c>
      <c r="E2679" s="168" t="s">
        <v>7525</v>
      </c>
    </row>
    <row r="2680" spans="1:5">
      <c r="A2680" s="167">
        <v>44290</v>
      </c>
      <c r="B2680" s="167">
        <v>0</v>
      </c>
      <c r="C2680" s="167" t="s">
        <v>12451</v>
      </c>
      <c r="D2680" s="167" t="s">
        <v>15061</v>
      </c>
      <c r="E2680" s="168" t="s">
        <v>12580</v>
      </c>
    </row>
    <row r="2681" spans="1:5">
      <c r="A2681" s="167">
        <v>44291</v>
      </c>
      <c r="B2681" s="167">
        <v>0</v>
      </c>
      <c r="C2681" s="167" t="s">
        <v>14758</v>
      </c>
      <c r="D2681" s="167" t="s">
        <v>15062</v>
      </c>
      <c r="E2681" s="168" t="s">
        <v>15166</v>
      </c>
    </row>
    <row r="2682" spans="1:5">
      <c r="A2682" s="167">
        <v>44292</v>
      </c>
      <c r="B2682" s="167">
        <v>0</v>
      </c>
      <c r="C2682" s="167" t="s">
        <v>4925</v>
      </c>
      <c r="D2682" s="167" t="s">
        <v>15063</v>
      </c>
      <c r="E2682" s="168" t="s">
        <v>7528</v>
      </c>
    </row>
    <row r="2683" spans="1:5">
      <c r="A2683" s="167">
        <v>44293</v>
      </c>
      <c r="B2683" s="167">
        <v>0</v>
      </c>
      <c r="C2683" s="167" t="s">
        <v>12453</v>
      </c>
      <c r="D2683" s="167" t="s">
        <v>15064</v>
      </c>
      <c r="E2683" s="168" t="s">
        <v>12582</v>
      </c>
    </row>
    <row r="2684" spans="1:5">
      <c r="A2684" s="167">
        <v>44294</v>
      </c>
      <c r="B2684" s="167">
        <v>0</v>
      </c>
      <c r="C2684" s="167" t="s">
        <v>14760</v>
      </c>
      <c r="D2684" s="167" t="s">
        <v>15065</v>
      </c>
      <c r="E2684" s="168" t="s">
        <v>15168</v>
      </c>
    </row>
    <row r="2685" spans="1:5">
      <c r="A2685" s="167">
        <v>44295</v>
      </c>
      <c r="B2685" s="167">
        <v>0</v>
      </c>
      <c r="C2685" s="167" t="s">
        <v>4931</v>
      </c>
      <c r="D2685" s="167" t="s">
        <v>15066</v>
      </c>
      <c r="E2685" s="168" t="s">
        <v>7530</v>
      </c>
    </row>
    <row r="2686" spans="1:5">
      <c r="A2686" s="167">
        <v>44296</v>
      </c>
      <c r="B2686" s="167">
        <v>0</v>
      </c>
      <c r="C2686" s="167" t="s">
        <v>12455</v>
      </c>
      <c r="D2686" s="167" t="s">
        <v>15067</v>
      </c>
      <c r="E2686" s="168" t="s">
        <v>12584</v>
      </c>
    </row>
    <row r="2687" spans="1:5">
      <c r="A2687" s="167">
        <v>44297</v>
      </c>
      <c r="B2687" s="167">
        <v>0</v>
      </c>
      <c r="C2687" s="167" t="s">
        <v>14762</v>
      </c>
      <c r="D2687" s="167" t="s">
        <v>15068</v>
      </c>
      <c r="E2687" s="168" t="s">
        <v>15170</v>
      </c>
    </row>
    <row r="2688" spans="1:5">
      <c r="A2688" s="167">
        <v>44298</v>
      </c>
      <c r="B2688" s="167">
        <v>0</v>
      </c>
      <c r="C2688" s="167" t="s">
        <v>4930</v>
      </c>
      <c r="D2688" s="167" t="s">
        <v>15069</v>
      </c>
      <c r="E2688" s="168" t="s">
        <v>12491</v>
      </c>
    </row>
    <row r="2689" spans="1:5">
      <c r="A2689" s="167">
        <v>44299</v>
      </c>
      <c r="B2689" s="167">
        <v>0</v>
      </c>
      <c r="C2689" s="167" t="s">
        <v>12457</v>
      </c>
      <c r="D2689" s="167" t="s">
        <v>15070</v>
      </c>
      <c r="E2689" s="168" t="s">
        <v>12586</v>
      </c>
    </row>
    <row r="2690" spans="1:5">
      <c r="A2690" s="167">
        <v>44300</v>
      </c>
      <c r="B2690" s="167">
        <v>0</v>
      </c>
      <c r="C2690" s="167" t="s">
        <v>12429</v>
      </c>
      <c r="D2690" s="167" t="s">
        <v>15071</v>
      </c>
      <c r="E2690" s="168" t="s">
        <v>12551</v>
      </c>
    </row>
    <row r="2691" spans="1:5">
      <c r="A2691" s="167">
        <v>44301</v>
      </c>
      <c r="B2691" s="167">
        <v>0</v>
      </c>
      <c r="C2691" s="167" t="s">
        <v>6486</v>
      </c>
      <c r="D2691" s="167" t="s">
        <v>15072</v>
      </c>
      <c r="E2691" s="168" t="s">
        <v>7516</v>
      </c>
    </row>
    <row r="2692" spans="1:5">
      <c r="A2692" s="167">
        <v>44302</v>
      </c>
      <c r="B2692" s="167">
        <v>0</v>
      </c>
      <c r="C2692" s="167" t="s">
        <v>6493</v>
      </c>
      <c r="D2692" s="167" t="s">
        <v>15073</v>
      </c>
      <c r="E2692" s="168" t="s">
        <v>12588</v>
      </c>
    </row>
    <row r="2693" spans="1:5">
      <c r="A2693" s="167">
        <v>44303</v>
      </c>
      <c r="B2693" s="167">
        <v>0</v>
      </c>
      <c r="C2693" s="167" t="s">
        <v>12431</v>
      </c>
      <c r="D2693" s="167" t="s">
        <v>15074</v>
      </c>
      <c r="E2693" s="168" t="s">
        <v>12553</v>
      </c>
    </row>
    <row r="2694" spans="1:5">
      <c r="A2694" s="167">
        <v>44304</v>
      </c>
      <c r="B2694" s="167">
        <v>0</v>
      </c>
      <c r="C2694" s="167" t="s">
        <v>6483</v>
      </c>
      <c r="D2694" s="167" t="s">
        <v>15075</v>
      </c>
      <c r="E2694" s="168" t="s">
        <v>7519</v>
      </c>
    </row>
    <row r="2695" spans="1:5">
      <c r="A2695" s="167">
        <v>44305</v>
      </c>
      <c r="B2695" s="167">
        <v>0</v>
      </c>
      <c r="C2695" s="167" t="s">
        <v>12460</v>
      </c>
      <c r="D2695" s="167" t="s">
        <v>15076</v>
      </c>
      <c r="E2695" s="168" t="s">
        <v>12590</v>
      </c>
    </row>
    <row r="2696" spans="1:5">
      <c r="A2696" s="167">
        <v>44306</v>
      </c>
      <c r="B2696" s="167">
        <v>0</v>
      </c>
      <c r="C2696" s="167" t="s">
        <v>12433</v>
      </c>
      <c r="D2696" s="167" t="s">
        <v>15077</v>
      </c>
      <c r="E2696" s="168" t="s">
        <v>12555</v>
      </c>
    </row>
    <row r="2697" spans="1:5">
      <c r="A2697" s="167">
        <v>44307</v>
      </c>
      <c r="B2697" s="167">
        <v>0</v>
      </c>
      <c r="C2697" s="167" t="s">
        <v>6481</v>
      </c>
      <c r="D2697" s="167" t="s">
        <v>15078</v>
      </c>
      <c r="E2697" s="168" t="s">
        <v>7520</v>
      </c>
    </row>
    <row r="2698" spans="1:5">
      <c r="A2698" s="167">
        <v>44308</v>
      </c>
      <c r="B2698" s="167">
        <v>0</v>
      </c>
      <c r="C2698" s="167" t="s">
        <v>12462</v>
      </c>
      <c r="D2698" s="167" t="s">
        <v>15079</v>
      </c>
      <c r="E2698" s="168" t="s">
        <v>12592</v>
      </c>
    </row>
    <row r="2699" spans="1:5">
      <c r="A2699" s="167">
        <v>44309</v>
      </c>
      <c r="B2699" s="167">
        <v>0</v>
      </c>
      <c r="C2699" s="167" t="s">
        <v>12435</v>
      </c>
      <c r="D2699" s="167" t="s">
        <v>15080</v>
      </c>
      <c r="E2699" s="168" t="s">
        <v>12557</v>
      </c>
    </row>
    <row r="2700" spans="1:5">
      <c r="A2700" s="167">
        <v>44310</v>
      </c>
      <c r="B2700" s="167">
        <v>0</v>
      </c>
      <c r="C2700" s="167" t="s">
        <v>12376</v>
      </c>
      <c r="D2700" s="167" t="s">
        <v>15081</v>
      </c>
      <c r="E2700" s="168" t="s">
        <v>7521</v>
      </c>
    </row>
    <row r="2701" spans="1:5">
      <c r="A2701" s="167">
        <v>44311</v>
      </c>
      <c r="B2701" s="167">
        <v>0</v>
      </c>
      <c r="C2701" s="167" t="s">
        <v>12464</v>
      </c>
      <c r="D2701" s="167" t="s">
        <v>15082</v>
      </c>
      <c r="E2701" s="168" t="s">
        <v>12594</v>
      </c>
    </row>
    <row r="2702" spans="1:5">
      <c r="A2702" s="167">
        <v>44312</v>
      </c>
      <c r="B2702" s="167">
        <v>0</v>
      </c>
      <c r="C2702" s="167" t="s">
        <v>12437</v>
      </c>
      <c r="D2702" s="167" t="s">
        <v>15083</v>
      </c>
      <c r="E2702" s="168" t="s">
        <v>12559</v>
      </c>
    </row>
    <row r="2703" spans="1:5">
      <c r="A2703" s="167">
        <v>44313</v>
      </c>
      <c r="B2703" s="167">
        <v>0</v>
      </c>
      <c r="C2703" s="167" t="s">
        <v>4922</v>
      </c>
      <c r="D2703" s="167" t="s">
        <v>15084</v>
      </c>
      <c r="E2703" s="168" t="s">
        <v>7523</v>
      </c>
    </row>
    <row r="2704" spans="1:5">
      <c r="A2704" s="167">
        <v>44314</v>
      </c>
      <c r="B2704" s="167">
        <v>0</v>
      </c>
      <c r="C2704" s="167" t="s">
        <v>12466</v>
      </c>
      <c r="D2704" s="167" t="s">
        <v>15085</v>
      </c>
      <c r="E2704" s="168" t="s">
        <v>12596</v>
      </c>
    </row>
    <row r="2705" spans="1:5">
      <c r="A2705" s="167">
        <v>44315</v>
      </c>
      <c r="B2705" s="167">
        <v>0</v>
      </c>
      <c r="C2705" s="167" t="s">
        <v>12439</v>
      </c>
      <c r="D2705" s="167" t="s">
        <v>15086</v>
      </c>
      <c r="E2705" s="168" t="s">
        <v>12561</v>
      </c>
    </row>
    <row r="2706" spans="1:5">
      <c r="A2706" s="167">
        <v>44316</v>
      </c>
      <c r="B2706" s="167">
        <v>0</v>
      </c>
      <c r="C2706" s="167" t="s">
        <v>4926</v>
      </c>
      <c r="D2706" s="167" t="s">
        <v>15087</v>
      </c>
      <c r="E2706" s="168" t="s">
        <v>7526</v>
      </c>
    </row>
    <row r="2707" spans="1:5">
      <c r="A2707" s="167">
        <v>44317</v>
      </c>
      <c r="B2707" s="167">
        <v>0</v>
      </c>
      <c r="C2707" s="167" t="s">
        <v>6489</v>
      </c>
      <c r="D2707" s="167" t="s">
        <v>15088</v>
      </c>
      <c r="E2707" s="168" t="s">
        <v>12598</v>
      </c>
    </row>
    <row r="2708" spans="1:5">
      <c r="A2708" s="167">
        <v>44318</v>
      </c>
      <c r="B2708" s="167">
        <v>0</v>
      </c>
      <c r="C2708" s="167" t="s">
        <v>12440</v>
      </c>
      <c r="D2708" s="167" t="s">
        <v>15089</v>
      </c>
      <c r="E2708" s="168" t="s">
        <v>12563</v>
      </c>
    </row>
    <row r="2709" spans="1:5">
      <c r="A2709" s="167">
        <v>44319</v>
      </c>
      <c r="B2709" s="167">
        <v>0</v>
      </c>
      <c r="C2709" s="167" t="s">
        <v>4928</v>
      </c>
      <c r="D2709" s="167" t="s">
        <v>15090</v>
      </c>
      <c r="E2709" s="168" t="s">
        <v>7527</v>
      </c>
    </row>
    <row r="2710" spans="1:5">
      <c r="A2710" s="167">
        <v>44320</v>
      </c>
      <c r="B2710" s="167">
        <v>0</v>
      </c>
      <c r="C2710" s="167" t="s">
        <v>12469</v>
      </c>
      <c r="D2710" s="167" t="s">
        <v>15091</v>
      </c>
      <c r="E2710" s="168" t="s">
        <v>12600</v>
      </c>
    </row>
    <row r="2711" spans="1:5">
      <c r="A2711" s="167">
        <v>44321</v>
      </c>
      <c r="B2711" s="167">
        <v>0</v>
      </c>
      <c r="C2711" s="167" t="s">
        <v>12442</v>
      </c>
      <c r="D2711" s="167" t="s">
        <v>15092</v>
      </c>
      <c r="E2711" s="168" t="s">
        <v>12565</v>
      </c>
    </row>
    <row r="2712" spans="1:5">
      <c r="A2712" s="167">
        <v>44322</v>
      </c>
      <c r="B2712" s="167">
        <v>0</v>
      </c>
      <c r="C2712" s="167" t="s">
        <v>4923</v>
      </c>
      <c r="D2712" s="167" t="s">
        <v>15093</v>
      </c>
      <c r="E2712" s="168" t="s">
        <v>7529</v>
      </c>
    </row>
    <row r="2713" spans="1:5">
      <c r="A2713" s="167">
        <v>44323</v>
      </c>
      <c r="B2713" s="167">
        <v>0</v>
      </c>
      <c r="C2713" s="167" t="s">
        <v>12471</v>
      </c>
      <c r="D2713" s="167" t="s">
        <v>15094</v>
      </c>
      <c r="E2713" s="168" t="s">
        <v>12602</v>
      </c>
    </row>
    <row r="2714" spans="1:5">
      <c r="A2714" s="167">
        <v>44324</v>
      </c>
      <c r="B2714" s="167">
        <v>0</v>
      </c>
      <c r="C2714" s="167" t="s">
        <v>12444</v>
      </c>
      <c r="D2714" s="167" t="s">
        <v>15095</v>
      </c>
      <c r="E2714" s="168" t="s">
        <v>12567</v>
      </c>
    </row>
    <row r="2715" spans="1:5">
      <c r="A2715" s="167">
        <v>44325</v>
      </c>
      <c r="B2715" s="167">
        <v>0</v>
      </c>
      <c r="C2715" s="167" t="s">
        <v>6484</v>
      </c>
      <c r="D2715" s="167" t="s">
        <v>15096</v>
      </c>
      <c r="E2715" s="168" t="s">
        <v>12509</v>
      </c>
    </row>
    <row r="2716" spans="1:5">
      <c r="A2716" s="167">
        <v>44326</v>
      </c>
      <c r="B2716" s="167">
        <v>0</v>
      </c>
      <c r="C2716" s="167" t="s">
        <v>14757</v>
      </c>
      <c r="D2716" s="167" t="s">
        <v>15097</v>
      </c>
      <c r="E2716" s="168" t="s">
        <v>15165</v>
      </c>
    </row>
    <row r="2717" spans="1:5">
      <c r="A2717" s="167">
        <v>44327</v>
      </c>
      <c r="B2717" s="167">
        <v>0</v>
      </c>
      <c r="C2717" s="167" t="s">
        <v>12445</v>
      </c>
      <c r="D2717" s="167" t="s">
        <v>15098</v>
      </c>
      <c r="E2717" s="168" t="s">
        <v>12569</v>
      </c>
    </row>
    <row r="2718" spans="1:5">
      <c r="A2718" s="167">
        <v>44328</v>
      </c>
      <c r="B2718" s="167">
        <v>0</v>
      </c>
      <c r="C2718" s="167" t="s">
        <v>12389</v>
      </c>
      <c r="D2718" s="167" t="s">
        <v>15099</v>
      </c>
      <c r="E2718" s="168" t="s">
        <v>7532</v>
      </c>
    </row>
    <row r="2719" spans="1:5">
      <c r="A2719" s="167">
        <v>44329</v>
      </c>
      <c r="B2719" s="167">
        <v>0</v>
      </c>
      <c r="C2719" s="167" t="s">
        <v>14759</v>
      </c>
      <c r="D2719" s="167" t="s">
        <v>15100</v>
      </c>
      <c r="E2719" s="168" t="s">
        <v>15167</v>
      </c>
    </row>
    <row r="2720" spans="1:5">
      <c r="A2720" s="167">
        <v>44330</v>
      </c>
      <c r="B2720" s="167">
        <v>0</v>
      </c>
      <c r="C2720" s="167" t="s">
        <v>12446</v>
      </c>
      <c r="D2720" s="167" t="s">
        <v>15101</v>
      </c>
      <c r="E2720" s="168" t="s">
        <v>12571</v>
      </c>
    </row>
    <row r="2721" spans="1:5">
      <c r="A2721" s="167">
        <v>44331</v>
      </c>
      <c r="B2721" s="167">
        <v>0</v>
      </c>
      <c r="C2721" s="167" t="s">
        <v>6480</v>
      </c>
      <c r="D2721" s="167" t="s">
        <v>15102</v>
      </c>
      <c r="E2721" s="168" t="s">
        <v>7517</v>
      </c>
    </row>
    <row r="2722" spans="1:5">
      <c r="A2722" s="167">
        <v>44332</v>
      </c>
      <c r="B2722" s="167">
        <v>0</v>
      </c>
      <c r="C2722" s="167" t="s">
        <v>14761</v>
      </c>
      <c r="D2722" s="167" t="s">
        <v>15103</v>
      </c>
      <c r="E2722" s="168" t="s">
        <v>15169</v>
      </c>
    </row>
    <row r="2723" spans="1:5">
      <c r="A2723" s="167">
        <v>44333</v>
      </c>
      <c r="B2723" s="167">
        <v>0</v>
      </c>
      <c r="C2723" s="167" t="s">
        <v>12447</v>
      </c>
      <c r="D2723" s="167" t="s">
        <v>15104</v>
      </c>
      <c r="E2723" s="168" t="s">
        <v>12573</v>
      </c>
    </row>
    <row r="2724" spans="1:5">
      <c r="A2724" s="167">
        <v>44334</v>
      </c>
      <c r="B2724" s="167">
        <v>0</v>
      </c>
      <c r="C2724" s="167" t="s">
        <v>6482</v>
      </c>
      <c r="D2724" s="167" t="s">
        <v>15105</v>
      </c>
      <c r="E2724" s="168" t="s">
        <v>7518</v>
      </c>
    </row>
    <row r="2725" spans="1:5">
      <c r="A2725" s="167">
        <v>44335</v>
      </c>
      <c r="B2725" s="167">
        <v>0</v>
      </c>
      <c r="C2725" s="167" t="s">
        <v>14763</v>
      </c>
      <c r="D2725" s="167" t="s">
        <v>15106</v>
      </c>
      <c r="E2725" s="168" t="s">
        <v>15171</v>
      </c>
    </row>
    <row r="2726" spans="1:5">
      <c r="A2726" s="167">
        <v>44336</v>
      </c>
      <c r="B2726" s="167">
        <v>0</v>
      </c>
      <c r="C2726" s="167" t="s">
        <v>6488</v>
      </c>
      <c r="D2726" s="167" t="s">
        <v>15107</v>
      </c>
      <c r="E2726" s="168" t="s">
        <v>12575</v>
      </c>
    </row>
    <row r="2727" spans="1:5">
      <c r="A2727" s="167">
        <v>44337</v>
      </c>
      <c r="B2727" s="167">
        <v>0</v>
      </c>
      <c r="C2727" s="167" t="s">
        <v>12358</v>
      </c>
      <c r="D2727" s="167" t="s">
        <v>15108</v>
      </c>
      <c r="E2727" s="168" t="s">
        <v>7522</v>
      </c>
    </row>
    <row r="2728" spans="1:5">
      <c r="A2728" s="167">
        <v>44338</v>
      </c>
      <c r="B2728" s="167">
        <v>0</v>
      </c>
      <c r="C2728" s="167" t="s">
        <v>14764</v>
      </c>
      <c r="D2728" s="167" t="s">
        <v>15109</v>
      </c>
      <c r="E2728" s="168" t="s">
        <v>15172</v>
      </c>
    </row>
    <row r="2729" spans="1:5">
      <c r="A2729" s="167">
        <v>44339</v>
      </c>
      <c r="B2729" s="167">
        <v>0</v>
      </c>
      <c r="C2729" s="167" t="s">
        <v>12449</v>
      </c>
      <c r="D2729" s="167" t="s">
        <v>15110</v>
      </c>
      <c r="E2729" s="168" t="s">
        <v>12577</v>
      </c>
    </row>
    <row r="2730" spans="1:5">
      <c r="A2730" s="167">
        <v>44340</v>
      </c>
      <c r="B2730" s="167">
        <v>0</v>
      </c>
      <c r="C2730" s="167" t="s">
        <v>4927</v>
      </c>
      <c r="D2730" s="167" t="s">
        <v>15111</v>
      </c>
      <c r="E2730" s="168" t="s">
        <v>7524</v>
      </c>
    </row>
    <row r="2731" spans="1:5">
      <c r="A2731" s="167">
        <v>44341</v>
      </c>
      <c r="B2731" s="167">
        <v>0</v>
      </c>
      <c r="C2731" s="167" t="s">
        <v>14765</v>
      </c>
      <c r="D2731" s="167" t="s">
        <v>15112</v>
      </c>
      <c r="E2731" s="168" t="s">
        <v>15173</v>
      </c>
    </row>
    <row r="2732" spans="1:5">
      <c r="A2732" s="167">
        <v>44342</v>
      </c>
      <c r="B2732" s="167">
        <v>0</v>
      </c>
      <c r="C2732" s="167" t="s">
        <v>12450</v>
      </c>
      <c r="D2732" s="167" t="s">
        <v>15113</v>
      </c>
      <c r="E2732" s="168" t="s">
        <v>12579</v>
      </c>
    </row>
    <row r="2733" spans="1:5">
      <c r="A2733" s="167">
        <v>44343</v>
      </c>
      <c r="B2733" s="167">
        <v>0</v>
      </c>
      <c r="C2733" s="167" t="s">
        <v>4929</v>
      </c>
      <c r="D2733" s="167" t="s">
        <v>15114</v>
      </c>
      <c r="E2733" s="168" t="s">
        <v>7525</v>
      </c>
    </row>
    <row r="2734" spans="1:5">
      <c r="A2734" s="167">
        <v>44344</v>
      </c>
      <c r="B2734" s="167">
        <v>0</v>
      </c>
      <c r="C2734" s="167" t="s">
        <v>14766</v>
      </c>
      <c r="D2734" s="167" t="s">
        <v>15115</v>
      </c>
      <c r="E2734" s="168" t="s">
        <v>15174</v>
      </c>
    </row>
    <row r="2735" spans="1:5">
      <c r="A2735" s="167">
        <v>44345</v>
      </c>
      <c r="B2735" s="167">
        <v>0</v>
      </c>
      <c r="C2735" s="167" t="s">
        <v>12452</v>
      </c>
      <c r="D2735" s="167" t="s">
        <v>15116</v>
      </c>
      <c r="E2735" s="168" t="s">
        <v>12581</v>
      </c>
    </row>
    <row r="2736" spans="1:5">
      <c r="A2736" s="167">
        <v>44346</v>
      </c>
      <c r="B2736" s="167">
        <v>0</v>
      </c>
      <c r="C2736" s="167" t="s">
        <v>4925</v>
      </c>
      <c r="D2736" s="167" t="s">
        <v>15117</v>
      </c>
      <c r="E2736" s="168" t="s">
        <v>7528</v>
      </c>
    </row>
    <row r="2737" spans="1:5">
      <c r="A2737" s="167">
        <v>44347</v>
      </c>
      <c r="B2737" s="167">
        <v>0</v>
      </c>
      <c r="C2737" s="167" t="s">
        <v>14767</v>
      </c>
      <c r="D2737" s="167" t="s">
        <v>15118</v>
      </c>
      <c r="E2737" s="168" t="s">
        <v>15175</v>
      </c>
    </row>
    <row r="2738" spans="1:5">
      <c r="A2738" s="167">
        <v>44348</v>
      </c>
      <c r="B2738" s="167">
        <v>0</v>
      </c>
      <c r="C2738" s="167" t="s">
        <v>12454</v>
      </c>
      <c r="D2738" s="167" t="s">
        <v>15119</v>
      </c>
      <c r="E2738" s="168" t="s">
        <v>12583</v>
      </c>
    </row>
    <row r="2739" spans="1:5">
      <c r="A2739" s="167">
        <v>44349</v>
      </c>
      <c r="B2739" s="167">
        <v>0</v>
      </c>
      <c r="C2739" s="167" t="s">
        <v>4931</v>
      </c>
      <c r="D2739" s="167" t="s">
        <v>15120</v>
      </c>
      <c r="E2739" s="168" t="s">
        <v>7530</v>
      </c>
    </row>
    <row r="2740" spans="1:5">
      <c r="A2740" s="167">
        <v>44350</v>
      </c>
      <c r="B2740" s="167">
        <v>0</v>
      </c>
      <c r="C2740" s="167" t="s">
        <v>14768</v>
      </c>
      <c r="D2740" s="167" t="s">
        <v>15121</v>
      </c>
      <c r="E2740" s="168" t="s">
        <v>15176</v>
      </c>
    </row>
    <row r="2741" spans="1:5">
      <c r="A2741" s="167">
        <v>44351</v>
      </c>
      <c r="B2741" s="167">
        <v>0</v>
      </c>
      <c r="C2741" s="167" t="s">
        <v>12456</v>
      </c>
      <c r="D2741" s="167" t="s">
        <v>15122</v>
      </c>
      <c r="E2741" s="168" t="s">
        <v>12585</v>
      </c>
    </row>
    <row r="2742" spans="1:5">
      <c r="A2742" s="167">
        <v>44352</v>
      </c>
      <c r="B2742" s="167">
        <v>0</v>
      </c>
      <c r="C2742" s="167" t="s">
        <v>4930</v>
      </c>
      <c r="D2742" s="167" t="s">
        <v>15123</v>
      </c>
      <c r="E2742" s="168" t="s">
        <v>12491</v>
      </c>
    </row>
    <row r="2743" spans="1:5">
      <c r="A2743" s="167">
        <v>44353</v>
      </c>
      <c r="B2743" s="167">
        <v>0</v>
      </c>
      <c r="C2743" s="167" t="s">
        <v>14769</v>
      </c>
      <c r="D2743" s="167" t="s">
        <v>15124</v>
      </c>
      <c r="E2743" s="168" t="s">
        <v>15177</v>
      </c>
    </row>
    <row r="2744" spans="1:5">
      <c r="A2744" s="167">
        <v>44354</v>
      </c>
      <c r="B2744" s="167">
        <v>0</v>
      </c>
      <c r="C2744" s="167" t="s">
        <v>12458</v>
      </c>
      <c r="D2744" s="167" t="s">
        <v>15125</v>
      </c>
      <c r="E2744" s="168" t="s">
        <v>12587</v>
      </c>
    </row>
    <row r="2745" spans="1:5">
      <c r="A2745" s="167">
        <v>44355</v>
      </c>
      <c r="B2745" s="167">
        <v>0</v>
      </c>
      <c r="C2745" s="167" t="s">
        <v>6486</v>
      </c>
      <c r="D2745" s="167" t="s">
        <v>15126</v>
      </c>
      <c r="E2745" s="168" t="s">
        <v>7516</v>
      </c>
    </row>
    <row r="2746" spans="1:5">
      <c r="A2746" s="167">
        <v>44356</v>
      </c>
      <c r="B2746" s="167">
        <v>0</v>
      </c>
      <c r="C2746" s="167" t="s">
        <v>14770</v>
      </c>
      <c r="D2746" s="167" t="s">
        <v>15127</v>
      </c>
      <c r="E2746" s="168" t="s">
        <v>15178</v>
      </c>
    </row>
    <row r="2747" spans="1:5">
      <c r="A2747" s="167">
        <v>44357</v>
      </c>
      <c r="B2747" s="167">
        <v>0</v>
      </c>
      <c r="C2747" s="167" t="s">
        <v>12459</v>
      </c>
      <c r="D2747" s="167" t="s">
        <v>15128</v>
      </c>
      <c r="E2747" s="168" t="s">
        <v>12589</v>
      </c>
    </row>
    <row r="2748" spans="1:5">
      <c r="A2748" s="167">
        <v>44358</v>
      </c>
      <c r="B2748" s="167">
        <v>0</v>
      </c>
      <c r="C2748" s="167" t="s">
        <v>6483</v>
      </c>
      <c r="D2748" s="167" t="s">
        <v>15129</v>
      </c>
      <c r="E2748" s="168" t="s">
        <v>7519</v>
      </c>
    </row>
    <row r="2749" spans="1:5">
      <c r="A2749" s="167">
        <v>44359</v>
      </c>
      <c r="B2749" s="167">
        <v>0</v>
      </c>
      <c r="C2749" s="167" t="s">
        <v>14771</v>
      </c>
      <c r="D2749" s="167" t="s">
        <v>15130</v>
      </c>
      <c r="E2749" s="168" t="s">
        <v>15179</v>
      </c>
    </row>
    <row r="2750" spans="1:5">
      <c r="A2750" s="167">
        <v>44360</v>
      </c>
      <c r="B2750" s="167">
        <v>0</v>
      </c>
      <c r="C2750" s="167" t="s">
        <v>12461</v>
      </c>
      <c r="D2750" s="167" t="s">
        <v>15131</v>
      </c>
      <c r="E2750" s="168" t="s">
        <v>12591</v>
      </c>
    </row>
    <row r="2751" spans="1:5">
      <c r="A2751" s="167">
        <v>44361</v>
      </c>
      <c r="B2751" s="167">
        <v>0</v>
      </c>
      <c r="C2751" s="167" t="s">
        <v>6481</v>
      </c>
      <c r="D2751" s="167" t="s">
        <v>15132</v>
      </c>
      <c r="E2751" s="168" t="s">
        <v>7520</v>
      </c>
    </row>
    <row r="2752" spans="1:5">
      <c r="A2752" s="167">
        <v>44362</v>
      </c>
      <c r="B2752" s="167">
        <v>0</v>
      </c>
      <c r="C2752" s="167" t="s">
        <v>14772</v>
      </c>
      <c r="D2752" s="167" t="s">
        <v>15133</v>
      </c>
      <c r="E2752" s="168" t="s">
        <v>15180</v>
      </c>
    </row>
    <row r="2753" spans="1:5">
      <c r="A2753" s="167">
        <v>44363</v>
      </c>
      <c r="B2753" s="167">
        <v>0</v>
      </c>
      <c r="C2753" s="167" t="s">
        <v>12463</v>
      </c>
      <c r="D2753" s="167" t="s">
        <v>15134</v>
      </c>
      <c r="E2753" s="168" t="s">
        <v>12593</v>
      </c>
    </row>
    <row r="2754" spans="1:5">
      <c r="A2754" s="167">
        <v>44364</v>
      </c>
      <c r="B2754" s="167">
        <v>0</v>
      </c>
      <c r="C2754" s="167" t="s">
        <v>12376</v>
      </c>
      <c r="D2754" s="167" t="s">
        <v>15135</v>
      </c>
      <c r="E2754" s="168" t="s">
        <v>7521</v>
      </c>
    </row>
    <row r="2755" spans="1:5">
      <c r="A2755" s="167">
        <v>44365</v>
      </c>
      <c r="B2755" s="167">
        <v>0</v>
      </c>
      <c r="C2755" s="167" t="s">
        <v>14773</v>
      </c>
      <c r="D2755" s="167" t="s">
        <v>15136</v>
      </c>
      <c r="E2755" s="168" t="s">
        <v>15181</v>
      </c>
    </row>
    <row r="2756" spans="1:5">
      <c r="A2756" s="167">
        <v>44366</v>
      </c>
      <c r="B2756" s="167">
        <v>0</v>
      </c>
      <c r="C2756" s="167" t="s">
        <v>12465</v>
      </c>
      <c r="D2756" s="167" t="s">
        <v>15137</v>
      </c>
      <c r="E2756" s="168" t="s">
        <v>12595</v>
      </c>
    </row>
    <row r="2757" spans="1:5">
      <c r="A2757" s="167">
        <v>44367</v>
      </c>
      <c r="B2757" s="167">
        <v>0</v>
      </c>
      <c r="C2757" s="167" t="s">
        <v>4922</v>
      </c>
      <c r="D2757" s="167" t="s">
        <v>15138</v>
      </c>
      <c r="E2757" s="168" t="s">
        <v>7523</v>
      </c>
    </row>
    <row r="2758" spans="1:5">
      <c r="A2758" s="167">
        <v>44368</v>
      </c>
      <c r="B2758" s="167">
        <v>0</v>
      </c>
      <c r="C2758" s="167" t="s">
        <v>14774</v>
      </c>
      <c r="D2758" s="167" t="s">
        <v>15139</v>
      </c>
      <c r="E2758" s="168" t="s">
        <v>15182</v>
      </c>
    </row>
    <row r="2759" spans="1:5">
      <c r="A2759" s="167">
        <v>44369</v>
      </c>
      <c r="B2759" s="167">
        <v>0</v>
      </c>
      <c r="C2759" s="167" t="s">
        <v>12467</v>
      </c>
      <c r="D2759" s="167" t="s">
        <v>15140</v>
      </c>
      <c r="E2759" s="168" t="s">
        <v>12597</v>
      </c>
    </row>
    <row r="2760" spans="1:5">
      <c r="A2760" s="167">
        <v>44370</v>
      </c>
      <c r="B2760" s="167">
        <v>0</v>
      </c>
      <c r="C2760" s="167" t="s">
        <v>4926</v>
      </c>
      <c r="D2760" s="167" t="s">
        <v>15141</v>
      </c>
      <c r="E2760" s="168" t="s">
        <v>7526</v>
      </c>
    </row>
    <row r="2761" spans="1:5">
      <c r="A2761" s="167">
        <v>44371</v>
      </c>
      <c r="B2761" s="167">
        <v>0</v>
      </c>
      <c r="C2761" s="167" t="s">
        <v>12428</v>
      </c>
      <c r="D2761" s="167" t="s">
        <v>15142</v>
      </c>
      <c r="E2761" s="168" t="s">
        <v>12550</v>
      </c>
    </row>
    <row r="2762" spans="1:5">
      <c r="A2762" s="167">
        <v>44372</v>
      </c>
      <c r="B2762" s="167">
        <v>0</v>
      </c>
      <c r="C2762" s="167" t="s">
        <v>12468</v>
      </c>
      <c r="D2762" s="167" t="s">
        <v>15143</v>
      </c>
      <c r="E2762" s="168" t="s">
        <v>12599</v>
      </c>
    </row>
    <row r="2763" spans="1:5">
      <c r="A2763" s="167">
        <v>44373</v>
      </c>
      <c r="B2763" s="167">
        <v>0</v>
      </c>
      <c r="C2763" s="167" t="s">
        <v>4928</v>
      </c>
      <c r="D2763" s="167" t="s">
        <v>15144</v>
      </c>
      <c r="E2763" s="168" t="s">
        <v>7527</v>
      </c>
    </row>
    <row r="2764" spans="1:5">
      <c r="A2764" s="167">
        <v>44374</v>
      </c>
      <c r="B2764" s="167">
        <v>0</v>
      </c>
      <c r="C2764" s="167" t="s">
        <v>12430</v>
      </c>
      <c r="D2764" s="167" t="s">
        <v>15145</v>
      </c>
      <c r="E2764" s="168" t="s">
        <v>12552</v>
      </c>
    </row>
    <row r="2765" spans="1:5">
      <c r="A2765" s="167">
        <v>44375</v>
      </c>
      <c r="B2765" s="167">
        <v>0</v>
      </c>
      <c r="C2765" s="167" t="s">
        <v>12470</v>
      </c>
      <c r="D2765" s="167" t="s">
        <v>15146</v>
      </c>
      <c r="E2765" s="168" t="s">
        <v>12601</v>
      </c>
    </row>
    <row r="2766" spans="1:5">
      <c r="A2766" s="167">
        <v>44376</v>
      </c>
      <c r="B2766" s="167">
        <v>0</v>
      </c>
      <c r="C2766" s="167" t="s">
        <v>4923</v>
      </c>
      <c r="D2766" s="167" t="s">
        <v>15147</v>
      </c>
      <c r="E2766" s="168" t="s">
        <v>7529</v>
      </c>
    </row>
    <row r="2767" spans="1:5">
      <c r="A2767" s="167">
        <v>44377</v>
      </c>
      <c r="B2767" s="167">
        <v>0</v>
      </c>
      <c r="C2767" s="167" t="s">
        <v>12432</v>
      </c>
      <c r="D2767" s="167" t="s">
        <v>15148</v>
      </c>
      <c r="E2767" s="168" t="s">
        <v>12554</v>
      </c>
    </row>
    <row r="2768" spans="1:5">
      <c r="A2768" s="167">
        <v>44378</v>
      </c>
      <c r="B2768" s="167">
        <v>0</v>
      </c>
      <c r="C2768" s="167" t="s">
        <v>12472</v>
      </c>
      <c r="D2768" s="167" t="s">
        <v>15149</v>
      </c>
      <c r="E2768" s="168" t="s">
        <v>12603</v>
      </c>
    </row>
    <row r="2769" spans="1:5">
      <c r="A2769" s="167">
        <v>44379</v>
      </c>
      <c r="B2769" s="167">
        <v>0</v>
      </c>
      <c r="C2769" s="167" t="s">
        <v>6484</v>
      </c>
      <c r="D2769" s="167" t="s">
        <v>15150</v>
      </c>
      <c r="E2769" s="168" t="s">
        <v>12509</v>
      </c>
    </row>
    <row r="2770" spans="1:5">
      <c r="A2770" s="167">
        <v>44380</v>
      </c>
      <c r="B2770" s="167">
        <v>0</v>
      </c>
      <c r="C2770" s="167" t="s">
        <v>12434</v>
      </c>
      <c r="D2770" s="167" t="s">
        <v>15151</v>
      </c>
      <c r="E2770" s="168" t="s">
        <v>12556</v>
      </c>
    </row>
    <row r="2771" spans="1:5">
      <c r="A2771" s="167">
        <v>44381</v>
      </c>
      <c r="B2771" s="167">
        <v>0</v>
      </c>
      <c r="C2771" s="167" t="s">
        <v>14758</v>
      </c>
      <c r="D2771" s="167" t="s">
        <v>15152</v>
      </c>
      <c r="E2771" s="168" t="s">
        <v>15166</v>
      </c>
    </row>
    <row r="2772" spans="1:5">
      <c r="A2772" s="167">
        <v>44382</v>
      </c>
      <c r="B2772" s="167">
        <v>0</v>
      </c>
      <c r="C2772" s="167" t="s">
        <v>4922</v>
      </c>
      <c r="D2772" s="167" t="s">
        <v>15153</v>
      </c>
      <c r="E2772" s="168" t="s">
        <v>7523</v>
      </c>
    </row>
    <row r="2773" spans="1:5">
      <c r="A2773" s="167">
        <v>44383</v>
      </c>
      <c r="B2773" s="167">
        <v>0</v>
      </c>
      <c r="C2773" s="167" t="s">
        <v>12436</v>
      </c>
      <c r="D2773" s="167" t="s">
        <v>15154</v>
      </c>
      <c r="E2773" s="168" t="s">
        <v>12558</v>
      </c>
    </row>
    <row r="2774" spans="1:5">
      <c r="A2774" s="167">
        <v>44384</v>
      </c>
      <c r="B2774" s="167">
        <v>0</v>
      </c>
      <c r="C2774" s="167" t="s">
        <v>14760</v>
      </c>
      <c r="D2774" s="167" t="s">
        <v>15155</v>
      </c>
      <c r="E2774" s="168" t="s">
        <v>15168</v>
      </c>
    </row>
    <row r="2775" spans="1:5">
      <c r="A2775" s="167">
        <v>44385</v>
      </c>
      <c r="B2775" s="167">
        <v>0</v>
      </c>
      <c r="C2775" s="167" t="s">
        <v>12389</v>
      </c>
      <c r="D2775" s="167" t="s">
        <v>15156</v>
      </c>
      <c r="E2775" s="168" t="s">
        <v>7532</v>
      </c>
    </row>
    <row r="2776" spans="1:5">
      <c r="A2776" s="167">
        <v>44386</v>
      </c>
      <c r="B2776" s="167">
        <v>0</v>
      </c>
      <c r="C2776" s="167" t="s">
        <v>12438</v>
      </c>
      <c r="D2776" s="167" t="s">
        <v>15157</v>
      </c>
      <c r="E2776" s="168" t="s">
        <v>12560</v>
      </c>
    </row>
    <row r="2777" spans="1:5">
      <c r="A2777" s="167">
        <v>44387</v>
      </c>
      <c r="B2777" s="167">
        <v>0</v>
      </c>
      <c r="C2777" s="167" t="s">
        <v>14762</v>
      </c>
      <c r="D2777" s="167" t="s">
        <v>15158</v>
      </c>
      <c r="E2777" s="168" t="s">
        <v>15170</v>
      </c>
    </row>
    <row r="2778" spans="1:5">
      <c r="A2778" s="167">
        <v>44388</v>
      </c>
      <c r="B2778" s="167">
        <v>0</v>
      </c>
      <c r="C2778" s="167" t="s">
        <v>6480</v>
      </c>
      <c r="D2778" s="167" t="s">
        <v>15159</v>
      </c>
      <c r="E2778" s="168" t="s">
        <v>7517</v>
      </c>
    </row>
    <row r="2779" spans="1:5">
      <c r="A2779" s="167">
        <v>44389</v>
      </c>
      <c r="B2779" s="167">
        <v>0</v>
      </c>
      <c r="C2779" s="167" t="s">
        <v>6496</v>
      </c>
      <c r="D2779" s="167" t="s">
        <v>15160</v>
      </c>
      <c r="E2779" s="168" t="s">
        <v>12562</v>
      </c>
    </row>
    <row r="2780" spans="1:5">
      <c r="A2780" s="167">
        <v>44390</v>
      </c>
      <c r="B2780" s="167">
        <v>0</v>
      </c>
      <c r="C2780" s="167" t="s">
        <v>12429</v>
      </c>
      <c r="D2780" s="167" t="s">
        <v>15161</v>
      </c>
      <c r="E2780" s="168" t="s">
        <v>12551</v>
      </c>
    </row>
    <row r="2781" spans="1:5">
      <c r="A2781" s="167">
        <v>44391</v>
      </c>
      <c r="B2781" s="167">
        <v>0</v>
      </c>
      <c r="C2781" s="167" t="s">
        <v>6482</v>
      </c>
      <c r="D2781" s="167" t="s">
        <v>15162</v>
      </c>
      <c r="E2781" s="168" t="s">
        <v>7518</v>
      </c>
    </row>
    <row r="2782" spans="1:5">
      <c r="A2782" s="167">
        <v>44392</v>
      </c>
      <c r="B2782" s="167">
        <v>0</v>
      </c>
      <c r="C2782" s="167" t="s">
        <v>12441</v>
      </c>
      <c r="D2782" s="167" t="s">
        <v>15163</v>
      </c>
      <c r="E2782" s="168" t="s">
        <v>12564</v>
      </c>
    </row>
    <row r="2783" spans="1:5">
      <c r="A2783" s="167">
        <v>44393</v>
      </c>
      <c r="B2783" s="167">
        <v>0</v>
      </c>
      <c r="C2783" s="167" t="s">
        <v>12431</v>
      </c>
      <c r="D2783" s="167" t="s">
        <v>15164</v>
      </c>
      <c r="E2783" s="168" t="s">
        <v>12553</v>
      </c>
    </row>
    <row r="2784" spans="1:5">
      <c r="A2784" s="321">
        <v>44901</v>
      </c>
      <c r="B2784" s="321">
        <v>0</v>
      </c>
      <c r="C2784" s="321" t="s">
        <v>12805</v>
      </c>
      <c r="D2784" s="321" t="s">
        <v>12787</v>
      </c>
      <c r="E2784" s="322" t="s">
        <v>12804</v>
      </c>
    </row>
    <row r="2785" spans="1:5">
      <c r="A2785" s="321">
        <v>44902</v>
      </c>
      <c r="B2785" s="321">
        <v>0</v>
      </c>
      <c r="C2785" s="321" t="s">
        <v>12952</v>
      </c>
      <c r="D2785" s="321" t="s">
        <v>12788</v>
      </c>
      <c r="E2785" s="322" t="s">
        <v>12807</v>
      </c>
    </row>
    <row r="2786" spans="1:5">
      <c r="A2786" s="321">
        <v>44903</v>
      </c>
      <c r="B2786" s="321">
        <v>0</v>
      </c>
      <c r="C2786" s="321" t="s">
        <v>12953</v>
      </c>
      <c r="D2786" s="321" t="s">
        <v>12789</v>
      </c>
      <c r="E2786" s="322" t="s">
        <v>12808</v>
      </c>
    </row>
    <row r="2787" spans="1:5">
      <c r="A2787" s="321">
        <v>44904</v>
      </c>
      <c r="B2787" s="321">
        <v>0</v>
      </c>
      <c r="C2787" s="321" t="s">
        <v>12954</v>
      </c>
      <c r="D2787" s="321" t="s">
        <v>12790</v>
      </c>
      <c r="E2787" s="322" t="s">
        <v>12809</v>
      </c>
    </row>
    <row r="2788" spans="1:5">
      <c r="A2788" s="321">
        <v>44905</v>
      </c>
      <c r="B2788" s="321">
        <v>0</v>
      </c>
      <c r="C2788" s="321" t="s">
        <v>12955</v>
      </c>
      <c r="D2788" s="321" t="s">
        <v>12791</v>
      </c>
      <c r="E2788" s="322" t="s">
        <v>12810</v>
      </c>
    </row>
    <row r="2789" spans="1:5">
      <c r="A2789" s="321">
        <v>44906</v>
      </c>
      <c r="B2789" s="321">
        <v>0</v>
      </c>
      <c r="C2789" s="321" t="s">
        <v>12956</v>
      </c>
      <c r="D2789" s="321" t="s">
        <v>12792</v>
      </c>
      <c r="E2789" s="322" t="s">
        <v>12811</v>
      </c>
    </row>
    <row r="2790" spans="1:5">
      <c r="A2790" s="323">
        <v>44911</v>
      </c>
      <c r="B2790" s="323">
        <v>1</v>
      </c>
      <c r="C2790" s="323" t="s">
        <v>12806</v>
      </c>
      <c r="D2790" s="323" t="s">
        <v>12793</v>
      </c>
      <c r="E2790" s="324" t="s">
        <v>12799</v>
      </c>
    </row>
    <row r="2791" spans="1:5">
      <c r="A2791" s="323">
        <v>44912</v>
      </c>
      <c r="B2791" s="323">
        <v>1</v>
      </c>
      <c r="C2791" s="323" t="s">
        <v>12806</v>
      </c>
      <c r="D2791" s="323" t="s">
        <v>12794</v>
      </c>
      <c r="E2791" s="324" t="s">
        <v>12800</v>
      </c>
    </row>
    <row r="2792" spans="1:5">
      <c r="A2792" s="323">
        <v>44913</v>
      </c>
      <c r="B2792" s="323">
        <v>1</v>
      </c>
      <c r="C2792" s="323" t="s">
        <v>12806</v>
      </c>
      <c r="D2792" s="323" t="s">
        <v>12795</v>
      </c>
      <c r="E2792" s="324" t="s">
        <v>12801</v>
      </c>
    </row>
    <row r="2793" spans="1:5">
      <c r="A2793" s="323">
        <v>44914</v>
      </c>
      <c r="B2793" s="323">
        <v>1</v>
      </c>
      <c r="C2793" s="323" t="s">
        <v>12806</v>
      </c>
      <c r="D2793" s="323" t="s">
        <v>12796</v>
      </c>
      <c r="E2793" s="324" t="s">
        <v>12802</v>
      </c>
    </row>
    <row r="2794" spans="1:5">
      <c r="A2794" s="323">
        <v>44915</v>
      </c>
      <c r="B2794" s="323">
        <v>1</v>
      </c>
      <c r="C2794" s="323" t="s">
        <v>12806</v>
      </c>
      <c r="D2794" s="323" t="s">
        <v>12797</v>
      </c>
      <c r="E2794" s="324" t="s">
        <v>12803</v>
      </c>
    </row>
    <row r="2795" spans="1:5">
      <c r="A2795" s="323">
        <v>44916</v>
      </c>
      <c r="B2795" s="323">
        <v>1</v>
      </c>
      <c r="C2795" s="323" t="s">
        <v>12806</v>
      </c>
      <c r="D2795" s="323" t="s">
        <v>12798</v>
      </c>
      <c r="E2795" s="324" t="s">
        <v>12803</v>
      </c>
    </row>
    <row r="2796" spans="1:5">
      <c r="A2796" s="22">
        <v>45001</v>
      </c>
      <c r="B2796" s="22">
        <v>1</v>
      </c>
      <c r="C2796" s="22" t="s">
        <v>4018</v>
      </c>
      <c r="D2796" s="22" t="s">
        <v>1618</v>
      </c>
      <c r="E2796" s="24" t="s">
        <v>1619</v>
      </c>
    </row>
    <row r="2797" spans="1:5">
      <c r="A2797" s="22">
        <v>45002</v>
      </c>
      <c r="B2797" s="22">
        <v>1</v>
      </c>
      <c r="C2797" s="22" t="s">
        <v>4019</v>
      </c>
      <c r="D2797" s="22" t="s">
        <v>1618</v>
      </c>
      <c r="E2797" s="24" t="s">
        <v>1620</v>
      </c>
    </row>
    <row r="2798" spans="1:5">
      <c r="A2798" s="22">
        <v>45003</v>
      </c>
      <c r="B2798" s="22">
        <v>1</v>
      </c>
      <c r="C2798" s="22" t="s">
        <v>3891</v>
      </c>
      <c r="D2798" s="22" t="s">
        <v>1618</v>
      </c>
      <c r="E2798" s="24" t="s">
        <v>1276</v>
      </c>
    </row>
    <row r="2799" spans="1:5">
      <c r="A2799" s="22">
        <v>45004</v>
      </c>
      <c r="B2799" s="22">
        <v>1</v>
      </c>
      <c r="C2799" s="22" t="s">
        <v>4020</v>
      </c>
      <c r="D2799" s="22" t="s">
        <v>1618</v>
      </c>
      <c r="E2799" s="24" t="s">
        <v>1621</v>
      </c>
    </row>
    <row r="2800" spans="1:5">
      <c r="A2800" s="22">
        <v>45005</v>
      </c>
      <c r="B2800" s="22">
        <v>1</v>
      </c>
      <c r="C2800" s="22" t="s">
        <v>4021</v>
      </c>
      <c r="D2800" s="22" t="s">
        <v>1618</v>
      </c>
      <c r="E2800" s="24" t="s">
        <v>1622</v>
      </c>
    </row>
    <row r="2801" spans="1:5">
      <c r="A2801" s="22">
        <v>45006</v>
      </c>
      <c r="B2801" s="22">
        <v>1</v>
      </c>
      <c r="C2801" s="22" t="s">
        <v>3891</v>
      </c>
      <c r="D2801" s="22" t="s">
        <v>1618</v>
      </c>
      <c r="E2801" s="24" t="s">
        <v>1276</v>
      </c>
    </row>
    <row r="2802" spans="1:5">
      <c r="A2802" s="22">
        <v>45007</v>
      </c>
      <c r="B2802" s="22">
        <v>1</v>
      </c>
      <c r="C2802" s="22" t="s">
        <v>4021</v>
      </c>
      <c r="D2802" s="22" t="s">
        <v>1618</v>
      </c>
      <c r="E2802" s="24" t="s">
        <v>1622</v>
      </c>
    </row>
    <row r="2803" spans="1:5">
      <c r="A2803" s="22">
        <v>45008</v>
      </c>
      <c r="B2803" s="22">
        <v>1</v>
      </c>
      <c r="C2803" s="22" t="s">
        <v>3709</v>
      </c>
      <c r="D2803" s="22" t="s">
        <v>1618</v>
      </c>
      <c r="E2803" s="24" t="s">
        <v>612</v>
      </c>
    </row>
    <row r="2804" spans="1:5">
      <c r="A2804" s="22">
        <v>45009</v>
      </c>
      <c r="B2804" s="22">
        <v>1</v>
      </c>
      <c r="C2804" s="22" t="s">
        <v>4022</v>
      </c>
      <c r="D2804" s="22" t="s">
        <v>1618</v>
      </c>
      <c r="E2804" s="24" t="s">
        <v>1623</v>
      </c>
    </row>
    <row r="2805" spans="1:5">
      <c r="A2805" s="22">
        <v>45010</v>
      </c>
      <c r="B2805" s="22">
        <v>1</v>
      </c>
      <c r="C2805" s="22" t="s">
        <v>3892</v>
      </c>
      <c r="D2805" s="22" t="s">
        <v>1618</v>
      </c>
      <c r="E2805" s="24" t="s">
        <v>1279</v>
      </c>
    </row>
    <row r="2806" spans="1:5">
      <c r="A2806" s="22">
        <v>45011</v>
      </c>
      <c r="B2806" s="22">
        <v>1</v>
      </c>
      <c r="C2806" s="22" t="s">
        <v>4021</v>
      </c>
      <c r="D2806" s="22" t="s">
        <v>1618</v>
      </c>
      <c r="E2806" s="24" t="s">
        <v>1622</v>
      </c>
    </row>
    <row r="2807" spans="1:5">
      <c r="A2807" s="22">
        <v>45012</v>
      </c>
      <c r="B2807" s="22">
        <v>1</v>
      </c>
      <c r="C2807" s="22" t="s">
        <v>4023</v>
      </c>
      <c r="D2807" s="22" t="s">
        <v>1618</v>
      </c>
      <c r="E2807" s="24" t="s">
        <v>1624</v>
      </c>
    </row>
    <row r="2808" spans="1:5">
      <c r="A2808" s="22">
        <v>45013</v>
      </c>
      <c r="B2808" s="22">
        <v>1</v>
      </c>
      <c r="C2808" s="22" t="s">
        <v>3892</v>
      </c>
      <c r="D2808" s="22" t="s">
        <v>1618</v>
      </c>
      <c r="E2808" s="24" t="s">
        <v>1279</v>
      </c>
    </row>
    <row r="2809" spans="1:5">
      <c r="A2809" s="22">
        <v>45014</v>
      </c>
      <c r="B2809" s="22">
        <v>1</v>
      </c>
      <c r="C2809" s="22" t="s">
        <v>4024</v>
      </c>
      <c r="D2809" s="22" t="s">
        <v>1618</v>
      </c>
      <c r="E2809" s="24" t="s">
        <v>1625</v>
      </c>
    </row>
    <row r="2810" spans="1:5">
      <c r="A2810" s="22">
        <v>45015</v>
      </c>
      <c r="B2810" s="22">
        <v>1</v>
      </c>
      <c r="C2810" s="22" t="s">
        <v>4025</v>
      </c>
      <c r="D2810" s="22" t="s">
        <v>1618</v>
      </c>
      <c r="E2810" s="24" t="s">
        <v>1626</v>
      </c>
    </row>
    <row r="2811" spans="1:5">
      <c r="A2811" s="22">
        <v>45016</v>
      </c>
      <c r="B2811" s="22">
        <v>1</v>
      </c>
      <c r="C2811" s="22" t="s">
        <v>3709</v>
      </c>
      <c r="D2811" s="22" t="s">
        <v>1618</v>
      </c>
      <c r="E2811" s="24" t="s">
        <v>612</v>
      </c>
    </row>
    <row r="2812" spans="1:5">
      <c r="A2812" s="22">
        <v>45017</v>
      </c>
      <c r="B2812" s="22">
        <v>1</v>
      </c>
      <c r="C2812" s="22" t="s">
        <v>3892</v>
      </c>
      <c r="D2812" s="22" t="s">
        <v>1618</v>
      </c>
      <c r="E2812" s="24" t="s">
        <v>1279</v>
      </c>
    </row>
    <row r="2813" spans="1:5">
      <c r="A2813" s="22">
        <v>45018</v>
      </c>
      <c r="B2813" s="22">
        <v>1</v>
      </c>
      <c r="C2813" s="22" t="s">
        <v>3350</v>
      </c>
      <c r="D2813" s="22" t="s">
        <v>1618</v>
      </c>
      <c r="E2813" s="24" t="s">
        <v>616</v>
      </c>
    </row>
    <row r="2814" spans="1:5">
      <c r="A2814" s="22">
        <v>45019</v>
      </c>
      <c r="B2814" s="22">
        <v>1</v>
      </c>
      <c r="C2814" s="22" t="s">
        <v>3893</v>
      </c>
      <c r="D2814" s="22" t="s">
        <v>1618</v>
      </c>
      <c r="E2814" s="24" t="s">
        <v>1282</v>
      </c>
    </row>
    <row r="2815" spans="1:5">
      <c r="A2815" s="22">
        <v>45020</v>
      </c>
      <c r="B2815" s="22">
        <v>1</v>
      </c>
      <c r="C2815" s="22" t="s">
        <v>3713</v>
      </c>
      <c r="D2815" s="22" t="s">
        <v>1618</v>
      </c>
      <c r="E2815" s="24" t="s">
        <v>621</v>
      </c>
    </row>
    <row r="2816" spans="1:5">
      <c r="A2816" s="22">
        <v>45021</v>
      </c>
      <c r="B2816" s="22">
        <v>1</v>
      </c>
      <c r="C2816" s="22" t="s">
        <v>4022</v>
      </c>
      <c r="D2816" s="22" t="s">
        <v>1618</v>
      </c>
      <c r="E2816" s="24" t="s">
        <v>1623</v>
      </c>
    </row>
    <row r="2817" spans="1:5">
      <c r="A2817" s="22">
        <v>45022</v>
      </c>
      <c r="B2817" s="22">
        <v>1</v>
      </c>
      <c r="C2817" s="22" t="s">
        <v>4024</v>
      </c>
      <c r="D2817" s="22" t="s">
        <v>1618</v>
      </c>
      <c r="E2817" s="24" t="s">
        <v>1625</v>
      </c>
    </row>
    <row r="2818" spans="1:5">
      <c r="A2818" s="22">
        <v>45023</v>
      </c>
      <c r="B2818" s="22">
        <v>1</v>
      </c>
      <c r="C2818" s="22" t="s">
        <v>3893</v>
      </c>
      <c r="D2818" s="22" t="s">
        <v>1618</v>
      </c>
      <c r="E2818" s="24" t="s">
        <v>1282</v>
      </c>
    </row>
    <row r="2819" spans="1:5">
      <c r="A2819" s="22">
        <v>45024</v>
      </c>
      <c r="B2819" s="22">
        <v>1</v>
      </c>
      <c r="C2819" s="22" t="s">
        <v>4026</v>
      </c>
      <c r="D2819" s="22" t="s">
        <v>1618</v>
      </c>
      <c r="E2819" s="24" t="s">
        <v>1627</v>
      </c>
    </row>
    <row r="2820" spans="1:5">
      <c r="A2820" s="22">
        <v>45025</v>
      </c>
      <c r="B2820" s="22">
        <v>1</v>
      </c>
      <c r="C2820" s="22" t="s">
        <v>4027</v>
      </c>
      <c r="D2820" s="22" t="s">
        <v>1618</v>
      </c>
      <c r="E2820" s="24" t="s">
        <v>1628</v>
      </c>
    </row>
    <row r="2821" spans="1:5">
      <c r="A2821" s="22">
        <v>45026</v>
      </c>
      <c r="B2821" s="22">
        <v>1</v>
      </c>
      <c r="C2821" s="22" t="s">
        <v>3892</v>
      </c>
      <c r="D2821" s="22" t="s">
        <v>1618</v>
      </c>
      <c r="E2821" s="24" t="s">
        <v>1279</v>
      </c>
    </row>
    <row r="2822" spans="1:5">
      <c r="A2822" s="22">
        <v>45027</v>
      </c>
      <c r="B2822" s="22">
        <v>1</v>
      </c>
      <c r="C2822" s="22" t="s">
        <v>4025</v>
      </c>
      <c r="D2822" s="22" t="s">
        <v>1618</v>
      </c>
      <c r="E2822" s="24" t="s">
        <v>1626</v>
      </c>
    </row>
    <row r="2823" spans="1:5">
      <c r="A2823" s="22">
        <v>45028</v>
      </c>
      <c r="B2823" s="22">
        <v>1</v>
      </c>
      <c r="C2823" s="22" t="s">
        <v>3713</v>
      </c>
      <c r="D2823" s="22" t="s">
        <v>1618</v>
      </c>
      <c r="E2823" s="24" t="s">
        <v>621</v>
      </c>
    </row>
    <row r="2824" spans="1:5">
      <c r="A2824" s="22">
        <v>45029</v>
      </c>
      <c r="B2824" s="22">
        <v>1</v>
      </c>
      <c r="C2824" s="22" t="s">
        <v>4027</v>
      </c>
      <c r="D2824" s="22" t="s">
        <v>1618</v>
      </c>
      <c r="E2824" s="24" t="s">
        <v>1628</v>
      </c>
    </row>
    <row r="2825" spans="1:5">
      <c r="A2825" s="22">
        <v>45030</v>
      </c>
      <c r="B2825" s="22">
        <v>1</v>
      </c>
      <c r="C2825" s="22" t="s">
        <v>3895</v>
      </c>
      <c r="D2825" s="22" t="s">
        <v>1618</v>
      </c>
      <c r="E2825" s="24" t="s">
        <v>1288</v>
      </c>
    </row>
    <row r="2826" spans="1:5">
      <c r="A2826" s="22">
        <v>45031</v>
      </c>
      <c r="B2826" s="22">
        <v>1</v>
      </c>
      <c r="C2826" s="22" t="s">
        <v>4028</v>
      </c>
      <c r="D2826" s="22" t="s">
        <v>1618</v>
      </c>
      <c r="E2826" s="24" t="s">
        <v>1629</v>
      </c>
    </row>
    <row r="2827" spans="1:5">
      <c r="A2827" s="22">
        <v>45032</v>
      </c>
      <c r="B2827" s="22">
        <v>1</v>
      </c>
      <c r="C2827" s="22" t="s">
        <v>4029</v>
      </c>
      <c r="D2827" s="22" t="s">
        <v>1618</v>
      </c>
      <c r="E2827" s="24" t="s">
        <v>1630</v>
      </c>
    </row>
    <row r="2828" spans="1:5">
      <c r="A2828" s="22">
        <v>45033</v>
      </c>
      <c r="B2828" s="22">
        <v>1</v>
      </c>
      <c r="C2828" s="22" t="s">
        <v>3894</v>
      </c>
      <c r="D2828" s="22" t="s">
        <v>1618</v>
      </c>
      <c r="E2828" s="24" t="s">
        <v>1285</v>
      </c>
    </row>
    <row r="2829" spans="1:5">
      <c r="A2829" s="22">
        <v>45034</v>
      </c>
      <c r="B2829" s="22">
        <v>1</v>
      </c>
      <c r="C2829" s="22" t="s">
        <v>4030</v>
      </c>
      <c r="D2829" s="22" t="s">
        <v>1618</v>
      </c>
      <c r="E2829" s="24" t="s">
        <v>1631</v>
      </c>
    </row>
    <row r="2830" spans="1:5">
      <c r="A2830" s="22">
        <v>45035</v>
      </c>
      <c r="B2830" s="22">
        <v>1</v>
      </c>
      <c r="C2830" s="22" t="s">
        <v>4031</v>
      </c>
      <c r="D2830" s="22" t="s">
        <v>1618</v>
      </c>
      <c r="E2830" s="24" t="s">
        <v>1632</v>
      </c>
    </row>
    <row r="2831" spans="1:5">
      <c r="A2831" s="22">
        <v>45036</v>
      </c>
      <c r="B2831" s="22">
        <v>1</v>
      </c>
      <c r="C2831" s="22" t="s">
        <v>3350</v>
      </c>
      <c r="D2831" s="22" t="s">
        <v>1618</v>
      </c>
      <c r="E2831" s="24" t="s">
        <v>616</v>
      </c>
    </row>
    <row r="2832" spans="1:5">
      <c r="A2832" s="22">
        <v>45037</v>
      </c>
      <c r="B2832" s="22">
        <v>1</v>
      </c>
      <c r="C2832" s="22" t="s">
        <v>3713</v>
      </c>
      <c r="D2832" s="22" t="s">
        <v>1618</v>
      </c>
      <c r="E2832" s="24" t="s">
        <v>621</v>
      </c>
    </row>
    <row r="2833" spans="1:5">
      <c r="A2833" s="22">
        <v>45038</v>
      </c>
      <c r="B2833" s="22">
        <v>1</v>
      </c>
      <c r="C2833" s="22" t="s">
        <v>3352</v>
      </c>
      <c r="D2833" s="22" t="s">
        <v>1618</v>
      </c>
      <c r="E2833" s="24" t="s">
        <v>713</v>
      </c>
    </row>
    <row r="2834" spans="1:5">
      <c r="A2834" s="22">
        <v>45039</v>
      </c>
      <c r="B2834" s="22">
        <v>1</v>
      </c>
      <c r="C2834" s="22" t="s">
        <v>3699</v>
      </c>
      <c r="D2834" s="22" t="s">
        <v>1618</v>
      </c>
      <c r="E2834" s="24" t="s">
        <v>628</v>
      </c>
    </row>
    <row r="2835" spans="1:5">
      <c r="A2835" s="22">
        <v>45040</v>
      </c>
      <c r="B2835" s="22">
        <v>1</v>
      </c>
      <c r="C2835" s="22" t="s">
        <v>3353</v>
      </c>
      <c r="D2835" s="22" t="s">
        <v>1618</v>
      </c>
      <c r="E2835" s="24" t="s">
        <v>1293</v>
      </c>
    </row>
    <row r="2836" spans="1:5">
      <c r="A2836" s="22">
        <v>45041</v>
      </c>
      <c r="B2836" s="22">
        <v>1</v>
      </c>
      <c r="C2836" s="22" t="s">
        <v>4025</v>
      </c>
      <c r="D2836" s="22" t="s">
        <v>1618</v>
      </c>
      <c r="E2836" s="24" t="s">
        <v>1626</v>
      </c>
    </row>
    <row r="2837" spans="1:5">
      <c r="A2837" s="22">
        <v>45042</v>
      </c>
      <c r="B2837" s="22">
        <v>1</v>
      </c>
      <c r="C2837" s="22" t="s">
        <v>4032</v>
      </c>
      <c r="D2837" s="22" t="s">
        <v>1618</v>
      </c>
      <c r="E2837" s="24" t="s">
        <v>1633</v>
      </c>
    </row>
    <row r="2838" spans="1:5">
      <c r="A2838" s="22">
        <v>45043</v>
      </c>
      <c r="B2838" s="22">
        <v>1</v>
      </c>
      <c r="C2838" s="22" t="s">
        <v>3895</v>
      </c>
      <c r="D2838" s="22" t="s">
        <v>1618</v>
      </c>
      <c r="E2838" s="24" t="s">
        <v>1288</v>
      </c>
    </row>
    <row r="2839" spans="1:5">
      <c r="A2839" s="22">
        <v>45044</v>
      </c>
      <c r="B2839" s="22">
        <v>1</v>
      </c>
      <c r="C2839" s="22" t="s">
        <v>4033</v>
      </c>
      <c r="D2839" s="22" t="s">
        <v>1618</v>
      </c>
      <c r="E2839" s="24" t="s">
        <v>1634</v>
      </c>
    </row>
    <row r="2840" spans="1:5">
      <c r="A2840" s="22">
        <v>45045</v>
      </c>
      <c r="B2840" s="22">
        <v>1</v>
      </c>
      <c r="C2840" s="22" t="s">
        <v>4034</v>
      </c>
      <c r="D2840" s="22" t="s">
        <v>1618</v>
      </c>
      <c r="E2840" s="24" t="s">
        <v>1635</v>
      </c>
    </row>
    <row r="2841" spans="1:5">
      <c r="A2841" s="22">
        <v>45046</v>
      </c>
      <c r="B2841" s="22">
        <v>1</v>
      </c>
      <c r="C2841" s="22" t="s">
        <v>3893</v>
      </c>
      <c r="D2841" s="22" t="s">
        <v>1618</v>
      </c>
      <c r="E2841" s="24" t="s">
        <v>1282</v>
      </c>
    </row>
    <row r="2842" spans="1:5">
      <c r="A2842" s="22">
        <v>45047</v>
      </c>
      <c r="B2842" s="22">
        <v>1</v>
      </c>
      <c r="C2842" s="22" t="s">
        <v>4027</v>
      </c>
      <c r="D2842" s="22" t="s">
        <v>1618</v>
      </c>
      <c r="E2842" s="24" t="s">
        <v>1628</v>
      </c>
    </row>
    <row r="2843" spans="1:5">
      <c r="A2843" s="22">
        <v>45048</v>
      </c>
      <c r="B2843" s="22">
        <v>1</v>
      </c>
      <c r="C2843" s="22" t="s">
        <v>3699</v>
      </c>
      <c r="D2843" s="22" t="s">
        <v>1618</v>
      </c>
      <c r="E2843" s="24" t="s">
        <v>628</v>
      </c>
    </row>
    <row r="2844" spans="1:5">
      <c r="A2844" s="22">
        <v>45049</v>
      </c>
      <c r="B2844" s="22">
        <v>1</v>
      </c>
      <c r="C2844" s="22" t="s">
        <v>4035</v>
      </c>
      <c r="D2844" s="22" t="s">
        <v>1618</v>
      </c>
      <c r="E2844" s="24" t="s">
        <v>1636</v>
      </c>
    </row>
    <row r="2845" spans="1:5">
      <c r="A2845" s="22">
        <v>45050</v>
      </c>
      <c r="B2845" s="22">
        <v>1</v>
      </c>
      <c r="C2845" s="22" t="s">
        <v>3898</v>
      </c>
      <c r="D2845" s="22" t="s">
        <v>1618</v>
      </c>
      <c r="E2845" s="24" t="s">
        <v>1298</v>
      </c>
    </row>
    <row r="2846" spans="1:5">
      <c r="A2846" s="22">
        <v>45051</v>
      </c>
      <c r="B2846" s="22">
        <v>1</v>
      </c>
      <c r="C2846" s="22" t="s">
        <v>4036</v>
      </c>
      <c r="D2846" s="22" t="s">
        <v>1618</v>
      </c>
      <c r="E2846" s="24" t="s">
        <v>1637</v>
      </c>
    </row>
    <row r="2847" spans="1:5">
      <c r="A2847" s="22">
        <v>45052</v>
      </c>
      <c r="B2847" s="22">
        <v>1</v>
      </c>
      <c r="C2847" s="22" t="s">
        <v>4037</v>
      </c>
      <c r="D2847" s="22" t="s">
        <v>1618</v>
      </c>
      <c r="E2847" s="24" t="s">
        <v>1638</v>
      </c>
    </row>
    <row r="2848" spans="1:5">
      <c r="A2848" s="22">
        <v>45053</v>
      </c>
      <c r="B2848" s="22">
        <v>1</v>
      </c>
      <c r="C2848" s="22" t="s">
        <v>3896</v>
      </c>
      <c r="D2848" s="22" t="s">
        <v>1618</v>
      </c>
      <c r="E2848" s="24" t="s">
        <v>1291</v>
      </c>
    </row>
    <row r="2849" spans="1:5">
      <c r="A2849" s="22">
        <v>45054</v>
      </c>
      <c r="B2849" s="22">
        <v>1</v>
      </c>
      <c r="C2849" s="22" t="s">
        <v>4038</v>
      </c>
      <c r="D2849" s="22" t="s">
        <v>1618</v>
      </c>
      <c r="E2849" s="24" t="s">
        <v>1639</v>
      </c>
    </row>
    <row r="2850" spans="1:5">
      <c r="A2850" s="22">
        <v>45055</v>
      </c>
      <c r="B2850" s="22">
        <v>1</v>
      </c>
      <c r="C2850" s="22" t="s">
        <v>4039</v>
      </c>
      <c r="D2850" s="22" t="s">
        <v>1618</v>
      </c>
      <c r="E2850" s="24" t="s">
        <v>1640</v>
      </c>
    </row>
    <row r="2851" spans="1:5">
      <c r="A2851" s="22">
        <v>45056</v>
      </c>
      <c r="B2851" s="22">
        <v>1</v>
      </c>
      <c r="C2851" s="22" t="s">
        <v>3713</v>
      </c>
      <c r="D2851" s="22" t="s">
        <v>1618</v>
      </c>
      <c r="E2851" s="24" t="s">
        <v>621</v>
      </c>
    </row>
    <row r="2852" spans="1:5">
      <c r="A2852" s="22">
        <v>45057</v>
      </c>
      <c r="B2852" s="22">
        <v>1</v>
      </c>
      <c r="C2852" s="22" t="s">
        <v>3895</v>
      </c>
      <c r="D2852" s="22" t="s">
        <v>1618</v>
      </c>
      <c r="E2852" s="24" t="s">
        <v>1288</v>
      </c>
    </row>
    <row r="2853" spans="1:5">
      <c r="A2853" s="22">
        <v>45058</v>
      </c>
      <c r="B2853" s="22">
        <v>1</v>
      </c>
      <c r="C2853" s="22" t="s">
        <v>3353</v>
      </c>
      <c r="D2853" s="22" t="s">
        <v>1618</v>
      </c>
      <c r="E2853" s="24" t="s">
        <v>1293</v>
      </c>
    </row>
    <row r="2854" spans="1:5">
      <c r="A2854" s="22">
        <v>45059</v>
      </c>
      <c r="B2854" s="22">
        <v>1</v>
      </c>
      <c r="C2854" s="22" t="s">
        <v>3898</v>
      </c>
      <c r="D2854" s="22" t="s">
        <v>1618</v>
      </c>
      <c r="E2854" s="24" t="s">
        <v>1298</v>
      </c>
    </row>
    <row r="2855" spans="1:5">
      <c r="A2855" s="22">
        <v>45060</v>
      </c>
      <c r="B2855" s="22">
        <v>1</v>
      </c>
      <c r="C2855" s="22" t="s">
        <v>3726</v>
      </c>
      <c r="D2855" s="22" t="s">
        <v>1618</v>
      </c>
      <c r="E2855" s="24" t="s">
        <v>645</v>
      </c>
    </row>
    <row r="2856" spans="1:5">
      <c r="A2856" s="22">
        <v>45061</v>
      </c>
      <c r="B2856" s="22">
        <v>1</v>
      </c>
      <c r="C2856" s="22" t="s">
        <v>3406</v>
      </c>
      <c r="D2856" s="22" t="s">
        <v>1618</v>
      </c>
      <c r="E2856" s="24" t="s">
        <v>1641</v>
      </c>
    </row>
    <row r="2857" spans="1:5">
      <c r="A2857" s="22">
        <v>45062</v>
      </c>
      <c r="B2857" s="22">
        <v>1</v>
      </c>
      <c r="C2857" s="22" t="s">
        <v>4040</v>
      </c>
      <c r="D2857" s="22" t="s">
        <v>1618</v>
      </c>
      <c r="E2857" s="24" t="s">
        <v>1642</v>
      </c>
    </row>
    <row r="2858" spans="1:5">
      <c r="A2858" s="22">
        <v>45063</v>
      </c>
      <c r="B2858" s="22">
        <v>1</v>
      </c>
      <c r="C2858" s="22" t="s">
        <v>3897</v>
      </c>
      <c r="D2858" s="22" t="s">
        <v>1618</v>
      </c>
      <c r="E2858" s="24" t="s">
        <v>1295</v>
      </c>
    </row>
    <row r="2859" spans="1:5">
      <c r="A2859" s="22">
        <v>45064</v>
      </c>
      <c r="B2859" s="22">
        <v>1</v>
      </c>
      <c r="C2859" s="22" t="s">
        <v>4041</v>
      </c>
      <c r="D2859" s="22" t="s">
        <v>1618</v>
      </c>
      <c r="E2859" s="24" t="s">
        <v>1643</v>
      </c>
    </row>
    <row r="2860" spans="1:5">
      <c r="A2860" s="22">
        <v>45065</v>
      </c>
      <c r="B2860" s="22">
        <v>1</v>
      </c>
      <c r="C2860" s="22" t="s">
        <v>4042</v>
      </c>
      <c r="D2860" s="22" t="s">
        <v>1618</v>
      </c>
      <c r="E2860" s="24" t="s">
        <v>1644</v>
      </c>
    </row>
    <row r="2861" spans="1:5">
      <c r="A2861" s="22">
        <v>45066</v>
      </c>
      <c r="B2861" s="22">
        <v>1</v>
      </c>
      <c r="C2861" s="22" t="s">
        <v>3894</v>
      </c>
      <c r="D2861" s="22" t="s">
        <v>1618</v>
      </c>
      <c r="E2861" s="24" t="s">
        <v>1285</v>
      </c>
    </row>
    <row r="2862" spans="1:5">
      <c r="A2862" s="22">
        <v>45067</v>
      </c>
      <c r="B2862" s="22">
        <v>1</v>
      </c>
      <c r="C2862" s="22" t="s">
        <v>4031</v>
      </c>
      <c r="D2862" s="22" t="s">
        <v>1618</v>
      </c>
      <c r="E2862" s="24" t="s">
        <v>1632</v>
      </c>
    </row>
    <row r="2863" spans="1:5">
      <c r="A2863" s="22">
        <v>45068</v>
      </c>
      <c r="B2863" s="22">
        <v>1</v>
      </c>
      <c r="C2863" s="22" t="s">
        <v>3724</v>
      </c>
      <c r="D2863" s="22" t="s">
        <v>1618</v>
      </c>
      <c r="E2863" s="24" t="s">
        <v>642</v>
      </c>
    </row>
    <row r="2864" spans="1:5">
      <c r="A2864" s="22">
        <v>45069</v>
      </c>
      <c r="B2864" s="22">
        <v>1</v>
      </c>
      <c r="C2864" s="22" t="s">
        <v>4043</v>
      </c>
      <c r="D2864" s="22" t="s">
        <v>1618</v>
      </c>
      <c r="E2864" s="24" t="s">
        <v>1645</v>
      </c>
    </row>
    <row r="2865" spans="1:5">
      <c r="A2865" s="22">
        <v>45070</v>
      </c>
      <c r="B2865" s="22">
        <v>1</v>
      </c>
      <c r="C2865" s="22" t="s">
        <v>3901</v>
      </c>
      <c r="D2865" s="22" t="s">
        <v>1618</v>
      </c>
      <c r="E2865" s="24" t="s">
        <v>1307</v>
      </c>
    </row>
    <row r="2866" spans="1:5">
      <c r="A2866" s="22">
        <v>45071</v>
      </c>
      <c r="B2866" s="22">
        <v>1</v>
      </c>
      <c r="C2866" s="22" t="s">
        <v>4027</v>
      </c>
      <c r="D2866" s="22" t="s">
        <v>1618</v>
      </c>
      <c r="E2866" s="24" t="s">
        <v>1628</v>
      </c>
    </row>
    <row r="2867" spans="1:5">
      <c r="A2867" s="22">
        <v>45072</v>
      </c>
      <c r="B2867" s="22">
        <v>1</v>
      </c>
      <c r="C2867" s="22" t="s">
        <v>4033</v>
      </c>
      <c r="D2867" s="22" t="s">
        <v>1618</v>
      </c>
      <c r="E2867" s="24" t="s">
        <v>1634</v>
      </c>
    </row>
    <row r="2868" spans="1:5">
      <c r="A2868" s="22">
        <v>45073</v>
      </c>
      <c r="B2868" s="22">
        <v>1</v>
      </c>
      <c r="C2868" s="22" t="s">
        <v>3898</v>
      </c>
      <c r="D2868" s="22" t="s">
        <v>1618</v>
      </c>
      <c r="E2868" s="24" t="s">
        <v>1298</v>
      </c>
    </row>
    <row r="2869" spans="1:5">
      <c r="A2869" s="22">
        <v>45074</v>
      </c>
      <c r="B2869" s="22">
        <v>1</v>
      </c>
      <c r="C2869" s="22" t="s">
        <v>4044</v>
      </c>
      <c r="D2869" s="22" t="s">
        <v>1618</v>
      </c>
      <c r="E2869" s="24" t="s">
        <v>1646</v>
      </c>
    </row>
    <row r="2870" spans="1:5">
      <c r="A2870" s="22">
        <v>45075</v>
      </c>
      <c r="B2870" s="22">
        <v>1</v>
      </c>
      <c r="C2870" s="22" t="s">
        <v>4045</v>
      </c>
      <c r="D2870" s="22" t="s">
        <v>1618</v>
      </c>
      <c r="E2870" s="24" t="s">
        <v>1647</v>
      </c>
    </row>
    <row r="2871" spans="1:5">
      <c r="A2871" s="22">
        <v>45076</v>
      </c>
      <c r="B2871" s="22">
        <v>1</v>
      </c>
      <c r="C2871" s="22" t="s">
        <v>3352</v>
      </c>
      <c r="D2871" s="22" t="s">
        <v>1618</v>
      </c>
      <c r="E2871" s="24" t="s">
        <v>713</v>
      </c>
    </row>
    <row r="2872" spans="1:5">
      <c r="A2872" s="22">
        <v>45077</v>
      </c>
      <c r="B2872" s="22">
        <v>1</v>
      </c>
      <c r="C2872" s="22" t="s">
        <v>3353</v>
      </c>
      <c r="D2872" s="22" t="s">
        <v>1618</v>
      </c>
      <c r="E2872" s="24" t="s">
        <v>1293</v>
      </c>
    </row>
    <row r="2873" spans="1:5">
      <c r="A2873" s="22">
        <v>45078</v>
      </c>
      <c r="B2873" s="22">
        <v>1</v>
      </c>
      <c r="C2873" s="22" t="s">
        <v>3354</v>
      </c>
      <c r="D2873" s="22" t="s">
        <v>1618</v>
      </c>
      <c r="E2873" s="24" t="s">
        <v>782</v>
      </c>
    </row>
    <row r="2874" spans="1:5">
      <c r="A2874" s="22">
        <v>45079</v>
      </c>
      <c r="B2874" s="22">
        <v>1</v>
      </c>
      <c r="C2874" s="22" t="s">
        <v>3355</v>
      </c>
      <c r="D2874" s="22" t="s">
        <v>1618</v>
      </c>
      <c r="E2874" s="24" t="s">
        <v>599</v>
      </c>
    </row>
    <row r="2875" spans="1:5">
      <c r="A2875" s="22">
        <v>45080</v>
      </c>
      <c r="B2875" s="22">
        <v>1</v>
      </c>
      <c r="C2875" s="22" t="s">
        <v>3356</v>
      </c>
      <c r="D2875" s="22" t="s">
        <v>1618</v>
      </c>
      <c r="E2875" s="24" t="s">
        <v>649</v>
      </c>
    </row>
    <row r="2876" spans="1:5">
      <c r="A2876" s="22">
        <v>45081</v>
      </c>
      <c r="B2876" s="22">
        <v>1</v>
      </c>
      <c r="C2876" s="22" t="s">
        <v>4046</v>
      </c>
      <c r="D2876" s="22" t="s">
        <v>1618</v>
      </c>
      <c r="E2876" s="24" t="s">
        <v>1648</v>
      </c>
    </row>
    <row r="2877" spans="1:5">
      <c r="A2877" s="22">
        <v>45082</v>
      </c>
      <c r="B2877" s="22">
        <v>1</v>
      </c>
      <c r="C2877" s="22" t="s">
        <v>4047</v>
      </c>
      <c r="D2877" s="22" t="s">
        <v>1618</v>
      </c>
      <c r="E2877" s="24" t="s">
        <v>1649</v>
      </c>
    </row>
    <row r="2878" spans="1:5">
      <c r="A2878" s="22">
        <v>45083</v>
      </c>
      <c r="B2878" s="22">
        <v>1</v>
      </c>
      <c r="C2878" s="22" t="s">
        <v>3899</v>
      </c>
      <c r="D2878" s="22" t="s">
        <v>1618</v>
      </c>
      <c r="E2878" s="24" t="s">
        <v>1301</v>
      </c>
    </row>
    <row r="2879" spans="1:5">
      <c r="A2879" s="22">
        <v>45084</v>
      </c>
      <c r="B2879" s="22">
        <v>1</v>
      </c>
      <c r="C2879" s="22" t="s">
        <v>4048</v>
      </c>
      <c r="D2879" s="22" t="s">
        <v>1618</v>
      </c>
      <c r="E2879" s="24" t="s">
        <v>1650</v>
      </c>
    </row>
    <row r="2880" spans="1:5">
      <c r="A2880" s="22">
        <v>45085</v>
      </c>
      <c r="B2880" s="22">
        <v>1</v>
      </c>
      <c r="C2880" s="22" t="s">
        <v>4049</v>
      </c>
      <c r="D2880" s="22" t="s">
        <v>1618</v>
      </c>
      <c r="E2880" s="24" t="s">
        <v>1651</v>
      </c>
    </row>
    <row r="2881" spans="1:5">
      <c r="A2881" s="22">
        <v>45086</v>
      </c>
      <c r="B2881" s="22">
        <v>1</v>
      </c>
      <c r="C2881" s="22" t="s">
        <v>3895</v>
      </c>
      <c r="D2881" s="22" t="s">
        <v>1618</v>
      </c>
      <c r="E2881" s="24" t="s">
        <v>1288</v>
      </c>
    </row>
    <row r="2882" spans="1:5">
      <c r="A2882" s="22">
        <v>45087</v>
      </c>
      <c r="B2882" s="22">
        <v>1</v>
      </c>
      <c r="C2882" s="22" t="s">
        <v>4034</v>
      </c>
      <c r="D2882" s="22" t="s">
        <v>1618</v>
      </c>
      <c r="E2882" s="24" t="s">
        <v>1635</v>
      </c>
    </row>
    <row r="2883" spans="1:5">
      <c r="A2883" s="22">
        <v>45088</v>
      </c>
      <c r="B2883" s="22">
        <v>1</v>
      </c>
      <c r="C2883" s="22" t="s">
        <v>3726</v>
      </c>
      <c r="D2883" s="22" t="s">
        <v>1618</v>
      </c>
      <c r="E2883" s="24" t="s">
        <v>645</v>
      </c>
    </row>
    <row r="2884" spans="1:5">
      <c r="A2884" s="22">
        <v>45089</v>
      </c>
      <c r="B2884" s="22">
        <v>1</v>
      </c>
      <c r="C2884" s="22" t="s">
        <v>4045</v>
      </c>
      <c r="D2884" s="22" t="s">
        <v>1618</v>
      </c>
      <c r="E2884" s="24" t="s">
        <v>1647</v>
      </c>
    </row>
    <row r="2885" spans="1:5">
      <c r="A2885" s="22">
        <v>45090</v>
      </c>
      <c r="B2885" s="22">
        <v>1</v>
      </c>
      <c r="C2885" s="22" t="s">
        <v>3906</v>
      </c>
      <c r="D2885" s="22" t="s">
        <v>1618</v>
      </c>
      <c r="E2885" s="24" t="s">
        <v>1318</v>
      </c>
    </row>
    <row r="2886" spans="1:5">
      <c r="A2886" s="22">
        <v>45091</v>
      </c>
      <c r="B2886" s="22">
        <v>1</v>
      </c>
      <c r="C2886" s="22" t="s">
        <v>4050</v>
      </c>
      <c r="D2886" s="22" t="s">
        <v>1618</v>
      </c>
      <c r="E2886" s="24" t="s">
        <v>1652</v>
      </c>
    </row>
    <row r="2887" spans="1:5">
      <c r="A2887" s="22">
        <v>45092</v>
      </c>
      <c r="B2887" s="22">
        <v>1</v>
      </c>
      <c r="C2887" s="22" t="s">
        <v>4051</v>
      </c>
      <c r="D2887" s="22" t="s">
        <v>1618</v>
      </c>
      <c r="E2887" s="24" t="s">
        <v>1653</v>
      </c>
    </row>
    <row r="2888" spans="1:5">
      <c r="A2888" s="22">
        <v>45093</v>
      </c>
      <c r="B2888" s="22">
        <v>1</v>
      </c>
      <c r="C2888" s="22" t="s">
        <v>3900</v>
      </c>
      <c r="D2888" s="22" t="s">
        <v>1618</v>
      </c>
      <c r="E2888" s="24" t="s">
        <v>1304</v>
      </c>
    </row>
    <row r="2889" spans="1:5">
      <c r="A2889" s="22">
        <v>45094</v>
      </c>
      <c r="B2889" s="22">
        <v>1</v>
      </c>
      <c r="C2889" s="22" t="s">
        <v>4052</v>
      </c>
      <c r="D2889" s="22" t="s">
        <v>1618</v>
      </c>
      <c r="E2889" s="24" t="s">
        <v>1654</v>
      </c>
    </row>
    <row r="2890" spans="1:5">
      <c r="A2890" s="22">
        <v>45095</v>
      </c>
      <c r="B2890" s="22">
        <v>1</v>
      </c>
      <c r="C2890" s="22" t="s">
        <v>4053</v>
      </c>
      <c r="D2890" s="22" t="s">
        <v>1618</v>
      </c>
      <c r="E2890" s="24" t="s">
        <v>1655</v>
      </c>
    </row>
    <row r="2891" spans="1:5">
      <c r="A2891" s="22">
        <v>45096</v>
      </c>
      <c r="B2891" s="22">
        <v>1</v>
      </c>
      <c r="C2891" s="22" t="s">
        <v>3699</v>
      </c>
      <c r="D2891" s="22" t="s">
        <v>1618</v>
      </c>
      <c r="E2891" s="24" t="s">
        <v>628</v>
      </c>
    </row>
    <row r="2892" spans="1:5">
      <c r="A2892" s="22">
        <v>45097</v>
      </c>
      <c r="B2892" s="22">
        <v>1</v>
      </c>
      <c r="C2892" s="22" t="s">
        <v>3898</v>
      </c>
      <c r="D2892" s="22" t="s">
        <v>1618</v>
      </c>
      <c r="E2892" s="24" t="s">
        <v>1298</v>
      </c>
    </row>
    <row r="2893" spans="1:5">
      <c r="A2893" s="22">
        <v>45098</v>
      </c>
      <c r="B2893" s="22">
        <v>1</v>
      </c>
      <c r="C2893" s="22" t="s">
        <v>3355</v>
      </c>
      <c r="D2893" s="22" t="s">
        <v>1618</v>
      </c>
      <c r="E2893" s="24" t="s">
        <v>599</v>
      </c>
    </row>
    <row r="2894" spans="1:5">
      <c r="A2894" s="22">
        <v>45099</v>
      </c>
      <c r="B2894" s="22">
        <v>1</v>
      </c>
      <c r="C2894" s="22" t="s">
        <v>3904</v>
      </c>
      <c r="D2894" s="22" t="s">
        <v>1618</v>
      </c>
      <c r="E2894" s="24" t="s">
        <v>1314</v>
      </c>
    </row>
    <row r="2895" spans="1:5">
      <c r="A2895" s="22">
        <v>45100</v>
      </c>
      <c r="B2895" s="22">
        <v>1</v>
      </c>
      <c r="C2895" s="22" t="s">
        <v>3729</v>
      </c>
      <c r="D2895" s="22" t="s">
        <v>1618</v>
      </c>
      <c r="E2895" s="24" t="s">
        <v>653</v>
      </c>
    </row>
    <row r="2896" spans="1:5">
      <c r="A2896" s="22">
        <v>45101</v>
      </c>
      <c r="B2896" s="22">
        <v>1</v>
      </c>
      <c r="C2896" s="22" t="s">
        <v>4031</v>
      </c>
      <c r="D2896" s="22" t="s">
        <v>1618</v>
      </c>
      <c r="E2896" s="24" t="s">
        <v>1632</v>
      </c>
    </row>
    <row r="2897" spans="1:5">
      <c r="A2897" s="22">
        <v>45102</v>
      </c>
      <c r="B2897" s="22">
        <v>1</v>
      </c>
      <c r="C2897" s="22" t="s">
        <v>4054</v>
      </c>
      <c r="D2897" s="22" t="s">
        <v>1618</v>
      </c>
      <c r="E2897" s="24" t="s">
        <v>1656</v>
      </c>
    </row>
    <row r="2898" spans="1:5">
      <c r="A2898" s="22">
        <v>45103</v>
      </c>
      <c r="B2898" s="22">
        <v>1</v>
      </c>
      <c r="C2898" s="22" t="s">
        <v>3901</v>
      </c>
      <c r="D2898" s="22" t="s">
        <v>1618</v>
      </c>
      <c r="E2898" s="24" t="s">
        <v>1307</v>
      </c>
    </row>
    <row r="2899" spans="1:5">
      <c r="A2899" s="22">
        <v>45104</v>
      </c>
      <c r="B2899" s="22">
        <v>1</v>
      </c>
      <c r="C2899" s="22" t="s">
        <v>4055</v>
      </c>
      <c r="D2899" s="22" t="s">
        <v>1618</v>
      </c>
      <c r="E2899" s="24" t="s">
        <v>1657</v>
      </c>
    </row>
    <row r="2900" spans="1:5">
      <c r="A2900" s="22">
        <v>45105</v>
      </c>
      <c r="B2900" s="22">
        <v>1</v>
      </c>
      <c r="C2900" s="22" t="s">
        <v>4056</v>
      </c>
      <c r="D2900" s="22" t="s">
        <v>1618</v>
      </c>
      <c r="E2900" s="24" t="s">
        <v>1658</v>
      </c>
    </row>
    <row r="2901" spans="1:5">
      <c r="A2901" s="22">
        <v>45106</v>
      </c>
      <c r="B2901" s="22">
        <v>1</v>
      </c>
      <c r="C2901" s="22" t="s">
        <v>3896</v>
      </c>
      <c r="D2901" s="22" t="s">
        <v>1618</v>
      </c>
      <c r="E2901" s="24" t="s">
        <v>1291</v>
      </c>
    </row>
    <row r="2902" spans="1:5">
      <c r="A2902" s="22">
        <v>45107</v>
      </c>
      <c r="B2902" s="22">
        <v>1</v>
      </c>
      <c r="C2902" s="22" t="s">
        <v>4039</v>
      </c>
      <c r="D2902" s="22" t="s">
        <v>1618</v>
      </c>
      <c r="E2902" s="24" t="s">
        <v>1640</v>
      </c>
    </row>
    <row r="2903" spans="1:5">
      <c r="A2903" s="22">
        <v>45108</v>
      </c>
      <c r="B2903" s="22">
        <v>1</v>
      </c>
      <c r="C2903" s="22" t="s">
        <v>3902</v>
      </c>
      <c r="D2903" s="22" t="s">
        <v>1618</v>
      </c>
      <c r="E2903" s="24" t="s">
        <v>1309</v>
      </c>
    </row>
    <row r="2904" spans="1:5">
      <c r="A2904" s="22">
        <v>45109</v>
      </c>
      <c r="B2904" s="22">
        <v>1</v>
      </c>
      <c r="C2904" s="22" t="s">
        <v>4057</v>
      </c>
      <c r="D2904" s="22" t="s">
        <v>1618</v>
      </c>
      <c r="E2904" s="24" t="s">
        <v>1659</v>
      </c>
    </row>
    <row r="2905" spans="1:5">
      <c r="A2905" s="22">
        <v>45110</v>
      </c>
      <c r="B2905" s="22">
        <v>1</v>
      </c>
      <c r="C2905" s="22" t="s">
        <v>3909</v>
      </c>
      <c r="D2905" s="22" t="s">
        <v>1618</v>
      </c>
      <c r="E2905" s="24" t="s">
        <v>1329</v>
      </c>
    </row>
    <row r="2906" spans="1:5">
      <c r="A2906" s="22">
        <v>45111</v>
      </c>
      <c r="B2906" s="22">
        <v>1</v>
      </c>
      <c r="C2906" s="22" t="s">
        <v>4058</v>
      </c>
      <c r="D2906" s="22" t="s">
        <v>1618</v>
      </c>
      <c r="E2906" s="24" t="s">
        <v>1660</v>
      </c>
    </row>
    <row r="2907" spans="1:5">
      <c r="A2907" s="22">
        <v>45112</v>
      </c>
      <c r="B2907" s="22">
        <v>1</v>
      </c>
      <c r="C2907" s="22" t="s">
        <v>4059</v>
      </c>
      <c r="D2907" s="22" t="s">
        <v>1618</v>
      </c>
      <c r="E2907" s="24" t="s">
        <v>1661</v>
      </c>
    </row>
    <row r="2908" spans="1:5">
      <c r="A2908" s="22">
        <v>45113</v>
      </c>
      <c r="B2908" s="22">
        <v>1</v>
      </c>
      <c r="C2908" s="22" t="s">
        <v>3903</v>
      </c>
      <c r="D2908" s="22" t="s">
        <v>1618</v>
      </c>
      <c r="E2908" s="24" t="s">
        <v>1311</v>
      </c>
    </row>
    <row r="2909" spans="1:5">
      <c r="A2909" s="22">
        <v>45114</v>
      </c>
      <c r="B2909" s="22">
        <v>1</v>
      </c>
      <c r="C2909" s="22" t="s">
        <v>4060</v>
      </c>
      <c r="D2909" s="22" t="s">
        <v>1618</v>
      </c>
      <c r="E2909" s="24" t="s">
        <v>1662</v>
      </c>
    </row>
    <row r="2910" spans="1:5">
      <c r="A2910" s="22">
        <v>45115</v>
      </c>
      <c r="B2910" s="22">
        <v>1</v>
      </c>
      <c r="C2910" s="22" t="s">
        <v>4061</v>
      </c>
      <c r="D2910" s="22" t="s">
        <v>1618</v>
      </c>
      <c r="E2910" s="24" t="s">
        <v>1663</v>
      </c>
    </row>
    <row r="2911" spans="1:5">
      <c r="A2911" s="22">
        <v>45116</v>
      </c>
      <c r="B2911" s="22">
        <v>1</v>
      </c>
      <c r="C2911" s="22" t="s">
        <v>3353</v>
      </c>
      <c r="D2911" s="22" t="s">
        <v>1618</v>
      </c>
      <c r="E2911" s="24" t="s">
        <v>1293</v>
      </c>
    </row>
    <row r="2912" spans="1:5">
      <c r="A2912" s="22">
        <v>45117</v>
      </c>
      <c r="B2912" s="22">
        <v>1</v>
      </c>
      <c r="C2912" s="22" t="s">
        <v>3726</v>
      </c>
      <c r="D2912" s="22" t="s">
        <v>1618</v>
      </c>
      <c r="E2912" s="24" t="s">
        <v>645</v>
      </c>
    </row>
    <row r="2913" spans="1:5">
      <c r="A2913" s="22">
        <v>45118</v>
      </c>
      <c r="B2913" s="22">
        <v>1</v>
      </c>
      <c r="C2913" s="22" t="s">
        <v>3356</v>
      </c>
      <c r="D2913" s="22" t="s">
        <v>1618</v>
      </c>
      <c r="E2913" s="24" t="s">
        <v>649</v>
      </c>
    </row>
    <row r="2914" spans="1:5">
      <c r="A2914" s="22">
        <v>45119</v>
      </c>
      <c r="B2914" s="22">
        <v>1</v>
      </c>
      <c r="C2914" s="22" t="s">
        <v>3729</v>
      </c>
      <c r="D2914" s="22" t="s">
        <v>1618</v>
      </c>
      <c r="E2914" s="24" t="s">
        <v>653</v>
      </c>
    </row>
    <row r="2915" spans="1:5">
      <c r="A2915" s="22">
        <v>45120</v>
      </c>
      <c r="B2915" s="22">
        <v>1</v>
      </c>
      <c r="C2915" s="22" t="s">
        <v>3359</v>
      </c>
      <c r="D2915" s="22" t="s">
        <v>1618</v>
      </c>
      <c r="E2915" s="24" t="s">
        <v>1334</v>
      </c>
    </row>
    <row r="2916" spans="1:5">
      <c r="A2916" s="22">
        <v>45121</v>
      </c>
      <c r="B2916" s="22">
        <v>1</v>
      </c>
      <c r="C2916" s="22" t="s">
        <v>4035</v>
      </c>
      <c r="D2916" s="22" t="s">
        <v>1618</v>
      </c>
      <c r="E2916" s="24" t="s">
        <v>1636</v>
      </c>
    </row>
    <row r="2917" spans="1:5">
      <c r="A2917" s="22">
        <v>45122</v>
      </c>
      <c r="B2917" s="22">
        <v>1</v>
      </c>
      <c r="C2917" s="22" t="s">
        <v>4044</v>
      </c>
      <c r="D2917" s="22" t="s">
        <v>1618</v>
      </c>
      <c r="E2917" s="24" t="s">
        <v>1646</v>
      </c>
    </row>
    <row r="2918" spans="1:5">
      <c r="A2918" s="22">
        <v>45123</v>
      </c>
      <c r="B2918" s="22">
        <v>1</v>
      </c>
      <c r="C2918" s="22" t="s">
        <v>3904</v>
      </c>
      <c r="D2918" s="22" t="s">
        <v>1618</v>
      </c>
      <c r="E2918" s="24" t="s">
        <v>1314</v>
      </c>
    </row>
    <row r="2919" spans="1:5">
      <c r="A2919" s="22">
        <v>45124</v>
      </c>
      <c r="B2919" s="22">
        <v>1</v>
      </c>
      <c r="C2919" s="22" t="s">
        <v>4062</v>
      </c>
      <c r="D2919" s="22" t="s">
        <v>1618</v>
      </c>
      <c r="E2919" s="24" t="s">
        <v>1664</v>
      </c>
    </row>
    <row r="2920" spans="1:5">
      <c r="A2920" s="22">
        <v>45125</v>
      </c>
      <c r="B2920" s="22">
        <v>1</v>
      </c>
      <c r="C2920" s="22" t="s">
        <v>4063</v>
      </c>
      <c r="D2920" s="22" t="s">
        <v>1618</v>
      </c>
      <c r="E2920" s="24" t="s">
        <v>1665</v>
      </c>
    </row>
    <row r="2921" spans="1:5">
      <c r="A2921" s="22">
        <v>45126</v>
      </c>
      <c r="B2921" s="22">
        <v>1</v>
      </c>
      <c r="C2921" s="22" t="s">
        <v>3897</v>
      </c>
      <c r="D2921" s="22" t="s">
        <v>1618</v>
      </c>
      <c r="E2921" s="24" t="s">
        <v>1295</v>
      </c>
    </row>
    <row r="2922" spans="1:5">
      <c r="A2922" s="22">
        <v>45127</v>
      </c>
      <c r="B2922" s="22">
        <v>1</v>
      </c>
      <c r="C2922" s="22" t="s">
        <v>4042</v>
      </c>
      <c r="D2922" s="22" t="s">
        <v>1618</v>
      </c>
      <c r="E2922" s="24" t="s">
        <v>1644</v>
      </c>
    </row>
    <row r="2923" spans="1:5">
      <c r="A2923" s="22">
        <v>45128</v>
      </c>
      <c r="B2923" s="22">
        <v>1</v>
      </c>
      <c r="C2923" s="22" t="s">
        <v>3905</v>
      </c>
      <c r="D2923" s="22" t="s">
        <v>1618</v>
      </c>
      <c r="E2923" s="24" t="s">
        <v>1316</v>
      </c>
    </row>
    <row r="2924" spans="1:5">
      <c r="A2924" s="22">
        <v>45129</v>
      </c>
      <c r="B2924" s="22">
        <v>1</v>
      </c>
      <c r="C2924" s="22" t="s">
        <v>4064</v>
      </c>
      <c r="D2924" s="22" t="s">
        <v>1618</v>
      </c>
      <c r="E2924" s="24" t="s">
        <v>1666</v>
      </c>
    </row>
    <row r="2925" spans="1:5">
      <c r="A2925" s="22">
        <v>45130</v>
      </c>
      <c r="B2925" s="22">
        <v>1</v>
      </c>
      <c r="C2925" s="22" t="s">
        <v>3913</v>
      </c>
      <c r="D2925" s="22" t="s">
        <v>1618</v>
      </c>
      <c r="E2925" s="24" t="s">
        <v>1340</v>
      </c>
    </row>
    <row r="2926" spans="1:5">
      <c r="A2926" s="22">
        <v>45131</v>
      </c>
      <c r="B2926" s="22">
        <v>1</v>
      </c>
      <c r="C2926" s="22" t="s">
        <v>4034</v>
      </c>
      <c r="D2926" s="22" t="s">
        <v>1618</v>
      </c>
      <c r="E2926" s="24" t="s">
        <v>1635</v>
      </c>
    </row>
    <row r="2927" spans="1:5">
      <c r="A2927" s="22">
        <v>45132</v>
      </c>
      <c r="B2927" s="22">
        <v>1</v>
      </c>
      <c r="C2927" s="22" t="s">
        <v>4065</v>
      </c>
      <c r="D2927" s="22" t="s">
        <v>1618</v>
      </c>
      <c r="E2927" s="24" t="s">
        <v>1667</v>
      </c>
    </row>
    <row r="2928" spans="1:5">
      <c r="A2928" s="22">
        <v>45133</v>
      </c>
      <c r="B2928" s="22">
        <v>1</v>
      </c>
      <c r="C2928" s="22" t="s">
        <v>3906</v>
      </c>
      <c r="D2928" s="22" t="s">
        <v>1618</v>
      </c>
      <c r="E2928" s="24" t="s">
        <v>1318</v>
      </c>
    </row>
    <row r="2929" spans="1:5">
      <c r="A2929" s="22">
        <v>45134</v>
      </c>
      <c r="B2929" s="22">
        <v>1</v>
      </c>
      <c r="C2929" s="22" t="s">
        <v>4066</v>
      </c>
      <c r="D2929" s="22" t="s">
        <v>1618</v>
      </c>
      <c r="E2929" s="24" t="s">
        <v>1668</v>
      </c>
    </row>
    <row r="2930" spans="1:5">
      <c r="A2930" s="22">
        <v>45135</v>
      </c>
      <c r="B2930" s="22">
        <v>1</v>
      </c>
      <c r="C2930" s="22" t="s">
        <v>4067</v>
      </c>
      <c r="D2930" s="22" t="s">
        <v>1618</v>
      </c>
      <c r="E2930" s="24" t="s">
        <v>1669</v>
      </c>
    </row>
    <row r="2931" spans="1:5">
      <c r="A2931" s="22">
        <v>45136</v>
      </c>
      <c r="B2931" s="22">
        <v>1</v>
      </c>
      <c r="C2931" s="22" t="s">
        <v>3724</v>
      </c>
      <c r="D2931" s="22" t="s">
        <v>1618</v>
      </c>
      <c r="E2931" s="24" t="s">
        <v>642</v>
      </c>
    </row>
    <row r="2932" spans="1:5">
      <c r="A2932" s="22">
        <v>45137</v>
      </c>
      <c r="B2932" s="22">
        <v>1</v>
      </c>
      <c r="C2932" s="22" t="s">
        <v>3901</v>
      </c>
      <c r="D2932" s="22" t="s">
        <v>1618</v>
      </c>
      <c r="E2932" s="24" t="s">
        <v>1307</v>
      </c>
    </row>
    <row r="2933" spans="1:5">
      <c r="A2933" s="22">
        <v>45138</v>
      </c>
      <c r="B2933" s="22">
        <v>1</v>
      </c>
      <c r="C2933" s="22" t="s">
        <v>3357</v>
      </c>
      <c r="D2933" s="22" t="s">
        <v>1618</v>
      </c>
      <c r="E2933" s="24" t="s">
        <v>1320</v>
      </c>
    </row>
    <row r="2934" spans="1:5">
      <c r="A2934" s="22">
        <v>45139</v>
      </c>
      <c r="B2934" s="22">
        <v>1</v>
      </c>
      <c r="C2934" s="22" t="s">
        <v>3910</v>
      </c>
      <c r="D2934" s="22" t="s">
        <v>1618</v>
      </c>
      <c r="E2934" s="24" t="s">
        <v>1332</v>
      </c>
    </row>
    <row r="2935" spans="1:5">
      <c r="A2935" s="22">
        <v>45140</v>
      </c>
      <c r="B2935" s="22">
        <v>1</v>
      </c>
      <c r="C2935" s="22" t="s">
        <v>3915</v>
      </c>
      <c r="D2935" s="22" t="s">
        <v>1618</v>
      </c>
      <c r="E2935" s="24" t="s">
        <v>1345</v>
      </c>
    </row>
    <row r="2936" spans="1:5">
      <c r="A2936" s="22">
        <v>45141</v>
      </c>
      <c r="B2936" s="22">
        <v>1</v>
      </c>
      <c r="C2936" s="22" t="s">
        <v>4068</v>
      </c>
      <c r="D2936" s="22" t="s">
        <v>1618</v>
      </c>
      <c r="E2936" s="24" t="s">
        <v>1670</v>
      </c>
    </row>
    <row r="2937" spans="1:5">
      <c r="A2937" s="22">
        <v>45142</v>
      </c>
      <c r="B2937" s="22">
        <v>1</v>
      </c>
      <c r="C2937" s="22" t="s">
        <v>4069</v>
      </c>
      <c r="D2937" s="22" t="s">
        <v>1618</v>
      </c>
      <c r="E2937" s="24" t="s">
        <v>1671</v>
      </c>
    </row>
    <row r="2938" spans="1:5">
      <c r="A2938" s="22">
        <v>45143</v>
      </c>
      <c r="B2938" s="22">
        <v>1</v>
      </c>
      <c r="C2938" s="22" t="s">
        <v>3907</v>
      </c>
      <c r="D2938" s="22" t="s">
        <v>1618</v>
      </c>
      <c r="E2938" s="24" t="s">
        <v>1322</v>
      </c>
    </row>
    <row r="2939" spans="1:5">
      <c r="A2939" s="22">
        <v>45144</v>
      </c>
      <c r="B2939" s="22">
        <v>1</v>
      </c>
      <c r="C2939" s="22" t="s">
        <v>4070</v>
      </c>
      <c r="D2939" s="22" t="s">
        <v>1618</v>
      </c>
      <c r="E2939" s="24" t="s">
        <v>1672</v>
      </c>
    </row>
    <row r="2940" spans="1:5">
      <c r="A2940" s="22">
        <v>45145</v>
      </c>
      <c r="B2940" s="22">
        <v>1</v>
      </c>
      <c r="C2940" s="22" t="s">
        <v>4071</v>
      </c>
      <c r="D2940" s="22" t="s">
        <v>1618</v>
      </c>
      <c r="E2940" s="24" t="s">
        <v>1673</v>
      </c>
    </row>
    <row r="2941" spans="1:5">
      <c r="A2941" s="22">
        <v>45146</v>
      </c>
      <c r="B2941" s="22">
        <v>1</v>
      </c>
      <c r="C2941" s="22" t="s">
        <v>3898</v>
      </c>
      <c r="D2941" s="22" t="s">
        <v>1618</v>
      </c>
      <c r="E2941" s="24" t="s">
        <v>1298</v>
      </c>
    </row>
    <row r="2942" spans="1:5">
      <c r="A2942" s="22">
        <v>45147</v>
      </c>
      <c r="B2942" s="22">
        <v>1</v>
      </c>
      <c r="C2942" s="22" t="s">
        <v>4045</v>
      </c>
      <c r="D2942" s="22" t="s">
        <v>1618</v>
      </c>
      <c r="E2942" s="24" t="s">
        <v>1647</v>
      </c>
    </row>
    <row r="2943" spans="1:5">
      <c r="A2943" s="22">
        <v>45148</v>
      </c>
      <c r="B2943" s="22">
        <v>1</v>
      </c>
      <c r="C2943" s="22" t="s">
        <v>3729</v>
      </c>
      <c r="D2943" s="22" t="s">
        <v>1618</v>
      </c>
      <c r="E2943" s="24" t="s">
        <v>653</v>
      </c>
    </row>
    <row r="2944" spans="1:5">
      <c r="A2944" s="22">
        <v>45149</v>
      </c>
      <c r="B2944" s="22">
        <v>1</v>
      </c>
      <c r="C2944" s="22" t="s">
        <v>4063</v>
      </c>
      <c r="D2944" s="22" t="s">
        <v>1618</v>
      </c>
      <c r="E2944" s="24" t="s">
        <v>1665</v>
      </c>
    </row>
    <row r="2945" spans="1:5">
      <c r="A2945" s="22">
        <v>45150</v>
      </c>
      <c r="B2945" s="22">
        <v>1</v>
      </c>
      <c r="C2945" s="22" t="s">
        <v>3917</v>
      </c>
      <c r="D2945" s="22" t="s">
        <v>1618</v>
      </c>
      <c r="E2945" s="24" t="s">
        <v>1351</v>
      </c>
    </row>
    <row r="2946" spans="1:5">
      <c r="A2946" s="22">
        <v>45151</v>
      </c>
      <c r="B2946" s="22">
        <v>1</v>
      </c>
      <c r="C2946" s="22" t="s">
        <v>4072</v>
      </c>
      <c r="D2946" s="22" t="s">
        <v>1618</v>
      </c>
      <c r="E2946" s="24" t="s">
        <v>1674</v>
      </c>
    </row>
    <row r="2947" spans="1:5">
      <c r="A2947" s="22">
        <v>45152</v>
      </c>
      <c r="B2947" s="22">
        <v>1</v>
      </c>
      <c r="C2947" s="22" t="s">
        <v>4073</v>
      </c>
      <c r="D2947" s="22" t="s">
        <v>1618</v>
      </c>
      <c r="E2947" s="24" t="s">
        <v>1675</v>
      </c>
    </row>
    <row r="2948" spans="1:5">
      <c r="A2948" s="22">
        <v>45153</v>
      </c>
      <c r="B2948" s="22">
        <v>1</v>
      </c>
      <c r="C2948" s="22" t="s">
        <v>3908</v>
      </c>
      <c r="D2948" s="22" t="s">
        <v>1618</v>
      </c>
      <c r="E2948" s="24" t="s">
        <v>1325</v>
      </c>
    </row>
    <row r="2949" spans="1:5">
      <c r="A2949" s="22">
        <v>45154</v>
      </c>
      <c r="B2949" s="22">
        <v>1</v>
      </c>
      <c r="C2949" s="22" t="s">
        <v>4074</v>
      </c>
      <c r="D2949" s="22" t="s">
        <v>1618</v>
      </c>
      <c r="E2949" s="24" t="s">
        <v>1676</v>
      </c>
    </row>
    <row r="2950" spans="1:5">
      <c r="A2950" s="22">
        <v>45155</v>
      </c>
      <c r="B2950" s="22">
        <v>1</v>
      </c>
      <c r="C2950" s="22" t="s">
        <v>4075</v>
      </c>
      <c r="D2950" s="22" t="s">
        <v>1618</v>
      </c>
      <c r="E2950" s="24" t="s">
        <v>1677</v>
      </c>
    </row>
    <row r="2951" spans="1:5">
      <c r="A2951" s="22">
        <v>45156</v>
      </c>
      <c r="B2951" s="22">
        <v>1</v>
      </c>
      <c r="C2951" s="22" t="s">
        <v>3354</v>
      </c>
      <c r="D2951" s="22" t="s">
        <v>1618</v>
      </c>
      <c r="E2951" s="24" t="s">
        <v>782</v>
      </c>
    </row>
    <row r="2952" spans="1:5">
      <c r="A2952" s="22">
        <v>45157</v>
      </c>
      <c r="B2952" s="22">
        <v>1</v>
      </c>
      <c r="C2952" s="22" t="s">
        <v>3356</v>
      </c>
      <c r="D2952" s="22" t="s">
        <v>1618</v>
      </c>
      <c r="E2952" s="24" t="s">
        <v>649</v>
      </c>
    </row>
    <row r="2953" spans="1:5">
      <c r="A2953" s="22">
        <v>45158</v>
      </c>
      <c r="B2953" s="22">
        <v>1</v>
      </c>
      <c r="C2953" s="22" t="s">
        <v>3358</v>
      </c>
      <c r="D2953" s="22" t="s">
        <v>1618</v>
      </c>
      <c r="E2953" s="24" t="s">
        <v>1327</v>
      </c>
    </row>
    <row r="2954" spans="1:5">
      <c r="A2954" s="22">
        <v>45159</v>
      </c>
      <c r="B2954" s="22">
        <v>1</v>
      </c>
      <c r="C2954" s="22" t="s">
        <v>3360</v>
      </c>
      <c r="D2954" s="22" t="s">
        <v>1618</v>
      </c>
      <c r="E2954" s="24" t="s">
        <v>604</v>
      </c>
    </row>
    <row r="2955" spans="1:5">
      <c r="A2955" s="22">
        <v>45160</v>
      </c>
      <c r="B2955" s="22">
        <v>1</v>
      </c>
      <c r="C2955" s="22" t="s">
        <v>3362</v>
      </c>
      <c r="D2955" s="22" t="s">
        <v>1618</v>
      </c>
      <c r="E2955" s="24" t="s">
        <v>1357</v>
      </c>
    </row>
    <row r="2956" spans="1:5">
      <c r="A2956" s="22">
        <v>45161</v>
      </c>
      <c r="B2956" s="22">
        <v>1</v>
      </c>
      <c r="C2956" s="22" t="s">
        <v>4039</v>
      </c>
      <c r="D2956" s="22" t="s">
        <v>1618</v>
      </c>
      <c r="E2956" s="24" t="s">
        <v>1640</v>
      </c>
    </row>
    <row r="2957" spans="1:5">
      <c r="A2957" s="22">
        <v>45162</v>
      </c>
      <c r="B2957" s="22">
        <v>1</v>
      </c>
      <c r="C2957" s="22" t="s">
        <v>4076</v>
      </c>
      <c r="D2957" s="22" t="s">
        <v>1618</v>
      </c>
      <c r="E2957" s="24" t="s">
        <v>1678</v>
      </c>
    </row>
    <row r="2958" spans="1:5">
      <c r="A2958" s="22">
        <v>45163</v>
      </c>
      <c r="B2958" s="22">
        <v>1</v>
      </c>
      <c r="C2958" s="22" t="s">
        <v>3909</v>
      </c>
      <c r="D2958" s="22" t="s">
        <v>1618</v>
      </c>
      <c r="E2958" s="24" t="s">
        <v>1329</v>
      </c>
    </row>
    <row r="2959" spans="1:5">
      <c r="A2959" s="22">
        <v>45164</v>
      </c>
      <c r="B2959" s="22">
        <v>1</v>
      </c>
      <c r="C2959" s="22" t="s">
        <v>4077</v>
      </c>
      <c r="D2959" s="22" t="s">
        <v>1618</v>
      </c>
      <c r="E2959" s="24" t="s">
        <v>1679</v>
      </c>
    </row>
    <row r="2960" spans="1:5">
      <c r="A2960" s="22">
        <v>45165</v>
      </c>
      <c r="B2960" s="22">
        <v>1</v>
      </c>
      <c r="C2960" s="22" t="s">
        <v>4078</v>
      </c>
      <c r="D2960" s="22" t="s">
        <v>1618</v>
      </c>
      <c r="E2960" s="24" t="s">
        <v>1680</v>
      </c>
    </row>
    <row r="2961" spans="1:5">
      <c r="A2961" s="22">
        <v>45166</v>
      </c>
      <c r="B2961" s="22">
        <v>1</v>
      </c>
      <c r="C2961" s="22" t="s">
        <v>3899</v>
      </c>
      <c r="D2961" s="22" t="s">
        <v>1618</v>
      </c>
      <c r="E2961" s="24" t="s">
        <v>1301</v>
      </c>
    </row>
    <row r="2962" spans="1:5">
      <c r="A2962" s="22">
        <v>45167</v>
      </c>
      <c r="B2962" s="22">
        <v>1</v>
      </c>
      <c r="C2962" s="22" t="s">
        <v>4049</v>
      </c>
      <c r="D2962" s="22" t="s">
        <v>1618</v>
      </c>
      <c r="E2962" s="24" t="s">
        <v>1651</v>
      </c>
    </row>
    <row r="2963" spans="1:5">
      <c r="A2963" s="22">
        <v>45168</v>
      </c>
      <c r="B2963" s="22">
        <v>1</v>
      </c>
      <c r="C2963" s="22" t="s">
        <v>3731</v>
      </c>
      <c r="D2963" s="22" t="s">
        <v>1618</v>
      </c>
      <c r="E2963" s="24" t="s">
        <v>657</v>
      </c>
    </row>
    <row r="2964" spans="1:5">
      <c r="A2964" s="22">
        <v>45169</v>
      </c>
      <c r="B2964" s="22">
        <v>1</v>
      </c>
      <c r="C2964" s="22" t="s">
        <v>4079</v>
      </c>
      <c r="D2964" s="22" t="s">
        <v>1618</v>
      </c>
      <c r="E2964" s="24" t="s">
        <v>1681</v>
      </c>
    </row>
    <row r="2965" spans="1:5">
      <c r="A2965" s="22">
        <v>45170</v>
      </c>
      <c r="B2965" s="22">
        <v>1</v>
      </c>
      <c r="C2965" s="22" t="s">
        <v>4080</v>
      </c>
      <c r="D2965" s="22" t="s">
        <v>1618</v>
      </c>
      <c r="E2965" s="24" t="s">
        <v>1682</v>
      </c>
    </row>
    <row r="2966" spans="1:5">
      <c r="A2966" s="22">
        <v>45171</v>
      </c>
      <c r="B2966" s="22">
        <v>1</v>
      </c>
      <c r="C2966" s="22" t="s">
        <v>4043</v>
      </c>
      <c r="D2966" s="22" t="s">
        <v>1618</v>
      </c>
      <c r="E2966" s="24" t="s">
        <v>1645</v>
      </c>
    </row>
    <row r="2967" spans="1:5">
      <c r="A2967" s="22">
        <v>45172</v>
      </c>
      <c r="B2967" s="22">
        <v>1</v>
      </c>
      <c r="C2967" s="22" t="s">
        <v>4055</v>
      </c>
      <c r="D2967" s="22" t="s">
        <v>1618</v>
      </c>
      <c r="E2967" s="24" t="s">
        <v>1657</v>
      </c>
    </row>
    <row r="2968" spans="1:5">
      <c r="A2968" s="22">
        <v>45173</v>
      </c>
      <c r="B2968" s="22">
        <v>1</v>
      </c>
      <c r="C2968" s="22" t="s">
        <v>3910</v>
      </c>
      <c r="D2968" s="22" t="s">
        <v>1618</v>
      </c>
      <c r="E2968" s="24" t="s">
        <v>1332</v>
      </c>
    </row>
    <row r="2969" spans="1:5">
      <c r="A2969" s="22">
        <v>45174</v>
      </c>
      <c r="B2969" s="22">
        <v>1</v>
      </c>
      <c r="C2969" s="22" t="s">
        <v>4081</v>
      </c>
      <c r="D2969" s="22" t="s">
        <v>1618</v>
      </c>
      <c r="E2969" s="24" t="s">
        <v>1683</v>
      </c>
    </row>
    <row r="2970" spans="1:5">
      <c r="A2970" s="22">
        <v>45175</v>
      </c>
      <c r="B2970" s="22">
        <v>1</v>
      </c>
      <c r="C2970" s="22" t="s">
        <v>4082</v>
      </c>
      <c r="D2970" s="22" t="s">
        <v>1618</v>
      </c>
      <c r="E2970" s="24" t="s">
        <v>1684</v>
      </c>
    </row>
    <row r="2971" spans="1:5">
      <c r="A2971" s="22">
        <v>45176</v>
      </c>
      <c r="B2971" s="22">
        <v>1</v>
      </c>
      <c r="C2971" s="22" t="s">
        <v>3726</v>
      </c>
      <c r="D2971" s="22" t="s">
        <v>1618</v>
      </c>
      <c r="E2971" s="24" t="s">
        <v>645</v>
      </c>
    </row>
    <row r="2972" spans="1:5">
      <c r="A2972" s="22">
        <v>45177</v>
      </c>
      <c r="B2972" s="22">
        <v>1</v>
      </c>
      <c r="C2972" s="22" t="s">
        <v>3906</v>
      </c>
      <c r="D2972" s="22" t="s">
        <v>1618</v>
      </c>
      <c r="E2972" s="24" t="s">
        <v>1318</v>
      </c>
    </row>
    <row r="2973" spans="1:5">
      <c r="A2973" s="22">
        <v>45178</v>
      </c>
      <c r="B2973" s="22">
        <v>1</v>
      </c>
      <c r="C2973" s="22" t="s">
        <v>3359</v>
      </c>
      <c r="D2973" s="22" t="s">
        <v>1618</v>
      </c>
      <c r="E2973" s="24" t="s">
        <v>1334</v>
      </c>
    </row>
    <row r="2974" spans="1:5">
      <c r="A2974" s="22">
        <v>45179</v>
      </c>
      <c r="B2974" s="22">
        <v>1</v>
      </c>
      <c r="C2974" s="22" t="s">
        <v>3917</v>
      </c>
      <c r="D2974" s="22" t="s">
        <v>1618</v>
      </c>
      <c r="E2974" s="24" t="s">
        <v>1351</v>
      </c>
    </row>
    <row r="2975" spans="1:5">
      <c r="A2975" s="22">
        <v>45180</v>
      </c>
      <c r="B2975" s="22">
        <v>1</v>
      </c>
      <c r="C2975" s="22" t="s">
        <v>4083</v>
      </c>
      <c r="D2975" s="22" t="s">
        <v>1618</v>
      </c>
      <c r="E2975" s="24" t="s">
        <v>1685</v>
      </c>
    </row>
    <row r="2976" spans="1:5">
      <c r="A2976" s="22">
        <v>45181</v>
      </c>
      <c r="B2976" s="22">
        <v>1</v>
      </c>
      <c r="C2976" s="22" t="s">
        <v>4084</v>
      </c>
      <c r="D2976" s="22" t="s">
        <v>1618</v>
      </c>
      <c r="E2976" s="24" t="s">
        <v>1686</v>
      </c>
    </row>
    <row r="2977" spans="1:5">
      <c r="A2977" s="22">
        <v>45182</v>
      </c>
      <c r="B2977" s="22">
        <v>1</v>
      </c>
      <c r="C2977" s="22" t="s">
        <v>4085</v>
      </c>
      <c r="D2977" s="22" t="s">
        <v>1618</v>
      </c>
      <c r="E2977" s="24" t="s">
        <v>1687</v>
      </c>
    </row>
    <row r="2978" spans="1:5">
      <c r="A2978" s="22">
        <v>45183</v>
      </c>
      <c r="B2978" s="22">
        <v>1</v>
      </c>
      <c r="C2978" s="22" t="s">
        <v>3911</v>
      </c>
      <c r="D2978" s="22" t="s">
        <v>1618</v>
      </c>
      <c r="E2978" s="24" t="s">
        <v>1336</v>
      </c>
    </row>
    <row r="2979" spans="1:5">
      <c r="A2979" s="22">
        <v>45184</v>
      </c>
      <c r="B2979" s="22">
        <v>1</v>
      </c>
      <c r="C2979" s="22" t="s">
        <v>4086</v>
      </c>
      <c r="D2979" s="22" t="s">
        <v>1618</v>
      </c>
      <c r="E2979" s="24" t="s">
        <v>1688</v>
      </c>
    </row>
    <row r="2980" spans="1:5">
      <c r="A2980" s="22">
        <v>45185</v>
      </c>
      <c r="B2980" s="22">
        <v>1</v>
      </c>
      <c r="C2980" s="22" t="s">
        <v>4087</v>
      </c>
      <c r="D2980" s="22" t="s">
        <v>1618</v>
      </c>
      <c r="E2980" s="24" t="s">
        <v>1689</v>
      </c>
    </row>
    <row r="2981" spans="1:5">
      <c r="A2981" s="22">
        <v>45186</v>
      </c>
      <c r="B2981" s="22">
        <v>1</v>
      </c>
      <c r="C2981" s="22" t="s">
        <v>3900</v>
      </c>
      <c r="D2981" s="22" t="s">
        <v>1618</v>
      </c>
      <c r="E2981" s="24" t="s">
        <v>1304</v>
      </c>
    </row>
    <row r="2982" spans="1:5">
      <c r="A2982" s="22">
        <v>45187</v>
      </c>
      <c r="B2982" s="22">
        <v>1</v>
      </c>
      <c r="C2982" s="22" t="s">
        <v>4053</v>
      </c>
      <c r="D2982" s="22" t="s">
        <v>1618</v>
      </c>
      <c r="E2982" s="24" t="s">
        <v>1655</v>
      </c>
    </row>
    <row r="2983" spans="1:5">
      <c r="A2983" s="22">
        <v>45188</v>
      </c>
      <c r="B2983" s="22">
        <v>1</v>
      </c>
      <c r="C2983" s="22" t="s">
        <v>3912</v>
      </c>
      <c r="D2983" s="22" t="s">
        <v>1618</v>
      </c>
      <c r="E2983" s="24" t="s">
        <v>1338</v>
      </c>
    </row>
    <row r="2984" spans="1:5">
      <c r="A2984" s="22">
        <v>45189</v>
      </c>
      <c r="B2984" s="22">
        <v>1</v>
      </c>
      <c r="C2984" s="22" t="s">
        <v>4088</v>
      </c>
      <c r="D2984" s="22" t="s">
        <v>1618</v>
      </c>
      <c r="E2984" s="24" t="s">
        <v>1690</v>
      </c>
    </row>
    <row r="2985" spans="1:5">
      <c r="A2985" s="22">
        <v>45190</v>
      </c>
      <c r="B2985" s="22">
        <v>1</v>
      </c>
      <c r="C2985" s="22" t="s">
        <v>4089</v>
      </c>
      <c r="D2985" s="22" t="s">
        <v>1618</v>
      </c>
      <c r="E2985" s="24" t="s">
        <v>1691</v>
      </c>
    </row>
    <row r="2986" spans="1:5">
      <c r="A2986" s="22">
        <v>45191</v>
      </c>
      <c r="B2986" s="22">
        <v>1</v>
      </c>
      <c r="C2986" s="22" t="s">
        <v>4042</v>
      </c>
      <c r="D2986" s="22" t="s">
        <v>1618</v>
      </c>
      <c r="E2986" s="24" t="s">
        <v>1644</v>
      </c>
    </row>
    <row r="2987" spans="1:5">
      <c r="A2987" s="22">
        <v>45192</v>
      </c>
      <c r="B2987" s="22">
        <v>1</v>
      </c>
      <c r="C2987" s="22" t="s">
        <v>4090</v>
      </c>
      <c r="D2987" s="22" t="s">
        <v>1618</v>
      </c>
      <c r="E2987" s="24" t="s">
        <v>1692</v>
      </c>
    </row>
    <row r="2988" spans="1:5">
      <c r="A2988" s="22">
        <v>45193</v>
      </c>
      <c r="B2988" s="22">
        <v>1</v>
      </c>
      <c r="C2988" s="22" t="s">
        <v>3913</v>
      </c>
      <c r="D2988" s="22" t="s">
        <v>1618</v>
      </c>
      <c r="E2988" s="24" t="s">
        <v>1340</v>
      </c>
    </row>
    <row r="2989" spans="1:5">
      <c r="A2989" s="22">
        <v>45194</v>
      </c>
      <c r="B2989" s="22">
        <v>1</v>
      </c>
      <c r="C2989" s="22" t="s">
        <v>4091</v>
      </c>
      <c r="D2989" s="22" t="s">
        <v>1618</v>
      </c>
      <c r="E2989" s="24" t="s">
        <v>1693</v>
      </c>
    </row>
    <row r="2990" spans="1:5">
      <c r="A2990" s="22">
        <v>45195</v>
      </c>
      <c r="B2990" s="22">
        <v>1</v>
      </c>
      <c r="C2990" s="22" t="s">
        <v>4092</v>
      </c>
      <c r="D2990" s="22" t="s">
        <v>1618</v>
      </c>
      <c r="E2990" s="24" t="s">
        <v>1694</v>
      </c>
    </row>
    <row r="2991" spans="1:5">
      <c r="A2991" s="22">
        <v>45196</v>
      </c>
      <c r="B2991" s="22">
        <v>1</v>
      </c>
      <c r="C2991" s="22" t="s">
        <v>3355</v>
      </c>
      <c r="D2991" s="22" t="s">
        <v>1618</v>
      </c>
      <c r="E2991" s="24" t="s">
        <v>599</v>
      </c>
    </row>
    <row r="2992" spans="1:5">
      <c r="A2992" s="22">
        <v>45197</v>
      </c>
      <c r="B2992" s="22">
        <v>1</v>
      </c>
      <c r="C2992" s="22" t="s">
        <v>3729</v>
      </c>
      <c r="D2992" s="22" t="s">
        <v>1618</v>
      </c>
      <c r="E2992" s="24" t="s">
        <v>653</v>
      </c>
    </row>
    <row r="2993" spans="1:5">
      <c r="A2993" s="22">
        <v>45198</v>
      </c>
      <c r="B2993" s="22">
        <v>1</v>
      </c>
      <c r="C2993" s="22" t="s">
        <v>3360</v>
      </c>
      <c r="D2993" s="22" t="s">
        <v>1618</v>
      </c>
      <c r="E2993" s="24" t="s">
        <v>604</v>
      </c>
    </row>
    <row r="2994" spans="1:5">
      <c r="A2994" s="22">
        <v>45199</v>
      </c>
      <c r="B2994" s="22">
        <v>1</v>
      </c>
      <c r="C2994" s="22" t="s">
        <v>3760</v>
      </c>
      <c r="D2994" s="22" t="s">
        <v>1618</v>
      </c>
      <c r="E2994" s="24" t="s">
        <v>789</v>
      </c>
    </row>
    <row r="2995" spans="1:5">
      <c r="A2995" s="22">
        <v>45200</v>
      </c>
      <c r="B2995" s="22">
        <v>1</v>
      </c>
      <c r="C2995" s="22" t="s">
        <v>3365</v>
      </c>
      <c r="D2995" s="22" t="s">
        <v>1618</v>
      </c>
      <c r="E2995" s="24" t="s">
        <v>793</v>
      </c>
    </row>
    <row r="2996" spans="1:5">
      <c r="A2996" s="22">
        <v>45201</v>
      </c>
      <c r="B2996" s="22">
        <v>1</v>
      </c>
      <c r="C2996" s="22" t="s">
        <v>4093</v>
      </c>
      <c r="D2996" s="22" t="s">
        <v>1618</v>
      </c>
      <c r="E2996" s="24" t="s">
        <v>1695</v>
      </c>
    </row>
    <row r="2997" spans="1:5">
      <c r="A2997" s="22">
        <v>45202</v>
      </c>
      <c r="B2997" s="22">
        <v>1</v>
      </c>
      <c r="C2997" s="22" t="s">
        <v>4094</v>
      </c>
      <c r="D2997" s="22" t="s">
        <v>1618</v>
      </c>
      <c r="E2997" s="24" t="s">
        <v>1696</v>
      </c>
    </row>
    <row r="2998" spans="1:5">
      <c r="A2998" s="22">
        <v>45203</v>
      </c>
      <c r="B2998" s="22">
        <v>1</v>
      </c>
      <c r="C2998" s="22" t="s">
        <v>3914</v>
      </c>
      <c r="D2998" s="22" t="s">
        <v>1618</v>
      </c>
      <c r="E2998" s="24" t="s">
        <v>1343</v>
      </c>
    </row>
    <row r="2999" spans="1:5">
      <c r="A2999" s="22">
        <v>45204</v>
      </c>
      <c r="B2999" s="22">
        <v>1</v>
      </c>
      <c r="C2999" s="22" t="s">
        <v>4095</v>
      </c>
      <c r="D2999" s="22" t="s">
        <v>1618</v>
      </c>
      <c r="E2999" s="24" t="s">
        <v>1697</v>
      </c>
    </row>
    <row r="3000" spans="1:5">
      <c r="A3000" s="22">
        <v>45205</v>
      </c>
      <c r="B3000" s="22">
        <v>1</v>
      </c>
      <c r="C3000" s="22" t="s">
        <v>4096</v>
      </c>
      <c r="D3000" s="22" t="s">
        <v>1618</v>
      </c>
      <c r="E3000" s="24" t="s">
        <v>1698</v>
      </c>
    </row>
    <row r="3001" spans="1:5">
      <c r="A3001" s="22">
        <v>45206</v>
      </c>
      <c r="B3001" s="22">
        <v>1</v>
      </c>
      <c r="C3001" s="22" t="s">
        <v>3901</v>
      </c>
      <c r="D3001" s="22" t="s">
        <v>1618</v>
      </c>
      <c r="E3001" s="24" t="s">
        <v>1307</v>
      </c>
    </row>
    <row r="3002" spans="1:5">
      <c r="A3002" s="22">
        <v>45207</v>
      </c>
      <c r="B3002" s="22">
        <v>1</v>
      </c>
      <c r="C3002" s="22" t="s">
        <v>4056</v>
      </c>
      <c r="D3002" s="22" t="s">
        <v>1618</v>
      </c>
      <c r="E3002" s="24" t="s">
        <v>1658</v>
      </c>
    </row>
    <row r="3003" spans="1:5">
      <c r="A3003" s="22">
        <v>45208</v>
      </c>
      <c r="B3003" s="22">
        <v>1</v>
      </c>
      <c r="C3003" s="22" t="s">
        <v>3915</v>
      </c>
      <c r="D3003" s="22" t="s">
        <v>1618</v>
      </c>
      <c r="E3003" s="24" t="s">
        <v>1345</v>
      </c>
    </row>
    <row r="3004" spans="1:5">
      <c r="A3004" s="22">
        <v>45209</v>
      </c>
      <c r="B3004" s="22">
        <v>1</v>
      </c>
      <c r="C3004" s="22" t="s">
        <v>4082</v>
      </c>
      <c r="D3004" s="22" t="s">
        <v>1618</v>
      </c>
      <c r="E3004" s="24" t="s">
        <v>1684</v>
      </c>
    </row>
    <row r="3005" spans="1:5">
      <c r="A3005" s="22">
        <v>45210</v>
      </c>
      <c r="B3005" s="22">
        <v>1</v>
      </c>
      <c r="C3005" s="22" t="s">
        <v>4097</v>
      </c>
      <c r="D3005" s="22" t="s">
        <v>1618</v>
      </c>
      <c r="E3005" s="24" t="s">
        <v>1699</v>
      </c>
    </row>
    <row r="3006" spans="1:5">
      <c r="A3006" s="22">
        <v>45211</v>
      </c>
      <c r="B3006" s="22">
        <v>1</v>
      </c>
      <c r="C3006" s="22" t="s">
        <v>4098</v>
      </c>
      <c r="D3006" s="22" t="s">
        <v>1618</v>
      </c>
      <c r="E3006" s="24" t="s">
        <v>1700</v>
      </c>
    </row>
    <row r="3007" spans="1:5">
      <c r="A3007" s="22">
        <v>45212</v>
      </c>
      <c r="B3007" s="22">
        <v>1</v>
      </c>
      <c r="C3007" s="22" t="s">
        <v>4099</v>
      </c>
      <c r="D3007" s="22" t="s">
        <v>1618</v>
      </c>
      <c r="E3007" s="24" t="s">
        <v>1701</v>
      </c>
    </row>
    <row r="3008" spans="1:5">
      <c r="A3008" s="22">
        <v>45213</v>
      </c>
      <c r="B3008" s="22">
        <v>1</v>
      </c>
      <c r="C3008" s="22" t="s">
        <v>3916</v>
      </c>
      <c r="D3008" s="22" t="s">
        <v>1618</v>
      </c>
      <c r="E3008" s="24" t="s">
        <v>1347</v>
      </c>
    </row>
    <row r="3009" spans="1:5">
      <c r="A3009" s="22">
        <v>45214</v>
      </c>
      <c r="B3009" s="22">
        <v>1</v>
      </c>
      <c r="C3009" s="22" t="s">
        <v>4100</v>
      </c>
      <c r="D3009" s="22" t="s">
        <v>1618</v>
      </c>
      <c r="E3009" s="24" t="s">
        <v>1702</v>
      </c>
    </row>
    <row r="3010" spans="1:5">
      <c r="A3010" s="22">
        <v>45215</v>
      </c>
      <c r="B3010" s="22">
        <v>1</v>
      </c>
      <c r="C3010" s="22" t="s">
        <v>4101</v>
      </c>
      <c r="D3010" s="22" t="s">
        <v>1618</v>
      </c>
      <c r="E3010" s="24" t="s">
        <v>1703</v>
      </c>
    </row>
    <row r="3011" spans="1:5">
      <c r="A3011" s="22">
        <v>45216</v>
      </c>
      <c r="B3011" s="22">
        <v>1</v>
      </c>
      <c r="C3011" s="22" t="s">
        <v>3902</v>
      </c>
      <c r="D3011" s="22" t="s">
        <v>1618</v>
      </c>
      <c r="E3011" s="24" t="s">
        <v>1309</v>
      </c>
    </row>
    <row r="3012" spans="1:5">
      <c r="A3012" s="22">
        <v>45217</v>
      </c>
      <c r="B3012" s="22">
        <v>1</v>
      </c>
      <c r="C3012" s="22" t="s">
        <v>3909</v>
      </c>
      <c r="D3012" s="22" t="s">
        <v>1618</v>
      </c>
      <c r="E3012" s="24" t="s">
        <v>1329</v>
      </c>
    </row>
    <row r="3013" spans="1:5">
      <c r="A3013" s="22">
        <v>45218</v>
      </c>
      <c r="B3013" s="22">
        <v>1</v>
      </c>
      <c r="C3013" s="22" t="s">
        <v>3361</v>
      </c>
      <c r="D3013" s="22" t="s">
        <v>1618</v>
      </c>
      <c r="E3013" s="24" t="s">
        <v>1349</v>
      </c>
    </row>
    <row r="3014" spans="1:5">
      <c r="A3014" s="22">
        <v>45219</v>
      </c>
      <c r="B3014" s="22">
        <v>1</v>
      </c>
      <c r="C3014" s="22" t="s">
        <v>4102</v>
      </c>
      <c r="D3014" s="22" t="s">
        <v>1618</v>
      </c>
      <c r="E3014" s="24" t="s">
        <v>1704</v>
      </c>
    </row>
    <row r="3015" spans="1:5">
      <c r="A3015" s="22">
        <v>45220</v>
      </c>
      <c r="B3015" s="22">
        <v>1</v>
      </c>
      <c r="C3015" s="22" t="s">
        <v>4103</v>
      </c>
      <c r="D3015" s="22" t="s">
        <v>1618</v>
      </c>
      <c r="E3015" s="24" t="s">
        <v>1705</v>
      </c>
    </row>
    <row r="3016" spans="1:5">
      <c r="A3016" s="22">
        <v>45221</v>
      </c>
      <c r="B3016" s="22">
        <v>1</v>
      </c>
      <c r="C3016" s="22" t="s">
        <v>4045</v>
      </c>
      <c r="D3016" s="22" t="s">
        <v>1618</v>
      </c>
      <c r="E3016" s="24" t="s">
        <v>1647</v>
      </c>
    </row>
    <row r="3017" spans="1:5">
      <c r="A3017" s="22">
        <v>45222</v>
      </c>
      <c r="B3017" s="22">
        <v>1</v>
      </c>
      <c r="C3017" s="22" t="s">
        <v>4066</v>
      </c>
      <c r="D3017" s="22" t="s">
        <v>1618</v>
      </c>
      <c r="E3017" s="24" t="s">
        <v>1668</v>
      </c>
    </row>
    <row r="3018" spans="1:5">
      <c r="A3018" s="22">
        <v>45223</v>
      </c>
      <c r="B3018" s="22">
        <v>1</v>
      </c>
      <c r="C3018" s="22" t="s">
        <v>3917</v>
      </c>
      <c r="D3018" s="22" t="s">
        <v>1618</v>
      </c>
      <c r="E3018" s="24" t="s">
        <v>1351</v>
      </c>
    </row>
    <row r="3019" spans="1:5">
      <c r="A3019" s="22">
        <v>45224</v>
      </c>
      <c r="B3019" s="22">
        <v>1</v>
      </c>
      <c r="C3019" s="22" t="s">
        <v>4104</v>
      </c>
      <c r="D3019" s="22" t="s">
        <v>1618</v>
      </c>
      <c r="E3019" s="24" t="s">
        <v>1706</v>
      </c>
    </row>
    <row r="3020" spans="1:5">
      <c r="A3020" s="22">
        <v>45225</v>
      </c>
      <c r="B3020" s="22">
        <v>1</v>
      </c>
      <c r="C3020" s="22" t="s">
        <v>4105</v>
      </c>
      <c r="D3020" s="22" t="s">
        <v>1618</v>
      </c>
      <c r="E3020" s="24" t="s">
        <v>1707</v>
      </c>
    </row>
    <row r="3021" spans="1:5">
      <c r="A3021" s="22">
        <v>45226</v>
      </c>
      <c r="B3021" s="22">
        <v>1</v>
      </c>
      <c r="C3021" s="22" t="s">
        <v>3903</v>
      </c>
      <c r="D3021" s="22" t="s">
        <v>1618</v>
      </c>
      <c r="E3021" s="24" t="s">
        <v>1311</v>
      </c>
    </row>
    <row r="3022" spans="1:5">
      <c r="A3022" s="22">
        <v>45227</v>
      </c>
      <c r="B3022" s="22">
        <v>1</v>
      </c>
      <c r="C3022" s="22" t="s">
        <v>4061</v>
      </c>
      <c r="D3022" s="22" t="s">
        <v>1618</v>
      </c>
      <c r="E3022" s="24" t="s">
        <v>1663</v>
      </c>
    </row>
    <row r="3023" spans="1:5">
      <c r="A3023" s="22">
        <v>45228</v>
      </c>
      <c r="B3023" s="22">
        <v>1</v>
      </c>
      <c r="C3023" s="22" t="s">
        <v>3918</v>
      </c>
      <c r="D3023" s="22" t="s">
        <v>1618</v>
      </c>
      <c r="E3023" s="24" t="s">
        <v>1353</v>
      </c>
    </row>
    <row r="3024" spans="1:5">
      <c r="A3024" s="22">
        <v>45229</v>
      </c>
      <c r="B3024" s="22">
        <v>1</v>
      </c>
      <c r="C3024" s="22" t="s">
        <v>4106</v>
      </c>
      <c r="D3024" s="22" t="s">
        <v>1618</v>
      </c>
      <c r="E3024" s="24" t="s">
        <v>1708</v>
      </c>
    </row>
    <row r="3025" spans="1:5">
      <c r="A3025" s="22">
        <v>45230</v>
      </c>
      <c r="B3025" s="22">
        <v>1</v>
      </c>
      <c r="C3025" s="22" t="s">
        <v>4107</v>
      </c>
      <c r="D3025" s="22" t="s">
        <v>1618</v>
      </c>
      <c r="E3025" s="24" t="s">
        <v>1709</v>
      </c>
    </row>
    <row r="3026" spans="1:5">
      <c r="A3026" s="22">
        <v>45231</v>
      </c>
      <c r="B3026" s="22">
        <v>1</v>
      </c>
      <c r="C3026" s="22" t="s">
        <v>4108</v>
      </c>
      <c r="D3026" s="22" t="s">
        <v>1618</v>
      </c>
      <c r="E3026" s="24" t="s">
        <v>1710</v>
      </c>
    </row>
    <row r="3027" spans="1:5">
      <c r="A3027" s="22">
        <v>45232</v>
      </c>
      <c r="B3027" s="22">
        <v>1</v>
      </c>
      <c r="C3027" s="22" t="s">
        <v>4109</v>
      </c>
      <c r="D3027" s="22" t="s">
        <v>1618</v>
      </c>
      <c r="E3027" s="24" t="s">
        <v>1711</v>
      </c>
    </row>
    <row r="3028" spans="1:5">
      <c r="A3028" s="22">
        <v>45233</v>
      </c>
      <c r="B3028" s="22">
        <v>1</v>
      </c>
      <c r="C3028" s="22" t="s">
        <v>3919</v>
      </c>
      <c r="D3028" s="22" t="s">
        <v>1618</v>
      </c>
      <c r="E3028" s="24" t="s">
        <v>1355</v>
      </c>
    </row>
    <row r="3029" spans="1:5">
      <c r="A3029" s="22">
        <v>45234</v>
      </c>
      <c r="B3029" s="22">
        <v>1</v>
      </c>
      <c r="C3029" s="22" t="s">
        <v>4110</v>
      </c>
      <c r="D3029" s="22" t="s">
        <v>1618</v>
      </c>
      <c r="E3029" s="24" t="s">
        <v>1712</v>
      </c>
    </row>
    <row r="3030" spans="1:5">
      <c r="A3030" s="22">
        <v>45235</v>
      </c>
      <c r="B3030" s="22">
        <v>1</v>
      </c>
      <c r="C3030" s="22" t="s">
        <v>4111</v>
      </c>
      <c r="D3030" s="22" t="s">
        <v>1618</v>
      </c>
      <c r="E3030" s="24" t="s">
        <v>1713</v>
      </c>
    </row>
    <row r="3031" spans="1:5">
      <c r="A3031" s="22">
        <v>45236</v>
      </c>
      <c r="B3031" s="22">
        <v>1</v>
      </c>
      <c r="C3031" s="22" t="s">
        <v>3356</v>
      </c>
      <c r="D3031" s="22" t="s">
        <v>1618</v>
      </c>
      <c r="E3031" s="24" t="s">
        <v>649</v>
      </c>
    </row>
    <row r="3032" spans="1:5">
      <c r="A3032" s="22">
        <v>45237</v>
      </c>
      <c r="B3032" s="22">
        <v>1</v>
      </c>
      <c r="C3032" s="22" t="s">
        <v>3359</v>
      </c>
      <c r="D3032" s="22" t="s">
        <v>1618</v>
      </c>
      <c r="E3032" s="24" t="s">
        <v>1334</v>
      </c>
    </row>
    <row r="3033" spans="1:5">
      <c r="A3033" s="22">
        <v>45238</v>
      </c>
      <c r="B3033" s="22">
        <v>1</v>
      </c>
      <c r="C3033" s="22" t="s">
        <v>3362</v>
      </c>
      <c r="D3033" s="22" t="s">
        <v>1618</v>
      </c>
      <c r="E3033" s="24" t="s">
        <v>1357</v>
      </c>
    </row>
    <row r="3034" spans="1:5">
      <c r="A3034" s="22">
        <v>45239</v>
      </c>
      <c r="B3034" s="22">
        <v>1</v>
      </c>
      <c r="C3034" s="22" t="s">
        <v>3365</v>
      </c>
      <c r="D3034" s="22" t="s">
        <v>1618</v>
      </c>
      <c r="E3034" s="24" t="s">
        <v>793</v>
      </c>
    </row>
    <row r="3035" spans="1:5">
      <c r="A3035" s="22">
        <v>45240</v>
      </c>
      <c r="B3035" s="22">
        <v>1</v>
      </c>
      <c r="C3035" s="22" t="s">
        <v>4112</v>
      </c>
      <c r="D3035" s="22" t="s">
        <v>1618</v>
      </c>
      <c r="E3035" s="24" t="s">
        <v>1714</v>
      </c>
    </row>
    <row r="3036" spans="1:5">
      <c r="A3036" s="22">
        <v>45241</v>
      </c>
      <c r="B3036" s="22">
        <v>1</v>
      </c>
      <c r="C3036" s="22" t="s">
        <v>4113</v>
      </c>
      <c r="D3036" s="22" t="s">
        <v>1618</v>
      </c>
      <c r="E3036" s="24" t="s">
        <v>1715</v>
      </c>
    </row>
    <row r="3037" spans="1:5">
      <c r="A3037" s="22">
        <v>45242</v>
      </c>
      <c r="B3037" s="22">
        <v>1</v>
      </c>
      <c r="C3037" s="22" t="s">
        <v>4114</v>
      </c>
      <c r="D3037" s="22" t="s">
        <v>1618</v>
      </c>
      <c r="E3037" s="24" t="s">
        <v>1716</v>
      </c>
    </row>
    <row r="3038" spans="1:5">
      <c r="A3038" s="22">
        <v>45243</v>
      </c>
      <c r="B3038" s="22">
        <v>1</v>
      </c>
      <c r="C3038" s="22" t="s">
        <v>3920</v>
      </c>
      <c r="D3038" s="22" t="s">
        <v>1618</v>
      </c>
      <c r="E3038" s="24" t="s">
        <v>1359</v>
      </c>
    </row>
    <row r="3039" spans="1:5">
      <c r="A3039" s="22">
        <v>45244</v>
      </c>
      <c r="B3039" s="22">
        <v>1</v>
      </c>
      <c r="C3039" s="22" t="s">
        <v>4115</v>
      </c>
      <c r="D3039" s="22" t="s">
        <v>1618</v>
      </c>
      <c r="E3039" s="24" t="s">
        <v>1717</v>
      </c>
    </row>
    <row r="3040" spans="1:5">
      <c r="A3040" s="22">
        <v>45245</v>
      </c>
      <c r="B3040" s="22">
        <v>1</v>
      </c>
      <c r="C3040" s="22" t="s">
        <v>4116</v>
      </c>
      <c r="D3040" s="22" t="s">
        <v>1618</v>
      </c>
      <c r="E3040" s="24" t="s">
        <v>1718</v>
      </c>
    </row>
    <row r="3041" spans="1:5">
      <c r="A3041" s="22">
        <v>45246</v>
      </c>
      <c r="B3041" s="22">
        <v>1</v>
      </c>
      <c r="C3041" s="22" t="s">
        <v>3904</v>
      </c>
      <c r="D3041" s="22" t="s">
        <v>1618</v>
      </c>
      <c r="E3041" s="24" t="s">
        <v>1314</v>
      </c>
    </row>
    <row r="3042" spans="1:5">
      <c r="A3042" s="22">
        <v>45247</v>
      </c>
      <c r="B3042" s="22">
        <v>1</v>
      </c>
      <c r="C3042" s="22" t="s">
        <v>4063</v>
      </c>
      <c r="D3042" s="22" t="s">
        <v>1618</v>
      </c>
      <c r="E3042" s="24" t="s">
        <v>1665</v>
      </c>
    </row>
    <row r="3043" spans="1:5">
      <c r="A3043" s="22">
        <v>45248</v>
      </c>
      <c r="B3043" s="22">
        <v>1</v>
      </c>
      <c r="C3043" s="22" t="s">
        <v>3760</v>
      </c>
      <c r="D3043" s="22" t="s">
        <v>1618</v>
      </c>
      <c r="E3043" s="24" t="s">
        <v>789</v>
      </c>
    </row>
    <row r="3044" spans="1:5">
      <c r="A3044" s="22">
        <v>45249</v>
      </c>
      <c r="B3044" s="22">
        <v>1</v>
      </c>
      <c r="C3044" s="22" t="s">
        <v>4117</v>
      </c>
      <c r="D3044" s="22" t="s">
        <v>1618</v>
      </c>
      <c r="E3044" s="24" t="s">
        <v>1719</v>
      </c>
    </row>
    <row r="3045" spans="1:5">
      <c r="A3045" s="22">
        <v>45250</v>
      </c>
      <c r="B3045" s="22">
        <v>1</v>
      </c>
      <c r="C3045" s="22" t="s">
        <v>4118</v>
      </c>
      <c r="D3045" s="22" t="s">
        <v>1618</v>
      </c>
      <c r="E3045" s="24" t="s">
        <v>1720</v>
      </c>
    </row>
    <row r="3046" spans="1:5">
      <c r="A3046" s="49">
        <v>45501</v>
      </c>
      <c r="B3046" s="49">
        <v>1</v>
      </c>
      <c r="C3046" s="49" t="s">
        <v>3366</v>
      </c>
      <c r="D3046" s="49" t="s">
        <v>1721</v>
      </c>
      <c r="E3046" s="52" t="s">
        <v>981</v>
      </c>
    </row>
    <row r="3047" spans="1:5">
      <c r="A3047" s="49">
        <v>45502</v>
      </c>
      <c r="B3047" s="49">
        <v>1</v>
      </c>
      <c r="C3047" s="49" t="s">
        <v>3368</v>
      </c>
      <c r="D3047" s="49" t="s">
        <v>1721</v>
      </c>
      <c r="E3047" s="52" t="s">
        <v>983</v>
      </c>
    </row>
    <row r="3048" spans="1:5">
      <c r="A3048" s="49">
        <v>45503</v>
      </c>
      <c r="B3048" s="49">
        <v>1</v>
      </c>
      <c r="C3048" s="49" t="s">
        <v>3369</v>
      </c>
      <c r="D3048" s="49" t="s">
        <v>1721</v>
      </c>
      <c r="E3048" s="52" t="s">
        <v>747</v>
      </c>
    </row>
    <row r="3049" spans="1:5">
      <c r="A3049" s="49">
        <v>45504</v>
      </c>
      <c r="B3049" s="49">
        <v>1</v>
      </c>
      <c r="C3049" s="49" t="s">
        <v>3370</v>
      </c>
      <c r="D3049" s="49" t="s">
        <v>1721</v>
      </c>
      <c r="E3049" s="52" t="s">
        <v>986</v>
      </c>
    </row>
    <row r="3050" spans="1:5">
      <c r="A3050" s="49">
        <v>45505</v>
      </c>
      <c r="B3050" s="49">
        <v>1</v>
      </c>
      <c r="C3050" s="49" t="s">
        <v>3371</v>
      </c>
      <c r="D3050" s="49" t="s">
        <v>1721</v>
      </c>
      <c r="E3050" s="52" t="s">
        <v>751</v>
      </c>
    </row>
    <row r="3051" spans="1:5">
      <c r="A3051" s="49">
        <v>45506</v>
      </c>
      <c r="B3051" s="49">
        <v>1</v>
      </c>
      <c r="C3051" s="49" t="s">
        <v>3366</v>
      </c>
      <c r="D3051" s="49" t="s">
        <v>1721</v>
      </c>
      <c r="E3051" s="52" t="s">
        <v>981</v>
      </c>
    </row>
    <row r="3052" spans="1:5">
      <c r="A3052" s="49">
        <v>45507</v>
      </c>
      <c r="B3052" s="49">
        <v>1</v>
      </c>
      <c r="C3052" s="49" t="s">
        <v>3368</v>
      </c>
      <c r="D3052" s="49" t="s">
        <v>1721</v>
      </c>
      <c r="E3052" s="52" t="s">
        <v>983</v>
      </c>
    </row>
    <row r="3053" spans="1:5">
      <c r="A3053" s="49">
        <v>45508</v>
      </c>
      <c r="B3053" s="49">
        <v>1</v>
      </c>
      <c r="C3053" s="49" t="s">
        <v>3369</v>
      </c>
      <c r="D3053" s="49" t="s">
        <v>1721</v>
      </c>
      <c r="E3053" s="52" t="s">
        <v>747</v>
      </c>
    </row>
    <row r="3054" spans="1:5">
      <c r="A3054" s="49">
        <v>45509</v>
      </c>
      <c r="B3054" s="49">
        <v>1</v>
      </c>
      <c r="C3054" s="49" t="s">
        <v>3370</v>
      </c>
      <c r="D3054" s="49" t="s">
        <v>1721</v>
      </c>
      <c r="E3054" s="52" t="s">
        <v>986</v>
      </c>
    </row>
    <row r="3055" spans="1:5">
      <c r="A3055" s="49">
        <v>45510</v>
      </c>
      <c r="B3055" s="49">
        <v>1</v>
      </c>
      <c r="C3055" s="49" t="s">
        <v>3371</v>
      </c>
      <c r="D3055" s="49" t="s">
        <v>1721</v>
      </c>
      <c r="E3055" s="52" t="s">
        <v>751</v>
      </c>
    </row>
    <row r="3056" spans="1:5">
      <c r="A3056" s="49">
        <v>45511</v>
      </c>
      <c r="B3056" s="49">
        <v>1</v>
      </c>
      <c r="C3056" s="49" t="s">
        <v>3366</v>
      </c>
      <c r="D3056" s="49" t="s">
        <v>1721</v>
      </c>
      <c r="E3056" s="52" t="s">
        <v>981</v>
      </c>
    </row>
    <row r="3057" spans="1:5">
      <c r="A3057" s="49">
        <v>45512</v>
      </c>
      <c r="B3057" s="49">
        <v>1</v>
      </c>
      <c r="C3057" s="49" t="s">
        <v>3368</v>
      </c>
      <c r="D3057" s="49" t="s">
        <v>1721</v>
      </c>
      <c r="E3057" s="52" t="s">
        <v>983</v>
      </c>
    </row>
    <row r="3058" spans="1:5">
      <c r="A3058" s="49">
        <v>45513</v>
      </c>
      <c r="B3058" s="49">
        <v>1</v>
      </c>
      <c r="C3058" s="49" t="s">
        <v>3369</v>
      </c>
      <c r="D3058" s="49" t="s">
        <v>1721</v>
      </c>
      <c r="E3058" s="52" t="s">
        <v>747</v>
      </c>
    </row>
    <row r="3059" spans="1:5">
      <c r="A3059" s="49">
        <v>45514</v>
      </c>
      <c r="B3059" s="49">
        <v>1</v>
      </c>
      <c r="C3059" s="49" t="s">
        <v>3370</v>
      </c>
      <c r="D3059" s="49" t="s">
        <v>1721</v>
      </c>
      <c r="E3059" s="52" t="s">
        <v>986</v>
      </c>
    </row>
    <row r="3060" spans="1:5">
      <c r="A3060" s="49">
        <v>45515</v>
      </c>
      <c r="B3060" s="49">
        <v>1</v>
      </c>
      <c r="C3060" s="49" t="s">
        <v>3371</v>
      </c>
      <c r="D3060" s="49" t="s">
        <v>1721</v>
      </c>
      <c r="E3060" s="52" t="s">
        <v>751</v>
      </c>
    </row>
    <row r="3061" spans="1:5">
      <c r="A3061" s="49">
        <v>45516</v>
      </c>
      <c r="B3061" s="49">
        <v>1</v>
      </c>
      <c r="C3061" s="49" t="s">
        <v>3366</v>
      </c>
      <c r="D3061" s="49" t="s">
        <v>1721</v>
      </c>
      <c r="E3061" s="52" t="s">
        <v>981</v>
      </c>
    </row>
    <row r="3062" spans="1:5">
      <c r="A3062" s="49">
        <v>45517</v>
      </c>
      <c r="B3062" s="49">
        <v>1</v>
      </c>
      <c r="C3062" s="49" t="s">
        <v>3368</v>
      </c>
      <c r="D3062" s="49" t="s">
        <v>1721</v>
      </c>
      <c r="E3062" s="52" t="s">
        <v>983</v>
      </c>
    </row>
    <row r="3063" spans="1:5">
      <c r="A3063" s="49">
        <v>45518</v>
      </c>
      <c r="B3063" s="49">
        <v>1</v>
      </c>
      <c r="C3063" s="49" t="s">
        <v>3369</v>
      </c>
      <c r="D3063" s="49" t="s">
        <v>1721</v>
      </c>
      <c r="E3063" s="52" t="s">
        <v>747</v>
      </c>
    </row>
    <row r="3064" spans="1:5">
      <c r="A3064" s="49">
        <v>45519</v>
      </c>
      <c r="B3064" s="49">
        <v>1</v>
      </c>
      <c r="C3064" s="49" t="s">
        <v>3370</v>
      </c>
      <c r="D3064" s="49" t="s">
        <v>1721</v>
      </c>
      <c r="E3064" s="52" t="s">
        <v>986</v>
      </c>
    </row>
    <row r="3065" spans="1:5">
      <c r="A3065" s="49">
        <v>45520</v>
      </c>
      <c r="B3065" s="49">
        <v>1</v>
      </c>
      <c r="C3065" s="49" t="s">
        <v>3371</v>
      </c>
      <c r="D3065" s="49" t="s">
        <v>1721</v>
      </c>
      <c r="E3065" s="52" t="s">
        <v>751</v>
      </c>
    </row>
    <row r="3066" spans="1:5">
      <c r="A3066" s="49">
        <v>45521</v>
      </c>
      <c r="B3066" s="49">
        <v>1</v>
      </c>
      <c r="C3066" s="49" t="s">
        <v>3366</v>
      </c>
      <c r="D3066" s="49" t="s">
        <v>1721</v>
      </c>
      <c r="E3066" s="52" t="s">
        <v>981</v>
      </c>
    </row>
    <row r="3067" spans="1:5">
      <c r="A3067" s="49">
        <v>45522</v>
      </c>
      <c r="B3067" s="49">
        <v>1</v>
      </c>
      <c r="C3067" s="49" t="s">
        <v>3368</v>
      </c>
      <c r="D3067" s="49" t="s">
        <v>1721</v>
      </c>
      <c r="E3067" s="52" t="s">
        <v>983</v>
      </c>
    </row>
    <row r="3068" spans="1:5">
      <c r="A3068" s="49">
        <v>45523</v>
      </c>
      <c r="B3068" s="49">
        <v>1</v>
      </c>
      <c r="C3068" s="49" t="s">
        <v>3369</v>
      </c>
      <c r="D3068" s="49" t="s">
        <v>1721</v>
      </c>
      <c r="E3068" s="52" t="s">
        <v>747</v>
      </c>
    </row>
    <row r="3069" spans="1:5">
      <c r="A3069" s="49">
        <v>45524</v>
      </c>
      <c r="B3069" s="49">
        <v>1</v>
      </c>
      <c r="C3069" s="49" t="s">
        <v>3370</v>
      </c>
      <c r="D3069" s="49" t="s">
        <v>1721</v>
      </c>
      <c r="E3069" s="52" t="s">
        <v>986</v>
      </c>
    </row>
    <row r="3070" spans="1:5">
      <c r="A3070" s="49">
        <v>45525</v>
      </c>
      <c r="B3070" s="49">
        <v>1</v>
      </c>
      <c r="C3070" s="49" t="s">
        <v>3371</v>
      </c>
      <c r="D3070" s="49" t="s">
        <v>1721</v>
      </c>
      <c r="E3070" s="52" t="s">
        <v>751</v>
      </c>
    </row>
    <row r="3071" spans="1:5">
      <c r="A3071" s="49">
        <v>45526</v>
      </c>
      <c r="B3071" s="49">
        <v>1</v>
      </c>
      <c r="C3071" s="49" t="s">
        <v>3366</v>
      </c>
      <c r="D3071" s="49" t="s">
        <v>1721</v>
      </c>
      <c r="E3071" s="52" t="s">
        <v>981</v>
      </c>
    </row>
    <row r="3072" spans="1:5">
      <c r="A3072" s="49">
        <v>45527</v>
      </c>
      <c r="B3072" s="49">
        <v>1</v>
      </c>
      <c r="C3072" s="49" t="s">
        <v>3368</v>
      </c>
      <c r="D3072" s="49" t="s">
        <v>1721</v>
      </c>
      <c r="E3072" s="52" t="s">
        <v>983</v>
      </c>
    </row>
    <row r="3073" spans="1:5">
      <c r="A3073" s="49">
        <v>45528</v>
      </c>
      <c r="B3073" s="49">
        <v>1</v>
      </c>
      <c r="C3073" s="49" t="s">
        <v>3369</v>
      </c>
      <c r="D3073" s="49" t="s">
        <v>1721</v>
      </c>
      <c r="E3073" s="52" t="s">
        <v>747</v>
      </c>
    </row>
    <row r="3074" spans="1:5">
      <c r="A3074" s="49">
        <v>45529</v>
      </c>
      <c r="B3074" s="49">
        <v>1</v>
      </c>
      <c r="C3074" s="49" t="s">
        <v>3370</v>
      </c>
      <c r="D3074" s="49" t="s">
        <v>1721</v>
      </c>
      <c r="E3074" s="52" t="s">
        <v>986</v>
      </c>
    </row>
    <row r="3075" spans="1:5">
      <c r="A3075" s="49">
        <v>45530</v>
      </c>
      <c r="B3075" s="49">
        <v>1</v>
      </c>
      <c r="C3075" s="49" t="s">
        <v>3371</v>
      </c>
      <c r="D3075" s="49" t="s">
        <v>1721</v>
      </c>
      <c r="E3075" s="52" t="s">
        <v>751</v>
      </c>
    </row>
    <row r="3076" spans="1:5">
      <c r="A3076" s="49">
        <v>45531</v>
      </c>
      <c r="B3076" s="49">
        <v>1</v>
      </c>
      <c r="C3076" s="49" t="s">
        <v>3366</v>
      </c>
      <c r="D3076" s="49" t="s">
        <v>1721</v>
      </c>
      <c r="E3076" s="52" t="s">
        <v>981</v>
      </c>
    </row>
    <row r="3077" spans="1:5">
      <c r="A3077" s="49">
        <v>45532</v>
      </c>
      <c r="B3077" s="49">
        <v>1</v>
      </c>
      <c r="C3077" s="49" t="s">
        <v>3368</v>
      </c>
      <c r="D3077" s="49" t="s">
        <v>1721</v>
      </c>
      <c r="E3077" s="52" t="s">
        <v>983</v>
      </c>
    </row>
    <row r="3078" spans="1:5">
      <c r="A3078" s="49">
        <v>45533</v>
      </c>
      <c r="B3078" s="49">
        <v>1</v>
      </c>
      <c r="C3078" s="49" t="s">
        <v>3369</v>
      </c>
      <c r="D3078" s="49" t="s">
        <v>1721</v>
      </c>
      <c r="E3078" s="52" t="s">
        <v>747</v>
      </c>
    </row>
    <row r="3079" spans="1:5">
      <c r="A3079" s="49">
        <v>45534</v>
      </c>
      <c r="B3079" s="49">
        <v>1</v>
      </c>
      <c r="C3079" s="49" t="s">
        <v>3370</v>
      </c>
      <c r="D3079" s="49" t="s">
        <v>1721</v>
      </c>
      <c r="E3079" s="52" t="s">
        <v>986</v>
      </c>
    </row>
    <row r="3080" spans="1:5">
      <c r="A3080" s="49">
        <v>45535</v>
      </c>
      <c r="B3080" s="49">
        <v>1</v>
      </c>
      <c r="C3080" s="49" t="s">
        <v>3371</v>
      </c>
      <c r="D3080" s="49" t="s">
        <v>1721</v>
      </c>
      <c r="E3080" s="52" t="s">
        <v>751</v>
      </c>
    </row>
    <row r="3081" spans="1:5">
      <c r="A3081" s="49">
        <v>45536</v>
      </c>
      <c r="B3081" s="49">
        <v>1</v>
      </c>
      <c r="C3081" s="49" t="s">
        <v>3366</v>
      </c>
      <c r="D3081" s="49" t="s">
        <v>1721</v>
      </c>
      <c r="E3081" s="52" t="s">
        <v>981</v>
      </c>
    </row>
    <row r="3082" spans="1:5">
      <c r="A3082" s="49">
        <v>45537</v>
      </c>
      <c r="B3082" s="49">
        <v>1</v>
      </c>
      <c r="C3082" s="49" t="s">
        <v>3368</v>
      </c>
      <c r="D3082" s="49" t="s">
        <v>1721</v>
      </c>
      <c r="E3082" s="52" t="s">
        <v>983</v>
      </c>
    </row>
    <row r="3083" spans="1:5">
      <c r="A3083" s="49">
        <v>45538</v>
      </c>
      <c r="B3083" s="49">
        <v>1</v>
      </c>
      <c r="C3083" s="49" t="s">
        <v>3369</v>
      </c>
      <c r="D3083" s="49" t="s">
        <v>1721</v>
      </c>
      <c r="E3083" s="52" t="s">
        <v>747</v>
      </c>
    </row>
    <row r="3084" spans="1:5">
      <c r="A3084" s="49">
        <v>45539</v>
      </c>
      <c r="B3084" s="49">
        <v>1</v>
      </c>
      <c r="C3084" s="49" t="s">
        <v>3370</v>
      </c>
      <c r="D3084" s="49" t="s">
        <v>1721</v>
      </c>
      <c r="E3084" s="52" t="s">
        <v>986</v>
      </c>
    </row>
    <row r="3085" spans="1:5">
      <c r="A3085" s="49">
        <v>45540</v>
      </c>
      <c r="B3085" s="49">
        <v>1</v>
      </c>
      <c r="C3085" s="49" t="s">
        <v>3371</v>
      </c>
      <c r="D3085" s="49" t="s">
        <v>1721</v>
      </c>
      <c r="E3085" s="52" t="s">
        <v>751</v>
      </c>
    </row>
    <row r="3086" spans="1:5">
      <c r="A3086" s="49">
        <v>45541</v>
      </c>
      <c r="B3086" s="49">
        <v>1</v>
      </c>
      <c r="C3086" s="49" t="s">
        <v>3366</v>
      </c>
      <c r="D3086" s="49" t="s">
        <v>1721</v>
      </c>
      <c r="E3086" s="52" t="s">
        <v>981</v>
      </c>
    </row>
    <row r="3087" spans="1:5">
      <c r="A3087" s="49">
        <v>45542</v>
      </c>
      <c r="B3087" s="49">
        <v>1</v>
      </c>
      <c r="C3087" s="49" t="s">
        <v>3368</v>
      </c>
      <c r="D3087" s="49" t="s">
        <v>1721</v>
      </c>
      <c r="E3087" s="52" t="s">
        <v>983</v>
      </c>
    </row>
    <row r="3088" spans="1:5">
      <c r="A3088" s="49">
        <v>45543</v>
      </c>
      <c r="B3088" s="49">
        <v>1</v>
      </c>
      <c r="C3088" s="49" t="s">
        <v>3369</v>
      </c>
      <c r="D3088" s="49" t="s">
        <v>1721</v>
      </c>
      <c r="E3088" s="52" t="s">
        <v>747</v>
      </c>
    </row>
    <row r="3089" spans="1:5">
      <c r="A3089" s="49">
        <v>45544</v>
      </c>
      <c r="B3089" s="49">
        <v>1</v>
      </c>
      <c r="C3089" s="49" t="s">
        <v>3370</v>
      </c>
      <c r="D3089" s="49" t="s">
        <v>1721</v>
      </c>
      <c r="E3089" s="52" t="s">
        <v>986</v>
      </c>
    </row>
    <row r="3090" spans="1:5">
      <c r="A3090" s="49">
        <v>45545</v>
      </c>
      <c r="B3090" s="49">
        <v>1</v>
      </c>
      <c r="C3090" s="49" t="s">
        <v>3371</v>
      </c>
      <c r="D3090" s="49" t="s">
        <v>1721</v>
      </c>
      <c r="E3090" s="52" t="s">
        <v>751</v>
      </c>
    </row>
    <row r="3091" spans="1:5">
      <c r="A3091" s="49">
        <v>45546</v>
      </c>
      <c r="B3091" s="49">
        <v>1</v>
      </c>
      <c r="C3091" s="49" t="s">
        <v>3366</v>
      </c>
      <c r="D3091" s="49" t="s">
        <v>1721</v>
      </c>
      <c r="E3091" s="52" t="s">
        <v>981</v>
      </c>
    </row>
    <row r="3092" spans="1:5">
      <c r="A3092" s="49">
        <v>45547</v>
      </c>
      <c r="B3092" s="49">
        <v>1</v>
      </c>
      <c r="C3092" s="49" t="s">
        <v>3368</v>
      </c>
      <c r="D3092" s="49" t="s">
        <v>1721</v>
      </c>
      <c r="E3092" s="52" t="s">
        <v>983</v>
      </c>
    </row>
    <row r="3093" spans="1:5">
      <c r="A3093" s="49">
        <v>45548</v>
      </c>
      <c r="B3093" s="49">
        <v>1</v>
      </c>
      <c r="C3093" s="49" t="s">
        <v>3369</v>
      </c>
      <c r="D3093" s="49" t="s">
        <v>1721</v>
      </c>
      <c r="E3093" s="52" t="s">
        <v>747</v>
      </c>
    </row>
    <row r="3094" spans="1:5">
      <c r="A3094" s="49">
        <v>45549</v>
      </c>
      <c r="B3094" s="49">
        <v>1</v>
      </c>
      <c r="C3094" s="49" t="s">
        <v>3370</v>
      </c>
      <c r="D3094" s="49" t="s">
        <v>1721</v>
      </c>
      <c r="E3094" s="52" t="s">
        <v>986</v>
      </c>
    </row>
    <row r="3095" spans="1:5">
      <c r="A3095" s="49">
        <v>45550</v>
      </c>
      <c r="B3095" s="49">
        <v>1</v>
      </c>
      <c r="C3095" s="49" t="s">
        <v>3371</v>
      </c>
      <c r="D3095" s="49" t="s">
        <v>1721</v>
      </c>
      <c r="E3095" s="52" t="s">
        <v>751</v>
      </c>
    </row>
    <row r="3096" spans="1:5">
      <c r="A3096" s="49">
        <v>45551</v>
      </c>
      <c r="B3096" s="49">
        <v>1</v>
      </c>
      <c r="C3096" s="49" t="s">
        <v>3366</v>
      </c>
      <c r="D3096" s="49" t="s">
        <v>1721</v>
      </c>
      <c r="E3096" s="52" t="s">
        <v>981</v>
      </c>
    </row>
    <row r="3097" spans="1:5">
      <c r="A3097" s="49">
        <v>45552</v>
      </c>
      <c r="B3097" s="49">
        <v>1</v>
      </c>
      <c r="C3097" s="49" t="s">
        <v>3368</v>
      </c>
      <c r="D3097" s="49" t="s">
        <v>1721</v>
      </c>
      <c r="E3097" s="52" t="s">
        <v>983</v>
      </c>
    </row>
    <row r="3098" spans="1:5">
      <c r="A3098" s="49">
        <v>45553</v>
      </c>
      <c r="B3098" s="49">
        <v>1</v>
      </c>
      <c r="C3098" s="49" t="s">
        <v>3369</v>
      </c>
      <c r="D3098" s="49" t="s">
        <v>1721</v>
      </c>
      <c r="E3098" s="52" t="s">
        <v>747</v>
      </c>
    </row>
    <row r="3099" spans="1:5">
      <c r="A3099" s="49">
        <v>45554</v>
      </c>
      <c r="B3099" s="49">
        <v>1</v>
      </c>
      <c r="C3099" s="49" t="s">
        <v>3370</v>
      </c>
      <c r="D3099" s="49" t="s">
        <v>1721</v>
      </c>
      <c r="E3099" s="52" t="s">
        <v>986</v>
      </c>
    </row>
    <row r="3100" spans="1:5">
      <c r="A3100" s="49">
        <v>45555</v>
      </c>
      <c r="B3100" s="49">
        <v>1</v>
      </c>
      <c r="C3100" s="49" t="s">
        <v>3371</v>
      </c>
      <c r="D3100" s="49" t="s">
        <v>1721</v>
      </c>
      <c r="E3100" s="52" t="s">
        <v>751</v>
      </c>
    </row>
    <row r="3101" spans="1:5">
      <c r="A3101" s="49">
        <v>45556</v>
      </c>
      <c r="B3101" s="49">
        <v>1</v>
      </c>
      <c r="C3101" s="49" t="s">
        <v>3366</v>
      </c>
      <c r="D3101" s="49" t="s">
        <v>1721</v>
      </c>
      <c r="E3101" s="52" t="s">
        <v>981</v>
      </c>
    </row>
    <row r="3102" spans="1:5">
      <c r="A3102" s="49">
        <v>45557</v>
      </c>
      <c r="B3102" s="49">
        <v>1</v>
      </c>
      <c r="C3102" s="49" t="s">
        <v>3368</v>
      </c>
      <c r="D3102" s="49" t="s">
        <v>1721</v>
      </c>
      <c r="E3102" s="52" t="s">
        <v>983</v>
      </c>
    </row>
    <row r="3103" spans="1:5">
      <c r="A3103" s="49">
        <v>45558</v>
      </c>
      <c r="B3103" s="49">
        <v>1</v>
      </c>
      <c r="C3103" s="49" t="s">
        <v>3369</v>
      </c>
      <c r="D3103" s="49" t="s">
        <v>1721</v>
      </c>
      <c r="E3103" s="52" t="s">
        <v>747</v>
      </c>
    </row>
    <row r="3104" spans="1:5">
      <c r="A3104" s="49">
        <v>45559</v>
      </c>
      <c r="B3104" s="49">
        <v>1</v>
      </c>
      <c r="C3104" s="49" t="s">
        <v>3370</v>
      </c>
      <c r="D3104" s="49" t="s">
        <v>1721</v>
      </c>
      <c r="E3104" s="52" t="s">
        <v>986</v>
      </c>
    </row>
    <row r="3105" spans="1:5">
      <c r="A3105" s="49">
        <v>45560</v>
      </c>
      <c r="B3105" s="49">
        <v>1</v>
      </c>
      <c r="C3105" s="49" t="s">
        <v>3371</v>
      </c>
      <c r="D3105" s="49" t="s">
        <v>1721</v>
      </c>
      <c r="E3105" s="52" t="s">
        <v>751</v>
      </c>
    </row>
    <row r="3106" spans="1:5">
      <c r="A3106" s="49">
        <v>45561</v>
      </c>
      <c r="B3106" s="49">
        <v>1</v>
      </c>
      <c r="C3106" s="49" t="s">
        <v>3366</v>
      </c>
      <c r="D3106" s="49" t="s">
        <v>1721</v>
      </c>
      <c r="E3106" s="52" t="s">
        <v>981</v>
      </c>
    </row>
    <row r="3107" spans="1:5">
      <c r="A3107" s="49">
        <v>45562</v>
      </c>
      <c r="B3107" s="49">
        <v>1</v>
      </c>
      <c r="C3107" s="49" t="s">
        <v>3368</v>
      </c>
      <c r="D3107" s="49" t="s">
        <v>1721</v>
      </c>
      <c r="E3107" s="52" t="s">
        <v>983</v>
      </c>
    </row>
    <row r="3108" spans="1:5">
      <c r="A3108" s="49">
        <v>45563</v>
      </c>
      <c r="B3108" s="49">
        <v>1</v>
      </c>
      <c r="C3108" s="49" t="s">
        <v>3369</v>
      </c>
      <c r="D3108" s="49" t="s">
        <v>1721</v>
      </c>
      <c r="E3108" s="52" t="s">
        <v>747</v>
      </c>
    </row>
    <row r="3109" spans="1:5">
      <c r="A3109" s="49">
        <v>45564</v>
      </c>
      <c r="B3109" s="49">
        <v>1</v>
      </c>
      <c r="C3109" s="49" t="s">
        <v>3370</v>
      </c>
      <c r="D3109" s="49" t="s">
        <v>1721</v>
      </c>
      <c r="E3109" s="52" t="s">
        <v>986</v>
      </c>
    </row>
    <row r="3110" spans="1:5">
      <c r="A3110" s="49">
        <v>45565</v>
      </c>
      <c r="B3110" s="49">
        <v>1</v>
      </c>
      <c r="C3110" s="49" t="s">
        <v>3371</v>
      </c>
      <c r="D3110" s="49" t="s">
        <v>1721</v>
      </c>
      <c r="E3110" s="52" t="s">
        <v>751</v>
      </c>
    </row>
    <row r="3111" spans="1:5">
      <c r="A3111" s="49">
        <v>45566</v>
      </c>
      <c r="B3111" s="49">
        <v>1</v>
      </c>
      <c r="C3111" s="49" t="s">
        <v>3366</v>
      </c>
      <c r="D3111" s="49" t="s">
        <v>1721</v>
      </c>
      <c r="E3111" s="52" t="s">
        <v>981</v>
      </c>
    </row>
    <row r="3112" spans="1:5">
      <c r="A3112" s="49">
        <v>45567</v>
      </c>
      <c r="B3112" s="49">
        <v>1</v>
      </c>
      <c r="C3112" s="49" t="s">
        <v>3368</v>
      </c>
      <c r="D3112" s="49" t="s">
        <v>1721</v>
      </c>
      <c r="E3112" s="52" t="s">
        <v>983</v>
      </c>
    </row>
    <row r="3113" spans="1:5">
      <c r="A3113" s="49">
        <v>45568</v>
      </c>
      <c r="B3113" s="49">
        <v>1</v>
      </c>
      <c r="C3113" s="49" t="s">
        <v>3369</v>
      </c>
      <c r="D3113" s="49" t="s">
        <v>1721</v>
      </c>
      <c r="E3113" s="52" t="s">
        <v>747</v>
      </c>
    </row>
    <row r="3114" spans="1:5">
      <c r="A3114" s="49">
        <v>45569</v>
      </c>
      <c r="B3114" s="49">
        <v>1</v>
      </c>
      <c r="C3114" s="49" t="s">
        <v>3370</v>
      </c>
      <c r="D3114" s="49" t="s">
        <v>1721</v>
      </c>
      <c r="E3114" s="52" t="s">
        <v>986</v>
      </c>
    </row>
    <row r="3115" spans="1:5">
      <c r="A3115" s="49">
        <v>45570</v>
      </c>
      <c r="B3115" s="49">
        <v>1</v>
      </c>
      <c r="C3115" s="49" t="s">
        <v>3371</v>
      </c>
      <c r="D3115" s="49" t="s">
        <v>1721</v>
      </c>
      <c r="E3115" s="52" t="s">
        <v>751</v>
      </c>
    </row>
    <row r="3116" spans="1:5">
      <c r="A3116" s="49">
        <v>45571</v>
      </c>
      <c r="B3116" s="49">
        <v>1</v>
      </c>
      <c r="C3116" s="49" t="s">
        <v>3366</v>
      </c>
      <c r="D3116" s="49" t="s">
        <v>1721</v>
      </c>
      <c r="E3116" s="52" t="s">
        <v>981</v>
      </c>
    </row>
    <row r="3117" spans="1:5">
      <c r="A3117" s="49">
        <v>45572</v>
      </c>
      <c r="B3117" s="49">
        <v>1</v>
      </c>
      <c r="C3117" s="49" t="s">
        <v>3368</v>
      </c>
      <c r="D3117" s="49" t="s">
        <v>1721</v>
      </c>
      <c r="E3117" s="52" t="s">
        <v>983</v>
      </c>
    </row>
    <row r="3118" spans="1:5">
      <c r="A3118" s="49">
        <v>45573</v>
      </c>
      <c r="B3118" s="49">
        <v>1</v>
      </c>
      <c r="C3118" s="49" t="s">
        <v>3369</v>
      </c>
      <c r="D3118" s="49" t="s">
        <v>1721</v>
      </c>
      <c r="E3118" s="52" t="s">
        <v>747</v>
      </c>
    </row>
    <row r="3119" spans="1:5">
      <c r="A3119" s="49">
        <v>45574</v>
      </c>
      <c r="B3119" s="49">
        <v>1</v>
      </c>
      <c r="C3119" s="49" t="s">
        <v>3370</v>
      </c>
      <c r="D3119" s="49" t="s">
        <v>1721</v>
      </c>
      <c r="E3119" s="52" t="s">
        <v>986</v>
      </c>
    </row>
    <row r="3120" spans="1:5">
      <c r="A3120" s="49">
        <v>45575</v>
      </c>
      <c r="B3120" s="49">
        <v>1</v>
      </c>
      <c r="C3120" s="49" t="s">
        <v>3371</v>
      </c>
      <c r="D3120" s="49" t="s">
        <v>1721</v>
      </c>
      <c r="E3120" s="52" t="s">
        <v>751</v>
      </c>
    </row>
    <row r="3121" spans="1:5">
      <c r="A3121" s="49">
        <v>45576</v>
      </c>
      <c r="B3121" s="49">
        <v>1</v>
      </c>
      <c r="C3121" s="49" t="s">
        <v>3366</v>
      </c>
      <c r="D3121" s="49" t="s">
        <v>1721</v>
      </c>
      <c r="E3121" s="52" t="s">
        <v>981</v>
      </c>
    </row>
    <row r="3122" spans="1:5">
      <c r="A3122" s="49">
        <v>45577</v>
      </c>
      <c r="B3122" s="49">
        <v>1</v>
      </c>
      <c r="C3122" s="49" t="s">
        <v>3368</v>
      </c>
      <c r="D3122" s="49" t="s">
        <v>1721</v>
      </c>
      <c r="E3122" s="52" t="s">
        <v>983</v>
      </c>
    </row>
    <row r="3123" spans="1:5">
      <c r="A3123" s="49">
        <v>45578</v>
      </c>
      <c r="B3123" s="49">
        <v>1</v>
      </c>
      <c r="C3123" s="49" t="s">
        <v>3369</v>
      </c>
      <c r="D3123" s="49" t="s">
        <v>1721</v>
      </c>
      <c r="E3123" s="52" t="s">
        <v>747</v>
      </c>
    </row>
    <row r="3124" spans="1:5">
      <c r="A3124" s="49">
        <v>45579</v>
      </c>
      <c r="B3124" s="49">
        <v>1</v>
      </c>
      <c r="C3124" s="49" t="s">
        <v>3370</v>
      </c>
      <c r="D3124" s="49" t="s">
        <v>1721</v>
      </c>
      <c r="E3124" s="52" t="s">
        <v>986</v>
      </c>
    </row>
    <row r="3125" spans="1:5">
      <c r="A3125" s="49">
        <v>45580</v>
      </c>
      <c r="B3125" s="49">
        <v>1</v>
      </c>
      <c r="C3125" s="49" t="s">
        <v>3371</v>
      </c>
      <c r="D3125" s="49" t="s">
        <v>1721</v>
      </c>
      <c r="E3125" s="52" t="s">
        <v>751</v>
      </c>
    </row>
    <row r="3126" spans="1:5">
      <c r="A3126" s="49">
        <v>45581</v>
      </c>
      <c r="B3126" s="49">
        <v>1</v>
      </c>
      <c r="C3126" s="49" t="s">
        <v>3366</v>
      </c>
      <c r="D3126" s="49" t="s">
        <v>1721</v>
      </c>
      <c r="E3126" s="52" t="s">
        <v>981</v>
      </c>
    </row>
    <row r="3127" spans="1:5">
      <c r="A3127" s="49">
        <v>45582</v>
      </c>
      <c r="B3127" s="49">
        <v>1</v>
      </c>
      <c r="C3127" s="49" t="s">
        <v>3368</v>
      </c>
      <c r="D3127" s="49" t="s">
        <v>1721</v>
      </c>
      <c r="E3127" s="52" t="s">
        <v>983</v>
      </c>
    </row>
    <row r="3128" spans="1:5">
      <c r="A3128" s="49">
        <v>45583</v>
      </c>
      <c r="B3128" s="49">
        <v>1</v>
      </c>
      <c r="C3128" s="49" t="s">
        <v>3369</v>
      </c>
      <c r="D3128" s="49" t="s">
        <v>1721</v>
      </c>
      <c r="E3128" s="52" t="s">
        <v>747</v>
      </c>
    </row>
    <row r="3129" spans="1:5">
      <c r="A3129" s="49">
        <v>45584</v>
      </c>
      <c r="B3129" s="49">
        <v>1</v>
      </c>
      <c r="C3129" s="49" t="s">
        <v>3370</v>
      </c>
      <c r="D3129" s="49" t="s">
        <v>1721</v>
      </c>
      <c r="E3129" s="52" t="s">
        <v>986</v>
      </c>
    </row>
    <row r="3130" spans="1:5">
      <c r="A3130" s="49">
        <v>45585</v>
      </c>
      <c r="B3130" s="49">
        <v>1</v>
      </c>
      <c r="C3130" s="49" t="s">
        <v>3371</v>
      </c>
      <c r="D3130" s="49" t="s">
        <v>1721</v>
      </c>
      <c r="E3130" s="52" t="s">
        <v>751</v>
      </c>
    </row>
    <row r="3131" spans="1:5">
      <c r="A3131" s="49">
        <v>45586</v>
      </c>
      <c r="B3131" s="49">
        <v>1</v>
      </c>
      <c r="C3131" s="49" t="s">
        <v>3366</v>
      </c>
      <c r="D3131" s="49" t="s">
        <v>1721</v>
      </c>
      <c r="E3131" s="52" t="s">
        <v>981</v>
      </c>
    </row>
    <row r="3132" spans="1:5">
      <c r="A3132" s="49">
        <v>45587</v>
      </c>
      <c r="B3132" s="49">
        <v>1</v>
      </c>
      <c r="C3132" s="49" t="s">
        <v>3368</v>
      </c>
      <c r="D3132" s="49" t="s">
        <v>1721</v>
      </c>
      <c r="E3132" s="52" t="s">
        <v>983</v>
      </c>
    </row>
    <row r="3133" spans="1:5">
      <c r="A3133" s="49">
        <v>45588</v>
      </c>
      <c r="B3133" s="49">
        <v>1</v>
      </c>
      <c r="C3133" s="49" t="s">
        <v>3369</v>
      </c>
      <c r="D3133" s="49" t="s">
        <v>1721</v>
      </c>
      <c r="E3133" s="52" t="s">
        <v>747</v>
      </c>
    </row>
    <row r="3134" spans="1:5">
      <c r="A3134" s="49">
        <v>45589</v>
      </c>
      <c r="B3134" s="49">
        <v>1</v>
      </c>
      <c r="C3134" s="49" t="s">
        <v>3370</v>
      </c>
      <c r="D3134" s="49" t="s">
        <v>1721</v>
      </c>
      <c r="E3134" s="52" t="s">
        <v>986</v>
      </c>
    </row>
    <row r="3135" spans="1:5">
      <c r="A3135" s="49">
        <v>45590</v>
      </c>
      <c r="B3135" s="49">
        <v>1</v>
      </c>
      <c r="C3135" s="49" t="s">
        <v>3371</v>
      </c>
      <c r="D3135" s="49" t="s">
        <v>1721</v>
      </c>
      <c r="E3135" s="52" t="s">
        <v>751</v>
      </c>
    </row>
    <row r="3136" spans="1:5">
      <c r="A3136" s="49">
        <v>45591</v>
      </c>
      <c r="B3136" s="49">
        <v>1</v>
      </c>
      <c r="C3136" s="49" t="s">
        <v>3366</v>
      </c>
      <c r="D3136" s="49" t="s">
        <v>1721</v>
      </c>
      <c r="E3136" s="52" t="s">
        <v>981</v>
      </c>
    </row>
    <row r="3137" spans="1:5">
      <c r="A3137" s="49">
        <v>45592</v>
      </c>
      <c r="B3137" s="49">
        <v>1</v>
      </c>
      <c r="C3137" s="49" t="s">
        <v>3368</v>
      </c>
      <c r="D3137" s="49" t="s">
        <v>1721</v>
      </c>
      <c r="E3137" s="52" t="s">
        <v>983</v>
      </c>
    </row>
    <row r="3138" spans="1:5">
      <c r="A3138" s="49">
        <v>45593</v>
      </c>
      <c r="B3138" s="49">
        <v>1</v>
      </c>
      <c r="C3138" s="49" t="s">
        <v>3369</v>
      </c>
      <c r="D3138" s="49" t="s">
        <v>1721</v>
      </c>
      <c r="E3138" s="52" t="s">
        <v>747</v>
      </c>
    </row>
    <row r="3139" spans="1:5">
      <c r="A3139" s="49">
        <v>45594</v>
      </c>
      <c r="B3139" s="49">
        <v>1</v>
      </c>
      <c r="C3139" s="49" t="s">
        <v>3370</v>
      </c>
      <c r="D3139" s="49" t="s">
        <v>1721</v>
      </c>
      <c r="E3139" s="52" t="s">
        <v>986</v>
      </c>
    </row>
    <row r="3140" spans="1:5">
      <c r="A3140" s="49">
        <v>45595</v>
      </c>
      <c r="B3140" s="49">
        <v>1</v>
      </c>
      <c r="C3140" s="49" t="s">
        <v>3371</v>
      </c>
      <c r="D3140" s="49" t="s">
        <v>1721</v>
      </c>
      <c r="E3140" s="52" t="s">
        <v>751</v>
      </c>
    </row>
    <row r="3141" spans="1:5">
      <c r="A3141" s="49">
        <v>45596</v>
      </c>
      <c r="B3141" s="49">
        <v>1</v>
      </c>
      <c r="C3141" s="49" t="s">
        <v>3366</v>
      </c>
      <c r="D3141" s="49" t="s">
        <v>1721</v>
      </c>
      <c r="E3141" s="52" t="s">
        <v>981</v>
      </c>
    </row>
    <row r="3142" spans="1:5">
      <c r="A3142" s="49">
        <v>45597</v>
      </c>
      <c r="B3142" s="49">
        <v>1</v>
      </c>
      <c r="C3142" s="49" t="s">
        <v>3368</v>
      </c>
      <c r="D3142" s="49" t="s">
        <v>1721</v>
      </c>
      <c r="E3142" s="52" t="s">
        <v>983</v>
      </c>
    </row>
    <row r="3143" spans="1:5">
      <c r="A3143" s="49">
        <v>45598</v>
      </c>
      <c r="B3143" s="49">
        <v>1</v>
      </c>
      <c r="C3143" s="49" t="s">
        <v>3369</v>
      </c>
      <c r="D3143" s="49" t="s">
        <v>1721</v>
      </c>
      <c r="E3143" s="52" t="s">
        <v>747</v>
      </c>
    </row>
    <row r="3144" spans="1:5">
      <c r="A3144" s="49">
        <v>45599</v>
      </c>
      <c r="B3144" s="49">
        <v>1</v>
      </c>
      <c r="C3144" s="49" t="s">
        <v>3370</v>
      </c>
      <c r="D3144" s="49" t="s">
        <v>1721</v>
      </c>
      <c r="E3144" s="52" t="s">
        <v>986</v>
      </c>
    </row>
    <row r="3145" spans="1:5">
      <c r="A3145" s="49">
        <v>45600</v>
      </c>
      <c r="B3145" s="49">
        <v>1</v>
      </c>
      <c r="C3145" s="49" t="s">
        <v>3371</v>
      </c>
      <c r="D3145" s="49" t="s">
        <v>1721</v>
      </c>
      <c r="E3145" s="52" t="s">
        <v>751</v>
      </c>
    </row>
    <row r="3146" spans="1:5">
      <c r="A3146" s="49">
        <v>45601</v>
      </c>
      <c r="B3146" s="49">
        <v>1</v>
      </c>
      <c r="C3146" s="49" t="s">
        <v>3366</v>
      </c>
      <c r="D3146" s="49" t="s">
        <v>1721</v>
      </c>
      <c r="E3146" s="52" t="s">
        <v>981</v>
      </c>
    </row>
    <row r="3147" spans="1:5">
      <c r="A3147" s="49">
        <v>45602</v>
      </c>
      <c r="B3147" s="49">
        <v>1</v>
      </c>
      <c r="C3147" s="49" t="s">
        <v>3368</v>
      </c>
      <c r="D3147" s="49" t="s">
        <v>1721</v>
      </c>
      <c r="E3147" s="52" t="s">
        <v>983</v>
      </c>
    </row>
    <row r="3148" spans="1:5">
      <c r="A3148" s="49">
        <v>45603</v>
      </c>
      <c r="B3148" s="49">
        <v>1</v>
      </c>
      <c r="C3148" s="49" t="s">
        <v>3369</v>
      </c>
      <c r="D3148" s="49" t="s">
        <v>1721</v>
      </c>
      <c r="E3148" s="52" t="s">
        <v>747</v>
      </c>
    </row>
    <row r="3149" spans="1:5">
      <c r="A3149" s="49">
        <v>45604</v>
      </c>
      <c r="B3149" s="49">
        <v>1</v>
      </c>
      <c r="C3149" s="49" t="s">
        <v>3370</v>
      </c>
      <c r="D3149" s="49" t="s">
        <v>1721</v>
      </c>
      <c r="E3149" s="52" t="s">
        <v>986</v>
      </c>
    </row>
    <row r="3150" spans="1:5">
      <c r="A3150" s="49">
        <v>45605</v>
      </c>
      <c r="B3150" s="49">
        <v>1</v>
      </c>
      <c r="C3150" s="49" t="s">
        <v>3371</v>
      </c>
      <c r="D3150" s="49" t="s">
        <v>1721</v>
      </c>
      <c r="E3150" s="52" t="s">
        <v>751</v>
      </c>
    </row>
    <row r="3151" spans="1:5">
      <c r="A3151" s="49">
        <v>45606</v>
      </c>
      <c r="B3151" s="49">
        <v>1</v>
      </c>
      <c r="C3151" s="49" t="s">
        <v>3366</v>
      </c>
      <c r="D3151" s="49" t="s">
        <v>1721</v>
      </c>
      <c r="E3151" s="52" t="s">
        <v>981</v>
      </c>
    </row>
    <row r="3152" spans="1:5">
      <c r="A3152" s="49">
        <v>45607</v>
      </c>
      <c r="B3152" s="49">
        <v>1</v>
      </c>
      <c r="C3152" s="49" t="s">
        <v>3368</v>
      </c>
      <c r="D3152" s="49" t="s">
        <v>1721</v>
      </c>
      <c r="E3152" s="52" t="s">
        <v>983</v>
      </c>
    </row>
    <row r="3153" spans="1:5">
      <c r="A3153" s="49">
        <v>45608</v>
      </c>
      <c r="B3153" s="49">
        <v>1</v>
      </c>
      <c r="C3153" s="49" t="s">
        <v>3369</v>
      </c>
      <c r="D3153" s="49" t="s">
        <v>1721</v>
      </c>
      <c r="E3153" s="52" t="s">
        <v>747</v>
      </c>
    </row>
    <row r="3154" spans="1:5">
      <c r="A3154" s="49">
        <v>45609</v>
      </c>
      <c r="B3154" s="49">
        <v>1</v>
      </c>
      <c r="C3154" s="49" t="s">
        <v>3370</v>
      </c>
      <c r="D3154" s="49" t="s">
        <v>1721</v>
      </c>
      <c r="E3154" s="52" t="s">
        <v>986</v>
      </c>
    </row>
    <row r="3155" spans="1:5">
      <c r="A3155" s="49">
        <v>45610</v>
      </c>
      <c r="B3155" s="49">
        <v>1</v>
      </c>
      <c r="C3155" s="49" t="s">
        <v>3371</v>
      </c>
      <c r="D3155" s="49" t="s">
        <v>1721</v>
      </c>
      <c r="E3155" s="52" t="s">
        <v>751</v>
      </c>
    </row>
    <row r="3156" spans="1:5">
      <c r="A3156" s="49">
        <v>45611</v>
      </c>
      <c r="B3156" s="49">
        <v>1</v>
      </c>
      <c r="C3156" s="49" t="s">
        <v>3366</v>
      </c>
      <c r="D3156" s="49" t="s">
        <v>1721</v>
      </c>
      <c r="E3156" s="52" t="s">
        <v>981</v>
      </c>
    </row>
    <row r="3157" spans="1:5">
      <c r="A3157" s="49">
        <v>45612</v>
      </c>
      <c r="B3157" s="49">
        <v>1</v>
      </c>
      <c r="C3157" s="49" t="s">
        <v>3368</v>
      </c>
      <c r="D3157" s="49" t="s">
        <v>1721</v>
      </c>
      <c r="E3157" s="52" t="s">
        <v>983</v>
      </c>
    </row>
    <row r="3158" spans="1:5">
      <c r="A3158" s="49">
        <v>45613</v>
      </c>
      <c r="B3158" s="49">
        <v>1</v>
      </c>
      <c r="C3158" s="49" t="s">
        <v>3369</v>
      </c>
      <c r="D3158" s="49" t="s">
        <v>1721</v>
      </c>
      <c r="E3158" s="52" t="s">
        <v>747</v>
      </c>
    </row>
    <row r="3159" spans="1:5">
      <c r="A3159" s="49">
        <v>45614</v>
      </c>
      <c r="B3159" s="49">
        <v>1</v>
      </c>
      <c r="C3159" s="49" t="s">
        <v>3370</v>
      </c>
      <c r="D3159" s="49" t="s">
        <v>1721</v>
      </c>
      <c r="E3159" s="52" t="s">
        <v>986</v>
      </c>
    </row>
    <row r="3160" spans="1:5">
      <c r="A3160" s="49">
        <v>45615</v>
      </c>
      <c r="B3160" s="49">
        <v>1</v>
      </c>
      <c r="C3160" s="49" t="s">
        <v>3371</v>
      </c>
      <c r="D3160" s="49" t="s">
        <v>1721</v>
      </c>
      <c r="E3160" s="52" t="s">
        <v>751</v>
      </c>
    </row>
    <row r="3161" spans="1:5">
      <c r="A3161" s="49">
        <v>45616</v>
      </c>
      <c r="B3161" s="49">
        <v>1</v>
      </c>
      <c r="C3161" s="49" t="s">
        <v>3366</v>
      </c>
      <c r="D3161" s="49" t="s">
        <v>1721</v>
      </c>
      <c r="E3161" s="52" t="s">
        <v>981</v>
      </c>
    </row>
    <row r="3162" spans="1:5">
      <c r="A3162" s="49">
        <v>45617</v>
      </c>
      <c r="B3162" s="49">
        <v>1</v>
      </c>
      <c r="C3162" s="49" t="s">
        <v>3368</v>
      </c>
      <c r="D3162" s="49" t="s">
        <v>1721</v>
      </c>
      <c r="E3162" s="52" t="s">
        <v>983</v>
      </c>
    </row>
    <row r="3163" spans="1:5">
      <c r="A3163" s="49">
        <v>45618</v>
      </c>
      <c r="B3163" s="49">
        <v>1</v>
      </c>
      <c r="C3163" s="49" t="s">
        <v>3369</v>
      </c>
      <c r="D3163" s="49" t="s">
        <v>1721</v>
      </c>
      <c r="E3163" s="52" t="s">
        <v>747</v>
      </c>
    </row>
    <row r="3164" spans="1:5">
      <c r="A3164" s="49">
        <v>45619</v>
      </c>
      <c r="B3164" s="49">
        <v>1</v>
      </c>
      <c r="C3164" s="49" t="s">
        <v>3370</v>
      </c>
      <c r="D3164" s="49" t="s">
        <v>1721</v>
      </c>
      <c r="E3164" s="52" t="s">
        <v>986</v>
      </c>
    </row>
    <row r="3165" spans="1:5">
      <c r="A3165" s="49">
        <v>45620</v>
      </c>
      <c r="B3165" s="49">
        <v>1</v>
      </c>
      <c r="C3165" s="49" t="s">
        <v>3371</v>
      </c>
      <c r="D3165" s="49" t="s">
        <v>1721</v>
      </c>
      <c r="E3165" s="52" t="s">
        <v>751</v>
      </c>
    </row>
    <row r="3166" spans="1:5">
      <c r="A3166" s="49">
        <v>45621</v>
      </c>
      <c r="B3166" s="49">
        <v>1</v>
      </c>
      <c r="C3166" s="49" t="s">
        <v>3366</v>
      </c>
      <c r="D3166" s="49" t="s">
        <v>1721</v>
      </c>
      <c r="E3166" s="52" t="s">
        <v>981</v>
      </c>
    </row>
    <row r="3167" spans="1:5">
      <c r="A3167" s="49">
        <v>45622</v>
      </c>
      <c r="B3167" s="49">
        <v>1</v>
      </c>
      <c r="C3167" s="49" t="s">
        <v>3368</v>
      </c>
      <c r="D3167" s="49" t="s">
        <v>1721</v>
      </c>
      <c r="E3167" s="52" t="s">
        <v>983</v>
      </c>
    </row>
    <row r="3168" spans="1:5">
      <c r="A3168" s="49">
        <v>45623</v>
      </c>
      <c r="B3168" s="49">
        <v>1</v>
      </c>
      <c r="C3168" s="49" t="s">
        <v>3369</v>
      </c>
      <c r="D3168" s="49" t="s">
        <v>1721</v>
      </c>
      <c r="E3168" s="52" t="s">
        <v>747</v>
      </c>
    </row>
    <row r="3169" spans="1:5">
      <c r="A3169" s="49">
        <v>45624</v>
      </c>
      <c r="B3169" s="49">
        <v>1</v>
      </c>
      <c r="C3169" s="49" t="s">
        <v>3370</v>
      </c>
      <c r="D3169" s="49" t="s">
        <v>1721</v>
      </c>
      <c r="E3169" s="52" t="s">
        <v>986</v>
      </c>
    </row>
    <row r="3170" spans="1:5">
      <c r="A3170" s="49">
        <v>45625</v>
      </c>
      <c r="B3170" s="49">
        <v>1</v>
      </c>
      <c r="C3170" s="49" t="s">
        <v>3371</v>
      </c>
      <c r="D3170" s="49" t="s">
        <v>1721</v>
      </c>
      <c r="E3170" s="52" t="s">
        <v>751</v>
      </c>
    </row>
    <row r="3171" spans="1:5">
      <c r="A3171" s="49">
        <v>45626</v>
      </c>
      <c r="B3171" s="49">
        <v>1</v>
      </c>
      <c r="C3171" s="49" t="s">
        <v>3366</v>
      </c>
      <c r="D3171" s="49" t="s">
        <v>1721</v>
      </c>
      <c r="E3171" s="52" t="s">
        <v>981</v>
      </c>
    </row>
    <row r="3172" spans="1:5">
      <c r="A3172" s="49">
        <v>45627</v>
      </c>
      <c r="B3172" s="49">
        <v>1</v>
      </c>
      <c r="C3172" s="49" t="s">
        <v>3368</v>
      </c>
      <c r="D3172" s="49" t="s">
        <v>1721</v>
      </c>
      <c r="E3172" s="52" t="s">
        <v>983</v>
      </c>
    </row>
    <row r="3173" spans="1:5">
      <c r="A3173" s="49">
        <v>45628</v>
      </c>
      <c r="B3173" s="49">
        <v>1</v>
      </c>
      <c r="C3173" s="49" t="s">
        <v>3369</v>
      </c>
      <c r="D3173" s="49" t="s">
        <v>1721</v>
      </c>
      <c r="E3173" s="52" t="s">
        <v>747</v>
      </c>
    </row>
    <row r="3174" spans="1:5">
      <c r="A3174" s="49">
        <v>45629</v>
      </c>
      <c r="B3174" s="49">
        <v>1</v>
      </c>
      <c r="C3174" s="49" t="s">
        <v>3370</v>
      </c>
      <c r="D3174" s="49" t="s">
        <v>1721</v>
      </c>
      <c r="E3174" s="52" t="s">
        <v>986</v>
      </c>
    </row>
    <row r="3175" spans="1:5">
      <c r="A3175" s="49">
        <v>45630</v>
      </c>
      <c r="B3175" s="49">
        <v>1</v>
      </c>
      <c r="C3175" s="49" t="s">
        <v>3371</v>
      </c>
      <c r="D3175" s="49" t="s">
        <v>1721</v>
      </c>
      <c r="E3175" s="52" t="s">
        <v>751</v>
      </c>
    </row>
    <row r="3176" spans="1:5">
      <c r="A3176" s="49">
        <v>45631</v>
      </c>
      <c r="B3176" s="49">
        <v>1</v>
      </c>
      <c r="C3176" s="49" t="s">
        <v>3366</v>
      </c>
      <c r="D3176" s="49" t="s">
        <v>1721</v>
      </c>
      <c r="E3176" s="52" t="s">
        <v>981</v>
      </c>
    </row>
    <row r="3177" spans="1:5">
      <c r="A3177" s="49">
        <v>45632</v>
      </c>
      <c r="B3177" s="49">
        <v>1</v>
      </c>
      <c r="C3177" s="49" t="s">
        <v>3368</v>
      </c>
      <c r="D3177" s="49" t="s">
        <v>1721</v>
      </c>
      <c r="E3177" s="52" t="s">
        <v>983</v>
      </c>
    </row>
    <row r="3178" spans="1:5">
      <c r="A3178" s="49">
        <v>45633</v>
      </c>
      <c r="B3178" s="49">
        <v>1</v>
      </c>
      <c r="C3178" s="49" t="s">
        <v>3369</v>
      </c>
      <c r="D3178" s="49" t="s">
        <v>1721</v>
      </c>
      <c r="E3178" s="52" t="s">
        <v>747</v>
      </c>
    </row>
    <row r="3179" spans="1:5">
      <c r="A3179" s="49">
        <v>45634</v>
      </c>
      <c r="B3179" s="49">
        <v>1</v>
      </c>
      <c r="C3179" s="49" t="s">
        <v>3370</v>
      </c>
      <c r="D3179" s="49" t="s">
        <v>1721</v>
      </c>
      <c r="E3179" s="52" t="s">
        <v>986</v>
      </c>
    </row>
    <row r="3180" spans="1:5">
      <c r="A3180" s="49">
        <v>45635</v>
      </c>
      <c r="B3180" s="49">
        <v>1</v>
      </c>
      <c r="C3180" s="49" t="s">
        <v>3371</v>
      </c>
      <c r="D3180" s="49" t="s">
        <v>1721</v>
      </c>
      <c r="E3180" s="52" t="s">
        <v>751</v>
      </c>
    </row>
    <row r="3181" spans="1:5">
      <c r="A3181" s="49">
        <v>45636</v>
      </c>
      <c r="B3181" s="49">
        <v>1</v>
      </c>
      <c r="C3181" s="49" t="s">
        <v>3366</v>
      </c>
      <c r="D3181" s="49" t="s">
        <v>1721</v>
      </c>
      <c r="E3181" s="52" t="s">
        <v>981</v>
      </c>
    </row>
    <row r="3182" spans="1:5">
      <c r="A3182" s="49">
        <v>45637</v>
      </c>
      <c r="B3182" s="49">
        <v>1</v>
      </c>
      <c r="C3182" s="49" t="s">
        <v>3368</v>
      </c>
      <c r="D3182" s="49" t="s">
        <v>1721</v>
      </c>
      <c r="E3182" s="52" t="s">
        <v>983</v>
      </c>
    </row>
    <row r="3183" spans="1:5">
      <c r="A3183" s="49">
        <v>45638</v>
      </c>
      <c r="B3183" s="49">
        <v>1</v>
      </c>
      <c r="C3183" s="49" t="s">
        <v>3369</v>
      </c>
      <c r="D3183" s="49" t="s">
        <v>1721</v>
      </c>
      <c r="E3183" s="52" t="s">
        <v>747</v>
      </c>
    </row>
    <row r="3184" spans="1:5">
      <c r="A3184" s="49">
        <v>45639</v>
      </c>
      <c r="B3184" s="49">
        <v>1</v>
      </c>
      <c r="C3184" s="49" t="s">
        <v>3370</v>
      </c>
      <c r="D3184" s="49" t="s">
        <v>1721</v>
      </c>
      <c r="E3184" s="52" t="s">
        <v>986</v>
      </c>
    </row>
    <row r="3185" spans="1:5">
      <c r="A3185" s="49">
        <v>45640</v>
      </c>
      <c r="B3185" s="49">
        <v>1</v>
      </c>
      <c r="C3185" s="49" t="s">
        <v>3371</v>
      </c>
      <c r="D3185" s="49" t="s">
        <v>1721</v>
      </c>
      <c r="E3185" s="52" t="s">
        <v>751</v>
      </c>
    </row>
    <row r="3186" spans="1:5">
      <c r="A3186" s="49">
        <v>45641</v>
      </c>
      <c r="B3186" s="49">
        <v>1</v>
      </c>
      <c r="C3186" s="49" t="s">
        <v>3366</v>
      </c>
      <c r="D3186" s="49" t="s">
        <v>1721</v>
      </c>
      <c r="E3186" s="52" t="s">
        <v>981</v>
      </c>
    </row>
    <row r="3187" spans="1:5">
      <c r="A3187" s="49">
        <v>45642</v>
      </c>
      <c r="B3187" s="49">
        <v>1</v>
      </c>
      <c r="C3187" s="49" t="s">
        <v>3368</v>
      </c>
      <c r="D3187" s="49" t="s">
        <v>1721</v>
      </c>
      <c r="E3187" s="52" t="s">
        <v>983</v>
      </c>
    </row>
    <row r="3188" spans="1:5">
      <c r="A3188" s="49">
        <v>45643</v>
      </c>
      <c r="B3188" s="49">
        <v>1</v>
      </c>
      <c r="C3188" s="49" t="s">
        <v>3369</v>
      </c>
      <c r="D3188" s="49" t="s">
        <v>1721</v>
      </c>
      <c r="E3188" s="52" t="s">
        <v>747</v>
      </c>
    </row>
    <row r="3189" spans="1:5">
      <c r="A3189" s="49">
        <v>45644</v>
      </c>
      <c r="B3189" s="49">
        <v>1</v>
      </c>
      <c r="C3189" s="49" t="s">
        <v>3370</v>
      </c>
      <c r="D3189" s="49" t="s">
        <v>1721</v>
      </c>
      <c r="E3189" s="52" t="s">
        <v>986</v>
      </c>
    </row>
    <row r="3190" spans="1:5">
      <c r="A3190" s="49">
        <v>45645</v>
      </c>
      <c r="B3190" s="49">
        <v>1</v>
      </c>
      <c r="C3190" s="49" t="s">
        <v>3371</v>
      </c>
      <c r="D3190" s="49" t="s">
        <v>1721</v>
      </c>
      <c r="E3190" s="52" t="s">
        <v>751</v>
      </c>
    </row>
    <row r="3191" spans="1:5">
      <c r="A3191" s="49">
        <v>45646</v>
      </c>
      <c r="B3191" s="49">
        <v>1</v>
      </c>
      <c r="C3191" s="49" t="s">
        <v>3366</v>
      </c>
      <c r="D3191" s="49" t="s">
        <v>1721</v>
      </c>
      <c r="E3191" s="52" t="s">
        <v>981</v>
      </c>
    </row>
    <row r="3192" spans="1:5">
      <c r="A3192" s="49">
        <v>45647</v>
      </c>
      <c r="B3192" s="49">
        <v>1</v>
      </c>
      <c r="C3192" s="49" t="s">
        <v>3368</v>
      </c>
      <c r="D3192" s="49" t="s">
        <v>1721</v>
      </c>
      <c r="E3192" s="52" t="s">
        <v>983</v>
      </c>
    </row>
    <row r="3193" spans="1:5">
      <c r="A3193" s="49">
        <v>45648</v>
      </c>
      <c r="B3193" s="49">
        <v>1</v>
      </c>
      <c r="C3193" s="49" t="s">
        <v>3369</v>
      </c>
      <c r="D3193" s="49" t="s">
        <v>1721</v>
      </c>
      <c r="E3193" s="52" t="s">
        <v>747</v>
      </c>
    </row>
    <row r="3194" spans="1:5">
      <c r="A3194" s="49">
        <v>45649</v>
      </c>
      <c r="B3194" s="49">
        <v>1</v>
      </c>
      <c r="C3194" s="49" t="s">
        <v>3370</v>
      </c>
      <c r="D3194" s="49" t="s">
        <v>1721</v>
      </c>
      <c r="E3194" s="52" t="s">
        <v>986</v>
      </c>
    </row>
    <row r="3195" spans="1:5">
      <c r="A3195" s="49">
        <v>45650</v>
      </c>
      <c r="B3195" s="49">
        <v>1</v>
      </c>
      <c r="C3195" s="49" t="s">
        <v>3371</v>
      </c>
      <c r="D3195" s="49" t="s">
        <v>1721</v>
      </c>
      <c r="E3195" s="52" t="s">
        <v>751</v>
      </c>
    </row>
    <row r="3196" spans="1:5">
      <c r="A3196" s="49">
        <v>45651</v>
      </c>
      <c r="B3196" s="49">
        <v>1</v>
      </c>
      <c r="C3196" s="49" t="s">
        <v>3366</v>
      </c>
      <c r="D3196" s="49" t="s">
        <v>1721</v>
      </c>
      <c r="E3196" s="52" t="s">
        <v>981</v>
      </c>
    </row>
    <row r="3197" spans="1:5">
      <c r="A3197" s="49">
        <v>45652</v>
      </c>
      <c r="B3197" s="49">
        <v>1</v>
      </c>
      <c r="C3197" s="49" t="s">
        <v>3368</v>
      </c>
      <c r="D3197" s="49" t="s">
        <v>1721</v>
      </c>
      <c r="E3197" s="52" t="s">
        <v>983</v>
      </c>
    </row>
    <row r="3198" spans="1:5">
      <c r="A3198" s="49">
        <v>45653</v>
      </c>
      <c r="B3198" s="49">
        <v>1</v>
      </c>
      <c r="C3198" s="49" t="s">
        <v>3369</v>
      </c>
      <c r="D3198" s="49" t="s">
        <v>1721</v>
      </c>
      <c r="E3198" s="52" t="s">
        <v>747</v>
      </c>
    </row>
    <row r="3199" spans="1:5">
      <c r="A3199" s="49">
        <v>45654</v>
      </c>
      <c r="B3199" s="49">
        <v>1</v>
      </c>
      <c r="C3199" s="49" t="s">
        <v>3370</v>
      </c>
      <c r="D3199" s="49" t="s">
        <v>1721</v>
      </c>
      <c r="E3199" s="52" t="s">
        <v>986</v>
      </c>
    </row>
    <row r="3200" spans="1:5">
      <c r="A3200" s="49">
        <v>45655</v>
      </c>
      <c r="B3200" s="49">
        <v>1</v>
      </c>
      <c r="C3200" s="49" t="s">
        <v>3371</v>
      </c>
      <c r="D3200" s="49" t="s">
        <v>1721</v>
      </c>
      <c r="E3200" s="52" t="s">
        <v>751</v>
      </c>
    </row>
    <row r="3201" spans="1:5">
      <c r="A3201" s="49">
        <v>45656</v>
      </c>
      <c r="B3201" s="49">
        <v>1</v>
      </c>
      <c r="C3201" s="49" t="s">
        <v>3366</v>
      </c>
      <c r="D3201" s="49" t="s">
        <v>1721</v>
      </c>
      <c r="E3201" s="52" t="s">
        <v>981</v>
      </c>
    </row>
    <row r="3202" spans="1:5">
      <c r="A3202" s="49">
        <v>45657</v>
      </c>
      <c r="B3202" s="49">
        <v>1</v>
      </c>
      <c r="C3202" s="49" t="s">
        <v>3368</v>
      </c>
      <c r="D3202" s="49" t="s">
        <v>1721</v>
      </c>
      <c r="E3202" s="52" t="s">
        <v>983</v>
      </c>
    </row>
    <row r="3203" spans="1:5">
      <c r="A3203" s="49">
        <v>45658</v>
      </c>
      <c r="B3203" s="49">
        <v>1</v>
      </c>
      <c r="C3203" s="49" t="s">
        <v>3369</v>
      </c>
      <c r="D3203" s="49" t="s">
        <v>1721</v>
      </c>
      <c r="E3203" s="52" t="s">
        <v>747</v>
      </c>
    </row>
    <row r="3204" spans="1:5">
      <c r="A3204" s="49">
        <v>45659</v>
      </c>
      <c r="B3204" s="49">
        <v>1</v>
      </c>
      <c r="C3204" s="49" t="s">
        <v>3370</v>
      </c>
      <c r="D3204" s="49" t="s">
        <v>1721</v>
      </c>
      <c r="E3204" s="52" t="s">
        <v>986</v>
      </c>
    </row>
    <row r="3205" spans="1:5">
      <c r="A3205" s="49">
        <v>45660</v>
      </c>
      <c r="B3205" s="49">
        <v>1</v>
      </c>
      <c r="C3205" s="49" t="s">
        <v>3371</v>
      </c>
      <c r="D3205" s="49" t="s">
        <v>1721</v>
      </c>
      <c r="E3205" s="52" t="s">
        <v>751</v>
      </c>
    </row>
    <row r="3206" spans="1:5">
      <c r="A3206" s="49">
        <v>45661</v>
      </c>
      <c r="B3206" s="49">
        <v>1</v>
      </c>
      <c r="C3206" s="49" t="s">
        <v>3366</v>
      </c>
      <c r="D3206" s="49" t="s">
        <v>1721</v>
      </c>
      <c r="E3206" s="52" t="s">
        <v>981</v>
      </c>
    </row>
    <row r="3207" spans="1:5">
      <c r="A3207" s="49">
        <v>45662</v>
      </c>
      <c r="B3207" s="49">
        <v>1</v>
      </c>
      <c r="C3207" s="49" t="s">
        <v>3368</v>
      </c>
      <c r="D3207" s="49" t="s">
        <v>1721</v>
      </c>
      <c r="E3207" s="52" t="s">
        <v>983</v>
      </c>
    </row>
    <row r="3208" spans="1:5">
      <c r="A3208" s="49">
        <v>45663</v>
      </c>
      <c r="B3208" s="49">
        <v>1</v>
      </c>
      <c r="C3208" s="49" t="s">
        <v>3369</v>
      </c>
      <c r="D3208" s="49" t="s">
        <v>1721</v>
      </c>
      <c r="E3208" s="52" t="s">
        <v>747</v>
      </c>
    </row>
    <row r="3209" spans="1:5">
      <c r="A3209" s="49">
        <v>45664</v>
      </c>
      <c r="B3209" s="49">
        <v>1</v>
      </c>
      <c r="C3209" s="49" t="s">
        <v>3370</v>
      </c>
      <c r="D3209" s="49" t="s">
        <v>1721</v>
      </c>
      <c r="E3209" s="52" t="s">
        <v>986</v>
      </c>
    </row>
    <row r="3210" spans="1:5">
      <c r="A3210" s="49">
        <v>45665</v>
      </c>
      <c r="B3210" s="49">
        <v>1</v>
      </c>
      <c r="C3210" s="49" t="s">
        <v>3371</v>
      </c>
      <c r="D3210" s="49" t="s">
        <v>1721</v>
      </c>
      <c r="E3210" s="52" t="s">
        <v>751</v>
      </c>
    </row>
    <row r="3211" spans="1:5">
      <c r="A3211" s="49">
        <v>45666</v>
      </c>
      <c r="B3211" s="49">
        <v>1</v>
      </c>
      <c r="C3211" s="49" t="s">
        <v>3366</v>
      </c>
      <c r="D3211" s="49" t="s">
        <v>1721</v>
      </c>
      <c r="E3211" s="52" t="s">
        <v>981</v>
      </c>
    </row>
    <row r="3212" spans="1:5">
      <c r="A3212" s="49">
        <v>45667</v>
      </c>
      <c r="B3212" s="49">
        <v>1</v>
      </c>
      <c r="C3212" s="49" t="s">
        <v>3368</v>
      </c>
      <c r="D3212" s="49" t="s">
        <v>1721</v>
      </c>
      <c r="E3212" s="52" t="s">
        <v>983</v>
      </c>
    </row>
    <row r="3213" spans="1:5">
      <c r="A3213" s="49">
        <v>45668</v>
      </c>
      <c r="B3213" s="49">
        <v>1</v>
      </c>
      <c r="C3213" s="49" t="s">
        <v>3369</v>
      </c>
      <c r="D3213" s="49" t="s">
        <v>1721</v>
      </c>
      <c r="E3213" s="52" t="s">
        <v>747</v>
      </c>
    </row>
    <row r="3214" spans="1:5">
      <c r="A3214" s="49">
        <v>45669</v>
      </c>
      <c r="B3214" s="49">
        <v>1</v>
      </c>
      <c r="C3214" s="49" t="s">
        <v>3370</v>
      </c>
      <c r="D3214" s="49" t="s">
        <v>1721</v>
      </c>
      <c r="E3214" s="52" t="s">
        <v>986</v>
      </c>
    </row>
    <row r="3215" spans="1:5">
      <c r="A3215" s="49">
        <v>45670</v>
      </c>
      <c r="B3215" s="49">
        <v>1</v>
      </c>
      <c r="C3215" s="49" t="s">
        <v>3371</v>
      </c>
      <c r="D3215" s="49" t="s">
        <v>1721</v>
      </c>
      <c r="E3215" s="52" t="s">
        <v>751</v>
      </c>
    </row>
    <row r="3216" spans="1:5">
      <c r="A3216" s="49">
        <v>45671</v>
      </c>
      <c r="B3216" s="49">
        <v>1</v>
      </c>
      <c r="C3216" s="49" t="s">
        <v>3366</v>
      </c>
      <c r="D3216" s="49" t="s">
        <v>1721</v>
      </c>
      <c r="E3216" s="52" t="s">
        <v>981</v>
      </c>
    </row>
    <row r="3217" spans="1:5">
      <c r="A3217" s="49">
        <v>45672</v>
      </c>
      <c r="B3217" s="49">
        <v>1</v>
      </c>
      <c r="C3217" s="49" t="s">
        <v>3368</v>
      </c>
      <c r="D3217" s="49" t="s">
        <v>1721</v>
      </c>
      <c r="E3217" s="52" t="s">
        <v>983</v>
      </c>
    </row>
    <row r="3218" spans="1:5">
      <c r="A3218" s="49">
        <v>45673</v>
      </c>
      <c r="B3218" s="49">
        <v>1</v>
      </c>
      <c r="C3218" s="49" t="s">
        <v>3369</v>
      </c>
      <c r="D3218" s="49" t="s">
        <v>1721</v>
      </c>
      <c r="E3218" s="52" t="s">
        <v>747</v>
      </c>
    </row>
    <row r="3219" spans="1:5">
      <c r="A3219" s="49">
        <v>45674</v>
      </c>
      <c r="B3219" s="49">
        <v>1</v>
      </c>
      <c r="C3219" s="49" t="s">
        <v>3370</v>
      </c>
      <c r="D3219" s="49" t="s">
        <v>1721</v>
      </c>
      <c r="E3219" s="52" t="s">
        <v>986</v>
      </c>
    </row>
    <row r="3220" spans="1:5">
      <c r="A3220" s="49">
        <v>45675</v>
      </c>
      <c r="B3220" s="49">
        <v>1</v>
      </c>
      <c r="C3220" s="49" t="s">
        <v>3371</v>
      </c>
      <c r="D3220" s="49" t="s">
        <v>1721</v>
      </c>
      <c r="E3220" s="52" t="s">
        <v>751</v>
      </c>
    </row>
    <row r="3221" spans="1:5">
      <c r="A3221" s="49">
        <v>45676</v>
      </c>
      <c r="B3221" s="49">
        <v>1</v>
      </c>
      <c r="C3221" s="49" t="s">
        <v>3366</v>
      </c>
      <c r="D3221" s="49" t="s">
        <v>1721</v>
      </c>
      <c r="E3221" s="52" t="s">
        <v>981</v>
      </c>
    </row>
    <row r="3222" spans="1:5">
      <c r="A3222" s="49">
        <v>45677</v>
      </c>
      <c r="B3222" s="49">
        <v>1</v>
      </c>
      <c r="C3222" s="49" t="s">
        <v>3368</v>
      </c>
      <c r="D3222" s="49" t="s">
        <v>1721</v>
      </c>
      <c r="E3222" s="52" t="s">
        <v>983</v>
      </c>
    </row>
    <row r="3223" spans="1:5">
      <c r="A3223" s="49">
        <v>45678</v>
      </c>
      <c r="B3223" s="49">
        <v>1</v>
      </c>
      <c r="C3223" s="49" t="s">
        <v>3369</v>
      </c>
      <c r="D3223" s="49" t="s">
        <v>1721</v>
      </c>
      <c r="E3223" s="52" t="s">
        <v>747</v>
      </c>
    </row>
    <row r="3224" spans="1:5">
      <c r="A3224" s="49">
        <v>45679</v>
      </c>
      <c r="B3224" s="49">
        <v>1</v>
      </c>
      <c r="C3224" s="49" t="s">
        <v>3370</v>
      </c>
      <c r="D3224" s="49" t="s">
        <v>1721</v>
      </c>
      <c r="E3224" s="52" t="s">
        <v>986</v>
      </c>
    </row>
    <row r="3225" spans="1:5">
      <c r="A3225" s="49">
        <v>45680</v>
      </c>
      <c r="B3225" s="49">
        <v>1</v>
      </c>
      <c r="C3225" s="49" t="s">
        <v>3371</v>
      </c>
      <c r="D3225" s="49" t="s">
        <v>1721</v>
      </c>
      <c r="E3225" s="52" t="s">
        <v>751</v>
      </c>
    </row>
    <row r="3226" spans="1:5">
      <c r="A3226" s="49">
        <v>45681</v>
      </c>
      <c r="B3226" s="49">
        <v>1</v>
      </c>
      <c r="C3226" s="49" t="s">
        <v>3366</v>
      </c>
      <c r="D3226" s="49" t="s">
        <v>1721</v>
      </c>
      <c r="E3226" s="52" t="s">
        <v>981</v>
      </c>
    </row>
    <row r="3227" spans="1:5">
      <c r="A3227" s="49">
        <v>45682</v>
      </c>
      <c r="B3227" s="49">
        <v>1</v>
      </c>
      <c r="C3227" s="49" t="s">
        <v>3368</v>
      </c>
      <c r="D3227" s="49" t="s">
        <v>1721</v>
      </c>
      <c r="E3227" s="52" t="s">
        <v>983</v>
      </c>
    </row>
    <row r="3228" spans="1:5">
      <c r="A3228" s="49">
        <v>45683</v>
      </c>
      <c r="B3228" s="49">
        <v>1</v>
      </c>
      <c r="C3228" s="49" t="s">
        <v>3369</v>
      </c>
      <c r="D3228" s="49" t="s">
        <v>1721</v>
      </c>
      <c r="E3228" s="52" t="s">
        <v>747</v>
      </c>
    </row>
    <row r="3229" spans="1:5">
      <c r="A3229" s="49">
        <v>45684</v>
      </c>
      <c r="B3229" s="49">
        <v>1</v>
      </c>
      <c r="C3229" s="49" t="s">
        <v>3370</v>
      </c>
      <c r="D3229" s="49" t="s">
        <v>1721</v>
      </c>
      <c r="E3229" s="52" t="s">
        <v>986</v>
      </c>
    </row>
    <row r="3230" spans="1:5">
      <c r="A3230" s="49">
        <v>45685</v>
      </c>
      <c r="B3230" s="49">
        <v>1</v>
      </c>
      <c r="C3230" s="49" t="s">
        <v>3371</v>
      </c>
      <c r="D3230" s="49" t="s">
        <v>1721</v>
      </c>
      <c r="E3230" s="52" t="s">
        <v>751</v>
      </c>
    </row>
    <row r="3231" spans="1:5">
      <c r="A3231" s="49">
        <v>45686</v>
      </c>
      <c r="B3231" s="49">
        <v>1</v>
      </c>
      <c r="C3231" s="49" t="s">
        <v>3366</v>
      </c>
      <c r="D3231" s="49" t="s">
        <v>1721</v>
      </c>
      <c r="E3231" s="52" t="s">
        <v>981</v>
      </c>
    </row>
    <row r="3232" spans="1:5">
      <c r="A3232" s="49">
        <v>45687</v>
      </c>
      <c r="B3232" s="49">
        <v>1</v>
      </c>
      <c r="C3232" s="49" t="s">
        <v>3368</v>
      </c>
      <c r="D3232" s="49" t="s">
        <v>1721</v>
      </c>
      <c r="E3232" s="52" t="s">
        <v>983</v>
      </c>
    </row>
    <row r="3233" spans="1:5">
      <c r="A3233" s="49">
        <v>45688</v>
      </c>
      <c r="B3233" s="49">
        <v>1</v>
      </c>
      <c r="C3233" s="49" t="s">
        <v>3369</v>
      </c>
      <c r="D3233" s="49" t="s">
        <v>1721</v>
      </c>
      <c r="E3233" s="52" t="s">
        <v>747</v>
      </c>
    </row>
    <row r="3234" spans="1:5">
      <c r="A3234" s="49">
        <v>45689</v>
      </c>
      <c r="B3234" s="49">
        <v>1</v>
      </c>
      <c r="C3234" s="49" t="s">
        <v>3370</v>
      </c>
      <c r="D3234" s="49" t="s">
        <v>1721</v>
      </c>
      <c r="E3234" s="52" t="s">
        <v>986</v>
      </c>
    </row>
    <row r="3235" spans="1:5">
      <c r="A3235" s="49">
        <v>45690</v>
      </c>
      <c r="B3235" s="49">
        <v>1</v>
      </c>
      <c r="C3235" s="49" t="s">
        <v>3371</v>
      </c>
      <c r="D3235" s="49" t="s">
        <v>1721</v>
      </c>
      <c r="E3235" s="52" t="s">
        <v>751</v>
      </c>
    </row>
    <row r="3236" spans="1:5">
      <c r="A3236" s="49">
        <v>45691</v>
      </c>
      <c r="B3236" s="49">
        <v>1</v>
      </c>
      <c r="C3236" s="49" t="s">
        <v>3366</v>
      </c>
      <c r="D3236" s="49" t="s">
        <v>1721</v>
      </c>
      <c r="E3236" s="52" t="s">
        <v>981</v>
      </c>
    </row>
    <row r="3237" spans="1:5">
      <c r="A3237" s="49">
        <v>45692</v>
      </c>
      <c r="B3237" s="49">
        <v>1</v>
      </c>
      <c r="C3237" s="49" t="s">
        <v>3368</v>
      </c>
      <c r="D3237" s="49" t="s">
        <v>1721</v>
      </c>
      <c r="E3237" s="52" t="s">
        <v>983</v>
      </c>
    </row>
    <row r="3238" spans="1:5">
      <c r="A3238" s="49">
        <v>45693</v>
      </c>
      <c r="B3238" s="49">
        <v>1</v>
      </c>
      <c r="C3238" s="49" t="s">
        <v>3369</v>
      </c>
      <c r="D3238" s="49" t="s">
        <v>1721</v>
      </c>
      <c r="E3238" s="52" t="s">
        <v>747</v>
      </c>
    </row>
    <row r="3239" spans="1:5">
      <c r="A3239" s="49">
        <v>45694</v>
      </c>
      <c r="B3239" s="49">
        <v>1</v>
      </c>
      <c r="C3239" s="49" t="s">
        <v>3370</v>
      </c>
      <c r="D3239" s="49" t="s">
        <v>1721</v>
      </c>
      <c r="E3239" s="52" t="s">
        <v>986</v>
      </c>
    </row>
    <row r="3240" spans="1:5">
      <c r="A3240" s="49">
        <v>45695</v>
      </c>
      <c r="B3240" s="49">
        <v>1</v>
      </c>
      <c r="C3240" s="49" t="s">
        <v>3371</v>
      </c>
      <c r="D3240" s="49" t="s">
        <v>1721</v>
      </c>
      <c r="E3240" s="52" t="s">
        <v>751</v>
      </c>
    </row>
    <row r="3241" spans="1:5">
      <c r="A3241" s="49">
        <v>45696</v>
      </c>
      <c r="B3241" s="49">
        <v>1</v>
      </c>
      <c r="C3241" s="49" t="s">
        <v>3366</v>
      </c>
      <c r="D3241" s="49" t="s">
        <v>1721</v>
      </c>
      <c r="E3241" s="52" t="s">
        <v>981</v>
      </c>
    </row>
    <row r="3242" spans="1:5">
      <c r="A3242" s="49">
        <v>45697</v>
      </c>
      <c r="B3242" s="49">
        <v>1</v>
      </c>
      <c r="C3242" s="49" t="s">
        <v>3368</v>
      </c>
      <c r="D3242" s="49" t="s">
        <v>1721</v>
      </c>
      <c r="E3242" s="52" t="s">
        <v>983</v>
      </c>
    </row>
    <row r="3243" spans="1:5">
      <c r="A3243" s="49">
        <v>45698</v>
      </c>
      <c r="B3243" s="49">
        <v>1</v>
      </c>
      <c r="C3243" s="49" t="s">
        <v>3369</v>
      </c>
      <c r="D3243" s="49" t="s">
        <v>1721</v>
      </c>
      <c r="E3243" s="52" t="s">
        <v>747</v>
      </c>
    </row>
    <row r="3244" spans="1:5">
      <c r="A3244" s="49">
        <v>45699</v>
      </c>
      <c r="B3244" s="49">
        <v>1</v>
      </c>
      <c r="C3244" s="49" t="s">
        <v>3370</v>
      </c>
      <c r="D3244" s="49" t="s">
        <v>1721</v>
      </c>
      <c r="E3244" s="52" t="s">
        <v>986</v>
      </c>
    </row>
    <row r="3245" spans="1:5">
      <c r="A3245" s="49">
        <v>45700</v>
      </c>
      <c r="B3245" s="49">
        <v>1</v>
      </c>
      <c r="C3245" s="49" t="s">
        <v>3371</v>
      </c>
      <c r="D3245" s="49" t="s">
        <v>1721</v>
      </c>
      <c r="E3245" s="52" t="s">
        <v>751</v>
      </c>
    </row>
    <row r="3246" spans="1:5">
      <c r="A3246" s="49">
        <v>45701</v>
      </c>
      <c r="B3246" s="49">
        <v>1</v>
      </c>
      <c r="C3246" s="49" t="s">
        <v>3366</v>
      </c>
      <c r="D3246" s="49" t="s">
        <v>1721</v>
      </c>
      <c r="E3246" s="52" t="s">
        <v>981</v>
      </c>
    </row>
    <row r="3247" spans="1:5">
      <c r="A3247" s="49">
        <v>45702</v>
      </c>
      <c r="B3247" s="49">
        <v>1</v>
      </c>
      <c r="C3247" s="49" t="s">
        <v>3368</v>
      </c>
      <c r="D3247" s="49" t="s">
        <v>1721</v>
      </c>
      <c r="E3247" s="52" t="s">
        <v>983</v>
      </c>
    </row>
    <row r="3248" spans="1:5">
      <c r="A3248" s="49">
        <v>45703</v>
      </c>
      <c r="B3248" s="49">
        <v>1</v>
      </c>
      <c r="C3248" s="49" t="s">
        <v>3369</v>
      </c>
      <c r="D3248" s="49" t="s">
        <v>1721</v>
      </c>
      <c r="E3248" s="52" t="s">
        <v>747</v>
      </c>
    </row>
    <row r="3249" spans="1:5">
      <c r="A3249" s="49">
        <v>45704</v>
      </c>
      <c r="B3249" s="49">
        <v>1</v>
      </c>
      <c r="C3249" s="49" t="s">
        <v>3370</v>
      </c>
      <c r="D3249" s="49" t="s">
        <v>1721</v>
      </c>
      <c r="E3249" s="52" t="s">
        <v>986</v>
      </c>
    </row>
    <row r="3250" spans="1:5">
      <c r="A3250" s="49">
        <v>45705</v>
      </c>
      <c r="B3250" s="49">
        <v>1</v>
      </c>
      <c r="C3250" s="49" t="s">
        <v>3371</v>
      </c>
      <c r="D3250" s="49" t="s">
        <v>1721</v>
      </c>
      <c r="E3250" s="52" t="s">
        <v>751</v>
      </c>
    </row>
    <row r="3251" spans="1:5">
      <c r="A3251" s="49">
        <v>45706</v>
      </c>
      <c r="B3251" s="49">
        <v>1</v>
      </c>
      <c r="C3251" s="49" t="s">
        <v>3366</v>
      </c>
      <c r="D3251" s="49" t="s">
        <v>1721</v>
      </c>
      <c r="E3251" s="52" t="s">
        <v>981</v>
      </c>
    </row>
    <row r="3252" spans="1:5">
      <c r="A3252" s="49">
        <v>45707</v>
      </c>
      <c r="B3252" s="49">
        <v>1</v>
      </c>
      <c r="C3252" s="49" t="s">
        <v>3368</v>
      </c>
      <c r="D3252" s="49" t="s">
        <v>1721</v>
      </c>
      <c r="E3252" s="52" t="s">
        <v>983</v>
      </c>
    </row>
    <row r="3253" spans="1:5">
      <c r="A3253" s="49">
        <v>45708</v>
      </c>
      <c r="B3253" s="49">
        <v>1</v>
      </c>
      <c r="C3253" s="49" t="s">
        <v>3369</v>
      </c>
      <c r="D3253" s="49" t="s">
        <v>1721</v>
      </c>
      <c r="E3253" s="52" t="s">
        <v>747</v>
      </c>
    </row>
    <row r="3254" spans="1:5">
      <c r="A3254" s="49">
        <v>45709</v>
      </c>
      <c r="B3254" s="49">
        <v>1</v>
      </c>
      <c r="C3254" s="49" t="s">
        <v>3370</v>
      </c>
      <c r="D3254" s="49" t="s">
        <v>1721</v>
      </c>
      <c r="E3254" s="52" t="s">
        <v>986</v>
      </c>
    </row>
    <row r="3255" spans="1:5">
      <c r="A3255" s="49">
        <v>45710</v>
      </c>
      <c r="B3255" s="49">
        <v>1</v>
      </c>
      <c r="C3255" s="49" t="s">
        <v>3371</v>
      </c>
      <c r="D3255" s="49" t="s">
        <v>1721</v>
      </c>
      <c r="E3255" s="52" t="s">
        <v>751</v>
      </c>
    </row>
    <row r="3256" spans="1:5">
      <c r="A3256" s="49">
        <v>45711</v>
      </c>
      <c r="B3256" s="49">
        <v>1</v>
      </c>
      <c r="C3256" s="49" t="s">
        <v>3366</v>
      </c>
      <c r="D3256" s="49" t="s">
        <v>1721</v>
      </c>
      <c r="E3256" s="52" t="s">
        <v>981</v>
      </c>
    </row>
    <row r="3257" spans="1:5">
      <c r="A3257" s="49">
        <v>45712</v>
      </c>
      <c r="B3257" s="49">
        <v>1</v>
      </c>
      <c r="C3257" s="49" t="s">
        <v>3368</v>
      </c>
      <c r="D3257" s="49" t="s">
        <v>1721</v>
      </c>
      <c r="E3257" s="52" t="s">
        <v>983</v>
      </c>
    </row>
    <row r="3258" spans="1:5">
      <c r="A3258" s="49">
        <v>45713</v>
      </c>
      <c r="B3258" s="49">
        <v>1</v>
      </c>
      <c r="C3258" s="49" t="s">
        <v>3369</v>
      </c>
      <c r="D3258" s="49" t="s">
        <v>1721</v>
      </c>
      <c r="E3258" s="52" t="s">
        <v>747</v>
      </c>
    </row>
    <row r="3259" spans="1:5">
      <c r="A3259" s="49">
        <v>45714</v>
      </c>
      <c r="B3259" s="49">
        <v>1</v>
      </c>
      <c r="C3259" s="49" t="s">
        <v>3370</v>
      </c>
      <c r="D3259" s="49" t="s">
        <v>1721</v>
      </c>
      <c r="E3259" s="52" t="s">
        <v>986</v>
      </c>
    </row>
    <row r="3260" spans="1:5">
      <c r="A3260" s="49">
        <v>45715</v>
      </c>
      <c r="B3260" s="49">
        <v>1</v>
      </c>
      <c r="C3260" s="49" t="s">
        <v>3371</v>
      </c>
      <c r="D3260" s="49" t="s">
        <v>1721</v>
      </c>
      <c r="E3260" s="52" t="s">
        <v>751</v>
      </c>
    </row>
    <row r="3261" spans="1:5">
      <c r="A3261" s="49">
        <v>45716</v>
      </c>
      <c r="B3261" s="49">
        <v>1</v>
      </c>
      <c r="C3261" s="49" t="s">
        <v>3366</v>
      </c>
      <c r="D3261" s="49" t="s">
        <v>1721</v>
      </c>
      <c r="E3261" s="52" t="s">
        <v>981</v>
      </c>
    </row>
    <row r="3262" spans="1:5">
      <c r="A3262" s="49">
        <v>45717</v>
      </c>
      <c r="B3262" s="49">
        <v>1</v>
      </c>
      <c r="C3262" s="49" t="s">
        <v>3368</v>
      </c>
      <c r="D3262" s="49" t="s">
        <v>1721</v>
      </c>
      <c r="E3262" s="52" t="s">
        <v>983</v>
      </c>
    </row>
    <row r="3263" spans="1:5">
      <c r="A3263" s="49">
        <v>45718</v>
      </c>
      <c r="B3263" s="49">
        <v>1</v>
      </c>
      <c r="C3263" s="49" t="s">
        <v>3369</v>
      </c>
      <c r="D3263" s="49" t="s">
        <v>1721</v>
      </c>
      <c r="E3263" s="52" t="s">
        <v>747</v>
      </c>
    </row>
    <row r="3264" spans="1:5">
      <c r="A3264" s="49">
        <v>45719</v>
      </c>
      <c r="B3264" s="49">
        <v>1</v>
      </c>
      <c r="C3264" s="49" t="s">
        <v>3370</v>
      </c>
      <c r="D3264" s="49" t="s">
        <v>1721</v>
      </c>
      <c r="E3264" s="52" t="s">
        <v>986</v>
      </c>
    </row>
    <row r="3265" spans="1:5">
      <c r="A3265" s="49">
        <v>45720</v>
      </c>
      <c r="B3265" s="49">
        <v>1</v>
      </c>
      <c r="C3265" s="49" t="s">
        <v>3371</v>
      </c>
      <c r="D3265" s="49" t="s">
        <v>1721</v>
      </c>
      <c r="E3265" s="52" t="s">
        <v>751</v>
      </c>
    </row>
    <row r="3266" spans="1:5">
      <c r="A3266" s="49">
        <v>45721</v>
      </c>
      <c r="B3266" s="49">
        <v>1</v>
      </c>
      <c r="C3266" s="49" t="s">
        <v>3366</v>
      </c>
      <c r="D3266" s="49" t="s">
        <v>1721</v>
      </c>
      <c r="E3266" s="52" t="s">
        <v>981</v>
      </c>
    </row>
    <row r="3267" spans="1:5">
      <c r="A3267" s="49">
        <v>45722</v>
      </c>
      <c r="B3267" s="49">
        <v>1</v>
      </c>
      <c r="C3267" s="49" t="s">
        <v>3368</v>
      </c>
      <c r="D3267" s="49" t="s">
        <v>1721</v>
      </c>
      <c r="E3267" s="52" t="s">
        <v>983</v>
      </c>
    </row>
    <row r="3268" spans="1:5">
      <c r="A3268" s="49">
        <v>45723</v>
      </c>
      <c r="B3268" s="49">
        <v>1</v>
      </c>
      <c r="C3268" s="49" t="s">
        <v>3369</v>
      </c>
      <c r="D3268" s="49" t="s">
        <v>1721</v>
      </c>
      <c r="E3268" s="52" t="s">
        <v>747</v>
      </c>
    </row>
    <row r="3269" spans="1:5">
      <c r="A3269" s="49">
        <v>45724</v>
      </c>
      <c r="B3269" s="49">
        <v>1</v>
      </c>
      <c r="C3269" s="49" t="s">
        <v>3370</v>
      </c>
      <c r="D3269" s="49" t="s">
        <v>1721</v>
      </c>
      <c r="E3269" s="52" t="s">
        <v>986</v>
      </c>
    </row>
    <row r="3270" spans="1:5">
      <c r="A3270" s="49">
        <v>45725</v>
      </c>
      <c r="B3270" s="49">
        <v>1</v>
      </c>
      <c r="C3270" s="49" t="s">
        <v>3371</v>
      </c>
      <c r="D3270" s="49" t="s">
        <v>1721</v>
      </c>
      <c r="E3270" s="52" t="s">
        <v>751</v>
      </c>
    </row>
    <row r="3271" spans="1:5">
      <c r="A3271" s="49">
        <v>45726</v>
      </c>
      <c r="B3271" s="49">
        <v>1</v>
      </c>
      <c r="C3271" s="49" t="s">
        <v>3366</v>
      </c>
      <c r="D3271" s="49" t="s">
        <v>1721</v>
      </c>
      <c r="E3271" s="52" t="s">
        <v>981</v>
      </c>
    </row>
    <row r="3272" spans="1:5">
      <c r="A3272" s="49">
        <v>45727</v>
      </c>
      <c r="B3272" s="49">
        <v>1</v>
      </c>
      <c r="C3272" s="49" t="s">
        <v>3368</v>
      </c>
      <c r="D3272" s="49" t="s">
        <v>1721</v>
      </c>
      <c r="E3272" s="52" t="s">
        <v>983</v>
      </c>
    </row>
    <row r="3273" spans="1:5">
      <c r="A3273" s="49">
        <v>45728</v>
      </c>
      <c r="B3273" s="49">
        <v>1</v>
      </c>
      <c r="C3273" s="49" t="s">
        <v>3369</v>
      </c>
      <c r="D3273" s="49" t="s">
        <v>1721</v>
      </c>
      <c r="E3273" s="52" t="s">
        <v>747</v>
      </c>
    </row>
    <row r="3274" spans="1:5">
      <c r="A3274" s="49">
        <v>45729</v>
      </c>
      <c r="B3274" s="49">
        <v>1</v>
      </c>
      <c r="C3274" s="49" t="s">
        <v>3370</v>
      </c>
      <c r="D3274" s="49" t="s">
        <v>1721</v>
      </c>
      <c r="E3274" s="52" t="s">
        <v>986</v>
      </c>
    </row>
    <row r="3275" spans="1:5">
      <c r="A3275" s="49">
        <v>45730</v>
      </c>
      <c r="B3275" s="49">
        <v>1</v>
      </c>
      <c r="C3275" s="49" t="s">
        <v>3371</v>
      </c>
      <c r="D3275" s="49" t="s">
        <v>1721</v>
      </c>
      <c r="E3275" s="52" t="s">
        <v>751</v>
      </c>
    </row>
    <row r="3276" spans="1:5">
      <c r="A3276" s="49">
        <v>45731</v>
      </c>
      <c r="B3276" s="49">
        <v>1</v>
      </c>
      <c r="C3276" s="49" t="s">
        <v>3366</v>
      </c>
      <c r="D3276" s="49" t="s">
        <v>1721</v>
      </c>
      <c r="E3276" s="52" t="s">
        <v>981</v>
      </c>
    </row>
    <row r="3277" spans="1:5">
      <c r="A3277" s="49">
        <v>45732</v>
      </c>
      <c r="B3277" s="49">
        <v>1</v>
      </c>
      <c r="C3277" s="49" t="s">
        <v>3368</v>
      </c>
      <c r="D3277" s="49" t="s">
        <v>1721</v>
      </c>
      <c r="E3277" s="52" t="s">
        <v>983</v>
      </c>
    </row>
    <row r="3278" spans="1:5">
      <c r="A3278" s="49">
        <v>45733</v>
      </c>
      <c r="B3278" s="49">
        <v>1</v>
      </c>
      <c r="C3278" s="49" t="s">
        <v>3369</v>
      </c>
      <c r="D3278" s="49" t="s">
        <v>1721</v>
      </c>
      <c r="E3278" s="52" t="s">
        <v>747</v>
      </c>
    </row>
    <row r="3279" spans="1:5">
      <c r="A3279" s="49">
        <v>45734</v>
      </c>
      <c r="B3279" s="49">
        <v>1</v>
      </c>
      <c r="C3279" s="49" t="s">
        <v>3370</v>
      </c>
      <c r="D3279" s="49" t="s">
        <v>1721</v>
      </c>
      <c r="E3279" s="52" t="s">
        <v>986</v>
      </c>
    </row>
    <row r="3280" spans="1:5">
      <c r="A3280" s="49">
        <v>45735</v>
      </c>
      <c r="B3280" s="49">
        <v>1</v>
      </c>
      <c r="C3280" s="49" t="s">
        <v>3371</v>
      </c>
      <c r="D3280" s="49" t="s">
        <v>1721</v>
      </c>
      <c r="E3280" s="52" t="s">
        <v>751</v>
      </c>
    </row>
    <row r="3281" spans="1:5">
      <c r="A3281" s="49">
        <v>45736</v>
      </c>
      <c r="B3281" s="49">
        <v>1</v>
      </c>
      <c r="C3281" s="49" t="s">
        <v>3366</v>
      </c>
      <c r="D3281" s="49" t="s">
        <v>1721</v>
      </c>
      <c r="E3281" s="52" t="s">
        <v>981</v>
      </c>
    </row>
    <row r="3282" spans="1:5">
      <c r="A3282" s="49">
        <v>45737</v>
      </c>
      <c r="B3282" s="49">
        <v>1</v>
      </c>
      <c r="C3282" s="49" t="s">
        <v>3368</v>
      </c>
      <c r="D3282" s="49" t="s">
        <v>1721</v>
      </c>
      <c r="E3282" s="52" t="s">
        <v>983</v>
      </c>
    </row>
    <row r="3283" spans="1:5">
      <c r="A3283" s="49">
        <v>45738</v>
      </c>
      <c r="B3283" s="49">
        <v>1</v>
      </c>
      <c r="C3283" s="49" t="s">
        <v>3369</v>
      </c>
      <c r="D3283" s="49" t="s">
        <v>1721</v>
      </c>
      <c r="E3283" s="52" t="s">
        <v>747</v>
      </c>
    </row>
    <row r="3284" spans="1:5">
      <c r="A3284" s="49">
        <v>45739</v>
      </c>
      <c r="B3284" s="49">
        <v>1</v>
      </c>
      <c r="C3284" s="49" t="s">
        <v>3370</v>
      </c>
      <c r="D3284" s="49" t="s">
        <v>1721</v>
      </c>
      <c r="E3284" s="52" t="s">
        <v>986</v>
      </c>
    </row>
    <row r="3285" spans="1:5">
      <c r="A3285" s="49">
        <v>45740</v>
      </c>
      <c r="B3285" s="49">
        <v>1</v>
      </c>
      <c r="C3285" s="49" t="s">
        <v>3371</v>
      </c>
      <c r="D3285" s="49" t="s">
        <v>1721</v>
      </c>
      <c r="E3285" s="52" t="s">
        <v>751</v>
      </c>
    </row>
    <row r="3286" spans="1:5">
      <c r="A3286" s="49">
        <v>45741</v>
      </c>
      <c r="B3286" s="49">
        <v>1</v>
      </c>
      <c r="C3286" s="49" t="s">
        <v>3366</v>
      </c>
      <c r="D3286" s="49" t="s">
        <v>1721</v>
      </c>
      <c r="E3286" s="52" t="s">
        <v>981</v>
      </c>
    </row>
    <row r="3287" spans="1:5">
      <c r="A3287" s="49">
        <v>45742</v>
      </c>
      <c r="B3287" s="49">
        <v>1</v>
      </c>
      <c r="C3287" s="49" t="s">
        <v>3368</v>
      </c>
      <c r="D3287" s="49" t="s">
        <v>1721</v>
      </c>
      <c r="E3287" s="52" t="s">
        <v>983</v>
      </c>
    </row>
    <row r="3288" spans="1:5">
      <c r="A3288" s="49">
        <v>45743</v>
      </c>
      <c r="B3288" s="49">
        <v>1</v>
      </c>
      <c r="C3288" s="49" t="s">
        <v>3369</v>
      </c>
      <c r="D3288" s="49" t="s">
        <v>1721</v>
      </c>
      <c r="E3288" s="52" t="s">
        <v>747</v>
      </c>
    </row>
    <row r="3289" spans="1:5">
      <c r="A3289" s="49">
        <v>45744</v>
      </c>
      <c r="B3289" s="49">
        <v>1</v>
      </c>
      <c r="C3289" s="49" t="s">
        <v>3370</v>
      </c>
      <c r="D3289" s="49" t="s">
        <v>1721</v>
      </c>
      <c r="E3289" s="52" t="s">
        <v>986</v>
      </c>
    </row>
    <row r="3290" spans="1:5">
      <c r="A3290" s="49">
        <v>45745</v>
      </c>
      <c r="B3290" s="49">
        <v>1</v>
      </c>
      <c r="C3290" s="49" t="s">
        <v>3371</v>
      </c>
      <c r="D3290" s="49" t="s">
        <v>1721</v>
      </c>
      <c r="E3290" s="52" t="s">
        <v>751</v>
      </c>
    </row>
    <row r="3291" spans="1:5">
      <c r="A3291" s="49">
        <v>45746</v>
      </c>
      <c r="B3291" s="49">
        <v>1</v>
      </c>
      <c r="C3291" s="49" t="s">
        <v>3366</v>
      </c>
      <c r="D3291" s="49" t="s">
        <v>1721</v>
      </c>
      <c r="E3291" s="52" t="s">
        <v>981</v>
      </c>
    </row>
    <row r="3292" spans="1:5">
      <c r="A3292" s="49">
        <v>45747</v>
      </c>
      <c r="B3292" s="49">
        <v>1</v>
      </c>
      <c r="C3292" s="49" t="s">
        <v>3368</v>
      </c>
      <c r="D3292" s="49" t="s">
        <v>1721</v>
      </c>
      <c r="E3292" s="52" t="s">
        <v>983</v>
      </c>
    </row>
    <row r="3293" spans="1:5">
      <c r="A3293" s="49">
        <v>45748</v>
      </c>
      <c r="B3293" s="49">
        <v>1</v>
      </c>
      <c r="C3293" s="49" t="s">
        <v>3369</v>
      </c>
      <c r="D3293" s="49" t="s">
        <v>1721</v>
      </c>
      <c r="E3293" s="52" t="s">
        <v>747</v>
      </c>
    </row>
    <row r="3294" spans="1:5">
      <c r="A3294" s="49">
        <v>45749</v>
      </c>
      <c r="B3294" s="49">
        <v>1</v>
      </c>
      <c r="C3294" s="49" t="s">
        <v>3370</v>
      </c>
      <c r="D3294" s="49" t="s">
        <v>1721</v>
      </c>
      <c r="E3294" s="52" t="s">
        <v>986</v>
      </c>
    </row>
    <row r="3295" spans="1:5">
      <c r="A3295" s="49">
        <v>45750</v>
      </c>
      <c r="B3295" s="49">
        <v>1</v>
      </c>
      <c r="C3295" s="49" t="s">
        <v>3371</v>
      </c>
      <c r="D3295" s="49" t="s">
        <v>1721</v>
      </c>
      <c r="E3295" s="52" t="s">
        <v>751</v>
      </c>
    </row>
    <row r="3296" spans="1:5">
      <c r="A3296" s="80">
        <v>46001</v>
      </c>
      <c r="B3296" s="80">
        <v>1</v>
      </c>
      <c r="C3296" s="80" t="s">
        <v>3750</v>
      </c>
      <c r="D3296" s="80" t="s">
        <v>1722</v>
      </c>
      <c r="E3296" s="90" t="s">
        <v>732</v>
      </c>
    </row>
    <row r="3297" spans="1:5">
      <c r="A3297" s="80">
        <v>46002</v>
      </c>
      <c r="B3297" s="80">
        <v>1</v>
      </c>
      <c r="C3297" s="80" t="s">
        <v>4119</v>
      </c>
      <c r="D3297" s="80" t="s">
        <v>1722</v>
      </c>
      <c r="E3297" s="90" t="s">
        <v>1723</v>
      </c>
    </row>
    <row r="3298" spans="1:5">
      <c r="A3298" s="80">
        <v>46003</v>
      </c>
      <c r="B3298" s="80">
        <v>1</v>
      </c>
      <c r="C3298" s="80" t="s">
        <v>4120</v>
      </c>
      <c r="D3298" s="80" t="s">
        <v>1722</v>
      </c>
      <c r="E3298" s="90" t="s">
        <v>1724</v>
      </c>
    </row>
    <row r="3299" spans="1:5">
      <c r="A3299" s="80">
        <v>46004</v>
      </c>
      <c r="B3299" s="80">
        <v>1</v>
      </c>
      <c r="C3299" s="80" t="s">
        <v>4121</v>
      </c>
      <c r="D3299" s="80" t="s">
        <v>1722</v>
      </c>
      <c r="E3299" s="90" t="s">
        <v>1725</v>
      </c>
    </row>
    <row r="3300" spans="1:5">
      <c r="A3300" s="80">
        <v>46005</v>
      </c>
      <c r="B3300" s="80">
        <v>1</v>
      </c>
      <c r="C3300" s="80" t="s">
        <v>3328</v>
      </c>
      <c r="D3300" s="80" t="s">
        <v>1722</v>
      </c>
      <c r="E3300" s="90" t="s">
        <v>928</v>
      </c>
    </row>
    <row r="3301" spans="1:5">
      <c r="A3301" s="49">
        <v>46006</v>
      </c>
      <c r="B3301" s="49">
        <v>1</v>
      </c>
      <c r="C3301" s="49" t="s">
        <v>3537</v>
      </c>
      <c r="D3301" s="49" t="s">
        <v>1726</v>
      </c>
      <c r="E3301" s="52" t="s">
        <v>269</v>
      </c>
    </row>
    <row r="3302" spans="1:5">
      <c r="A3302" s="49">
        <v>46007</v>
      </c>
      <c r="B3302" s="49">
        <v>1</v>
      </c>
      <c r="C3302" s="49" t="s">
        <v>3536</v>
      </c>
      <c r="D3302" s="49" t="s">
        <v>1727</v>
      </c>
      <c r="E3302" s="52" t="s">
        <v>267</v>
      </c>
    </row>
    <row r="3303" spans="1:5">
      <c r="A3303" s="49">
        <v>46008</v>
      </c>
      <c r="B3303" s="49">
        <v>1</v>
      </c>
      <c r="C3303" s="49" t="s">
        <v>3538</v>
      </c>
      <c r="D3303" s="49" t="s">
        <v>1728</v>
      </c>
      <c r="E3303" s="52" t="s">
        <v>271</v>
      </c>
    </row>
    <row r="3304" spans="1:5">
      <c r="A3304" s="49">
        <v>46009</v>
      </c>
      <c r="B3304" s="49">
        <v>1</v>
      </c>
      <c r="C3304" s="49" t="s">
        <v>3539</v>
      </c>
      <c r="D3304" s="49" t="s">
        <v>1729</v>
      </c>
      <c r="E3304" s="52" t="s">
        <v>273</v>
      </c>
    </row>
    <row r="3305" spans="1:5">
      <c r="A3305" s="80">
        <v>46010</v>
      </c>
      <c r="B3305" s="80">
        <v>1</v>
      </c>
      <c r="C3305" s="80" t="s">
        <v>3544</v>
      </c>
      <c r="D3305" s="80" t="s">
        <v>1730</v>
      </c>
      <c r="E3305" s="90" t="s">
        <v>283</v>
      </c>
    </row>
    <row r="3306" spans="1:5">
      <c r="A3306" s="80">
        <v>46011</v>
      </c>
      <c r="B3306" s="80">
        <v>1</v>
      </c>
      <c r="C3306" s="80" t="s">
        <v>3546</v>
      </c>
      <c r="D3306" s="80" t="s">
        <v>1731</v>
      </c>
      <c r="E3306" s="90" t="s">
        <v>287</v>
      </c>
    </row>
    <row r="3307" spans="1:5">
      <c r="A3307" s="80">
        <v>46012</v>
      </c>
      <c r="B3307" s="80">
        <v>1</v>
      </c>
      <c r="C3307" s="80" t="s">
        <v>3547</v>
      </c>
      <c r="D3307" s="80" t="s">
        <v>1732</v>
      </c>
      <c r="E3307" s="90" t="s">
        <v>289</v>
      </c>
    </row>
    <row r="3308" spans="1:5">
      <c r="A3308" s="80">
        <v>46013</v>
      </c>
      <c r="B3308" s="80">
        <v>1</v>
      </c>
      <c r="C3308" s="80" t="s">
        <v>3545</v>
      </c>
      <c r="D3308" s="80" t="s">
        <v>1733</v>
      </c>
      <c r="E3308" s="90" t="s">
        <v>285</v>
      </c>
    </row>
    <row r="3309" spans="1:5">
      <c r="A3309" s="82">
        <v>47000</v>
      </c>
      <c r="B3309" s="82">
        <v>1</v>
      </c>
      <c r="C3309" s="82" t="s">
        <v>4122</v>
      </c>
      <c r="D3309" s="82" t="s">
        <v>1734</v>
      </c>
      <c r="E3309" s="84" t="s">
        <v>1735</v>
      </c>
    </row>
    <row r="3310" spans="1:5">
      <c r="A3310" s="37">
        <v>47001</v>
      </c>
      <c r="B3310" s="37">
        <v>1</v>
      </c>
      <c r="C3310" s="37" t="s">
        <v>4123</v>
      </c>
      <c r="D3310" s="37" t="s">
        <v>1736</v>
      </c>
      <c r="E3310" s="39" t="s">
        <v>1737</v>
      </c>
    </row>
    <row r="3311" spans="1:5">
      <c r="A3311" s="37">
        <v>47002</v>
      </c>
      <c r="B3311" s="37">
        <v>1</v>
      </c>
      <c r="C3311" s="37" t="s">
        <v>4124</v>
      </c>
      <c r="D3311" s="37" t="s">
        <v>1738</v>
      </c>
      <c r="E3311" s="39" t="s">
        <v>1739</v>
      </c>
    </row>
    <row r="3312" spans="1:5">
      <c r="A3312" s="37">
        <v>47003</v>
      </c>
      <c r="B3312" s="37">
        <v>1</v>
      </c>
      <c r="C3312" s="37" t="s">
        <v>4125</v>
      </c>
      <c r="D3312" s="37" t="s">
        <v>1740</v>
      </c>
      <c r="E3312" s="39" t="s">
        <v>1741</v>
      </c>
    </row>
    <row r="3313" spans="1:5">
      <c r="A3313" s="37">
        <v>47004</v>
      </c>
      <c r="B3313" s="37">
        <v>1</v>
      </c>
      <c r="C3313" s="37" t="s">
        <v>4126</v>
      </c>
      <c r="D3313" s="37" t="s">
        <v>1742</v>
      </c>
      <c r="E3313" s="39" t="s">
        <v>1743</v>
      </c>
    </row>
    <row r="3314" spans="1:5">
      <c r="A3314" s="37">
        <v>47005</v>
      </c>
      <c r="B3314" s="37">
        <v>1</v>
      </c>
      <c r="C3314" s="37" t="s">
        <v>3350</v>
      </c>
      <c r="D3314" s="37" t="s">
        <v>1744</v>
      </c>
      <c r="E3314" s="39" t="s">
        <v>616</v>
      </c>
    </row>
    <row r="3315" spans="1:5">
      <c r="A3315" s="37">
        <v>47006</v>
      </c>
      <c r="B3315" s="37">
        <v>1</v>
      </c>
      <c r="C3315" s="37" t="s">
        <v>4127</v>
      </c>
      <c r="D3315" s="37" t="s">
        <v>1745</v>
      </c>
      <c r="E3315" s="39" t="s">
        <v>1746</v>
      </c>
    </row>
    <row r="3316" spans="1:5">
      <c r="A3316" s="37">
        <v>47007</v>
      </c>
      <c r="B3316" s="37">
        <v>1</v>
      </c>
      <c r="C3316" s="37" t="s">
        <v>4128</v>
      </c>
      <c r="D3316" s="37" t="s">
        <v>1747</v>
      </c>
      <c r="E3316" s="39" t="s">
        <v>1748</v>
      </c>
    </row>
    <row r="3317" spans="1:5">
      <c r="A3317" s="37">
        <v>47008</v>
      </c>
      <c r="B3317" s="37">
        <v>1</v>
      </c>
      <c r="C3317" s="37" t="s">
        <v>4129</v>
      </c>
      <c r="D3317" s="37" t="s">
        <v>1749</v>
      </c>
      <c r="E3317" s="39" t="s">
        <v>1750</v>
      </c>
    </row>
    <row r="3318" spans="1:5">
      <c r="A3318" s="37">
        <v>47009</v>
      </c>
      <c r="B3318" s="37">
        <v>1</v>
      </c>
      <c r="C3318" s="37" t="s">
        <v>4130</v>
      </c>
      <c r="D3318" s="37" t="s">
        <v>1751</v>
      </c>
      <c r="E3318" s="39" t="s">
        <v>1752</v>
      </c>
    </row>
    <row r="3319" spans="1:5">
      <c r="A3319" s="37">
        <v>47010</v>
      </c>
      <c r="B3319" s="37">
        <v>1</v>
      </c>
      <c r="C3319" s="37" t="s">
        <v>3894</v>
      </c>
      <c r="D3319" s="37" t="s">
        <v>1753</v>
      </c>
      <c r="E3319" s="39" t="s">
        <v>1285</v>
      </c>
    </row>
    <row r="3320" spans="1:5">
      <c r="A3320" s="37">
        <v>47011</v>
      </c>
      <c r="B3320" s="37">
        <v>1</v>
      </c>
      <c r="C3320" s="37" t="s">
        <v>4131</v>
      </c>
      <c r="D3320" s="37" t="s">
        <v>1754</v>
      </c>
      <c r="E3320" s="39" t="s">
        <v>1755</v>
      </c>
    </row>
    <row r="3321" spans="1:5">
      <c r="A3321" s="37">
        <v>47012</v>
      </c>
      <c r="B3321" s="37">
        <v>1</v>
      </c>
      <c r="C3321" s="37" t="s">
        <v>4132</v>
      </c>
      <c r="D3321" s="37" t="s">
        <v>1756</v>
      </c>
      <c r="E3321" s="39" t="s">
        <v>1757</v>
      </c>
    </row>
    <row r="3322" spans="1:5">
      <c r="A3322" s="37">
        <v>47013</v>
      </c>
      <c r="B3322" s="37">
        <v>1</v>
      </c>
      <c r="C3322" s="37" t="s">
        <v>4133</v>
      </c>
      <c r="D3322" s="37" t="s">
        <v>1758</v>
      </c>
      <c r="E3322" s="39" t="s">
        <v>1759</v>
      </c>
    </row>
    <row r="3323" spans="1:5">
      <c r="A3323" s="37">
        <v>47014</v>
      </c>
      <c r="B3323" s="37">
        <v>1</v>
      </c>
      <c r="C3323" s="37" t="s">
        <v>4134</v>
      </c>
      <c r="D3323" s="37" t="s">
        <v>1760</v>
      </c>
      <c r="E3323" s="39" t="s">
        <v>1761</v>
      </c>
    </row>
    <row r="3324" spans="1:5">
      <c r="A3324" s="37">
        <v>47015</v>
      </c>
      <c r="B3324" s="37">
        <v>1</v>
      </c>
      <c r="C3324" s="37" t="s">
        <v>3699</v>
      </c>
      <c r="D3324" s="37" t="s">
        <v>1762</v>
      </c>
      <c r="E3324" s="39" t="s">
        <v>628</v>
      </c>
    </row>
    <row r="3325" spans="1:5">
      <c r="A3325" s="37">
        <v>47016</v>
      </c>
      <c r="B3325" s="37">
        <v>1</v>
      </c>
      <c r="C3325" s="37" t="s">
        <v>4135</v>
      </c>
      <c r="D3325" s="37" t="s">
        <v>1763</v>
      </c>
      <c r="E3325" s="39" t="s">
        <v>1764</v>
      </c>
    </row>
    <row r="3326" spans="1:5">
      <c r="A3326" s="37">
        <v>47017</v>
      </c>
      <c r="B3326" s="37">
        <v>1</v>
      </c>
      <c r="C3326" s="37" t="s">
        <v>4136</v>
      </c>
      <c r="D3326" s="37" t="s">
        <v>1765</v>
      </c>
      <c r="E3326" s="39" t="s">
        <v>1766</v>
      </c>
    </row>
    <row r="3327" spans="1:5">
      <c r="A3327" s="37">
        <v>47018</v>
      </c>
      <c r="B3327" s="37">
        <v>1</v>
      </c>
      <c r="C3327" s="37" t="s">
        <v>4137</v>
      </c>
      <c r="D3327" s="37" t="s">
        <v>1767</v>
      </c>
      <c r="E3327" s="39" t="s">
        <v>1768</v>
      </c>
    </row>
    <row r="3328" spans="1:5">
      <c r="A3328" s="37">
        <v>47019</v>
      </c>
      <c r="B3328" s="37">
        <v>1</v>
      </c>
      <c r="C3328" s="37" t="s">
        <v>4138</v>
      </c>
      <c r="D3328" s="37" t="s">
        <v>1769</v>
      </c>
      <c r="E3328" s="39" t="s">
        <v>1770</v>
      </c>
    </row>
    <row r="3329" spans="1:5">
      <c r="A3329" s="37">
        <v>47020</v>
      </c>
      <c r="B3329" s="37">
        <v>1</v>
      </c>
      <c r="C3329" s="37" t="s">
        <v>3897</v>
      </c>
      <c r="D3329" s="37" t="s">
        <v>1771</v>
      </c>
      <c r="E3329" s="39" t="s">
        <v>1295</v>
      </c>
    </row>
    <row r="3330" spans="1:5">
      <c r="A3330" s="1">
        <v>47021</v>
      </c>
      <c r="B3330" s="1">
        <v>1</v>
      </c>
      <c r="C3330" s="1" t="s">
        <v>4139</v>
      </c>
      <c r="D3330" s="1" t="s">
        <v>1772</v>
      </c>
      <c r="E3330" s="3" t="s">
        <v>1773</v>
      </c>
    </row>
    <row r="3331" spans="1:5">
      <c r="A3331" s="1">
        <v>47022</v>
      </c>
      <c r="B3331" s="1">
        <v>1</v>
      </c>
      <c r="C3331" s="1" t="s">
        <v>4139</v>
      </c>
      <c r="D3331" s="1" t="s">
        <v>1772</v>
      </c>
      <c r="E3331" s="3" t="s">
        <v>1773</v>
      </c>
    </row>
    <row r="3332" spans="1:5">
      <c r="A3332" s="1">
        <v>47023</v>
      </c>
      <c r="B3332" s="1">
        <v>1</v>
      </c>
      <c r="C3332" s="1" t="s">
        <v>4140</v>
      </c>
      <c r="D3332" s="1" t="s">
        <v>1749</v>
      </c>
      <c r="E3332" s="3" t="s">
        <v>1774</v>
      </c>
    </row>
    <row r="3333" spans="1:5">
      <c r="A3333" s="1">
        <v>47024</v>
      </c>
      <c r="B3333" s="1">
        <v>1</v>
      </c>
      <c r="C3333" s="1" t="s">
        <v>3887</v>
      </c>
      <c r="D3333" s="1" t="s">
        <v>1749</v>
      </c>
      <c r="E3333" s="3" t="s">
        <v>1268</v>
      </c>
    </row>
    <row r="3334" spans="1:5">
      <c r="A3334" s="1">
        <v>47025</v>
      </c>
      <c r="B3334" s="1">
        <v>1</v>
      </c>
      <c r="C3334" s="1" t="s">
        <v>4141</v>
      </c>
      <c r="D3334" s="1" t="s">
        <v>1751</v>
      </c>
      <c r="E3334" s="3" t="s">
        <v>1775</v>
      </c>
    </row>
    <row r="3335" spans="1:5">
      <c r="A3335" s="1">
        <v>47026</v>
      </c>
      <c r="B3335" s="1">
        <v>1</v>
      </c>
      <c r="C3335" s="1" t="s">
        <v>4142</v>
      </c>
      <c r="D3335" s="1" t="s">
        <v>1751</v>
      </c>
      <c r="E3335" s="3" t="s">
        <v>1776</v>
      </c>
    </row>
    <row r="3336" spans="1:5">
      <c r="A3336" s="1">
        <v>47027</v>
      </c>
      <c r="B3336" s="1">
        <v>1</v>
      </c>
      <c r="C3336" s="1" t="s">
        <v>3887</v>
      </c>
      <c r="D3336" s="1" t="s">
        <v>1751</v>
      </c>
      <c r="E3336" s="3" t="s">
        <v>1268</v>
      </c>
    </row>
    <row r="3337" spans="1:5">
      <c r="A3337" s="1">
        <v>47028</v>
      </c>
      <c r="B3337" s="1">
        <v>1</v>
      </c>
      <c r="C3337" s="1" t="s">
        <v>4143</v>
      </c>
      <c r="D3337" s="1" t="s">
        <v>1753</v>
      </c>
      <c r="E3337" s="3" t="s">
        <v>1777</v>
      </c>
    </row>
    <row r="3338" spans="1:5">
      <c r="A3338" s="1">
        <v>47029</v>
      </c>
      <c r="B3338" s="1">
        <v>1</v>
      </c>
      <c r="C3338" s="1" t="s">
        <v>4144</v>
      </c>
      <c r="D3338" s="1" t="s">
        <v>1753</v>
      </c>
      <c r="E3338" s="3" t="s">
        <v>1778</v>
      </c>
    </row>
    <row r="3339" spans="1:5">
      <c r="A3339" s="1">
        <v>47030</v>
      </c>
      <c r="B3339" s="1">
        <v>1</v>
      </c>
      <c r="C3339" s="1" t="s">
        <v>3888</v>
      </c>
      <c r="D3339" s="1" t="s">
        <v>1753</v>
      </c>
      <c r="E3339" s="3" t="s">
        <v>1270</v>
      </c>
    </row>
    <row r="3340" spans="1:5">
      <c r="A3340" s="1">
        <v>47031</v>
      </c>
      <c r="B3340" s="1">
        <v>1</v>
      </c>
      <c r="C3340" s="1" t="s">
        <v>4145</v>
      </c>
      <c r="D3340" s="1" t="s">
        <v>1754</v>
      </c>
      <c r="E3340" s="3" t="s">
        <v>1779</v>
      </c>
    </row>
    <row r="3341" spans="1:5">
      <c r="A3341" s="1">
        <v>47032</v>
      </c>
      <c r="B3341" s="1">
        <v>1</v>
      </c>
      <c r="C3341" s="1" t="s">
        <v>4146</v>
      </c>
      <c r="D3341" s="1" t="s">
        <v>1754</v>
      </c>
      <c r="E3341" s="3" t="s">
        <v>1780</v>
      </c>
    </row>
    <row r="3342" spans="1:5">
      <c r="A3342" s="1">
        <v>47033</v>
      </c>
      <c r="B3342" s="1">
        <v>1</v>
      </c>
      <c r="C3342" s="1" t="s">
        <v>3888</v>
      </c>
      <c r="D3342" s="1" t="s">
        <v>1754</v>
      </c>
      <c r="E3342" s="3" t="s">
        <v>1270</v>
      </c>
    </row>
    <row r="3343" spans="1:5">
      <c r="A3343" s="1">
        <v>47034</v>
      </c>
      <c r="B3343" s="1">
        <v>1</v>
      </c>
      <c r="C3343" s="1" t="s">
        <v>4147</v>
      </c>
      <c r="D3343" s="1" t="s">
        <v>1756</v>
      </c>
      <c r="E3343" s="3" t="s">
        <v>1781</v>
      </c>
    </row>
    <row r="3344" spans="1:5">
      <c r="A3344" s="1">
        <v>47035</v>
      </c>
      <c r="B3344" s="1">
        <v>1</v>
      </c>
      <c r="C3344" s="1" t="s">
        <v>3719</v>
      </c>
      <c r="D3344" s="1" t="s">
        <v>1756</v>
      </c>
      <c r="E3344" s="3" t="s">
        <v>633</v>
      </c>
    </row>
    <row r="3345" spans="1:5">
      <c r="A3345" s="1">
        <v>47036</v>
      </c>
      <c r="B3345" s="1">
        <v>1</v>
      </c>
      <c r="C3345" s="1" t="s">
        <v>3888</v>
      </c>
      <c r="D3345" s="1" t="s">
        <v>1756</v>
      </c>
      <c r="E3345" s="3" t="s">
        <v>1270</v>
      </c>
    </row>
    <row r="3346" spans="1:5">
      <c r="A3346" s="1">
        <v>47037</v>
      </c>
      <c r="B3346" s="1">
        <v>1</v>
      </c>
      <c r="C3346" s="1" t="s">
        <v>4148</v>
      </c>
      <c r="D3346" s="1" t="s">
        <v>1758</v>
      </c>
      <c r="E3346" s="3" t="s">
        <v>1782</v>
      </c>
    </row>
    <row r="3347" spans="1:5">
      <c r="A3347" s="1">
        <v>47038</v>
      </c>
      <c r="B3347" s="1">
        <v>1</v>
      </c>
      <c r="C3347" s="1" t="s">
        <v>4149</v>
      </c>
      <c r="D3347" s="1" t="s">
        <v>1758</v>
      </c>
      <c r="E3347" s="3" t="s">
        <v>1783</v>
      </c>
    </row>
    <row r="3348" spans="1:5">
      <c r="A3348" s="1">
        <v>47039</v>
      </c>
      <c r="B3348" s="1">
        <v>1</v>
      </c>
      <c r="C3348" s="1" t="s">
        <v>3888</v>
      </c>
      <c r="D3348" s="1" t="s">
        <v>1758</v>
      </c>
      <c r="E3348" s="3" t="s">
        <v>1270</v>
      </c>
    </row>
    <row r="3349" spans="1:5">
      <c r="A3349" s="1">
        <v>47040</v>
      </c>
      <c r="B3349" s="1">
        <v>1</v>
      </c>
      <c r="C3349" s="1" t="s">
        <v>4150</v>
      </c>
      <c r="D3349" s="1" t="s">
        <v>1760</v>
      </c>
      <c r="E3349" s="3" t="s">
        <v>1784</v>
      </c>
    </row>
    <row r="3350" spans="1:5">
      <c r="A3350" s="1">
        <v>47041</v>
      </c>
      <c r="B3350" s="1">
        <v>1</v>
      </c>
      <c r="C3350" s="1" t="s">
        <v>4151</v>
      </c>
      <c r="D3350" s="1" t="s">
        <v>1760</v>
      </c>
      <c r="E3350" s="3" t="s">
        <v>1785</v>
      </c>
    </row>
    <row r="3351" spans="1:5">
      <c r="A3351" s="1">
        <v>47042</v>
      </c>
      <c r="B3351" s="1">
        <v>1</v>
      </c>
      <c r="C3351" s="1" t="s">
        <v>3888</v>
      </c>
      <c r="D3351" s="1" t="s">
        <v>1760</v>
      </c>
      <c r="E3351" s="3" t="s">
        <v>1270</v>
      </c>
    </row>
    <row r="3352" spans="1:5">
      <c r="A3352" s="1">
        <v>47043</v>
      </c>
      <c r="B3352" s="1">
        <v>1</v>
      </c>
      <c r="C3352" s="1" t="s">
        <v>3789</v>
      </c>
      <c r="D3352" s="1" t="s">
        <v>1762</v>
      </c>
      <c r="E3352" s="3" t="s">
        <v>890</v>
      </c>
    </row>
    <row r="3353" spans="1:5">
      <c r="A3353" s="1">
        <v>47044</v>
      </c>
      <c r="B3353" s="1">
        <v>1</v>
      </c>
      <c r="C3353" s="1" t="s">
        <v>4152</v>
      </c>
      <c r="D3353" s="1" t="s">
        <v>1762</v>
      </c>
      <c r="E3353" s="3" t="s">
        <v>1786</v>
      </c>
    </row>
    <row r="3354" spans="1:5">
      <c r="A3354" s="1">
        <v>47045</v>
      </c>
      <c r="B3354" s="1">
        <v>1</v>
      </c>
      <c r="C3354" s="1" t="s">
        <v>3888</v>
      </c>
      <c r="D3354" s="1" t="s">
        <v>1762</v>
      </c>
      <c r="E3354" s="3" t="s">
        <v>1270</v>
      </c>
    </row>
    <row r="3355" spans="1:5">
      <c r="A3355" s="1">
        <v>47046</v>
      </c>
      <c r="B3355" s="1">
        <v>1</v>
      </c>
      <c r="C3355" s="1" t="s">
        <v>4153</v>
      </c>
      <c r="D3355" s="1" t="s">
        <v>1763</v>
      </c>
      <c r="E3355" s="3" t="s">
        <v>1787</v>
      </c>
    </row>
    <row r="3356" spans="1:5">
      <c r="A3356" s="1">
        <v>47047</v>
      </c>
      <c r="B3356" s="1">
        <v>1</v>
      </c>
      <c r="C3356" s="1" t="s">
        <v>4154</v>
      </c>
      <c r="D3356" s="1" t="s">
        <v>1763</v>
      </c>
      <c r="E3356" s="3" t="s">
        <v>1788</v>
      </c>
    </row>
    <row r="3357" spans="1:5">
      <c r="A3357" s="1">
        <v>47048</v>
      </c>
      <c r="B3357" s="1">
        <v>1</v>
      </c>
      <c r="C3357" s="1" t="s">
        <v>3888</v>
      </c>
      <c r="D3357" s="1" t="s">
        <v>1763</v>
      </c>
      <c r="E3357" s="3" t="s">
        <v>1270</v>
      </c>
    </row>
    <row r="3358" spans="1:5">
      <c r="A3358" s="1">
        <v>47049</v>
      </c>
      <c r="B3358" s="1">
        <v>1</v>
      </c>
      <c r="C3358" s="1" t="s">
        <v>4155</v>
      </c>
      <c r="D3358" s="1" t="s">
        <v>1765</v>
      </c>
      <c r="E3358" s="3" t="s">
        <v>1789</v>
      </c>
    </row>
    <row r="3359" spans="1:5">
      <c r="A3359" s="1">
        <v>47050</v>
      </c>
      <c r="B3359" s="1">
        <v>1</v>
      </c>
      <c r="C3359" s="1" t="s">
        <v>4156</v>
      </c>
      <c r="D3359" s="1" t="s">
        <v>1765</v>
      </c>
      <c r="E3359" s="3" t="s">
        <v>1790</v>
      </c>
    </row>
    <row r="3360" spans="1:5">
      <c r="A3360" s="1">
        <v>47051</v>
      </c>
      <c r="B3360" s="1">
        <v>1</v>
      </c>
      <c r="C3360" s="1" t="s">
        <v>3888</v>
      </c>
      <c r="D3360" s="1" t="s">
        <v>1765</v>
      </c>
      <c r="E3360" s="3" t="s">
        <v>1270</v>
      </c>
    </row>
    <row r="3361" spans="1:5">
      <c r="A3361" s="1">
        <v>47052</v>
      </c>
      <c r="B3361" s="1">
        <v>1</v>
      </c>
      <c r="C3361" s="1" t="s">
        <v>4157</v>
      </c>
      <c r="D3361" s="1" t="s">
        <v>1767</v>
      </c>
      <c r="E3361" s="3" t="s">
        <v>1791</v>
      </c>
    </row>
    <row r="3362" spans="1:5">
      <c r="A3362" s="1">
        <v>47053</v>
      </c>
      <c r="B3362" s="1">
        <v>1</v>
      </c>
      <c r="C3362" s="1" t="s">
        <v>4158</v>
      </c>
      <c r="D3362" s="1" t="s">
        <v>1767</v>
      </c>
      <c r="E3362" s="3" t="s">
        <v>1792</v>
      </c>
    </row>
    <row r="3363" spans="1:5">
      <c r="A3363" s="1">
        <v>47054</v>
      </c>
      <c r="B3363" s="1">
        <v>1</v>
      </c>
      <c r="C3363" s="1" t="s">
        <v>3888</v>
      </c>
      <c r="D3363" s="1" t="s">
        <v>1767</v>
      </c>
      <c r="E3363" s="3" t="s">
        <v>1270</v>
      </c>
    </row>
    <row r="3364" spans="1:5">
      <c r="A3364" s="1">
        <v>47055</v>
      </c>
      <c r="B3364" s="1">
        <v>1</v>
      </c>
      <c r="C3364" s="1" t="s">
        <v>4159</v>
      </c>
      <c r="D3364" s="1" t="s">
        <v>1769</v>
      </c>
      <c r="E3364" s="3" t="s">
        <v>1793</v>
      </c>
    </row>
    <row r="3365" spans="1:5">
      <c r="A3365" s="1">
        <v>47056</v>
      </c>
      <c r="B3365" s="1">
        <v>1</v>
      </c>
      <c r="C3365" s="1" t="s">
        <v>4160</v>
      </c>
      <c r="D3365" s="1" t="s">
        <v>1769</v>
      </c>
      <c r="E3365" s="3" t="s">
        <v>1794</v>
      </c>
    </row>
    <row r="3366" spans="1:5">
      <c r="A3366" s="1">
        <v>47057</v>
      </c>
      <c r="B3366" s="1">
        <v>1</v>
      </c>
      <c r="C3366" s="1" t="s">
        <v>3888</v>
      </c>
      <c r="D3366" s="1" t="s">
        <v>1769</v>
      </c>
      <c r="E3366" s="3" t="s">
        <v>1270</v>
      </c>
    </row>
    <row r="3367" spans="1:5">
      <c r="A3367" s="1">
        <v>47058</v>
      </c>
      <c r="B3367" s="1">
        <v>1</v>
      </c>
      <c r="C3367" s="1" t="s">
        <v>3790</v>
      </c>
      <c r="D3367" s="1" t="s">
        <v>1771</v>
      </c>
      <c r="E3367" s="3" t="s">
        <v>892</v>
      </c>
    </row>
    <row r="3368" spans="1:5">
      <c r="A3368" s="1">
        <v>47059</v>
      </c>
      <c r="B3368" s="1">
        <v>1</v>
      </c>
      <c r="C3368" s="1" t="s">
        <v>4161</v>
      </c>
      <c r="D3368" s="1" t="s">
        <v>1771</v>
      </c>
      <c r="E3368" s="3" t="s">
        <v>1795</v>
      </c>
    </row>
    <row r="3369" spans="1:5">
      <c r="A3369" s="1">
        <v>47060</v>
      </c>
      <c r="B3369" s="1">
        <v>1</v>
      </c>
      <c r="C3369" s="1" t="s">
        <v>3888</v>
      </c>
      <c r="D3369" s="1" t="s">
        <v>1771</v>
      </c>
      <c r="E3369" s="3" t="s">
        <v>1270</v>
      </c>
    </row>
    <row r="3370" spans="1:5">
      <c r="A3370" s="240">
        <v>49001</v>
      </c>
      <c r="B3370" s="240">
        <v>0</v>
      </c>
      <c r="C3370" s="240" t="s">
        <v>8179</v>
      </c>
      <c r="D3370" s="240" t="s">
        <v>8180</v>
      </c>
      <c r="E3370" s="240" t="s">
        <v>8181</v>
      </c>
    </row>
    <row r="3371" spans="1:5" ht="16.5" customHeight="1">
      <c r="A3371" s="240">
        <v>49002</v>
      </c>
      <c r="B3371" s="240">
        <v>0</v>
      </c>
      <c r="C3371" s="240" t="s">
        <v>8182</v>
      </c>
      <c r="D3371" s="240" t="s">
        <v>7098</v>
      </c>
      <c r="E3371" s="240" t="s">
        <v>8183</v>
      </c>
    </row>
    <row r="3372" spans="1:5">
      <c r="A3372" s="240">
        <v>49003</v>
      </c>
      <c r="B3372" s="240">
        <v>0</v>
      </c>
      <c r="C3372" s="240" t="s">
        <v>8184</v>
      </c>
      <c r="D3372" s="240" t="s">
        <v>8185</v>
      </c>
      <c r="E3372" s="240" t="s">
        <v>8186</v>
      </c>
    </row>
    <row r="3373" spans="1:5">
      <c r="A3373" s="240">
        <v>49004</v>
      </c>
      <c r="B3373" s="240">
        <v>0</v>
      </c>
      <c r="C3373" s="240" t="s">
        <v>8187</v>
      </c>
      <c r="D3373" s="240" t="s">
        <v>8188</v>
      </c>
      <c r="E3373" s="240" t="s">
        <v>8189</v>
      </c>
    </row>
    <row r="3374" spans="1:5">
      <c r="A3374" s="240">
        <v>49005</v>
      </c>
      <c r="B3374" s="240">
        <v>1</v>
      </c>
      <c r="C3374" s="240" t="s">
        <v>3709</v>
      </c>
      <c r="D3374" s="240" t="s">
        <v>1841</v>
      </c>
      <c r="E3374" s="240" t="s">
        <v>612</v>
      </c>
    </row>
    <row r="3375" spans="1:5">
      <c r="A3375" s="240">
        <v>49006</v>
      </c>
      <c r="B3375" s="240">
        <v>1</v>
      </c>
      <c r="C3375" s="240" t="s">
        <v>3699</v>
      </c>
      <c r="D3375" s="240" t="s">
        <v>587</v>
      </c>
      <c r="E3375" s="240" t="s">
        <v>4699</v>
      </c>
    </row>
    <row r="3376" spans="1:5">
      <c r="A3376" s="240">
        <v>49007</v>
      </c>
      <c r="B3376" s="240">
        <v>1</v>
      </c>
      <c r="C3376" s="240" t="s">
        <v>3700</v>
      </c>
      <c r="D3376" s="240" t="s">
        <v>588</v>
      </c>
      <c r="E3376" s="240" t="s">
        <v>4700</v>
      </c>
    </row>
    <row r="3377" spans="1:5">
      <c r="A3377" s="240">
        <v>49008</v>
      </c>
      <c r="B3377" s="240">
        <v>1</v>
      </c>
      <c r="C3377" s="240" t="s">
        <v>3702</v>
      </c>
      <c r="D3377" s="240" t="s">
        <v>591</v>
      </c>
      <c r="E3377" s="240" t="s">
        <v>4701</v>
      </c>
    </row>
    <row r="3378" spans="1:5" ht="16.5" customHeight="1">
      <c r="A3378" s="240">
        <v>49009</v>
      </c>
      <c r="B3378" s="240">
        <v>1</v>
      </c>
      <c r="C3378" s="240" t="s">
        <v>3330</v>
      </c>
      <c r="D3378" s="240" t="s">
        <v>592</v>
      </c>
      <c r="E3378" s="240" t="s">
        <v>4702</v>
      </c>
    </row>
    <row r="3379" spans="1:5" ht="16.5" customHeight="1">
      <c r="A3379" s="240">
        <v>49010</v>
      </c>
      <c r="B3379" s="240">
        <v>0</v>
      </c>
      <c r="C3379" s="240" t="s">
        <v>7112</v>
      </c>
      <c r="D3379" s="240" t="s">
        <v>8190</v>
      </c>
      <c r="E3379" s="240" t="s">
        <v>8191</v>
      </c>
    </row>
    <row r="3380" spans="1:5">
      <c r="A3380" s="240">
        <v>49011</v>
      </c>
      <c r="B3380" s="240">
        <v>0</v>
      </c>
      <c r="C3380" s="240" t="s">
        <v>8192</v>
      </c>
      <c r="D3380" s="240" t="s">
        <v>8193</v>
      </c>
      <c r="E3380" s="240" t="s">
        <v>8194</v>
      </c>
    </row>
    <row r="3381" spans="1:5">
      <c r="A3381" s="241">
        <v>49012</v>
      </c>
      <c r="B3381" s="241">
        <v>1</v>
      </c>
      <c r="C3381" s="241" t="s">
        <v>7118</v>
      </c>
      <c r="D3381" s="241" t="s">
        <v>8195</v>
      </c>
      <c r="E3381" s="241" t="s">
        <v>10453</v>
      </c>
    </row>
    <row r="3382" spans="1:5">
      <c r="A3382" s="240">
        <v>49013</v>
      </c>
      <c r="B3382" s="240">
        <v>1</v>
      </c>
      <c r="C3382" s="240" t="s">
        <v>4168</v>
      </c>
      <c r="D3382" s="240" t="s">
        <v>1837</v>
      </c>
      <c r="E3382" s="240" t="s">
        <v>1838</v>
      </c>
    </row>
    <row r="3383" spans="1:5">
      <c r="A3383" s="240">
        <v>49014</v>
      </c>
      <c r="B3383" s="240">
        <v>1</v>
      </c>
      <c r="C3383" s="240" t="s">
        <v>4169</v>
      </c>
      <c r="D3383" s="240" t="s">
        <v>1839</v>
      </c>
      <c r="E3383" s="240" t="s">
        <v>1840</v>
      </c>
    </row>
    <row r="3384" spans="1:5">
      <c r="A3384" s="240">
        <v>49015</v>
      </c>
      <c r="B3384" s="240">
        <v>1</v>
      </c>
      <c r="C3384" s="240" t="s">
        <v>7118</v>
      </c>
      <c r="D3384" s="240" t="s">
        <v>10079</v>
      </c>
      <c r="E3384" s="240" t="s">
        <v>10454</v>
      </c>
    </row>
    <row r="3385" spans="1:5">
      <c r="A3385" s="240">
        <v>49016</v>
      </c>
      <c r="B3385" s="240">
        <v>1</v>
      </c>
      <c r="C3385" s="240" t="s">
        <v>7118</v>
      </c>
      <c r="D3385" s="240" t="s">
        <v>10080</v>
      </c>
      <c r="E3385" s="240" t="s">
        <v>10455</v>
      </c>
    </row>
    <row r="3386" spans="1:5">
      <c r="A3386" s="240">
        <v>49017</v>
      </c>
      <c r="B3386" s="240">
        <v>1</v>
      </c>
      <c r="C3386" s="240" t="s">
        <v>7118</v>
      </c>
      <c r="D3386" s="240" t="s">
        <v>10081</v>
      </c>
      <c r="E3386" s="240" t="s">
        <v>10456</v>
      </c>
    </row>
    <row r="3387" spans="1:5">
      <c r="A3387" s="240">
        <v>49018</v>
      </c>
      <c r="B3387" s="240">
        <v>1</v>
      </c>
      <c r="C3387" s="240" t="s">
        <v>7118</v>
      </c>
      <c r="D3387" s="318" t="s">
        <v>12694</v>
      </c>
      <c r="E3387" s="240" t="s">
        <v>12705</v>
      </c>
    </row>
    <row r="3388" spans="1:5">
      <c r="A3388" s="240">
        <v>49019</v>
      </c>
      <c r="B3388" s="240">
        <v>1</v>
      </c>
      <c r="C3388" s="240" t="s">
        <v>7118</v>
      </c>
      <c r="D3388" s="213" t="s">
        <v>12695</v>
      </c>
      <c r="E3388" s="240" t="s">
        <v>12704</v>
      </c>
    </row>
    <row r="3389" spans="1:5">
      <c r="A3389" s="240">
        <v>49020</v>
      </c>
      <c r="B3389" s="240">
        <v>1</v>
      </c>
      <c r="C3389" s="240" t="s">
        <v>7118</v>
      </c>
      <c r="D3389" s="211" t="s">
        <v>12696</v>
      </c>
      <c r="E3389" s="240" t="s">
        <v>12703</v>
      </c>
    </row>
    <row r="3390" spans="1:5">
      <c r="A3390" s="240">
        <v>49021</v>
      </c>
      <c r="B3390" s="240">
        <v>1</v>
      </c>
      <c r="C3390" s="240" t="s">
        <v>7118</v>
      </c>
      <c r="D3390" s="319" t="s">
        <v>12697</v>
      </c>
      <c r="E3390" s="240" t="s">
        <v>12702</v>
      </c>
    </row>
    <row r="3391" spans="1:5">
      <c r="A3391" s="240">
        <v>49022</v>
      </c>
      <c r="B3391" s="240">
        <v>1</v>
      </c>
      <c r="C3391" s="240" t="s">
        <v>7118</v>
      </c>
      <c r="D3391" s="320" t="s">
        <v>12699</v>
      </c>
      <c r="E3391" s="240" t="s">
        <v>12701</v>
      </c>
    </row>
    <row r="3392" spans="1:5">
      <c r="A3392" s="240">
        <v>49023</v>
      </c>
      <c r="B3392" s="240">
        <v>1</v>
      </c>
      <c r="C3392" s="240" t="s">
        <v>7118</v>
      </c>
      <c r="D3392" s="317" t="s">
        <v>12698</v>
      </c>
      <c r="E3392" s="240" t="s">
        <v>12700</v>
      </c>
    </row>
    <row r="3393" spans="1:6">
      <c r="A3393" s="240">
        <v>49024</v>
      </c>
      <c r="B3393" s="240">
        <v>1</v>
      </c>
      <c r="C3393" s="240" t="s">
        <v>7118</v>
      </c>
      <c r="D3393" s="320" t="s">
        <v>12708</v>
      </c>
      <c r="E3393" s="240" t="s">
        <v>12707</v>
      </c>
    </row>
    <row r="3394" spans="1:6">
      <c r="A3394" s="240">
        <v>49025</v>
      </c>
      <c r="B3394" s="240">
        <v>1</v>
      </c>
      <c r="C3394" s="240" t="s">
        <v>7118</v>
      </c>
      <c r="D3394" s="317" t="s">
        <v>12709</v>
      </c>
      <c r="E3394" s="240" t="s">
        <v>12706</v>
      </c>
    </row>
    <row r="3395" spans="1:6">
      <c r="A3395" s="317">
        <v>49101</v>
      </c>
      <c r="B3395" s="317">
        <v>1</v>
      </c>
      <c r="C3395" s="317" t="s">
        <v>7118</v>
      </c>
      <c r="D3395" s="317" t="s">
        <v>8161</v>
      </c>
      <c r="E3395" s="317" t="s">
        <v>12710</v>
      </c>
    </row>
    <row r="3396" spans="1:6">
      <c r="A3396" s="319">
        <v>49102</v>
      </c>
      <c r="B3396" s="319">
        <v>1</v>
      </c>
      <c r="C3396" s="319" t="s">
        <v>7118</v>
      </c>
      <c r="D3396" s="319" t="s">
        <v>1824</v>
      </c>
      <c r="E3396" s="319" t="s">
        <v>12711</v>
      </c>
    </row>
    <row r="3397" spans="1:6">
      <c r="A3397" s="212">
        <v>49103</v>
      </c>
      <c r="B3397" s="212">
        <v>1</v>
      </c>
      <c r="C3397" s="212" t="s">
        <v>7118</v>
      </c>
      <c r="D3397" s="212" t="s">
        <v>1826</v>
      </c>
      <c r="E3397" s="212" t="s">
        <v>12712</v>
      </c>
    </row>
    <row r="3398" spans="1:6">
      <c r="A3398" s="206">
        <v>49104</v>
      </c>
      <c r="B3398" s="206">
        <v>0</v>
      </c>
      <c r="C3398" s="206" t="s">
        <v>7118</v>
      </c>
      <c r="D3398" s="206" t="s">
        <v>8162</v>
      </c>
      <c r="E3398" s="206" t="s">
        <v>7027</v>
      </c>
    </row>
    <row r="3399" spans="1:6">
      <c r="A3399" s="206">
        <v>49105</v>
      </c>
      <c r="B3399" s="206">
        <v>1</v>
      </c>
      <c r="C3399" s="206" t="s">
        <v>7118</v>
      </c>
      <c r="D3399" s="206" t="s">
        <v>1798</v>
      </c>
      <c r="E3399" s="206" t="s">
        <v>8163</v>
      </c>
    </row>
    <row r="3400" spans="1:6">
      <c r="A3400" s="206">
        <v>49106</v>
      </c>
      <c r="B3400" s="206">
        <v>1</v>
      </c>
      <c r="C3400" s="206" t="s">
        <v>7118</v>
      </c>
      <c r="D3400" s="206" t="s">
        <v>1800</v>
      </c>
      <c r="E3400" s="206" t="s">
        <v>1801</v>
      </c>
    </row>
    <row r="3401" spans="1:6">
      <c r="A3401" s="206">
        <v>49107</v>
      </c>
      <c r="B3401" s="206">
        <v>1</v>
      </c>
      <c r="C3401" s="206" t="s">
        <v>7118</v>
      </c>
      <c r="D3401" s="206" t="s">
        <v>1802</v>
      </c>
      <c r="E3401" s="206" t="s">
        <v>1803</v>
      </c>
    </row>
    <row r="3402" spans="1:6">
      <c r="A3402" s="206">
        <v>49108</v>
      </c>
      <c r="B3402" s="206">
        <v>1</v>
      </c>
      <c r="C3402" s="206" t="s">
        <v>7118</v>
      </c>
      <c r="D3402" s="206" t="s">
        <v>1798</v>
      </c>
      <c r="E3402" s="206" t="s">
        <v>8163</v>
      </c>
    </row>
    <row r="3403" spans="1:6">
      <c r="A3403" s="207">
        <v>49109</v>
      </c>
      <c r="B3403" s="207">
        <v>1</v>
      </c>
      <c r="C3403" s="207" t="s">
        <v>4167</v>
      </c>
      <c r="D3403" s="207" t="s">
        <v>8164</v>
      </c>
      <c r="E3403" s="207" t="s">
        <v>10457</v>
      </c>
    </row>
    <row r="3404" spans="1:6">
      <c r="A3404" s="207">
        <v>49110</v>
      </c>
      <c r="B3404" s="207">
        <v>1</v>
      </c>
      <c r="C3404" s="207" t="s">
        <v>4162</v>
      </c>
      <c r="D3404" s="207" t="s">
        <v>8165</v>
      </c>
      <c r="E3404" s="207" t="s">
        <v>10458</v>
      </c>
    </row>
    <row r="3405" spans="1:6">
      <c r="A3405" s="207">
        <v>49111</v>
      </c>
      <c r="B3405" s="207">
        <v>1</v>
      </c>
      <c r="C3405" s="207" t="s">
        <v>4162</v>
      </c>
      <c r="D3405" s="207" t="s">
        <v>8166</v>
      </c>
      <c r="E3405" s="207" t="s">
        <v>10459</v>
      </c>
    </row>
    <row r="3406" spans="1:6">
      <c r="A3406" s="207">
        <v>49112</v>
      </c>
      <c r="B3406" s="207">
        <v>1</v>
      </c>
      <c r="C3406" s="207" t="s">
        <v>3615</v>
      </c>
      <c r="D3406" s="207" t="s">
        <v>7072</v>
      </c>
      <c r="E3406" s="207" t="s">
        <v>10416</v>
      </c>
    </row>
    <row r="3407" spans="1:6" s="263" customFormat="1">
      <c r="A3407" s="319">
        <v>49113</v>
      </c>
      <c r="B3407" s="319">
        <v>1</v>
      </c>
      <c r="C3407" s="319" t="s">
        <v>3627</v>
      </c>
      <c r="D3407" s="319" t="s">
        <v>7073</v>
      </c>
      <c r="E3407" s="319" t="s">
        <v>1831</v>
      </c>
      <c r="F3407" s="276"/>
    </row>
    <row r="3408" spans="1:6">
      <c r="A3408" s="207">
        <v>49114</v>
      </c>
      <c r="B3408" s="207">
        <v>1</v>
      </c>
      <c r="C3408" s="207" t="s">
        <v>3651</v>
      </c>
      <c r="D3408" s="207" t="s">
        <v>7074</v>
      </c>
      <c r="E3408" s="207" t="s">
        <v>1833</v>
      </c>
    </row>
    <row r="3409" spans="1:6">
      <c r="A3409" s="207">
        <v>49115</v>
      </c>
      <c r="B3409" s="207">
        <v>1</v>
      </c>
      <c r="C3409" s="207" t="s">
        <v>3690</v>
      </c>
      <c r="D3409" s="207" t="s">
        <v>7075</v>
      </c>
      <c r="E3409" s="207" t="s">
        <v>706</v>
      </c>
    </row>
    <row r="3410" spans="1:6">
      <c r="A3410" s="207">
        <v>49116</v>
      </c>
      <c r="B3410" s="207">
        <v>1</v>
      </c>
      <c r="C3410" s="207" t="s">
        <v>3686</v>
      </c>
      <c r="D3410" s="207" t="s">
        <v>7076</v>
      </c>
      <c r="E3410" s="207" t="s">
        <v>708</v>
      </c>
    </row>
    <row r="3411" spans="1:6">
      <c r="A3411" s="207">
        <v>49117</v>
      </c>
      <c r="B3411" s="207">
        <v>1</v>
      </c>
      <c r="C3411" s="207" t="s">
        <v>3681</v>
      </c>
      <c r="D3411" s="207" t="s">
        <v>7077</v>
      </c>
      <c r="E3411" s="207" t="s">
        <v>710</v>
      </c>
    </row>
    <row r="3412" spans="1:6">
      <c r="A3412" s="207">
        <v>49118</v>
      </c>
      <c r="B3412" s="207">
        <v>1</v>
      </c>
      <c r="C3412" s="207" t="s">
        <v>3651</v>
      </c>
      <c r="D3412" s="207" t="s">
        <v>7070</v>
      </c>
      <c r="E3412" s="207" t="s">
        <v>1815</v>
      </c>
    </row>
    <row r="3413" spans="1:6">
      <c r="A3413" s="207">
        <v>49119</v>
      </c>
      <c r="B3413" s="207">
        <v>1</v>
      </c>
      <c r="C3413" s="207" t="s">
        <v>3656</v>
      </c>
      <c r="D3413" s="207" t="s">
        <v>7071</v>
      </c>
      <c r="E3413" s="207" t="s">
        <v>1817</v>
      </c>
    </row>
    <row r="3414" spans="1:6">
      <c r="A3414" s="287">
        <v>49200</v>
      </c>
      <c r="B3414" s="287">
        <v>1</v>
      </c>
      <c r="C3414" s="287" t="s">
        <v>12806</v>
      </c>
      <c r="D3414" s="287" t="s">
        <v>12812</v>
      </c>
      <c r="E3414" s="287" t="s">
        <v>12813</v>
      </c>
    </row>
    <row r="3415" spans="1:6" s="283" customFormat="1">
      <c r="A3415" s="281">
        <v>49201</v>
      </c>
      <c r="B3415" s="281">
        <v>1</v>
      </c>
      <c r="C3415" s="281" t="s">
        <v>7118</v>
      </c>
      <c r="D3415" s="281" t="s">
        <v>11319</v>
      </c>
      <c r="E3415" s="281" t="s">
        <v>11317</v>
      </c>
      <c r="F3415" s="282"/>
    </row>
    <row r="3416" spans="1:6">
      <c r="A3416" s="211">
        <v>49202</v>
      </c>
      <c r="B3416" s="211">
        <v>1</v>
      </c>
      <c r="C3416" s="211" t="s">
        <v>7118</v>
      </c>
      <c r="D3416" s="211" t="s">
        <v>11318</v>
      </c>
      <c r="E3416" s="211" t="s">
        <v>11317</v>
      </c>
    </row>
    <row r="3417" spans="1:6">
      <c r="A3417" s="213">
        <v>49203</v>
      </c>
      <c r="B3417" s="213">
        <v>1</v>
      </c>
      <c r="C3417" s="213" t="s">
        <v>7118</v>
      </c>
      <c r="D3417" s="213" t="s">
        <v>11784</v>
      </c>
      <c r="E3417" s="213" t="s">
        <v>11315</v>
      </c>
    </row>
    <row r="3418" spans="1:6">
      <c r="A3418" s="212">
        <v>49204</v>
      </c>
      <c r="B3418" s="212">
        <v>1</v>
      </c>
      <c r="C3418" s="212" t="s">
        <v>7118</v>
      </c>
      <c r="D3418" s="212" t="s">
        <v>11785</v>
      </c>
      <c r="E3418" s="212" t="s">
        <v>11787</v>
      </c>
    </row>
    <row r="3419" spans="1:6" s="263" customFormat="1">
      <c r="A3419" s="13">
        <v>49205</v>
      </c>
      <c r="B3419" s="13">
        <v>1</v>
      </c>
      <c r="C3419" s="13" t="s">
        <v>7118</v>
      </c>
      <c r="D3419" s="13" t="s">
        <v>8167</v>
      </c>
      <c r="E3419" s="13" t="s">
        <v>11786</v>
      </c>
      <c r="F3419" s="276"/>
    </row>
    <row r="3420" spans="1:6">
      <c r="A3420" s="211">
        <v>49206</v>
      </c>
      <c r="B3420" s="211">
        <v>1</v>
      </c>
      <c r="C3420" s="211" t="s">
        <v>7118</v>
      </c>
      <c r="D3420" s="211" t="s">
        <v>1818</v>
      </c>
      <c r="E3420" s="170" t="s">
        <v>11322</v>
      </c>
    </row>
    <row r="3421" spans="1:6">
      <c r="A3421" s="213">
        <v>49207</v>
      </c>
      <c r="B3421" s="213">
        <v>1</v>
      </c>
      <c r="C3421" s="213" t="s">
        <v>7118</v>
      </c>
      <c r="D3421" s="213" t="s">
        <v>8168</v>
      </c>
      <c r="E3421" s="88" t="s">
        <v>11321</v>
      </c>
    </row>
    <row r="3422" spans="1:6">
      <c r="A3422" s="212">
        <v>49208</v>
      </c>
      <c r="B3422" s="212">
        <v>1</v>
      </c>
      <c r="C3422" s="212" t="s">
        <v>7119</v>
      </c>
      <c r="D3422" s="212" t="s">
        <v>8169</v>
      </c>
      <c r="E3422" s="100" t="s">
        <v>11320</v>
      </c>
    </row>
    <row r="3423" spans="1:6">
      <c r="A3423" s="213">
        <v>49209</v>
      </c>
      <c r="B3423" s="213">
        <v>3</v>
      </c>
      <c r="C3423" s="213" t="s">
        <v>11310</v>
      </c>
      <c r="D3423" s="213" t="s">
        <v>8170</v>
      </c>
      <c r="E3423" s="213" t="s">
        <v>11308</v>
      </c>
    </row>
    <row r="3424" spans="1:6">
      <c r="A3424" s="213">
        <v>49210</v>
      </c>
      <c r="B3424" s="213">
        <v>3</v>
      </c>
      <c r="C3424" s="213" t="s">
        <v>11311</v>
      </c>
      <c r="D3424" s="213" t="s">
        <v>8171</v>
      </c>
      <c r="E3424" s="213" t="s">
        <v>11307</v>
      </c>
    </row>
    <row r="3425" spans="1:5">
      <c r="A3425" s="213">
        <v>49211</v>
      </c>
      <c r="B3425" s="213">
        <v>3</v>
      </c>
      <c r="C3425" s="213" t="s">
        <v>11312</v>
      </c>
      <c r="D3425" s="213" t="s">
        <v>8172</v>
      </c>
      <c r="E3425" s="213" t="s">
        <v>11309</v>
      </c>
    </row>
    <row r="3426" spans="1:5">
      <c r="A3426" s="213">
        <v>49212</v>
      </c>
      <c r="B3426" s="213">
        <v>3</v>
      </c>
      <c r="C3426" s="213" t="s">
        <v>11314</v>
      </c>
      <c r="D3426" s="213" t="s">
        <v>8173</v>
      </c>
      <c r="E3426" s="213" t="s">
        <v>11313</v>
      </c>
    </row>
    <row r="3427" spans="1:5">
      <c r="A3427" s="212">
        <v>49213</v>
      </c>
      <c r="B3427" s="212">
        <v>3</v>
      </c>
      <c r="C3427" s="212" t="s">
        <v>11304</v>
      </c>
      <c r="D3427" s="212" t="s">
        <v>8174</v>
      </c>
      <c r="E3427" s="212" t="s">
        <v>11303</v>
      </c>
    </row>
    <row r="3428" spans="1:5">
      <c r="A3428" s="212">
        <v>49214</v>
      </c>
      <c r="B3428" s="212">
        <v>3</v>
      </c>
      <c r="C3428" s="212" t="s">
        <v>11302</v>
      </c>
      <c r="D3428" s="212" t="s">
        <v>8175</v>
      </c>
      <c r="E3428" s="212" t="s">
        <v>11301</v>
      </c>
    </row>
    <row r="3429" spans="1:5">
      <c r="A3429" s="212">
        <v>49215</v>
      </c>
      <c r="B3429" s="212">
        <v>3</v>
      </c>
      <c r="C3429" s="212" t="s">
        <v>11789</v>
      </c>
      <c r="D3429" s="212" t="s">
        <v>8176</v>
      </c>
      <c r="E3429" s="212" t="s">
        <v>11788</v>
      </c>
    </row>
    <row r="3430" spans="1:5">
      <c r="A3430" s="212">
        <v>49216</v>
      </c>
      <c r="B3430" s="212">
        <v>3</v>
      </c>
      <c r="C3430" s="212" t="s">
        <v>11306</v>
      </c>
      <c r="D3430" s="212" t="s">
        <v>8177</v>
      </c>
      <c r="E3430" s="212" t="s">
        <v>11305</v>
      </c>
    </row>
    <row r="3431" spans="1:5">
      <c r="A3431" s="220">
        <v>49217</v>
      </c>
      <c r="B3431" s="220">
        <v>3</v>
      </c>
      <c r="C3431" s="220" t="s">
        <v>9139</v>
      </c>
      <c r="D3431" s="220" t="s">
        <v>9140</v>
      </c>
      <c r="E3431" s="220" t="s">
        <v>698</v>
      </c>
    </row>
    <row r="3432" spans="1:5">
      <c r="A3432" s="220">
        <v>49218</v>
      </c>
      <c r="B3432" s="220">
        <v>3</v>
      </c>
      <c r="C3432" s="220" t="s">
        <v>10406</v>
      </c>
      <c r="D3432" s="220" t="s">
        <v>9141</v>
      </c>
      <c r="E3432" s="220" t="s">
        <v>10460</v>
      </c>
    </row>
    <row r="3433" spans="1:5">
      <c r="A3433" s="220">
        <v>49219</v>
      </c>
      <c r="B3433" s="220">
        <v>1</v>
      </c>
      <c r="C3433" s="220" t="s">
        <v>12616</v>
      </c>
      <c r="D3433" s="220" t="s">
        <v>12617</v>
      </c>
      <c r="E3433" s="220" t="s">
        <v>12618</v>
      </c>
    </row>
    <row r="3434" spans="1:5">
      <c r="A3434" s="220">
        <v>49220</v>
      </c>
      <c r="B3434" s="220">
        <v>1</v>
      </c>
      <c r="C3434" s="220" t="s">
        <v>12616</v>
      </c>
      <c r="D3434" s="220" t="s">
        <v>12636</v>
      </c>
      <c r="E3434" s="220" t="s">
        <v>12637</v>
      </c>
    </row>
    <row r="3435" spans="1:5">
      <c r="A3435" s="220">
        <v>49221</v>
      </c>
      <c r="B3435" s="220">
        <v>1</v>
      </c>
      <c r="C3435" s="220" t="s">
        <v>12616</v>
      </c>
      <c r="D3435" s="220" t="s">
        <v>14737</v>
      </c>
      <c r="E3435" s="220" t="s">
        <v>14738</v>
      </c>
    </row>
    <row r="3436" spans="1:5">
      <c r="A3436" s="207">
        <v>49301</v>
      </c>
      <c r="B3436" s="207">
        <v>0</v>
      </c>
      <c r="C3436" s="207" t="s">
        <v>7245</v>
      </c>
      <c r="D3436" s="207" t="s">
        <v>8178</v>
      </c>
      <c r="E3436" s="207" t="s">
        <v>7264</v>
      </c>
    </row>
    <row r="3437" spans="1:5">
      <c r="A3437" s="207">
        <v>49302</v>
      </c>
      <c r="B3437" s="207">
        <v>0</v>
      </c>
      <c r="C3437" s="207" t="s">
        <v>7246</v>
      </c>
      <c r="D3437" s="207" t="s">
        <v>6463</v>
      </c>
      <c r="E3437" s="207" t="s">
        <v>7265</v>
      </c>
    </row>
    <row r="3438" spans="1:5">
      <c r="A3438" s="207">
        <v>49303</v>
      </c>
      <c r="B3438" s="207">
        <v>0</v>
      </c>
      <c r="C3438" s="207" t="s">
        <v>7247</v>
      </c>
      <c r="D3438" s="207" t="s">
        <v>6464</v>
      </c>
      <c r="E3438" s="207" t="s">
        <v>7266</v>
      </c>
    </row>
    <row r="3439" spans="1:5">
      <c r="A3439" s="207">
        <v>49304</v>
      </c>
      <c r="B3439" s="207">
        <v>0</v>
      </c>
      <c r="C3439" s="207" t="s">
        <v>7248</v>
      </c>
      <c r="D3439" s="207" t="s">
        <v>6465</v>
      </c>
      <c r="E3439" s="207" t="s">
        <v>7267</v>
      </c>
    </row>
    <row r="3440" spans="1:5">
      <c r="A3440" s="207">
        <v>49305</v>
      </c>
      <c r="B3440" s="207">
        <v>0</v>
      </c>
      <c r="C3440" s="207" t="s">
        <v>7249</v>
      </c>
      <c r="D3440" s="207" t="s">
        <v>6466</v>
      </c>
      <c r="E3440" s="207" t="s">
        <v>7268</v>
      </c>
    </row>
    <row r="3441" spans="1:5">
      <c r="A3441" s="207">
        <v>49306</v>
      </c>
      <c r="B3441" s="207">
        <v>0</v>
      </c>
      <c r="C3441" s="207" t="s">
        <v>7250</v>
      </c>
      <c r="D3441" s="207" t="s">
        <v>6467</v>
      </c>
      <c r="E3441" s="207" t="s">
        <v>7269</v>
      </c>
    </row>
    <row r="3442" spans="1:5">
      <c r="A3442" s="207">
        <v>49307</v>
      </c>
      <c r="B3442" s="207">
        <v>0</v>
      </c>
      <c r="C3442" s="207" t="s">
        <v>7251</v>
      </c>
      <c r="D3442" s="207" t="s">
        <v>6468</v>
      </c>
      <c r="E3442" s="207" t="s">
        <v>7270</v>
      </c>
    </row>
    <row r="3443" spans="1:5">
      <c r="A3443" s="207">
        <v>49308</v>
      </c>
      <c r="B3443" s="207">
        <v>0</v>
      </c>
      <c r="C3443" s="207" t="s">
        <v>7252</v>
      </c>
      <c r="D3443" s="207" t="s">
        <v>6469</v>
      </c>
      <c r="E3443" s="207" t="s">
        <v>7271</v>
      </c>
    </row>
    <row r="3444" spans="1:5">
      <c r="A3444" s="207">
        <v>49309</v>
      </c>
      <c r="B3444" s="207">
        <v>0</v>
      </c>
      <c r="C3444" s="207" t="s">
        <v>7253</v>
      </c>
      <c r="D3444" s="207" t="s">
        <v>6470</v>
      </c>
      <c r="E3444" s="207" t="s">
        <v>7272</v>
      </c>
    </row>
    <row r="3445" spans="1:5">
      <c r="A3445" s="207">
        <v>49310</v>
      </c>
      <c r="B3445" s="207">
        <v>0</v>
      </c>
      <c r="C3445" s="207" t="s">
        <v>7254</v>
      </c>
      <c r="D3445" s="207" t="s">
        <v>6471</v>
      </c>
      <c r="E3445" s="207" t="s">
        <v>7273</v>
      </c>
    </row>
    <row r="3446" spans="1:5">
      <c r="A3446" s="207">
        <v>49311</v>
      </c>
      <c r="B3446" s="207">
        <v>0</v>
      </c>
      <c r="C3446" s="207" t="s">
        <v>7255</v>
      </c>
      <c r="D3446" s="207" t="s">
        <v>6472</v>
      </c>
      <c r="E3446" s="207" t="s">
        <v>7274</v>
      </c>
    </row>
    <row r="3447" spans="1:5">
      <c r="A3447" s="207">
        <v>49312</v>
      </c>
      <c r="B3447" s="207">
        <v>0</v>
      </c>
      <c r="C3447" s="207" t="s">
        <v>7256</v>
      </c>
      <c r="D3447" s="207" t="s">
        <v>6473</v>
      </c>
      <c r="E3447" s="207" t="s">
        <v>7275</v>
      </c>
    </row>
    <row r="3448" spans="1:5">
      <c r="A3448" s="207">
        <v>49313</v>
      </c>
      <c r="B3448" s="207">
        <v>0</v>
      </c>
      <c r="C3448" s="207" t="s">
        <v>7257</v>
      </c>
      <c r="D3448" s="207" t="s">
        <v>6474</v>
      </c>
      <c r="E3448" s="207" t="s">
        <v>7276</v>
      </c>
    </row>
    <row r="3449" spans="1:5">
      <c r="A3449" s="207">
        <v>49314</v>
      </c>
      <c r="B3449" s="207">
        <v>0</v>
      </c>
      <c r="C3449" s="207" t="s">
        <v>7261</v>
      </c>
      <c r="D3449" s="207" t="s">
        <v>7258</v>
      </c>
      <c r="E3449" s="207" t="s">
        <v>7277</v>
      </c>
    </row>
    <row r="3450" spans="1:5">
      <c r="A3450" s="207">
        <v>49315</v>
      </c>
      <c r="B3450" s="207">
        <v>0</v>
      </c>
      <c r="C3450" s="207" t="s">
        <v>7262</v>
      </c>
      <c r="D3450" s="207" t="s">
        <v>7259</v>
      </c>
      <c r="E3450" s="207" t="s">
        <v>7278</v>
      </c>
    </row>
    <row r="3451" spans="1:5">
      <c r="A3451" s="207">
        <v>49316</v>
      </c>
      <c r="B3451" s="207">
        <v>0</v>
      </c>
      <c r="C3451" s="207" t="s">
        <v>7263</v>
      </c>
      <c r="D3451" s="207" t="s">
        <v>7260</v>
      </c>
      <c r="E3451" s="207" t="s">
        <v>7279</v>
      </c>
    </row>
    <row r="3452" spans="1:5">
      <c r="A3452" s="40">
        <v>50000</v>
      </c>
      <c r="B3452" s="40">
        <v>1</v>
      </c>
      <c r="C3452" s="40" t="s">
        <v>3568</v>
      </c>
      <c r="D3452" s="40" t="s">
        <v>1796</v>
      </c>
      <c r="E3452" s="42" t="s">
        <v>1797</v>
      </c>
    </row>
    <row r="3453" spans="1:5">
      <c r="A3453" s="40">
        <v>50001</v>
      </c>
      <c r="B3453" s="40">
        <v>1</v>
      </c>
      <c r="C3453" s="40" t="s">
        <v>3568</v>
      </c>
      <c r="D3453" s="40" t="s">
        <v>1798</v>
      </c>
      <c r="E3453" s="42" t="s">
        <v>8163</v>
      </c>
    </row>
    <row r="3454" spans="1:5">
      <c r="A3454" s="56">
        <v>50002</v>
      </c>
      <c r="B3454" s="56">
        <v>1</v>
      </c>
      <c r="C3454" s="56" t="s">
        <v>3580</v>
      </c>
      <c r="D3454" s="56" t="s">
        <v>1800</v>
      </c>
      <c r="E3454" s="58" t="s">
        <v>1801</v>
      </c>
    </row>
    <row r="3455" spans="1:5">
      <c r="A3455" s="63">
        <v>50003</v>
      </c>
      <c r="B3455" s="63">
        <v>1</v>
      </c>
      <c r="C3455" s="63" t="s">
        <v>3592</v>
      </c>
      <c r="D3455" s="63" t="s">
        <v>1802</v>
      </c>
      <c r="E3455" s="65" t="s">
        <v>1803</v>
      </c>
    </row>
    <row r="3456" spans="1:5">
      <c r="A3456" s="56">
        <v>50004</v>
      </c>
      <c r="B3456" s="56">
        <v>1</v>
      </c>
      <c r="C3456" s="56" t="s">
        <v>4162</v>
      </c>
      <c r="D3456" s="56" t="s">
        <v>7096</v>
      </c>
      <c r="E3456" s="58" t="s">
        <v>10461</v>
      </c>
    </row>
    <row r="3457" spans="1:5">
      <c r="A3457" s="63">
        <v>50005</v>
      </c>
      <c r="B3457" s="63">
        <v>1</v>
      </c>
      <c r="C3457" s="63" t="s">
        <v>4162</v>
      </c>
      <c r="D3457" s="63" t="s">
        <v>7097</v>
      </c>
      <c r="E3457" s="65" t="s">
        <v>10462</v>
      </c>
    </row>
    <row r="3458" spans="1:5">
      <c r="A3458" s="80">
        <v>50006</v>
      </c>
      <c r="B3458" s="80">
        <v>1</v>
      </c>
      <c r="C3458" s="80" t="s">
        <v>3446</v>
      </c>
      <c r="D3458" s="80" t="s">
        <v>1808</v>
      </c>
      <c r="E3458" s="80" t="s">
        <v>10310</v>
      </c>
    </row>
    <row r="3459" spans="1:5">
      <c r="A3459" s="56">
        <v>50007</v>
      </c>
      <c r="B3459" s="56">
        <v>1</v>
      </c>
      <c r="C3459" s="56" t="s">
        <v>4163</v>
      </c>
      <c r="D3459" s="56" t="s">
        <v>1810</v>
      </c>
      <c r="E3459" s="58" t="s">
        <v>11317</v>
      </c>
    </row>
    <row r="3460" spans="1:5">
      <c r="A3460" s="86">
        <v>50008</v>
      </c>
      <c r="B3460" s="86">
        <v>1</v>
      </c>
      <c r="C3460" s="86" t="s">
        <v>4164</v>
      </c>
      <c r="D3460" s="86" t="s">
        <v>9119</v>
      </c>
      <c r="E3460" s="213" t="s">
        <v>11315</v>
      </c>
    </row>
    <row r="3461" spans="1:5">
      <c r="A3461" s="63">
        <v>50009</v>
      </c>
      <c r="B3461" s="63">
        <v>1</v>
      </c>
      <c r="C3461" s="63" t="s">
        <v>4165</v>
      </c>
      <c r="D3461" s="63" t="s">
        <v>9120</v>
      </c>
      <c r="E3461" s="65" t="s">
        <v>11316</v>
      </c>
    </row>
    <row r="3462" spans="1:5">
      <c r="A3462" s="1">
        <v>50010</v>
      </c>
      <c r="B3462" s="1">
        <v>1</v>
      </c>
      <c r="C3462" s="1" t="s">
        <v>4165</v>
      </c>
      <c r="D3462" s="1" t="s">
        <v>1813</v>
      </c>
      <c r="E3462" s="3" t="s">
        <v>10463</v>
      </c>
    </row>
    <row r="3463" spans="1:5">
      <c r="A3463" s="63">
        <v>50011</v>
      </c>
      <c r="B3463" s="63">
        <v>1</v>
      </c>
      <c r="C3463" s="63" t="s">
        <v>3651</v>
      </c>
      <c r="D3463" s="63" t="s">
        <v>7070</v>
      </c>
      <c r="E3463" s="65" t="s">
        <v>1815</v>
      </c>
    </row>
    <row r="3464" spans="1:5">
      <c r="A3464" s="63">
        <v>50012</v>
      </c>
      <c r="B3464" s="63">
        <v>1</v>
      </c>
      <c r="C3464" s="63" t="s">
        <v>3656</v>
      </c>
      <c r="D3464" s="63" t="s">
        <v>7071</v>
      </c>
      <c r="E3464" s="65" t="s">
        <v>1817</v>
      </c>
    </row>
    <row r="3465" spans="1:5">
      <c r="A3465" s="56">
        <v>50013</v>
      </c>
      <c r="B3465" s="56">
        <v>1</v>
      </c>
      <c r="C3465" s="56" t="s">
        <v>4166</v>
      </c>
      <c r="D3465" s="56" t="s">
        <v>1818</v>
      </c>
      <c r="E3465" s="58" t="s">
        <v>11322</v>
      </c>
    </row>
    <row r="3466" spans="1:5">
      <c r="A3466" s="86">
        <v>50014</v>
      </c>
      <c r="B3466" s="86">
        <v>1</v>
      </c>
      <c r="C3466" s="86" t="s">
        <v>3410</v>
      </c>
      <c r="D3466" s="86" t="s">
        <v>1820</v>
      </c>
      <c r="E3466" s="88" t="s">
        <v>11321</v>
      </c>
    </row>
    <row r="3467" spans="1:5">
      <c r="A3467" s="63">
        <v>50015</v>
      </c>
      <c r="B3467" s="63">
        <v>1</v>
      </c>
      <c r="C3467" s="63" t="s">
        <v>3407</v>
      </c>
      <c r="D3467" s="63" t="s">
        <v>1822</v>
      </c>
      <c r="E3467" s="65" t="s">
        <v>11320</v>
      </c>
    </row>
    <row r="3468" spans="1:5">
      <c r="A3468" s="56">
        <v>50016</v>
      </c>
      <c r="B3468" s="56">
        <v>1</v>
      </c>
      <c r="C3468" s="56" t="s">
        <v>6153</v>
      </c>
      <c r="D3468" s="56" t="s">
        <v>5521</v>
      </c>
      <c r="E3468" s="58" t="s">
        <v>10464</v>
      </c>
    </row>
    <row r="3469" spans="1:5">
      <c r="A3469" s="63">
        <v>50017</v>
      </c>
      <c r="B3469" s="63">
        <v>1</v>
      </c>
      <c r="C3469" s="63" t="s">
        <v>4167</v>
      </c>
      <c r="D3469" s="63" t="s">
        <v>1826</v>
      </c>
      <c r="E3469" s="65" t="s">
        <v>10465</v>
      </c>
    </row>
    <row r="3470" spans="1:5">
      <c r="A3470" s="80">
        <v>50018</v>
      </c>
      <c r="B3470" s="284">
        <v>1</v>
      </c>
      <c r="C3470" s="90" t="s">
        <v>3615</v>
      </c>
      <c r="D3470" s="90" t="s">
        <v>7072</v>
      </c>
      <c r="E3470" s="90" t="s">
        <v>10466</v>
      </c>
    </row>
    <row r="3471" spans="1:5">
      <c r="A3471" s="56">
        <v>50019</v>
      </c>
      <c r="B3471" s="194">
        <v>1</v>
      </c>
      <c r="C3471" s="58" t="s">
        <v>3627</v>
      </c>
      <c r="D3471" s="58" t="s">
        <v>7073</v>
      </c>
      <c r="E3471" s="58" t="s">
        <v>1831</v>
      </c>
    </row>
    <row r="3472" spans="1:5">
      <c r="A3472" s="86">
        <v>50020</v>
      </c>
      <c r="B3472" s="285">
        <v>1</v>
      </c>
      <c r="C3472" s="88" t="s">
        <v>3651</v>
      </c>
      <c r="D3472" s="88" t="s">
        <v>7074</v>
      </c>
      <c r="E3472" s="88" t="s">
        <v>1833</v>
      </c>
    </row>
    <row r="3473" spans="1:6">
      <c r="A3473" s="80">
        <v>50021</v>
      </c>
      <c r="B3473" s="284">
        <v>1</v>
      </c>
      <c r="C3473" s="90" t="s">
        <v>3690</v>
      </c>
      <c r="D3473" s="90" t="s">
        <v>7075</v>
      </c>
      <c r="E3473" s="90" t="s">
        <v>706</v>
      </c>
    </row>
    <row r="3474" spans="1:6">
      <c r="A3474" s="56">
        <v>50022</v>
      </c>
      <c r="B3474" s="194">
        <v>1</v>
      </c>
      <c r="C3474" s="58" t="s">
        <v>3686</v>
      </c>
      <c r="D3474" s="58" t="s">
        <v>7076</v>
      </c>
      <c r="E3474" s="58" t="s">
        <v>708</v>
      </c>
    </row>
    <row r="3475" spans="1:6">
      <c r="A3475" s="86">
        <v>50023</v>
      </c>
      <c r="B3475" s="285">
        <v>1</v>
      </c>
      <c r="C3475" s="88" t="s">
        <v>3681</v>
      </c>
      <c r="D3475" s="88" t="s">
        <v>7077</v>
      </c>
      <c r="E3475" s="88" t="s">
        <v>710</v>
      </c>
    </row>
    <row r="3476" spans="1:6">
      <c r="A3476" s="56">
        <v>50024</v>
      </c>
      <c r="B3476" s="56">
        <v>1</v>
      </c>
      <c r="C3476" s="56" t="s">
        <v>6154</v>
      </c>
      <c r="D3476" s="56" t="s">
        <v>5522</v>
      </c>
      <c r="E3476" s="58" t="s">
        <v>10467</v>
      </c>
    </row>
    <row r="3477" spans="1:6">
      <c r="A3477" s="56">
        <v>50025</v>
      </c>
      <c r="B3477" s="56">
        <v>1</v>
      </c>
      <c r="C3477" s="56" t="s">
        <v>6154</v>
      </c>
      <c r="D3477" s="56" t="s">
        <v>6263</v>
      </c>
      <c r="E3477" s="58" t="s">
        <v>10468</v>
      </c>
    </row>
    <row r="3478" spans="1:6" s="253" customFormat="1">
      <c r="A3478" s="40">
        <v>50026</v>
      </c>
      <c r="B3478" s="40">
        <v>0</v>
      </c>
      <c r="C3478" s="40" t="s">
        <v>7026</v>
      </c>
      <c r="D3478" s="40" t="s">
        <v>7025</v>
      </c>
      <c r="E3478" s="42" t="s">
        <v>7027</v>
      </c>
      <c r="F3478" s="267"/>
    </row>
    <row r="3479" spans="1:6">
      <c r="A3479" s="1">
        <v>50090</v>
      </c>
      <c r="B3479" s="1">
        <v>0</v>
      </c>
      <c r="C3479" s="1" t="s">
        <v>4168</v>
      </c>
      <c r="D3479" s="1" t="s">
        <v>1837</v>
      </c>
      <c r="E3479" s="3" t="s">
        <v>1838</v>
      </c>
    </row>
    <row r="3480" spans="1:6">
      <c r="A3480" s="1">
        <v>50091</v>
      </c>
      <c r="B3480" s="1">
        <v>0</v>
      </c>
      <c r="C3480" s="1" t="s">
        <v>4169</v>
      </c>
      <c r="D3480" s="1" t="s">
        <v>1839</v>
      </c>
      <c r="E3480" s="3" t="s">
        <v>1840</v>
      </c>
    </row>
    <row r="3481" spans="1:6">
      <c r="A3481" s="1">
        <v>50092</v>
      </c>
      <c r="B3481" s="1">
        <v>0</v>
      </c>
      <c r="C3481" s="1" t="s">
        <v>3709</v>
      </c>
      <c r="D3481" s="1" t="s">
        <v>1841</v>
      </c>
      <c r="E3481" s="3" t="s">
        <v>612</v>
      </c>
    </row>
    <row r="3482" spans="1:6">
      <c r="A3482" s="1">
        <v>50093</v>
      </c>
      <c r="B3482" s="1">
        <v>0</v>
      </c>
      <c r="C3482" s="1" t="s">
        <v>9216</v>
      </c>
      <c r="D3482" s="1" t="s">
        <v>5516</v>
      </c>
      <c r="E3482" s="3" t="s">
        <v>9215</v>
      </c>
    </row>
    <row r="3483" spans="1:6">
      <c r="A3483" s="1">
        <v>50094</v>
      </c>
      <c r="B3483" s="1">
        <v>0</v>
      </c>
      <c r="C3483" s="1" t="s">
        <v>6155</v>
      </c>
      <c r="D3483" s="1" t="s">
        <v>5517</v>
      </c>
      <c r="E3483" s="3" t="s">
        <v>5518</v>
      </c>
    </row>
    <row r="3484" spans="1:6">
      <c r="A3484" s="1">
        <v>50095</v>
      </c>
      <c r="B3484" s="1">
        <v>0</v>
      </c>
      <c r="C3484" s="1" t="s">
        <v>7242</v>
      </c>
      <c r="D3484" s="1" t="s">
        <v>7243</v>
      </c>
      <c r="E3484" s="3" t="s">
        <v>7244</v>
      </c>
    </row>
    <row r="3485" spans="1:6">
      <c r="A3485" s="1">
        <v>50096</v>
      </c>
      <c r="B3485" s="1">
        <v>0</v>
      </c>
      <c r="C3485" s="1" t="s">
        <v>10647</v>
      </c>
      <c r="D3485" s="1" t="s">
        <v>10614</v>
      </c>
      <c r="E3485" s="3" t="s">
        <v>10618</v>
      </c>
    </row>
    <row r="3486" spans="1:6" ht="15.75" customHeight="1">
      <c r="A3486" s="214">
        <v>51001</v>
      </c>
      <c r="B3486" s="214">
        <v>1</v>
      </c>
      <c r="C3486" s="214" t="s">
        <v>4170</v>
      </c>
      <c r="D3486" s="214" t="s">
        <v>1842</v>
      </c>
      <c r="E3486" s="215" t="s">
        <v>10469</v>
      </c>
    </row>
    <row r="3487" spans="1:6">
      <c r="A3487" s="216">
        <v>51002</v>
      </c>
      <c r="B3487" s="216">
        <v>1</v>
      </c>
      <c r="C3487" s="216" t="s">
        <v>4171</v>
      </c>
      <c r="D3487" s="216" t="s">
        <v>1844</v>
      </c>
      <c r="E3487" s="217" t="s">
        <v>12631</v>
      </c>
    </row>
    <row r="3488" spans="1:6" s="263" customFormat="1">
      <c r="A3488" s="294">
        <v>51003</v>
      </c>
      <c r="B3488" s="294">
        <v>1</v>
      </c>
      <c r="C3488" s="294" t="s">
        <v>4172</v>
      </c>
      <c r="D3488" s="294" t="s">
        <v>1846</v>
      </c>
      <c r="E3488" s="295" t="s">
        <v>11513</v>
      </c>
      <c r="F3488" s="276"/>
    </row>
    <row r="3489" spans="1:6">
      <c r="A3489" s="1">
        <v>51004</v>
      </c>
      <c r="B3489" s="1">
        <v>0</v>
      </c>
      <c r="C3489" s="1" t="s">
        <v>9156</v>
      </c>
      <c r="D3489" s="1" t="s">
        <v>9118</v>
      </c>
      <c r="E3489" s="3" t="s">
        <v>10470</v>
      </c>
    </row>
    <row r="3490" spans="1:6">
      <c r="A3490" s="296">
        <v>51005</v>
      </c>
      <c r="B3490" s="296">
        <v>1</v>
      </c>
      <c r="C3490" s="296" t="s">
        <v>4678</v>
      </c>
      <c r="D3490" s="296" t="s">
        <v>4932</v>
      </c>
      <c r="E3490" s="297" t="s">
        <v>11320</v>
      </c>
    </row>
    <row r="3491" spans="1:6">
      <c r="A3491" s="298">
        <v>51006</v>
      </c>
      <c r="B3491" s="298">
        <v>1</v>
      </c>
      <c r="C3491" s="298" t="s">
        <v>4678</v>
      </c>
      <c r="D3491" s="298" t="s">
        <v>4933</v>
      </c>
      <c r="E3491" s="299" t="s">
        <v>11321</v>
      </c>
    </row>
    <row r="3492" spans="1:6">
      <c r="A3492" s="300">
        <v>51007</v>
      </c>
      <c r="B3492" s="300">
        <v>1</v>
      </c>
      <c r="C3492" s="300" t="s">
        <v>11300</v>
      </c>
      <c r="D3492" s="300" t="s">
        <v>1853</v>
      </c>
      <c r="E3492" s="301" t="s">
        <v>11322</v>
      </c>
    </row>
    <row r="3493" spans="1:6">
      <c r="A3493" s="302">
        <v>51008</v>
      </c>
      <c r="B3493" s="302">
        <v>1</v>
      </c>
      <c r="C3493" s="302" t="s">
        <v>11300</v>
      </c>
      <c r="D3493" s="302" t="s">
        <v>1855</v>
      </c>
      <c r="E3493" s="303" t="s">
        <v>11323</v>
      </c>
    </row>
    <row r="3494" spans="1:6">
      <c r="A3494" s="1">
        <v>51009</v>
      </c>
      <c r="B3494" s="1">
        <v>1</v>
      </c>
      <c r="C3494" s="1" t="s">
        <v>11300</v>
      </c>
      <c r="D3494" s="1" t="s">
        <v>1856</v>
      </c>
      <c r="E3494" s="3" t="s">
        <v>10471</v>
      </c>
    </row>
    <row r="3495" spans="1:6">
      <c r="A3495" s="304">
        <v>51010</v>
      </c>
      <c r="B3495" s="304">
        <v>1</v>
      </c>
      <c r="C3495" s="304" t="s">
        <v>11300</v>
      </c>
      <c r="D3495" s="304" t="s">
        <v>1858</v>
      </c>
      <c r="E3495" s="305" t="s">
        <v>11324</v>
      </c>
    </row>
    <row r="3496" spans="1:6">
      <c r="A3496" s="1">
        <v>51011</v>
      </c>
      <c r="B3496" s="1">
        <v>0</v>
      </c>
      <c r="C3496" s="1" t="s">
        <v>3709</v>
      </c>
      <c r="D3496" s="1" t="s">
        <v>10661</v>
      </c>
      <c r="E3496" s="3" t="s">
        <v>10662</v>
      </c>
    </row>
    <row r="3497" spans="1:6">
      <c r="A3497" s="218">
        <v>51012</v>
      </c>
      <c r="B3497" s="218">
        <v>0</v>
      </c>
      <c r="C3497" s="218" t="s">
        <v>4363</v>
      </c>
      <c r="D3497" s="218" t="s">
        <v>9132</v>
      </c>
      <c r="E3497" s="219" t="s">
        <v>10472</v>
      </c>
    </row>
    <row r="3498" spans="1:6">
      <c r="A3498" s="218">
        <v>51013</v>
      </c>
      <c r="B3498" s="218">
        <v>0</v>
      </c>
      <c r="C3498" s="218" t="s">
        <v>9155</v>
      </c>
      <c r="D3498" s="218" t="s">
        <v>9133</v>
      </c>
      <c r="E3498" s="219" t="s">
        <v>10473</v>
      </c>
    </row>
    <row r="3499" spans="1:6">
      <c r="A3499" s="218">
        <v>51014</v>
      </c>
      <c r="B3499" s="218">
        <v>0</v>
      </c>
      <c r="C3499" s="218" t="s">
        <v>9131</v>
      </c>
      <c r="D3499" s="218" t="s">
        <v>9134</v>
      </c>
      <c r="E3499" s="219" t="s">
        <v>11514</v>
      </c>
    </row>
    <row r="3500" spans="1:6">
      <c r="A3500" s="218">
        <v>51015</v>
      </c>
      <c r="B3500" s="218">
        <v>0</v>
      </c>
      <c r="C3500" s="218" t="s">
        <v>9131</v>
      </c>
      <c r="D3500" s="218" t="s">
        <v>10493</v>
      </c>
      <c r="E3500" s="219" t="s">
        <v>10494</v>
      </c>
    </row>
    <row r="3501" spans="1:6">
      <c r="A3501" s="218">
        <v>51016</v>
      </c>
      <c r="B3501" s="218">
        <v>0</v>
      </c>
      <c r="C3501" s="218" t="s">
        <v>9131</v>
      </c>
      <c r="D3501" s="218" t="s">
        <v>10501</v>
      </c>
      <c r="E3501" s="219" t="s">
        <v>10497</v>
      </c>
    </row>
    <row r="3502" spans="1:6">
      <c r="A3502" s="279">
        <v>51017</v>
      </c>
      <c r="B3502" s="279">
        <v>0</v>
      </c>
      <c r="C3502" s="279" t="s">
        <v>9131</v>
      </c>
      <c r="D3502" s="279" t="s">
        <v>10496</v>
      </c>
      <c r="E3502" s="280" t="s">
        <v>10498</v>
      </c>
    </row>
    <row r="3503" spans="1:6" s="263" customFormat="1">
      <c r="A3503" s="292">
        <v>51018</v>
      </c>
      <c r="B3503" s="292">
        <v>0</v>
      </c>
      <c r="C3503" s="292" t="s">
        <v>9131</v>
      </c>
      <c r="D3503" s="292" t="s">
        <v>11516</v>
      </c>
      <c r="E3503" s="293" t="s">
        <v>10650</v>
      </c>
      <c r="F3503" s="276"/>
    </row>
    <row r="3504" spans="1:6" s="251" customFormat="1">
      <c r="A3504" s="186">
        <v>51019</v>
      </c>
      <c r="B3504" s="186">
        <v>1</v>
      </c>
      <c r="C3504" s="186" t="s">
        <v>10649</v>
      </c>
      <c r="D3504" s="186" t="s">
        <v>11517</v>
      </c>
      <c r="E3504" s="187" t="s">
        <v>11515</v>
      </c>
      <c r="F3504" s="265"/>
    </row>
    <row r="3505" spans="1:5">
      <c r="A3505" s="75">
        <v>51020</v>
      </c>
      <c r="B3505" s="75">
        <v>1</v>
      </c>
      <c r="C3505" s="75" t="s">
        <v>7032</v>
      </c>
      <c r="D3505" s="75" t="s">
        <v>10495</v>
      </c>
      <c r="E3505" s="77" t="s">
        <v>10492</v>
      </c>
    </row>
    <row r="3506" spans="1:5">
      <c r="A3506" s="75">
        <v>51021</v>
      </c>
      <c r="B3506" s="75">
        <v>1</v>
      </c>
      <c r="C3506" s="75" t="s">
        <v>7032</v>
      </c>
      <c r="D3506" s="75" t="s">
        <v>10500</v>
      </c>
      <c r="E3506" s="77" t="s">
        <v>10499</v>
      </c>
    </row>
    <row r="3507" spans="1:5">
      <c r="A3507" s="75">
        <v>51022</v>
      </c>
      <c r="B3507" s="75">
        <v>1</v>
      </c>
      <c r="C3507" s="75" t="s">
        <v>7032</v>
      </c>
      <c r="D3507" s="75" t="s">
        <v>11790</v>
      </c>
      <c r="E3507" s="77" t="s">
        <v>11791</v>
      </c>
    </row>
    <row r="3508" spans="1:5">
      <c r="A3508" s="1">
        <v>52001</v>
      </c>
      <c r="B3508" s="1">
        <v>1</v>
      </c>
      <c r="C3508" s="1" t="s">
        <v>3480</v>
      </c>
      <c r="D3508" s="1" t="s">
        <v>1861</v>
      </c>
      <c r="E3508" s="3" t="s">
        <v>155</v>
      </c>
    </row>
    <row r="3509" spans="1:5">
      <c r="A3509" s="1">
        <v>52002</v>
      </c>
      <c r="B3509" s="1">
        <v>1</v>
      </c>
      <c r="C3509" s="1" t="s">
        <v>4173</v>
      </c>
      <c r="D3509" s="1" t="s">
        <v>1862</v>
      </c>
      <c r="E3509" s="3" t="s">
        <v>1863</v>
      </c>
    </row>
    <row r="3510" spans="1:5">
      <c r="A3510" s="1">
        <v>52003</v>
      </c>
      <c r="B3510" s="1">
        <v>1</v>
      </c>
      <c r="C3510" s="1" t="s">
        <v>4174</v>
      </c>
      <c r="D3510" s="1" t="s">
        <v>1864</v>
      </c>
      <c r="E3510" s="3" t="s">
        <v>1865</v>
      </c>
    </row>
    <row r="3511" spans="1:5">
      <c r="A3511" s="1">
        <v>52004</v>
      </c>
      <c r="B3511" s="1">
        <v>1</v>
      </c>
      <c r="C3511" s="1" t="s">
        <v>4175</v>
      </c>
      <c r="D3511" s="1" t="s">
        <v>1866</v>
      </c>
      <c r="E3511" s="3" t="s">
        <v>1867</v>
      </c>
    </row>
    <row r="3512" spans="1:5">
      <c r="A3512" s="1">
        <v>52005</v>
      </c>
      <c r="B3512" s="1">
        <v>1</v>
      </c>
      <c r="C3512" s="1" t="s">
        <v>4176</v>
      </c>
      <c r="D3512" s="1" t="s">
        <v>1868</v>
      </c>
      <c r="E3512" s="3" t="s">
        <v>1869</v>
      </c>
    </row>
    <row r="3513" spans="1:5">
      <c r="A3513" s="1">
        <v>52006</v>
      </c>
      <c r="B3513" s="1">
        <v>1</v>
      </c>
      <c r="C3513" s="1" t="s">
        <v>3481</v>
      </c>
      <c r="D3513" s="1" t="s">
        <v>1870</v>
      </c>
      <c r="E3513" s="3" t="s">
        <v>157</v>
      </c>
    </row>
    <row r="3514" spans="1:5">
      <c r="A3514" s="1">
        <v>52007</v>
      </c>
      <c r="B3514" s="1">
        <v>1</v>
      </c>
      <c r="C3514" s="1" t="s">
        <v>4177</v>
      </c>
      <c r="D3514" s="1" t="s">
        <v>1871</v>
      </c>
      <c r="E3514" s="3" t="s">
        <v>1872</v>
      </c>
    </row>
    <row r="3515" spans="1:5">
      <c r="A3515" s="1">
        <v>52008</v>
      </c>
      <c r="B3515" s="1">
        <v>1</v>
      </c>
      <c r="C3515" s="1" t="s">
        <v>4178</v>
      </c>
      <c r="D3515" s="1" t="s">
        <v>1873</v>
      </c>
      <c r="E3515" s="3" t="s">
        <v>1874</v>
      </c>
    </row>
    <row r="3516" spans="1:5">
      <c r="A3516" s="1">
        <v>52009</v>
      </c>
      <c r="B3516" s="1">
        <v>1</v>
      </c>
      <c r="C3516" s="1" t="s">
        <v>4179</v>
      </c>
      <c r="D3516" s="1" t="s">
        <v>1875</v>
      </c>
      <c r="E3516" s="3" t="s">
        <v>1876</v>
      </c>
    </row>
    <row r="3517" spans="1:5">
      <c r="A3517" s="1">
        <v>52010</v>
      </c>
      <c r="B3517" s="1">
        <v>1</v>
      </c>
      <c r="C3517" s="1" t="s">
        <v>4180</v>
      </c>
      <c r="D3517" s="1" t="s">
        <v>1877</v>
      </c>
      <c r="E3517" s="3" t="s">
        <v>1878</v>
      </c>
    </row>
    <row r="3518" spans="1:5">
      <c r="A3518" s="1">
        <v>52011</v>
      </c>
      <c r="B3518" s="1">
        <v>1</v>
      </c>
      <c r="C3518" s="1" t="s">
        <v>3482</v>
      </c>
      <c r="D3518" s="1" t="s">
        <v>1879</v>
      </c>
      <c r="E3518" s="3" t="s">
        <v>159</v>
      </c>
    </row>
    <row r="3519" spans="1:5">
      <c r="A3519" s="1">
        <v>52012</v>
      </c>
      <c r="B3519" s="1">
        <v>1</v>
      </c>
      <c r="C3519" s="1" t="s">
        <v>4181</v>
      </c>
      <c r="D3519" s="1" t="s">
        <v>1880</v>
      </c>
      <c r="E3519" s="3" t="s">
        <v>1881</v>
      </c>
    </row>
    <row r="3520" spans="1:5">
      <c r="A3520" s="1">
        <v>52013</v>
      </c>
      <c r="B3520" s="1">
        <v>1</v>
      </c>
      <c r="C3520" s="1" t="s">
        <v>4182</v>
      </c>
      <c r="D3520" s="1" t="s">
        <v>1882</v>
      </c>
      <c r="E3520" s="3" t="s">
        <v>1883</v>
      </c>
    </row>
    <row r="3521" spans="1:5">
      <c r="A3521" s="1">
        <v>52014</v>
      </c>
      <c r="B3521" s="1">
        <v>1</v>
      </c>
      <c r="C3521" s="1" t="s">
        <v>4183</v>
      </c>
      <c r="D3521" s="1" t="s">
        <v>1884</v>
      </c>
      <c r="E3521" s="3" t="s">
        <v>1885</v>
      </c>
    </row>
    <row r="3522" spans="1:5">
      <c r="A3522" s="1">
        <v>52015</v>
      </c>
      <c r="B3522" s="1">
        <v>1</v>
      </c>
      <c r="C3522" s="1" t="s">
        <v>4184</v>
      </c>
      <c r="D3522" s="1" t="s">
        <v>1886</v>
      </c>
      <c r="E3522" s="3" t="s">
        <v>1887</v>
      </c>
    </row>
    <row r="3523" spans="1:5">
      <c r="A3523" s="1">
        <v>52016</v>
      </c>
      <c r="B3523" s="1">
        <v>1</v>
      </c>
      <c r="C3523" s="1" t="s">
        <v>3489</v>
      </c>
      <c r="D3523" s="1" t="s">
        <v>1888</v>
      </c>
      <c r="E3523" s="3" t="s">
        <v>173</v>
      </c>
    </row>
    <row r="3524" spans="1:5">
      <c r="A3524" s="1">
        <v>52017</v>
      </c>
      <c r="B3524" s="1">
        <v>1</v>
      </c>
      <c r="C3524" s="1" t="s">
        <v>4185</v>
      </c>
      <c r="D3524" s="1" t="s">
        <v>1889</v>
      </c>
      <c r="E3524" s="3" t="s">
        <v>1890</v>
      </c>
    </row>
    <row r="3525" spans="1:5">
      <c r="A3525" s="1">
        <v>52018</v>
      </c>
      <c r="B3525" s="1">
        <v>1</v>
      </c>
      <c r="C3525" s="1" t="s">
        <v>4186</v>
      </c>
      <c r="D3525" s="1" t="s">
        <v>1891</v>
      </c>
      <c r="E3525" s="3" t="s">
        <v>1892</v>
      </c>
    </row>
    <row r="3526" spans="1:5">
      <c r="A3526" s="1">
        <v>52019</v>
      </c>
      <c r="B3526" s="1">
        <v>1</v>
      </c>
      <c r="C3526" s="1" t="s">
        <v>4187</v>
      </c>
      <c r="D3526" s="1" t="s">
        <v>1893</v>
      </c>
      <c r="E3526" s="3" t="s">
        <v>1894</v>
      </c>
    </row>
    <row r="3527" spans="1:5">
      <c r="A3527" s="1">
        <v>52020</v>
      </c>
      <c r="B3527" s="1">
        <v>1</v>
      </c>
      <c r="C3527" s="1" t="s">
        <v>4188</v>
      </c>
      <c r="D3527" s="1" t="s">
        <v>1895</v>
      </c>
      <c r="E3527" s="3" t="s">
        <v>1896</v>
      </c>
    </row>
    <row r="3528" spans="1:5">
      <c r="A3528" s="1">
        <v>52021</v>
      </c>
      <c r="B3528" s="1">
        <v>1</v>
      </c>
      <c r="C3528" s="1" t="s">
        <v>3490</v>
      </c>
      <c r="D3528" s="1" t="s">
        <v>1897</v>
      </c>
      <c r="E3528" s="3" t="s">
        <v>175</v>
      </c>
    </row>
    <row r="3529" spans="1:5">
      <c r="A3529" s="1">
        <v>52022</v>
      </c>
      <c r="B3529" s="1">
        <v>1</v>
      </c>
      <c r="C3529" s="1" t="s">
        <v>4189</v>
      </c>
      <c r="D3529" s="1" t="s">
        <v>1898</v>
      </c>
      <c r="E3529" s="3" t="s">
        <v>1899</v>
      </c>
    </row>
    <row r="3530" spans="1:5">
      <c r="A3530" s="1">
        <v>52023</v>
      </c>
      <c r="B3530" s="1">
        <v>1</v>
      </c>
      <c r="C3530" s="1" t="s">
        <v>4190</v>
      </c>
      <c r="D3530" s="1" t="s">
        <v>1900</v>
      </c>
      <c r="E3530" s="3" t="s">
        <v>1901</v>
      </c>
    </row>
    <row r="3531" spans="1:5">
      <c r="A3531" s="1">
        <v>52024</v>
      </c>
      <c r="B3531" s="1">
        <v>1</v>
      </c>
      <c r="C3531" s="1" t="s">
        <v>4191</v>
      </c>
      <c r="D3531" s="1" t="s">
        <v>1902</v>
      </c>
      <c r="E3531" s="3" t="s">
        <v>1903</v>
      </c>
    </row>
    <row r="3532" spans="1:5">
      <c r="A3532" s="1">
        <v>52025</v>
      </c>
      <c r="B3532" s="1">
        <v>1</v>
      </c>
      <c r="C3532" s="1" t="s">
        <v>4192</v>
      </c>
      <c r="D3532" s="1" t="s">
        <v>1904</v>
      </c>
      <c r="E3532" s="3" t="s">
        <v>1905</v>
      </c>
    </row>
    <row r="3533" spans="1:5">
      <c r="A3533" s="1">
        <v>52026</v>
      </c>
      <c r="B3533" s="1">
        <v>1</v>
      </c>
      <c r="C3533" s="1" t="s">
        <v>3491</v>
      </c>
      <c r="D3533" s="1" t="s">
        <v>1906</v>
      </c>
      <c r="E3533" s="3" t="s">
        <v>177</v>
      </c>
    </row>
    <row r="3534" spans="1:5">
      <c r="A3534" s="1">
        <v>52027</v>
      </c>
      <c r="B3534" s="1">
        <v>1</v>
      </c>
      <c r="C3534" s="1" t="s">
        <v>4193</v>
      </c>
      <c r="D3534" s="1" t="s">
        <v>1907</v>
      </c>
      <c r="E3534" s="3" t="s">
        <v>1908</v>
      </c>
    </row>
    <row r="3535" spans="1:5">
      <c r="A3535" s="1">
        <v>52028</v>
      </c>
      <c r="B3535" s="1">
        <v>1</v>
      </c>
      <c r="C3535" s="1" t="s">
        <v>4194</v>
      </c>
      <c r="D3535" s="1" t="s">
        <v>1909</v>
      </c>
      <c r="E3535" s="3" t="s">
        <v>1910</v>
      </c>
    </row>
    <row r="3536" spans="1:5">
      <c r="A3536" s="1">
        <v>52029</v>
      </c>
      <c r="B3536" s="1">
        <v>1</v>
      </c>
      <c r="C3536" s="1" t="s">
        <v>4195</v>
      </c>
      <c r="D3536" s="1" t="s">
        <v>1911</v>
      </c>
      <c r="E3536" s="3" t="s">
        <v>1912</v>
      </c>
    </row>
    <row r="3537" spans="1:5">
      <c r="A3537" s="1">
        <v>52030</v>
      </c>
      <c r="B3537" s="1">
        <v>1</v>
      </c>
      <c r="C3537" s="1" t="s">
        <v>4196</v>
      </c>
      <c r="D3537" s="1" t="s">
        <v>1913</v>
      </c>
      <c r="E3537" s="3" t="s">
        <v>1914</v>
      </c>
    </row>
    <row r="3538" spans="1:5">
      <c r="A3538" s="1">
        <v>52031</v>
      </c>
      <c r="B3538" s="1">
        <v>1</v>
      </c>
      <c r="C3538" s="1" t="s">
        <v>3498</v>
      </c>
      <c r="D3538" s="1" t="s">
        <v>1915</v>
      </c>
      <c r="E3538" s="3" t="s">
        <v>191</v>
      </c>
    </row>
    <row r="3539" spans="1:5">
      <c r="A3539" s="1">
        <v>52032</v>
      </c>
      <c r="B3539" s="1">
        <v>1</v>
      </c>
      <c r="C3539" s="1" t="s">
        <v>4197</v>
      </c>
      <c r="D3539" s="1" t="s">
        <v>1916</v>
      </c>
      <c r="E3539" s="3" t="s">
        <v>1917</v>
      </c>
    </row>
    <row r="3540" spans="1:5">
      <c r="A3540" s="1">
        <v>52033</v>
      </c>
      <c r="B3540" s="1">
        <v>1</v>
      </c>
      <c r="C3540" s="1" t="s">
        <v>4198</v>
      </c>
      <c r="D3540" s="1" t="s">
        <v>1918</v>
      </c>
      <c r="E3540" s="3" t="s">
        <v>1919</v>
      </c>
    </row>
    <row r="3541" spans="1:5">
      <c r="A3541" s="1">
        <v>52034</v>
      </c>
      <c r="B3541" s="1">
        <v>1</v>
      </c>
      <c r="C3541" s="1" t="s">
        <v>4199</v>
      </c>
      <c r="D3541" s="1" t="s">
        <v>1920</v>
      </c>
      <c r="E3541" s="3" t="s">
        <v>1921</v>
      </c>
    </row>
    <row r="3542" spans="1:5">
      <c r="A3542" s="1">
        <v>52035</v>
      </c>
      <c r="B3542" s="1">
        <v>1</v>
      </c>
      <c r="C3542" s="1" t="s">
        <v>4200</v>
      </c>
      <c r="D3542" s="1" t="s">
        <v>1922</v>
      </c>
      <c r="E3542" s="3" t="s">
        <v>1923</v>
      </c>
    </row>
    <row r="3543" spans="1:5">
      <c r="A3543" s="1">
        <v>52036</v>
      </c>
      <c r="B3543" s="1">
        <v>1</v>
      </c>
      <c r="C3543" s="1" t="s">
        <v>3499</v>
      </c>
      <c r="D3543" s="1" t="s">
        <v>1924</v>
      </c>
      <c r="E3543" s="3" t="s">
        <v>193</v>
      </c>
    </row>
    <row r="3544" spans="1:5">
      <c r="A3544" s="1">
        <v>52037</v>
      </c>
      <c r="B3544" s="1">
        <v>1</v>
      </c>
      <c r="C3544" s="1" t="s">
        <v>4201</v>
      </c>
      <c r="D3544" s="1" t="s">
        <v>1925</v>
      </c>
      <c r="E3544" s="3" t="s">
        <v>1926</v>
      </c>
    </row>
    <row r="3545" spans="1:5">
      <c r="A3545" s="1">
        <v>52038</v>
      </c>
      <c r="B3545" s="1">
        <v>1</v>
      </c>
      <c r="C3545" s="1" t="s">
        <v>4202</v>
      </c>
      <c r="D3545" s="1" t="s">
        <v>1927</v>
      </c>
      <c r="E3545" s="3" t="s">
        <v>1928</v>
      </c>
    </row>
    <row r="3546" spans="1:5">
      <c r="A3546" s="1">
        <v>52039</v>
      </c>
      <c r="B3546" s="1">
        <v>1</v>
      </c>
      <c r="C3546" s="1" t="s">
        <v>4203</v>
      </c>
      <c r="D3546" s="1" t="s">
        <v>1929</v>
      </c>
      <c r="E3546" s="3" t="s">
        <v>1930</v>
      </c>
    </row>
    <row r="3547" spans="1:5">
      <c r="A3547" s="1">
        <v>52040</v>
      </c>
      <c r="B3547" s="1">
        <v>1</v>
      </c>
      <c r="C3547" s="1" t="s">
        <v>4204</v>
      </c>
      <c r="D3547" s="1" t="s">
        <v>1931</v>
      </c>
      <c r="E3547" s="3" t="s">
        <v>1932</v>
      </c>
    </row>
    <row r="3548" spans="1:5">
      <c r="A3548" s="1">
        <v>52041</v>
      </c>
      <c r="B3548" s="1">
        <v>1</v>
      </c>
      <c r="C3548" s="1" t="s">
        <v>3500</v>
      </c>
      <c r="D3548" s="1" t="s">
        <v>1933</v>
      </c>
      <c r="E3548" s="3" t="s">
        <v>195</v>
      </c>
    </row>
    <row r="3549" spans="1:5">
      <c r="A3549" s="1">
        <v>52042</v>
      </c>
      <c r="B3549" s="1">
        <v>1</v>
      </c>
      <c r="C3549" s="1" t="s">
        <v>4205</v>
      </c>
      <c r="D3549" s="1" t="s">
        <v>1934</v>
      </c>
      <c r="E3549" s="3" t="s">
        <v>1935</v>
      </c>
    </row>
    <row r="3550" spans="1:5">
      <c r="A3550" s="1">
        <v>52043</v>
      </c>
      <c r="B3550" s="1">
        <v>1</v>
      </c>
      <c r="C3550" s="1" t="s">
        <v>4206</v>
      </c>
      <c r="D3550" s="1" t="s">
        <v>1936</v>
      </c>
      <c r="E3550" s="3" t="s">
        <v>1937</v>
      </c>
    </row>
    <row r="3551" spans="1:5">
      <c r="A3551" s="1">
        <v>52044</v>
      </c>
      <c r="B3551" s="1">
        <v>1</v>
      </c>
      <c r="C3551" s="1" t="s">
        <v>4207</v>
      </c>
      <c r="D3551" s="1" t="s">
        <v>1938</v>
      </c>
      <c r="E3551" s="3" t="s">
        <v>1939</v>
      </c>
    </row>
    <row r="3552" spans="1:5">
      <c r="A3552" s="1">
        <v>52045</v>
      </c>
      <c r="B3552" s="1">
        <v>1</v>
      </c>
      <c r="C3552" s="1" t="s">
        <v>4208</v>
      </c>
      <c r="D3552" s="1" t="s">
        <v>1940</v>
      </c>
      <c r="E3552" s="3" t="s">
        <v>1941</v>
      </c>
    </row>
    <row r="3553" spans="1:5">
      <c r="A3553" s="1">
        <v>52046</v>
      </c>
      <c r="B3553" s="1">
        <v>1</v>
      </c>
      <c r="C3553" s="1" t="s">
        <v>3651</v>
      </c>
      <c r="D3553" s="1" t="s">
        <v>496</v>
      </c>
      <c r="E3553" s="3" t="s">
        <v>497</v>
      </c>
    </row>
    <row r="3554" spans="1:5">
      <c r="A3554" s="1">
        <v>52047</v>
      </c>
      <c r="B3554" s="1">
        <v>1</v>
      </c>
      <c r="C3554" s="1" t="s">
        <v>3652</v>
      </c>
      <c r="D3554" s="1" t="s">
        <v>498</v>
      </c>
      <c r="E3554" s="3" t="s">
        <v>499</v>
      </c>
    </row>
    <row r="3555" spans="1:5">
      <c r="A3555" s="1">
        <v>52048</v>
      </c>
      <c r="B3555" s="1">
        <v>1</v>
      </c>
      <c r="C3555" s="1" t="s">
        <v>3653</v>
      </c>
      <c r="D3555" s="1" t="s">
        <v>500</v>
      </c>
      <c r="E3555" s="3" t="s">
        <v>501</v>
      </c>
    </row>
    <row r="3556" spans="1:5">
      <c r="A3556" s="1">
        <v>52049</v>
      </c>
      <c r="B3556" s="1">
        <v>1</v>
      </c>
      <c r="C3556" s="1" t="s">
        <v>3654</v>
      </c>
      <c r="D3556" s="1" t="s">
        <v>502</v>
      </c>
      <c r="E3556" s="3" t="s">
        <v>503</v>
      </c>
    </row>
    <row r="3557" spans="1:5">
      <c r="A3557" s="1">
        <v>52050</v>
      </c>
      <c r="B3557" s="1">
        <v>1</v>
      </c>
      <c r="C3557" s="1" t="s">
        <v>3655</v>
      </c>
      <c r="D3557" s="1" t="s">
        <v>504</v>
      </c>
      <c r="E3557" s="3" t="s">
        <v>505</v>
      </c>
    </row>
    <row r="3558" spans="1:5">
      <c r="A3558" s="1">
        <v>52051</v>
      </c>
      <c r="B3558" s="1">
        <v>1</v>
      </c>
      <c r="C3558" s="1" t="s">
        <v>3656</v>
      </c>
      <c r="D3558" s="1" t="s">
        <v>506</v>
      </c>
      <c r="E3558" s="3" t="s">
        <v>507</v>
      </c>
    </row>
    <row r="3559" spans="1:5">
      <c r="A3559" s="1">
        <v>52052</v>
      </c>
      <c r="B3559" s="1">
        <v>1</v>
      </c>
      <c r="C3559" s="1" t="s">
        <v>3657</v>
      </c>
      <c r="D3559" s="1" t="s">
        <v>508</v>
      </c>
      <c r="E3559" s="3" t="s">
        <v>509</v>
      </c>
    </row>
    <row r="3560" spans="1:5">
      <c r="A3560" s="1">
        <v>52053</v>
      </c>
      <c r="B3560" s="1">
        <v>1</v>
      </c>
      <c r="C3560" s="1" t="s">
        <v>3658</v>
      </c>
      <c r="D3560" s="1" t="s">
        <v>510</v>
      </c>
      <c r="E3560" s="3" t="s">
        <v>511</v>
      </c>
    </row>
    <row r="3561" spans="1:5">
      <c r="A3561" s="1">
        <v>52054</v>
      </c>
      <c r="B3561" s="1">
        <v>1</v>
      </c>
      <c r="C3561" s="1" t="s">
        <v>3659</v>
      </c>
      <c r="D3561" s="1" t="s">
        <v>512</v>
      </c>
      <c r="E3561" s="3" t="s">
        <v>513</v>
      </c>
    </row>
    <row r="3562" spans="1:5">
      <c r="A3562" s="1">
        <v>52055</v>
      </c>
      <c r="B3562" s="1">
        <v>1</v>
      </c>
      <c r="C3562" s="1" t="s">
        <v>3660</v>
      </c>
      <c r="D3562" s="1" t="s">
        <v>514</v>
      </c>
      <c r="E3562" s="3" t="s">
        <v>515</v>
      </c>
    </row>
    <row r="3563" spans="1:5">
      <c r="A3563" s="1">
        <v>52056</v>
      </c>
      <c r="B3563" s="1">
        <v>1</v>
      </c>
      <c r="C3563" s="1" t="s">
        <v>3661</v>
      </c>
      <c r="D3563" s="1" t="s">
        <v>516</v>
      </c>
      <c r="E3563" s="3" t="s">
        <v>517</v>
      </c>
    </row>
    <row r="3564" spans="1:5">
      <c r="A3564" s="1">
        <v>52057</v>
      </c>
      <c r="B3564" s="1">
        <v>1</v>
      </c>
      <c r="C3564" s="1" t="s">
        <v>3662</v>
      </c>
      <c r="D3564" s="1" t="s">
        <v>518</v>
      </c>
      <c r="E3564" s="3" t="s">
        <v>519</v>
      </c>
    </row>
    <row r="3565" spans="1:5">
      <c r="A3565" s="1">
        <v>52058</v>
      </c>
      <c r="B3565" s="1">
        <v>1</v>
      </c>
      <c r="C3565" s="1" t="s">
        <v>3663</v>
      </c>
      <c r="D3565" s="1" t="s">
        <v>520</v>
      </c>
      <c r="E3565" s="3" t="s">
        <v>521</v>
      </c>
    </row>
    <row r="3566" spans="1:5">
      <c r="A3566" s="1">
        <v>52059</v>
      </c>
      <c r="B3566" s="1">
        <v>1</v>
      </c>
      <c r="C3566" s="1" t="s">
        <v>3664</v>
      </c>
      <c r="D3566" s="1" t="s">
        <v>522</v>
      </c>
      <c r="E3566" s="3" t="s">
        <v>523</v>
      </c>
    </row>
    <row r="3567" spans="1:5">
      <c r="A3567" s="1">
        <v>52060</v>
      </c>
      <c r="B3567" s="1">
        <v>1</v>
      </c>
      <c r="C3567" s="1" t="s">
        <v>3665</v>
      </c>
      <c r="D3567" s="1" t="s">
        <v>524</v>
      </c>
      <c r="E3567" s="3" t="s">
        <v>525</v>
      </c>
    </row>
    <row r="3568" spans="1:5">
      <c r="A3568" s="1">
        <v>52061</v>
      </c>
      <c r="B3568" s="1">
        <v>1</v>
      </c>
      <c r="C3568" s="1" t="s">
        <v>3666</v>
      </c>
      <c r="D3568" s="1" t="s">
        <v>526</v>
      </c>
      <c r="E3568" s="3" t="s">
        <v>527</v>
      </c>
    </row>
    <row r="3569" spans="1:5">
      <c r="A3569" s="1">
        <v>52062</v>
      </c>
      <c r="B3569" s="1">
        <v>1</v>
      </c>
      <c r="C3569" s="1" t="s">
        <v>3667</v>
      </c>
      <c r="D3569" s="1" t="s">
        <v>528</v>
      </c>
      <c r="E3569" s="3" t="s">
        <v>529</v>
      </c>
    </row>
    <row r="3570" spans="1:5">
      <c r="A3570" s="1">
        <v>52063</v>
      </c>
      <c r="B3570" s="1">
        <v>1</v>
      </c>
      <c r="C3570" s="1" t="s">
        <v>3668</v>
      </c>
      <c r="D3570" s="1" t="s">
        <v>530</v>
      </c>
      <c r="E3570" s="3" t="s">
        <v>531</v>
      </c>
    </row>
    <row r="3571" spans="1:5">
      <c r="A3571" s="1">
        <v>52064</v>
      </c>
      <c r="B3571" s="1">
        <v>1</v>
      </c>
      <c r="C3571" s="1" t="s">
        <v>3669</v>
      </c>
      <c r="D3571" s="1" t="s">
        <v>532</v>
      </c>
      <c r="E3571" s="3" t="s">
        <v>533</v>
      </c>
    </row>
    <row r="3572" spans="1:5">
      <c r="A3572" s="1">
        <v>52065</v>
      </c>
      <c r="B3572" s="1">
        <v>1</v>
      </c>
      <c r="C3572" s="1" t="s">
        <v>3670</v>
      </c>
      <c r="D3572" s="1" t="s">
        <v>534</v>
      </c>
      <c r="E3572" s="3" t="s">
        <v>535</v>
      </c>
    </row>
    <row r="3573" spans="1:5">
      <c r="A3573" s="1">
        <v>52066</v>
      </c>
      <c r="B3573" s="1">
        <v>1</v>
      </c>
      <c r="C3573" s="1" t="s">
        <v>3671</v>
      </c>
      <c r="D3573" s="1" t="s">
        <v>536</v>
      </c>
      <c r="E3573" s="3" t="s">
        <v>537</v>
      </c>
    </row>
    <row r="3574" spans="1:5">
      <c r="A3574" s="1">
        <v>52067</v>
      </c>
      <c r="B3574" s="1">
        <v>1</v>
      </c>
      <c r="C3574" s="1" t="s">
        <v>3672</v>
      </c>
      <c r="D3574" s="1" t="s">
        <v>538</v>
      </c>
      <c r="E3574" s="3" t="s">
        <v>539</v>
      </c>
    </row>
    <row r="3575" spans="1:5">
      <c r="A3575" s="1">
        <v>52068</v>
      </c>
      <c r="B3575" s="1">
        <v>1</v>
      </c>
      <c r="C3575" s="1" t="s">
        <v>3673</v>
      </c>
      <c r="D3575" s="1" t="s">
        <v>540</v>
      </c>
      <c r="E3575" s="3" t="s">
        <v>541</v>
      </c>
    </row>
    <row r="3576" spans="1:5">
      <c r="A3576" s="1">
        <v>52069</v>
      </c>
      <c r="B3576" s="1">
        <v>1</v>
      </c>
      <c r="C3576" s="1" t="s">
        <v>3674</v>
      </c>
      <c r="D3576" s="1" t="s">
        <v>542</v>
      </c>
      <c r="E3576" s="3" t="s">
        <v>543</v>
      </c>
    </row>
    <row r="3577" spans="1:5">
      <c r="A3577" s="1">
        <v>52070</v>
      </c>
      <c r="B3577" s="1">
        <v>1</v>
      </c>
      <c r="C3577" s="1" t="s">
        <v>3675</v>
      </c>
      <c r="D3577" s="1" t="s">
        <v>544</v>
      </c>
      <c r="E3577" s="3" t="s">
        <v>545</v>
      </c>
    </row>
    <row r="3578" spans="1:5">
      <c r="A3578" s="1">
        <v>52071</v>
      </c>
      <c r="B3578" s="1">
        <v>1</v>
      </c>
      <c r="C3578" s="1" t="s">
        <v>3676</v>
      </c>
      <c r="D3578" s="1" t="s">
        <v>546</v>
      </c>
      <c r="E3578" s="3" t="s">
        <v>547</v>
      </c>
    </row>
    <row r="3579" spans="1:5">
      <c r="A3579" s="1">
        <v>52072</v>
      </c>
      <c r="B3579" s="1">
        <v>1</v>
      </c>
      <c r="C3579" s="1" t="s">
        <v>3677</v>
      </c>
      <c r="D3579" s="1" t="s">
        <v>548</v>
      </c>
      <c r="E3579" s="3" t="s">
        <v>549</v>
      </c>
    </row>
    <row r="3580" spans="1:5">
      <c r="A3580" s="1">
        <v>52073</v>
      </c>
      <c r="B3580" s="1">
        <v>1</v>
      </c>
      <c r="C3580" s="1" t="s">
        <v>3678</v>
      </c>
      <c r="D3580" s="1" t="s">
        <v>550</v>
      </c>
      <c r="E3580" s="3" t="s">
        <v>551</v>
      </c>
    </row>
    <row r="3581" spans="1:5">
      <c r="A3581" s="1">
        <v>52074</v>
      </c>
      <c r="B3581" s="1">
        <v>1</v>
      </c>
      <c r="C3581" s="1" t="s">
        <v>3679</v>
      </c>
      <c r="D3581" s="1" t="s">
        <v>552</v>
      </c>
      <c r="E3581" s="3" t="s">
        <v>553</v>
      </c>
    </row>
    <row r="3582" spans="1:5">
      <c r="A3582" s="1">
        <v>52075</v>
      </c>
      <c r="B3582" s="1">
        <v>1</v>
      </c>
      <c r="C3582" s="1" t="s">
        <v>3680</v>
      </c>
      <c r="D3582" s="1" t="s">
        <v>554</v>
      </c>
      <c r="E3582" s="3" t="s">
        <v>555</v>
      </c>
    </row>
    <row r="3583" spans="1:5">
      <c r="A3583" s="1">
        <v>52501</v>
      </c>
      <c r="B3583" s="1">
        <v>1</v>
      </c>
      <c r="C3583" s="1" t="s">
        <v>4209</v>
      </c>
      <c r="D3583" s="1" t="s">
        <v>1942</v>
      </c>
      <c r="E3583" s="3" t="s">
        <v>4732</v>
      </c>
    </row>
    <row r="3584" spans="1:5">
      <c r="A3584" s="1">
        <v>52502</v>
      </c>
      <c r="B3584" s="1">
        <v>1</v>
      </c>
      <c r="C3584" s="1" t="s">
        <v>4210</v>
      </c>
      <c r="D3584" s="1" t="s">
        <v>1943</v>
      </c>
      <c r="E3584" s="3" t="s">
        <v>4733</v>
      </c>
    </row>
    <row r="3585" spans="1:5">
      <c r="A3585" s="1">
        <v>52503</v>
      </c>
      <c r="B3585" s="1">
        <v>1</v>
      </c>
      <c r="C3585" s="1" t="s">
        <v>4211</v>
      </c>
      <c r="D3585" s="1" t="s">
        <v>1944</v>
      </c>
      <c r="E3585" s="3" t="s">
        <v>4734</v>
      </c>
    </row>
    <row r="3586" spans="1:5">
      <c r="A3586" s="1">
        <v>52504</v>
      </c>
      <c r="B3586" s="1">
        <v>1</v>
      </c>
      <c r="C3586" s="1" t="s">
        <v>4212</v>
      </c>
      <c r="D3586" s="1" t="s">
        <v>1945</v>
      </c>
      <c r="E3586" s="3" t="s">
        <v>4735</v>
      </c>
    </row>
    <row r="3587" spans="1:5">
      <c r="A3587" s="1">
        <v>52505</v>
      </c>
      <c r="B3587" s="1">
        <v>1</v>
      </c>
      <c r="C3587" s="1" t="s">
        <v>4213</v>
      </c>
      <c r="D3587" s="1" t="s">
        <v>1946</v>
      </c>
      <c r="E3587" s="3" t="s">
        <v>4736</v>
      </c>
    </row>
    <row r="3588" spans="1:5">
      <c r="A3588" s="1">
        <v>52506</v>
      </c>
      <c r="B3588" s="1">
        <v>1</v>
      </c>
      <c r="C3588" s="1" t="s">
        <v>4214</v>
      </c>
      <c r="D3588" s="1" t="s">
        <v>1947</v>
      </c>
      <c r="E3588" s="3" t="s">
        <v>4737</v>
      </c>
    </row>
    <row r="3589" spans="1:5">
      <c r="A3589" s="1">
        <v>52507</v>
      </c>
      <c r="B3589" s="1">
        <v>1</v>
      </c>
      <c r="C3589" s="1" t="s">
        <v>4215</v>
      </c>
      <c r="D3589" s="1" t="s">
        <v>1948</v>
      </c>
      <c r="E3589" s="3" t="s">
        <v>4738</v>
      </c>
    </row>
    <row r="3590" spans="1:5">
      <c r="A3590" s="1">
        <v>52508</v>
      </c>
      <c r="B3590" s="1">
        <v>1</v>
      </c>
      <c r="C3590" s="1" t="s">
        <v>4216</v>
      </c>
      <c r="D3590" s="1" t="s">
        <v>1949</v>
      </c>
      <c r="E3590" s="3" t="s">
        <v>4739</v>
      </c>
    </row>
    <row r="3591" spans="1:5">
      <c r="A3591" s="1">
        <v>52509</v>
      </c>
      <c r="B3591" s="1">
        <v>1</v>
      </c>
      <c r="C3591" s="1" t="s">
        <v>4217</v>
      </c>
      <c r="D3591" s="1" t="s">
        <v>1950</v>
      </c>
      <c r="E3591" s="3" t="s">
        <v>4740</v>
      </c>
    </row>
    <row r="3592" spans="1:5">
      <c r="A3592" s="40">
        <v>55001</v>
      </c>
      <c r="B3592" s="40">
        <v>0</v>
      </c>
      <c r="C3592" s="40" t="s">
        <v>10861</v>
      </c>
      <c r="D3592" s="40" t="s">
        <v>5120</v>
      </c>
      <c r="E3592" s="42" t="s">
        <v>10663</v>
      </c>
    </row>
    <row r="3593" spans="1:5">
      <c r="A3593" s="40">
        <v>55002</v>
      </c>
      <c r="B3593" s="40">
        <v>0</v>
      </c>
      <c r="C3593" s="40" t="s">
        <v>10862</v>
      </c>
      <c r="D3593" s="40" t="s">
        <v>5121</v>
      </c>
      <c r="E3593" s="42" t="s">
        <v>10664</v>
      </c>
    </row>
    <row r="3594" spans="1:5">
      <c r="A3594" s="40">
        <v>55003</v>
      </c>
      <c r="B3594" s="40">
        <v>0</v>
      </c>
      <c r="C3594" s="40" t="s">
        <v>10863</v>
      </c>
      <c r="D3594" s="40" t="s">
        <v>5122</v>
      </c>
      <c r="E3594" s="42" t="s">
        <v>10665</v>
      </c>
    </row>
    <row r="3595" spans="1:5">
      <c r="A3595" s="40">
        <v>55004</v>
      </c>
      <c r="B3595" s="40">
        <v>0</v>
      </c>
      <c r="C3595" s="40" t="s">
        <v>10861</v>
      </c>
      <c r="D3595" s="40" t="s">
        <v>5123</v>
      </c>
      <c r="E3595" s="42" t="s">
        <v>10663</v>
      </c>
    </row>
    <row r="3596" spans="1:5">
      <c r="A3596" s="40">
        <v>55005</v>
      </c>
      <c r="B3596" s="40">
        <v>0</v>
      </c>
      <c r="C3596" s="40" t="s">
        <v>10862</v>
      </c>
      <c r="D3596" s="40" t="s">
        <v>5124</v>
      </c>
      <c r="E3596" s="42" t="s">
        <v>10664</v>
      </c>
    </row>
    <row r="3597" spans="1:5">
      <c r="A3597" s="40">
        <v>55006</v>
      </c>
      <c r="B3597" s="40">
        <v>0</v>
      </c>
      <c r="C3597" s="40" t="s">
        <v>10863</v>
      </c>
      <c r="D3597" s="40" t="s">
        <v>5125</v>
      </c>
      <c r="E3597" s="42" t="s">
        <v>10665</v>
      </c>
    </row>
    <row r="3598" spans="1:5">
      <c r="A3598" s="40">
        <v>55007</v>
      </c>
      <c r="B3598" s="40">
        <v>0</v>
      </c>
      <c r="C3598" s="40" t="s">
        <v>10864</v>
      </c>
      <c r="D3598" s="40" t="s">
        <v>5126</v>
      </c>
      <c r="E3598" s="42" t="s">
        <v>10666</v>
      </c>
    </row>
    <row r="3599" spans="1:5">
      <c r="A3599" s="40">
        <v>55008</v>
      </c>
      <c r="B3599" s="40">
        <v>0</v>
      </c>
      <c r="C3599" s="40" t="s">
        <v>10865</v>
      </c>
      <c r="D3599" s="40" t="s">
        <v>5127</v>
      </c>
      <c r="E3599" s="42" t="s">
        <v>10667</v>
      </c>
    </row>
    <row r="3600" spans="1:5">
      <c r="A3600" s="40">
        <v>55009</v>
      </c>
      <c r="B3600" s="40">
        <v>0</v>
      </c>
      <c r="C3600" s="40" t="s">
        <v>10866</v>
      </c>
      <c r="D3600" s="40" t="s">
        <v>5128</v>
      </c>
      <c r="E3600" s="42" t="s">
        <v>10668</v>
      </c>
    </row>
    <row r="3601" spans="1:5">
      <c r="A3601" s="40">
        <v>55010</v>
      </c>
      <c r="B3601" s="40">
        <v>0</v>
      </c>
      <c r="C3601" s="40" t="s">
        <v>10864</v>
      </c>
      <c r="D3601" s="40" t="s">
        <v>5129</v>
      </c>
      <c r="E3601" s="42" t="s">
        <v>10666</v>
      </c>
    </row>
    <row r="3602" spans="1:5">
      <c r="A3602" s="40">
        <v>55011</v>
      </c>
      <c r="B3602" s="40">
        <v>0</v>
      </c>
      <c r="C3602" s="40" t="s">
        <v>10865</v>
      </c>
      <c r="D3602" s="40" t="s">
        <v>5130</v>
      </c>
      <c r="E3602" s="42" t="s">
        <v>10667</v>
      </c>
    </row>
    <row r="3603" spans="1:5">
      <c r="A3603" s="40">
        <v>55012</v>
      </c>
      <c r="B3603" s="40">
        <v>0</v>
      </c>
      <c r="C3603" s="40" t="s">
        <v>10866</v>
      </c>
      <c r="D3603" s="40" t="s">
        <v>5131</v>
      </c>
      <c r="E3603" s="42" t="s">
        <v>10668</v>
      </c>
    </row>
    <row r="3604" spans="1:5">
      <c r="A3604" s="40">
        <v>55013</v>
      </c>
      <c r="B3604" s="40">
        <v>0</v>
      </c>
      <c r="C3604" s="40" t="s">
        <v>10867</v>
      </c>
      <c r="D3604" s="40" t="s">
        <v>5132</v>
      </c>
      <c r="E3604" s="42" t="s">
        <v>10669</v>
      </c>
    </row>
    <row r="3605" spans="1:5">
      <c r="A3605" s="40">
        <v>55014</v>
      </c>
      <c r="B3605" s="40">
        <v>0</v>
      </c>
      <c r="C3605" s="40" t="s">
        <v>10868</v>
      </c>
      <c r="D3605" s="40" t="s">
        <v>5133</v>
      </c>
      <c r="E3605" s="42" t="s">
        <v>10670</v>
      </c>
    </row>
    <row r="3606" spans="1:5">
      <c r="A3606" s="40">
        <v>55015</v>
      </c>
      <c r="B3606" s="40">
        <v>0</v>
      </c>
      <c r="C3606" s="40" t="s">
        <v>10869</v>
      </c>
      <c r="D3606" s="40" t="s">
        <v>5134</v>
      </c>
      <c r="E3606" s="42" t="s">
        <v>10671</v>
      </c>
    </row>
    <row r="3607" spans="1:5">
      <c r="A3607" s="40">
        <v>55016</v>
      </c>
      <c r="B3607" s="40">
        <v>0</v>
      </c>
      <c r="C3607" s="40" t="s">
        <v>10867</v>
      </c>
      <c r="D3607" s="40" t="s">
        <v>5135</v>
      </c>
      <c r="E3607" s="42" t="s">
        <v>10669</v>
      </c>
    </row>
    <row r="3608" spans="1:5">
      <c r="A3608" s="40">
        <v>55017</v>
      </c>
      <c r="B3608" s="40">
        <v>0</v>
      </c>
      <c r="C3608" s="40" t="s">
        <v>10868</v>
      </c>
      <c r="D3608" s="40" t="s">
        <v>5136</v>
      </c>
      <c r="E3608" s="42" t="s">
        <v>10670</v>
      </c>
    </row>
    <row r="3609" spans="1:5">
      <c r="A3609" s="40">
        <v>55018</v>
      </c>
      <c r="B3609" s="40">
        <v>0</v>
      </c>
      <c r="C3609" s="40" t="s">
        <v>10869</v>
      </c>
      <c r="D3609" s="40" t="s">
        <v>5137</v>
      </c>
      <c r="E3609" s="42" t="s">
        <v>10671</v>
      </c>
    </row>
    <row r="3610" spans="1:5">
      <c r="A3610" s="40">
        <v>55019</v>
      </c>
      <c r="B3610" s="40">
        <v>0</v>
      </c>
      <c r="C3610" s="40" t="s">
        <v>10870</v>
      </c>
      <c r="D3610" s="40" t="s">
        <v>5138</v>
      </c>
      <c r="E3610" s="42" t="s">
        <v>10672</v>
      </c>
    </row>
    <row r="3611" spans="1:5">
      <c r="A3611" s="40">
        <v>55020</v>
      </c>
      <c r="B3611" s="40">
        <v>0</v>
      </c>
      <c r="C3611" s="40" t="s">
        <v>10871</v>
      </c>
      <c r="D3611" s="40" t="s">
        <v>5139</v>
      </c>
      <c r="E3611" s="42" t="s">
        <v>10673</v>
      </c>
    </row>
    <row r="3612" spans="1:5">
      <c r="A3612" s="40">
        <v>55021</v>
      </c>
      <c r="B3612" s="40">
        <v>0</v>
      </c>
      <c r="C3612" s="40" t="s">
        <v>10872</v>
      </c>
      <c r="D3612" s="40" t="s">
        <v>5140</v>
      </c>
      <c r="E3612" s="42" t="s">
        <v>10674</v>
      </c>
    </row>
    <row r="3613" spans="1:5">
      <c r="A3613" s="40">
        <v>55022</v>
      </c>
      <c r="B3613" s="40">
        <v>0</v>
      </c>
      <c r="C3613" s="40" t="s">
        <v>10870</v>
      </c>
      <c r="D3613" s="40" t="s">
        <v>5141</v>
      </c>
      <c r="E3613" s="42" t="s">
        <v>10672</v>
      </c>
    </row>
    <row r="3614" spans="1:5">
      <c r="A3614" s="40">
        <v>55023</v>
      </c>
      <c r="B3614" s="40">
        <v>0</v>
      </c>
      <c r="C3614" s="40" t="s">
        <v>10871</v>
      </c>
      <c r="D3614" s="40" t="s">
        <v>5142</v>
      </c>
      <c r="E3614" s="42" t="s">
        <v>10673</v>
      </c>
    </row>
    <row r="3615" spans="1:5">
      <c r="A3615" s="40">
        <v>55024</v>
      </c>
      <c r="B3615" s="40">
        <v>0</v>
      </c>
      <c r="C3615" s="40" t="s">
        <v>10872</v>
      </c>
      <c r="D3615" s="40" t="s">
        <v>5143</v>
      </c>
      <c r="E3615" s="42" t="s">
        <v>10674</v>
      </c>
    </row>
    <row r="3616" spans="1:5">
      <c r="A3616" s="40">
        <v>55025</v>
      </c>
      <c r="B3616" s="40">
        <v>0</v>
      </c>
      <c r="C3616" s="40" t="s">
        <v>10873</v>
      </c>
      <c r="D3616" s="40" t="s">
        <v>5144</v>
      </c>
      <c r="E3616" s="42" t="s">
        <v>10675</v>
      </c>
    </row>
    <row r="3617" spans="1:5">
      <c r="A3617" s="40">
        <v>55026</v>
      </c>
      <c r="B3617" s="40">
        <v>0</v>
      </c>
      <c r="C3617" s="40" t="s">
        <v>10874</v>
      </c>
      <c r="D3617" s="40" t="s">
        <v>5145</v>
      </c>
      <c r="E3617" s="42" t="s">
        <v>10676</v>
      </c>
    </row>
    <row r="3618" spans="1:5">
      <c r="A3618" s="40">
        <v>55027</v>
      </c>
      <c r="B3618" s="40">
        <v>0</v>
      </c>
      <c r="C3618" s="40" t="s">
        <v>10875</v>
      </c>
      <c r="D3618" s="40" t="s">
        <v>5146</v>
      </c>
      <c r="E3618" s="42" t="s">
        <v>10677</v>
      </c>
    </row>
    <row r="3619" spans="1:5">
      <c r="A3619" s="40">
        <v>55028</v>
      </c>
      <c r="B3619" s="40">
        <v>0</v>
      </c>
      <c r="C3619" s="40" t="s">
        <v>10873</v>
      </c>
      <c r="D3619" s="40" t="s">
        <v>5147</v>
      </c>
      <c r="E3619" s="42" t="s">
        <v>10675</v>
      </c>
    </row>
    <row r="3620" spans="1:5">
      <c r="A3620" s="40">
        <v>55029</v>
      </c>
      <c r="B3620" s="40">
        <v>0</v>
      </c>
      <c r="C3620" s="40" t="s">
        <v>10874</v>
      </c>
      <c r="D3620" s="40" t="s">
        <v>5148</v>
      </c>
      <c r="E3620" s="42" t="s">
        <v>10676</v>
      </c>
    </row>
    <row r="3621" spans="1:5">
      <c r="A3621" s="40">
        <v>55030</v>
      </c>
      <c r="B3621" s="40">
        <v>0</v>
      </c>
      <c r="C3621" s="40" t="s">
        <v>10875</v>
      </c>
      <c r="D3621" s="40" t="s">
        <v>5149</v>
      </c>
      <c r="E3621" s="42" t="s">
        <v>10677</v>
      </c>
    </row>
    <row r="3622" spans="1:5">
      <c r="A3622" s="40">
        <v>55031</v>
      </c>
      <c r="B3622" s="40">
        <v>0</v>
      </c>
      <c r="C3622" s="40" t="s">
        <v>10876</v>
      </c>
      <c r="D3622" s="40" t="s">
        <v>5150</v>
      </c>
      <c r="E3622" s="42" t="s">
        <v>10678</v>
      </c>
    </row>
    <row r="3623" spans="1:5">
      <c r="A3623" s="40">
        <v>55032</v>
      </c>
      <c r="B3623" s="40">
        <v>0</v>
      </c>
      <c r="C3623" s="40" t="s">
        <v>10877</v>
      </c>
      <c r="D3623" s="40" t="s">
        <v>5151</v>
      </c>
      <c r="E3623" s="42" t="s">
        <v>10679</v>
      </c>
    </row>
    <row r="3624" spans="1:5">
      <c r="A3624" s="40">
        <v>55033</v>
      </c>
      <c r="B3624" s="40">
        <v>0</v>
      </c>
      <c r="C3624" s="40" t="s">
        <v>10878</v>
      </c>
      <c r="D3624" s="40" t="s">
        <v>5152</v>
      </c>
      <c r="E3624" s="42" t="s">
        <v>10680</v>
      </c>
    </row>
    <row r="3625" spans="1:5">
      <c r="A3625" s="40">
        <v>55034</v>
      </c>
      <c r="B3625" s="40">
        <v>0</v>
      </c>
      <c r="C3625" s="40" t="s">
        <v>10876</v>
      </c>
      <c r="D3625" s="40" t="s">
        <v>5153</v>
      </c>
      <c r="E3625" s="42" t="s">
        <v>10678</v>
      </c>
    </row>
    <row r="3626" spans="1:5">
      <c r="A3626" s="40">
        <v>55035</v>
      </c>
      <c r="B3626" s="40">
        <v>0</v>
      </c>
      <c r="C3626" s="40" t="s">
        <v>10877</v>
      </c>
      <c r="D3626" s="40" t="s">
        <v>5154</v>
      </c>
      <c r="E3626" s="42" t="s">
        <v>10679</v>
      </c>
    </row>
    <row r="3627" spans="1:5">
      <c r="A3627" s="40">
        <v>55036</v>
      </c>
      <c r="B3627" s="40">
        <v>0</v>
      </c>
      <c r="C3627" s="40" t="s">
        <v>10878</v>
      </c>
      <c r="D3627" s="40" t="s">
        <v>5155</v>
      </c>
      <c r="E3627" s="42" t="s">
        <v>10680</v>
      </c>
    </row>
    <row r="3628" spans="1:5">
      <c r="A3628" s="40">
        <v>55037</v>
      </c>
      <c r="B3628" s="40">
        <v>0</v>
      </c>
      <c r="C3628" s="40" t="s">
        <v>10879</v>
      </c>
      <c r="D3628" s="40" t="s">
        <v>5156</v>
      </c>
      <c r="E3628" s="42" t="s">
        <v>10681</v>
      </c>
    </row>
    <row r="3629" spans="1:5">
      <c r="A3629" s="40">
        <v>55038</v>
      </c>
      <c r="B3629" s="40">
        <v>0</v>
      </c>
      <c r="C3629" s="40" t="s">
        <v>10880</v>
      </c>
      <c r="D3629" s="40" t="s">
        <v>5157</v>
      </c>
      <c r="E3629" s="42" t="s">
        <v>10682</v>
      </c>
    </row>
    <row r="3630" spans="1:5">
      <c r="A3630" s="40">
        <v>55039</v>
      </c>
      <c r="B3630" s="40">
        <v>0</v>
      </c>
      <c r="C3630" s="40" t="s">
        <v>10881</v>
      </c>
      <c r="D3630" s="40" t="s">
        <v>5158</v>
      </c>
      <c r="E3630" s="42" t="s">
        <v>10683</v>
      </c>
    </row>
    <row r="3631" spans="1:5">
      <c r="A3631" s="40">
        <v>55040</v>
      </c>
      <c r="B3631" s="40">
        <v>0</v>
      </c>
      <c r="C3631" s="40" t="s">
        <v>10879</v>
      </c>
      <c r="D3631" s="40" t="s">
        <v>5159</v>
      </c>
      <c r="E3631" s="42" t="s">
        <v>10681</v>
      </c>
    </row>
    <row r="3632" spans="1:5">
      <c r="A3632" s="40">
        <v>55041</v>
      </c>
      <c r="B3632" s="40">
        <v>0</v>
      </c>
      <c r="C3632" s="40" t="s">
        <v>10880</v>
      </c>
      <c r="D3632" s="40" t="s">
        <v>5160</v>
      </c>
      <c r="E3632" s="42" t="s">
        <v>10682</v>
      </c>
    </row>
    <row r="3633" spans="1:5">
      <c r="A3633" s="40">
        <v>55042</v>
      </c>
      <c r="B3633" s="40">
        <v>0</v>
      </c>
      <c r="C3633" s="40" t="s">
        <v>10881</v>
      </c>
      <c r="D3633" s="40" t="s">
        <v>5161</v>
      </c>
      <c r="E3633" s="42" t="s">
        <v>10683</v>
      </c>
    </row>
    <row r="3634" spans="1:5">
      <c r="A3634" s="40">
        <v>55043</v>
      </c>
      <c r="B3634" s="40">
        <v>0</v>
      </c>
      <c r="C3634" s="40" t="s">
        <v>10882</v>
      </c>
      <c r="D3634" s="40" t="s">
        <v>5162</v>
      </c>
      <c r="E3634" s="42" t="s">
        <v>10684</v>
      </c>
    </row>
    <row r="3635" spans="1:5">
      <c r="A3635" s="40">
        <v>55044</v>
      </c>
      <c r="B3635" s="40">
        <v>0</v>
      </c>
      <c r="C3635" s="40" t="s">
        <v>10883</v>
      </c>
      <c r="D3635" s="40" t="s">
        <v>5163</v>
      </c>
      <c r="E3635" s="42" t="s">
        <v>10685</v>
      </c>
    </row>
    <row r="3636" spans="1:5">
      <c r="A3636" s="40">
        <v>55045</v>
      </c>
      <c r="B3636" s="40">
        <v>0</v>
      </c>
      <c r="C3636" s="40" t="s">
        <v>10884</v>
      </c>
      <c r="D3636" s="40" t="s">
        <v>5164</v>
      </c>
      <c r="E3636" s="42" t="s">
        <v>10686</v>
      </c>
    </row>
    <row r="3637" spans="1:5">
      <c r="A3637" s="40">
        <v>55046</v>
      </c>
      <c r="B3637" s="40">
        <v>0</v>
      </c>
      <c r="C3637" s="40" t="s">
        <v>10882</v>
      </c>
      <c r="D3637" s="40" t="s">
        <v>5165</v>
      </c>
      <c r="E3637" s="42" t="s">
        <v>10684</v>
      </c>
    </row>
    <row r="3638" spans="1:5">
      <c r="A3638" s="40">
        <v>55047</v>
      </c>
      <c r="B3638" s="40">
        <v>0</v>
      </c>
      <c r="C3638" s="40" t="s">
        <v>10883</v>
      </c>
      <c r="D3638" s="40" t="s">
        <v>5166</v>
      </c>
      <c r="E3638" s="42" t="s">
        <v>10685</v>
      </c>
    </row>
    <row r="3639" spans="1:5">
      <c r="A3639" s="40">
        <v>55048</v>
      </c>
      <c r="B3639" s="40">
        <v>0</v>
      </c>
      <c r="C3639" s="40" t="s">
        <v>10884</v>
      </c>
      <c r="D3639" s="40" t="s">
        <v>5167</v>
      </c>
      <c r="E3639" s="42" t="s">
        <v>10686</v>
      </c>
    </row>
    <row r="3640" spans="1:5">
      <c r="A3640" s="40">
        <v>55049</v>
      </c>
      <c r="B3640" s="40">
        <v>0</v>
      </c>
      <c r="C3640" s="40" t="s">
        <v>10885</v>
      </c>
      <c r="D3640" s="40" t="s">
        <v>5168</v>
      </c>
      <c r="E3640" s="42" t="s">
        <v>10687</v>
      </c>
    </row>
    <row r="3641" spans="1:5">
      <c r="A3641" s="40">
        <v>55050</v>
      </c>
      <c r="B3641" s="40">
        <v>0</v>
      </c>
      <c r="C3641" s="40" t="s">
        <v>10886</v>
      </c>
      <c r="D3641" s="40" t="s">
        <v>5169</v>
      </c>
      <c r="E3641" s="42" t="s">
        <v>10688</v>
      </c>
    </row>
    <row r="3642" spans="1:5">
      <c r="A3642" s="40">
        <v>55051</v>
      </c>
      <c r="B3642" s="40">
        <v>0</v>
      </c>
      <c r="C3642" s="40" t="s">
        <v>10887</v>
      </c>
      <c r="D3642" s="40" t="s">
        <v>5170</v>
      </c>
      <c r="E3642" s="42" t="s">
        <v>10689</v>
      </c>
    </row>
    <row r="3643" spans="1:5">
      <c r="A3643" s="40">
        <v>55052</v>
      </c>
      <c r="B3643" s="40">
        <v>0</v>
      </c>
      <c r="C3643" s="40" t="s">
        <v>10885</v>
      </c>
      <c r="D3643" s="40" t="s">
        <v>5171</v>
      </c>
      <c r="E3643" s="42" t="s">
        <v>10687</v>
      </c>
    </row>
    <row r="3644" spans="1:5">
      <c r="A3644" s="40">
        <v>55053</v>
      </c>
      <c r="B3644" s="40">
        <v>0</v>
      </c>
      <c r="C3644" s="40" t="s">
        <v>10886</v>
      </c>
      <c r="D3644" s="40" t="s">
        <v>5172</v>
      </c>
      <c r="E3644" s="42" t="s">
        <v>10688</v>
      </c>
    </row>
    <row r="3645" spans="1:5">
      <c r="A3645" s="40">
        <v>55054</v>
      </c>
      <c r="B3645" s="40">
        <v>0</v>
      </c>
      <c r="C3645" s="40" t="s">
        <v>10887</v>
      </c>
      <c r="D3645" s="40" t="s">
        <v>5173</v>
      </c>
      <c r="E3645" s="42" t="s">
        <v>10689</v>
      </c>
    </row>
    <row r="3646" spans="1:5">
      <c r="A3646" s="40">
        <v>55055</v>
      </c>
      <c r="B3646" s="40">
        <v>0</v>
      </c>
      <c r="C3646" s="40" t="s">
        <v>10888</v>
      </c>
      <c r="D3646" s="40" t="s">
        <v>5174</v>
      </c>
      <c r="E3646" s="42" t="s">
        <v>10690</v>
      </c>
    </row>
    <row r="3647" spans="1:5">
      <c r="A3647" s="40">
        <v>55056</v>
      </c>
      <c r="B3647" s="40">
        <v>0</v>
      </c>
      <c r="C3647" s="40" t="s">
        <v>10889</v>
      </c>
      <c r="D3647" s="40" t="s">
        <v>5175</v>
      </c>
      <c r="E3647" s="42" t="s">
        <v>10691</v>
      </c>
    </row>
    <row r="3648" spans="1:5">
      <c r="A3648" s="40">
        <v>55057</v>
      </c>
      <c r="B3648" s="40">
        <v>0</v>
      </c>
      <c r="C3648" s="40" t="s">
        <v>10890</v>
      </c>
      <c r="D3648" s="40" t="s">
        <v>5176</v>
      </c>
      <c r="E3648" s="42" t="s">
        <v>10692</v>
      </c>
    </row>
    <row r="3649" spans="1:5">
      <c r="A3649" s="40">
        <v>55058</v>
      </c>
      <c r="B3649" s="40">
        <v>0</v>
      </c>
      <c r="C3649" s="40" t="s">
        <v>10888</v>
      </c>
      <c r="D3649" s="40" t="s">
        <v>5177</v>
      </c>
      <c r="E3649" s="42" t="s">
        <v>10690</v>
      </c>
    </row>
    <row r="3650" spans="1:5">
      <c r="A3650" s="40">
        <v>55059</v>
      </c>
      <c r="B3650" s="40">
        <v>0</v>
      </c>
      <c r="C3650" s="40" t="s">
        <v>10889</v>
      </c>
      <c r="D3650" s="40" t="s">
        <v>5178</v>
      </c>
      <c r="E3650" s="42" t="s">
        <v>10691</v>
      </c>
    </row>
    <row r="3651" spans="1:5">
      <c r="A3651" s="40">
        <v>55060</v>
      </c>
      <c r="B3651" s="40">
        <v>0</v>
      </c>
      <c r="C3651" s="40" t="s">
        <v>10890</v>
      </c>
      <c r="D3651" s="40" t="s">
        <v>5179</v>
      </c>
      <c r="E3651" s="42" t="s">
        <v>10692</v>
      </c>
    </row>
    <row r="3652" spans="1:5">
      <c r="A3652" s="40">
        <v>55061</v>
      </c>
      <c r="B3652" s="40">
        <v>0</v>
      </c>
      <c r="C3652" s="40" t="s">
        <v>10891</v>
      </c>
      <c r="D3652" s="40" t="s">
        <v>5180</v>
      </c>
      <c r="E3652" s="42" t="s">
        <v>10693</v>
      </c>
    </row>
    <row r="3653" spans="1:5">
      <c r="A3653" s="40">
        <v>55062</v>
      </c>
      <c r="B3653" s="40">
        <v>0</v>
      </c>
      <c r="C3653" s="40" t="s">
        <v>10892</v>
      </c>
      <c r="D3653" s="40" t="s">
        <v>5181</v>
      </c>
      <c r="E3653" s="42" t="s">
        <v>10694</v>
      </c>
    </row>
    <row r="3654" spans="1:5">
      <c r="A3654" s="40">
        <v>55063</v>
      </c>
      <c r="B3654" s="40">
        <v>0</v>
      </c>
      <c r="C3654" s="40" t="s">
        <v>10893</v>
      </c>
      <c r="D3654" s="40" t="s">
        <v>5182</v>
      </c>
      <c r="E3654" s="42" t="s">
        <v>10695</v>
      </c>
    </row>
    <row r="3655" spans="1:5">
      <c r="A3655" s="40">
        <v>55064</v>
      </c>
      <c r="B3655" s="40">
        <v>0</v>
      </c>
      <c r="C3655" s="40" t="s">
        <v>10891</v>
      </c>
      <c r="D3655" s="40" t="s">
        <v>5183</v>
      </c>
      <c r="E3655" s="42" t="s">
        <v>10693</v>
      </c>
    </row>
    <row r="3656" spans="1:5">
      <c r="A3656" s="40">
        <v>55065</v>
      </c>
      <c r="B3656" s="40">
        <v>0</v>
      </c>
      <c r="C3656" s="40" t="s">
        <v>10892</v>
      </c>
      <c r="D3656" s="40" t="s">
        <v>5184</v>
      </c>
      <c r="E3656" s="42" t="s">
        <v>10694</v>
      </c>
    </row>
    <row r="3657" spans="1:5">
      <c r="A3657" s="40">
        <v>55066</v>
      </c>
      <c r="B3657" s="40">
        <v>0</v>
      </c>
      <c r="C3657" s="40" t="s">
        <v>10893</v>
      </c>
      <c r="D3657" s="40" t="s">
        <v>5185</v>
      </c>
      <c r="E3657" s="42" t="s">
        <v>10695</v>
      </c>
    </row>
    <row r="3658" spans="1:5">
      <c r="A3658" s="40">
        <v>55067</v>
      </c>
      <c r="B3658" s="40">
        <v>0</v>
      </c>
      <c r="C3658" s="40" t="s">
        <v>10894</v>
      </c>
      <c r="D3658" s="40" t="s">
        <v>5186</v>
      </c>
      <c r="E3658" s="42" t="s">
        <v>10696</v>
      </c>
    </row>
    <row r="3659" spans="1:5">
      <c r="A3659" s="40">
        <v>55068</v>
      </c>
      <c r="B3659" s="40">
        <v>0</v>
      </c>
      <c r="C3659" s="40" t="s">
        <v>10895</v>
      </c>
      <c r="D3659" s="40" t="s">
        <v>5187</v>
      </c>
      <c r="E3659" s="42" t="s">
        <v>10697</v>
      </c>
    </row>
    <row r="3660" spans="1:5">
      <c r="A3660" s="40">
        <v>55069</v>
      </c>
      <c r="B3660" s="40">
        <v>0</v>
      </c>
      <c r="C3660" s="40" t="s">
        <v>10896</v>
      </c>
      <c r="D3660" s="40" t="s">
        <v>5188</v>
      </c>
      <c r="E3660" s="42" t="s">
        <v>10698</v>
      </c>
    </row>
    <row r="3661" spans="1:5">
      <c r="A3661" s="40">
        <v>55070</v>
      </c>
      <c r="B3661" s="40">
        <v>0</v>
      </c>
      <c r="C3661" s="40" t="s">
        <v>10894</v>
      </c>
      <c r="D3661" s="40" t="s">
        <v>5189</v>
      </c>
      <c r="E3661" s="42" t="s">
        <v>10696</v>
      </c>
    </row>
    <row r="3662" spans="1:5">
      <c r="A3662" s="40">
        <v>55071</v>
      </c>
      <c r="B3662" s="40">
        <v>0</v>
      </c>
      <c r="C3662" s="40" t="s">
        <v>10895</v>
      </c>
      <c r="D3662" s="40" t="s">
        <v>5190</v>
      </c>
      <c r="E3662" s="42" t="s">
        <v>10697</v>
      </c>
    </row>
    <row r="3663" spans="1:5">
      <c r="A3663" s="40">
        <v>55072</v>
      </c>
      <c r="B3663" s="40">
        <v>0</v>
      </c>
      <c r="C3663" s="40" t="s">
        <v>10896</v>
      </c>
      <c r="D3663" s="40" t="s">
        <v>5191</v>
      </c>
      <c r="E3663" s="42" t="s">
        <v>10698</v>
      </c>
    </row>
    <row r="3664" spans="1:5">
      <c r="A3664" s="40">
        <v>55073</v>
      </c>
      <c r="B3664" s="40">
        <v>0</v>
      </c>
      <c r="C3664" s="40" t="s">
        <v>10897</v>
      </c>
      <c r="D3664" s="40" t="s">
        <v>5192</v>
      </c>
      <c r="E3664" s="42" t="s">
        <v>10699</v>
      </c>
    </row>
    <row r="3665" spans="1:5">
      <c r="A3665" s="40">
        <v>55074</v>
      </c>
      <c r="B3665" s="40">
        <v>0</v>
      </c>
      <c r="C3665" s="40" t="s">
        <v>10898</v>
      </c>
      <c r="D3665" s="40" t="s">
        <v>5193</v>
      </c>
      <c r="E3665" s="42" t="s">
        <v>10700</v>
      </c>
    </row>
    <row r="3666" spans="1:5">
      <c r="A3666" s="40">
        <v>55075</v>
      </c>
      <c r="B3666" s="40">
        <v>0</v>
      </c>
      <c r="C3666" s="40" t="s">
        <v>10899</v>
      </c>
      <c r="D3666" s="40" t="s">
        <v>5194</v>
      </c>
      <c r="E3666" s="42" t="s">
        <v>10701</v>
      </c>
    </row>
    <row r="3667" spans="1:5">
      <c r="A3667" s="40">
        <v>55076</v>
      </c>
      <c r="B3667" s="40">
        <v>0</v>
      </c>
      <c r="C3667" s="40" t="s">
        <v>10897</v>
      </c>
      <c r="D3667" s="40" t="s">
        <v>5195</v>
      </c>
      <c r="E3667" s="42" t="s">
        <v>10699</v>
      </c>
    </row>
    <row r="3668" spans="1:5">
      <c r="A3668" s="40">
        <v>55077</v>
      </c>
      <c r="B3668" s="40">
        <v>0</v>
      </c>
      <c r="C3668" s="40" t="s">
        <v>10898</v>
      </c>
      <c r="D3668" s="40" t="s">
        <v>5196</v>
      </c>
      <c r="E3668" s="42" t="s">
        <v>10700</v>
      </c>
    </row>
    <row r="3669" spans="1:5">
      <c r="A3669" s="40">
        <v>55078</v>
      </c>
      <c r="B3669" s="40">
        <v>0</v>
      </c>
      <c r="C3669" s="40" t="s">
        <v>10899</v>
      </c>
      <c r="D3669" s="40" t="s">
        <v>5197</v>
      </c>
      <c r="E3669" s="42" t="s">
        <v>10701</v>
      </c>
    </row>
    <row r="3670" spans="1:5">
      <c r="A3670" s="40">
        <v>55079</v>
      </c>
      <c r="B3670" s="40">
        <v>0</v>
      </c>
      <c r="C3670" s="40" t="s">
        <v>10900</v>
      </c>
      <c r="D3670" s="40" t="s">
        <v>5198</v>
      </c>
      <c r="E3670" s="42" t="s">
        <v>10702</v>
      </c>
    </row>
    <row r="3671" spans="1:5">
      <c r="A3671" s="40">
        <v>55080</v>
      </c>
      <c r="B3671" s="40">
        <v>0</v>
      </c>
      <c r="C3671" s="40" t="s">
        <v>10901</v>
      </c>
      <c r="D3671" s="40" t="s">
        <v>5199</v>
      </c>
      <c r="E3671" s="42" t="s">
        <v>10703</v>
      </c>
    </row>
    <row r="3672" spans="1:5">
      <c r="A3672" s="40">
        <v>55081</v>
      </c>
      <c r="B3672" s="40">
        <v>0</v>
      </c>
      <c r="C3672" s="40" t="s">
        <v>10902</v>
      </c>
      <c r="D3672" s="40" t="s">
        <v>5200</v>
      </c>
      <c r="E3672" s="42" t="s">
        <v>10704</v>
      </c>
    </row>
    <row r="3673" spans="1:5">
      <c r="A3673" s="40">
        <v>55082</v>
      </c>
      <c r="B3673" s="40">
        <v>0</v>
      </c>
      <c r="C3673" s="40" t="s">
        <v>10900</v>
      </c>
      <c r="D3673" s="40" t="s">
        <v>5201</v>
      </c>
      <c r="E3673" s="42" t="s">
        <v>10702</v>
      </c>
    </row>
    <row r="3674" spans="1:5">
      <c r="A3674" s="40">
        <v>55083</v>
      </c>
      <c r="B3674" s="40">
        <v>0</v>
      </c>
      <c r="C3674" s="40" t="s">
        <v>10901</v>
      </c>
      <c r="D3674" s="40" t="s">
        <v>5202</v>
      </c>
      <c r="E3674" s="42" t="s">
        <v>10703</v>
      </c>
    </row>
    <row r="3675" spans="1:5">
      <c r="A3675" s="40">
        <v>55084</v>
      </c>
      <c r="B3675" s="40">
        <v>0</v>
      </c>
      <c r="C3675" s="40" t="s">
        <v>10902</v>
      </c>
      <c r="D3675" s="40" t="s">
        <v>5203</v>
      </c>
      <c r="E3675" s="42" t="s">
        <v>10704</v>
      </c>
    </row>
    <row r="3676" spans="1:5">
      <c r="A3676" s="40">
        <v>55085</v>
      </c>
      <c r="B3676" s="40">
        <v>0</v>
      </c>
      <c r="C3676" s="40" t="s">
        <v>10903</v>
      </c>
      <c r="D3676" s="40" t="s">
        <v>5204</v>
      </c>
      <c r="E3676" s="42" t="s">
        <v>10705</v>
      </c>
    </row>
    <row r="3677" spans="1:5">
      <c r="A3677" s="40">
        <v>55086</v>
      </c>
      <c r="B3677" s="40">
        <v>0</v>
      </c>
      <c r="C3677" s="40" t="s">
        <v>10904</v>
      </c>
      <c r="D3677" s="40" t="s">
        <v>5205</v>
      </c>
      <c r="E3677" s="42" t="s">
        <v>10706</v>
      </c>
    </row>
    <row r="3678" spans="1:5">
      <c r="A3678" s="40">
        <v>55087</v>
      </c>
      <c r="B3678" s="40">
        <v>0</v>
      </c>
      <c r="C3678" s="40" t="s">
        <v>10905</v>
      </c>
      <c r="D3678" s="40" t="s">
        <v>5206</v>
      </c>
      <c r="E3678" s="42" t="s">
        <v>10707</v>
      </c>
    </row>
    <row r="3679" spans="1:5">
      <c r="A3679" s="40">
        <v>55088</v>
      </c>
      <c r="B3679" s="40">
        <v>0</v>
      </c>
      <c r="C3679" s="40" t="s">
        <v>10903</v>
      </c>
      <c r="D3679" s="40" t="s">
        <v>5207</v>
      </c>
      <c r="E3679" s="42" t="s">
        <v>10705</v>
      </c>
    </row>
    <row r="3680" spans="1:5">
      <c r="A3680" s="40">
        <v>55089</v>
      </c>
      <c r="B3680" s="40">
        <v>0</v>
      </c>
      <c r="C3680" s="40" t="s">
        <v>10904</v>
      </c>
      <c r="D3680" s="40" t="s">
        <v>5208</v>
      </c>
      <c r="E3680" s="42" t="s">
        <v>10706</v>
      </c>
    </row>
    <row r="3681" spans="1:5">
      <c r="A3681" s="40">
        <v>55090</v>
      </c>
      <c r="B3681" s="40">
        <v>0</v>
      </c>
      <c r="C3681" s="40" t="s">
        <v>10905</v>
      </c>
      <c r="D3681" s="40" t="s">
        <v>5209</v>
      </c>
      <c r="E3681" s="42" t="s">
        <v>10707</v>
      </c>
    </row>
    <row r="3682" spans="1:5">
      <c r="A3682" s="40">
        <v>55091</v>
      </c>
      <c r="B3682" s="40">
        <v>0</v>
      </c>
      <c r="C3682" s="40" t="s">
        <v>10906</v>
      </c>
      <c r="D3682" s="40" t="s">
        <v>5210</v>
      </c>
      <c r="E3682" s="42" t="s">
        <v>10708</v>
      </c>
    </row>
    <row r="3683" spans="1:5">
      <c r="A3683" s="40">
        <v>55092</v>
      </c>
      <c r="B3683" s="40">
        <v>0</v>
      </c>
      <c r="C3683" s="40" t="s">
        <v>10907</v>
      </c>
      <c r="D3683" s="40" t="s">
        <v>5211</v>
      </c>
      <c r="E3683" s="42" t="s">
        <v>10709</v>
      </c>
    </row>
    <row r="3684" spans="1:5">
      <c r="A3684" s="40">
        <v>55093</v>
      </c>
      <c r="B3684" s="40">
        <v>0</v>
      </c>
      <c r="C3684" s="40" t="s">
        <v>10908</v>
      </c>
      <c r="D3684" s="40" t="s">
        <v>5212</v>
      </c>
      <c r="E3684" s="42" t="s">
        <v>10710</v>
      </c>
    </row>
    <row r="3685" spans="1:5">
      <c r="A3685" s="40">
        <v>55094</v>
      </c>
      <c r="B3685" s="40">
        <v>0</v>
      </c>
      <c r="C3685" s="40" t="s">
        <v>10906</v>
      </c>
      <c r="D3685" s="40" t="s">
        <v>5213</v>
      </c>
      <c r="E3685" s="42" t="s">
        <v>10708</v>
      </c>
    </row>
    <row r="3686" spans="1:5">
      <c r="A3686" s="40">
        <v>55095</v>
      </c>
      <c r="B3686" s="40">
        <v>0</v>
      </c>
      <c r="C3686" s="40" t="s">
        <v>10907</v>
      </c>
      <c r="D3686" s="40" t="s">
        <v>5214</v>
      </c>
      <c r="E3686" s="42" t="s">
        <v>10709</v>
      </c>
    </row>
    <row r="3687" spans="1:5">
      <c r="A3687" s="40">
        <v>55096</v>
      </c>
      <c r="B3687" s="40">
        <v>0</v>
      </c>
      <c r="C3687" s="40" t="s">
        <v>10908</v>
      </c>
      <c r="D3687" s="40" t="s">
        <v>5215</v>
      </c>
      <c r="E3687" s="42" t="s">
        <v>10710</v>
      </c>
    </row>
    <row r="3688" spans="1:5">
      <c r="A3688" s="40">
        <v>55097</v>
      </c>
      <c r="B3688" s="40">
        <v>0</v>
      </c>
      <c r="C3688" s="40" t="s">
        <v>10909</v>
      </c>
      <c r="D3688" s="40" t="s">
        <v>5216</v>
      </c>
      <c r="E3688" s="42" t="s">
        <v>10711</v>
      </c>
    </row>
    <row r="3689" spans="1:5">
      <c r="A3689" s="40">
        <v>55098</v>
      </c>
      <c r="B3689" s="40">
        <v>0</v>
      </c>
      <c r="C3689" s="40" t="s">
        <v>10910</v>
      </c>
      <c r="D3689" s="40" t="s">
        <v>5217</v>
      </c>
      <c r="E3689" s="42" t="s">
        <v>10712</v>
      </c>
    </row>
    <row r="3690" spans="1:5">
      <c r="A3690" s="40">
        <v>55099</v>
      </c>
      <c r="B3690" s="40">
        <v>0</v>
      </c>
      <c r="C3690" s="40" t="s">
        <v>10911</v>
      </c>
      <c r="D3690" s="40" t="s">
        <v>5218</v>
      </c>
      <c r="E3690" s="42" t="s">
        <v>10713</v>
      </c>
    </row>
    <row r="3691" spans="1:5">
      <c r="A3691" s="40">
        <v>55100</v>
      </c>
      <c r="B3691" s="40">
        <v>0</v>
      </c>
      <c r="C3691" s="40" t="s">
        <v>10909</v>
      </c>
      <c r="D3691" s="40" t="s">
        <v>5219</v>
      </c>
      <c r="E3691" s="42" t="s">
        <v>10711</v>
      </c>
    </row>
    <row r="3692" spans="1:5">
      <c r="A3692" s="40">
        <v>55101</v>
      </c>
      <c r="B3692" s="40">
        <v>0</v>
      </c>
      <c r="C3692" s="40" t="s">
        <v>10910</v>
      </c>
      <c r="D3692" s="40" t="s">
        <v>5220</v>
      </c>
      <c r="E3692" s="42" t="s">
        <v>10712</v>
      </c>
    </row>
    <row r="3693" spans="1:5">
      <c r="A3693" s="40">
        <v>55102</v>
      </c>
      <c r="B3693" s="40">
        <v>0</v>
      </c>
      <c r="C3693" s="40" t="s">
        <v>10911</v>
      </c>
      <c r="D3693" s="40" t="s">
        <v>5221</v>
      </c>
      <c r="E3693" s="42" t="s">
        <v>10713</v>
      </c>
    </row>
    <row r="3694" spans="1:5">
      <c r="A3694" s="40">
        <v>55103</v>
      </c>
      <c r="B3694" s="40">
        <v>0</v>
      </c>
      <c r="C3694" s="40" t="s">
        <v>10912</v>
      </c>
      <c r="D3694" s="40" t="s">
        <v>5222</v>
      </c>
      <c r="E3694" s="42" t="s">
        <v>10714</v>
      </c>
    </row>
    <row r="3695" spans="1:5">
      <c r="A3695" s="40">
        <v>55104</v>
      </c>
      <c r="B3695" s="40">
        <v>0</v>
      </c>
      <c r="C3695" s="40" t="s">
        <v>10913</v>
      </c>
      <c r="D3695" s="40" t="s">
        <v>5223</v>
      </c>
      <c r="E3695" s="42" t="s">
        <v>10715</v>
      </c>
    </row>
    <row r="3696" spans="1:5">
      <c r="A3696" s="40">
        <v>55105</v>
      </c>
      <c r="B3696" s="40">
        <v>0</v>
      </c>
      <c r="C3696" s="40" t="s">
        <v>10914</v>
      </c>
      <c r="D3696" s="40" t="s">
        <v>5224</v>
      </c>
      <c r="E3696" s="42" t="s">
        <v>10716</v>
      </c>
    </row>
    <row r="3697" spans="1:5">
      <c r="A3697" s="40">
        <v>55106</v>
      </c>
      <c r="B3697" s="40">
        <v>0</v>
      </c>
      <c r="C3697" s="40" t="s">
        <v>10912</v>
      </c>
      <c r="D3697" s="40" t="s">
        <v>5225</v>
      </c>
      <c r="E3697" s="42" t="s">
        <v>10714</v>
      </c>
    </row>
    <row r="3698" spans="1:5">
      <c r="A3698" s="40">
        <v>55107</v>
      </c>
      <c r="B3698" s="40">
        <v>0</v>
      </c>
      <c r="C3698" s="40" t="s">
        <v>10913</v>
      </c>
      <c r="D3698" s="40" t="s">
        <v>5226</v>
      </c>
      <c r="E3698" s="42" t="s">
        <v>10715</v>
      </c>
    </row>
    <row r="3699" spans="1:5">
      <c r="A3699" s="40">
        <v>55108</v>
      </c>
      <c r="B3699" s="40">
        <v>0</v>
      </c>
      <c r="C3699" s="40" t="s">
        <v>10914</v>
      </c>
      <c r="D3699" s="40" t="s">
        <v>5227</v>
      </c>
      <c r="E3699" s="42" t="s">
        <v>10716</v>
      </c>
    </row>
    <row r="3700" spans="1:5">
      <c r="A3700" s="40">
        <v>55109</v>
      </c>
      <c r="B3700" s="40">
        <v>0</v>
      </c>
      <c r="C3700" s="40" t="s">
        <v>10915</v>
      </c>
      <c r="D3700" s="40" t="s">
        <v>5228</v>
      </c>
      <c r="E3700" s="42" t="s">
        <v>10717</v>
      </c>
    </row>
    <row r="3701" spans="1:5">
      <c r="A3701" s="40">
        <v>55110</v>
      </c>
      <c r="B3701" s="40">
        <v>0</v>
      </c>
      <c r="C3701" s="40" t="s">
        <v>10916</v>
      </c>
      <c r="D3701" s="40" t="s">
        <v>5229</v>
      </c>
      <c r="E3701" s="42" t="s">
        <v>10718</v>
      </c>
    </row>
    <row r="3702" spans="1:5">
      <c r="A3702" s="40">
        <v>55111</v>
      </c>
      <c r="B3702" s="40">
        <v>0</v>
      </c>
      <c r="C3702" s="40" t="s">
        <v>10917</v>
      </c>
      <c r="D3702" s="40" t="s">
        <v>5230</v>
      </c>
      <c r="E3702" s="42" t="s">
        <v>10719</v>
      </c>
    </row>
    <row r="3703" spans="1:5">
      <c r="A3703" s="40">
        <v>55112</v>
      </c>
      <c r="B3703" s="40">
        <v>0</v>
      </c>
      <c r="C3703" s="40" t="s">
        <v>10915</v>
      </c>
      <c r="D3703" s="40" t="s">
        <v>5231</v>
      </c>
      <c r="E3703" s="42" t="s">
        <v>10717</v>
      </c>
    </row>
    <row r="3704" spans="1:5">
      <c r="A3704" s="40">
        <v>55113</v>
      </c>
      <c r="B3704" s="40">
        <v>0</v>
      </c>
      <c r="C3704" s="40" t="s">
        <v>10916</v>
      </c>
      <c r="D3704" s="40" t="s">
        <v>5232</v>
      </c>
      <c r="E3704" s="42" t="s">
        <v>10718</v>
      </c>
    </row>
    <row r="3705" spans="1:5">
      <c r="A3705" s="40">
        <v>55114</v>
      </c>
      <c r="B3705" s="40">
        <v>0</v>
      </c>
      <c r="C3705" s="40" t="s">
        <v>10917</v>
      </c>
      <c r="D3705" s="40" t="s">
        <v>5233</v>
      </c>
      <c r="E3705" s="42" t="s">
        <v>10719</v>
      </c>
    </row>
    <row r="3706" spans="1:5">
      <c r="A3706" s="40">
        <v>55115</v>
      </c>
      <c r="B3706" s="40">
        <v>0</v>
      </c>
      <c r="C3706" s="40" t="s">
        <v>10918</v>
      </c>
      <c r="D3706" s="40" t="s">
        <v>5234</v>
      </c>
      <c r="E3706" s="42" t="s">
        <v>10720</v>
      </c>
    </row>
    <row r="3707" spans="1:5">
      <c r="A3707" s="40">
        <v>55116</v>
      </c>
      <c r="B3707" s="40">
        <v>0</v>
      </c>
      <c r="C3707" s="40" t="s">
        <v>10919</v>
      </c>
      <c r="D3707" s="40" t="s">
        <v>5235</v>
      </c>
      <c r="E3707" s="42" t="s">
        <v>10721</v>
      </c>
    </row>
    <row r="3708" spans="1:5">
      <c r="A3708" s="40">
        <v>55117</v>
      </c>
      <c r="B3708" s="40">
        <v>0</v>
      </c>
      <c r="C3708" s="40" t="s">
        <v>10920</v>
      </c>
      <c r="D3708" s="40" t="s">
        <v>5236</v>
      </c>
      <c r="E3708" s="42" t="s">
        <v>10722</v>
      </c>
    </row>
    <row r="3709" spans="1:5">
      <c r="A3709" s="40">
        <v>55118</v>
      </c>
      <c r="B3709" s="40">
        <v>0</v>
      </c>
      <c r="C3709" s="40" t="s">
        <v>10918</v>
      </c>
      <c r="D3709" s="40" t="s">
        <v>5237</v>
      </c>
      <c r="E3709" s="42" t="s">
        <v>10720</v>
      </c>
    </row>
    <row r="3710" spans="1:5">
      <c r="A3710" s="40">
        <v>55119</v>
      </c>
      <c r="B3710" s="40">
        <v>0</v>
      </c>
      <c r="C3710" s="40" t="s">
        <v>10919</v>
      </c>
      <c r="D3710" s="40" t="s">
        <v>5238</v>
      </c>
      <c r="E3710" s="42" t="s">
        <v>10721</v>
      </c>
    </row>
    <row r="3711" spans="1:5">
      <c r="A3711" s="40">
        <v>55120</v>
      </c>
      <c r="B3711" s="40">
        <v>0</v>
      </c>
      <c r="C3711" s="40" t="s">
        <v>10920</v>
      </c>
      <c r="D3711" s="40" t="s">
        <v>5239</v>
      </c>
      <c r="E3711" s="42" t="s">
        <v>10722</v>
      </c>
    </row>
    <row r="3712" spans="1:5">
      <c r="A3712" s="40">
        <v>55121</v>
      </c>
      <c r="B3712" s="40">
        <v>0</v>
      </c>
      <c r="C3712" s="40" t="s">
        <v>10921</v>
      </c>
      <c r="D3712" s="40" t="s">
        <v>5240</v>
      </c>
      <c r="E3712" s="42" t="s">
        <v>10723</v>
      </c>
    </row>
    <row r="3713" spans="1:5">
      <c r="A3713" s="40">
        <v>55122</v>
      </c>
      <c r="B3713" s="40">
        <v>0</v>
      </c>
      <c r="C3713" s="40" t="s">
        <v>10922</v>
      </c>
      <c r="D3713" s="40" t="s">
        <v>5241</v>
      </c>
      <c r="E3713" s="42" t="s">
        <v>10724</v>
      </c>
    </row>
    <row r="3714" spans="1:5">
      <c r="A3714" s="40">
        <v>55123</v>
      </c>
      <c r="B3714" s="40">
        <v>0</v>
      </c>
      <c r="C3714" s="40" t="s">
        <v>10923</v>
      </c>
      <c r="D3714" s="40" t="s">
        <v>5242</v>
      </c>
      <c r="E3714" s="42" t="s">
        <v>10725</v>
      </c>
    </row>
    <row r="3715" spans="1:5">
      <c r="A3715" s="40">
        <v>55124</v>
      </c>
      <c r="B3715" s="40">
        <v>0</v>
      </c>
      <c r="C3715" s="40" t="s">
        <v>10921</v>
      </c>
      <c r="D3715" s="40" t="s">
        <v>5243</v>
      </c>
      <c r="E3715" s="42" t="s">
        <v>10723</v>
      </c>
    </row>
    <row r="3716" spans="1:5">
      <c r="A3716" s="40">
        <v>55125</v>
      </c>
      <c r="B3716" s="40">
        <v>0</v>
      </c>
      <c r="C3716" s="40" t="s">
        <v>10922</v>
      </c>
      <c r="D3716" s="40" t="s">
        <v>5244</v>
      </c>
      <c r="E3716" s="42" t="s">
        <v>10724</v>
      </c>
    </row>
    <row r="3717" spans="1:5">
      <c r="A3717" s="40">
        <v>55126</v>
      </c>
      <c r="B3717" s="40">
        <v>0</v>
      </c>
      <c r="C3717" s="40" t="s">
        <v>10923</v>
      </c>
      <c r="D3717" s="40" t="s">
        <v>5245</v>
      </c>
      <c r="E3717" s="42" t="s">
        <v>10725</v>
      </c>
    </row>
    <row r="3718" spans="1:5">
      <c r="A3718" s="40">
        <v>55127</v>
      </c>
      <c r="B3718" s="40">
        <v>0</v>
      </c>
      <c r="C3718" s="40" t="s">
        <v>10924</v>
      </c>
      <c r="D3718" s="40" t="s">
        <v>5246</v>
      </c>
      <c r="E3718" s="42" t="s">
        <v>10726</v>
      </c>
    </row>
    <row r="3719" spans="1:5">
      <c r="A3719" s="40">
        <v>55128</v>
      </c>
      <c r="B3719" s="40">
        <v>0</v>
      </c>
      <c r="C3719" s="40" t="s">
        <v>10925</v>
      </c>
      <c r="D3719" s="40" t="s">
        <v>5247</v>
      </c>
      <c r="E3719" s="42" t="s">
        <v>10727</v>
      </c>
    </row>
    <row r="3720" spans="1:5">
      <c r="A3720" s="40">
        <v>55129</v>
      </c>
      <c r="B3720" s="40">
        <v>0</v>
      </c>
      <c r="C3720" s="40" t="s">
        <v>10926</v>
      </c>
      <c r="D3720" s="40" t="s">
        <v>5248</v>
      </c>
      <c r="E3720" s="42" t="s">
        <v>10728</v>
      </c>
    </row>
    <row r="3721" spans="1:5">
      <c r="A3721" s="40">
        <v>55130</v>
      </c>
      <c r="B3721" s="40">
        <v>0</v>
      </c>
      <c r="C3721" s="40" t="s">
        <v>10924</v>
      </c>
      <c r="D3721" s="40" t="s">
        <v>5249</v>
      </c>
      <c r="E3721" s="42" t="s">
        <v>10726</v>
      </c>
    </row>
    <row r="3722" spans="1:5">
      <c r="A3722" s="40">
        <v>55131</v>
      </c>
      <c r="B3722" s="40">
        <v>0</v>
      </c>
      <c r="C3722" s="40" t="s">
        <v>10925</v>
      </c>
      <c r="D3722" s="40" t="s">
        <v>5250</v>
      </c>
      <c r="E3722" s="42" t="s">
        <v>10727</v>
      </c>
    </row>
    <row r="3723" spans="1:5">
      <c r="A3723" s="40">
        <v>55132</v>
      </c>
      <c r="B3723" s="40">
        <v>0</v>
      </c>
      <c r="C3723" s="40" t="s">
        <v>10926</v>
      </c>
      <c r="D3723" s="40" t="s">
        <v>5251</v>
      </c>
      <c r="E3723" s="42" t="s">
        <v>10728</v>
      </c>
    </row>
    <row r="3724" spans="1:5">
      <c r="A3724" s="40">
        <v>55133</v>
      </c>
      <c r="B3724" s="40">
        <v>0</v>
      </c>
      <c r="C3724" s="40" t="s">
        <v>10927</v>
      </c>
      <c r="D3724" s="40" t="s">
        <v>5252</v>
      </c>
      <c r="E3724" s="42" t="s">
        <v>10729</v>
      </c>
    </row>
    <row r="3725" spans="1:5">
      <c r="A3725" s="40">
        <v>55134</v>
      </c>
      <c r="B3725" s="40">
        <v>0</v>
      </c>
      <c r="C3725" s="40" t="s">
        <v>10928</v>
      </c>
      <c r="D3725" s="40" t="s">
        <v>5253</v>
      </c>
      <c r="E3725" s="42" t="s">
        <v>10730</v>
      </c>
    </row>
    <row r="3726" spans="1:5">
      <c r="A3726" s="40">
        <v>55135</v>
      </c>
      <c r="B3726" s="40">
        <v>0</v>
      </c>
      <c r="C3726" s="40" t="s">
        <v>10929</v>
      </c>
      <c r="D3726" s="40" t="s">
        <v>5254</v>
      </c>
      <c r="E3726" s="42" t="s">
        <v>10731</v>
      </c>
    </row>
    <row r="3727" spans="1:5">
      <c r="A3727" s="40">
        <v>55136</v>
      </c>
      <c r="B3727" s="40">
        <v>0</v>
      </c>
      <c r="C3727" s="40" t="s">
        <v>10927</v>
      </c>
      <c r="D3727" s="40" t="s">
        <v>5255</v>
      </c>
      <c r="E3727" s="42" t="s">
        <v>10729</v>
      </c>
    </row>
    <row r="3728" spans="1:5">
      <c r="A3728" s="40">
        <v>55137</v>
      </c>
      <c r="B3728" s="40">
        <v>0</v>
      </c>
      <c r="C3728" s="40" t="s">
        <v>10928</v>
      </c>
      <c r="D3728" s="40" t="s">
        <v>5256</v>
      </c>
      <c r="E3728" s="42" t="s">
        <v>10730</v>
      </c>
    </row>
    <row r="3729" spans="1:5">
      <c r="A3729" s="40">
        <v>55138</v>
      </c>
      <c r="B3729" s="40">
        <v>0</v>
      </c>
      <c r="C3729" s="40" t="s">
        <v>10929</v>
      </c>
      <c r="D3729" s="40" t="s">
        <v>5257</v>
      </c>
      <c r="E3729" s="42" t="s">
        <v>10731</v>
      </c>
    </row>
    <row r="3730" spans="1:5">
      <c r="A3730" s="40">
        <v>55139</v>
      </c>
      <c r="B3730" s="40">
        <v>0</v>
      </c>
      <c r="C3730" s="40" t="s">
        <v>10930</v>
      </c>
      <c r="D3730" s="40" t="s">
        <v>5258</v>
      </c>
      <c r="E3730" s="42" t="s">
        <v>10732</v>
      </c>
    </row>
    <row r="3731" spans="1:5">
      <c r="A3731" s="40">
        <v>55140</v>
      </c>
      <c r="B3731" s="40">
        <v>0</v>
      </c>
      <c r="C3731" s="40" t="s">
        <v>10931</v>
      </c>
      <c r="D3731" s="40" t="s">
        <v>5259</v>
      </c>
      <c r="E3731" s="42" t="s">
        <v>10733</v>
      </c>
    </row>
    <row r="3732" spans="1:5">
      <c r="A3732" s="40">
        <v>55141</v>
      </c>
      <c r="B3732" s="40">
        <v>0</v>
      </c>
      <c r="C3732" s="40" t="s">
        <v>10932</v>
      </c>
      <c r="D3732" s="40" t="s">
        <v>5260</v>
      </c>
      <c r="E3732" s="42" t="s">
        <v>10734</v>
      </c>
    </row>
    <row r="3733" spans="1:5">
      <c r="A3733" s="40">
        <v>55142</v>
      </c>
      <c r="B3733" s="40">
        <v>0</v>
      </c>
      <c r="C3733" s="40" t="s">
        <v>10930</v>
      </c>
      <c r="D3733" s="40" t="s">
        <v>5261</v>
      </c>
      <c r="E3733" s="42" t="s">
        <v>10732</v>
      </c>
    </row>
    <row r="3734" spans="1:5">
      <c r="A3734" s="40">
        <v>55143</v>
      </c>
      <c r="B3734" s="40">
        <v>0</v>
      </c>
      <c r="C3734" s="40" t="s">
        <v>10931</v>
      </c>
      <c r="D3734" s="40" t="s">
        <v>5262</v>
      </c>
      <c r="E3734" s="42" t="s">
        <v>10733</v>
      </c>
    </row>
    <row r="3735" spans="1:5">
      <c r="A3735" s="40">
        <v>55144</v>
      </c>
      <c r="B3735" s="40">
        <v>0</v>
      </c>
      <c r="C3735" s="40" t="s">
        <v>10932</v>
      </c>
      <c r="D3735" s="40" t="s">
        <v>5263</v>
      </c>
      <c r="E3735" s="42" t="s">
        <v>10734</v>
      </c>
    </row>
    <row r="3736" spans="1:5">
      <c r="A3736" s="40">
        <v>55145</v>
      </c>
      <c r="B3736" s="40">
        <v>0</v>
      </c>
      <c r="C3736" s="40" t="s">
        <v>10933</v>
      </c>
      <c r="D3736" s="40" t="s">
        <v>5264</v>
      </c>
      <c r="E3736" s="42" t="s">
        <v>10735</v>
      </c>
    </row>
    <row r="3737" spans="1:5">
      <c r="A3737" s="40">
        <v>55146</v>
      </c>
      <c r="B3737" s="40">
        <v>0</v>
      </c>
      <c r="C3737" s="40" t="s">
        <v>10934</v>
      </c>
      <c r="D3737" s="40" t="s">
        <v>5265</v>
      </c>
      <c r="E3737" s="42" t="s">
        <v>10736</v>
      </c>
    </row>
    <row r="3738" spans="1:5">
      <c r="A3738" s="40">
        <v>55147</v>
      </c>
      <c r="B3738" s="40">
        <v>0</v>
      </c>
      <c r="C3738" s="40" t="s">
        <v>10935</v>
      </c>
      <c r="D3738" s="40" t="s">
        <v>5266</v>
      </c>
      <c r="E3738" s="42" t="s">
        <v>10737</v>
      </c>
    </row>
    <row r="3739" spans="1:5">
      <c r="A3739" s="40">
        <v>55148</v>
      </c>
      <c r="B3739" s="40">
        <v>0</v>
      </c>
      <c r="C3739" s="40" t="s">
        <v>10933</v>
      </c>
      <c r="D3739" s="40" t="s">
        <v>5267</v>
      </c>
      <c r="E3739" s="42" t="s">
        <v>10735</v>
      </c>
    </row>
    <row r="3740" spans="1:5">
      <c r="A3740" s="40">
        <v>55149</v>
      </c>
      <c r="B3740" s="40">
        <v>0</v>
      </c>
      <c r="C3740" s="40" t="s">
        <v>10934</v>
      </c>
      <c r="D3740" s="40" t="s">
        <v>5268</v>
      </c>
      <c r="E3740" s="42" t="s">
        <v>10736</v>
      </c>
    </row>
    <row r="3741" spans="1:5">
      <c r="A3741" s="40">
        <v>55150</v>
      </c>
      <c r="B3741" s="40">
        <v>0</v>
      </c>
      <c r="C3741" s="40" t="s">
        <v>10935</v>
      </c>
      <c r="D3741" s="40" t="s">
        <v>5269</v>
      </c>
      <c r="E3741" s="42" t="s">
        <v>10737</v>
      </c>
    </row>
    <row r="3742" spans="1:5">
      <c r="A3742" s="40">
        <v>55151</v>
      </c>
      <c r="B3742" s="40">
        <v>0</v>
      </c>
      <c r="C3742" s="40" t="s">
        <v>10936</v>
      </c>
      <c r="D3742" s="40" t="s">
        <v>5270</v>
      </c>
      <c r="E3742" s="42" t="s">
        <v>10738</v>
      </c>
    </row>
    <row r="3743" spans="1:5">
      <c r="A3743" s="40">
        <v>55152</v>
      </c>
      <c r="B3743" s="40">
        <v>0</v>
      </c>
      <c r="C3743" s="40" t="s">
        <v>10937</v>
      </c>
      <c r="D3743" s="40" t="s">
        <v>5271</v>
      </c>
      <c r="E3743" s="42" t="s">
        <v>10739</v>
      </c>
    </row>
    <row r="3744" spans="1:5">
      <c r="A3744" s="40">
        <v>55153</v>
      </c>
      <c r="B3744" s="40">
        <v>0</v>
      </c>
      <c r="C3744" s="40" t="s">
        <v>10938</v>
      </c>
      <c r="D3744" s="40" t="s">
        <v>5272</v>
      </c>
      <c r="E3744" s="42" t="s">
        <v>10740</v>
      </c>
    </row>
    <row r="3745" spans="1:5">
      <c r="A3745" s="40">
        <v>55154</v>
      </c>
      <c r="B3745" s="40">
        <v>0</v>
      </c>
      <c r="C3745" s="40" t="s">
        <v>10936</v>
      </c>
      <c r="D3745" s="40" t="s">
        <v>5273</v>
      </c>
      <c r="E3745" s="42" t="s">
        <v>10738</v>
      </c>
    </row>
    <row r="3746" spans="1:5">
      <c r="A3746" s="40">
        <v>55155</v>
      </c>
      <c r="B3746" s="40">
        <v>0</v>
      </c>
      <c r="C3746" s="40" t="s">
        <v>10937</v>
      </c>
      <c r="D3746" s="40" t="s">
        <v>5274</v>
      </c>
      <c r="E3746" s="42" t="s">
        <v>10739</v>
      </c>
    </row>
    <row r="3747" spans="1:5">
      <c r="A3747" s="40">
        <v>55156</v>
      </c>
      <c r="B3747" s="40">
        <v>0</v>
      </c>
      <c r="C3747" s="40" t="s">
        <v>10938</v>
      </c>
      <c r="D3747" s="40" t="s">
        <v>5275</v>
      </c>
      <c r="E3747" s="42" t="s">
        <v>10740</v>
      </c>
    </row>
    <row r="3748" spans="1:5">
      <c r="A3748" s="40">
        <v>55157</v>
      </c>
      <c r="B3748" s="40">
        <v>0</v>
      </c>
      <c r="C3748" s="40" t="s">
        <v>10939</v>
      </c>
      <c r="D3748" s="40" t="s">
        <v>5276</v>
      </c>
      <c r="E3748" s="42" t="s">
        <v>10741</v>
      </c>
    </row>
    <row r="3749" spans="1:5">
      <c r="A3749" s="40">
        <v>55158</v>
      </c>
      <c r="B3749" s="40">
        <v>0</v>
      </c>
      <c r="C3749" s="40" t="s">
        <v>10940</v>
      </c>
      <c r="D3749" s="40" t="s">
        <v>5277</v>
      </c>
      <c r="E3749" s="42" t="s">
        <v>10742</v>
      </c>
    </row>
    <row r="3750" spans="1:5">
      <c r="A3750" s="40">
        <v>55159</v>
      </c>
      <c r="B3750" s="40">
        <v>0</v>
      </c>
      <c r="C3750" s="40" t="s">
        <v>10941</v>
      </c>
      <c r="D3750" s="40" t="s">
        <v>5278</v>
      </c>
      <c r="E3750" s="42" t="s">
        <v>10743</v>
      </c>
    </row>
    <row r="3751" spans="1:5">
      <c r="A3751" s="40">
        <v>55160</v>
      </c>
      <c r="B3751" s="40">
        <v>0</v>
      </c>
      <c r="C3751" s="40" t="s">
        <v>10939</v>
      </c>
      <c r="D3751" s="40" t="s">
        <v>5279</v>
      </c>
      <c r="E3751" s="42" t="s">
        <v>10741</v>
      </c>
    </row>
    <row r="3752" spans="1:5">
      <c r="A3752" s="40">
        <v>55161</v>
      </c>
      <c r="B3752" s="40">
        <v>0</v>
      </c>
      <c r="C3752" s="40" t="s">
        <v>10940</v>
      </c>
      <c r="D3752" s="40" t="s">
        <v>5280</v>
      </c>
      <c r="E3752" s="42" t="s">
        <v>10742</v>
      </c>
    </row>
    <row r="3753" spans="1:5">
      <c r="A3753" s="40">
        <v>55162</v>
      </c>
      <c r="B3753" s="40">
        <v>0</v>
      </c>
      <c r="C3753" s="40" t="s">
        <v>10941</v>
      </c>
      <c r="D3753" s="40" t="s">
        <v>5281</v>
      </c>
      <c r="E3753" s="42" t="s">
        <v>10743</v>
      </c>
    </row>
    <row r="3754" spans="1:5">
      <c r="A3754" s="40">
        <v>55163</v>
      </c>
      <c r="B3754" s="40">
        <v>0</v>
      </c>
      <c r="C3754" s="40" t="s">
        <v>10942</v>
      </c>
      <c r="D3754" s="40" t="s">
        <v>5282</v>
      </c>
      <c r="E3754" s="42" t="s">
        <v>10744</v>
      </c>
    </row>
    <row r="3755" spans="1:5">
      <c r="A3755" s="40">
        <v>55164</v>
      </c>
      <c r="B3755" s="40">
        <v>0</v>
      </c>
      <c r="C3755" s="40" t="s">
        <v>10943</v>
      </c>
      <c r="D3755" s="40" t="s">
        <v>5283</v>
      </c>
      <c r="E3755" s="42" t="s">
        <v>10745</v>
      </c>
    </row>
    <row r="3756" spans="1:5">
      <c r="A3756" s="40">
        <v>55165</v>
      </c>
      <c r="B3756" s="40">
        <v>0</v>
      </c>
      <c r="C3756" s="40" t="s">
        <v>10944</v>
      </c>
      <c r="D3756" s="40" t="s">
        <v>5284</v>
      </c>
      <c r="E3756" s="42" t="s">
        <v>10746</v>
      </c>
    </row>
    <row r="3757" spans="1:5">
      <c r="A3757" s="40">
        <v>55166</v>
      </c>
      <c r="B3757" s="40">
        <v>0</v>
      </c>
      <c r="C3757" s="40" t="s">
        <v>10942</v>
      </c>
      <c r="D3757" s="40" t="s">
        <v>5285</v>
      </c>
      <c r="E3757" s="42" t="s">
        <v>10744</v>
      </c>
    </row>
    <row r="3758" spans="1:5">
      <c r="A3758" s="40">
        <v>55167</v>
      </c>
      <c r="B3758" s="40">
        <v>0</v>
      </c>
      <c r="C3758" s="40" t="s">
        <v>10943</v>
      </c>
      <c r="D3758" s="40" t="s">
        <v>5286</v>
      </c>
      <c r="E3758" s="42" t="s">
        <v>10745</v>
      </c>
    </row>
    <row r="3759" spans="1:5">
      <c r="A3759" s="40">
        <v>55168</v>
      </c>
      <c r="B3759" s="40">
        <v>0</v>
      </c>
      <c r="C3759" s="40" t="s">
        <v>10944</v>
      </c>
      <c r="D3759" s="40" t="s">
        <v>5287</v>
      </c>
      <c r="E3759" s="42" t="s">
        <v>10746</v>
      </c>
    </row>
    <row r="3760" spans="1:5">
      <c r="A3760" s="40">
        <v>55169</v>
      </c>
      <c r="B3760" s="40">
        <v>0</v>
      </c>
      <c r="C3760" s="40" t="s">
        <v>10945</v>
      </c>
      <c r="D3760" s="40" t="s">
        <v>5288</v>
      </c>
      <c r="E3760" s="42" t="s">
        <v>10747</v>
      </c>
    </row>
    <row r="3761" spans="1:5">
      <c r="A3761" s="40">
        <v>55170</v>
      </c>
      <c r="B3761" s="40">
        <v>0</v>
      </c>
      <c r="C3761" s="40" t="s">
        <v>10946</v>
      </c>
      <c r="D3761" s="40" t="s">
        <v>5289</v>
      </c>
      <c r="E3761" s="42" t="s">
        <v>10748</v>
      </c>
    </row>
    <row r="3762" spans="1:5">
      <c r="A3762" s="40">
        <v>55171</v>
      </c>
      <c r="B3762" s="40">
        <v>0</v>
      </c>
      <c r="C3762" s="40" t="s">
        <v>10947</v>
      </c>
      <c r="D3762" s="40" t="s">
        <v>5290</v>
      </c>
      <c r="E3762" s="42" t="s">
        <v>10749</v>
      </c>
    </row>
    <row r="3763" spans="1:5">
      <c r="A3763" s="40">
        <v>55172</v>
      </c>
      <c r="B3763" s="40">
        <v>0</v>
      </c>
      <c r="C3763" s="40" t="s">
        <v>10945</v>
      </c>
      <c r="D3763" s="40" t="s">
        <v>5291</v>
      </c>
      <c r="E3763" s="42" t="s">
        <v>10747</v>
      </c>
    </row>
    <row r="3764" spans="1:5">
      <c r="A3764" s="40">
        <v>55173</v>
      </c>
      <c r="B3764" s="40">
        <v>0</v>
      </c>
      <c r="C3764" s="40" t="s">
        <v>10946</v>
      </c>
      <c r="D3764" s="40" t="s">
        <v>5292</v>
      </c>
      <c r="E3764" s="42" t="s">
        <v>10748</v>
      </c>
    </row>
    <row r="3765" spans="1:5">
      <c r="A3765" s="40">
        <v>55174</v>
      </c>
      <c r="B3765" s="40">
        <v>0</v>
      </c>
      <c r="C3765" s="40" t="s">
        <v>10947</v>
      </c>
      <c r="D3765" s="40" t="s">
        <v>5293</v>
      </c>
      <c r="E3765" s="42" t="s">
        <v>10749</v>
      </c>
    </row>
    <row r="3766" spans="1:5">
      <c r="A3766" s="40">
        <v>55175</v>
      </c>
      <c r="B3766" s="40">
        <v>0</v>
      </c>
      <c r="C3766" s="40" t="s">
        <v>10948</v>
      </c>
      <c r="D3766" s="40" t="s">
        <v>5294</v>
      </c>
      <c r="E3766" s="42" t="s">
        <v>10750</v>
      </c>
    </row>
    <row r="3767" spans="1:5">
      <c r="A3767" s="40">
        <v>55176</v>
      </c>
      <c r="B3767" s="40">
        <v>0</v>
      </c>
      <c r="C3767" s="40" t="s">
        <v>10949</v>
      </c>
      <c r="D3767" s="40" t="s">
        <v>5295</v>
      </c>
      <c r="E3767" s="42" t="s">
        <v>10751</v>
      </c>
    </row>
    <row r="3768" spans="1:5">
      <c r="A3768" s="40">
        <v>55177</v>
      </c>
      <c r="B3768" s="40">
        <v>0</v>
      </c>
      <c r="C3768" s="40" t="s">
        <v>10950</v>
      </c>
      <c r="D3768" s="40" t="s">
        <v>5296</v>
      </c>
      <c r="E3768" s="42" t="s">
        <v>10752</v>
      </c>
    </row>
    <row r="3769" spans="1:5">
      <c r="A3769" s="40">
        <v>55178</v>
      </c>
      <c r="B3769" s="40">
        <v>0</v>
      </c>
      <c r="C3769" s="40" t="s">
        <v>10948</v>
      </c>
      <c r="D3769" s="40" t="s">
        <v>5297</v>
      </c>
      <c r="E3769" s="42" t="s">
        <v>10750</v>
      </c>
    </row>
    <row r="3770" spans="1:5">
      <c r="A3770" s="40">
        <v>55179</v>
      </c>
      <c r="B3770" s="40">
        <v>0</v>
      </c>
      <c r="C3770" s="40" t="s">
        <v>10949</v>
      </c>
      <c r="D3770" s="40" t="s">
        <v>5298</v>
      </c>
      <c r="E3770" s="42" t="s">
        <v>10751</v>
      </c>
    </row>
    <row r="3771" spans="1:5">
      <c r="A3771" s="40">
        <v>55180</v>
      </c>
      <c r="B3771" s="40">
        <v>0</v>
      </c>
      <c r="C3771" s="40" t="s">
        <v>10950</v>
      </c>
      <c r="D3771" s="40" t="s">
        <v>5299</v>
      </c>
      <c r="E3771" s="42" t="s">
        <v>10752</v>
      </c>
    </row>
    <row r="3772" spans="1:5">
      <c r="A3772" s="40">
        <v>55181</v>
      </c>
      <c r="B3772" s="40">
        <v>0</v>
      </c>
      <c r="C3772" s="40" t="s">
        <v>10951</v>
      </c>
      <c r="D3772" s="40" t="s">
        <v>5300</v>
      </c>
      <c r="E3772" s="42" t="s">
        <v>10753</v>
      </c>
    </row>
    <row r="3773" spans="1:5">
      <c r="A3773" s="40">
        <v>55182</v>
      </c>
      <c r="B3773" s="40">
        <v>0</v>
      </c>
      <c r="C3773" s="40" t="s">
        <v>10952</v>
      </c>
      <c r="D3773" s="40" t="s">
        <v>5301</v>
      </c>
      <c r="E3773" s="42" t="s">
        <v>10754</v>
      </c>
    </row>
    <row r="3774" spans="1:5">
      <c r="A3774" s="40">
        <v>55183</v>
      </c>
      <c r="B3774" s="40">
        <v>0</v>
      </c>
      <c r="C3774" s="40" t="s">
        <v>10953</v>
      </c>
      <c r="D3774" s="40" t="s">
        <v>5302</v>
      </c>
      <c r="E3774" s="42" t="s">
        <v>10755</v>
      </c>
    </row>
    <row r="3775" spans="1:5">
      <c r="A3775" s="40">
        <v>55184</v>
      </c>
      <c r="B3775" s="40">
        <v>0</v>
      </c>
      <c r="C3775" s="40" t="s">
        <v>10951</v>
      </c>
      <c r="D3775" s="40" t="s">
        <v>5303</v>
      </c>
      <c r="E3775" s="42" t="s">
        <v>10753</v>
      </c>
    </row>
    <row r="3776" spans="1:5">
      <c r="A3776" s="40">
        <v>55185</v>
      </c>
      <c r="B3776" s="40">
        <v>0</v>
      </c>
      <c r="C3776" s="40" t="s">
        <v>10952</v>
      </c>
      <c r="D3776" s="40" t="s">
        <v>5304</v>
      </c>
      <c r="E3776" s="42" t="s">
        <v>10754</v>
      </c>
    </row>
    <row r="3777" spans="1:5">
      <c r="A3777" s="40">
        <v>55186</v>
      </c>
      <c r="B3777" s="40">
        <v>0</v>
      </c>
      <c r="C3777" s="40" t="s">
        <v>10953</v>
      </c>
      <c r="D3777" s="40" t="s">
        <v>5305</v>
      </c>
      <c r="E3777" s="42" t="s">
        <v>10755</v>
      </c>
    </row>
    <row r="3778" spans="1:5">
      <c r="A3778" s="40">
        <v>55187</v>
      </c>
      <c r="B3778" s="40">
        <v>0</v>
      </c>
      <c r="C3778" s="40" t="s">
        <v>10954</v>
      </c>
      <c r="D3778" s="40" t="s">
        <v>5306</v>
      </c>
      <c r="E3778" s="42" t="s">
        <v>10756</v>
      </c>
    </row>
    <row r="3779" spans="1:5">
      <c r="A3779" s="40">
        <v>55188</v>
      </c>
      <c r="B3779" s="40">
        <v>0</v>
      </c>
      <c r="C3779" s="40" t="s">
        <v>10955</v>
      </c>
      <c r="D3779" s="40" t="s">
        <v>5307</v>
      </c>
      <c r="E3779" s="42" t="s">
        <v>10757</v>
      </c>
    </row>
    <row r="3780" spans="1:5">
      <c r="A3780" s="40">
        <v>55189</v>
      </c>
      <c r="B3780" s="40">
        <v>0</v>
      </c>
      <c r="C3780" s="40" t="s">
        <v>10956</v>
      </c>
      <c r="D3780" s="40" t="s">
        <v>5308</v>
      </c>
      <c r="E3780" s="42" t="s">
        <v>10758</v>
      </c>
    </row>
    <row r="3781" spans="1:5">
      <c r="A3781" s="40">
        <v>55190</v>
      </c>
      <c r="B3781" s="40">
        <v>0</v>
      </c>
      <c r="C3781" s="40" t="s">
        <v>10954</v>
      </c>
      <c r="D3781" s="40" t="s">
        <v>5309</v>
      </c>
      <c r="E3781" s="42" t="s">
        <v>10756</v>
      </c>
    </row>
    <row r="3782" spans="1:5">
      <c r="A3782" s="40">
        <v>55191</v>
      </c>
      <c r="B3782" s="40">
        <v>0</v>
      </c>
      <c r="C3782" s="40" t="s">
        <v>10955</v>
      </c>
      <c r="D3782" s="40" t="s">
        <v>5310</v>
      </c>
      <c r="E3782" s="42" t="s">
        <v>10757</v>
      </c>
    </row>
    <row r="3783" spans="1:5">
      <c r="A3783" s="40">
        <v>55192</v>
      </c>
      <c r="B3783" s="40">
        <v>0</v>
      </c>
      <c r="C3783" s="40" t="s">
        <v>10956</v>
      </c>
      <c r="D3783" s="40" t="s">
        <v>5311</v>
      </c>
      <c r="E3783" s="42" t="s">
        <v>10758</v>
      </c>
    </row>
    <row r="3784" spans="1:5">
      <c r="A3784" s="40">
        <v>55193</v>
      </c>
      <c r="B3784" s="40">
        <v>0</v>
      </c>
      <c r="C3784" s="40" t="s">
        <v>10957</v>
      </c>
      <c r="D3784" s="40" t="s">
        <v>5312</v>
      </c>
      <c r="E3784" s="42" t="s">
        <v>10759</v>
      </c>
    </row>
    <row r="3785" spans="1:5">
      <c r="A3785" s="40">
        <v>55194</v>
      </c>
      <c r="B3785" s="40">
        <v>0</v>
      </c>
      <c r="C3785" s="40" t="s">
        <v>10958</v>
      </c>
      <c r="D3785" s="40" t="s">
        <v>5313</v>
      </c>
      <c r="E3785" s="42" t="s">
        <v>10760</v>
      </c>
    </row>
    <row r="3786" spans="1:5">
      <c r="A3786" s="40">
        <v>55195</v>
      </c>
      <c r="B3786" s="40">
        <v>0</v>
      </c>
      <c r="C3786" s="40" t="s">
        <v>10959</v>
      </c>
      <c r="D3786" s="40" t="s">
        <v>5314</v>
      </c>
      <c r="E3786" s="42" t="s">
        <v>10761</v>
      </c>
    </row>
    <row r="3787" spans="1:5">
      <c r="A3787" s="40">
        <v>55196</v>
      </c>
      <c r="B3787" s="40">
        <v>0</v>
      </c>
      <c r="C3787" s="40" t="s">
        <v>10957</v>
      </c>
      <c r="D3787" s="40" t="s">
        <v>5315</v>
      </c>
      <c r="E3787" s="42" t="s">
        <v>10759</v>
      </c>
    </row>
    <row r="3788" spans="1:5">
      <c r="A3788" s="40">
        <v>55197</v>
      </c>
      <c r="B3788" s="40">
        <v>0</v>
      </c>
      <c r="C3788" s="40" t="s">
        <v>10958</v>
      </c>
      <c r="D3788" s="40" t="s">
        <v>5316</v>
      </c>
      <c r="E3788" s="42" t="s">
        <v>10760</v>
      </c>
    </row>
    <row r="3789" spans="1:5">
      <c r="A3789" s="40">
        <v>55198</v>
      </c>
      <c r="B3789" s="40">
        <v>0</v>
      </c>
      <c r="C3789" s="40" t="s">
        <v>10959</v>
      </c>
      <c r="D3789" s="40" t="s">
        <v>5317</v>
      </c>
      <c r="E3789" s="42" t="s">
        <v>10761</v>
      </c>
    </row>
    <row r="3790" spans="1:5">
      <c r="A3790" s="40">
        <v>55199</v>
      </c>
      <c r="B3790" s="40">
        <v>0</v>
      </c>
      <c r="C3790" s="40" t="s">
        <v>10960</v>
      </c>
      <c r="D3790" s="40" t="s">
        <v>5318</v>
      </c>
      <c r="E3790" s="42" t="s">
        <v>10762</v>
      </c>
    </row>
    <row r="3791" spans="1:5">
      <c r="A3791" s="40">
        <v>55200</v>
      </c>
      <c r="B3791" s="40">
        <v>0</v>
      </c>
      <c r="C3791" s="40" t="s">
        <v>10961</v>
      </c>
      <c r="D3791" s="40" t="s">
        <v>5319</v>
      </c>
      <c r="E3791" s="42" t="s">
        <v>10763</v>
      </c>
    </row>
    <row r="3792" spans="1:5">
      <c r="A3792" s="40">
        <v>55201</v>
      </c>
      <c r="B3792" s="40">
        <v>0</v>
      </c>
      <c r="C3792" s="40" t="s">
        <v>10962</v>
      </c>
      <c r="D3792" s="40" t="s">
        <v>5320</v>
      </c>
      <c r="E3792" s="42" t="s">
        <v>10764</v>
      </c>
    </row>
    <row r="3793" spans="1:5">
      <c r="A3793" s="40">
        <v>55202</v>
      </c>
      <c r="B3793" s="40">
        <v>0</v>
      </c>
      <c r="C3793" s="40" t="s">
        <v>10960</v>
      </c>
      <c r="D3793" s="40" t="s">
        <v>5321</v>
      </c>
      <c r="E3793" s="42" t="s">
        <v>10762</v>
      </c>
    </row>
    <row r="3794" spans="1:5">
      <c r="A3794" s="40">
        <v>55203</v>
      </c>
      <c r="B3794" s="40">
        <v>0</v>
      </c>
      <c r="C3794" s="40" t="s">
        <v>10961</v>
      </c>
      <c r="D3794" s="40" t="s">
        <v>5322</v>
      </c>
      <c r="E3794" s="42" t="s">
        <v>10763</v>
      </c>
    </row>
    <row r="3795" spans="1:5">
      <c r="A3795" s="40">
        <v>55204</v>
      </c>
      <c r="B3795" s="40">
        <v>0</v>
      </c>
      <c r="C3795" s="40" t="s">
        <v>10962</v>
      </c>
      <c r="D3795" s="40" t="s">
        <v>5323</v>
      </c>
      <c r="E3795" s="42" t="s">
        <v>10764</v>
      </c>
    </row>
    <row r="3796" spans="1:5">
      <c r="A3796" s="40">
        <v>55205</v>
      </c>
      <c r="B3796" s="40">
        <v>0</v>
      </c>
      <c r="C3796" s="40" t="s">
        <v>10963</v>
      </c>
      <c r="D3796" s="40" t="s">
        <v>5324</v>
      </c>
      <c r="E3796" s="42" t="s">
        <v>10765</v>
      </c>
    </row>
    <row r="3797" spans="1:5">
      <c r="A3797" s="40">
        <v>55206</v>
      </c>
      <c r="B3797" s="40">
        <v>0</v>
      </c>
      <c r="C3797" s="40" t="s">
        <v>10964</v>
      </c>
      <c r="D3797" s="40" t="s">
        <v>5325</v>
      </c>
      <c r="E3797" s="42" t="s">
        <v>10766</v>
      </c>
    </row>
    <row r="3798" spans="1:5">
      <c r="A3798" s="40">
        <v>55207</v>
      </c>
      <c r="B3798" s="40">
        <v>0</v>
      </c>
      <c r="C3798" s="40" t="s">
        <v>10965</v>
      </c>
      <c r="D3798" s="40" t="s">
        <v>5326</v>
      </c>
      <c r="E3798" s="42" t="s">
        <v>10767</v>
      </c>
    </row>
    <row r="3799" spans="1:5">
      <c r="A3799" s="40">
        <v>55208</v>
      </c>
      <c r="B3799" s="40">
        <v>0</v>
      </c>
      <c r="C3799" s="40" t="s">
        <v>10963</v>
      </c>
      <c r="D3799" s="40" t="s">
        <v>5327</v>
      </c>
      <c r="E3799" s="42" t="s">
        <v>10765</v>
      </c>
    </row>
    <row r="3800" spans="1:5">
      <c r="A3800" s="40">
        <v>55209</v>
      </c>
      <c r="B3800" s="40">
        <v>0</v>
      </c>
      <c r="C3800" s="40" t="s">
        <v>10964</v>
      </c>
      <c r="D3800" s="40" t="s">
        <v>5328</v>
      </c>
      <c r="E3800" s="42" t="s">
        <v>10766</v>
      </c>
    </row>
    <row r="3801" spans="1:5">
      <c r="A3801" s="40">
        <v>55210</v>
      </c>
      <c r="B3801" s="40">
        <v>0</v>
      </c>
      <c r="C3801" s="40" t="s">
        <v>10965</v>
      </c>
      <c r="D3801" s="40" t="s">
        <v>5329</v>
      </c>
      <c r="E3801" s="42" t="s">
        <v>10767</v>
      </c>
    </row>
    <row r="3802" spans="1:5">
      <c r="A3802" s="40">
        <v>55211</v>
      </c>
      <c r="B3802" s="40">
        <v>0</v>
      </c>
      <c r="C3802" s="40" t="s">
        <v>10966</v>
      </c>
      <c r="D3802" s="40" t="s">
        <v>5330</v>
      </c>
      <c r="E3802" s="42" t="s">
        <v>10768</v>
      </c>
    </row>
    <row r="3803" spans="1:5">
      <c r="A3803" s="40">
        <v>55212</v>
      </c>
      <c r="B3803" s="40">
        <v>0</v>
      </c>
      <c r="C3803" s="40" t="s">
        <v>10967</v>
      </c>
      <c r="D3803" s="40" t="s">
        <v>5331</v>
      </c>
      <c r="E3803" s="42" t="s">
        <v>10769</v>
      </c>
    </row>
    <row r="3804" spans="1:5">
      <c r="A3804" s="40">
        <v>55213</v>
      </c>
      <c r="B3804" s="40">
        <v>0</v>
      </c>
      <c r="C3804" s="40" t="s">
        <v>10968</v>
      </c>
      <c r="D3804" s="40" t="s">
        <v>5332</v>
      </c>
      <c r="E3804" s="42" t="s">
        <v>10770</v>
      </c>
    </row>
    <row r="3805" spans="1:5">
      <c r="A3805" s="40">
        <v>55214</v>
      </c>
      <c r="B3805" s="40">
        <v>0</v>
      </c>
      <c r="C3805" s="40" t="s">
        <v>10966</v>
      </c>
      <c r="D3805" s="40" t="s">
        <v>5333</v>
      </c>
      <c r="E3805" s="42" t="s">
        <v>10768</v>
      </c>
    </row>
    <row r="3806" spans="1:5">
      <c r="A3806" s="40">
        <v>55215</v>
      </c>
      <c r="B3806" s="40">
        <v>0</v>
      </c>
      <c r="C3806" s="40" t="s">
        <v>10967</v>
      </c>
      <c r="D3806" s="40" t="s">
        <v>5334</v>
      </c>
      <c r="E3806" s="42" t="s">
        <v>10769</v>
      </c>
    </row>
    <row r="3807" spans="1:5">
      <c r="A3807" s="40">
        <v>55216</v>
      </c>
      <c r="B3807" s="40">
        <v>0</v>
      </c>
      <c r="C3807" s="40" t="s">
        <v>10968</v>
      </c>
      <c r="D3807" s="40" t="s">
        <v>5335</v>
      </c>
      <c r="E3807" s="42" t="s">
        <v>10770</v>
      </c>
    </row>
    <row r="3808" spans="1:5">
      <c r="A3808" s="40">
        <v>55217</v>
      </c>
      <c r="B3808" s="40">
        <v>0</v>
      </c>
      <c r="C3808" s="40" t="s">
        <v>10969</v>
      </c>
      <c r="D3808" s="40" t="s">
        <v>5336</v>
      </c>
      <c r="E3808" s="42" t="s">
        <v>10771</v>
      </c>
    </row>
    <row r="3809" spans="1:5">
      <c r="A3809" s="40">
        <v>55218</v>
      </c>
      <c r="B3809" s="40">
        <v>0</v>
      </c>
      <c r="C3809" s="40" t="s">
        <v>10970</v>
      </c>
      <c r="D3809" s="40" t="s">
        <v>5337</v>
      </c>
      <c r="E3809" s="42" t="s">
        <v>10772</v>
      </c>
    </row>
    <row r="3810" spans="1:5">
      <c r="A3810" s="40">
        <v>55219</v>
      </c>
      <c r="B3810" s="40">
        <v>0</v>
      </c>
      <c r="C3810" s="40" t="s">
        <v>10971</v>
      </c>
      <c r="D3810" s="40" t="s">
        <v>5338</v>
      </c>
      <c r="E3810" s="42" t="s">
        <v>10773</v>
      </c>
    </row>
    <row r="3811" spans="1:5">
      <c r="A3811" s="40">
        <v>55220</v>
      </c>
      <c r="B3811" s="40">
        <v>0</v>
      </c>
      <c r="C3811" s="40" t="s">
        <v>10969</v>
      </c>
      <c r="D3811" s="40" t="s">
        <v>5339</v>
      </c>
      <c r="E3811" s="42" t="s">
        <v>10771</v>
      </c>
    </row>
    <row r="3812" spans="1:5">
      <c r="A3812" s="40">
        <v>55221</v>
      </c>
      <c r="B3812" s="40">
        <v>0</v>
      </c>
      <c r="C3812" s="40" t="s">
        <v>10970</v>
      </c>
      <c r="D3812" s="40" t="s">
        <v>5340</v>
      </c>
      <c r="E3812" s="42" t="s">
        <v>10772</v>
      </c>
    </row>
    <row r="3813" spans="1:5">
      <c r="A3813" s="40">
        <v>55222</v>
      </c>
      <c r="B3813" s="40">
        <v>0</v>
      </c>
      <c r="C3813" s="40" t="s">
        <v>10971</v>
      </c>
      <c r="D3813" s="40" t="s">
        <v>5341</v>
      </c>
      <c r="E3813" s="42" t="s">
        <v>10773</v>
      </c>
    </row>
    <row r="3814" spans="1:5">
      <c r="A3814" s="40">
        <v>55223</v>
      </c>
      <c r="B3814" s="40">
        <v>0</v>
      </c>
      <c r="C3814" s="40" t="s">
        <v>10972</v>
      </c>
      <c r="D3814" s="40" t="s">
        <v>5342</v>
      </c>
      <c r="E3814" s="42" t="s">
        <v>10774</v>
      </c>
    </row>
    <row r="3815" spans="1:5">
      <c r="A3815" s="40">
        <v>55224</v>
      </c>
      <c r="B3815" s="40">
        <v>0</v>
      </c>
      <c r="C3815" s="40" t="s">
        <v>10973</v>
      </c>
      <c r="D3815" s="40" t="s">
        <v>5343</v>
      </c>
      <c r="E3815" s="42" t="s">
        <v>10775</v>
      </c>
    </row>
    <row r="3816" spans="1:5">
      <c r="A3816" s="40">
        <v>55225</v>
      </c>
      <c r="B3816" s="40">
        <v>0</v>
      </c>
      <c r="C3816" s="40" t="s">
        <v>10974</v>
      </c>
      <c r="D3816" s="40" t="s">
        <v>5344</v>
      </c>
      <c r="E3816" s="42" t="s">
        <v>10776</v>
      </c>
    </row>
    <row r="3817" spans="1:5">
      <c r="A3817" s="40">
        <v>55226</v>
      </c>
      <c r="B3817" s="40">
        <v>0</v>
      </c>
      <c r="C3817" s="40" t="s">
        <v>10972</v>
      </c>
      <c r="D3817" s="40" t="s">
        <v>5345</v>
      </c>
      <c r="E3817" s="42" t="s">
        <v>10774</v>
      </c>
    </row>
    <row r="3818" spans="1:5">
      <c r="A3818" s="40">
        <v>55227</v>
      </c>
      <c r="B3818" s="40">
        <v>0</v>
      </c>
      <c r="C3818" s="40" t="s">
        <v>10973</v>
      </c>
      <c r="D3818" s="40" t="s">
        <v>5346</v>
      </c>
      <c r="E3818" s="42" t="s">
        <v>10775</v>
      </c>
    </row>
    <row r="3819" spans="1:5">
      <c r="A3819" s="40">
        <v>55228</v>
      </c>
      <c r="B3819" s="40">
        <v>0</v>
      </c>
      <c r="C3819" s="40" t="s">
        <v>10974</v>
      </c>
      <c r="D3819" s="40" t="s">
        <v>5347</v>
      </c>
      <c r="E3819" s="42" t="s">
        <v>10776</v>
      </c>
    </row>
    <row r="3820" spans="1:5">
      <c r="A3820" s="40">
        <v>55229</v>
      </c>
      <c r="B3820" s="40">
        <v>0</v>
      </c>
      <c r="C3820" s="40" t="s">
        <v>10975</v>
      </c>
      <c r="D3820" s="40" t="s">
        <v>5348</v>
      </c>
      <c r="E3820" s="42" t="s">
        <v>10777</v>
      </c>
    </row>
    <row r="3821" spans="1:5">
      <c r="A3821" s="40">
        <v>55230</v>
      </c>
      <c r="B3821" s="40">
        <v>0</v>
      </c>
      <c r="C3821" s="40" t="s">
        <v>10976</v>
      </c>
      <c r="D3821" s="40" t="s">
        <v>5349</v>
      </c>
      <c r="E3821" s="42" t="s">
        <v>10778</v>
      </c>
    </row>
    <row r="3822" spans="1:5">
      <c r="A3822" s="40">
        <v>55231</v>
      </c>
      <c r="B3822" s="40">
        <v>0</v>
      </c>
      <c r="C3822" s="40" t="s">
        <v>10977</v>
      </c>
      <c r="D3822" s="40" t="s">
        <v>5350</v>
      </c>
      <c r="E3822" s="42" t="s">
        <v>10779</v>
      </c>
    </row>
    <row r="3823" spans="1:5">
      <c r="A3823" s="40">
        <v>55232</v>
      </c>
      <c r="B3823" s="40">
        <v>0</v>
      </c>
      <c r="C3823" s="40" t="s">
        <v>10975</v>
      </c>
      <c r="D3823" s="40" t="s">
        <v>5351</v>
      </c>
      <c r="E3823" s="42" t="s">
        <v>10777</v>
      </c>
    </row>
    <row r="3824" spans="1:5">
      <c r="A3824" s="40">
        <v>55233</v>
      </c>
      <c r="B3824" s="40">
        <v>0</v>
      </c>
      <c r="C3824" s="40" t="s">
        <v>10976</v>
      </c>
      <c r="D3824" s="40" t="s">
        <v>5352</v>
      </c>
      <c r="E3824" s="42" t="s">
        <v>10778</v>
      </c>
    </row>
    <row r="3825" spans="1:5">
      <c r="A3825" s="40">
        <v>55234</v>
      </c>
      <c r="B3825" s="40">
        <v>0</v>
      </c>
      <c r="C3825" s="40" t="s">
        <v>10977</v>
      </c>
      <c r="D3825" s="40" t="s">
        <v>5353</v>
      </c>
      <c r="E3825" s="42" t="s">
        <v>10779</v>
      </c>
    </row>
    <row r="3826" spans="1:5">
      <c r="A3826" s="40">
        <v>55235</v>
      </c>
      <c r="B3826" s="40">
        <v>0</v>
      </c>
      <c r="C3826" s="40" t="s">
        <v>10978</v>
      </c>
      <c r="D3826" s="40" t="s">
        <v>5354</v>
      </c>
      <c r="E3826" s="42" t="s">
        <v>10780</v>
      </c>
    </row>
    <row r="3827" spans="1:5">
      <c r="A3827" s="40">
        <v>55236</v>
      </c>
      <c r="B3827" s="40">
        <v>0</v>
      </c>
      <c r="C3827" s="40" t="s">
        <v>10979</v>
      </c>
      <c r="D3827" s="40" t="s">
        <v>5355</v>
      </c>
      <c r="E3827" s="42" t="s">
        <v>10781</v>
      </c>
    </row>
    <row r="3828" spans="1:5">
      <c r="A3828" s="40">
        <v>55237</v>
      </c>
      <c r="B3828" s="40">
        <v>0</v>
      </c>
      <c r="C3828" s="40" t="s">
        <v>10980</v>
      </c>
      <c r="D3828" s="40" t="s">
        <v>5356</v>
      </c>
      <c r="E3828" s="42" t="s">
        <v>10782</v>
      </c>
    </row>
    <row r="3829" spans="1:5">
      <c r="A3829" s="40">
        <v>55238</v>
      </c>
      <c r="B3829" s="40">
        <v>0</v>
      </c>
      <c r="C3829" s="40" t="s">
        <v>10978</v>
      </c>
      <c r="D3829" s="40" t="s">
        <v>5357</v>
      </c>
      <c r="E3829" s="42" t="s">
        <v>10780</v>
      </c>
    </row>
    <row r="3830" spans="1:5">
      <c r="A3830" s="40">
        <v>55239</v>
      </c>
      <c r="B3830" s="40">
        <v>0</v>
      </c>
      <c r="C3830" s="40" t="s">
        <v>10979</v>
      </c>
      <c r="D3830" s="40" t="s">
        <v>5358</v>
      </c>
      <c r="E3830" s="42" t="s">
        <v>10781</v>
      </c>
    </row>
    <row r="3831" spans="1:5">
      <c r="A3831" s="40">
        <v>55240</v>
      </c>
      <c r="B3831" s="40">
        <v>0</v>
      </c>
      <c r="C3831" s="40" t="s">
        <v>10980</v>
      </c>
      <c r="D3831" s="40" t="s">
        <v>5359</v>
      </c>
      <c r="E3831" s="42" t="s">
        <v>10782</v>
      </c>
    </row>
    <row r="3832" spans="1:5">
      <c r="A3832" s="40">
        <v>55241</v>
      </c>
      <c r="B3832" s="40">
        <v>0</v>
      </c>
      <c r="C3832" s="40" t="s">
        <v>10981</v>
      </c>
      <c r="D3832" s="40" t="s">
        <v>5360</v>
      </c>
      <c r="E3832" s="42" t="s">
        <v>10783</v>
      </c>
    </row>
    <row r="3833" spans="1:5">
      <c r="A3833" s="40">
        <v>55242</v>
      </c>
      <c r="B3833" s="40">
        <v>0</v>
      </c>
      <c r="C3833" s="40" t="s">
        <v>10982</v>
      </c>
      <c r="D3833" s="40" t="s">
        <v>5361</v>
      </c>
      <c r="E3833" s="42" t="s">
        <v>10784</v>
      </c>
    </row>
    <row r="3834" spans="1:5">
      <c r="A3834" s="40">
        <v>55243</v>
      </c>
      <c r="B3834" s="40">
        <v>0</v>
      </c>
      <c r="C3834" s="40" t="s">
        <v>10983</v>
      </c>
      <c r="D3834" s="40" t="s">
        <v>5362</v>
      </c>
      <c r="E3834" s="42" t="s">
        <v>10785</v>
      </c>
    </row>
    <row r="3835" spans="1:5">
      <c r="A3835" s="40">
        <v>55244</v>
      </c>
      <c r="B3835" s="40">
        <v>0</v>
      </c>
      <c r="C3835" s="40" t="s">
        <v>10981</v>
      </c>
      <c r="D3835" s="40" t="s">
        <v>5363</v>
      </c>
      <c r="E3835" s="42" t="s">
        <v>10783</v>
      </c>
    </row>
    <row r="3836" spans="1:5">
      <c r="A3836" s="40">
        <v>55245</v>
      </c>
      <c r="B3836" s="40">
        <v>0</v>
      </c>
      <c r="C3836" s="40" t="s">
        <v>10982</v>
      </c>
      <c r="D3836" s="40" t="s">
        <v>5364</v>
      </c>
      <c r="E3836" s="42" t="s">
        <v>10784</v>
      </c>
    </row>
    <row r="3837" spans="1:5">
      <c r="A3837" s="40">
        <v>55246</v>
      </c>
      <c r="B3837" s="40">
        <v>0</v>
      </c>
      <c r="C3837" s="40" t="s">
        <v>10983</v>
      </c>
      <c r="D3837" s="40" t="s">
        <v>5365</v>
      </c>
      <c r="E3837" s="42" t="s">
        <v>10785</v>
      </c>
    </row>
    <row r="3838" spans="1:5">
      <c r="A3838" s="40">
        <v>55247</v>
      </c>
      <c r="B3838" s="40">
        <v>0</v>
      </c>
      <c r="C3838" s="40" t="s">
        <v>10984</v>
      </c>
      <c r="D3838" s="40" t="s">
        <v>5366</v>
      </c>
      <c r="E3838" s="42" t="s">
        <v>10786</v>
      </c>
    </row>
    <row r="3839" spans="1:5">
      <c r="A3839" s="40">
        <v>55248</v>
      </c>
      <c r="B3839" s="40">
        <v>0</v>
      </c>
      <c r="C3839" s="40" t="s">
        <v>10985</v>
      </c>
      <c r="D3839" s="40" t="s">
        <v>5367</v>
      </c>
      <c r="E3839" s="42" t="s">
        <v>10787</v>
      </c>
    </row>
    <row r="3840" spans="1:5">
      <c r="A3840" s="40">
        <v>55249</v>
      </c>
      <c r="B3840" s="40">
        <v>0</v>
      </c>
      <c r="C3840" s="40" t="s">
        <v>10986</v>
      </c>
      <c r="D3840" s="40" t="s">
        <v>5368</v>
      </c>
      <c r="E3840" s="42" t="s">
        <v>10788</v>
      </c>
    </row>
    <row r="3841" spans="1:5">
      <c r="A3841" s="40">
        <v>55250</v>
      </c>
      <c r="B3841" s="40">
        <v>0</v>
      </c>
      <c r="C3841" s="40" t="s">
        <v>10984</v>
      </c>
      <c r="D3841" s="40" t="s">
        <v>5369</v>
      </c>
      <c r="E3841" s="42" t="s">
        <v>10786</v>
      </c>
    </row>
    <row r="3842" spans="1:5">
      <c r="A3842" s="40">
        <v>55251</v>
      </c>
      <c r="B3842" s="40">
        <v>0</v>
      </c>
      <c r="C3842" s="40" t="s">
        <v>10985</v>
      </c>
      <c r="D3842" s="40" t="s">
        <v>5370</v>
      </c>
      <c r="E3842" s="42" t="s">
        <v>10787</v>
      </c>
    </row>
    <row r="3843" spans="1:5">
      <c r="A3843" s="40">
        <v>55252</v>
      </c>
      <c r="B3843" s="40">
        <v>0</v>
      </c>
      <c r="C3843" s="40" t="s">
        <v>10986</v>
      </c>
      <c r="D3843" s="40" t="s">
        <v>5371</v>
      </c>
      <c r="E3843" s="42" t="s">
        <v>10788</v>
      </c>
    </row>
    <row r="3844" spans="1:5">
      <c r="A3844" s="40">
        <v>55253</v>
      </c>
      <c r="B3844" s="40">
        <v>0</v>
      </c>
      <c r="C3844" s="40" t="s">
        <v>10987</v>
      </c>
      <c r="D3844" s="40" t="s">
        <v>5372</v>
      </c>
      <c r="E3844" s="42" t="s">
        <v>10789</v>
      </c>
    </row>
    <row r="3845" spans="1:5">
      <c r="A3845" s="40">
        <v>55254</v>
      </c>
      <c r="B3845" s="40">
        <v>0</v>
      </c>
      <c r="C3845" s="40" t="s">
        <v>10988</v>
      </c>
      <c r="D3845" s="40" t="s">
        <v>5373</v>
      </c>
      <c r="E3845" s="42" t="s">
        <v>10790</v>
      </c>
    </row>
    <row r="3846" spans="1:5">
      <c r="A3846" s="40">
        <v>55255</v>
      </c>
      <c r="B3846" s="40">
        <v>0</v>
      </c>
      <c r="C3846" s="40" t="s">
        <v>10989</v>
      </c>
      <c r="D3846" s="40" t="s">
        <v>5374</v>
      </c>
      <c r="E3846" s="42" t="s">
        <v>10791</v>
      </c>
    </row>
    <row r="3847" spans="1:5">
      <c r="A3847" s="40">
        <v>55256</v>
      </c>
      <c r="B3847" s="40">
        <v>0</v>
      </c>
      <c r="C3847" s="40" t="s">
        <v>10987</v>
      </c>
      <c r="D3847" s="40" t="s">
        <v>5375</v>
      </c>
      <c r="E3847" s="42" t="s">
        <v>10789</v>
      </c>
    </row>
    <row r="3848" spans="1:5">
      <c r="A3848" s="40">
        <v>55257</v>
      </c>
      <c r="B3848" s="40">
        <v>0</v>
      </c>
      <c r="C3848" s="40" t="s">
        <v>10988</v>
      </c>
      <c r="D3848" s="40" t="s">
        <v>5376</v>
      </c>
      <c r="E3848" s="42" t="s">
        <v>10790</v>
      </c>
    </row>
    <row r="3849" spans="1:5">
      <c r="A3849" s="40">
        <v>55258</v>
      </c>
      <c r="B3849" s="40">
        <v>0</v>
      </c>
      <c r="C3849" s="40" t="s">
        <v>10989</v>
      </c>
      <c r="D3849" s="40" t="s">
        <v>5377</v>
      </c>
      <c r="E3849" s="42" t="s">
        <v>10791</v>
      </c>
    </row>
    <row r="3850" spans="1:5">
      <c r="A3850" s="40">
        <v>55259</v>
      </c>
      <c r="B3850" s="40">
        <v>0</v>
      </c>
      <c r="C3850" s="40" t="s">
        <v>10990</v>
      </c>
      <c r="D3850" s="40" t="s">
        <v>5378</v>
      </c>
      <c r="E3850" s="42" t="s">
        <v>10792</v>
      </c>
    </row>
    <row r="3851" spans="1:5">
      <c r="A3851" s="40">
        <v>55260</v>
      </c>
      <c r="B3851" s="40">
        <v>0</v>
      </c>
      <c r="C3851" s="40" t="s">
        <v>10991</v>
      </c>
      <c r="D3851" s="40" t="s">
        <v>5379</v>
      </c>
      <c r="E3851" s="42" t="s">
        <v>10793</v>
      </c>
    </row>
    <row r="3852" spans="1:5">
      <c r="A3852" s="40">
        <v>55261</v>
      </c>
      <c r="B3852" s="40">
        <v>0</v>
      </c>
      <c r="C3852" s="40" t="s">
        <v>10992</v>
      </c>
      <c r="D3852" s="40" t="s">
        <v>5380</v>
      </c>
      <c r="E3852" s="42" t="s">
        <v>10794</v>
      </c>
    </row>
    <row r="3853" spans="1:5">
      <c r="A3853" s="40">
        <v>55262</v>
      </c>
      <c r="B3853" s="40">
        <v>0</v>
      </c>
      <c r="C3853" s="40" t="s">
        <v>10990</v>
      </c>
      <c r="D3853" s="40" t="s">
        <v>5381</v>
      </c>
      <c r="E3853" s="42" t="s">
        <v>10792</v>
      </c>
    </row>
    <row r="3854" spans="1:5">
      <c r="A3854" s="40">
        <v>55263</v>
      </c>
      <c r="B3854" s="40">
        <v>0</v>
      </c>
      <c r="C3854" s="40" t="s">
        <v>10991</v>
      </c>
      <c r="D3854" s="40" t="s">
        <v>5382</v>
      </c>
      <c r="E3854" s="42" t="s">
        <v>10793</v>
      </c>
    </row>
    <row r="3855" spans="1:5">
      <c r="A3855" s="40">
        <v>55264</v>
      </c>
      <c r="B3855" s="40">
        <v>0</v>
      </c>
      <c r="C3855" s="40" t="s">
        <v>10992</v>
      </c>
      <c r="D3855" s="40" t="s">
        <v>5383</v>
      </c>
      <c r="E3855" s="42" t="s">
        <v>10794</v>
      </c>
    </row>
    <row r="3856" spans="1:5">
      <c r="A3856" s="40">
        <v>55265</v>
      </c>
      <c r="B3856" s="40">
        <v>0</v>
      </c>
      <c r="C3856" s="40" t="s">
        <v>10993</v>
      </c>
      <c r="D3856" s="40" t="s">
        <v>5384</v>
      </c>
      <c r="E3856" s="42" t="s">
        <v>10795</v>
      </c>
    </row>
    <row r="3857" spans="1:5">
      <c r="A3857" s="40">
        <v>55266</v>
      </c>
      <c r="B3857" s="40">
        <v>0</v>
      </c>
      <c r="C3857" s="40" t="s">
        <v>10994</v>
      </c>
      <c r="D3857" s="40" t="s">
        <v>5385</v>
      </c>
      <c r="E3857" s="42" t="s">
        <v>10796</v>
      </c>
    </row>
    <row r="3858" spans="1:5">
      <c r="A3858" s="40">
        <v>55267</v>
      </c>
      <c r="B3858" s="40">
        <v>0</v>
      </c>
      <c r="C3858" s="40" t="s">
        <v>10995</v>
      </c>
      <c r="D3858" s="40" t="s">
        <v>5386</v>
      </c>
      <c r="E3858" s="42" t="s">
        <v>10797</v>
      </c>
    </row>
    <row r="3859" spans="1:5">
      <c r="A3859" s="40">
        <v>55268</v>
      </c>
      <c r="B3859" s="40">
        <v>0</v>
      </c>
      <c r="C3859" s="40" t="s">
        <v>10993</v>
      </c>
      <c r="D3859" s="40" t="s">
        <v>5387</v>
      </c>
      <c r="E3859" s="42" t="s">
        <v>10795</v>
      </c>
    </row>
    <row r="3860" spans="1:5">
      <c r="A3860" s="40">
        <v>55269</v>
      </c>
      <c r="B3860" s="40">
        <v>0</v>
      </c>
      <c r="C3860" s="40" t="s">
        <v>10994</v>
      </c>
      <c r="D3860" s="40" t="s">
        <v>5388</v>
      </c>
      <c r="E3860" s="42" t="s">
        <v>10796</v>
      </c>
    </row>
    <row r="3861" spans="1:5">
      <c r="A3861" s="40">
        <v>55270</v>
      </c>
      <c r="B3861" s="40">
        <v>0</v>
      </c>
      <c r="C3861" s="40" t="s">
        <v>10995</v>
      </c>
      <c r="D3861" s="40" t="s">
        <v>5389</v>
      </c>
      <c r="E3861" s="42" t="s">
        <v>10797</v>
      </c>
    </row>
    <row r="3862" spans="1:5">
      <c r="A3862" s="40">
        <v>55271</v>
      </c>
      <c r="B3862" s="40">
        <v>0</v>
      </c>
      <c r="C3862" s="40" t="s">
        <v>10996</v>
      </c>
      <c r="D3862" s="40" t="s">
        <v>5390</v>
      </c>
      <c r="E3862" s="42" t="s">
        <v>10798</v>
      </c>
    </row>
    <row r="3863" spans="1:5">
      <c r="A3863" s="40">
        <v>55272</v>
      </c>
      <c r="B3863" s="40">
        <v>0</v>
      </c>
      <c r="C3863" s="40" t="s">
        <v>10997</v>
      </c>
      <c r="D3863" s="40" t="s">
        <v>5391</v>
      </c>
      <c r="E3863" s="42" t="s">
        <v>10799</v>
      </c>
    </row>
    <row r="3864" spans="1:5">
      <c r="A3864" s="40">
        <v>55273</v>
      </c>
      <c r="B3864" s="40">
        <v>0</v>
      </c>
      <c r="C3864" s="40" t="s">
        <v>10998</v>
      </c>
      <c r="D3864" s="40" t="s">
        <v>5392</v>
      </c>
      <c r="E3864" s="42" t="s">
        <v>10800</v>
      </c>
    </row>
    <row r="3865" spans="1:5">
      <c r="A3865" s="40">
        <v>55274</v>
      </c>
      <c r="B3865" s="40">
        <v>0</v>
      </c>
      <c r="C3865" s="40" t="s">
        <v>10996</v>
      </c>
      <c r="D3865" s="40" t="s">
        <v>5393</v>
      </c>
      <c r="E3865" s="42" t="s">
        <v>10798</v>
      </c>
    </row>
    <row r="3866" spans="1:5">
      <c r="A3866" s="40">
        <v>55275</v>
      </c>
      <c r="B3866" s="40">
        <v>0</v>
      </c>
      <c r="C3866" s="40" t="s">
        <v>10997</v>
      </c>
      <c r="D3866" s="40" t="s">
        <v>5394</v>
      </c>
      <c r="E3866" s="42" t="s">
        <v>10799</v>
      </c>
    </row>
    <row r="3867" spans="1:5">
      <c r="A3867" s="40">
        <v>55276</v>
      </c>
      <c r="B3867" s="40">
        <v>0</v>
      </c>
      <c r="C3867" s="40" t="s">
        <v>10998</v>
      </c>
      <c r="D3867" s="40" t="s">
        <v>5395</v>
      </c>
      <c r="E3867" s="42" t="s">
        <v>10800</v>
      </c>
    </row>
    <row r="3868" spans="1:5">
      <c r="A3868" s="40">
        <v>55277</v>
      </c>
      <c r="B3868" s="40">
        <v>0</v>
      </c>
      <c r="C3868" s="40" t="s">
        <v>10999</v>
      </c>
      <c r="D3868" s="40" t="s">
        <v>5396</v>
      </c>
      <c r="E3868" s="42" t="s">
        <v>10801</v>
      </c>
    </row>
    <row r="3869" spans="1:5">
      <c r="A3869" s="40">
        <v>55278</v>
      </c>
      <c r="B3869" s="40">
        <v>0</v>
      </c>
      <c r="C3869" s="40" t="s">
        <v>11000</v>
      </c>
      <c r="D3869" s="40" t="s">
        <v>5397</v>
      </c>
      <c r="E3869" s="42" t="s">
        <v>10802</v>
      </c>
    </row>
    <row r="3870" spans="1:5">
      <c r="A3870" s="40">
        <v>55279</v>
      </c>
      <c r="B3870" s="40">
        <v>0</v>
      </c>
      <c r="C3870" s="40" t="s">
        <v>11001</v>
      </c>
      <c r="D3870" s="40" t="s">
        <v>5398</v>
      </c>
      <c r="E3870" s="42" t="s">
        <v>10803</v>
      </c>
    </row>
    <row r="3871" spans="1:5">
      <c r="A3871" s="40">
        <v>55280</v>
      </c>
      <c r="B3871" s="40">
        <v>0</v>
      </c>
      <c r="C3871" s="40" t="s">
        <v>10999</v>
      </c>
      <c r="D3871" s="40" t="s">
        <v>5399</v>
      </c>
      <c r="E3871" s="42" t="s">
        <v>10801</v>
      </c>
    </row>
    <row r="3872" spans="1:5">
      <c r="A3872" s="40">
        <v>55281</v>
      </c>
      <c r="B3872" s="40">
        <v>0</v>
      </c>
      <c r="C3872" s="40" t="s">
        <v>11000</v>
      </c>
      <c r="D3872" s="40" t="s">
        <v>5400</v>
      </c>
      <c r="E3872" s="42" t="s">
        <v>10802</v>
      </c>
    </row>
    <row r="3873" spans="1:5">
      <c r="A3873" s="40">
        <v>55282</v>
      </c>
      <c r="B3873" s="40">
        <v>0</v>
      </c>
      <c r="C3873" s="40" t="s">
        <v>11001</v>
      </c>
      <c r="D3873" s="40" t="s">
        <v>5401</v>
      </c>
      <c r="E3873" s="42" t="s">
        <v>10803</v>
      </c>
    </row>
    <row r="3874" spans="1:5">
      <c r="A3874" s="40">
        <v>55283</v>
      </c>
      <c r="B3874" s="40">
        <v>0</v>
      </c>
      <c r="C3874" s="40" t="s">
        <v>11002</v>
      </c>
      <c r="D3874" s="40" t="s">
        <v>5402</v>
      </c>
      <c r="E3874" s="42" t="s">
        <v>10804</v>
      </c>
    </row>
    <row r="3875" spans="1:5">
      <c r="A3875" s="40">
        <v>55284</v>
      </c>
      <c r="B3875" s="40">
        <v>0</v>
      </c>
      <c r="C3875" s="40" t="s">
        <v>11003</v>
      </c>
      <c r="D3875" s="40" t="s">
        <v>5403</v>
      </c>
      <c r="E3875" s="42" t="s">
        <v>10805</v>
      </c>
    </row>
    <row r="3876" spans="1:5">
      <c r="A3876" s="40">
        <v>55285</v>
      </c>
      <c r="B3876" s="40">
        <v>0</v>
      </c>
      <c r="C3876" s="40" t="s">
        <v>11004</v>
      </c>
      <c r="D3876" s="40" t="s">
        <v>5404</v>
      </c>
      <c r="E3876" s="42" t="s">
        <v>10806</v>
      </c>
    </row>
    <row r="3877" spans="1:5">
      <c r="A3877" s="40">
        <v>55286</v>
      </c>
      <c r="B3877" s="40">
        <v>0</v>
      </c>
      <c r="C3877" s="40" t="s">
        <v>11002</v>
      </c>
      <c r="D3877" s="40" t="s">
        <v>5405</v>
      </c>
      <c r="E3877" s="42" t="s">
        <v>10804</v>
      </c>
    </row>
    <row r="3878" spans="1:5">
      <c r="A3878" s="40">
        <v>55287</v>
      </c>
      <c r="B3878" s="40">
        <v>0</v>
      </c>
      <c r="C3878" s="40" t="s">
        <v>11003</v>
      </c>
      <c r="D3878" s="40" t="s">
        <v>5406</v>
      </c>
      <c r="E3878" s="42" t="s">
        <v>10805</v>
      </c>
    </row>
    <row r="3879" spans="1:5">
      <c r="A3879" s="40">
        <v>55288</v>
      </c>
      <c r="B3879" s="40">
        <v>0</v>
      </c>
      <c r="C3879" s="40" t="s">
        <v>11004</v>
      </c>
      <c r="D3879" s="40" t="s">
        <v>5407</v>
      </c>
      <c r="E3879" s="42" t="s">
        <v>10806</v>
      </c>
    </row>
    <row r="3880" spans="1:5">
      <c r="A3880" s="40">
        <v>55289</v>
      </c>
      <c r="B3880" s="40">
        <v>0</v>
      </c>
      <c r="C3880" s="40" t="s">
        <v>11005</v>
      </c>
      <c r="D3880" s="40" t="s">
        <v>5408</v>
      </c>
      <c r="E3880" s="42" t="s">
        <v>10807</v>
      </c>
    </row>
    <row r="3881" spans="1:5">
      <c r="A3881" s="40">
        <v>55290</v>
      </c>
      <c r="B3881" s="40">
        <v>0</v>
      </c>
      <c r="C3881" s="40" t="s">
        <v>11006</v>
      </c>
      <c r="D3881" s="40" t="s">
        <v>5409</v>
      </c>
      <c r="E3881" s="42" t="s">
        <v>10808</v>
      </c>
    </row>
    <row r="3882" spans="1:5">
      <c r="A3882" s="40">
        <v>55291</v>
      </c>
      <c r="B3882" s="40">
        <v>0</v>
      </c>
      <c r="C3882" s="40" t="s">
        <v>11007</v>
      </c>
      <c r="D3882" s="40" t="s">
        <v>5410</v>
      </c>
      <c r="E3882" s="42" t="s">
        <v>10809</v>
      </c>
    </row>
    <row r="3883" spans="1:5">
      <c r="A3883" s="40">
        <v>55292</v>
      </c>
      <c r="B3883" s="40">
        <v>0</v>
      </c>
      <c r="C3883" s="40" t="s">
        <v>11005</v>
      </c>
      <c r="D3883" s="40" t="s">
        <v>5411</v>
      </c>
      <c r="E3883" s="42" t="s">
        <v>10807</v>
      </c>
    </row>
    <row r="3884" spans="1:5">
      <c r="A3884" s="40">
        <v>55293</v>
      </c>
      <c r="B3884" s="40">
        <v>0</v>
      </c>
      <c r="C3884" s="40" t="s">
        <v>11006</v>
      </c>
      <c r="D3884" s="40" t="s">
        <v>5412</v>
      </c>
      <c r="E3884" s="42" t="s">
        <v>10808</v>
      </c>
    </row>
    <row r="3885" spans="1:5">
      <c r="A3885" s="40">
        <v>55294</v>
      </c>
      <c r="B3885" s="40">
        <v>0</v>
      </c>
      <c r="C3885" s="40" t="s">
        <v>11007</v>
      </c>
      <c r="D3885" s="40" t="s">
        <v>5413</v>
      </c>
      <c r="E3885" s="42" t="s">
        <v>10809</v>
      </c>
    </row>
    <row r="3886" spans="1:5">
      <c r="A3886" s="40">
        <v>55295</v>
      </c>
      <c r="B3886" s="40">
        <v>0</v>
      </c>
      <c r="C3886" s="40" t="s">
        <v>11008</v>
      </c>
      <c r="D3886" s="40" t="s">
        <v>5414</v>
      </c>
      <c r="E3886" s="42" t="s">
        <v>10810</v>
      </c>
    </row>
    <row r="3887" spans="1:5">
      <c r="A3887" s="40">
        <v>55296</v>
      </c>
      <c r="B3887" s="40">
        <v>0</v>
      </c>
      <c r="C3887" s="40" t="s">
        <v>11009</v>
      </c>
      <c r="D3887" s="40" t="s">
        <v>5415</v>
      </c>
      <c r="E3887" s="42" t="s">
        <v>10811</v>
      </c>
    </row>
    <row r="3888" spans="1:5">
      <c r="A3888" s="40">
        <v>55297</v>
      </c>
      <c r="B3888" s="40">
        <v>0</v>
      </c>
      <c r="C3888" s="40" t="s">
        <v>11010</v>
      </c>
      <c r="D3888" s="40" t="s">
        <v>5416</v>
      </c>
      <c r="E3888" s="42" t="s">
        <v>10812</v>
      </c>
    </row>
    <row r="3889" spans="1:5">
      <c r="A3889" s="40">
        <v>55298</v>
      </c>
      <c r="B3889" s="40">
        <v>0</v>
      </c>
      <c r="C3889" s="40" t="s">
        <v>11008</v>
      </c>
      <c r="D3889" s="40" t="s">
        <v>5417</v>
      </c>
      <c r="E3889" s="42" t="s">
        <v>10810</v>
      </c>
    </row>
    <row r="3890" spans="1:5">
      <c r="A3890" s="40">
        <v>55299</v>
      </c>
      <c r="B3890" s="40">
        <v>0</v>
      </c>
      <c r="C3890" s="40" t="s">
        <v>11009</v>
      </c>
      <c r="D3890" s="40" t="s">
        <v>5418</v>
      </c>
      <c r="E3890" s="42" t="s">
        <v>10811</v>
      </c>
    </row>
    <row r="3891" spans="1:5">
      <c r="A3891" s="40">
        <v>55300</v>
      </c>
      <c r="B3891" s="40">
        <v>0</v>
      </c>
      <c r="C3891" s="40" t="s">
        <v>11010</v>
      </c>
      <c r="D3891" s="40" t="s">
        <v>5419</v>
      </c>
      <c r="E3891" s="42" t="s">
        <v>10812</v>
      </c>
    </row>
    <row r="3892" spans="1:5">
      <c r="A3892" s="40">
        <v>55301</v>
      </c>
      <c r="B3892" s="40">
        <v>0</v>
      </c>
      <c r="C3892" s="40" t="s">
        <v>11011</v>
      </c>
      <c r="D3892" s="40" t="s">
        <v>5420</v>
      </c>
      <c r="E3892" s="42" t="s">
        <v>10813</v>
      </c>
    </row>
    <row r="3893" spans="1:5">
      <c r="A3893" s="40">
        <v>55302</v>
      </c>
      <c r="B3893" s="40">
        <v>0</v>
      </c>
      <c r="C3893" s="40" t="s">
        <v>11012</v>
      </c>
      <c r="D3893" s="40" t="s">
        <v>5421</v>
      </c>
      <c r="E3893" s="42" t="s">
        <v>10814</v>
      </c>
    </row>
    <row r="3894" spans="1:5">
      <c r="A3894" s="40">
        <v>55303</v>
      </c>
      <c r="B3894" s="40">
        <v>0</v>
      </c>
      <c r="C3894" s="40" t="s">
        <v>11013</v>
      </c>
      <c r="D3894" s="40" t="s">
        <v>5422</v>
      </c>
      <c r="E3894" s="42" t="s">
        <v>10815</v>
      </c>
    </row>
    <row r="3895" spans="1:5">
      <c r="A3895" s="40">
        <v>55304</v>
      </c>
      <c r="B3895" s="40">
        <v>0</v>
      </c>
      <c r="C3895" s="40" t="s">
        <v>11011</v>
      </c>
      <c r="D3895" s="40" t="s">
        <v>5423</v>
      </c>
      <c r="E3895" s="42" t="s">
        <v>10813</v>
      </c>
    </row>
    <row r="3896" spans="1:5">
      <c r="A3896" s="40">
        <v>55305</v>
      </c>
      <c r="B3896" s="40">
        <v>0</v>
      </c>
      <c r="C3896" s="40" t="s">
        <v>11012</v>
      </c>
      <c r="D3896" s="40" t="s">
        <v>5424</v>
      </c>
      <c r="E3896" s="42" t="s">
        <v>10814</v>
      </c>
    </row>
    <row r="3897" spans="1:5">
      <c r="A3897" s="40">
        <v>55306</v>
      </c>
      <c r="B3897" s="40">
        <v>0</v>
      </c>
      <c r="C3897" s="40" t="s">
        <v>11013</v>
      </c>
      <c r="D3897" s="40" t="s">
        <v>5425</v>
      </c>
      <c r="E3897" s="42" t="s">
        <v>10815</v>
      </c>
    </row>
    <row r="3898" spans="1:5">
      <c r="A3898" s="40">
        <v>55307</v>
      </c>
      <c r="B3898" s="40">
        <v>0</v>
      </c>
      <c r="C3898" s="40" t="s">
        <v>11014</v>
      </c>
      <c r="D3898" s="40" t="s">
        <v>5426</v>
      </c>
      <c r="E3898" s="42" t="s">
        <v>10816</v>
      </c>
    </row>
    <row r="3899" spans="1:5">
      <c r="A3899" s="40">
        <v>55308</v>
      </c>
      <c r="B3899" s="40">
        <v>0</v>
      </c>
      <c r="C3899" s="40" t="s">
        <v>11015</v>
      </c>
      <c r="D3899" s="40" t="s">
        <v>5427</v>
      </c>
      <c r="E3899" s="42" t="s">
        <v>10817</v>
      </c>
    </row>
    <row r="3900" spans="1:5">
      <c r="A3900" s="40">
        <v>55309</v>
      </c>
      <c r="B3900" s="40">
        <v>0</v>
      </c>
      <c r="C3900" s="40" t="s">
        <v>11016</v>
      </c>
      <c r="D3900" s="40" t="s">
        <v>5428</v>
      </c>
      <c r="E3900" s="42" t="s">
        <v>10818</v>
      </c>
    </row>
    <row r="3901" spans="1:5">
      <c r="A3901" s="40">
        <v>55310</v>
      </c>
      <c r="B3901" s="40">
        <v>0</v>
      </c>
      <c r="C3901" s="40" t="s">
        <v>11014</v>
      </c>
      <c r="D3901" s="40" t="s">
        <v>5429</v>
      </c>
      <c r="E3901" s="42" t="s">
        <v>10816</v>
      </c>
    </row>
    <row r="3902" spans="1:5">
      <c r="A3902" s="40">
        <v>55311</v>
      </c>
      <c r="B3902" s="40">
        <v>0</v>
      </c>
      <c r="C3902" s="40" t="s">
        <v>11015</v>
      </c>
      <c r="D3902" s="40" t="s">
        <v>5430</v>
      </c>
      <c r="E3902" s="42" t="s">
        <v>10817</v>
      </c>
    </row>
    <row r="3903" spans="1:5">
      <c r="A3903" s="40">
        <v>55312</v>
      </c>
      <c r="B3903" s="40">
        <v>0</v>
      </c>
      <c r="C3903" s="40" t="s">
        <v>11016</v>
      </c>
      <c r="D3903" s="40" t="s">
        <v>5431</v>
      </c>
      <c r="E3903" s="42" t="s">
        <v>10818</v>
      </c>
    </row>
    <row r="3904" spans="1:5">
      <c r="A3904" s="40">
        <v>55313</v>
      </c>
      <c r="B3904" s="40">
        <v>0</v>
      </c>
      <c r="C3904" s="40" t="s">
        <v>11017</v>
      </c>
      <c r="D3904" s="40" t="s">
        <v>5432</v>
      </c>
      <c r="E3904" s="42" t="s">
        <v>10819</v>
      </c>
    </row>
    <row r="3905" spans="1:5">
      <c r="A3905" s="40">
        <v>55314</v>
      </c>
      <c r="B3905" s="40">
        <v>0</v>
      </c>
      <c r="C3905" s="40" t="s">
        <v>11018</v>
      </c>
      <c r="D3905" s="40" t="s">
        <v>5433</v>
      </c>
      <c r="E3905" s="42" t="s">
        <v>10820</v>
      </c>
    </row>
    <row r="3906" spans="1:5">
      <c r="A3906" s="40">
        <v>55315</v>
      </c>
      <c r="B3906" s="40">
        <v>0</v>
      </c>
      <c r="C3906" s="40" t="s">
        <v>11019</v>
      </c>
      <c r="D3906" s="40" t="s">
        <v>5434</v>
      </c>
      <c r="E3906" s="42" t="s">
        <v>10821</v>
      </c>
    </row>
    <row r="3907" spans="1:5">
      <c r="A3907" s="40">
        <v>55316</v>
      </c>
      <c r="B3907" s="40">
        <v>0</v>
      </c>
      <c r="C3907" s="40" t="s">
        <v>11017</v>
      </c>
      <c r="D3907" s="40" t="s">
        <v>5435</v>
      </c>
      <c r="E3907" s="42" t="s">
        <v>10819</v>
      </c>
    </row>
    <row r="3908" spans="1:5">
      <c r="A3908" s="40">
        <v>55317</v>
      </c>
      <c r="B3908" s="40">
        <v>0</v>
      </c>
      <c r="C3908" s="40" t="s">
        <v>11018</v>
      </c>
      <c r="D3908" s="40" t="s">
        <v>5436</v>
      </c>
      <c r="E3908" s="42" t="s">
        <v>10820</v>
      </c>
    </row>
    <row r="3909" spans="1:5">
      <c r="A3909" s="40">
        <v>55318</v>
      </c>
      <c r="B3909" s="40">
        <v>0</v>
      </c>
      <c r="C3909" s="40" t="s">
        <v>11019</v>
      </c>
      <c r="D3909" s="40" t="s">
        <v>5437</v>
      </c>
      <c r="E3909" s="42" t="s">
        <v>10821</v>
      </c>
    </row>
    <row r="3910" spans="1:5">
      <c r="A3910" s="40">
        <v>55319</v>
      </c>
      <c r="B3910" s="40">
        <v>0</v>
      </c>
      <c r="C3910" s="40" t="s">
        <v>11020</v>
      </c>
      <c r="D3910" s="40" t="s">
        <v>5438</v>
      </c>
      <c r="E3910" s="42" t="s">
        <v>10822</v>
      </c>
    </row>
    <row r="3911" spans="1:5">
      <c r="A3911" s="40">
        <v>55320</v>
      </c>
      <c r="B3911" s="40">
        <v>0</v>
      </c>
      <c r="C3911" s="40" t="s">
        <v>11021</v>
      </c>
      <c r="D3911" s="40" t="s">
        <v>5439</v>
      </c>
      <c r="E3911" s="42" t="s">
        <v>10823</v>
      </c>
    </row>
    <row r="3912" spans="1:5">
      <c r="A3912" s="40">
        <v>55321</v>
      </c>
      <c r="B3912" s="40">
        <v>0</v>
      </c>
      <c r="C3912" s="40" t="s">
        <v>11022</v>
      </c>
      <c r="D3912" s="40" t="s">
        <v>5440</v>
      </c>
      <c r="E3912" s="42" t="s">
        <v>10824</v>
      </c>
    </row>
    <row r="3913" spans="1:5">
      <c r="A3913" s="40">
        <v>55322</v>
      </c>
      <c r="B3913" s="40">
        <v>0</v>
      </c>
      <c r="C3913" s="40" t="s">
        <v>11020</v>
      </c>
      <c r="D3913" s="40" t="s">
        <v>5441</v>
      </c>
      <c r="E3913" s="42" t="s">
        <v>10822</v>
      </c>
    </row>
    <row r="3914" spans="1:5">
      <c r="A3914" s="40">
        <v>55323</v>
      </c>
      <c r="B3914" s="40">
        <v>0</v>
      </c>
      <c r="C3914" s="40" t="s">
        <v>11021</v>
      </c>
      <c r="D3914" s="40" t="s">
        <v>5442</v>
      </c>
      <c r="E3914" s="42" t="s">
        <v>10823</v>
      </c>
    </row>
    <row r="3915" spans="1:5">
      <c r="A3915" s="40">
        <v>55324</v>
      </c>
      <c r="B3915" s="40">
        <v>0</v>
      </c>
      <c r="C3915" s="40" t="s">
        <v>11022</v>
      </c>
      <c r="D3915" s="40" t="s">
        <v>5443</v>
      </c>
      <c r="E3915" s="42" t="s">
        <v>10824</v>
      </c>
    </row>
    <row r="3916" spans="1:5">
      <c r="A3916" s="40">
        <v>55325</v>
      </c>
      <c r="B3916" s="40">
        <v>0</v>
      </c>
      <c r="C3916" s="40" t="s">
        <v>11023</v>
      </c>
      <c r="D3916" s="40" t="s">
        <v>5444</v>
      </c>
      <c r="E3916" s="42" t="s">
        <v>10825</v>
      </c>
    </row>
    <row r="3917" spans="1:5">
      <c r="A3917" s="40">
        <v>55326</v>
      </c>
      <c r="B3917" s="40">
        <v>0</v>
      </c>
      <c r="C3917" s="40" t="s">
        <v>11024</v>
      </c>
      <c r="D3917" s="40" t="s">
        <v>5445</v>
      </c>
      <c r="E3917" s="42" t="s">
        <v>10826</v>
      </c>
    </row>
    <row r="3918" spans="1:5">
      <c r="A3918" s="40">
        <v>55327</v>
      </c>
      <c r="B3918" s="40">
        <v>0</v>
      </c>
      <c r="C3918" s="40" t="s">
        <v>11025</v>
      </c>
      <c r="D3918" s="40" t="s">
        <v>5446</v>
      </c>
      <c r="E3918" s="42" t="s">
        <v>10827</v>
      </c>
    </row>
    <row r="3919" spans="1:5">
      <c r="A3919" s="40">
        <v>55328</v>
      </c>
      <c r="B3919" s="40">
        <v>0</v>
      </c>
      <c r="C3919" s="40" t="s">
        <v>11023</v>
      </c>
      <c r="D3919" s="40" t="s">
        <v>5447</v>
      </c>
      <c r="E3919" s="42" t="s">
        <v>10825</v>
      </c>
    </row>
    <row r="3920" spans="1:5">
      <c r="A3920" s="40">
        <v>55329</v>
      </c>
      <c r="B3920" s="40">
        <v>0</v>
      </c>
      <c r="C3920" s="40" t="s">
        <v>11024</v>
      </c>
      <c r="D3920" s="40" t="s">
        <v>5448</v>
      </c>
      <c r="E3920" s="42" t="s">
        <v>10826</v>
      </c>
    </row>
    <row r="3921" spans="1:5">
      <c r="A3921" s="40">
        <v>55330</v>
      </c>
      <c r="B3921" s="40">
        <v>0</v>
      </c>
      <c r="C3921" s="40" t="s">
        <v>11025</v>
      </c>
      <c r="D3921" s="40" t="s">
        <v>5449</v>
      </c>
      <c r="E3921" s="42" t="s">
        <v>10827</v>
      </c>
    </row>
    <row r="3922" spans="1:5">
      <c r="A3922" s="40">
        <v>55331</v>
      </c>
      <c r="B3922" s="40">
        <v>0</v>
      </c>
      <c r="C3922" s="40" t="s">
        <v>11026</v>
      </c>
      <c r="D3922" s="40" t="s">
        <v>5450</v>
      </c>
      <c r="E3922" s="42" t="s">
        <v>10828</v>
      </c>
    </row>
    <row r="3923" spans="1:5">
      <c r="A3923" s="40">
        <v>55332</v>
      </c>
      <c r="B3923" s="40">
        <v>0</v>
      </c>
      <c r="C3923" s="40" t="s">
        <v>11027</v>
      </c>
      <c r="D3923" s="40" t="s">
        <v>5451</v>
      </c>
      <c r="E3923" s="42" t="s">
        <v>10829</v>
      </c>
    </row>
    <row r="3924" spans="1:5">
      <c r="A3924" s="40">
        <v>55333</v>
      </c>
      <c r="B3924" s="40">
        <v>0</v>
      </c>
      <c r="C3924" s="40" t="s">
        <v>11028</v>
      </c>
      <c r="D3924" s="40" t="s">
        <v>5452</v>
      </c>
      <c r="E3924" s="42" t="s">
        <v>10830</v>
      </c>
    </row>
    <row r="3925" spans="1:5">
      <c r="A3925" s="40">
        <v>55334</v>
      </c>
      <c r="B3925" s="40">
        <v>0</v>
      </c>
      <c r="C3925" s="40" t="s">
        <v>11026</v>
      </c>
      <c r="D3925" s="40" t="s">
        <v>5453</v>
      </c>
      <c r="E3925" s="42" t="s">
        <v>10828</v>
      </c>
    </row>
    <row r="3926" spans="1:5">
      <c r="A3926" s="40">
        <v>55335</v>
      </c>
      <c r="B3926" s="40">
        <v>0</v>
      </c>
      <c r="C3926" s="40" t="s">
        <v>11027</v>
      </c>
      <c r="D3926" s="40" t="s">
        <v>5454</v>
      </c>
      <c r="E3926" s="42" t="s">
        <v>10829</v>
      </c>
    </row>
    <row r="3927" spans="1:5">
      <c r="A3927" s="40">
        <v>55336</v>
      </c>
      <c r="B3927" s="40">
        <v>0</v>
      </c>
      <c r="C3927" s="40" t="s">
        <v>11028</v>
      </c>
      <c r="D3927" s="40" t="s">
        <v>5455</v>
      </c>
      <c r="E3927" s="42" t="s">
        <v>10830</v>
      </c>
    </row>
    <row r="3928" spans="1:5">
      <c r="A3928" s="40">
        <v>55337</v>
      </c>
      <c r="B3928" s="40">
        <v>0</v>
      </c>
      <c r="C3928" s="40" t="s">
        <v>11029</v>
      </c>
      <c r="D3928" s="40" t="s">
        <v>5456</v>
      </c>
      <c r="E3928" s="42" t="s">
        <v>10831</v>
      </c>
    </row>
    <row r="3929" spans="1:5">
      <c r="A3929" s="40">
        <v>55338</v>
      </c>
      <c r="B3929" s="40">
        <v>0</v>
      </c>
      <c r="C3929" s="40" t="s">
        <v>11030</v>
      </c>
      <c r="D3929" s="40" t="s">
        <v>5457</v>
      </c>
      <c r="E3929" s="42" t="s">
        <v>10832</v>
      </c>
    </row>
    <row r="3930" spans="1:5">
      <c r="A3930" s="40">
        <v>55339</v>
      </c>
      <c r="B3930" s="40">
        <v>0</v>
      </c>
      <c r="C3930" s="40" t="s">
        <v>11031</v>
      </c>
      <c r="D3930" s="40" t="s">
        <v>5458</v>
      </c>
      <c r="E3930" s="42" t="s">
        <v>10833</v>
      </c>
    </row>
    <row r="3931" spans="1:5">
      <c r="A3931" s="40">
        <v>55340</v>
      </c>
      <c r="B3931" s="40">
        <v>0</v>
      </c>
      <c r="C3931" s="40" t="s">
        <v>11029</v>
      </c>
      <c r="D3931" s="40" t="s">
        <v>5459</v>
      </c>
      <c r="E3931" s="42" t="s">
        <v>10831</v>
      </c>
    </row>
    <row r="3932" spans="1:5">
      <c r="A3932" s="40">
        <v>55341</v>
      </c>
      <c r="B3932" s="40">
        <v>0</v>
      </c>
      <c r="C3932" s="40" t="s">
        <v>11030</v>
      </c>
      <c r="D3932" s="40" t="s">
        <v>5460</v>
      </c>
      <c r="E3932" s="42" t="s">
        <v>10832</v>
      </c>
    </row>
    <row r="3933" spans="1:5">
      <c r="A3933" s="40">
        <v>55342</v>
      </c>
      <c r="B3933" s="40">
        <v>0</v>
      </c>
      <c r="C3933" s="40" t="s">
        <v>11031</v>
      </c>
      <c r="D3933" s="40" t="s">
        <v>5461</v>
      </c>
      <c r="E3933" s="42" t="s">
        <v>10833</v>
      </c>
    </row>
    <row r="3934" spans="1:5">
      <c r="A3934" s="40">
        <v>55343</v>
      </c>
      <c r="B3934" s="40">
        <v>0</v>
      </c>
      <c r="C3934" s="40" t="s">
        <v>11032</v>
      </c>
      <c r="D3934" s="40" t="s">
        <v>5462</v>
      </c>
      <c r="E3934" s="42" t="s">
        <v>10834</v>
      </c>
    </row>
    <row r="3935" spans="1:5">
      <c r="A3935" s="40">
        <v>55344</v>
      </c>
      <c r="B3935" s="40">
        <v>0</v>
      </c>
      <c r="C3935" s="40" t="s">
        <v>11033</v>
      </c>
      <c r="D3935" s="40" t="s">
        <v>5463</v>
      </c>
      <c r="E3935" s="42" t="s">
        <v>10835</v>
      </c>
    </row>
    <row r="3936" spans="1:5">
      <c r="A3936" s="40">
        <v>55345</v>
      </c>
      <c r="B3936" s="40">
        <v>0</v>
      </c>
      <c r="C3936" s="40" t="s">
        <v>11034</v>
      </c>
      <c r="D3936" s="40" t="s">
        <v>5464</v>
      </c>
      <c r="E3936" s="42" t="s">
        <v>10836</v>
      </c>
    </row>
    <row r="3937" spans="1:5">
      <c r="A3937" s="40">
        <v>55346</v>
      </c>
      <c r="B3937" s="40">
        <v>0</v>
      </c>
      <c r="C3937" s="40" t="s">
        <v>11032</v>
      </c>
      <c r="D3937" s="40" t="s">
        <v>5465</v>
      </c>
      <c r="E3937" s="42" t="s">
        <v>10834</v>
      </c>
    </row>
    <row r="3938" spans="1:5">
      <c r="A3938" s="40">
        <v>55347</v>
      </c>
      <c r="B3938" s="40">
        <v>0</v>
      </c>
      <c r="C3938" s="40" t="s">
        <v>11033</v>
      </c>
      <c r="D3938" s="40" t="s">
        <v>5466</v>
      </c>
      <c r="E3938" s="42" t="s">
        <v>10835</v>
      </c>
    </row>
    <row r="3939" spans="1:5">
      <c r="A3939" s="40">
        <v>55348</v>
      </c>
      <c r="B3939" s="40">
        <v>0</v>
      </c>
      <c r="C3939" s="40" t="s">
        <v>11034</v>
      </c>
      <c r="D3939" s="40" t="s">
        <v>5467</v>
      </c>
      <c r="E3939" s="42" t="s">
        <v>10836</v>
      </c>
    </row>
    <row r="3940" spans="1:5">
      <c r="A3940" s="40">
        <v>55349</v>
      </c>
      <c r="B3940" s="40">
        <v>0</v>
      </c>
      <c r="C3940" s="40" t="s">
        <v>11035</v>
      </c>
      <c r="D3940" s="40" t="s">
        <v>5468</v>
      </c>
      <c r="E3940" s="42" t="s">
        <v>10837</v>
      </c>
    </row>
    <row r="3941" spans="1:5">
      <c r="A3941" s="40">
        <v>55350</v>
      </c>
      <c r="B3941" s="40">
        <v>0</v>
      </c>
      <c r="C3941" s="40" t="s">
        <v>11036</v>
      </c>
      <c r="D3941" s="40" t="s">
        <v>5469</v>
      </c>
      <c r="E3941" s="42" t="s">
        <v>10838</v>
      </c>
    </row>
    <row r="3942" spans="1:5">
      <c r="A3942" s="40">
        <v>55351</v>
      </c>
      <c r="B3942" s="40">
        <v>0</v>
      </c>
      <c r="C3942" s="40" t="s">
        <v>11037</v>
      </c>
      <c r="D3942" s="40" t="s">
        <v>5470</v>
      </c>
      <c r="E3942" s="42" t="s">
        <v>10839</v>
      </c>
    </row>
    <row r="3943" spans="1:5">
      <c r="A3943" s="40">
        <v>55352</v>
      </c>
      <c r="B3943" s="40">
        <v>0</v>
      </c>
      <c r="C3943" s="40" t="s">
        <v>11035</v>
      </c>
      <c r="D3943" s="40" t="s">
        <v>5471</v>
      </c>
      <c r="E3943" s="42" t="s">
        <v>10837</v>
      </c>
    </row>
    <row r="3944" spans="1:5">
      <c r="A3944" s="40">
        <v>55353</v>
      </c>
      <c r="B3944" s="40">
        <v>0</v>
      </c>
      <c r="C3944" s="40" t="s">
        <v>11036</v>
      </c>
      <c r="D3944" s="40" t="s">
        <v>5472</v>
      </c>
      <c r="E3944" s="42" t="s">
        <v>10838</v>
      </c>
    </row>
    <row r="3945" spans="1:5">
      <c r="A3945" s="40">
        <v>55354</v>
      </c>
      <c r="B3945" s="40">
        <v>0</v>
      </c>
      <c r="C3945" s="40" t="s">
        <v>11037</v>
      </c>
      <c r="D3945" s="40" t="s">
        <v>5473</v>
      </c>
      <c r="E3945" s="42" t="s">
        <v>10839</v>
      </c>
    </row>
    <row r="3946" spans="1:5">
      <c r="A3946" s="40">
        <v>55355</v>
      </c>
      <c r="B3946" s="40">
        <v>0</v>
      </c>
      <c r="C3946" s="40" t="s">
        <v>11038</v>
      </c>
      <c r="D3946" s="40" t="s">
        <v>5474</v>
      </c>
      <c r="E3946" s="42" t="s">
        <v>10840</v>
      </c>
    </row>
    <row r="3947" spans="1:5">
      <c r="A3947" s="40">
        <v>55356</v>
      </c>
      <c r="B3947" s="40">
        <v>0</v>
      </c>
      <c r="C3947" s="40" t="s">
        <v>11039</v>
      </c>
      <c r="D3947" s="40" t="s">
        <v>5475</v>
      </c>
      <c r="E3947" s="42" t="s">
        <v>10841</v>
      </c>
    </row>
    <row r="3948" spans="1:5">
      <c r="A3948" s="40">
        <v>55357</v>
      </c>
      <c r="B3948" s="40">
        <v>0</v>
      </c>
      <c r="C3948" s="40" t="s">
        <v>11040</v>
      </c>
      <c r="D3948" s="40" t="s">
        <v>5476</v>
      </c>
      <c r="E3948" s="42" t="s">
        <v>10842</v>
      </c>
    </row>
    <row r="3949" spans="1:5">
      <c r="A3949" s="40">
        <v>55358</v>
      </c>
      <c r="B3949" s="40">
        <v>0</v>
      </c>
      <c r="C3949" s="40" t="s">
        <v>11038</v>
      </c>
      <c r="D3949" s="40" t="s">
        <v>5477</v>
      </c>
      <c r="E3949" s="42" t="s">
        <v>10840</v>
      </c>
    </row>
    <row r="3950" spans="1:5">
      <c r="A3950" s="40">
        <v>55359</v>
      </c>
      <c r="B3950" s="40">
        <v>0</v>
      </c>
      <c r="C3950" s="40" t="s">
        <v>11039</v>
      </c>
      <c r="D3950" s="40" t="s">
        <v>5478</v>
      </c>
      <c r="E3950" s="42" t="s">
        <v>10841</v>
      </c>
    </row>
    <row r="3951" spans="1:5">
      <c r="A3951" s="40">
        <v>55360</v>
      </c>
      <c r="B3951" s="40">
        <v>0</v>
      </c>
      <c r="C3951" s="40" t="s">
        <v>11040</v>
      </c>
      <c r="D3951" s="40" t="s">
        <v>5479</v>
      </c>
      <c r="E3951" s="42" t="s">
        <v>10842</v>
      </c>
    </row>
    <row r="3952" spans="1:5">
      <c r="A3952" s="40">
        <v>55361</v>
      </c>
      <c r="B3952" s="40">
        <v>0</v>
      </c>
      <c r="C3952" s="40" t="s">
        <v>11041</v>
      </c>
      <c r="D3952" s="40" t="s">
        <v>5480</v>
      </c>
      <c r="E3952" s="42" t="s">
        <v>10843</v>
      </c>
    </row>
    <row r="3953" spans="1:5">
      <c r="A3953" s="40">
        <v>55362</v>
      </c>
      <c r="B3953" s="40">
        <v>0</v>
      </c>
      <c r="C3953" s="40" t="s">
        <v>11042</v>
      </c>
      <c r="D3953" s="40" t="s">
        <v>5481</v>
      </c>
      <c r="E3953" s="42" t="s">
        <v>10844</v>
      </c>
    </row>
    <row r="3954" spans="1:5">
      <c r="A3954" s="40">
        <v>55363</v>
      </c>
      <c r="B3954" s="40">
        <v>0</v>
      </c>
      <c r="C3954" s="40" t="s">
        <v>11043</v>
      </c>
      <c r="D3954" s="40" t="s">
        <v>5482</v>
      </c>
      <c r="E3954" s="42" t="s">
        <v>10845</v>
      </c>
    </row>
    <row r="3955" spans="1:5">
      <c r="A3955" s="40">
        <v>55364</v>
      </c>
      <c r="B3955" s="40">
        <v>0</v>
      </c>
      <c r="C3955" s="40" t="s">
        <v>11041</v>
      </c>
      <c r="D3955" s="40" t="s">
        <v>5483</v>
      </c>
      <c r="E3955" s="42" t="s">
        <v>10843</v>
      </c>
    </row>
    <row r="3956" spans="1:5">
      <c r="A3956" s="40">
        <v>55365</v>
      </c>
      <c r="B3956" s="40">
        <v>0</v>
      </c>
      <c r="C3956" s="40" t="s">
        <v>11042</v>
      </c>
      <c r="D3956" s="40" t="s">
        <v>5484</v>
      </c>
      <c r="E3956" s="42" t="s">
        <v>10844</v>
      </c>
    </row>
    <row r="3957" spans="1:5">
      <c r="A3957" s="40">
        <v>55366</v>
      </c>
      <c r="B3957" s="40">
        <v>0</v>
      </c>
      <c r="C3957" s="40" t="s">
        <v>11043</v>
      </c>
      <c r="D3957" s="40" t="s">
        <v>5485</v>
      </c>
      <c r="E3957" s="42" t="s">
        <v>10845</v>
      </c>
    </row>
    <row r="3958" spans="1:5">
      <c r="A3958" s="40">
        <v>55367</v>
      </c>
      <c r="B3958" s="40">
        <v>0</v>
      </c>
      <c r="C3958" s="40" t="s">
        <v>11044</v>
      </c>
      <c r="D3958" s="40" t="s">
        <v>5486</v>
      </c>
      <c r="E3958" s="42" t="s">
        <v>10846</v>
      </c>
    </row>
    <row r="3959" spans="1:5">
      <c r="A3959" s="40">
        <v>55368</v>
      </c>
      <c r="B3959" s="40">
        <v>0</v>
      </c>
      <c r="C3959" s="40" t="s">
        <v>11045</v>
      </c>
      <c r="D3959" s="40" t="s">
        <v>5487</v>
      </c>
      <c r="E3959" s="42" t="s">
        <v>10847</v>
      </c>
    </row>
    <row r="3960" spans="1:5">
      <c r="A3960" s="40">
        <v>55369</v>
      </c>
      <c r="B3960" s="40">
        <v>0</v>
      </c>
      <c r="C3960" s="40" t="s">
        <v>11046</v>
      </c>
      <c r="D3960" s="40" t="s">
        <v>5488</v>
      </c>
      <c r="E3960" s="42" t="s">
        <v>10848</v>
      </c>
    </row>
    <row r="3961" spans="1:5">
      <c r="A3961" s="40">
        <v>55370</v>
      </c>
      <c r="B3961" s="40">
        <v>0</v>
      </c>
      <c r="C3961" s="40" t="s">
        <v>11044</v>
      </c>
      <c r="D3961" s="40" t="s">
        <v>5489</v>
      </c>
      <c r="E3961" s="42" t="s">
        <v>10846</v>
      </c>
    </row>
    <row r="3962" spans="1:5">
      <c r="A3962" s="40">
        <v>55371</v>
      </c>
      <c r="B3962" s="40">
        <v>0</v>
      </c>
      <c r="C3962" s="40" t="s">
        <v>11045</v>
      </c>
      <c r="D3962" s="40" t="s">
        <v>5490</v>
      </c>
      <c r="E3962" s="42" t="s">
        <v>10847</v>
      </c>
    </row>
    <row r="3963" spans="1:5">
      <c r="A3963" s="40">
        <v>55372</v>
      </c>
      <c r="B3963" s="40">
        <v>0</v>
      </c>
      <c r="C3963" s="40" t="s">
        <v>11046</v>
      </c>
      <c r="D3963" s="40" t="s">
        <v>5491</v>
      </c>
      <c r="E3963" s="42" t="s">
        <v>10848</v>
      </c>
    </row>
    <row r="3964" spans="1:5">
      <c r="A3964" s="40">
        <v>55373</v>
      </c>
      <c r="B3964" s="40">
        <v>0</v>
      </c>
      <c r="C3964" s="40" t="s">
        <v>11047</v>
      </c>
      <c r="D3964" s="40" t="s">
        <v>5492</v>
      </c>
      <c r="E3964" s="42" t="s">
        <v>10849</v>
      </c>
    </row>
    <row r="3965" spans="1:5">
      <c r="A3965" s="40">
        <v>55374</v>
      </c>
      <c r="B3965" s="40">
        <v>0</v>
      </c>
      <c r="C3965" s="40" t="s">
        <v>11048</v>
      </c>
      <c r="D3965" s="40" t="s">
        <v>5493</v>
      </c>
      <c r="E3965" s="42" t="s">
        <v>10850</v>
      </c>
    </row>
    <row r="3966" spans="1:5">
      <c r="A3966" s="40">
        <v>55375</v>
      </c>
      <c r="B3966" s="40">
        <v>0</v>
      </c>
      <c r="C3966" s="40" t="s">
        <v>11049</v>
      </c>
      <c r="D3966" s="40" t="s">
        <v>5494</v>
      </c>
      <c r="E3966" s="42" t="s">
        <v>10851</v>
      </c>
    </row>
    <row r="3967" spans="1:5">
      <c r="A3967" s="40">
        <v>55376</v>
      </c>
      <c r="B3967" s="40">
        <v>0</v>
      </c>
      <c r="C3967" s="40" t="s">
        <v>11047</v>
      </c>
      <c r="D3967" s="40" t="s">
        <v>5495</v>
      </c>
      <c r="E3967" s="42" t="s">
        <v>10849</v>
      </c>
    </row>
    <row r="3968" spans="1:5">
      <c r="A3968" s="40">
        <v>55377</v>
      </c>
      <c r="B3968" s="40">
        <v>0</v>
      </c>
      <c r="C3968" s="40" t="s">
        <v>11048</v>
      </c>
      <c r="D3968" s="40" t="s">
        <v>5496</v>
      </c>
      <c r="E3968" s="42" t="s">
        <v>10850</v>
      </c>
    </row>
    <row r="3969" spans="1:5">
      <c r="A3969" s="40">
        <v>55378</v>
      </c>
      <c r="B3969" s="40">
        <v>0</v>
      </c>
      <c r="C3969" s="40" t="s">
        <v>11049</v>
      </c>
      <c r="D3969" s="40" t="s">
        <v>5497</v>
      </c>
      <c r="E3969" s="42" t="s">
        <v>10851</v>
      </c>
    </row>
    <row r="3970" spans="1:5">
      <c r="A3970" s="40">
        <v>55379</v>
      </c>
      <c r="B3970" s="40">
        <v>0</v>
      </c>
      <c r="C3970" s="40" t="s">
        <v>11050</v>
      </c>
      <c r="D3970" s="40" t="s">
        <v>5498</v>
      </c>
      <c r="E3970" s="42" t="s">
        <v>10852</v>
      </c>
    </row>
    <row r="3971" spans="1:5">
      <c r="A3971" s="40">
        <v>55380</v>
      </c>
      <c r="B3971" s="40">
        <v>0</v>
      </c>
      <c r="C3971" s="40" t="s">
        <v>11051</v>
      </c>
      <c r="D3971" s="40" t="s">
        <v>5499</v>
      </c>
      <c r="E3971" s="42" t="s">
        <v>10853</v>
      </c>
    </row>
    <row r="3972" spans="1:5">
      <c r="A3972" s="40">
        <v>55381</v>
      </c>
      <c r="B3972" s="40">
        <v>0</v>
      </c>
      <c r="C3972" s="40" t="s">
        <v>11052</v>
      </c>
      <c r="D3972" s="40" t="s">
        <v>5500</v>
      </c>
      <c r="E3972" s="42" t="s">
        <v>10854</v>
      </c>
    </row>
    <row r="3973" spans="1:5">
      <c r="A3973" s="40">
        <v>55382</v>
      </c>
      <c r="B3973" s="40">
        <v>0</v>
      </c>
      <c r="C3973" s="40" t="s">
        <v>11050</v>
      </c>
      <c r="D3973" s="40" t="s">
        <v>5501</v>
      </c>
      <c r="E3973" s="42" t="s">
        <v>10852</v>
      </c>
    </row>
    <row r="3974" spans="1:5">
      <c r="A3974" s="40">
        <v>55383</v>
      </c>
      <c r="B3974" s="40">
        <v>0</v>
      </c>
      <c r="C3974" s="40" t="s">
        <v>11051</v>
      </c>
      <c r="D3974" s="40" t="s">
        <v>5502</v>
      </c>
      <c r="E3974" s="42" t="s">
        <v>10853</v>
      </c>
    </row>
    <row r="3975" spans="1:5">
      <c r="A3975" s="40">
        <v>55384</v>
      </c>
      <c r="B3975" s="40">
        <v>0</v>
      </c>
      <c r="C3975" s="40" t="s">
        <v>11052</v>
      </c>
      <c r="D3975" s="40" t="s">
        <v>5503</v>
      </c>
      <c r="E3975" s="42" t="s">
        <v>10854</v>
      </c>
    </row>
    <row r="3976" spans="1:5">
      <c r="A3976" s="40">
        <v>55385</v>
      </c>
      <c r="B3976" s="40">
        <v>0</v>
      </c>
      <c r="C3976" s="40" t="s">
        <v>11053</v>
      </c>
      <c r="D3976" s="40" t="s">
        <v>5504</v>
      </c>
      <c r="E3976" s="42" t="s">
        <v>10855</v>
      </c>
    </row>
    <row r="3977" spans="1:5">
      <c r="A3977" s="40">
        <v>55386</v>
      </c>
      <c r="B3977" s="40">
        <v>0</v>
      </c>
      <c r="C3977" s="40" t="s">
        <v>11054</v>
      </c>
      <c r="D3977" s="40" t="s">
        <v>5505</v>
      </c>
      <c r="E3977" s="42" t="s">
        <v>10856</v>
      </c>
    </row>
    <row r="3978" spans="1:5">
      <c r="A3978" s="40">
        <v>55387</v>
      </c>
      <c r="B3978" s="40">
        <v>0</v>
      </c>
      <c r="C3978" s="40" t="s">
        <v>11055</v>
      </c>
      <c r="D3978" s="40" t="s">
        <v>5506</v>
      </c>
      <c r="E3978" s="42" t="s">
        <v>10857</v>
      </c>
    </row>
    <row r="3979" spans="1:5">
      <c r="A3979" s="40">
        <v>55388</v>
      </c>
      <c r="B3979" s="40">
        <v>0</v>
      </c>
      <c r="C3979" s="40" t="s">
        <v>11053</v>
      </c>
      <c r="D3979" s="40" t="s">
        <v>5507</v>
      </c>
      <c r="E3979" s="42" t="s">
        <v>10855</v>
      </c>
    </row>
    <row r="3980" spans="1:5">
      <c r="A3980" s="40">
        <v>55389</v>
      </c>
      <c r="B3980" s="40">
        <v>0</v>
      </c>
      <c r="C3980" s="40" t="s">
        <v>11054</v>
      </c>
      <c r="D3980" s="40" t="s">
        <v>5508</v>
      </c>
      <c r="E3980" s="42" t="s">
        <v>10856</v>
      </c>
    </row>
    <row r="3981" spans="1:5">
      <c r="A3981" s="40">
        <v>55390</v>
      </c>
      <c r="B3981" s="40">
        <v>0</v>
      </c>
      <c r="C3981" s="40" t="s">
        <v>11055</v>
      </c>
      <c r="D3981" s="40" t="s">
        <v>5509</v>
      </c>
      <c r="E3981" s="42" t="s">
        <v>10857</v>
      </c>
    </row>
    <row r="3982" spans="1:5">
      <c r="A3982" s="40">
        <v>55391</v>
      </c>
      <c r="B3982" s="40">
        <v>0</v>
      </c>
      <c r="C3982" s="40" t="s">
        <v>11056</v>
      </c>
      <c r="D3982" s="40" t="s">
        <v>5510</v>
      </c>
      <c r="E3982" s="42" t="s">
        <v>10858</v>
      </c>
    </row>
    <row r="3983" spans="1:5">
      <c r="A3983" s="40">
        <v>55392</v>
      </c>
      <c r="B3983" s="40">
        <v>0</v>
      </c>
      <c r="C3983" s="40" t="s">
        <v>11057</v>
      </c>
      <c r="D3983" s="40" t="s">
        <v>5511</v>
      </c>
      <c r="E3983" s="42" t="s">
        <v>10859</v>
      </c>
    </row>
    <row r="3984" spans="1:5">
      <c r="A3984" s="40">
        <v>55393</v>
      </c>
      <c r="B3984" s="40">
        <v>0</v>
      </c>
      <c r="C3984" s="40" t="s">
        <v>11058</v>
      </c>
      <c r="D3984" s="40" t="s">
        <v>5512</v>
      </c>
      <c r="E3984" s="42" t="s">
        <v>10860</v>
      </c>
    </row>
    <row r="3985" spans="1:5">
      <c r="A3985" s="40">
        <v>55394</v>
      </c>
      <c r="B3985" s="40">
        <v>0</v>
      </c>
      <c r="C3985" s="40" t="s">
        <v>11056</v>
      </c>
      <c r="D3985" s="40" t="s">
        <v>5513</v>
      </c>
      <c r="E3985" s="42" t="s">
        <v>10858</v>
      </c>
    </row>
    <row r="3986" spans="1:5">
      <c r="A3986" s="40">
        <v>55395</v>
      </c>
      <c r="B3986" s="40">
        <v>0</v>
      </c>
      <c r="C3986" s="40" t="s">
        <v>11057</v>
      </c>
      <c r="D3986" s="40" t="s">
        <v>5514</v>
      </c>
      <c r="E3986" s="42" t="s">
        <v>10859</v>
      </c>
    </row>
    <row r="3987" spans="1:5">
      <c r="A3987" s="40">
        <v>55396</v>
      </c>
      <c r="B3987" s="40">
        <v>0</v>
      </c>
      <c r="C3987" s="40" t="s">
        <v>11058</v>
      </c>
      <c r="D3987" s="40" t="s">
        <v>5515</v>
      </c>
      <c r="E3987" s="42" t="s">
        <v>10860</v>
      </c>
    </row>
    <row r="3988" spans="1:5">
      <c r="A3988" s="22">
        <v>56001</v>
      </c>
      <c r="B3988" s="22">
        <v>0</v>
      </c>
      <c r="C3988" s="22" t="s">
        <v>15188</v>
      </c>
      <c r="D3988" s="22" t="s">
        <v>15189</v>
      </c>
      <c r="E3988" s="24" t="s">
        <v>1952</v>
      </c>
    </row>
    <row r="3989" spans="1:5">
      <c r="A3989" s="22">
        <v>56002</v>
      </c>
      <c r="B3989" s="22">
        <v>0</v>
      </c>
      <c r="C3989" s="22" t="s">
        <v>15188</v>
      </c>
      <c r="D3989" s="22" t="s">
        <v>15190</v>
      </c>
      <c r="E3989" s="24" t="s">
        <v>1952</v>
      </c>
    </row>
    <row r="3990" spans="1:5">
      <c r="A3990" s="22">
        <v>56003</v>
      </c>
      <c r="B3990" s="22">
        <v>0</v>
      </c>
      <c r="C3990" s="22" t="s">
        <v>15188</v>
      </c>
      <c r="D3990" s="22" t="s">
        <v>15191</v>
      </c>
      <c r="E3990" s="24" t="s">
        <v>1952</v>
      </c>
    </row>
    <row r="3991" spans="1:5">
      <c r="A3991" s="22">
        <v>56004</v>
      </c>
      <c r="B3991" s="22">
        <v>0</v>
      </c>
      <c r="C3991" s="22" t="s">
        <v>15188</v>
      </c>
      <c r="D3991" s="22" t="s">
        <v>15192</v>
      </c>
      <c r="E3991" s="24" t="s">
        <v>1952</v>
      </c>
    </row>
    <row r="3992" spans="1:5">
      <c r="A3992" s="22">
        <v>56005</v>
      </c>
      <c r="B3992" s="22">
        <v>0</v>
      </c>
      <c r="C3992" s="22" t="s">
        <v>15188</v>
      </c>
      <c r="D3992" s="22" t="s">
        <v>15193</v>
      </c>
      <c r="E3992" s="24" t="s">
        <v>1952</v>
      </c>
    </row>
    <row r="3993" spans="1:5">
      <c r="A3993" s="22">
        <v>56006</v>
      </c>
      <c r="B3993" s="22">
        <v>0</v>
      </c>
      <c r="C3993" s="22" t="s">
        <v>15188</v>
      </c>
      <c r="D3993" s="22" t="s">
        <v>15194</v>
      </c>
      <c r="E3993" s="24" t="s">
        <v>1952</v>
      </c>
    </row>
    <row r="3994" spans="1:5">
      <c r="A3994" s="22">
        <v>56007</v>
      </c>
      <c r="B3994" s="22">
        <v>0</v>
      </c>
      <c r="C3994" s="22" t="s">
        <v>15188</v>
      </c>
      <c r="D3994" s="22" t="s">
        <v>15195</v>
      </c>
      <c r="E3994" s="24" t="s">
        <v>1952</v>
      </c>
    </row>
    <row r="3995" spans="1:5">
      <c r="A3995" s="22">
        <v>56008</v>
      </c>
      <c r="B3995" s="22">
        <v>0</v>
      </c>
      <c r="C3995" s="22" t="s">
        <v>15188</v>
      </c>
      <c r="D3995" s="22" t="s">
        <v>15196</v>
      </c>
      <c r="E3995" s="24" t="s">
        <v>1952</v>
      </c>
    </row>
    <row r="3996" spans="1:5">
      <c r="A3996" s="22">
        <v>56009</v>
      </c>
      <c r="B3996" s="22">
        <v>0</v>
      </c>
      <c r="C3996" s="22" t="s">
        <v>15188</v>
      </c>
      <c r="D3996" s="22" t="s">
        <v>15197</v>
      </c>
      <c r="E3996" s="24" t="s">
        <v>1952</v>
      </c>
    </row>
    <row r="3997" spans="1:5">
      <c r="A3997" s="22">
        <v>56010</v>
      </c>
      <c r="B3997" s="22">
        <v>0</v>
      </c>
      <c r="C3997" s="22" t="s">
        <v>15188</v>
      </c>
      <c r="D3997" s="22" t="s">
        <v>15198</v>
      </c>
      <c r="E3997" s="24" t="s">
        <v>1952</v>
      </c>
    </row>
    <row r="3998" spans="1:5">
      <c r="A3998" s="22">
        <v>56011</v>
      </c>
      <c r="B3998" s="22">
        <v>0</v>
      </c>
      <c r="C3998" s="22" t="s">
        <v>15188</v>
      </c>
      <c r="D3998" s="22" t="s">
        <v>15199</v>
      </c>
      <c r="E3998" s="24" t="s">
        <v>1952</v>
      </c>
    </row>
    <row r="3999" spans="1:5">
      <c r="A3999" s="22">
        <v>56012</v>
      </c>
      <c r="B3999" s="22">
        <v>0</v>
      </c>
      <c r="C3999" s="22" t="s">
        <v>15188</v>
      </c>
      <c r="D3999" s="22" t="s">
        <v>15200</v>
      </c>
      <c r="E3999" s="24" t="s">
        <v>1952</v>
      </c>
    </row>
    <row r="4000" spans="1:5">
      <c r="A4000" s="22">
        <v>56013</v>
      </c>
      <c r="B4000" s="22">
        <v>0</v>
      </c>
      <c r="C4000" s="22" t="s">
        <v>15188</v>
      </c>
      <c r="D4000" s="22" t="s">
        <v>15201</v>
      </c>
      <c r="E4000" s="24" t="s">
        <v>1952</v>
      </c>
    </row>
    <row r="4001" spans="1:5">
      <c r="A4001" s="22">
        <v>56014</v>
      </c>
      <c r="B4001" s="22">
        <v>0</v>
      </c>
      <c r="C4001" s="22" t="s">
        <v>15188</v>
      </c>
      <c r="D4001" s="22" t="s">
        <v>15202</v>
      </c>
      <c r="E4001" s="24" t="s">
        <v>1952</v>
      </c>
    </row>
    <row r="4002" spans="1:5">
      <c r="A4002" s="22">
        <v>56015</v>
      </c>
      <c r="B4002" s="22">
        <v>0</v>
      </c>
      <c r="C4002" s="22" t="s">
        <v>15188</v>
      </c>
      <c r="D4002" s="22" t="s">
        <v>15203</v>
      </c>
      <c r="E4002" s="24" t="s">
        <v>1952</v>
      </c>
    </row>
    <row r="4003" spans="1:5">
      <c r="A4003" s="22">
        <v>56016</v>
      </c>
      <c r="B4003" s="22">
        <v>0</v>
      </c>
      <c r="C4003" s="22" t="s">
        <v>15188</v>
      </c>
      <c r="D4003" s="22" t="s">
        <v>15204</v>
      </c>
      <c r="E4003" s="24" t="s">
        <v>1952</v>
      </c>
    </row>
    <row r="4004" spans="1:5">
      <c r="A4004" s="22">
        <v>56017</v>
      </c>
      <c r="B4004" s="22">
        <v>0</v>
      </c>
      <c r="C4004" s="22" t="s">
        <v>15188</v>
      </c>
      <c r="D4004" s="22" t="s">
        <v>15205</v>
      </c>
      <c r="E4004" s="24" t="s">
        <v>1952</v>
      </c>
    </row>
    <row r="4005" spans="1:5">
      <c r="A4005" s="22">
        <v>56018</v>
      </c>
      <c r="B4005" s="22">
        <v>0</v>
      </c>
      <c r="C4005" s="22" t="s">
        <v>15188</v>
      </c>
      <c r="D4005" s="22" t="s">
        <v>15206</v>
      </c>
      <c r="E4005" s="24" t="s">
        <v>1952</v>
      </c>
    </row>
    <row r="4006" spans="1:5">
      <c r="A4006" s="22">
        <v>56019</v>
      </c>
      <c r="B4006" s="22">
        <v>0</v>
      </c>
      <c r="C4006" s="22" t="s">
        <v>15188</v>
      </c>
      <c r="D4006" s="22" t="s">
        <v>15207</v>
      </c>
      <c r="E4006" s="24" t="s">
        <v>1952</v>
      </c>
    </row>
    <row r="4007" spans="1:5">
      <c r="A4007" s="22">
        <v>56020</v>
      </c>
      <c r="B4007" s="22">
        <v>0</v>
      </c>
      <c r="C4007" s="22" t="s">
        <v>15188</v>
      </c>
      <c r="D4007" s="22" t="s">
        <v>15208</v>
      </c>
      <c r="E4007" s="24" t="s">
        <v>1952</v>
      </c>
    </row>
    <row r="4008" spans="1:5">
      <c r="A4008" s="22">
        <v>56021</v>
      </c>
      <c r="B4008" s="22">
        <v>0</v>
      </c>
      <c r="C4008" s="22" t="s">
        <v>15188</v>
      </c>
      <c r="D4008" s="22" t="s">
        <v>15209</v>
      </c>
      <c r="E4008" s="24" t="s">
        <v>1952</v>
      </c>
    </row>
    <row r="4009" spans="1:5">
      <c r="A4009" s="22">
        <v>56022</v>
      </c>
      <c r="B4009" s="22">
        <v>0</v>
      </c>
      <c r="C4009" s="22" t="s">
        <v>15188</v>
      </c>
      <c r="D4009" s="22" t="s">
        <v>15210</v>
      </c>
      <c r="E4009" s="24" t="s">
        <v>1952</v>
      </c>
    </row>
    <row r="4010" spans="1:5">
      <c r="A4010" s="22">
        <v>56023</v>
      </c>
      <c r="B4010" s="22">
        <v>0</v>
      </c>
      <c r="C4010" s="22" t="s">
        <v>15188</v>
      </c>
      <c r="D4010" s="22" t="s">
        <v>15211</v>
      </c>
      <c r="E4010" s="24" t="s">
        <v>1952</v>
      </c>
    </row>
    <row r="4011" spans="1:5">
      <c r="A4011" s="22">
        <v>56024</v>
      </c>
      <c r="B4011" s="22">
        <v>0</v>
      </c>
      <c r="C4011" s="22" t="s">
        <v>15188</v>
      </c>
      <c r="D4011" s="22" t="s">
        <v>15212</v>
      </c>
      <c r="E4011" s="24" t="s">
        <v>1952</v>
      </c>
    </row>
    <row r="4012" spans="1:5">
      <c r="A4012" s="22">
        <v>56025</v>
      </c>
      <c r="B4012" s="22">
        <v>0</v>
      </c>
      <c r="C4012" s="22" t="s">
        <v>15188</v>
      </c>
      <c r="D4012" s="22" t="s">
        <v>15213</v>
      </c>
      <c r="E4012" s="24" t="s">
        <v>1952</v>
      </c>
    </row>
    <row r="4013" spans="1:5">
      <c r="A4013" s="22">
        <v>56026</v>
      </c>
      <c r="B4013" s="22">
        <v>0</v>
      </c>
      <c r="C4013" s="22" t="s">
        <v>15188</v>
      </c>
      <c r="D4013" s="22" t="s">
        <v>15214</v>
      </c>
      <c r="E4013" s="24" t="s">
        <v>1952</v>
      </c>
    </row>
    <row r="4014" spans="1:5">
      <c r="A4014" s="22">
        <v>56027</v>
      </c>
      <c r="B4014" s="22">
        <v>0</v>
      </c>
      <c r="C4014" s="22" t="s">
        <v>15188</v>
      </c>
      <c r="D4014" s="22" t="s">
        <v>15215</v>
      </c>
      <c r="E4014" s="24" t="s">
        <v>1952</v>
      </c>
    </row>
    <row r="4015" spans="1:5">
      <c r="A4015" s="22">
        <v>56028</v>
      </c>
      <c r="B4015" s="22">
        <v>0</v>
      </c>
      <c r="C4015" s="22" t="s">
        <v>15188</v>
      </c>
      <c r="D4015" s="22" t="s">
        <v>15216</v>
      </c>
      <c r="E4015" s="24" t="s">
        <v>1952</v>
      </c>
    </row>
    <row r="4016" spans="1:5">
      <c r="A4016" s="22">
        <v>56029</v>
      </c>
      <c r="B4016" s="22">
        <v>0</v>
      </c>
      <c r="C4016" s="22" t="s">
        <v>15188</v>
      </c>
      <c r="D4016" s="22" t="s">
        <v>15217</v>
      </c>
      <c r="E4016" s="24" t="s">
        <v>1952</v>
      </c>
    </row>
    <row r="4017" spans="1:5">
      <c r="A4017" s="22">
        <v>56030</v>
      </c>
      <c r="B4017" s="22">
        <v>0</v>
      </c>
      <c r="C4017" s="22" t="s">
        <v>15188</v>
      </c>
      <c r="D4017" s="22" t="s">
        <v>15218</v>
      </c>
      <c r="E4017" s="24" t="s">
        <v>1952</v>
      </c>
    </row>
    <row r="4018" spans="1:5">
      <c r="A4018" s="22">
        <v>56031</v>
      </c>
      <c r="B4018" s="22">
        <v>0</v>
      </c>
      <c r="C4018" s="22" t="s">
        <v>15188</v>
      </c>
      <c r="D4018" s="22" t="s">
        <v>15219</v>
      </c>
      <c r="E4018" s="24" t="s">
        <v>1952</v>
      </c>
    </row>
    <row r="4019" spans="1:5">
      <c r="A4019" s="22">
        <v>56032</v>
      </c>
      <c r="B4019" s="22">
        <v>0</v>
      </c>
      <c r="C4019" s="22" t="s">
        <v>15188</v>
      </c>
      <c r="D4019" s="22" t="s">
        <v>15220</v>
      </c>
      <c r="E4019" s="24" t="s">
        <v>1952</v>
      </c>
    </row>
    <row r="4020" spans="1:5">
      <c r="A4020" s="22">
        <v>56033</v>
      </c>
      <c r="B4020" s="22">
        <v>0</v>
      </c>
      <c r="C4020" s="22" t="s">
        <v>15188</v>
      </c>
      <c r="D4020" s="22" t="s">
        <v>15221</v>
      </c>
      <c r="E4020" s="24" t="s">
        <v>1952</v>
      </c>
    </row>
    <row r="4021" spans="1:5">
      <c r="A4021" s="22">
        <v>56034</v>
      </c>
      <c r="B4021" s="22">
        <v>0</v>
      </c>
      <c r="C4021" s="22" t="s">
        <v>15188</v>
      </c>
      <c r="D4021" s="22" t="s">
        <v>15222</v>
      </c>
      <c r="E4021" s="24" t="s">
        <v>1952</v>
      </c>
    </row>
    <row r="4022" spans="1:5">
      <c r="A4022" s="22">
        <v>56035</v>
      </c>
      <c r="B4022" s="22">
        <v>0</v>
      </c>
      <c r="C4022" s="22" t="s">
        <v>15188</v>
      </c>
      <c r="D4022" s="22" t="s">
        <v>15223</v>
      </c>
      <c r="E4022" s="24" t="s">
        <v>1952</v>
      </c>
    </row>
    <row r="4023" spans="1:5">
      <c r="A4023" s="22">
        <v>56036</v>
      </c>
      <c r="B4023" s="22">
        <v>0</v>
      </c>
      <c r="C4023" s="22" t="s">
        <v>15188</v>
      </c>
      <c r="D4023" s="22" t="s">
        <v>15224</v>
      </c>
      <c r="E4023" s="24" t="s">
        <v>1952</v>
      </c>
    </row>
    <row r="4024" spans="1:5">
      <c r="A4024" s="22">
        <v>56037</v>
      </c>
      <c r="B4024" s="22">
        <v>0</v>
      </c>
      <c r="C4024" s="22" t="s">
        <v>15188</v>
      </c>
      <c r="D4024" s="22" t="s">
        <v>15225</v>
      </c>
      <c r="E4024" s="24" t="s">
        <v>1952</v>
      </c>
    </row>
    <row r="4025" spans="1:5">
      <c r="A4025" s="22">
        <v>56038</v>
      </c>
      <c r="B4025" s="22">
        <v>0</v>
      </c>
      <c r="C4025" s="22" t="s">
        <v>15188</v>
      </c>
      <c r="D4025" s="22" t="s">
        <v>15226</v>
      </c>
      <c r="E4025" s="24" t="s">
        <v>1952</v>
      </c>
    </row>
    <row r="4026" spans="1:5">
      <c r="A4026" s="22">
        <v>56039</v>
      </c>
      <c r="B4026" s="22">
        <v>0</v>
      </c>
      <c r="C4026" s="22" t="s">
        <v>15188</v>
      </c>
      <c r="D4026" s="22" t="s">
        <v>15227</v>
      </c>
      <c r="E4026" s="24" t="s">
        <v>1952</v>
      </c>
    </row>
    <row r="4027" spans="1:5">
      <c r="A4027" s="22">
        <v>56040</v>
      </c>
      <c r="B4027" s="22">
        <v>0</v>
      </c>
      <c r="C4027" s="22" t="s">
        <v>15188</v>
      </c>
      <c r="D4027" s="22" t="s">
        <v>15228</v>
      </c>
      <c r="E4027" s="24" t="s">
        <v>1952</v>
      </c>
    </row>
    <row r="4028" spans="1:5">
      <c r="A4028" s="22">
        <v>56041</v>
      </c>
      <c r="B4028" s="22">
        <v>0</v>
      </c>
      <c r="C4028" s="22" t="s">
        <v>15188</v>
      </c>
      <c r="D4028" s="22" t="s">
        <v>15229</v>
      </c>
      <c r="E4028" s="24" t="s">
        <v>1952</v>
      </c>
    </row>
    <row r="4029" spans="1:5">
      <c r="A4029" s="22">
        <v>56042</v>
      </c>
      <c r="B4029" s="22">
        <v>0</v>
      </c>
      <c r="C4029" s="22" t="s">
        <v>15188</v>
      </c>
      <c r="D4029" s="22" t="s">
        <v>15230</v>
      </c>
      <c r="E4029" s="24" t="s">
        <v>1952</v>
      </c>
    </row>
    <row r="4030" spans="1:5">
      <c r="A4030" s="22">
        <v>56043</v>
      </c>
      <c r="B4030" s="22">
        <v>0</v>
      </c>
      <c r="C4030" s="22" t="s">
        <v>15188</v>
      </c>
      <c r="D4030" s="22" t="s">
        <v>15231</v>
      </c>
      <c r="E4030" s="24" t="s">
        <v>1952</v>
      </c>
    </row>
    <row r="4031" spans="1:5">
      <c r="A4031" s="22">
        <v>56044</v>
      </c>
      <c r="B4031" s="22">
        <v>0</v>
      </c>
      <c r="C4031" s="22" t="s">
        <v>15188</v>
      </c>
      <c r="D4031" s="22" t="s">
        <v>15232</v>
      </c>
      <c r="E4031" s="24" t="s">
        <v>1952</v>
      </c>
    </row>
    <row r="4032" spans="1:5">
      <c r="A4032" s="22">
        <v>56045</v>
      </c>
      <c r="B4032" s="22">
        <v>0</v>
      </c>
      <c r="C4032" s="22" t="s">
        <v>15188</v>
      </c>
      <c r="D4032" s="22" t="s">
        <v>15233</v>
      </c>
      <c r="E4032" s="24" t="s">
        <v>1952</v>
      </c>
    </row>
    <row r="4033" spans="1:5">
      <c r="A4033" s="22">
        <v>56046</v>
      </c>
      <c r="B4033" s="22">
        <v>0</v>
      </c>
      <c r="C4033" s="22" t="s">
        <v>15188</v>
      </c>
      <c r="D4033" s="22" t="s">
        <v>15234</v>
      </c>
      <c r="E4033" s="24" t="s">
        <v>1952</v>
      </c>
    </row>
    <row r="4034" spans="1:5">
      <c r="A4034" s="22">
        <v>56047</v>
      </c>
      <c r="B4034" s="22">
        <v>0</v>
      </c>
      <c r="C4034" s="22" t="s">
        <v>15188</v>
      </c>
      <c r="D4034" s="22" t="s">
        <v>15235</v>
      </c>
      <c r="E4034" s="24" t="s">
        <v>1952</v>
      </c>
    </row>
    <row r="4035" spans="1:5">
      <c r="A4035" s="22">
        <v>56048</v>
      </c>
      <c r="B4035" s="22">
        <v>0</v>
      </c>
      <c r="C4035" s="22" t="s">
        <v>15188</v>
      </c>
      <c r="D4035" s="22" t="s">
        <v>15236</v>
      </c>
      <c r="E4035" s="24" t="s">
        <v>1952</v>
      </c>
    </row>
    <row r="4036" spans="1:5">
      <c r="A4036" s="22">
        <v>56049</v>
      </c>
      <c r="B4036" s="22">
        <v>0</v>
      </c>
      <c r="C4036" s="22" t="s">
        <v>15188</v>
      </c>
      <c r="D4036" s="22" t="s">
        <v>15237</v>
      </c>
      <c r="E4036" s="24" t="s">
        <v>1952</v>
      </c>
    </row>
    <row r="4037" spans="1:5">
      <c r="A4037" s="22">
        <v>56050</v>
      </c>
      <c r="B4037" s="22">
        <v>0</v>
      </c>
      <c r="C4037" s="22" t="s">
        <v>15188</v>
      </c>
      <c r="D4037" s="22" t="s">
        <v>15238</v>
      </c>
      <c r="E4037" s="24" t="s">
        <v>1952</v>
      </c>
    </row>
    <row r="4038" spans="1:5">
      <c r="A4038" s="22">
        <v>56051</v>
      </c>
      <c r="B4038" s="22">
        <v>0</v>
      </c>
      <c r="C4038" s="22" t="s">
        <v>15188</v>
      </c>
      <c r="D4038" s="22" t="s">
        <v>15239</v>
      </c>
      <c r="E4038" s="24" t="s">
        <v>1952</v>
      </c>
    </row>
    <row r="4039" spans="1:5">
      <c r="A4039" s="22">
        <v>56052</v>
      </c>
      <c r="B4039" s="22">
        <v>0</v>
      </c>
      <c r="C4039" s="22" t="s">
        <v>15188</v>
      </c>
      <c r="D4039" s="22" t="s">
        <v>15240</v>
      </c>
      <c r="E4039" s="24" t="s">
        <v>1952</v>
      </c>
    </row>
    <row r="4040" spans="1:5">
      <c r="A4040" s="22">
        <v>56053</v>
      </c>
      <c r="B4040" s="22">
        <v>0</v>
      </c>
      <c r="C4040" s="22" t="s">
        <v>15188</v>
      </c>
      <c r="D4040" s="22" t="s">
        <v>15241</v>
      </c>
      <c r="E4040" s="24" t="s">
        <v>1952</v>
      </c>
    </row>
    <row r="4041" spans="1:5">
      <c r="A4041" s="22">
        <v>56054</v>
      </c>
      <c r="B4041" s="22">
        <v>0</v>
      </c>
      <c r="C4041" s="22" t="s">
        <v>15188</v>
      </c>
      <c r="D4041" s="22" t="s">
        <v>15242</v>
      </c>
      <c r="E4041" s="24" t="s">
        <v>1952</v>
      </c>
    </row>
    <row r="4042" spans="1:5">
      <c r="A4042" s="22">
        <v>56055</v>
      </c>
      <c r="B4042" s="22">
        <v>0</v>
      </c>
      <c r="C4042" s="22" t="s">
        <v>15188</v>
      </c>
      <c r="D4042" s="22" t="s">
        <v>15243</v>
      </c>
      <c r="E4042" s="24" t="s">
        <v>1952</v>
      </c>
    </row>
    <row r="4043" spans="1:5">
      <c r="A4043" s="22">
        <v>56056</v>
      </c>
      <c r="B4043" s="22">
        <v>0</v>
      </c>
      <c r="C4043" s="22" t="s">
        <v>15188</v>
      </c>
      <c r="D4043" s="22" t="s">
        <v>15244</v>
      </c>
      <c r="E4043" s="24" t="s">
        <v>1952</v>
      </c>
    </row>
    <row r="4044" spans="1:5">
      <c r="A4044" s="22">
        <v>56057</v>
      </c>
      <c r="B4044" s="22">
        <v>0</v>
      </c>
      <c r="C4044" s="22" t="s">
        <v>15188</v>
      </c>
      <c r="D4044" s="22" t="s">
        <v>15245</v>
      </c>
      <c r="E4044" s="24" t="s">
        <v>1952</v>
      </c>
    </row>
    <row r="4045" spans="1:5">
      <c r="A4045" s="22">
        <v>56058</v>
      </c>
      <c r="B4045" s="22">
        <v>0</v>
      </c>
      <c r="C4045" s="22" t="s">
        <v>15188</v>
      </c>
      <c r="D4045" s="22" t="s">
        <v>15246</v>
      </c>
      <c r="E4045" s="24" t="s">
        <v>1952</v>
      </c>
    </row>
    <row r="4046" spans="1:5">
      <c r="A4046" s="22">
        <v>56059</v>
      </c>
      <c r="B4046" s="22">
        <v>0</v>
      </c>
      <c r="C4046" s="22" t="s">
        <v>15188</v>
      </c>
      <c r="D4046" s="22" t="s">
        <v>15247</v>
      </c>
      <c r="E4046" s="24" t="s">
        <v>1952</v>
      </c>
    </row>
    <row r="4047" spans="1:5">
      <c r="A4047" s="22">
        <v>56060</v>
      </c>
      <c r="B4047" s="22">
        <v>0</v>
      </c>
      <c r="C4047" s="22" t="s">
        <v>15188</v>
      </c>
      <c r="D4047" s="22" t="s">
        <v>15248</v>
      </c>
      <c r="E4047" s="24" t="s">
        <v>1952</v>
      </c>
    </row>
    <row r="4048" spans="1:5">
      <c r="A4048" s="22">
        <v>56061</v>
      </c>
      <c r="B4048" s="22">
        <v>0</v>
      </c>
      <c r="C4048" s="22" t="s">
        <v>15188</v>
      </c>
      <c r="D4048" s="22" t="s">
        <v>15249</v>
      </c>
      <c r="E4048" s="24" t="s">
        <v>1952</v>
      </c>
    </row>
    <row r="4049" spans="1:5">
      <c r="A4049" s="22">
        <v>56062</v>
      </c>
      <c r="B4049" s="22">
        <v>0</v>
      </c>
      <c r="C4049" s="22" t="s">
        <v>15188</v>
      </c>
      <c r="D4049" s="22" t="s">
        <v>15250</v>
      </c>
      <c r="E4049" s="24" t="s">
        <v>1952</v>
      </c>
    </row>
    <row r="4050" spans="1:5">
      <c r="A4050" s="22">
        <v>56063</v>
      </c>
      <c r="B4050" s="22">
        <v>0</v>
      </c>
      <c r="C4050" s="22" t="s">
        <v>15188</v>
      </c>
      <c r="D4050" s="22" t="s">
        <v>15251</v>
      </c>
      <c r="E4050" s="24" t="s">
        <v>1952</v>
      </c>
    </row>
    <row r="4051" spans="1:5">
      <c r="A4051" s="22">
        <v>56064</v>
      </c>
      <c r="B4051" s="22">
        <v>0</v>
      </c>
      <c r="C4051" s="22" t="s">
        <v>15188</v>
      </c>
      <c r="D4051" s="22" t="s">
        <v>15252</v>
      </c>
      <c r="E4051" s="24" t="s">
        <v>1952</v>
      </c>
    </row>
    <row r="4052" spans="1:5">
      <c r="A4052" s="22">
        <v>56065</v>
      </c>
      <c r="B4052" s="22">
        <v>0</v>
      </c>
      <c r="C4052" s="22" t="s">
        <v>15188</v>
      </c>
      <c r="D4052" s="22" t="s">
        <v>15253</v>
      </c>
      <c r="E4052" s="24" t="s">
        <v>1952</v>
      </c>
    </row>
    <row r="4053" spans="1:5">
      <c r="A4053" s="22">
        <v>56066</v>
      </c>
      <c r="B4053" s="22">
        <v>0</v>
      </c>
      <c r="C4053" s="22" t="s">
        <v>15188</v>
      </c>
      <c r="D4053" s="22" t="s">
        <v>15254</v>
      </c>
      <c r="E4053" s="24" t="s">
        <v>1952</v>
      </c>
    </row>
    <row r="4054" spans="1:5">
      <c r="A4054" s="22">
        <v>56067</v>
      </c>
      <c r="B4054" s="22">
        <v>0</v>
      </c>
      <c r="C4054" s="22" t="s">
        <v>15188</v>
      </c>
      <c r="D4054" s="22" t="s">
        <v>15255</v>
      </c>
      <c r="E4054" s="24" t="s">
        <v>1952</v>
      </c>
    </row>
    <row r="4055" spans="1:5">
      <c r="A4055" s="22">
        <v>56068</v>
      </c>
      <c r="B4055" s="22">
        <v>0</v>
      </c>
      <c r="C4055" s="22" t="s">
        <v>15188</v>
      </c>
      <c r="D4055" s="22" t="s">
        <v>15256</v>
      </c>
      <c r="E4055" s="24" t="s">
        <v>1952</v>
      </c>
    </row>
    <row r="4056" spans="1:5">
      <c r="A4056" s="22">
        <v>56069</v>
      </c>
      <c r="B4056" s="22">
        <v>0</v>
      </c>
      <c r="C4056" s="22" t="s">
        <v>15188</v>
      </c>
      <c r="D4056" s="22" t="s">
        <v>15257</v>
      </c>
      <c r="E4056" s="24" t="s">
        <v>1952</v>
      </c>
    </row>
    <row r="4057" spans="1:5">
      <c r="A4057" s="22">
        <v>56070</v>
      </c>
      <c r="B4057" s="22">
        <v>0</v>
      </c>
      <c r="C4057" s="22" t="s">
        <v>15188</v>
      </c>
      <c r="D4057" s="22" t="s">
        <v>15258</v>
      </c>
      <c r="E4057" s="24" t="s">
        <v>1952</v>
      </c>
    </row>
    <row r="4058" spans="1:5">
      <c r="A4058" s="22">
        <v>56071</v>
      </c>
      <c r="B4058" s="22">
        <v>0</v>
      </c>
      <c r="C4058" s="22" t="s">
        <v>15188</v>
      </c>
      <c r="D4058" s="22" t="s">
        <v>15259</v>
      </c>
      <c r="E4058" s="24" t="s">
        <v>1952</v>
      </c>
    </row>
    <row r="4059" spans="1:5">
      <c r="A4059" s="22">
        <v>56072</v>
      </c>
      <c r="B4059" s="22">
        <v>0</v>
      </c>
      <c r="C4059" s="22" t="s">
        <v>15188</v>
      </c>
      <c r="D4059" s="22" t="s">
        <v>15260</v>
      </c>
      <c r="E4059" s="24" t="s">
        <v>1952</v>
      </c>
    </row>
    <row r="4060" spans="1:5">
      <c r="A4060" s="22">
        <v>56073</v>
      </c>
      <c r="B4060" s="22">
        <v>0</v>
      </c>
      <c r="C4060" s="22" t="s">
        <v>15188</v>
      </c>
      <c r="D4060" s="22" t="s">
        <v>15261</v>
      </c>
      <c r="E4060" s="24" t="s">
        <v>1952</v>
      </c>
    </row>
    <row r="4061" spans="1:5">
      <c r="A4061" s="22">
        <v>56074</v>
      </c>
      <c r="B4061" s="22">
        <v>0</v>
      </c>
      <c r="C4061" s="22" t="s">
        <v>15188</v>
      </c>
      <c r="D4061" s="22" t="s">
        <v>15262</v>
      </c>
      <c r="E4061" s="24" t="s">
        <v>1952</v>
      </c>
    </row>
    <row r="4062" spans="1:5">
      <c r="A4062" s="22">
        <v>56075</v>
      </c>
      <c r="B4062" s="22">
        <v>0</v>
      </c>
      <c r="C4062" s="22" t="s">
        <v>15188</v>
      </c>
      <c r="D4062" s="22" t="s">
        <v>15263</v>
      </c>
      <c r="E4062" s="24" t="s">
        <v>1952</v>
      </c>
    </row>
    <row r="4063" spans="1:5">
      <c r="A4063" s="22">
        <v>56076</v>
      </c>
      <c r="B4063" s="22">
        <v>0</v>
      </c>
      <c r="C4063" s="22" t="s">
        <v>15188</v>
      </c>
      <c r="D4063" s="22" t="s">
        <v>15264</v>
      </c>
      <c r="E4063" s="24" t="s">
        <v>1952</v>
      </c>
    </row>
    <row r="4064" spans="1:5">
      <c r="A4064" s="22">
        <v>56077</v>
      </c>
      <c r="B4064" s="22">
        <v>0</v>
      </c>
      <c r="C4064" s="22" t="s">
        <v>15188</v>
      </c>
      <c r="D4064" s="22" t="s">
        <v>15265</v>
      </c>
      <c r="E4064" s="24" t="s">
        <v>1952</v>
      </c>
    </row>
    <row r="4065" spans="1:5">
      <c r="A4065" s="22">
        <v>56078</v>
      </c>
      <c r="B4065" s="22">
        <v>0</v>
      </c>
      <c r="C4065" s="22" t="s">
        <v>15188</v>
      </c>
      <c r="D4065" s="22" t="s">
        <v>15266</v>
      </c>
      <c r="E4065" s="24" t="s">
        <v>1952</v>
      </c>
    </row>
    <row r="4066" spans="1:5">
      <c r="A4066" s="22">
        <v>56079</v>
      </c>
      <c r="B4066" s="22">
        <v>0</v>
      </c>
      <c r="C4066" s="22" t="s">
        <v>15188</v>
      </c>
      <c r="D4066" s="22" t="s">
        <v>15267</v>
      </c>
      <c r="E4066" s="24" t="s">
        <v>1952</v>
      </c>
    </row>
    <row r="4067" spans="1:5">
      <c r="A4067" s="22">
        <v>56080</v>
      </c>
      <c r="B4067" s="22">
        <v>0</v>
      </c>
      <c r="C4067" s="22" t="s">
        <v>15188</v>
      </c>
      <c r="D4067" s="22" t="s">
        <v>15268</v>
      </c>
      <c r="E4067" s="24" t="s">
        <v>1952</v>
      </c>
    </row>
    <row r="4068" spans="1:5">
      <c r="A4068" s="22">
        <v>56081</v>
      </c>
      <c r="B4068" s="22">
        <v>0</v>
      </c>
      <c r="C4068" s="22" t="s">
        <v>15188</v>
      </c>
      <c r="D4068" s="22" t="s">
        <v>15269</v>
      </c>
      <c r="E4068" s="24" t="s">
        <v>1952</v>
      </c>
    </row>
    <row r="4069" spans="1:5">
      <c r="A4069" s="22">
        <v>56082</v>
      </c>
      <c r="B4069" s="22">
        <v>0</v>
      </c>
      <c r="C4069" s="22" t="s">
        <v>15188</v>
      </c>
      <c r="D4069" s="22" t="s">
        <v>15270</v>
      </c>
      <c r="E4069" s="24" t="s">
        <v>1952</v>
      </c>
    </row>
    <row r="4070" spans="1:5">
      <c r="A4070" s="22">
        <v>56083</v>
      </c>
      <c r="B4070" s="22">
        <v>0</v>
      </c>
      <c r="C4070" s="22" t="s">
        <v>15188</v>
      </c>
      <c r="D4070" s="22" t="s">
        <v>15271</v>
      </c>
      <c r="E4070" s="24" t="s">
        <v>1952</v>
      </c>
    </row>
    <row r="4071" spans="1:5">
      <c r="A4071" s="22">
        <v>56084</v>
      </c>
      <c r="B4071" s="22">
        <v>0</v>
      </c>
      <c r="C4071" s="22" t="s">
        <v>15188</v>
      </c>
      <c r="D4071" s="22" t="s">
        <v>15272</v>
      </c>
      <c r="E4071" s="24" t="s">
        <v>1952</v>
      </c>
    </row>
    <row r="4072" spans="1:5">
      <c r="A4072" s="22">
        <v>56085</v>
      </c>
      <c r="B4072" s="22">
        <v>0</v>
      </c>
      <c r="C4072" s="22" t="s">
        <v>15188</v>
      </c>
      <c r="D4072" s="22" t="s">
        <v>15273</v>
      </c>
      <c r="E4072" s="24" t="s">
        <v>1952</v>
      </c>
    </row>
    <row r="4073" spans="1:5">
      <c r="A4073" s="22">
        <v>56086</v>
      </c>
      <c r="B4073" s="22">
        <v>0</v>
      </c>
      <c r="C4073" s="22" t="s">
        <v>15188</v>
      </c>
      <c r="D4073" s="22" t="s">
        <v>15274</v>
      </c>
      <c r="E4073" s="24" t="s">
        <v>1952</v>
      </c>
    </row>
    <row r="4074" spans="1:5">
      <c r="A4074" s="22">
        <v>56087</v>
      </c>
      <c r="B4074" s="22">
        <v>0</v>
      </c>
      <c r="C4074" s="22" t="s">
        <v>15188</v>
      </c>
      <c r="D4074" s="22" t="s">
        <v>15275</v>
      </c>
      <c r="E4074" s="24" t="s">
        <v>1952</v>
      </c>
    </row>
    <row r="4075" spans="1:5">
      <c r="A4075" s="22">
        <v>56088</v>
      </c>
      <c r="B4075" s="22">
        <v>0</v>
      </c>
      <c r="C4075" s="22" t="s">
        <v>15188</v>
      </c>
      <c r="D4075" s="22" t="s">
        <v>15276</v>
      </c>
      <c r="E4075" s="24" t="s">
        <v>1952</v>
      </c>
    </row>
    <row r="4076" spans="1:5">
      <c r="A4076" s="22">
        <v>56089</v>
      </c>
      <c r="B4076" s="22">
        <v>0</v>
      </c>
      <c r="C4076" s="22" t="s">
        <v>15188</v>
      </c>
      <c r="D4076" s="22" t="s">
        <v>15277</v>
      </c>
      <c r="E4076" s="24" t="s">
        <v>1952</v>
      </c>
    </row>
    <row r="4077" spans="1:5">
      <c r="A4077" s="22">
        <v>56090</v>
      </c>
      <c r="B4077" s="22">
        <v>0</v>
      </c>
      <c r="C4077" s="22" t="s">
        <v>15188</v>
      </c>
      <c r="D4077" s="22" t="s">
        <v>15278</v>
      </c>
      <c r="E4077" s="24" t="s">
        <v>1952</v>
      </c>
    </row>
    <row r="4078" spans="1:5">
      <c r="A4078" s="22">
        <v>56091</v>
      </c>
      <c r="B4078" s="22">
        <v>0</v>
      </c>
      <c r="C4078" s="22" t="s">
        <v>15188</v>
      </c>
      <c r="D4078" s="22" t="s">
        <v>15279</v>
      </c>
      <c r="E4078" s="24" t="s">
        <v>1952</v>
      </c>
    </row>
    <row r="4079" spans="1:5">
      <c r="A4079" s="22">
        <v>56092</v>
      </c>
      <c r="B4079" s="22">
        <v>0</v>
      </c>
      <c r="C4079" s="22" t="s">
        <v>15188</v>
      </c>
      <c r="D4079" s="22" t="s">
        <v>15280</v>
      </c>
      <c r="E4079" s="24" t="s">
        <v>1952</v>
      </c>
    </row>
    <row r="4080" spans="1:5">
      <c r="A4080" s="22">
        <v>56093</v>
      </c>
      <c r="B4080" s="22">
        <v>0</v>
      </c>
      <c r="C4080" s="22" t="s">
        <v>15188</v>
      </c>
      <c r="D4080" s="22" t="s">
        <v>15281</v>
      </c>
      <c r="E4080" s="24" t="s">
        <v>1952</v>
      </c>
    </row>
    <row r="4081" spans="1:5">
      <c r="A4081" s="22">
        <v>56094</v>
      </c>
      <c r="B4081" s="22">
        <v>0</v>
      </c>
      <c r="C4081" s="22" t="s">
        <v>15188</v>
      </c>
      <c r="D4081" s="22" t="s">
        <v>15282</v>
      </c>
      <c r="E4081" s="24" t="s">
        <v>1952</v>
      </c>
    </row>
    <row r="4082" spans="1:5">
      <c r="A4082" s="22">
        <v>56095</v>
      </c>
      <c r="B4082" s="22">
        <v>0</v>
      </c>
      <c r="C4082" s="22" t="s">
        <v>15188</v>
      </c>
      <c r="D4082" s="22" t="s">
        <v>15283</v>
      </c>
      <c r="E4082" s="24" t="s">
        <v>1952</v>
      </c>
    </row>
    <row r="4083" spans="1:5">
      <c r="A4083" s="22">
        <v>56096</v>
      </c>
      <c r="B4083" s="22">
        <v>0</v>
      </c>
      <c r="C4083" s="22" t="s">
        <v>15188</v>
      </c>
      <c r="D4083" s="22" t="s">
        <v>15284</v>
      </c>
      <c r="E4083" s="24" t="s">
        <v>1952</v>
      </c>
    </row>
    <row r="4084" spans="1:5">
      <c r="A4084" s="22">
        <v>56097</v>
      </c>
      <c r="B4084" s="22">
        <v>0</v>
      </c>
      <c r="C4084" s="22" t="s">
        <v>15188</v>
      </c>
      <c r="D4084" s="22" t="s">
        <v>15285</v>
      </c>
      <c r="E4084" s="24" t="s">
        <v>1952</v>
      </c>
    </row>
    <row r="4085" spans="1:5">
      <c r="A4085" s="22">
        <v>56098</v>
      </c>
      <c r="B4085" s="22">
        <v>0</v>
      </c>
      <c r="C4085" s="22" t="s">
        <v>15188</v>
      </c>
      <c r="D4085" s="22" t="s">
        <v>15286</v>
      </c>
      <c r="E4085" s="24" t="s">
        <v>1952</v>
      </c>
    </row>
    <row r="4086" spans="1:5">
      <c r="A4086" s="22">
        <v>56099</v>
      </c>
      <c r="B4086" s="22">
        <v>0</v>
      </c>
      <c r="C4086" s="22" t="s">
        <v>15188</v>
      </c>
      <c r="D4086" s="22" t="s">
        <v>15287</v>
      </c>
      <c r="E4086" s="24" t="s">
        <v>1952</v>
      </c>
    </row>
    <row r="4087" spans="1:5">
      <c r="A4087" s="22">
        <v>56100</v>
      </c>
      <c r="B4087" s="22">
        <v>0</v>
      </c>
      <c r="C4087" s="22" t="s">
        <v>15188</v>
      </c>
      <c r="D4087" s="22" t="s">
        <v>15288</v>
      </c>
      <c r="E4087" s="24" t="s">
        <v>1952</v>
      </c>
    </row>
    <row r="4088" spans="1:5">
      <c r="A4088" s="22">
        <v>56101</v>
      </c>
      <c r="B4088" s="22">
        <v>0</v>
      </c>
      <c r="C4088" s="22" t="s">
        <v>15188</v>
      </c>
      <c r="D4088" s="22" t="s">
        <v>15289</v>
      </c>
      <c r="E4088" s="24" t="s">
        <v>1952</v>
      </c>
    </row>
    <row r="4089" spans="1:5">
      <c r="A4089" s="22">
        <v>56102</v>
      </c>
      <c r="B4089" s="22">
        <v>0</v>
      </c>
      <c r="C4089" s="22" t="s">
        <v>15188</v>
      </c>
      <c r="D4089" s="22" t="s">
        <v>15290</v>
      </c>
      <c r="E4089" s="24" t="s">
        <v>1952</v>
      </c>
    </row>
    <row r="4090" spans="1:5">
      <c r="A4090" s="22">
        <v>56103</v>
      </c>
      <c r="B4090" s="22">
        <v>0</v>
      </c>
      <c r="C4090" s="22" t="s">
        <v>15188</v>
      </c>
      <c r="D4090" s="22" t="s">
        <v>15291</v>
      </c>
      <c r="E4090" s="24" t="s">
        <v>1952</v>
      </c>
    </row>
    <row r="4091" spans="1:5">
      <c r="A4091" s="22">
        <v>56104</v>
      </c>
      <c r="B4091" s="22">
        <v>0</v>
      </c>
      <c r="C4091" s="22" t="s">
        <v>15188</v>
      </c>
      <c r="D4091" s="22" t="s">
        <v>15292</v>
      </c>
      <c r="E4091" s="24" t="s">
        <v>1952</v>
      </c>
    </row>
    <row r="4092" spans="1:5">
      <c r="A4092" s="22">
        <v>56105</v>
      </c>
      <c r="B4092" s="22">
        <v>0</v>
      </c>
      <c r="C4092" s="22" t="s">
        <v>15188</v>
      </c>
      <c r="D4092" s="22" t="s">
        <v>15293</v>
      </c>
      <c r="E4092" s="24" t="s">
        <v>1952</v>
      </c>
    </row>
    <row r="4093" spans="1:5">
      <c r="A4093" s="22">
        <v>56106</v>
      </c>
      <c r="B4093" s="22">
        <v>0</v>
      </c>
      <c r="C4093" s="22" t="s">
        <v>15188</v>
      </c>
      <c r="D4093" s="22" t="s">
        <v>15294</v>
      </c>
      <c r="E4093" s="24" t="s">
        <v>1952</v>
      </c>
    </row>
    <row r="4094" spans="1:5">
      <c r="A4094" s="22">
        <v>56107</v>
      </c>
      <c r="B4094" s="22">
        <v>0</v>
      </c>
      <c r="C4094" s="22" t="s">
        <v>15188</v>
      </c>
      <c r="D4094" s="22" t="s">
        <v>15295</v>
      </c>
      <c r="E4094" s="24" t="s">
        <v>1952</v>
      </c>
    </row>
    <row r="4095" spans="1:5">
      <c r="A4095" s="22">
        <v>56108</v>
      </c>
      <c r="B4095" s="22">
        <v>0</v>
      </c>
      <c r="C4095" s="22" t="s">
        <v>15188</v>
      </c>
      <c r="D4095" s="22" t="s">
        <v>15296</v>
      </c>
      <c r="E4095" s="24" t="s">
        <v>1952</v>
      </c>
    </row>
    <row r="4096" spans="1:5">
      <c r="A4096" s="22">
        <v>56109</v>
      </c>
      <c r="B4096" s="22">
        <v>0</v>
      </c>
      <c r="C4096" s="22" t="s">
        <v>15188</v>
      </c>
      <c r="D4096" s="22" t="s">
        <v>15297</v>
      </c>
      <c r="E4096" s="24" t="s">
        <v>1952</v>
      </c>
    </row>
    <row r="4097" spans="1:5">
      <c r="A4097" s="22">
        <v>56110</v>
      </c>
      <c r="B4097" s="22">
        <v>0</v>
      </c>
      <c r="C4097" s="22" t="s">
        <v>15188</v>
      </c>
      <c r="D4097" s="22" t="s">
        <v>15298</v>
      </c>
      <c r="E4097" s="24" t="s">
        <v>1952</v>
      </c>
    </row>
    <row r="4098" spans="1:5">
      <c r="A4098" s="22">
        <v>56111</v>
      </c>
      <c r="B4098" s="22">
        <v>0</v>
      </c>
      <c r="C4098" s="22" t="s">
        <v>15188</v>
      </c>
      <c r="D4098" s="22" t="s">
        <v>15299</v>
      </c>
      <c r="E4098" s="24" t="s">
        <v>1952</v>
      </c>
    </row>
    <row r="4099" spans="1:5">
      <c r="A4099" s="22">
        <v>56112</v>
      </c>
      <c r="B4099" s="22">
        <v>0</v>
      </c>
      <c r="C4099" s="22" t="s">
        <v>15188</v>
      </c>
      <c r="D4099" s="22" t="s">
        <v>15300</v>
      </c>
      <c r="E4099" s="24" t="s">
        <v>1952</v>
      </c>
    </row>
    <row r="4100" spans="1:5">
      <c r="A4100" s="22">
        <v>56113</v>
      </c>
      <c r="B4100" s="22">
        <v>0</v>
      </c>
      <c r="C4100" s="22" t="s">
        <v>15188</v>
      </c>
      <c r="D4100" s="22" t="s">
        <v>15301</v>
      </c>
      <c r="E4100" s="24" t="s">
        <v>1952</v>
      </c>
    </row>
    <row r="4101" spans="1:5">
      <c r="A4101" s="22">
        <v>56114</v>
      </c>
      <c r="B4101" s="22">
        <v>0</v>
      </c>
      <c r="C4101" s="22" t="s">
        <v>15188</v>
      </c>
      <c r="D4101" s="22" t="s">
        <v>15302</v>
      </c>
      <c r="E4101" s="24" t="s">
        <v>1952</v>
      </c>
    </row>
    <row r="4102" spans="1:5">
      <c r="A4102" s="22">
        <v>56115</v>
      </c>
      <c r="B4102" s="22">
        <v>0</v>
      </c>
      <c r="C4102" s="22" t="s">
        <v>15188</v>
      </c>
      <c r="D4102" s="22" t="s">
        <v>15303</v>
      </c>
      <c r="E4102" s="24" t="s">
        <v>1952</v>
      </c>
    </row>
    <row r="4103" spans="1:5">
      <c r="A4103" s="22">
        <v>56116</v>
      </c>
      <c r="B4103" s="22">
        <v>0</v>
      </c>
      <c r="C4103" s="22" t="s">
        <v>15188</v>
      </c>
      <c r="D4103" s="22" t="s">
        <v>15304</v>
      </c>
      <c r="E4103" s="24" t="s">
        <v>1952</v>
      </c>
    </row>
    <row r="4104" spans="1:5">
      <c r="A4104" s="22">
        <v>56117</v>
      </c>
      <c r="B4104" s="22">
        <v>0</v>
      </c>
      <c r="C4104" s="22" t="s">
        <v>15188</v>
      </c>
      <c r="D4104" s="22" t="s">
        <v>15305</v>
      </c>
      <c r="E4104" s="24" t="s">
        <v>1952</v>
      </c>
    </row>
    <row r="4105" spans="1:5">
      <c r="A4105" s="22">
        <v>56118</v>
      </c>
      <c r="B4105" s="22">
        <v>0</v>
      </c>
      <c r="C4105" s="22" t="s">
        <v>15188</v>
      </c>
      <c r="D4105" s="22" t="s">
        <v>15306</v>
      </c>
      <c r="E4105" s="24" t="s">
        <v>1952</v>
      </c>
    </row>
    <row r="4106" spans="1:5">
      <c r="A4106" s="22">
        <v>56119</v>
      </c>
      <c r="B4106" s="22">
        <v>0</v>
      </c>
      <c r="C4106" s="22" t="s">
        <v>15188</v>
      </c>
      <c r="D4106" s="22" t="s">
        <v>15307</v>
      </c>
      <c r="E4106" s="24" t="s">
        <v>1952</v>
      </c>
    </row>
    <row r="4107" spans="1:5">
      <c r="A4107" s="22">
        <v>56120</v>
      </c>
      <c r="B4107" s="22">
        <v>0</v>
      </c>
      <c r="C4107" s="22" t="s">
        <v>15188</v>
      </c>
      <c r="D4107" s="22" t="s">
        <v>15308</v>
      </c>
      <c r="E4107" s="24" t="s">
        <v>1952</v>
      </c>
    </row>
    <row r="4108" spans="1:5">
      <c r="A4108" s="22">
        <v>56001</v>
      </c>
      <c r="B4108" s="22">
        <v>0</v>
      </c>
      <c r="C4108" s="22" t="s">
        <v>15188</v>
      </c>
      <c r="D4108" s="22" t="s">
        <v>15309</v>
      </c>
      <c r="E4108" s="24" t="s">
        <v>1952</v>
      </c>
    </row>
    <row r="4109" spans="1:5">
      <c r="A4109" s="22">
        <v>56002</v>
      </c>
      <c r="B4109" s="22">
        <v>0</v>
      </c>
      <c r="C4109" s="22" t="s">
        <v>15188</v>
      </c>
      <c r="D4109" s="22" t="s">
        <v>15310</v>
      </c>
      <c r="E4109" s="24" t="s">
        <v>1952</v>
      </c>
    </row>
    <row r="4110" spans="1:5">
      <c r="A4110" s="22">
        <v>56003</v>
      </c>
      <c r="B4110" s="22">
        <v>0</v>
      </c>
      <c r="C4110" s="22" t="s">
        <v>15188</v>
      </c>
      <c r="D4110" s="22" t="s">
        <v>15311</v>
      </c>
      <c r="E4110" s="24" t="s">
        <v>1952</v>
      </c>
    </row>
    <row r="4111" spans="1:5">
      <c r="A4111" s="22">
        <v>56004</v>
      </c>
      <c r="B4111" s="22">
        <v>0</v>
      </c>
      <c r="C4111" s="22" t="s">
        <v>15188</v>
      </c>
      <c r="D4111" s="22" t="s">
        <v>15312</v>
      </c>
      <c r="E4111" s="24" t="s">
        <v>1952</v>
      </c>
    </row>
    <row r="4112" spans="1:5">
      <c r="A4112" s="22">
        <v>56005</v>
      </c>
      <c r="B4112" s="22">
        <v>0</v>
      </c>
      <c r="C4112" s="22" t="s">
        <v>15188</v>
      </c>
      <c r="D4112" s="22" t="s">
        <v>15313</v>
      </c>
      <c r="E4112" s="24" t="s">
        <v>1952</v>
      </c>
    </row>
    <row r="4113" spans="1:5">
      <c r="A4113" s="22">
        <v>56006</v>
      </c>
      <c r="B4113" s="22">
        <v>0</v>
      </c>
      <c r="C4113" s="22" t="s">
        <v>15188</v>
      </c>
      <c r="D4113" s="22" t="s">
        <v>15314</v>
      </c>
      <c r="E4113" s="24" t="s">
        <v>1952</v>
      </c>
    </row>
    <row r="4114" spans="1:5">
      <c r="A4114" s="22">
        <v>56007</v>
      </c>
      <c r="B4114" s="22">
        <v>0</v>
      </c>
      <c r="C4114" s="22" t="s">
        <v>15188</v>
      </c>
      <c r="D4114" s="22" t="s">
        <v>15315</v>
      </c>
      <c r="E4114" s="24" t="s">
        <v>1952</v>
      </c>
    </row>
    <row r="4115" spans="1:5">
      <c r="A4115" s="22">
        <v>56008</v>
      </c>
      <c r="B4115" s="22">
        <v>0</v>
      </c>
      <c r="C4115" s="22" t="s">
        <v>15188</v>
      </c>
      <c r="D4115" s="22" t="s">
        <v>15316</v>
      </c>
      <c r="E4115" s="24" t="s">
        <v>1952</v>
      </c>
    </row>
    <row r="4116" spans="1:5">
      <c r="A4116" s="22">
        <v>56009</v>
      </c>
      <c r="B4116" s="22">
        <v>0</v>
      </c>
      <c r="C4116" s="22" t="s">
        <v>15188</v>
      </c>
      <c r="D4116" s="22" t="s">
        <v>15317</v>
      </c>
      <c r="E4116" s="24" t="s">
        <v>1952</v>
      </c>
    </row>
    <row r="4117" spans="1:5">
      <c r="A4117" s="22">
        <v>56010</v>
      </c>
      <c r="B4117" s="22">
        <v>0</v>
      </c>
      <c r="C4117" s="22" t="s">
        <v>15188</v>
      </c>
      <c r="D4117" s="22" t="s">
        <v>15318</v>
      </c>
      <c r="E4117" s="24" t="s">
        <v>1952</v>
      </c>
    </row>
    <row r="4118" spans="1:5">
      <c r="A4118" s="22">
        <v>56011</v>
      </c>
      <c r="B4118" s="22">
        <v>0</v>
      </c>
      <c r="C4118" s="22" t="s">
        <v>15188</v>
      </c>
      <c r="D4118" s="22" t="s">
        <v>15319</v>
      </c>
      <c r="E4118" s="24" t="s">
        <v>1952</v>
      </c>
    </row>
    <row r="4119" spans="1:5">
      <c r="A4119" s="22">
        <v>56012</v>
      </c>
      <c r="B4119" s="22">
        <v>0</v>
      </c>
      <c r="C4119" s="22" t="s">
        <v>15188</v>
      </c>
      <c r="D4119" s="22" t="s">
        <v>15320</v>
      </c>
      <c r="E4119" s="24" t="s">
        <v>1952</v>
      </c>
    </row>
    <row r="4120" spans="1:5">
      <c r="A4120" s="22">
        <v>56013</v>
      </c>
      <c r="B4120" s="22">
        <v>0</v>
      </c>
      <c r="C4120" s="22" t="s">
        <v>15188</v>
      </c>
      <c r="D4120" s="22" t="s">
        <v>15321</v>
      </c>
      <c r="E4120" s="24" t="s">
        <v>1952</v>
      </c>
    </row>
    <row r="4121" spans="1:5">
      <c r="A4121" s="22">
        <v>56014</v>
      </c>
      <c r="B4121" s="22">
        <v>0</v>
      </c>
      <c r="C4121" s="22" t="s">
        <v>15188</v>
      </c>
      <c r="D4121" s="22" t="s">
        <v>15322</v>
      </c>
      <c r="E4121" s="24" t="s">
        <v>1952</v>
      </c>
    </row>
    <row r="4122" spans="1:5">
      <c r="A4122" s="22">
        <v>56015</v>
      </c>
      <c r="B4122" s="22">
        <v>0</v>
      </c>
      <c r="C4122" s="22" t="s">
        <v>15188</v>
      </c>
      <c r="D4122" s="22" t="s">
        <v>15323</v>
      </c>
      <c r="E4122" s="24" t="s">
        <v>1952</v>
      </c>
    </row>
    <row r="4123" spans="1:5">
      <c r="A4123" s="22">
        <v>56016</v>
      </c>
      <c r="B4123" s="22">
        <v>0</v>
      </c>
      <c r="C4123" s="22" t="s">
        <v>15188</v>
      </c>
      <c r="D4123" s="22" t="s">
        <v>15324</v>
      </c>
      <c r="E4123" s="24" t="s">
        <v>1952</v>
      </c>
    </row>
    <row r="4124" spans="1:5">
      <c r="A4124" s="22">
        <v>56017</v>
      </c>
      <c r="B4124" s="22">
        <v>0</v>
      </c>
      <c r="C4124" s="22" t="s">
        <v>15188</v>
      </c>
      <c r="D4124" s="22" t="s">
        <v>15325</v>
      </c>
      <c r="E4124" s="24" t="s">
        <v>1952</v>
      </c>
    </row>
    <row r="4125" spans="1:5">
      <c r="A4125" s="22">
        <v>56018</v>
      </c>
      <c r="B4125" s="22">
        <v>0</v>
      </c>
      <c r="C4125" s="22" t="s">
        <v>15188</v>
      </c>
      <c r="D4125" s="22" t="s">
        <v>15326</v>
      </c>
      <c r="E4125" s="24" t="s">
        <v>1952</v>
      </c>
    </row>
    <row r="4126" spans="1:5">
      <c r="A4126" s="22">
        <v>56019</v>
      </c>
      <c r="B4126" s="22">
        <v>0</v>
      </c>
      <c r="C4126" s="22" t="s">
        <v>15188</v>
      </c>
      <c r="D4126" s="22" t="s">
        <v>15327</v>
      </c>
      <c r="E4126" s="24" t="s">
        <v>1952</v>
      </c>
    </row>
    <row r="4127" spans="1:5">
      <c r="A4127" s="22">
        <v>56020</v>
      </c>
      <c r="B4127" s="22">
        <v>0</v>
      </c>
      <c r="C4127" s="22" t="s">
        <v>15188</v>
      </c>
      <c r="D4127" s="22" t="s">
        <v>15328</v>
      </c>
      <c r="E4127" s="24" t="s">
        <v>1952</v>
      </c>
    </row>
    <row r="4128" spans="1:5">
      <c r="A4128" s="22">
        <v>56021</v>
      </c>
      <c r="B4128" s="22">
        <v>0</v>
      </c>
      <c r="C4128" s="22" t="s">
        <v>15188</v>
      </c>
      <c r="D4128" s="22" t="s">
        <v>15329</v>
      </c>
      <c r="E4128" s="24" t="s">
        <v>1952</v>
      </c>
    </row>
    <row r="4129" spans="1:5">
      <c r="A4129" s="22">
        <v>56022</v>
      </c>
      <c r="B4129" s="22">
        <v>0</v>
      </c>
      <c r="C4129" s="22" t="s">
        <v>15188</v>
      </c>
      <c r="D4129" s="22" t="s">
        <v>15330</v>
      </c>
      <c r="E4129" s="24" t="s">
        <v>1952</v>
      </c>
    </row>
    <row r="4130" spans="1:5">
      <c r="A4130" s="22">
        <v>56023</v>
      </c>
      <c r="B4130" s="22">
        <v>0</v>
      </c>
      <c r="C4130" s="22" t="s">
        <v>15188</v>
      </c>
      <c r="D4130" s="22" t="s">
        <v>15331</v>
      </c>
      <c r="E4130" s="24" t="s">
        <v>1952</v>
      </c>
    </row>
    <row r="4131" spans="1:5">
      <c r="A4131" s="22">
        <v>56024</v>
      </c>
      <c r="B4131" s="22">
        <v>0</v>
      </c>
      <c r="C4131" s="22" t="s">
        <v>15188</v>
      </c>
      <c r="D4131" s="22" t="s">
        <v>15332</v>
      </c>
      <c r="E4131" s="24" t="s">
        <v>1952</v>
      </c>
    </row>
    <row r="4132" spans="1:5">
      <c r="A4132" s="22">
        <v>56025</v>
      </c>
      <c r="B4132" s="22">
        <v>0</v>
      </c>
      <c r="C4132" s="22" t="s">
        <v>15188</v>
      </c>
      <c r="D4132" s="22" t="s">
        <v>15333</v>
      </c>
      <c r="E4132" s="24" t="s">
        <v>1952</v>
      </c>
    </row>
    <row r="4133" spans="1:5">
      <c r="A4133" s="22">
        <v>56026</v>
      </c>
      <c r="B4133" s="22">
        <v>0</v>
      </c>
      <c r="C4133" s="22" t="s">
        <v>15188</v>
      </c>
      <c r="D4133" s="22" t="s">
        <v>15334</v>
      </c>
      <c r="E4133" s="24" t="s">
        <v>1952</v>
      </c>
    </row>
    <row r="4134" spans="1:5">
      <c r="A4134" s="22">
        <v>56027</v>
      </c>
      <c r="B4134" s="22">
        <v>0</v>
      </c>
      <c r="C4134" s="22" t="s">
        <v>15188</v>
      </c>
      <c r="D4134" s="22" t="s">
        <v>15335</v>
      </c>
      <c r="E4134" s="24" t="s">
        <v>1952</v>
      </c>
    </row>
    <row r="4135" spans="1:5">
      <c r="A4135" s="22">
        <v>56028</v>
      </c>
      <c r="B4135" s="22">
        <v>0</v>
      </c>
      <c r="C4135" s="22" t="s">
        <v>15188</v>
      </c>
      <c r="D4135" s="22" t="s">
        <v>15336</v>
      </c>
      <c r="E4135" s="24" t="s">
        <v>1952</v>
      </c>
    </row>
    <row r="4136" spans="1:5">
      <c r="A4136" s="22">
        <v>56029</v>
      </c>
      <c r="B4136" s="22">
        <v>0</v>
      </c>
      <c r="C4136" s="22" t="s">
        <v>15188</v>
      </c>
      <c r="D4136" s="22" t="s">
        <v>15337</v>
      </c>
      <c r="E4136" s="24" t="s">
        <v>1952</v>
      </c>
    </row>
    <row r="4137" spans="1:5">
      <c r="A4137" s="22">
        <v>56030</v>
      </c>
      <c r="B4137" s="22">
        <v>0</v>
      </c>
      <c r="C4137" s="22" t="s">
        <v>15188</v>
      </c>
      <c r="D4137" s="22" t="s">
        <v>15338</v>
      </c>
      <c r="E4137" s="24" t="s">
        <v>1952</v>
      </c>
    </row>
    <row r="4138" spans="1:5">
      <c r="A4138" s="22">
        <v>56031</v>
      </c>
      <c r="B4138" s="22">
        <v>0</v>
      </c>
      <c r="C4138" s="22" t="s">
        <v>15188</v>
      </c>
      <c r="D4138" s="22" t="s">
        <v>15339</v>
      </c>
      <c r="E4138" s="24" t="s">
        <v>1952</v>
      </c>
    </row>
    <row r="4139" spans="1:5">
      <c r="A4139" s="22">
        <v>56032</v>
      </c>
      <c r="B4139" s="22">
        <v>0</v>
      </c>
      <c r="C4139" s="22" t="s">
        <v>15188</v>
      </c>
      <c r="D4139" s="22" t="s">
        <v>15340</v>
      </c>
      <c r="E4139" s="24" t="s">
        <v>1952</v>
      </c>
    </row>
    <row r="4140" spans="1:5">
      <c r="A4140" s="22">
        <v>56033</v>
      </c>
      <c r="B4140" s="22">
        <v>0</v>
      </c>
      <c r="C4140" s="22" t="s">
        <v>15188</v>
      </c>
      <c r="D4140" s="22" t="s">
        <v>15341</v>
      </c>
      <c r="E4140" s="24" t="s">
        <v>1952</v>
      </c>
    </row>
    <row r="4141" spans="1:5">
      <c r="A4141" s="22">
        <v>56034</v>
      </c>
      <c r="B4141" s="22">
        <v>0</v>
      </c>
      <c r="C4141" s="22" t="s">
        <v>15188</v>
      </c>
      <c r="D4141" s="22" t="s">
        <v>15342</v>
      </c>
      <c r="E4141" s="24" t="s">
        <v>1952</v>
      </c>
    </row>
    <row r="4142" spans="1:5">
      <c r="A4142" s="22">
        <v>56035</v>
      </c>
      <c r="B4142" s="22">
        <v>0</v>
      </c>
      <c r="C4142" s="22" t="s">
        <v>15188</v>
      </c>
      <c r="D4142" s="22" t="s">
        <v>15343</v>
      </c>
      <c r="E4142" s="24" t="s">
        <v>1952</v>
      </c>
    </row>
    <row r="4143" spans="1:5">
      <c r="A4143" s="22">
        <v>56036</v>
      </c>
      <c r="B4143" s="22">
        <v>0</v>
      </c>
      <c r="C4143" s="22" t="s">
        <v>15188</v>
      </c>
      <c r="D4143" s="22" t="s">
        <v>15344</v>
      </c>
      <c r="E4143" s="24" t="s">
        <v>1952</v>
      </c>
    </row>
    <row r="4144" spans="1:5">
      <c r="A4144" s="22">
        <v>56037</v>
      </c>
      <c r="B4144" s="22">
        <v>0</v>
      </c>
      <c r="C4144" s="22" t="s">
        <v>15188</v>
      </c>
      <c r="D4144" s="22" t="s">
        <v>15345</v>
      </c>
      <c r="E4144" s="24" t="s">
        <v>1952</v>
      </c>
    </row>
    <row r="4145" spans="1:5">
      <c r="A4145" s="22">
        <v>56038</v>
      </c>
      <c r="B4145" s="22">
        <v>0</v>
      </c>
      <c r="C4145" s="22" t="s">
        <v>15188</v>
      </c>
      <c r="D4145" s="22" t="s">
        <v>15346</v>
      </c>
      <c r="E4145" s="24" t="s">
        <v>1952</v>
      </c>
    </row>
    <row r="4146" spans="1:5">
      <c r="A4146" s="22">
        <v>56039</v>
      </c>
      <c r="B4146" s="22">
        <v>0</v>
      </c>
      <c r="C4146" s="22" t="s">
        <v>15188</v>
      </c>
      <c r="D4146" s="22" t="s">
        <v>15347</v>
      </c>
      <c r="E4146" s="24" t="s">
        <v>1952</v>
      </c>
    </row>
    <row r="4147" spans="1:5">
      <c r="A4147" s="22">
        <v>56040</v>
      </c>
      <c r="B4147" s="22">
        <v>0</v>
      </c>
      <c r="C4147" s="22" t="s">
        <v>15188</v>
      </c>
      <c r="D4147" s="22" t="s">
        <v>15348</v>
      </c>
      <c r="E4147" s="24" t="s">
        <v>1952</v>
      </c>
    </row>
    <row r="4148" spans="1:5">
      <c r="A4148" s="22">
        <v>56041</v>
      </c>
      <c r="B4148" s="22">
        <v>0</v>
      </c>
      <c r="C4148" s="22" t="s">
        <v>15188</v>
      </c>
      <c r="D4148" s="22" t="s">
        <v>15349</v>
      </c>
      <c r="E4148" s="24" t="s">
        <v>1952</v>
      </c>
    </row>
    <row r="4149" spans="1:5">
      <c r="A4149" s="22">
        <v>56042</v>
      </c>
      <c r="B4149" s="22">
        <v>0</v>
      </c>
      <c r="C4149" s="22" t="s">
        <v>15188</v>
      </c>
      <c r="D4149" s="22" t="s">
        <v>15350</v>
      </c>
      <c r="E4149" s="24" t="s">
        <v>1952</v>
      </c>
    </row>
    <row r="4150" spans="1:5">
      <c r="A4150" s="22">
        <v>56043</v>
      </c>
      <c r="B4150" s="22">
        <v>0</v>
      </c>
      <c r="C4150" s="22" t="s">
        <v>15188</v>
      </c>
      <c r="D4150" s="22" t="s">
        <v>15351</v>
      </c>
      <c r="E4150" s="24" t="s">
        <v>1952</v>
      </c>
    </row>
    <row r="4151" spans="1:5">
      <c r="A4151" s="22">
        <v>56044</v>
      </c>
      <c r="B4151" s="22">
        <v>0</v>
      </c>
      <c r="C4151" s="22" t="s">
        <v>15188</v>
      </c>
      <c r="D4151" s="22" t="s">
        <v>15352</v>
      </c>
      <c r="E4151" s="24" t="s">
        <v>1952</v>
      </c>
    </row>
    <row r="4152" spans="1:5">
      <c r="A4152" s="22">
        <v>56045</v>
      </c>
      <c r="B4152" s="22">
        <v>0</v>
      </c>
      <c r="C4152" s="22" t="s">
        <v>15188</v>
      </c>
      <c r="D4152" s="22" t="s">
        <v>15353</v>
      </c>
      <c r="E4152" s="24" t="s">
        <v>1952</v>
      </c>
    </row>
    <row r="4153" spans="1:5">
      <c r="A4153" s="22">
        <v>56046</v>
      </c>
      <c r="B4153" s="22">
        <v>0</v>
      </c>
      <c r="C4153" s="22" t="s">
        <v>15188</v>
      </c>
      <c r="D4153" s="22" t="s">
        <v>15354</v>
      </c>
      <c r="E4153" s="24" t="s">
        <v>1952</v>
      </c>
    </row>
    <row r="4154" spans="1:5">
      <c r="A4154" s="22">
        <v>56047</v>
      </c>
      <c r="B4154" s="22">
        <v>0</v>
      </c>
      <c r="C4154" s="22" t="s">
        <v>15188</v>
      </c>
      <c r="D4154" s="22" t="s">
        <v>15355</v>
      </c>
      <c r="E4154" s="24" t="s">
        <v>1952</v>
      </c>
    </row>
    <row r="4155" spans="1:5">
      <c r="A4155" s="22">
        <v>56048</v>
      </c>
      <c r="B4155" s="22">
        <v>0</v>
      </c>
      <c r="C4155" s="22" t="s">
        <v>15188</v>
      </c>
      <c r="D4155" s="22" t="s">
        <v>15356</v>
      </c>
      <c r="E4155" s="24" t="s">
        <v>1952</v>
      </c>
    </row>
    <row r="4156" spans="1:5">
      <c r="A4156" s="22">
        <v>56049</v>
      </c>
      <c r="B4156" s="22">
        <v>0</v>
      </c>
      <c r="C4156" s="22" t="s">
        <v>15188</v>
      </c>
      <c r="D4156" s="22" t="s">
        <v>15357</v>
      </c>
      <c r="E4156" s="24" t="s">
        <v>1952</v>
      </c>
    </row>
    <row r="4157" spans="1:5">
      <c r="A4157" s="22">
        <v>56050</v>
      </c>
      <c r="B4157" s="22">
        <v>0</v>
      </c>
      <c r="C4157" s="22" t="s">
        <v>15188</v>
      </c>
      <c r="D4157" s="22" t="s">
        <v>15358</v>
      </c>
      <c r="E4157" s="24" t="s">
        <v>1952</v>
      </c>
    </row>
    <row r="4158" spans="1:5">
      <c r="A4158" s="22">
        <v>56051</v>
      </c>
      <c r="B4158" s="22">
        <v>0</v>
      </c>
      <c r="C4158" s="22" t="s">
        <v>15188</v>
      </c>
      <c r="D4158" s="22" t="s">
        <v>15359</v>
      </c>
      <c r="E4158" s="24" t="s">
        <v>1952</v>
      </c>
    </row>
    <row r="4159" spans="1:5">
      <c r="A4159" s="22">
        <v>56052</v>
      </c>
      <c r="B4159" s="22">
        <v>0</v>
      </c>
      <c r="C4159" s="22" t="s">
        <v>15188</v>
      </c>
      <c r="D4159" s="22" t="s">
        <v>15360</v>
      </c>
      <c r="E4159" s="24" t="s">
        <v>1952</v>
      </c>
    </row>
    <row r="4160" spans="1:5">
      <c r="A4160" s="22">
        <v>56053</v>
      </c>
      <c r="B4160" s="22">
        <v>0</v>
      </c>
      <c r="C4160" s="22" t="s">
        <v>15188</v>
      </c>
      <c r="D4160" s="22" t="s">
        <v>15361</v>
      </c>
      <c r="E4160" s="24" t="s">
        <v>1952</v>
      </c>
    </row>
    <row r="4161" spans="1:5">
      <c r="A4161" s="22">
        <v>56054</v>
      </c>
      <c r="B4161" s="22">
        <v>0</v>
      </c>
      <c r="C4161" s="22" t="s">
        <v>15188</v>
      </c>
      <c r="D4161" s="22" t="s">
        <v>15362</v>
      </c>
      <c r="E4161" s="24" t="s">
        <v>1952</v>
      </c>
    </row>
    <row r="4162" spans="1:5">
      <c r="A4162" s="22">
        <v>56055</v>
      </c>
      <c r="B4162" s="22">
        <v>0</v>
      </c>
      <c r="C4162" s="22" t="s">
        <v>15188</v>
      </c>
      <c r="D4162" s="22" t="s">
        <v>15363</v>
      </c>
      <c r="E4162" s="24" t="s">
        <v>1952</v>
      </c>
    </row>
    <row r="4163" spans="1:5">
      <c r="A4163" s="22">
        <v>56056</v>
      </c>
      <c r="B4163" s="22">
        <v>0</v>
      </c>
      <c r="C4163" s="22" t="s">
        <v>15188</v>
      </c>
      <c r="D4163" s="22" t="s">
        <v>15364</v>
      </c>
      <c r="E4163" s="24" t="s">
        <v>1952</v>
      </c>
    </row>
    <row r="4164" spans="1:5">
      <c r="A4164" s="22">
        <v>56057</v>
      </c>
      <c r="B4164" s="22">
        <v>0</v>
      </c>
      <c r="C4164" s="22" t="s">
        <v>15188</v>
      </c>
      <c r="D4164" s="22" t="s">
        <v>15365</v>
      </c>
      <c r="E4164" s="24" t="s">
        <v>1952</v>
      </c>
    </row>
    <row r="4165" spans="1:5">
      <c r="A4165" s="22">
        <v>56058</v>
      </c>
      <c r="B4165" s="22">
        <v>0</v>
      </c>
      <c r="C4165" s="22" t="s">
        <v>15188</v>
      </c>
      <c r="D4165" s="22" t="s">
        <v>15366</v>
      </c>
      <c r="E4165" s="24" t="s">
        <v>1952</v>
      </c>
    </row>
    <row r="4166" spans="1:5">
      <c r="A4166" s="22">
        <v>56059</v>
      </c>
      <c r="B4166" s="22">
        <v>0</v>
      </c>
      <c r="C4166" s="22" t="s">
        <v>15188</v>
      </c>
      <c r="D4166" s="22" t="s">
        <v>15367</v>
      </c>
      <c r="E4166" s="24" t="s">
        <v>1952</v>
      </c>
    </row>
    <row r="4167" spans="1:5">
      <c r="A4167" s="22">
        <v>56060</v>
      </c>
      <c r="B4167" s="22">
        <v>0</v>
      </c>
      <c r="C4167" s="22" t="s">
        <v>15188</v>
      </c>
      <c r="D4167" s="22" t="s">
        <v>15368</v>
      </c>
      <c r="E4167" s="24" t="s">
        <v>1952</v>
      </c>
    </row>
    <row r="4168" spans="1:5">
      <c r="A4168" s="22">
        <v>56061</v>
      </c>
      <c r="B4168" s="22">
        <v>0</v>
      </c>
      <c r="C4168" s="22" t="s">
        <v>15188</v>
      </c>
      <c r="D4168" s="22" t="s">
        <v>15369</v>
      </c>
      <c r="E4168" s="24" t="s">
        <v>1952</v>
      </c>
    </row>
    <row r="4169" spans="1:5">
      <c r="A4169" s="22">
        <v>56062</v>
      </c>
      <c r="B4169" s="22">
        <v>0</v>
      </c>
      <c r="C4169" s="22" t="s">
        <v>15188</v>
      </c>
      <c r="D4169" s="22" t="s">
        <v>15370</v>
      </c>
      <c r="E4169" s="24" t="s">
        <v>1952</v>
      </c>
    </row>
    <row r="4170" spans="1:5">
      <c r="A4170" s="22">
        <v>56063</v>
      </c>
      <c r="B4170" s="22">
        <v>0</v>
      </c>
      <c r="C4170" s="22" t="s">
        <v>15188</v>
      </c>
      <c r="D4170" s="22" t="s">
        <v>15371</v>
      </c>
      <c r="E4170" s="24" t="s">
        <v>1952</v>
      </c>
    </row>
    <row r="4171" spans="1:5">
      <c r="A4171" s="22">
        <v>56064</v>
      </c>
      <c r="B4171" s="22">
        <v>0</v>
      </c>
      <c r="C4171" s="22" t="s">
        <v>15188</v>
      </c>
      <c r="D4171" s="22" t="s">
        <v>15372</v>
      </c>
      <c r="E4171" s="24" t="s">
        <v>1952</v>
      </c>
    </row>
    <row r="4172" spans="1:5">
      <c r="A4172" s="22">
        <v>56065</v>
      </c>
      <c r="B4172" s="22">
        <v>0</v>
      </c>
      <c r="C4172" s="22" t="s">
        <v>15188</v>
      </c>
      <c r="D4172" s="22" t="s">
        <v>15373</v>
      </c>
      <c r="E4172" s="24" t="s">
        <v>1952</v>
      </c>
    </row>
    <row r="4173" spans="1:5">
      <c r="A4173" s="22">
        <v>56066</v>
      </c>
      <c r="B4173" s="22">
        <v>0</v>
      </c>
      <c r="C4173" s="22" t="s">
        <v>15188</v>
      </c>
      <c r="D4173" s="22" t="s">
        <v>15374</v>
      </c>
      <c r="E4173" s="24" t="s">
        <v>1952</v>
      </c>
    </row>
    <row r="4174" spans="1:5">
      <c r="A4174" s="22">
        <v>56067</v>
      </c>
      <c r="B4174" s="22">
        <v>0</v>
      </c>
      <c r="C4174" s="22" t="s">
        <v>15188</v>
      </c>
      <c r="D4174" s="22" t="s">
        <v>15375</v>
      </c>
      <c r="E4174" s="24" t="s">
        <v>1952</v>
      </c>
    </row>
    <row r="4175" spans="1:5">
      <c r="A4175" s="22">
        <v>56068</v>
      </c>
      <c r="B4175" s="22">
        <v>0</v>
      </c>
      <c r="C4175" s="22" t="s">
        <v>15188</v>
      </c>
      <c r="D4175" s="22" t="s">
        <v>15376</v>
      </c>
      <c r="E4175" s="24" t="s">
        <v>1952</v>
      </c>
    </row>
    <row r="4176" spans="1:5">
      <c r="A4176" s="22">
        <v>56069</v>
      </c>
      <c r="B4176" s="22">
        <v>0</v>
      </c>
      <c r="C4176" s="22" t="s">
        <v>15188</v>
      </c>
      <c r="D4176" s="22" t="s">
        <v>15377</v>
      </c>
      <c r="E4176" s="24" t="s">
        <v>1952</v>
      </c>
    </row>
    <row r="4177" spans="1:5">
      <c r="A4177" s="22">
        <v>56070</v>
      </c>
      <c r="B4177" s="22">
        <v>0</v>
      </c>
      <c r="C4177" s="22" t="s">
        <v>15188</v>
      </c>
      <c r="D4177" s="22" t="s">
        <v>15378</v>
      </c>
      <c r="E4177" s="24" t="s">
        <v>1952</v>
      </c>
    </row>
    <row r="4178" spans="1:5">
      <c r="A4178" s="22">
        <v>56071</v>
      </c>
      <c r="B4178" s="22">
        <v>0</v>
      </c>
      <c r="C4178" s="22" t="s">
        <v>15188</v>
      </c>
      <c r="D4178" s="22" t="s">
        <v>15379</v>
      </c>
      <c r="E4178" s="24" t="s">
        <v>1952</v>
      </c>
    </row>
    <row r="4179" spans="1:5">
      <c r="A4179" s="22">
        <v>56072</v>
      </c>
      <c r="B4179" s="22">
        <v>0</v>
      </c>
      <c r="C4179" s="22" t="s">
        <v>15188</v>
      </c>
      <c r="D4179" s="22" t="s">
        <v>15380</v>
      </c>
      <c r="E4179" s="24" t="s">
        <v>1952</v>
      </c>
    </row>
    <row r="4180" spans="1:5">
      <c r="A4180" s="22">
        <v>56073</v>
      </c>
      <c r="B4180" s="22">
        <v>0</v>
      </c>
      <c r="C4180" s="22" t="s">
        <v>15188</v>
      </c>
      <c r="D4180" s="22" t="s">
        <v>15381</v>
      </c>
      <c r="E4180" s="24" t="s">
        <v>1952</v>
      </c>
    </row>
    <row r="4181" spans="1:5">
      <c r="A4181" s="22">
        <v>56074</v>
      </c>
      <c r="B4181" s="22">
        <v>0</v>
      </c>
      <c r="C4181" s="22" t="s">
        <v>15188</v>
      </c>
      <c r="D4181" s="22" t="s">
        <v>15382</v>
      </c>
      <c r="E4181" s="24" t="s">
        <v>1952</v>
      </c>
    </row>
    <row r="4182" spans="1:5">
      <c r="A4182" s="22">
        <v>56075</v>
      </c>
      <c r="B4182" s="22">
        <v>0</v>
      </c>
      <c r="C4182" s="22" t="s">
        <v>15188</v>
      </c>
      <c r="D4182" s="22" t="s">
        <v>15383</v>
      </c>
      <c r="E4182" s="24" t="s">
        <v>1952</v>
      </c>
    </row>
    <row r="4183" spans="1:5">
      <c r="A4183" s="22">
        <v>56076</v>
      </c>
      <c r="B4183" s="22">
        <v>0</v>
      </c>
      <c r="C4183" s="22" t="s">
        <v>15188</v>
      </c>
      <c r="D4183" s="22" t="s">
        <v>15384</v>
      </c>
      <c r="E4183" s="24" t="s">
        <v>1952</v>
      </c>
    </row>
    <row r="4184" spans="1:5">
      <c r="A4184" s="22">
        <v>56077</v>
      </c>
      <c r="B4184" s="22">
        <v>0</v>
      </c>
      <c r="C4184" s="22" t="s">
        <v>15188</v>
      </c>
      <c r="D4184" s="22" t="s">
        <v>15385</v>
      </c>
      <c r="E4184" s="24" t="s">
        <v>1952</v>
      </c>
    </row>
    <row r="4185" spans="1:5">
      <c r="A4185" s="22">
        <v>56078</v>
      </c>
      <c r="B4185" s="22">
        <v>0</v>
      </c>
      <c r="C4185" s="22" t="s">
        <v>15188</v>
      </c>
      <c r="D4185" s="22" t="s">
        <v>15386</v>
      </c>
      <c r="E4185" s="24" t="s">
        <v>1952</v>
      </c>
    </row>
    <row r="4186" spans="1:5">
      <c r="A4186" s="22">
        <v>56079</v>
      </c>
      <c r="B4186" s="22">
        <v>0</v>
      </c>
      <c r="C4186" s="22" t="s">
        <v>15188</v>
      </c>
      <c r="D4186" s="22" t="s">
        <v>15387</v>
      </c>
      <c r="E4186" s="24" t="s">
        <v>1952</v>
      </c>
    </row>
    <row r="4187" spans="1:5">
      <c r="A4187" s="22">
        <v>56080</v>
      </c>
      <c r="B4187" s="22">
        <v>0</v>
      </c>
      <c r="C4187" s="22" t="s">
        <v>15188</v>
      </c>
      <c r="D4187" s="22" t="s">
        <v>15388</v>
      </c>
      <c r="E4187" s="24" t="s">
        <v>1952</v>
      </c>
    </row>
    <row r="4188" spans="1:5">
      <c r="A4188" s="22">
        <v>56081</v>
      </c>
      <c r="B4188" s="22">
        <v>0</v>
      </c>
      <c r="C4188" s="22" t="s">
        <v>15188</v>
      </c>
      <c r="D4188" s="22" t="s">
        <v>15389</v>
      </c>
      <c r="E4188" s="24" t="s">
        <v>1952</v>
      </c>
    </row>
    <row r="4189" spans="1:5">
      <c r="A4189" s="22">
        <v>56082</v>
      </c>
      <c r="B4189" s="22">
        <v>0</v>
      </c>
      <c r="C4189" s="22" t="s">
        <v>15188</v>
      </c>
      <c r="D4189" s="22" t="s">
        <v>15390</v>
      </c>
      <c r="E4189" s="24" t="s">
        <v>1952</v>
      </c>
    </row>
    <row r="4190" spans="1:5">
      <c r="A4190" s="22">
        <v>56083</v>
      </c>
      <c r="B4190" s="22">
        <v>0</v>
      </c>
      <c r="C4190" s="22" t="s">
        <v>15188</v>
      </c>
      <c r="D4190" s="22" t="s">
        <v>15391</v>
      </c>
      <c r="E4190" s="24" t="s">
        <v>1952</v>
      </c>
    </row>
    <row r="4191" spans="1:5">
      <c r="A4191" s="22">
        <v>56084</v>
      </c>
      <c r="B4191" s="22">
        <v>0</v>
      </c>
      <c r="C4191" s="22" t="s">
        <v>15188</v>
      </c>
      <c r="D4191" s="22" t="s">
        <v>15392</v>
      </c>
      <c r="E4191" s="24" t="s">
        <v>1952</v>
      </c>
    </row>
    <row r="4192" spans="1:5">
      <c r="A4192" s="22">
        <v>56085</v>
      </c>
      <c r="B4192" s="22">
        <v>0</v>
      </c>
      <c r="C4192" s="22" t="s">
        <v>15188</v>
      </c>
      <c r="D4192" s="22" t="s">
        <v>15393</v>
      </c>
      <c r="E4192" s="24" t="s">
        <v>1952</v>
      </c>
    </row>
    <row r="4193" spans="1:5">
      <c r="A4193" s="22">
        <v>56086</v>
      </c>
      <c r="B4193" s="22">
        <v>0</v>
      </c>
      <c r="C4193" s="22" t="s">
        <v>15188</v>
      </c>
      <c r="D4193" s="22" t="s">
        <v>15394</v>
      </c>
      <c r="E4193" s="24" t="s">
        <v>1952</v>
      </c>
    </row>
    <row r="4194" spans="1:5">
      <c r="A4194" s="22">
        <v>56087</v>
      </c>
      <c r="B4194" s="22">
        <v>0</v>
      </c>
      <c r="C4194" s="22" t="s">
        <v>15188</v>
      </c>
      <c r="D4194" s="22" t="s">
        <v>15395</v>
      </c>
      <c r="E4194" s="24" t="s">
        <v>1952</v>
      </c>
    </row>
    <row r="4195" spans="1:5">
      <c r="A4195" s="22">
        <v>56088</v>
      </c>
      <c r="B4195" s="22">
        <v>0</v>
      </c>
      <c r="C4195" s="22" t="s">
        <v>15188</v>
      </c>
      <c r="D4195" s="22" t="s">
        <v>15396</v>
      </c>
      <c r="E4195" s="24" t="s">
        <v>1952</v>
      </c>
    </row>
    <row r="4196" spans="1:5">
      <c r="A4196" s="22">
        <v>56089</v>
      </c>
      <c r="B4196" s="22">
        <v>0</v>
      </c>
      <c r="C4196" s="22" t="s">
        <v>15188</v>
      </c>
      <c r="D4196" s="22" t="s">
        <v>15397</v>
      </c>
      <c r="E4196" s="24" t="s">
        <v>1952</v>
      </c>
    </row>
    <row r="4197" spans="1:5">
      <c r="A4197" s="22">
        <v>56090</v>
      </c>
      <c r="B4197" s="22">
        <v>0</v>
      </c>
      <c r="C4197" s="22" t="s">
        <v>15188</v>
      </c>
      <c r="D4197" s="22" t="s">
        <v>15398</v>
      </c>
      <c r="E4197" s="24" t="s">
        <v>1952</v>
      </c>
    </row>
    <row r="4198" spans="1:5">
      <c r="A4198" s="22">
        <v>56091</v>
      </c>
      <c r="B4198" s="22">
        <v>0</v>
      </c>
      <c r="C4198" s="22" t="s">
        <v>15188</v>
      </c>
      <c r="D4198" s="22" t="s">
        <v>15399</v>
      </c>
      <c r="E4198" s="24" t="s">
        <v>1952</v>
      </c>
    </row>
    <row r="4199" spans="1:5">
      <c r="A4199" s="22">
        <v>56092</v>
      </c>
      <c r="B4199" s="22">
        <v>0</v>
      </c>
      <c r="C4199" s="22" t="s">
        <v>15188</v>
      </c>
      <c r="D4199" s="22" t="s">
        <v>15400</v>
      </c>
      <c r="E4199" s="24" t="s">
        <v>1952</v>
      </c>
    </row>
    <row r="4200" spans="1:5">
      <c r="A4200" s="22">
        <v>56093</v>
      </c>
      <c r="B4200" s="22">
        <v>0</v>
      </c>
      <c r="C4200" s="22" t="s">
        <v>15188</v>
      </c>
      <c r="D4200" s="22" t="s">
        <v>15401</v>
      </c>
      <c r="E4200" s="24" t="s">
        <v>1952</v>
      </c>
    </row>
    <row r="4201" spans="1:5">
      <c r="A4201" s="22">
        <v>56094</v>
      </c>
      <c r="B4201" s="22">
        <v>0</v>
      </c>
      <c r="C4201" s="22" t="s">
        <v>15188</v>
      </c>
      <c r="D4201" s="22" t="s">
        <v>15402</v>
      </c>
      <c r="E4201" s="24" t="s">
        <v>1952</v>
      </c>
    </row>
    <row r="4202" spans="1:5">
      <c r="A4202" s="22">
        <v>56095</v>
      </c>
      <c r="B4202" s="22">
        <v>0</v>
      </c>
      <c r="C4202" s="22" t="s">
        <v>15188</v>
      </c>
      <c r="D4202" s="22" t="s">
        <v>15403</v>
      </c>
      <c r="E4202" s="24" t="s">
        <v>1952</v>
      </c>
    </row>
    <row r="4203" spans="1:5">
      <c r="A4203" s="22">
        <v>56096</v>
      </c>
      <c r="B4203" s="22">
        <v>0</v>
      </c>
      <c r="C4203" s="22" t="s">
        <v>15188</v>
      </c>
      <c r="D4203" s="22" t="s">
        <v>15404</v>
      </c>
      <c r="E4203" s="24" t="s">
        <v>1952</v>
      </c>
    </row>
    <row r="4204" spans="1:5">
      <c r="A4204" s="22">
        <v>56097</v>
      </c>
      <c r="B4204" s="22">
        <v>0</v>
      </c>
      <c r="C4204" s="22" t="s">
        <v>15188</v>
      </c>
      <c r="D4204" s="22" t="s">
        <v>15405</v>
      </c>
      <c r="E4204" s="24" t="s">
        <v>1952</v>
      </c>
    </row>
    <row r="4205" spans="1:5">
      <c r="A4205" s="22">
        <v>56098</v>
      </c>
      <c r="B4205" s="22">
        <v>0</v>
      </c>
      <c r="C4205" s="22" t="s">
        <v>15188</v>
      </c>
      <c r="D4205" s="22" t="s">
        <v>15406</v>
      </c>
      <c r="E4205" s="24" t="s">
        <v>1952</v>
      </c>
    </row>
    <row r="4206" spans="1:5">
      <c r="A4206" s="22">
        <v>56099</v>
      </c>
      <c r="B4206" s="22">
        <v>0</v>
      </c>
      <c r="C4206" s="22" t="s">
        <v>15188</v>
      </c>
      <c r="D4206" s="22" t="s">
        <v>15407</v>
      </c>
      <c r="E4206" s="24" t="s">
        <v>1952</v>
      </c>
    </row>
    <row r="4207" spans="1:5">
      <c r="A4207" s="22">
        <v>56100</v>
      </c>
      <c r="B4207" s="22">
        <v>0</v>
      </c>
      <c r="C4207" s="22" t="s">
        <v>15188</v>
      </c>
      <c r="D4207" s="22" t="s">
        <v>15408</v>
      </c>
      <c r="E4207" s="24" t="s">
        <v>1952</v>
      </c>
    </row>
    <row r="4208" spans="1:5">
      <c r="A4208" s="22">
        <v>56101</v>
      </c>
      <c r="B4208" s="22">
        <v>0</v>
      </c>
      <c r="C4208" s="22" t="s">
        <v>15188</v>
      </c>
      <c r="D4208" s="22" t="s">
        <v>15409</v>
      </c>
      <c r="E4208" s="24" t="s">
        <v>1952</v>
      </c>
    </row>
    <row r="4209" spans="1:5">
      <c r="A4209" s="22">
        <v>56102</v>
      </c>
      <c r="B4209" s="22">
        <v>0</v>
      </c>
      <c r="C4209" s="22" t="s">
        <v>15188</v>
      </c>
      <c r="D4209" s="22" t="s">
        <v>15410</v>
      </c>
      <c r="E4209" s="24" t="s">
        <v>1952</v>
      </c>
    </row>
    <row r="4210" spans="1:5">
      <c r="A4210" s="22">
        <v>56103</v>
      </c>
      <c r="B4210" s="22">
        <v>0</v>
      </c>
      <c r="C4210" s="22" t="s">
        <v>15188</v>
      </c>
      <c r="D4210" s="22" t="s">
        <v>15411</v>
      </c>
      <c r="E4210" s="24" t="s">
        <v>1952</v>
      </c>
    </row>
    <row r="4211" spans="1:5">
      <c r="A4211" s="22">
        <v>56104</v>
      </c>
      <c r="B4211" s="22">
        <v>0</v>
      </c>
      <c r="C4211" s="22" t="s">
        <v>15188</v>
      </c>
      <c r="D4211" s="22" t="s">
        <v>15412</v>
      </c>
      <c r="E4211" s="24" t="s">
        <v>1952</v>
      </c>
    </row>
    <row r="4212" spans="1:5">
      <c r="A4212" s="22">
        <v>56105</v>
      </c>
      <c r="B4212" s="22">
        <v>0</v>
      </c>
      <c r="C4212" s="22" t="s">
        <v>15188</v>
      </c>
      <c r="D4212" s="22" t="s">
        <v>15413</v>
      </c>
      <c r="E4212" s="24" t="s">
        <v>1952</v>
      </c>
    </row>
    <row r="4213" spans="1:5">
      <c r="A4213" s="22">
        <v>56106</v>
      </c>
      <c r="B4213" s="22">
        <v>0</v>
      </c>
      <c r="C4213" s="22" t="s">
        <v>15188</v>
      </c>
      <c r="D4213" s="22" t="s">
        <v>15414</v>
      </c>
      <c r="E4213" s="24" t="s">
        <v>1952</v>
      </c>
    </row>
    <row r="4214" spans="1:5">
      <c r="A4214" s="22">
        <v>56107</v>
      </c>
      <c r="B4214" s="22">
        <v>0</v>
      </c>
      <c r="C4214" s="22" t="s">
        <v>15188</v>
      </c>
      <c r="D4214" s="22" t="s">
        <v>15415</v>
      </c>
      <c r="E4214" s="24" t="s">
        <v>1952</v>
      </c>
    </row>
    <row r="4215" spans="1:5">
      <c r="A4215" s="22">
        <v>56108</v>
      </c>
      <c r="B4215" s="22">
        <v>0</v>
      </c>
      <c r="C4215" s="22" t="s">
        <v>15188</v>
      </c>
      <c r="D4215" s="22" t="s">
        <v>15416</v>
      </c>
      <c r="E4215" s="24" t="s">
        <v>1952</v>
      </c>
    </row>
    <row r="4216" spans="1:5">
      <c r="A4216" s="22">
        <v>56109</v>
      </c>
      <c r="B4216" s="22">
        <v>0</v>
      </c>
      <c r="C4216" s="22" t="s">
        <v>15188</v>
      </c>
      <c r="D4216" s="22" t="s">
        <v>15417</v>
      </c>
      <c r="E4216" s="24" t="s">
        <v>1952</v>
      </c>
    </row>
    <row r="4217" spans="1:5">
      <c r="A4217" s="22">
        <v>56110</v>
      </c>
      <c r="B4217" s="22">
        <v>0</v>
      </c>
      <c r="C4217" s="22" t="s">
        <v>15188</v>
      </c>
      <c r="D4217" s="22" t="s">
        <v>15418</v>
      </c>
      <c r="E4217" s="24" t="s">
        <v>1952</v>
      </c>
    </row>
    <row r="4218" spans="1:5">
      <c r="A4218" s="22">
        <v>56111</v>
      </c>
      <c r="B4218" s="22">
        <v>0</v>
      </c>
      <c r="C4218" s="22" t="s">
        <v>15188</v>
      </c>
      <c r="D4218" s="22" t="s">
        <v>15419</v>
      </c>
      <c r="E4218" s="24" t="s">
        <v>1952</v>
      </c>
    </row>
    <row r="4219" spans="1:5">
      <c r="A4219" s="22">
        <v>56112</v>
      </c>
      <c r="B4219" s="22">
        <v>0</v>
      </c>
      <c r="C4219" s="22" t="s">
        <v>15188</v>
      </c>
      <c r="D4219" s="22" t="s">
        <v>15420</v>
      </c>
      <c r="E4219" s="24" t="s">
        <v>1952</v>
      </c>
    </row>
    <row r="4220" spans="1:5">
      <c r="A4220" s="22">
        <v>56113</v>
      </c>
      <c r="B4220" s="22">
        <v>0</v>
      </c>
      <c r="C4220" s="22" t="s">
        <v>15188</v>
      </c>
      <c r="D4220" s="22" t="s">
        <v>15421</v>
      </c>
      <c r="E4220" s="24" t="s">
        <v>1952</v>
      </c>
    </row>
    <row r="4221" spans="1:5">
      <c r="A4221" s="22">
        <v>56114</v>
      </c>
      <c r="B4221" s="22">
        <v>0</v>
      </c>
      <c r="C4221" s="22" t="s">
        <v>15188</v>
      </c>
      <c r="D4221" s="22" t="s">
        <v>15422</v>
      </c>
      <c r="E4221" s="24" t="s">
        <v>1952</v>
      </c>
    </row>
    <row r="4222" spans="1:5">
      <c r="A4222" s="22">
        <v>56115</v>
      </c>
      <c r="B4222" s="22">
        <v>0</v>
      </c>
      <c r="C4222" s="22" t="s">
        <v>15188</v>
      </c>
      <c r="D4222" s="22" t="s">
        <v>15423</v>
      </c>
      <c r="E4222" s="24" t="s">
        <v>1952</v>
      </c>
    </row>
    <row r="4223" spans="1:5">
      <c r="A4223" s="22">
        <v>56116</v>
      </c>
      <c r="B4223" s="22">
        <v>0</v>
      </c>
      <c r="C4223" s="22" t="s">
        <v>15188</v>
      </c>
      <c r="D4223" s="22" t="s">
        <v>15424</v>
      </c>
      <c r="E4223" s="24" t="s">
        <v>1952</v>
      </c>
    </row>
    <row r="4224" spans="1:5">
      <c r="A4224" s="22">
        <v>56117</v>
      </c>
      <c r="B4224" s="22">
        <v>0</v>
      </c>
      <c r="C4224" s="22" t="s">
        <v>15188</v>
      </c>
      <c r="D4224" s="22" t="s">
        <v>15425</v>
      </c>
      <c r="E4224" s="24" t="s">
        <v>1952</v>
      </c>
    </row>
    <row r="4225" spans="1:5">
      <c r="A4225" s="22">
        <v>56118</v>
      </c>
      <c r="B4225" s="22">
        <v>0</v>
      </c>
      <c r="C4225" s="22" t="s">
        <v>15188</v>
      </c>
      <c r="D4225" s="22" t="s">
        <v>15426</v>
      </c>
      <c r="E4225" s="24" t="s">
        <v>1952</v>
      </c>
    </row>
    <row r="4226" spans="1:5">
      <c r="A4226" s="22">
        <v>56119</v>
      </c>
      <c r="B4226" s="22">
        <v>0</v>
      </c>
      <c r="C4226" s="22" t="s">
        <v>15188</v>
      </c>
      <c r="D4226" s="22" t="s">
        <v>15427</v>
      </c>
      <c r="E4226" s="24" t="s">
        <v>1952</v>
      </c>
    </row>
    <row r="4227" spans="1:5">
      <c r="A4227" s="22">
        <v>56120</v>
      </c>
      <c r="B4227" s="22">
        <v>0</v>
      </c>
      <c r="C4227" s="22" t="s">
        <v>15188</v>
      </c>
      <c r="D4227" s="22" t="s">
        <v>15428</v>
      </c>
      <c r="E4227" s="24" t="s">
        <v>1952</v>
      </c>
    </row>
    <row r="4228" spans="1:5">
      <c r="A4228" s="43">
        <v>57001</v>
      </c>
      <c r="B4228" s="43">
        <v>0</v>
      </c>
      <c r="C4228" s="45" t="s">
        <v>3811</v>
      </c>
      <c r="D4228" s="43" t="s">
        <v>15429</v>
      </c>
      <c r="E4228" s="45" t="s">
        <v>15435</v>
      </c>
    </row>
    <row r="4229" spans="1:5">
      <c r="A4229" s="43">
        <v>57002</v>
      </c>
      <c r="B4229" s="43">
        <v>0</v>
      </c>
      <c r="C4229" s="45" t="s">
        <v>3776</v>
      </c>
      <c r="D4229" s="43" t="s">
        <v>15430</v>
      </c>
      <c r="E4229" s="45" t="s">
        <v>15436</v>
      </c>
    </row>
    <row r="4230" spans="1:5">
      <c r="A4230" s="43">
        <v>57003</v>
      </c>
      <c r="B4230" s="43">
        <v>0</v>
      </c>
      <c r="C4230" s="45" t="s">
        <v>15441</v>
      </c>
      <c r="D4230" s="43" t="s">
        <v>15431</v>
      </c>
      <c r="E4230" s="45" t="s">
        <v>15437</v>
      </c>
    </row>
    <row r="4231" spans="1:5">
      <c r="A4231" s="43">
        <v>57004</v>
      </c>
      <c r="B4231" s="43">
        <v>0</v>
      </c>
      <c r="C4231" s="45" t="s">
        <v>3814</v>
      </c>
      <c r="D4231" s="43" t="s">
        <v>15432</v>
      </c>
      <c r="E4231" s="45" t="s">
        <v>15438</v>
      </c>
    </row>
    <row r="4232" spans="1:5">
      <c r="A4232" s="43">
        <v>57005</v>
      </c>
      <c r="B4232" s="43">
        <v>0</v>
      </c>
      <c r="C4232" s="45" t="s">
        <v>15442</v>
      </c>
      <c r="D4232" s="43" t="s">
        <v>15433</v>
      </c>
      <c r="E4232" s="45" t="s">
        <v>15439</v>
      </c>
    </row>
    <row r="4233" spans="1:5">
      <c r="A4233" s="43">
        <v>57006</v>
      </c>
      <c r="B4233" s="43">
        <v>0</v>
      </c>
      <c r="C4233" s="45" t="s">
        <v>15443</v>
      </c>
      <c r="D4233" s="43" t="s">
        <v>15434</v>
      </c>
      <c r="E4233" s="45" t="s">
        <v>15440</v>
      </c>
    </row>
    <row r="4234" spans="1:5">
      <c r="A4234" s="327">
        <v>57021</v>
      </c>
      <c r="B4234" s="327">
        <v>0</v>
      </c>
      <c r="C4234" s="328" t="s">
        <v>15711</v>
      </c>
      <c r="D4234" s="327" t="s">
        <v>15444</v>
      </c>
      <c r="E4234" s="328" t="s">
        <v>723</v>
      </c>
    </row>
    <row r="4235" spans="1:5">
      <c r="A4235" s="327">
        <v>57022</v>
      </c>
      <c r="B4235" s="327">
        <v>0</v>
      </c>
      <c r="C4235" s="328" t="s">
        <v>15712</v>
      </c>
      <c r="D4235" s="327" t="s">
        <v>15445</v>
      </c>
      <c r="E4235" s="328" t="s">
        <v>15713</v>
      </c>
    </row>
    <row r="4236" spans="1:5">
      <c r="A4236" s="327">
        <v>57023</v>
      </c>
      <c r="B4236" s="327">
        <v>0</v>
      </c>
      <c r="C4236" s="328" t="s">
        <v>15714</v>
      </c>
      <c r="D4236" s="327" t="s">
        <v>15446</v>
      </c>
      <c r="E4236" s="328" t="s">
        <v>11437</v>
      </c>
    </row>
    <row r="4237" spans="1:5">
      <c r="A4237" s="327">
        <v>57024</v>
      </c>
      <c r="B4237" s="327">
        <v>0</v>
      </c>
      <c r="C4237" s="328" t="s">
        <v>15715</v>
      </c>
      <c r="D4237" s="327" t="s">
        <v>15447</v>
      </c>
      <c r="E4237" s="328" t="s">
        <v>15716</v>
      </c>
    </row>
    <row r="4238" spans="1:5">
      <c r="A4238" s="327">
        <v>57025</v>
      </c>
      <c r="B4238" s="327">
        <v>0</v>
      </c>
      <c r="C4238" s="328" t="s">
        <v>15717</v>
      </c>
      <c r="D4238" s="327" t="s">
        <v>15448</v>
      </c>
      <c r="E4238" s="328" t="s">
        <v>3203</v>
      </c>
    </row>
    <row r="4239" spans="1:5">
      <c r="A4239" s="327">
        <v>57026</v>
      </c>
      <c r="B4239" s="327">
        <v>0</v>
      </c>
      <c r="C4239" s="328" t="s">
        <v>15718</v>
      </c>
      <c r="D4239" s="327" t="s">
        <v>15449</v>
      </c>
      <c r="E4239" s="328" t="s">
        <v>1154</v>
      </c>
    </row>
    <row r="4240" spans="1:5">
      <c r="A4240" s="43">
        <v>58001</v>
      </c>
      <c r="B4240" s="43">
        <v>0</v>
      </c>
      <c r="C4240" s="45" t="s">
        <v>15450</v>
      </c>
      <c r="D4240" s="43" t="s">
        <v>15490</v>
      </c>
      <c r="E4240" s="45" t="s">
        <v>15470</v>
      </c>
    </row>
    <row r="4241" spans="1:5">
      <c r="A4241" s="43">
        <v>58002</v>
      </c>
      <c r="B4241" s="43">
        <v>0</v>
      </c>
      <c r="C4241" s="45" t="s">
        <v>15451</v>
      </c>
      <c r="D4241" s="43" t="s">
        <v>15491</v>
      </c>
      <c r="E4241" s="45" t="s">
        <v>15471</v>
      </c>
    </row>
    <row r="4242" spans="1:5">
      <c r="A4242" s="43">
        <v>58003</v>
      </c>
      <c r="B4242" s="43">
        <v>0</v>
      </c>
      <c r="C4242" s="45" t="s">
        <v>15452</v>
      </c>
      <c r="D4242" s="43" t="s">
        <v>15492</v>
      </c>
      <c r="E4242" s="45" t="s">
        <v>15472</v>
      </c>
    </row>
    <row r="4243" spans="1:5">
      <c r="A4243" s="43">
        <v>58004</v>
      </c>
      <c r="B4243" s="43">
        <v>0</v>
      </c>
      <c r="C4243" s="45" t="s">
        <v>15453</v>
      </c>
      <c r="D4243" s="43" t="s">
        <v>15493</v>
      </c>
      <c r="E4243" s="45" t="s">
        <v>15473</v>
      </c>
    </row>
    <row r="4244" spans="1:5">
      <c r="A4244" s="43">
        <v>58005</v>
      </c>
      <c r="B4244" s="43">
        <v>0</v>
      </c>
      <c r="C4244" s="45" t="s">
        <v>15454</v>
      </c>
      <c r="D4244" s="43" t="s">
        <v>15494</v>
      </c>
      <c r="E4244" s="45" t="s">
        <v>15474</v>
      </c>
    </row>
    <row r="4245" spans="1:5">
      <c r="A4245" s="43">
        <v>58006</v>
      </c>
      <c r="B4245" s="43">
        <v>0</v>
      </c>
      <c r="C4245" s="45" t="s">
        <v>15455</v>
      </c>
      <c r="D4245" s="43" t="s">
        <v>15495</v>
      </c>
      <c r="E4245" s="45" t="s">
        <v>15475</v>
      </c>
    </row>
    <row r="4246" spans="1:5">
      <c r="A4246" s="43">
        <v>58007</v>
      </c>
      <c r="B4246" s="43">
        <v>0</v>
      </c>
      <c r="C4246" s="45" t="s">
        <v>15456</v>
      </c>
      <c r="D4246" s="43" t="s">
        <v>15496</v>
      </c>
      <c r="E4246" s="45" t="s">
        <v>15476</v>
      </c>
    </row>
    <row r="4247" spans="1:5">
      <c r="A4247" s="43">
        <v>58008</v>
      </c>
      <c r="B4247" s="43">
        <v>0</v>
      </c>
      <c r="C4247" s="45" t="s">
        <v>15457</v>
      </c>
      <c r="D4247" s="43" t="s">
        <v>15497</v>
      </c>
      <c r="E4247" s="45" t="s">
        <v>15477</v>
      </c>
    </row>
    <row r="4248" spans="1:5">
      <c r="A4248" s="43">
        <v>58009</v>
      </c>
      <c r="B4248" s="43">
        <v>0</v>
      </c>
      <c r="C4248" s="45" t="s">
        <v>15458</v>
      </c>
      <c r="D4248" s="43" t="s">
        <v>15498</v>
      </c>
      <c r="E4248" s="45" t="s">
        <v>15478</v>
      </c>
    </row>
    <row r="4249" spans="1:5">
      <c r="A4249" s="43">
        <v>58010</v>
      </c>
      <c r="B4249" s="43">
        <v>0</v>
      </c>
      <c r="C4249" s="45" t="s">
        <v>15459</v>
      </c>
      <c r="D4249" s="43" t="s">
        <v>15499</v>
      </c>
      <c r="E4249" s="45" t="s">
        <v>15479</v>
      </c>
    </row>
    <row r="4250" spans="1:5">
      <c r="A4250" s="43">
        <v>58011</v>
      </c>
      <c r="B4250" s="43">
        <v>0</v>
      </c>
      <c r="C4250" s="45" t="s">
        <v>15460</v>
      </c>
      <c r="D4250" s="43" t="s">
        <v>15500</v>
      </c>
      <c r="E4250" s="45" t="s">
        <v>15480</v>
      </c>
    </row>
    <row r="4251" spans="1:5">
      <c r="A4251" s="43">
        <v>58012</v>
      </c>
      <c r="B4251" s="43">
        <v>0</v>
      </c>
      <c r="C4251" s="45" t="s">
        <v>15461</v>
      </c>
      <c r="D4251" s="43" t="s">
        <v>15501</v>
      </c>
      <c r="E4251" s="45" t="s">
        <v>15481</v>
      </c>
    </row>
    <row r="4252" spans="1:5">
      <c r="A4252" s="43">
        <v>58013</v>
      </c>
      <c r="B4252" s="43">
        <v>0</v>
      </c>
      <c r="C4252" s="45" t="s">
        <v>15462</v>
      </c>
      <c r="D4252" s="43" t="s">
        <v>15502</v>
      </c>
      <c r="E4252" s="45" t="s">
        <v>15482</v>
      </c>
    </row>
    <row r="4253" spans="1:5">
      <c r="A4253" s="43">
        <v>58014</v>
      </c>
      <c r="B4253" s="43">
        <v>0</v>
      </c>
      <c r="C4253" s="45" t="s">
        <v>15463</v>
      </c>
      <c r="D4253" s="43" t="s">
        <v>15503</v>
      </c>
      <c r="E4253" s="45" t="s">
        <v>15483</v>
      </c>
    </row>
    <row r="4254" spans="1:5">
      <c r="A4254" s="43">
        <v>58015</v>
      </c>
      <c r="B4254" s="43">
        <v>0</v>
      </c>
      <c r="C4254" s="45" t="s">
        <v>15464</v>
      </c>
      <c r="D4254" s="43" t="s">
        <v>15504</v>
      </c>
      <c r="E4254" s="45" t="s">
        <v>15484</v>
      </c>
    </row>
    <row r="4255" spans="1:5">
      <c r="A4255" s="43">
        <v>58016</v>
      </c>
      <c r="B4255" s="43">
        <v>0</v>
      </c>
      <c r="C4255" s="45" t="s">
        <v>15465</v>
      </c>
      <c r="D4255" s="43" t="s">
        <v>15505</v>
      </c>
      <c r="E4255" s="45" t="s">
        <v>15485</v>
      </c>
    </row>
    <row r="4256" spans="1:5">
      <c r="A4256" s="43">
        <v>58017</v>
      </c>
      <c r="B4256" s="43">
        <v>0</v>
      </c>
      <c r="C4256" s="45" t="s">
        <v>15466</v>
      </c>
      <c r="D4256" s="43" t="s">
        <v>15506</v>
      </c>
      <c r="E4256" s="45" t="s">
        <v>15486</v>
      </c>
    </row>
    <row r="4257" spans="1:5">
      <c r="A4257" s="43">
        <v>58018</v>
      </c>
      <c r="B4257" s="43">
        <v>0</v>
      </c>
      <c r="C4257" s="45" t="s">
        <v>15467</v>
      </c>
      <c r="D4257" s="43" t="s">
        <v>15507</v>
      </c>
      <c r="E4257" s="45" t="s">
        <v>15487</v>
      </c>
    </row>
    <row r="4258" spans="1:5">
      <c r="A4258" s="43">
        <v>58019</v>
      </c>
      <c r="B4258" s="43">
        <v>0</v>
      </c>
      <c r="C4258" s="45" t="s">
        <v>15468</v>
      </c>
      <c r="D4258" s="43" t="s">
        <v>15508</v>
      </c>
      <c r="E4258" s="45" t="s">
        <v>15488</v>
      </c>
    </row>
    <row r="4259" spans="1:5">
      <c r="A4259" s="43">
        <v>58020</v>
      </c>
      <c r="B4259" s="43">
        <v>0</v>
      </c>
      <c r="C4259" s="45" t="s">
        <v>15469</v>
      </c>
      <c r="D4259" s="43" t="s">
        <v>15509</v>
      </c>
      <c r="E4259" s="45" t="s">
        <v>15489</v>
      </c>
    </row>
    <row r="4260" spans="1:5">
      <c r="A4260" s="22">
        <v>58101</v>
      </c>
      <c r="B4260" s="22">
        <v>0</v>
      </c>
      <c r="C4260" s="24" t="s">
        <v>15510</v>
      </c>
      <c r="D4260" s="22" t="s">
        <v>15516</v>
      </c>
      <c r="E4260" s="202" t="s">
        <v>15726</v>
      </c>
    </row>
    <row r="4261" spans="1:5">
      <c r="A4261" s="22">
        <v>58102</v>
      </c>
      <c r="B4261" s="22">
        <v>0</v>
      </c>
      <c r="C4261" s="24" t="s">
        <v>15511</v>
      </c>
      <c r="D4261" s="22" t="s">
        <v>15517</v>
      </c>
      <c r="E4261" s="202" t="s">
        <v>15709</v>
      </c>
    </row>
    <row r="4262" spans="1:5">
      <c r="A4262" s="22">
        <v>58103</v>
      </c>
      <c r="B4262" s="22">
        <v>0</v>
      </c>
      <c r="C4262" s="24" t="s">
        <v>15511</v>
      </c>
      <c r="D4262" s="22" t="s">
        <v>15518</v>
      </c>
      <c r="E4262" s="202" t="s">
        <v>15710</v>
      </c>
    </row>
    <row r="4263" spans="1:5">
      <c r="A4263" s="22">
        <v>58104</v>
      </c>
      <c r="B4263" s="22">
        <v>0</v>
      </c>
      <c r="C4263" s="24" t="s">
        <v>15512</v>
      </c>
      <c r="D4263" s="22" t="s">
        <v>15519</v>
      </c>
      <c r="E4263" s="24" t="s">
        <v>15514</v>
      </c>
    </row>
    <row r="4264" spans="1:5">
      <c r="A4264" s="22">
        <v>58105</v>
      </c>
      <c r="B4264" s="22">
        <v>0</v>
      </c>
      <c r="C4264" s="24" t="s">
        <v>15512</v>
      </c>
      <c r="D4264" s="22" t="s">
        <v>15520</v>
      </c>
      <c r="E4264" s="24" t="s">
        <v>15514</v>
      </c>
    </row>
    <row r="4265" spans="1:5">
      <c r="A4265" s="22">
        <v>58106</v>
      </c>
      <c r="B4265" s="22">
        <v>0</v>
      </c>
      <c r="C4265" s="24" t="s">
        <v>15513</v>
      </c>
      <c r="D4265" s="22" t="s">
        <v>15521</v>
      </c>
      <c r="E4265" s="24" t="s">
        <v>15515</v>
      </c>
    </row>
    <row r="4266" spans="1:5">
      <c r="A4266" s="22">
        <v>58107</v>
      </c>
      <c r="B4266" s="22">
        <v>0</v>
      </c>
      <c r="C4266" s="24" t="s">
        <v>15513</v>
      </c>
      <c r="D4266" s="22" t="s">
        <v>15522</v>
      </c>
      <c r="E4266" s="24" t="s">
        <v>15515</v>
      </c>
    </row>
    <row r="4267" spans="1:5">
      <c r="A4267" s="22">
        <v>58108</v>
      </c>
      <c r="B4267" s="22">
        <v>0</v>
      </c>
      <c r="C4267" s="24" t="s">
        <v>15513</v>
      </c>
      <c r="D4267" s="22" t="s">
        <v>15523</v>
      </c>
      <c r="E4267" s="24" t="s">
        <v>15515</v>
      </c>
    </row>
    <row r="4268" spans="1:5">
      <c r="A4268" s="22">
        <v>58109</v>
      </c>
      <c r="B4268" s="22">
        <v>0</v>
      </c>
      <c r="C4268" s="24" t="s">
        <v>15513</v>
      </c>
      <c r="D4268" s="22" t="s">
        <v>15524</v>
      </c>
      <c r="E4268" s="24" t="s">
        <v>15515</v>
      </c>
    </row>
    <row r="4269" spans="1:5">
      <c r="A4269" s="22">
        <v>58110</v>
      </c>
      <c r="B4269" s="22">
        <v>0</v>
      </c>
      <c r="C4269" s="24" t="s">
        <v>15513</v>
      </c>
      <c r="D4269" s="22" t="s">
        <v>15525</v>
      </c>
      <c r="E4269" s="24" t="s">
        <v>15515</v>
      </c>
    </row>
    <row r="4270" spans="1:5">
      <c r="A4270" s="43">
        <v>58201</v>
      </c>
      <c r="B4270" s="43">
        <v>0</v>
      </c>
      <c r="C4270" s="202" t="s">
        <v>15731</v>
      </c>
      <c r="D4270" s="43" t="s">
        <v>15526</v>
      </c>
      <c r="E4270" s="202" t="s">
        <v>15727</v>
      </c>
    </row>
    <row r="4271" spans="1:5">
      <c r="A4271" s="43">
        <v>58202</v>
      </c>
      <c r="B4271" s="43">
        <v>0</v>
      </c>
      <c r="C4271" s="202" t="s">
        <v>15732</v>
      </c>
      <c r="D4271" s="43" t="s">
        <v>15527</v>
      </c>
      <c r="E4271" s="202" t="s">
        <v>15728</v>
      </c>
    </row>
    <row r="4272" spans="1:5">
      <c r="A4272" s="43">
        <v>58203</v>
      </c>
      <c r="B4272" s="43">
        <v>0</v>
      </c>
      <c r="C4272" s="202" t="s">
        <v>15732</v>
      </c>
      <c r="D4272" s="43" t="s">
        <v>15528</v>
      </c>
      <c r="E4272" s="202" t="s">
        <v>15728</v>
      </c>
    </row>
    <row r="4273" spans="1:5">
      <c r="A4273" s="43">
        <v>58204</v>
      </c>
      <c r="B4273" s="43">
        <v>0</v>
      </c>
      <c r="C4273" s="202" t="s">
        <v>15735</v>
      </c>
      <c r="D4273" s="43" t="s">
        <v>15529</v>
      </c>
      <c r="E4273" s="202" t="s">
        <v>15729</v>
      </c>
    </row>
    <row r="4274" spans="1:5">
      <c r="A4274" s="43">
        <v>58205</v>
      </c>
      <c r="B4274" s="43">
        <v>0</v>
      </c>
      <c r="C4274" s="202" t="s">
        <v>15735</v>
      </c>
      <c r="D4274" s="43" t="s">
        <v>15530</v>
      </c>
      <c r="E4274" s="202" t="s">
        <v>15729</v>
      </c>
    </row>
    <row r="4275" spans="1:5">
      <c r="A4275" s="43">
        <v>58206</v>
      </c>
      <c r="B4275" s="43">
        <v>0</v>
      </c>
      <c r="C4275" s="202" t="s">
        <v>15733</v>
      </c>
      <c r="D4275" s="43" t="s">
        <v>15531</v>
      </c>
      <c r="E4275" s="202" t="s">
        <v>15730</v>
      </c>
    </row>
    <row r="4276" spans="1:5">
      <c r="A4276" s="43">
        <v>58207</v>
      </c>
      <c r="B4276" s="43">
        <v>0</v>
      </c>
      <c r="C4276" s="202" t="s">
        <v>15733</v>
      </c>
      <c r="D4276" s="43" t="s">
        <v>15532</v>
      </c>
      <c r="E4276" s="202" t="s">
        <v>15730</v>
      </c>
    </row>
    <row r="4277" spans="1:5">
      <c r="A4277" s="43">
        <v>58208</v>
      </c>
      <c r="B4277" s="43">
        <v>0</v>
      </c>
      <c r="C4277" s="202" t="s">
        <v>15733</v>
      </c>
      <c r="D4277" s="43" t="s">
        <v>15533</v>
      </c>
      <c r="E4277" s="202" t="s">
        <v>15730</v>
      </c>
    </row>
    <row r="4278" spans="1:5">
      <c r="A4278" s="43">
        <v>58209</v>
      </c>
      <c r="B4278" s="43">
        <v>0</v>
      </c>
      <c r="C4278" s="202" t="s">
        <v>15733</v>
      </c>
      <c r="D4278" s="43" t="s">
        <v>15534</v>
      </c>
      <c r="E4278" s="202" t="s">
        <v>15730</v>
      </c>
    </row>
    <row r="4279" spans="1:5">
      <c r="A4279" s="43">
        <v>58210</v>
      </c>
      <c r="B4279" s="43">
        <v>0</v>
      </c>
      <c r="C4279" s="202" t="s">
        <v>15733</v>
      </c>
      <c r="D4279" s="43" t="s">
        <v>15535</v>
      </c>
      <c r="E4279" s="202" t="s">
        <v>15730</v>
      </c>
    </row>
    <row r="4280" spans="1:5">
      <c r="A4280" s="22">
        <v>58301</v>
      </c>
      <c r="B4280" s="22">
        <v>0</v>
      </c>
      <c r="C4280" s="24" t="s">
        <v>15536</v>
      </c>
      <c r="D4280" s="22" t="s">
        <v>15576</v>
      </c>
      <c r="E4280" s="24" t="s">
        <v>15556</v>
      </c>
    </row>
    <row r="4281" spans="1:5">
      <c r="A4281" s="22">
        <v>58302</v>
      </c>
      <c r="B4281" s="22">
        <v>0</v>
      </c>
      <c r="C4281" s="24" t="s">
        <v>15537</v>
      </c>
      <c r="D4281" s="22" t="s">
        <v>15577</v>
      </c>
      <c r="E4281" s="24" t="s">
        <v>15557</v>
      </c>
    </row>
    <row r="4282" spans="1:5">
      <c r="A4282" s="22">
        <v>58303</v>
      </c>
      <c r="B4282" s="22">
        <v>0</v>
      </c>
      <c r="C4282" s="24" t="s">
        <v>15538</v>
      </c>
      <c r="D4282" s="22" t="s">
        <v>15578</v>
      </c>
      <c r="E4282" s="24" t="s">
        <v>15558</v>
      </c>
    </row>
    <row r="4283" spans="1:5">
      <c r="A4283" s="22">
        <v>58304</v>
      </c>
      <c r="B4283" s="22">
        <v>0</v>
      </c>
      <c r="C4283" s="24" t="s">
        <v>15539</v>
      </c>
      <c r="D4283" s="22" t="s">
        <v>15579</v>
      </c>
      <c r="E4283" s="24" t="s">
        <v>15559</v>
      </c>
    </row>
    <row r="4284" spans="1:5">
      <c r="A4284" s="22">
        <v>58305</v>
      </c>
      <c r="B4284" s="22">
        <v>0</v>
      </c>
      <c r="C4284" s="24" t="s">
        <v>15540</v>
      </c>
      <c r="D4284" s="22" t="s">
        <v>15580</v>
      </c>
      <c r="E4284" s="24" t="s">
        <v>15560</v>
      </c>
    </row>
    <row r="4285" spans="1:5">
      <c r="A4285" s="22">
        <v>58306</v>
      </c>
      <c r="B4285" s="22">
        <v>0</v>
      </c>
      <c r="C4285" s="24" t="s">
        <v>15541</v>
      </c>
      <c r="D4285" s="22" t="s">
        <v>15581</v>
      </c>
      <c r="E4285" s="24" t="s">
        <v>15561</v>
      </c>
    </row>
    <row r="4286" spans="1:5">
      <c r="A4286" s="22">
        <v>58307</v>
      </c>
      <c r="B4286" s="22">
        <v>0</v>
      </c>
      <c r="C4286" s="24" t="s">
        <v>15542</v>
      </c>
      <c r="D4286" s="22" t="s">
        <v>15582</v>
      </c>
      <c r="E4286" s="24" t="s">
        <v>15562</v>
      </c>
    </row>
    <row r="4287" spans="1:5">
      <c r="A4287" s="22">
        <v>58308</v>
      </c>
      <c r="B4287" s="22">
        <v>0</v>
      </c>
      <c r="C4287" s="24" t="s">
        <v>15543</v>
      </c>
      <c r="D4287" s="22" t="s">
        <v>15583</v>
      </c>
      <c r="E4287" s="24" t="s">
        <v>15563</v>
      </c>
    </row>
    <row r="4288" spans="1:5">
      <c r="A4288" s="22">
        <v>58309</v>
      </c>
      <c r="B4288" s="22">
        <v>0</v>
      </c>
      <c r="C4288" s="24" t="s">
        <v>15544</v>
      </c>
      <c r="D4288" s="22" t="s">
        <v>15584</v>
      </c>
      <c r="E4288" s="24" t="s">
        <v>15564</v>
      </c>
    </row>
    <row r="4289" spans="1:5">
      <c r="A4289" s="22">
        <v>58310</v>
      </c>
      <c r="B4289" s="22">
        <v>0</v>
      </c>
      <c r="C4289" s="24" t="s">
        <v>15545</v>
      </c>
      <c r="D4289" s="22" t="s">
        <v>15585</v>
      </c>
      <c r="E4289" s="24" t="s">
        <v>15565</v>
      </c>
    </row>
    <row r="4290" spans="1:5">
      <c r="A4290" s="22">
        <v>58311</v>
      </c>
      <c r="B4290" s="22">
        <v>0</v>
      </c>
      <c r="C4290" s="24" t="s">
        <v>15546</v>
      </c>
      <c r="D4290" s="22" t="s">
        <v>15586</v>
      </c>
      <c r="E4290" s="24" t="s">
        <v>15566</v>
      </c>
    </row>
    <row r="4291" spans="1:5">
      <c r="A4291" s="22">
        <v>58312</v>
      </c>
      <c r="B4291" s="22">
        <v>0</v>
      </c>
      <c r="C4291" s="24" t="s">
        <v>15547</v>
      </c>
      <c r="D4291" s="22" t="s">
        <v>15587</v>
      </c>
      <c r="E4291" s="24" t="s">
        <v>15567</v>
      </c>
    </row>
    <row r="4292" spans="1:5">
      <c r="A4292" s="22">
        <v>58313</v>
      </c>
      <c r="B4292" s="22">
        <v>0</v>
      </c>
      <c r="C4292" s="24" t="s">
        <v>15548</v>
      </c>
      <c r="D4292" s="22" t="s">
        <v>15588</v>
      </c>
      <c r="E4292" s="24" t="s">
        <v>15568</v>
      </c>
    </row>
    <row r="4293" spans="1:5">
      <c r="A4293" s="22">
        <v>58314</v>
      </c>
      <c r="B4293" s="22">
        <v>0</v>
      </c>
      <c r="C4293" s="24" t="s">
        <v>15549</v>
      </c>
      <c r="D4293" s="22" t="s">
        <v>15589</v>
      </c>
      <c r="E4293" s="24" t="s">
        <v>15569</v>
      </c>
    </row>
    <row r="4294" spans="1:5">
      <c r="A4294" s="22">
        <v>58315</v>
      </c>
      <c r="B4294" s="22">
        <v>0</v>
      </c>
      <c r="C4294" s="24" t="s">
        <v>15550</v>
      </c>
      <c r="D4294" s="22" t="s">
        <v>15590</v>
      </c>
      <c r="E4294" s="24" t="s">
        <v>15570</v>
      </c>
    </row>
    <row r="4295" spans="1:5">
      <c r="A4295" s="22">
        <v>58316</v>
      </c>
      <c r="B4295" s="22">
        <v>0</v>
      </c>
      <c r="C4295" s="24" t="s">
        <v>15551</v>
      </c>
      <c r="D4295" s="22" t="s">
        <v>15591</v>
      </c>
      <c r="E4295" s="24" t="s">
        <v>15571</v>
      </c>
    </row>
    <row r="4296" spans="1:5">
      <c r="A4296" s="22">
        <v>58317</v>
      </c>
      <c r="B4296" s="22">
        <v>0</v>
      </c>
      <c r="C4296" s="24" t="s">
        <v>15552</v>
      </c>
      <c r="D4296" s="22" t="s">
        <v>15592</v>
      </c>
      <c r="E4296" s="24" t="s">
        <v>15572</v>
      </c>
    </row>
    <row r="4297" spans="1:5">
      <c r="A4297" s="22">
        <v>58318</v>
      </c>
      <c r="B4297" s="22">
        <v>0</v>
      </c>
      <c r="C4297" s="24" t="s">
        <v>15553</v>
      </c>
      <c r="D4297" s="22" t="s">
        <v>15593</v>
      </c>
      <c r="E4297" s="24" t="s">
        <v>15573</v>
      </c>
    </row>
    <row r="4298" spans="1:5">
      <c r="A4298" s="22">
        <v>58319</v>
      </c>
      <c r="B4298" s="22">
        <v>0</v>
      </c>
      <c r="C4298" s="24" t="s">
        <v>15554</v>
      </c>
      <c r="D4298" s="22" t="s">
        <v>15594</v>
      </c>
      <c r="E4298" s="24" t="s">
        <v>15574</v>
      </c>
    </row>
    <row r="4299" spans="1:5">
      <c r="A4299" s="22">
        <v>58320</v>
      </c>
      <c r="B4299" s="22">
        <v>0</v>
      </c>
      <c r="C4299" s="24" t="s">
        <v>15555</v>
      </c>
      <c r="D4299" s="22" t="s">
        <v>15595</v>
      </c>
      <c r="E4299" s="24" t="s">
        <v>15575</v>
      </c>
    </row>
    <row r="4300" spans="1:5">
      <c r="A4300" s="321">
        <v>59001</v>
      </c>
      <c r="B4300" s="321">
        <v>0</v>
      </c>
      <c r="C4300" s="322" t="s">
        <v>3709</v>
      </c>
      <c r="D4300" s="321" t="s">
        <v>15596</v>
      </c>
      <c r="E4300" s="322" t="s">
        <v>612</v>
      </c>
    </row>
    <row r="4301" spans="1:5">
      <c r="A4301" s="321">
        <v>59002</v>
      </c>
      <c r="B4301" s="321">
        <v>0</v>
      </c>
      <c r="C4301" s="322" t="s">
        <v>15646</v>
      </c>
      <c r="D4301" s="321" t="s">
        <v>15597</v>
      </c>
      <c r="E4301" s="322" t="s">
        <v>15669</v>
      </c>
    </row>
    <row r="4302" spans="1:5">
      <c r="A4302" s="321">
        <v>59003</v>
      </c>
      <c r="B4302" s="321">
        <v>0</v>
      </c>
      <c r="C4302" s="322" t="s">
        <v>3695</v>
      </c>
      <c r="D4302" s="321" t="s">
        <v>15598</v>
      </c>
      <c r="E4302" s="322" t="s">
        <v>686</v>
      </c>
    </row>
    <row r="4303" spans="1:5">
      <c r="A4303" s="321">
        <v>59004</v>
      </c>
      <c r="B4303" s="321">
        <v>0</v>
      </c>
      <c r="C4303" s="322" t="s">
        <v>3697</v>
      </c>
      <c r="D4303" s="321" t="s">
        <v>15599</v>
      </c>
      <c r="E4303" s="322" t="s">
        <v>15670</v>
      </c>
    </row>
    <row r="4304" spans="1:5">
      <c r="A4304" s="321">
        <v>59005</v>
      </c>
      <c r="B4304" s="321">
        <v>0</v>
      </c>
      <c r="C4304" s="322" t="s">
        <v>15646</v>
      </c>
      <c r="D4304" s="321" t="s">
        <v>15600</v>
      </c>
      <c r="E4304" s="322" t="s">
        <v>15669</v>
      </c>
    </row>
    <row r="4305" spans="1:5">
      <c r="A4305" s="321">
        <v>59006</v>
      </c>
      <c r="B4305" s="321">
        <v>0</v>
      </c>
      <c r="C4305" s="322" t="s">
        <v>3851</v>
      </c>
      <c r="D4305" s="321" t="s">
        <v>15601</v>
      </c>
      <c r="E4305" s="322" t="s">
        <v>1152</v>
      </c>
    </row>
    <row r="4306" spans="1:5">
      <c r="A4306" s="321">
        <v>59007</v>
      </c>
      <c r="B4306" s="321">
        <v>0</v>
      </c>
      <c r="C4306" s="322" t="s">
        <v>7179</v>
      </c>
      <c r="D4306" s="321" t="s">
        <v>15602</v>
      </c>
      <c r="E4306" s="322" t="s">
        <v>7185</v>
      </c>
    </row>
    <row r="4307" spans="1:5">
      <c r="A4307" s="321">
        <v>59008</v>
      </c>
      <c r="B4307" s="321">
        <v>0</v>
      </c>
      <c r="C4307" s="322" t="s">
        <v>11286</v>
      </c>
      <c r="D4307" s="321" t="s">
        <v>15603</v>
      </c>
      <c r="E4307" s="322" t="s">
        <v>11293</v>
      </c>
    </row>
    <row r="4308" spans="1:5">
      <c r="A4308" s="321">
        <v>59009</v>
      </c>
      <c r="B4308" s="321">
        <v>0</v>
      </c>
      <c r="C4308" s="322" t="s">
        <v>10158</v>
      </c>
      <c r="D4308" s="321" t="s">
        <v>15604</v>
      </c>
      <c r="E4308" s="322" t="s">
        <v>10153</v>
      </c>
    </row>
    <row r="4309" spans="1:5">
      <c r="A4309" s="321">
        <v>59010</v>
      </c>
      <c r="B4309" s="321">
        <v>0</v>
      </c>
      <c r="C4309" s="322" t="s">
        <v>3350</v>
      </c>
      <c r="D4309" s="321" t="s">
        <v>15605</v>
      </c>
      <c r="E4309" s="322" t="s">
        <v>616</v>
      </c>
    </row>
    <row r="4310" spans="1:5">
      <c r="A4310" s="321">
        <v>59011</v>
      </c>
      <c r="B4310" s="321">
        <v>0</v>
      </c>
      <c r="C4310" s="322" t="s">
        <v>15647</v>
      </c>
      <c r="D4310" s="321" t="s">
        <v>15606</v>
      </c>
      <c r="E4310" s="322" t="s">
        <v>15671</v>
      </c>
    </row>
    <row r="4311" spans="1:5">
      <c r="A4311" s="321">
        <v>59012</v>
      </c>
      <c r="B4311" s="321">
        <v>0</v>
      </c>
      <c r="C4311" s="322" t="s">
        <v>15648</v>
      </c>
      <c r="D4311" s="321" t="s">
        <v>15607</v>
      </c>
      <c r="E4311" s="322" t="s">
        <v>15672</v>
      </c>
    </row>
    <row r="4312" spans="1:5">
      <c r="A4312" s="321">
        <v>59013</v>
      </c>
      <c r="B4312" s="321">
        <v>0</v>
      </c>
      <c r="C4312" s="322" t="s">
        <v>7180</v>
      </c>
      <c r="D4312" s="321" t="s">
        <v>15608</v>
      </c>
      <c r="E4312" s="322" t="s">
        <v>7186</v>
      </c>
    </row>
    <row r="4313" spans="1:5">
      <c r="A4313" s="321">
        <v>59014</v>
      </c>
      <c r="B4313" s="321">
        <v>0</v>
      </c>
      <c r="C4313" s="322" t="s">
        <v>15649</v>
      </c>
      <c r="D4313" s="321" t="s">
        <v>15609</v>
      </c>
      <c r="E4313" s="322" t="s">
        <v>15673</v>
      </c>
    </row>
    <row r="4314" spans="1:5">
      <c r="A4314" s="321">
        <v>59015</v>
      </c>
      <c r="B4314" s="321">
        <v>0</v>
      </c>
      <c r="C4314" s="322" t="s">
        <v>3713</v>
      </c>
      <c r="D4314" s="321" t="s">
        <v>15610</v>
      </c>
      <c r="E4314" s="322" t="s">
        <v>621</v>
      </c>
    </row>
    <row r="4315" spans="1:5">
      <c r="A4315" s="321">
        <v>59016</v>
      </c>
      <c r="B4315" s="321">
        <v>0</v>
      </c>
      <c r="C4315" s="322" t="s">
        <v>3695</v>
      </c>
      <c r="D4315" s="321" t="s">
        <v>15611</v>
      </c>
      <c r="E4315" s="322" t="s">
        <v>686</v>
      </c>
    </row>
    <row r="4316" spans="1:5">
      <c r="A4316" s="321">
        <v>59017</v>
      </c>
      <c r="B4316" s="321">
        <v>0</v>
      </c>
      <c r="C4316" s="322" t="s">
        <v>15650</v>
      </c>
      <c r="D4316" s="321" t="s">
        <v>15612</v>
      </c>
      <c r="E4316" s="322" t="s">
        <v>15674</v>
      </c>
    </row>
    <row r="4317" spans="1:5">
      <c r="A4317" s="321">
        <v>59018</v>
      </c>
      <c r="B4317" s="321">
        <v>0</v>
      </c>
      <c r="C4317" s="322" t="s">
        <v>3746</v>
      </c>
      <c r="D4317" s="321" t="s">
        <v>15613</v>
      </c>
      <c r="E4317" s="322" t="s">
        <v>723</v>
      </c>
    </row>
    <row r="4318" spans="1:5">
      <c r="A4318" s="321">
        <v>59019</v>
      </c>
      <c r="B4318" s="321">
        <v>0</v>
      </c>
      <c r="C4318" s="322" t="s">
        <v>15651</v>
      </c>
      <c r="D4318" s="321" t="s">
        <v>15614</v>
      </c>
      <c r="E4318" s="322" t="s">
        <v>15675</v>
      </c>
    </row>
    <row r="4319" spans="1:5">
      <c r="A4319" s="321">
        <v>59020</v>
      </c>
      <c r="B4319" s="321">
        <v>0</v>
      </c>
      <c r="C4319" s="322" t="s">
        <v>15652</v>
      </c>
      <c r="D4319" s="321" t="s">
        <v>15615</v>
      </c>
      <c r="E4319" s="322" t="s">
        <v>15676</v>
      </c>
    </row>
    <row r="4320" spans="1:5">
      <c r="A4320" s="321">
        <v>59021</v>
      </c>
      <c r="B4320" s="321">
        <v>0</v>
      </c>
      <c r="C4320" s="322" t="s">
        <v>6912</v>
      </c>
      <c r="D4320" s="321" t="s">
        <v>15616</v>
      </c>
      <c r="E4320" s="322" t="s">
        <v>6972</v>
      </c>
    </row>
    <row r="4321" spans="1:5">
      <c r="A4321" s="321">
        <v>59022</v>
      </c>
      <c r="B4321" s="321">
        <v>0</v>
      </c>
      <c r="C4321" s="322" t="s">
        <v>15653</v>
      </c>
      <c r="D4321" s="321" t="s">
        <v>15617</v>
      </c>
      <c r="E4321" s="322" t="s">
        <v>15677</v>
      </c>
    </row>
    <row r="4322" spans="1:5">
      <c r="A4322" s="321">
        <v>59023</v>
      </c>
      <c r="B4322" s="321">
        <v>0</v>
      </c>
      <c r="C4322" s="322" t="s">
        <v>15654</v>
      </c>
      <c r="D4322" s="321" t="s">
        <v>15618</v>
      </c>
      <c r="E4322" s="322" t="s">
        <v>15678</v>
      </c>
    </row>
    <row r="4323" spans="1:5">
      <c r="A4323" s="321">
        <v>59024</v>
      </c>
      <c r="B4323" s="321">
        <v>0</v>
      </c>
      <c r="C4323" s="322" t="s">
        <v>3699</v>
      </c>
      <c r="D4323" s="321" t="s">
        <v>15619</v>
      </c>
      <c r="E4323" s="322" t="s">
        <v>628</v>
      </c>
    </row>
    <row r="4324" spans="1:5">
      <c r="A4324" s="321">
        <v>59025</v>
      </c>
      <c r="B4324" s="321">
        <v>0</v>
      </c>
      <c r="C4324" s="322" t="s">
        <v>3944</v>
      </c>
      <c r="D4324" s="321" t="s">
        <v>15620</v>
      </c>
      <c r="E4324" s="322" t="s">
        <v>3120</v>
      </c>
    </row>
    <row r="4325" spans="1:5">
      <c r="A4325" s="321">
        <v>59026</v>
      </c>
      <c r="B4325" s="321">
        <v>0</v>
      </c>
      <c r="C4325" s="322" t="s">
        <v>15655</v>
      </c>
      <c r="D4325" s="321" t="s">
        <v>15621</v>
      </c>
      <c r="E4325" s="322" t="s">
        <v>15679</v>
      </c>
    </row>
    <row r="4326" spans="1:5">
      <c r="A4326" s="321">
        <v>59027</v>
      </c>
      <c r="B4326" s="321">
        <v>0</v>
      </c>
      <c r="C4326" s="322" t="s">
        <v>15656</v>
      </c>
      <c r="D4326" s="321" t="s">
        <v>15622</v>
      </c>
      <c r="E4326" s="322" t="s">
        <v>15680</v>
      </c>
    </row>
    <row r="4327" spans="1:5">
      <c r="A4327" s="321">
        <v>59028</v>
      </c>
      <c r="B4327" s="321">
        <v>0</v>
      </c>
      <c r="C4327" s="322" t="s">
        <v>15657</v>
      </c>
      <c r="D4327" s="321" t="s">
        <v>15623</v>
      </c>
      <c r="E4327" s="322" t="s">
        <v>15681</v>
      </c>
    </row>
    <row r="4328" spans="1:5">
      <c r="A4328" s="321">
        <v>59029</v>
      </c>
      <c r="B4328" s="321">
        <v>0</v>
      </c>
      <c r="C4328" s="322" t="s">
        <v>15658</v>
      </c>
      <c r="D4328" s="321" t="s">
        <v>15624</v>
      </c>
      <c r="E4328" s="322" t="s">
        <v>15682</v>
      </c>
    </row>
    <row r="4329" spans="1:5">
      <c r="A4329" s="321">
        <v>59030</v>
      </c>
      <c r="B4329" s="321">
        <v>0</v>
      </c>
      <c r="C4329" s="322" t="s">
        <v>15659</v>
      </c>
      <c r="D4329" s="321" t="s">
        <v>15625</v>
      </c>
      <c r="E4329" s="322" t="s">
        <v>15683</v>
      </c>
    </row>
    <row r="4330" spans="1:5">
      <c r="A4330" s="327">
        <v>59101</v>
      </c>
      <c r="B4330" s="327">
        <v>0</v>
      </c>
      <c r="C4330" s="328" t="s">
        <v>3695</v>
      </c>
      <c r="D4330" s="327" t="s">
        <v>15626</v>
      </c>
      <c r="E4330" s="328" t="s">
        <v>686</v>
      </c>
    </row>
    <row r="4331" spans="1:5">
      <c r="A4331" s="327">
        <v>59102</v>
      </c>
      <c r="B4331" s="327">
        <v>0</v>
      </c>
      <c r="C4331" s="328" t="s">
        <v>15647</v>
      </c>
      <c r="D4331" s="327" t="s">
        <v>15627</v>
      </c>
      <c r="E4331" s="328" t="s">
        <v>15671</v>
      </c>
    </row>
    <row r="4332" spans="1:5">
      <c r="A4332" s="327">
        <v>59103</v>
      </c>
      <c r="B4332" s="327">
        <v>0</v>
      </c>
      <c r="C4332" s="328" t="s">
        <v>7181</v>
      </c>
      <c r="D4332" s="327" t="s">
        <v>15628</v>
      </c>
      <c r="E4332" s="328" t="s">
        <v>7187</v>
      </c>
    </row>
    <row r="4333" spans="1:5">
      <c r="A4333" s="327">
        <v>59104</v>
      </c>
      <c r="B4333" s="327">
        <v>0</v>
      </c>
      <c r="C4333" s="328" t="s">
        <v>15660</v>
      </c>
      <c r="D4333" s="327" t="s">
        <v>15629</v>
      </c>
      <c r="E4333" s="328" t="s">
        <v>15684</v>
      </c>
    </row>
    <row r="4334" spans="1:5">
      <c r="A4334" s="327">
        <v>59105</v>
      </c>
      <c r="B4334" s="327">
        <v>0</v>
      </c>
      <c r="C4334" s="328" t="s">
        <v>15650</v>
      </c>
      <c r="D4334" s="327" t="s">
        <v>15630</v>
      </c>
      <c r="E4334" s="328" t="s">
        <v>15674</v>
      </c>
    </row>
    <row r="4335" spans="1:5">
      <c r="A4335" s="327">
        <v>59106</v>
      </c>
      <c r="B4335" s="327">
        <v>0</v>
      </c>
      <c r="C4335" s="328" t="s">
        <v>15661</v>
      </c>
      <c r="D4335" s="327" t="s">
        <v>15631</v>
      </c>
      <c r="E4335" s="328" t="s">
        <v>11433</v>
      </c>
    </row>
    <row r="4336" spans="1:5">
      <c r="A4336" s="327">
        <v>59107</v>
      </c>
      <c r="B4336" s="327">
        <v>0</v>
      </c>
      <c r="C4336" s="328" t="s">
        <v>3852</v>
      </c>
      <c r="D4336" s="327" t="s">
        <v>15632</v>
      </c>
      <c r="E4336" s="328" t="s">
        <v>1153</v>
      </c>
    </row>
    <row r="4337" spans="1:5">
      <c r="A4337" s="327">
        <v>59108</v>
      </c>
      <c r="B4337" s="327">
        <v>0</v>
      </c>
      <c r="C4337" s="328" t="s">
        <v>6924</v>
      </c>
      <c r="D4337" s="327" t="s">
        <v>15633</v>
      </c>
      <c r="E4337" s="328" t="s">
        <v>6984</v>
      </c>
    </row>
    <row r="4338" spans="1:5">
      <c r="A4338" s="327">
        <v>59109</v>
      </c>
      <c r="B4338" s="327">
        <v>0</v>
      </c>
      <c r="C4338" s="328" t="s">
        <v>3352</v>
      </c>
      <c r="D4338" s="327" t="s">
        <v>15634</v>
      </c>
      <c r="E4338" s="328" t="s">
        <v>713</v>
      </c>
    </row>
    <row r="4339" spans="1:5">
      <c r="A4339" s="327">
        <v>59110</v>
      </c>
      <c r="B4339" s="327">
        <v>0</v>
      </c>
      <c r="C4339" s="328" t="s">
        <v>3695</v>
      </c>
      <c r="D4339" s="327" t="s">
        <v>15635</v>
      </c>
      <c r="E4339" s="328" t="s">
        <v>686</v>
      </c>
    </row>
    <row r="4340" spans="1:5">
      <c r="A4340" s="327">
        <v>59111</v>
      </c>
      <c r="B4340" s="327">
        <v>0</v>
      </c>
      <c r="C4340" s="328" t="s">
        <v>15662</v>
      </c>
      <c r="D4340" s="327" t="s">
        <v>15636</v>
      </c>
      <c r="E4340" s="328" t="s">
        <v>15685</v>
      </c>
    </row>
    <row r="4341" spans="1:5">
      <c r="A4341" s="327">
        <v>59112</v>
      </c>
      <c r="B4341" s="327">
        <v>0</v>
      </c>
      <c r="C4341" s="328" t="s">
        <v>4345</v>
      </c>
      <c r="D4341" s="327" t="s">
        <v>15637</v>
      </c>
      <c r="E4341" s="328" t="s">
        <v>15686</v>
      </c>
    </row>
    <row r="4342" spans="1:5">
      <c r="A4342" s="327">
        <v>59113</v>
      </c>
      <c r="B4342" s="327">
        <v>0</v>
      </c>
      <c r="C4342" s="328" t="s">
        <v>15663</v>
      </c>
      <c r="D4342" s="327" t="s">
        <v>15638</v>
      </c>
      <c r="E4342" s="328" t="s">
        <v>15687</v>
      </c>
    </row>
    <row r="4343" spans="1:5">
      <c r="A4343" s="327">
        <v>59114</v>
      </c>
      <c r="B4343" s="327">
        <v>0</v>
      </c>
      <c r="C4343" s="328" t="s">
        <v>15664</v>
      </c>
      <c r="D4343" s="327" t="s">
        <v>15639</v>
      </c>
      <c r="E4343" s="328" t="s">
        <v>15688</v>
      </c>
    </row>
    <row r="4344" spans="1:5">
      <c r="A4344" s="327">
        <v>59115</v>
      </c>
      <c r="B4344" s="327">
        <v>0</v>
      </c>
      <c r="C4344" s="328" t="s">
        <v>15665</v>
      </c>
      <c r="D4344" s="327" t="s">
        <v>15640</v>
      </c>
      <c r="E4344" s="328" t="s">
        <v>11434</v>
      </c>
    </row>
    <row r="4345" spans="1:5">
      <c r="A4345" s="327">
        <v>59116</v>
      </c>
      <c r="B4345" s="327">
        <v>0</v>
      </c>
      <c r="C4345" s="328" t="s">
        <v>15666</v>
      </c>
      <c r="D4345" s="327" t="s">
        <v>15641</v>
      </c>
      <c r="E4345" s="328" t="s">
        <v>15689</v>
      </c>
    </row>
    <row r="4346" spans="1:5">
      <c r="A4346" s="327">
        <v>59117</v>
      </c>
      <c r="B4346" s="327">
        <v>0</v>
      </c>
      <c r="C4346" s="328" t="s">
        <v>15667</v>
      </c>
      <c r="D4346" s="327" t="s">
        <v>15642</v>
      </c>
      <c r="E4346" s="328" t="s">
        <v>15690</v>
      </c>
    </row>
    <row r="4347" spans="1:5">
      <c r="A4347" s="327">
        <v>59118</v>
      </c>
      <c r="B4347" s="327">
        <v>0</v>
      </c>
      <c r="C4347" s="328" t="s">
        <v>3353</v>
      </c>
      <c r="D4347" s="327" t="s">
        <v>15643</v>
      </c>
      <c r="E4347" s="328" t="s">
        <v>1293</v>
      </c>
    </row>
    <row r="4348" spans="1:5">
      <c r="A4348" s="327">
        <v>59119</v>
      </c>
      <c r="B4348" s="327">
        <v>0</v>
      </c>
      <c r="C4348" s="328" t="s">
        <v>3944</v>
      </c>
      <c r="D4348" s="327" t="s">
        <v>15644</v>
      </c>
      <c r="E4348" s="328" t="s">
        <v>3120</v>
      </c>
    </row>
    <row r="4349" spans="1:5">
      <c r="A4349" s="327">
        <v>59120</v>
      </c>
      <c r="B4349" s="327">
        <v>0</v>
      </c>
      <c r="C4349" s="328" t="s">
        <v>15668</v>
      </c>
      <c r="D4349" s="327" t="s">
        <v>15645</v>
      </c>
      <c r="E4349" s="328" t="s">
        <v>15691</v>
      </c>
    </row>
    <row r="4350" spans="1:5">
      <c r="A4350" s="329">
        <v>59201</v>
      </c>
      <c r="B4350" s="329">
        <v>0</v>
      </c>
      <c r="C4350" s="330" t="s">
        <v>15697</v>
      </c>
      <c r="D4350" s="329" t="s">
        <v>15643</v>
      </c>
      <c r="E4350" s="330" t="s">
        <v>15700</v>
      </c>
    </row>
    <row r="4351" spans="1:5">
      <c r="A4351" s="329">
        <v>59202</v>
      </c>
      <c r="B4351" s="329">
        <v>0</v>
      </c>
      <c r="C4351" s="330" t="s">
        <v>15698</v>
      </c>
      <c r="D4351" s="329" t="s">
        <v>15644</v>
      </c>
      <c r="E4351" s="330" t="s">
        <v>15701</v>
      </c>
    </row>
    <row r="4352" spans="1:5">
      <c r="A4352" s="329">
        <v>59203</v>
      </c>
      <c r="B4352" s="329">
        <v>0</v>
      </c>
      <c r="C4352" s="330" t="s">
        <v>15699</v>
      </c>
      <c r="D4352" s="329" t="s">
        <v>15645</v>
      </c>
      <c r="E4352" s="330" t="s">
        <v>15702</v>
      </c>
    </row>
    <row r="4353" spans="1:5">
      <c r="A4353" s="201">
        <v>59251</v>
      </c>
      <c r="B4353" s="201">
        <v>0</v>
      </c>
      <c r="C4353" s="202" t="s">
        <v>15696</v>
      </c>
      <c r="D4353" s="201" t="s">
        <v>15692</v>
      </c>
      <c r="E4353" s="202" t="s">
        <v>15736</v>
      </c>
    </row>
    <row r="4354" spans="1:5">
      <c r="A4354" s="201">
        <v>59252</v>
      </c>
      <c r="B4354" s="201">
        <v>0</v>
      </c>
      <c r="C4354" s="202" t="s">
        <v>15696</v>
      </c>
      <c r="D4354" s="201" t="s">
        <v>15693</v>
      </c>
      <c r="E4354" s="202" t="s">
        <v>15695</v>
      </c>
    </row>
    <row r="4355" spans="1:5">
      <c r="A4355" s="201">
        <v>59253</v>
      </c>
      <c r="B4355" s="201">
        <v>0</v>
      </c>
      <c r="C4355" s="202" t="s">
        <v>15696</v>
      </c>
      <c r="D4355" s="201" t="s">
        <v>15694</v>
      </c>
      <c r="E4355" s="202" t="s">
        <v>15708</v>
      </c>
    </row>
    <row r="4356" spans="1:5">
      <c r="A4356" s="201">
        <v>59254</v>
      </c>
      <c r="B4356" s="201">
        <v>0</v>
      </c>
      <c r="C4356" s="202" t="s">
        <v>15696</v>
      </c>
      <c r="D4356" s="201" t="s">
        <v>15719</v>
      </c>
      <c r="E4356" s="202" t="s">
        <v>15723</v>
      </c>
    </row>
    <row r="4357" spans="1:5">
      <c r="A4357" s="201">
        <v>59255</v>
      </c>
      <c r="B4357" s="201">
        <v>0</v>
      </c>
      <c r="C4357" s="202" t="s">
        <v>15696</v>
      </c>
      <c r="D4357" s="201" t="s">
        <v>15720</v>
      </c>
      <c r="E4357" s="202" t="s">
        <v>15725</v>
      </c>
    </row>
    <row r="4358" spans="1:5">
      <c r="A4358" s="201">
        <v>59256</v>
      </c>
      <c r="B4358" s="201">
        <v>0</v>
      </c>
      <c r="C4358" s="202" t="s">
        <v>15696</v>
      </c>
      <c r="D4358" s="201" t="s">
        <v>15721</v>
      </c>
      <c r="E4358" s="202" t="s">
        <v>15734</v>
      </c>
    </row>
    <row r="4359" spans="1:5">
      <c r="A4359" s="201">
        <v>59257</v>
      </c>
      <c r="B4359" s="201">
        <v>0</v>
      </c>
      <c r="C4359" s="202" t="s">
        <v>15696</v>
      </c>
      <c r="D4359" s="201" t="s">
        <v>15722</v>
      </c>
      <c r="E4359" s="202" t="s">
        <v>15724</v>
      </c>
    </row>
    <row r="4360" spans="1:5">
      <c r="A4360" s="22">
        <v>59301</v>
      </c>
      <c r="B4360" s="22">
        <v>1</v>
      </c>
      <c r="C4360" s="24" t="s">
        <v>7118</v>
      </c>
      <c r="D4360" s="22" t="s">
        <v>15737</v>
      </c>
      <c r="E4360" s="24" t="s">
        <v>15740</v>
      </c>
    </row>
    <row r="4361" spans="1:5">
      <c r="A4361" s="22">
        <v>59302</v>
      </c>
      <c r="B4361" s="22">
        <v>1</v>
      </c>
      <c r="C4361" s="24" t="s">
        <v>7118</v>
      </c>
      <c r="D4361" s="22" t="s">
        <v>15738</v>
      </c>
      <c r="E4361" s="24" t="s">
        <v>15742</v>
      </c>
    </row>
    <row r="4362" spans="1:5">
      <c r="A4362" s="22">
        <v>59303</v>
      </c>
      <c r="B4362" s="22">
        <v>1</v>
      </c>
      <c r="C4362" s="24" t="s">
        <v>7118</v>
      </c>
      <c r="D4362" s="22" t="s">
        <v>15739</v>
      </c>
      <c r="E4362" s="24" t="s">
        <v>15741</v>
      </c>
    </row>
    <row r="4363" spans="1:5">
      <c r="A4363" s="22">
        <v>59304</v>
      </c>
      <c r="B4363" s="22">
        <v>1</v>
      </c>
      <c r="C4363" s="24" t="s">
        <v>7118</v>
      </c>
      <c r="D4363" s="22" t="s">
        <v>15745</v>
      </c>
      <c r="E4363" s="24" t="s">
        <v>15743</v>
      </c>
    </row>
    <row r="4364" spans="1:5">
      <c r="A4364" s="1">
        <v>60001</v>
      </c>
      <c r="B4364" s="1">
        <v>1</v>
      </c>
      <c r="C4364" s="1" t="s">
        <v>4218</v>
      </c>
      <c r="D4364" s="1" t="s">
        <v>15744</v>
      </c>
      <c r="E4364" s="3" t="s">
        <v>1952</v>
      </c>
    </row>
    <row r="4365" spans="1:5">
      <c r="A4365" s="1">
        <v>60002</v>
      </c>
      <c r="B4365" s="1">
        <v>1</v>
      </c>
      <c r="C4365" s="1" t="s">
        <v>4219</v>
      </c>
      <c r="D4365" s="1" t="s">
        <v>1953</v>
      </c>
      <c r="E4365" s="3" t="s">
        <v>1954</v>
      </c>
    </row>
    <row r="4366" spans="1:5">
      <c r="A4366" s="1">
        <v>60003</v>
      </c>
      <c r="B4366" s="1">
        <v>1</v>
      </c>
      <c r="C4366" s="1" t="s">
        <v>4220</v>
      </c>
      <c r="D4366" s="1" t="s">
        <v>1955</v>
      </c>
      <c r="E4366" s="3" t="s">
        <v>1956</v>
      </c>
    </row>
    <row r="4367" spans="1:5">
      <c r="A4367" s="1">
        <v>60004</v>
      </c>
      <c r="B4367" s="1">
        <v>1</v>
      </c>
      <c r="C4367" s="1" t="s">
        <v>4221</v>
      </c>
      <c r="D4367" s="1" t="s">
        <v>1957</v>
      </c>
      <c r="E4367" s="3" t="s">
        <v>1958</v>
      </c>
    </row>
    <row r="4368" spans="1:5">
      <c r="A4368" s="1">
        <v>60005</v>
      </c>
      <c r="B4368" s="1">
        <v>1</v>
      </c>
      <c r="C4368" s="1" t="s">
        <v>4222</v>
      </c>
      <c r="D4368" s="1" t="s">
        <v>1959</v>
      </c>
      <c r="E4368" s="3" t="s">
        <v>1960</v>
      </c>
    </row>
    <row r="4369" spans="1:5">
      <c r="A4369" s="1">
        <v>60006</v>
      </c>
      <c r="B4369" s="1">
        <v>1</v>
      </c>
      <c r="C4369" s="1" t="s">
        <v>4223</v>
      </c>
      <c r="D4369" s="1" t="s">
        <v>1961</v>
      </c>
      <c r="E4369" s="3" t="s">
        <v>1962</v>
      </c>
    </row>
    <row r="4370" spans="1:5">
      <c r="A4370" s="1">
        <v>60007</v>
      </c>
      <c r="B4370" s="1">
        <v>1</v>
      </c>
      <c r="C4370" s="1" t="s">
        <v>4218</v>
      </c>
      <c r="D4370" s="1" t="s">
        <v>1963</v>
      </c>
      <c r="E4370" s="3" t="s">
        <v>1952</v>
      </c>
    </row>
    <row r="4371" spans="1:5">
      <c r="A4371" s="1">
        <v>60008</v>
      </c>
      <c r="B4371" s="1">
        <v>1</v>
      </c>
      <c r="C4371" s="1" t="s">
        <v>4219</v>
      </c>
      <c r="D4371" s="1" t="s">
        <v>1964</v>
      </c>
      <c r="E4371" s="3" t="s">
        <v>1954</v>
      </c>
    </row>
    <row r="4372" spans="1:5">
      <c r="A4372" s="1">
        <v>60009</v>
      </c>
      <c r="B4372" s="1">
        <v>1</v>
      </c>
      <c r="C4372" s="1" t="s">
        <v>4220</v>
      </c>
      <c r="D4372" s="1" t="s">
        <v>1965</v>
      </c>
      <c r="E4372" s="3" t="s">
        <v>1956</v>
      </c>
    </row>
    <row r="4373" spans="1:5">
      <c r="A4373" s="1">
        <v>60010</v>
      </c>
      <c r="B4373" s="1">
        <v>1</v>
      </c>
      <c r="C4373" s="1" t="s">
        <v>4221</v>
      </c>
      <c r="D4373" s="1" t="s">
        <v>1966</v>
      </c>
      <c r="E4373" s="3" t="s">
        <v>1958</v>
      </c>
    </row>
    <row r="4374" spans="1:5">
      <c r="A4374" s="1">
        <v>60011</v>
      </c>
      <c r="B4374" s="1">
        <v>1</v>
      </c>
      <c r="C4374" s="1" t="s">
        <v>4222</v>
      </c>
      <c r="D4374" s="1" t="s">
        <v>1967</v>
      </c>
      <c r="E4374" s="3" t="s">
        <v>1960</v>
      </c>
    </row>
    <row r="4375" spans="1:5">
      <c r="A4375" s="1">
        <v>60012</v>
      </c>
      <c r="B4375" s="1">
        <v>1</v>
      </c>
      <c r="C4375" s="1" t="s">
        <v>4223</v>
      </c>
      <c r="D4375" s="1" t="s">
        <v>1968</v>
      </c>
      <c r="E4375" s="3" t="s">
        <v>1962</v>
      </c>
    </row>
    <row r="4376" spans="1:5">
      <c r="A4376" s="1">
        <v>60013</v>
      </c>
      <c r="B4376" s="1">
        <v>1</v>
      </c>
      <c r="C4376" s="1" t="s">
        <v>4218</v>
      </c>
      <c r="D4376" s="1" t="s">
        <v>1969</v>
      </c>
      <c r="E4376" s="3" t="s">
        <v>1952</v>
      </c>
    </row>
    <row r="4377" spans="1:5">
      <c r="A4377" s="1">
        <v>60014</v>
      </c>
      <c r="B4377" s="1">
        <v>1</v>
      </c>
      <c r="C4377" s="1" t="s">
        <v>4219</v>
      </c>
      <c r="D4377" s="1" t="s">
        <v>1970</v>
      </c>
      <c r="E4377" s="3" t="s">
        <v>1954</v>
      </c>
    </row>
    <row r="4378" spans="1:5">
      <c r="A4378" s="1">
        <v>60015</v>
      </c>
      <c r="B4378" s="1">
        <v>1</v>
      </c>
      <c r="C4378" s="1" t="s">
        <v>4220</v>
      </c>
      <c r="D4378" s="1" t="s">
        <v>1971</v>
      </c>
      <c r="E4378" s="3" t="s">
        <v>1956</v>
      </c>
    </row>
    <row r="4379" spans="1:5">
      <c r="A4379" s="1">
        <v>60016</v>
      </c>
      <c r="B4379" s="1">
        <v>1</v>
      </c>
      <c r="C4379" s="1" t="s">
        <v>4221</v>
      </c>
      <c r="D4379" s="1" t="s">
        <v>1972</v>
      </c>
      <c r="E4379" s="3" t="s">
        <v>1958</v>
      </c>
    </row>
    <row r="4380" spans="1:5">
      <c r="A4380" s="1">
        <v>60017</v>
      </c>
      <c r="B4380" s="1">
        <v>1</v>
      </c>
      <c r="C4380" s="1" t="s">
        <v>4222</v>
      </c>
      <c r="D4380" s="1" t="s">
        <v>1973</v>
      </c>
      <c r="E4380" s="3" t="s">
        <v>1960</v>
      </c>
    </row>
    <row r="4381" spans="1:5">
      <c r="A4381" s="1">
        <v>60018</v>
      </c>
      <c r="B4381" s="1">
        <v>1</v>
      </c>
      <c r="C4381" s="1" t="s">
        <v>4223</v>
      </c>
      <c r="D4381" s="1" t="s">
        <v>1974</v>
      </c>
      <c r="E4381" s="3" t="s">
        <v>1962</v>
      </c>
    </row>
    <row r="4382" spans="1:5">
      <c r="A4382" s="1">
        <v>60019</v>
      </c>
      <c r="B4382" s="1">
        <v>1</v>
      </c>
      <c r="C4382" s="1" t="s">
        <v>4224</v>
      </c>
      <c r="D4382" s="1" t="s">
        <v>1975</v>
      </c>
      <c r="E4382" s="3" t="s">
        <v>1976</v>
      </c>
    </row>
    <row r="4383" spans="1:5">
      <c r="A4383" s="1">
        <v>60020</v>
      </c>
      <c r="B4383" s="1">
        <v>1</v>
      </c>
      <c r="C4383" s="1" t="s">
        <v>4225</v>
      </c>
      <c r="D4383" s="1" t="s">
        <v>1977</v>
      </c>
      <c r="E4383" s="3" t="s">
        <v>1978</v>
      </c>
    </row>
    <row r="4384" spans="1:5">
      <c r="A4384" s="1">
        <v>60021</v>
      </c>
      <c r="B4384" s="1">
        <v>1</v>
      </c>
      <c r="C4384" s="1" t="s">
        <v>4226</v>
      </c>
      <c r="D4384" s="1" t="s">
        <v>1979</v>
      </c>
      <c r="E4384" s="3" t="s">
        <v>1980</v>
      </c>
    </row>
    <row r="4385" spans="1:5">
      <c r="A4385" s="1">
        <v>60022</v>
      </c>
      <c r="B4385" s="1">
        <v>1</v>
      </c>
      <c r="C4385" s="1" t="s">
        <v>4227</v>
      </c>
      <c r="D4385" s="1" t="s">
        <v>1981</v>
      </c>
      <c r="E4385" s="3" t="s">
        <v>1982</v>
      </c>
    </row>
    <row r="4386" spans="1:5">
      <c r="A4386" s="1">
        <v>60023</v>
      </c>
      <c r="B4386" s="1">
        <v>1</v>
      </c>
      <c r="C4386" s="1" t="s">
        <v>4228</v>
      </c>
      <c r="D4386" s="1" t="s">
        <v>1983</v>
      </c>
      <c r="E4386" s="3" t="s">
        <v>1984</v>
      </c>
    </row>
    <row r="4387" spans="1:5">
      <c r="A4387" s="1">
        <v>60024</v>
      </c>
      <c r="B4387" s="1">
        <v>1</v>
      </c>
      <c r="C4387" s="1" t="s">
        <v>4229</v>
      </c>
      <c r="D4387" s="1" t="s">
        <v>1985</v>
      </c>
      <c r="E4387" s="3" t="s">
        <v>1986</v>
      </c>
    </row>
    <row r="4388" spans="1:5">
      <c r="A4388" s="1">
        <v>60025</v>
      </c>
      <c r="B4388" s="1">
        <v>1</v>
      </c>
      <c r="C4388" s="1" t="s">
        <v>4218</v>
      </c>
      <c r="D4388" s="1" t="s">
        <v>1987</v>
      </c>
      <c r="E4388" s="3" t="s">
        <v>1952</v>
      </c>
    </row>
    <row r="4389" spans="1:5">
      <c r="A4389" s="1">
        <v>60026</v>
      </c>
      <c r="B4389" s="1">
        <v>1</v>
      </c>
      <c r="C4389" s="1" t="s">
        <v>4219</v>
      </c>
      <c r="D4389" s="1" t="s">
        <v>1988</v>
      </c>
      <c r="E4389" s="3" t="s">
        <v>1954</v>
      </c>
    </row>
    <row r="4390" spans="1:5">
      <c r="A4390" s="1">
        <v>60027</v>
      </c>
      <c r="B4390" s="1">
        <v>1</v>
      </c>
      <c r="C4390" s="1" t="s">
        <v>4220</v>
      </c>
      <c r="D4390" s="1" t="s">
        <v>1989</v>
      </c>
      <c r="E4390" s="3" t="s">
        <v>1956</v>
      </c>
    </row>
    <row r="4391" spans="1:5">
      <c r="A4391" s="1">
        <v>60028</v>
      </c>
      <c r="B4391" s="1">
        <v>1</v>
      </c>
      <c r="C4391" s="1" t="s">
        <v>4221</v>
      </c>
      <c r="D4391" s="1" t="s">
        <v>1990</v>
      </c>
      <c r="E4391" s="3" t="s">
        <v>1958</v>
      </c>
    </row>
    <row r="4392" spans="1:5">
      <c r="A4392" s="1">
        <v>60029</v>
      </c>
      <c r="B4392" s="1">
        <v>1</v>
      </c>
      <c r="C4392" s="1" t="s">
        <v>4222</v>
      </c>
      <c r="D4392" s="1" t="s">
        <v>1991</v>
      </c>
      <c r="E4392" s="3" t="s">
        <v>1960</v>
      </c>
    </row>
    <row r="4393" spans="1:5">
      <c r="A4393" s="1">
        <v>60030</v>
      </c>
      <c r="B4393" s="1">
        <v>1</v>
      </c>
      <c r="C4393" s="1" t="s">
        <v>4223</v>
      </c>
      <c r="D4393" s="1" t="s">
        <v>1992</v>
      </c>
      <c r="E4393" s="3" t="s">
        <v>1962</v>
      </c>
    </row>
    <row r="4394" spans="1:5">
      <c r="A4394" s="1">
        <v>60031</v>
      </c>
      <c r="B4394" s="1">
        <v>1</v>
      </c>
      <c r="C4394" s="1" t="s">
        <v>4218</v>
      </c>
      <c r="D4394" s="1" t="s">
        <v>1993</v>
      </c>
      <c r="E4394" s="3" t="s">
        <v>1952</v>
      </c>
    </row>
    <row r="4395" spans="1:5">
      <c r="A4395" s="1">
        <v>60032</v>
      </c>
      <c r="B4395" s="1">
        <v>1</v>
      </c>
      <c r="C4395" s="1" t="s">
        <v>4219</v>
      </c>
      <c r="D4395" s="1" t="s">
        <v>1994</v>
      </c>
      <c r="E4395" s="3" t="s">
        <v>1954</v>
      </c>
    </row>
    <row r="4396" spans="1:5">
      <c r="A4396" s="1">
        <v>60033</v>
      </c>
      <c r="B4396" s="1">
        <v>1</v>
      </c>
      <c r="C4396" s="1" t="s">
        <v>4220</v>
      </c>
      <c r="D4396" s="1" t="s">
        <v>1995</v>
      </c>
      <c r="E4396" s="3" t="s">
        <v>1956</v>
      </c>
    </row>
    <row r="4397" spans="1:5">
      <c r="A4397" s="1">
        <v>60034</v>
      </c>
      <c r="B4397" s="1">
        <v>1</v>
      </c>
      <c r="C4397" s="1" t="s">
        <v>4221</v>
      </c>
      <c r="D4397" s="1" t="s">
        <v>1996</v>
      </c>
      <c r="E4397" s="3" t="s">
        <v>1958</v>
      </c>
    </row>
    <row r="4398" spans="1:5">
      <c r="A4398" s="1">
        <v>60035</v>
      </c>
      <c r="B4398" s="1">
        <v>1</v>
      </c>
      <c r="C4398" s="1" t="s">
        <v>4222</v>
      </c>
      <c r="D4398" s="1" t="s">
        <v>1997</v>
      </c>
      <c r="E4398" s="3" t="s">
        <v>1960</v>
      </c>
    </row>
    <row r="4399" spans="1:5">
      <c r="A4399" s="1">
        <v>60036</v>
      </c>
      <c r="B4399" s="1">
        <v>1</v>
      </c>
      <c r="C4399" s="1" t="s">
        <v>4223</v>
      </c>
      <c r="D4399" s="1" t="s">
        <v>1998</v>
      </c>
      <c r="E4399" s="3" t="s">
        <v>1962</v>
      </c>
    </row>
    <row r="4400" spans="1:5">
      <c r="A4400" s="1">
        <v>60037</v>
      </c>
      <c r="B4400" s="1">
        <v>1</v>
      </c>
      <c r="C4400" s="1" t="s">
        <v>4218</v>
      </c>
      <c r="D4400" s="1" t="s">
        <v>1999</v>
      </c>
      <c r="E4400" s="3" t="s">
        <v>1952</v>
      </c>
    </row>
    <row r="4401" spans="1:5">
      <c r="A4401" s="1">
        <v>60038</v>
      </c>
      <c r="B4401" s="1">
        <v>1</v>
      </c>
      <c r="C4401" s="1" t="s">
        <v>4219</v>
      </c>
      <c r="D4401" s="1" t="s">
        <v>2000</v>
      </c>
      <c r="E4401" s="3" t="s">
        <v>1954</v>
      </c>
    </row>
    <row r="4402" spans="1:5">
      <c r="A4402" s="1">
        <v>60039</v>
      </c>
      <c r="B4402" s="1">
        <v>1</v>
      </c>
      <c r="C4402" s="1" t="s">
        <v>4220</v>
      </c>
      <c r="D4402" s="1" t="s">
        <v>2001</v>
      </c>
      <c r="E4402" s="3" t="s">
        <v>1956</v>
      </c>
    </row>
    <row r="4403" spans="1:5">
      <c r="A4403" s="1">
        <v>60040</v>
      </c>
      <c r="B4403" s="1">
        <v>1</v>
      </c>
      <c r="C4403" s="1" t="s">
        <v>4221</v>
      </c>
      <c r="D4403" s="1" t="s">
        <v>2002</v>
      </c>
      <c r="E4403" s="3" t="s">
        <v>1958</v>
      </c>
    </row>
    <row r="4404" spans="1:5">
      <c r="A4404" s="1">
        <v>60041</v>
      </c>
      <c r="B4404" s="1">
        <v>1</v>
      </c>
      <c r="C4404" s="1" t="s">
        <v>4222</v>
      </c>
      <c r="D4404" s="1" t="s">
        <v>2003</v>
      </c>
      <c r="E4404" s="3" t="s">
        <v>1960</v>
      </c>
    </row>
    <row r="4405" spans="1:5">
      <c r="A4405" s="1">
        <v>60042</v>
      </c>
      <c r="B4405" s="1">
        <v>1</v>
      </c>
      <c r="C4405" s="1" t="s">
        <v>4223</v>
      </c>
      <c r="D4405" s="1" t="s">
        <v>2004</v>
      </c>
      <c r="E4405" s="3" t="s">
        <v>1962</v>
      </c>
    </row>
    <row r="4406" spans="1:5">
      <c r="A4406" s="1">
        <v>60043</v>
      </c>
      <c r="B4406" s="1">
        <v>1</v>
      </c>
      <c r="C4406" s="1" t="s">
        <v>4224</v>
      </c>
      <c r="D4406" s="1" t="s">
        <v>2005</v>
      </c>
      <c r="E4406" s="3" t="s">
        <v>1976</v>
      </c>
    </row>
    <row r="4407" spans="1:5">
      <c r="A4407" s="1">
        <v>60044</v>
      </c>
      <c r="B4407" s="1">
        <v>1</v>
      </c>
      <c r="C4407" s="1" t="s">
        <v>4225</v>
      </c>
      <c r="D4407" s="1" t="s">
        <v>2006</v>
      </c>
      <c r="E4407" s="3" t="s">
        <v>1978</v>
      </c>
    </row>
    <row r="4408" spans="1:5">
      <c r="A4408" s="1">
        <v>60045</v>
      </c>
      <c r="B4408" s="1">
        <v>1</v>
      </c>
      <c r="C4408" s="1" t="s">
        <v>4226</v>
      </c>
      <c r="D4408" s="1" t="s">
        <v>2007</v>
      </c>
      <c r="E4408" s="3" t="s">
        <v>1980</v>
      </c>
    </row>
    <row r="4409" spans="1:5">
      <c r="A4409" s="1">
        <v>60046</v>
      </c>
      <c r="B4409" s="1">
        <v>1</v>
      </c>
      <c r="C4409" s="1" t="s">
        <v>4227</v>
      </c>
      <c r="D4409" s="1" t="s">
        <v>2008</v>
      </c>
      <c r="E4409" s="3" t="s">
        <v>1982</v>
      </c>
    </row>
    <row r="4410" spans="1:5">
      <c r="A4410" s="1">
        <v>60047</v>
      </c>
      <c r="B4410" s="1">
        <v>1</v>
      </c>
      <c r="C4410" s="1" t="s">
        <v>4228</v>
      </c>
      <c r="D4410" s="1" t="s">
        <v>2009</v>
      </c>
      <c r="E4410" s="3" t="s">
        <v>1984</v>
      </c>
    </row>
    <row r="4411" spans="1:5">
      <c r="A4411" s="1">
        <v>60048</v>
      </c>
      <c r="B4411" s="1">
        <v>1</v>
      </c>
      <c r="C4411" s="1" t="s">
        <v>4229</v>
      </c>
      <c r="D4411" s="1" t="s">
        <v>2010</v>
      </c>
      <c r="E4411" s="3" t="s">
        <v>1986</v>
      </c>
    </row>
    <row r="4412" spans="1:5">
      <c r="A4412" s="1">
        <v>60049</v>
      </c>
      <c r="B4412" s="1">
        <v>1</v>
      </c>
      <c r="C4412" s="1" t="s">
        <v>4222</v>
      </c>
      <c r="D4412" s="1" t="s">
        <v>2011</v>
      </c>
      <c r="E4412" s="3" t="s">
        <v>1960</v>
      </c>
    </row>
    <row r="4413" spans="1:5">
      <c r="A4413" s="1">
        <v>60050</v>
      </c>
      <c r="B4413" s="1">
        <v>1</v>
      </c>
      <c r="C4413" s="1" t="s">
        <v>4223</v>
      </c>
      <c r="D4413" s="1" t="s">
        <v>2012</v>
      </c>
      <c r="E4413" s="3" t="s">
        <v>1962</v>
      </c>
    </row>
    <row r="4414" spans="1:5">
      <c r="A4414" s="1">
        <v>60051</v>
      </c>
      <c r="B4414" s="1">
        <v>1</v>
      </c>
      <c r="C4414" s="1" t="s">
        <v>4224</v>
      </c>
      <c r="D4414" s="1" t="s">
        <v>2013</v>
      </c>
      <c r="E4414" s="3" t="s">
        <v>1976</v>
      </c>
    </row>
    <row r="4415" spans="1:5">
      <c r="A4415" s="1">
        <v>60052</v>
      </c>
      <c r="B4415" s="1">
        <v>1</v>
      </c>
      <c r="C4415" s="1" t="s">
        <v>4225</v>
      </c>
      <c r="D4415" s="1" t="s">
        <v>2014</v>
      </c>
      <c r="E4415" s="3" t="s">
        <v>1978</v>
      </c>
    </row>
    <row r="4416" spans="1:5">
      <c r="A4416" s="1">
        <v>60053</v>
      </c>
      <c r="B4416" s="1">
        <v>1</v>
      </c>
      <c r="C4416" s="1" t="s">
        <v>4226</v>
      </c>
      <c r="D4416" s="1" t="s">
        <v>2015</v>
      </c>
      <c r="E4416" s="3" t="s">
        <v>1980</v>
      </c>
    </row>
    <row r="4417" spans="1:5">
      <c r="A4417" s="1">
        <v>60054</v>
      </c>
      <c r="B4417" s="1">
        <v>1</v>
      </c>
      <c r="C4417" s="1" t="s">
        <v>4227</v>
      </c>
      <c r="D4417" s="1" t="s">
        <v>2016</v>
      </c>
      <c r="E4417" s="3" t="s">
        <v>1982</v>
      </c>
    </row>
    <row r="4418" spans="1:5">
      <c r="A4418" s="1">
        <v>60055</v>
      </c>
      <c r="B4418" s="1">
        <v>1</v>
      </c>
      <c r="C4418" s="1" t="s">
        <v>4228</v>
      </c>
      <c r="D4418" s="1" t="s">
        <v>2017</v>
      </c>
      <c r="E4418" s="3" t="s">
        <v>1984</v>
      </c>
    </row>
    <row r="4419" spans="1:5">
      <c r="A4419" s="1">
        <v>60056</v>
      </c>
      <c r="B4419" s="1">
        <v>1</v>
      </c>
      <c r="C4419" s="1" t="s">
        <v>4229</v>
      </c>
      <c r="D4419" s="1" t="s">
        <v>2018</v>
      </c>
      <c r="E4419" s="3" t="s">
        <v>1986</v>
      </c>
    </row>
    <row r="4420" spans="1:5">
      <c r="A4420" s="1">
        <v>60057</v>
      </c>
      <c r="B4420" s="1">
        <v>1</v>
      </c>
      <c r="C4420" s="1" t="s">
        <v>4226</v>
      </c>
      <c r="D4420" s="1" t="s">
        <v>2019</v>
      </c>
      <c r="E4420" s="3" t="s">
        <v>1980</v>
      </c>
    </row>
    <row r="4421" spans="1:5">
      <c r="A4421" s="1">
        <v>60058</v>
      </c>
      <c r="B4421" s="1">
        <v>1</v>
      </c>
      <c r="C4421" s="1" t="s">
        <v>4227</v>
      </c>
      <c r="D4421" s="1" t="s">
        <v>2020</v>
      </c>
      <c r="E4421" s="3" t="s">
        <v>1982</v>
      </c>
    </row>
    <row r="4422" spans="1:5">
      <c r="A4422" s="1">
        <v>60059</v>
      </c>
      <c r="B4422" s="1">
        <v>1</v>
      </c>
      <c r="C4422" s="1" t="s">
        <v>4228</v>
      </c>
      <c r="D4422" s="1" t="s">
        <v>2021</v>
      </c>
      <c r="E4422" s="3" t="s">
        <v>1984</v>
      </c>
    </row>
    <row r="4423" spans="1:5">
      <c r="A4423" s="1">
        <v>60060</v>
      </c>
      <c r="B4423" s="1">
        <v>1</v>
      </c>
      <c r="C4423" s="1" t="s">
        <v>4229</v>
      </c>
      <c r="D4423" s="1" t="s">
        <v>2022</v>
      </c>
      <c r="E4423" s="3" t="s">
        <v>1986</v>
      </c>
    </row>
    <row r="4424" spans="1:5">
      <c r="A4424" s="49">
        <v>61001</v>
      </c>
      <c r="B4424" s="49">
        <v>1</v>
      </c>
      <c r="C4424" s="49" t="s">
        <v>3355</v>
      </c>
      <c r="D4424" s="49" t="s">
        <v>2023</v>
      </c>
      <c r="E4424" s="52" t="s">
        <v>599</v>
      </c>
    </row>
    <row r="4425" spans="1:5">
      <c r="A4425" s="49">
        <v>61002</v>
      </c>
      <c r="B4425" s="49">
        <v>1</v>
      </c>
      <c r="C4425" s="49" t="s">
        <v>4230</v>
      </c>
      <c r="D4425" s="49" t="s">
        <v>2024</v>
      </c>
      <c r="E4425" s="52" t="s">
        <v>2025</v>
      </c>
    </row>
    <row r="4426" spans="1:5">
      <c r="A4426" s="49">
        <v>61003</v>
      </c>
      <c r="B4426" s="49">
        <v>1</v>
      </c>
      <c r="C4426" s="49" t="s">
        <v>3371</v>
      </c>
      <c r="D4426" s="49" t="s">
        <v>2026</v>
      </c>
      <c r="E4426" s="52" t="s">
        <v>751</v>
      </c>
    </row>
    <row r="4427" spans="1:5">
      <c r="A4427" s="49">
        <v>61004</v>
      </c>
      <c r="B4427" s="49">
        <v>1</v>
      </c>
      <c r="C4427" s="49" t="s">
        <v>3356</v>
      </c>
      <c r="D4427" s="49" t="s">
        <v>2027</v>
      </c>
      <c r="E4427" s="52" t="s">
        <v>649</v>
      </c>
    </row>
    <row r="4428" spans="1:5">
      <c r="A4428" s="49">
        <v>61005</v>
      </c>
      <c r="B4428" s="49">
        <v>1</v>
      </c>
      <c r="C4428" s="49" t="s">
        <v>4231</v>
      </c>
      <c r="D4428" s="49" t="s">
        <v>2028</v>
      </c>
      <c r="E4428" s="52" t="s">
        <v>2029</v>
      </c>
    </row>
    <row r="4429" spans="1:5">
      <c r="A4429" s="49">
        <v>61006</v>
      </c>
      <c r="B4429" s="49">
        <v>1</v>
      </c>
      <c r="C4429" s="49" t="s">
        <v>3371</v>
      </c>
      <c r="D4429" s="49" t="s">
        <v>2030</v>
      </c>
      <c r="E4429" s="52" t="s">
        <v>751</v>
      </c>
    </row>
    <row r="4430" spans="1:5">
      <c r="A4430" s="49">
        <v>61007</v>
      </c>
      <c r="B4430" s="49">
        <v>1</v>
      </c>
      <c r="C4430" s="49" t="s">
        <v>3357</v>
      </c>
      <c r="D4430" s="49" t="s">
        <v>2031</v>
      </c>
      <c r="E4430" s="52" t="s">
        <v>1320</v>
      </c>
    </row>
    <row r="4431" spans="1:5">
      <c r="A4431" s="49">
        <v>61008</v>
      </c>
      <c r="B4431" s="49">
        <v>1</v>
      </c>
      <c r="C4431" s="49" t="s">
        <v>4232</v>
      </c>
      <c r="D4431" s="49" t="s">
        <v>2032</v>
      </c>
      <c r="E4431" s="52" t="s">
        <v>2033</v>
      </c>
    </row>
    <row r="4432" spans="1:5">
      <c r="A4432" s="49">
        <v>61009</v>
      </c>
      <c r="B4432" s="49">
        <v>1</v>
      </c>
      <c r="C4432" s="49" t="s">
        <v>3373</v>
      </c>
      <c r="D4432" s="49" t="s">
        <v>2034</v>
      </c>
      <c r="E4432" s="52" t="s">
        <v>991</v>
      </c>
    </row>
    <row r="4433" spans="1:5">
      <c r="A4433" s="49">
        <v>61010</v>
      </c>
      <c r="B4433" s="49">
        <v>1</v>
      </c>
      <c r="C4433" s="49" t="s">
        <v>3358</v>
      </c>
      <c r="D4433" s="49" t="s">
        <v>2035</v>
      </c>
      <c r="E4433" s="52" t="s">
        <v>1327</v>
      </c>
    </row>
    <row r="4434" spans="1:5">
      <c r="A4434" s="49">
        <v>61011</v>
      </c>
      <c r="B4434" s="49">
        <v>1</v>
      </c>
      <c r="C4434" s="49" t="s">
        <v>4233</v>
      </c>
      <c r="D4434" s="49" t="s">
        <v>2036</v>
      </c>
      <c r="E4434" s="52" t="s">
        <v>2037</v>
      </c>
    </row>
    <row r="4435" spans="1:5">
      <c r="A4435" s="49">
        <v>61012</v>
      </c>
      <c r="B4435" s="49">
        <v>1</v>
      </c>
      <c r="C4435" s="49" t="s">
        <v>3373</v>
      </c>
      <c r="D4435" s="49" t="s">
        <v>2038</v>
      </c>
      <c r="E4435" s="52" t="s">
        <v>991</v>
      </c>
    </row>
    <row r="4436" spans="1:5">
      <c r="A4436" s="49">
        <v>61013</v>
      </c>
      <c r="B4436" s="49">
        <v>1</v>
      </c>
      <c r="C4436" s="49" t="s">
        <v>3359</v>
      </c>
      <c r="D4436" s="49" t="s">
        <v>2039</v>
      </c>
      <c r="E4436" s="52" t="s">
        <v>1334</v>
      </c>
    </row>
    <row r="4437" spans="1:5">
      <c r="A4437" s="49">
        <v>61014</v>
      </c>
      <c r="B4437" s="49">
        <v>1</v>
      </c>
      <c r="C4437" s="49" t="s">
        <v>4234</v>
      </c>
      <c r="D4437" s="49" t="s">
        <v>2040</v>
      </c>
      <c r="E4437" s="52" t="s">
        <v>2041</v>
      </c>
    </row>
    <row r="4438" spans="1:5">
      <c r="A4438" s="49">
        <v>61015</v>
      </c>
      <c r="B4438" s="49">
        <v>1</v>
      </c>
      <c r="C4438" s="49" t="s">
        <v>3375</v>
      </c>
      <c r="D4438" s="49" t="s">
        <v>2042</v>
      </c>
      <c r="E4438" s="52" t="s">
        <v>787</v>
      </c>
    </row>
    <row r="4439" spans="1:5">
      <c r="A4439" s="49">
        <v>61016</v>
      </c>
      <c r="B4439" s="49">
        <v>1</v>
      </c>
      <c r="C4439" s="49" t="s">
        <v>3360</v>
      </c>
      <c r="D4439" s="49" t="s">
        <v>2043</v>
      </c>
      <c r="E4439" s="52" t="s">
        <v>604</v>
      </c>
    </row>
    <row r="4440" spans="1:5">
      <c r="A4440" s="49">
        <v>61017</v>
      </c>
      <c r="B4440" s="49">
        <v>1</v>
      </c>
      <c r="C4440" s="49" t="s">
        <v>4235</v>
      </c>
      <c r="D4440" s="49" t="s">
        <v>2044</v>
      </c>
      <c r="E4440" s="52" t="s">
        <v>2045</v>
      </c>
    </row>
    <row r="4441" spans="1:5">
      <c r="A4441" s="49">
        <v>61018</v>
      </c>
      <c r="B4441" s="49">
        <v>1</v>
      </c>
      <c r="C4441" s="49" t="s">
        <v>3375</v>
      </c>
      <c r="D4441" s="49" t="s">
        <v>2046</v>
      </c>
      <c r="E4441" s="52" t="s">
        <v>787</v>
      </c>
    </row>
    <row r="4442" spans="1:5">
      <c r="A4442" s="49">
        <v>61019</v>
      </c>
      <c r="B4442" s="49">
        <v>1</v>
      </c>
      <c r="C4442" s="49" t="s">
        <v>3361</v>
      </c>
      <c r="D4442" s="49" t="s">
        <v>2047</v>
      </c>
      <c r="E4442" s="52" t="s">
        <v>1349</v>
      </c>
    </row>
    <row r="4443" spans="1:5">
      <c r="A4443" s="49">
        <v>61020</v>
      </c>
      <c r="B4443" s="49">
        <v>1</v>
      </c>
      <c r="C4443" s="49" t="s">
        <v>4236</v>
      </c>
      <c r="D4443" s="49" t="s">
        <v>2048</v>
      </c>
      <c r="E4443" s="52" t="s">
        <v>2049</v>
      </c>
    </row>
    <row r="4444" spans="1:5">
      <c r="A4444" s="49">
        <v>61021</v>
      </c>
      <c r="B4444" s="49">
        <v>1</v>
      </c>
      <c r="C4444" s="49" t="s">
        <v>3378</v>
      </c>
      <c r="D4444" s="49" t="s">
        <v>2050</v>
      </c>
      <c r="E4444" s="52" t="s">
        <v>795</v>
      </c>
    </row>
    <row r="4445" spans="1:5">
      <c r="A4445" s="49">
        <v>61022</v>
      </c>
      <c r="B4445" s="49">
        <v>1</v>
      </c>
      <c r="C4445" s="49" t="s">
        <v>3362</v>
      </c>
      <c r="D4445" s="49" t="s">
        <v>2051</v>
      </c>
      <c r="E4445" s="52" t="s">
        <v>1357</v>
      </c>
    </row>
    <row r="4446" spans="1:5">
      <c r="A4446" s="49">
        <v>61023</v>
      </c>
      <c r="B4446" s="49">
        <v>1</v>
      </c>
      <c r="C4446" s="49" t="s">
        <v>4237</v>
      </c>
      <c r="D4446" s="49" t="s">
        <v>2052</v>
      </c>
      <c r="E4446" s="52" t="s">
        <v>2053</v>
      </c>
    </row>
    <row r="4447" spans="1:5">
      <c r="A4447" s="49">
        <v>61024</v>
      </c>
      <c r="B4447" s="49">
        <v>1</v>
      </c>
      <c r="C4447" s="49" t="s">
        <v>3378</v>
      </c>
      <c r="D4447" s="49" t="s">
        <v>2054</v>
      </c>
      <c r="E4447" s="52" t="s">
        <v>795</v>
      </c>
    </row>
    <row r="4448" spans="1:5">
      <c r="A4448" s="49">
        <v>61025</v>
      </c>
      <c r="B4448" s="49">
        <v>1</v>
      </c>
      <c r="C4448" s="49" t="s">
        <v>3363</v>
      </c>
      <c r="D4448" s="49" t="s">
        <v>2055</v>
      </c>
      <c r="E4448" s="52" t="s">
        <v>2056</v>
      </c>
    </row>
    <row r="4449" spans="1:5">
      <c r="A4449" s="49">
        <v>61026</v>
      </c>
      <c r="B4449" s="49">
        <v>1</v>
      </c>
      <c r="C4449" s="49" t="s">
        <v>4238</v>
      </c>
      <c r="D4449" s="49" t="s">
        <v>2057</v>
      </c>
      <c r="E4449" s="52" t="s">
        <v>2058</v>
      </c>
    </row>
    <row r="4450" spans="1:5">
      <c r="A4450" s="49">
        <v>61027</v>
      </c>
      <c r="B4450" s="49">
        <v>1</v>
      </c>
      <c r="C4450" s="49" t="s">
        <v>3765</v>
      </c>
      <c r="D4450" s="49" t="s">
        <v>2059</v>
      </c>
      <c r="E4450" s="52" t="s">
        <v>803</v>
      </c>
    </row>
    <row r="4451" spans="1:5">
      <c r="A4451" s="49">
        <v>61028</v>
      </c>
      <c r="B4451" s="49">
        <v>1</v>
      </c>
      <c r="C4451" s="49" t="s">
        <v>3364</v>
      </c>
      <c r="D4451" s="49" t="s">
        <v>2060</v>
      </c>
      <c r="E4451" s="52" t="s">
        <v>2061</v>
      </c>
    </row>
    <row r="4452" spans="1:5">
      <c r="A4452" s="49">
        <v>61029</v>
      </c>
      <c r="B4452" s="49">
        <v>1</v>
      </c>
      <c r="C4452" s="49" t="s">
        <v>4239</v>
      </c>
      <c r="D4452" s="49" t="s">
        <v>2062</v>
      </c>
      <c r="E4452" s="52" t="s">
        <v>2063</v>
      </c>
    </row>
    <row r="4453" spans="1:5">
      <c r="A4453" s="49">
        <v>61030</v>
      </c>
      <c r="B4453" s="49">
        <v>1</v>
      </c>
      <c r="C4453" s="49" t="s">
        <v>3765</v>
      </c>
      <c r="D4453" s="49" t="s">
        <v>2064</v>
      </c>
      <c r="E4453" s="52" t="s">
        <v>803</v>
      </c>
    </row>
    <row r="4454" spans="1:5">
      <c r="A4454" s="1">
        <v>62001</v>
      </c>
      <c r="B4454" s="1">
        <v>1</v>
      </c>
      <c r="C4454" s="1" t="s">
        <v>4240</v>
      </c>
      <c r="D4454" s="1" t="s">
        <v>2065</v>
      </c>
      <c r="E4454" s="3" t="s">
        <v>2066</v>
      </c>
    </row>
    <row r="4455" spans="1:5">
      <c r="A4455" s="1">
        <v>62002</v>
      </c>
      <c r="B4455" s="1">
        <v>1</v>
      </c>
      <c r="C4455" s="1" t="s">
        <v>4241</v>
      </c>
      <c r="D4455" s="1" t="s">
        <v>2067</v>
      </c>
      <c r="E4455" s="3" t="s">
        <v>2068</v>
      </c>
    </row>
    <row r="4456" spans="1:5">
      <c r="A4456" s="92">
        <v>63001</v>
      </c>
      <c r="B4456" s="92">
        <v>0</v>
      </c>
      <c r="C4456" s="92" t="s">
        <v>3366</v>
      </c>
      <c r="D4456" s="92" t="s">
        <v>6142</v>
      </c>
      <c r="E4456" s="94" t="s">
        <v>981</v>
      </c>
    </row>
    <row r="4457" spans="1:5">
      <c r="A4457" s="92">
        <v>63002</v>
      </c>
      <c r="B4457" s="92">
        <v>0</v>
      </c>
      <c r="C4457" s="92" t="s">
        <v>7029</v>
      </c>
      <c r="D4457" s="92" t="s">
        <v>6141</v>
      </c>
      <c r="E4457" s="94" t="s">
        <v>6143</v>
      </c>
    </row>
    <row r="4458" spans="1:5">
      <c r="A4458" s="92">
        <v>63003</v>
      </c>
      <c r="B4458" s="92">
        <v>0</v>
      </c>
      <c r="C4458" s="92" t="s">
        <v>7030</v>
      </c>
      <c r="D4458" s="92" t="s">
        <v>6141</v>
      </c>
      <c r="E4458" s="94" t="s">
        <v>6144</v>
      </c>
    </row>
    <row r="4459" spans="1:5">
      <c r="A4459" s="190">
        <v>63004</v>
      </c>
      <c r="B4459" s="190">
        <v>0</v>
      </c>
      <c r="C4459" s="190" t="s">
        <v>4243</v>
      </c>
      <c r="D4459" s="190" t="s">
        <v>6127</v>
      </c>
      <c r="E4459" s="191" t="s">
        <v>2074</v>
      </c>
    </row>
    <row r="4460" spans="1:5">
      <c r="A4460" s="190">
        <v>63005</v>
      </c>
      <c r="B4460" s="190">
        <v>0</v>
      </c>
      <c r="C4460" s="190" t="s">
        <v>4244</v>
      </c>
      <c r="D4460" s="190" t="s">
        <v>6126</v>
      </c>
      <c r="E4460" s="191" t="s">
        <v>2075</v>
      </c>
    </row>
    <row r="4461" spans="1:5">
      <c r="A4461" s="190">
        <v>63006</v>
      </c>
      <c r="B4461" s="190">
        <v>0</v>
      </c>
      <c r="C4461" s="190" t="s">
        <v>3713</v>
      </c>
      <c r="D4461" s="190" t="s">
        <v>6126</v>
      </c>
      <c r="E4461" s="191" t="s">
        <v>621</v>
      </c>
    </row>
    <row r="4462" spans="1:5">
      <c r="A4462" s="190">
        <v>63007</v>
      </c>
      <c r="B4462" s="190">
        <v>0</v>
      </c>
      <c r="C4462" s="190" t="s">
        <v>4245</v>
      </c>
      <c r="D4462" s="190" t="s">
        <v>6127</v>
      </c>
      <c r="E4462" s="191" t="s">
        <v>2076</v>
      </c>
    </row>
    <row r="4463" spans="1:5">
      <c r="A4463" s="190">
        <v>63008</v>
      </c>
      <c r="B4463" s="190">
        <v>0</v>
      </c>
      <c r="C4463" s="190" t="s">
        <v>3699</v>
      </c>
      <c r="D4463" s="190" t="s">
        <v>6127</v>
      </c>
      <c r="E4463" s="191" t="s">
        <v>628</v>
      </c>
    </row>
    <row r="4464" spans="1:5">
      <c r="A4464" s="92">
        <v>63101</v>
      </c>
      <c r="B4464" s="92">
        <v>0</v>
      </c>
      <c r="C4464" s="92" t="s">
        <v>3892</v>
      </c>
      <c r="D4464" s="92" t="s">
        <v>6125</v>
      </c>
      <c r="E4464" s="94" t="s">
        <v>1279</v>
      </c>
    </row>
    <row r="4465" spans="1:6">
      <c r="A4465" s="92">
        <v>63102</v>
      </c>
      <c r="B4465" s="92">
        <v>0</v>
      </c>
      <c r="C4465" s="92" t="s">
        <v>3350</v>
      </c>
      <c r="D4465" s="92" t="s">
        <v>6128</v>
      </c>
      <c r="E4465" s="94" t="s">
        <v>616</v>
      </c>
    </row>
    <row r="4466" spans="1:6">
      <c r="A4466" s="92">
        <v>63103</v>
      </c>
      <c r="B4466" s="92">
        <v>0</v>
      </c>
      <c r="C4466" s="92" t="s">
        <v>3893</v>
      </c>
      <c r="D4466" s="92" t="s">
        <v>6129</v>
      </c>
      <c r="E4466" s="94" t="s">
        <v>1282</v>
      </c>
    </row>
    <row r="4467" spans="1:6">
      <c r="A4467" s="92">
        <v>63104</v>
      </c>
      <c r="B4467" s="92">
        <v>0</v>
      </c>
      <c r="C4467" s="92" t="s">
        <v>3713</v>
      </c>
      <c r="D4467" s="92" t="s">
        <v>6130</v>
      </c>
      <c r="E4467" s="94" t="s">
        <v>621</v>
      </c>
    </row>
    <row r="4468" spans="1:6">
      <c r="A4468" s="92">
        <v>63105</v>
      </c>
      <c r="B4468" s="92">
        <v>0</v>
      </c>
      <c r="C4468" s="92" t="s">
        <v>3894</v>
      </c>
      <c r="D4468" s="92" t="s">
        <v>6131</v>
      </c>
      <c r="E4468" s="94" t="s">
        <v>1285</v>
      </c>
    </row>
    <row r="4469" spans="1:6">
      <c r="A4469" s="92">
        <v>63106</v>
      </c>
      <c r="B4469" s="92">
        <v>0</v>
      </c>
      <c r="C4469" s="92" t="s">
        <v>3352</v>
      </c>
      <c r="D4469" s="92" t="s">
        <v>6132</v>
      </c>
      <c r="E4469" s="94" t="s">
        <v>713</v>
      </c>
    </row>
    <row r="4470" spans="1:6">
      <c r="A4470" s="92">
        <v>63107</v>
      </c>
      <c r="B4470" s="92">
        <v>0</v>
      </c>
      <c r="C4470" s="92" t="s">
        <v>3895</v>
      </c>
      <c r="D4470" s="92" t="s">
        <v>6133</v>
      </c>
      <c r="E4470" s="94" t="s">
        <v>1288</v>
      </c>
    </row>
    <row r="4471" spans="1:6">
      <c r="A4471" s="92">
        <v>63108</v>
      </c>
      <c r="B4471" s="92">
        <v>0</v>
      </c>
      <c r="C4471" s="92" t="s">
        <v>3699</v>
      </c>
      <c r="D4471" s="92" t="s">
        <v>6134</v>
      </c>
      <c r="E4471" s="94" t="s">
        <v>628</v>
      </c>
    </row>
    <row r="4472" spans="1:6">
      <c r="A4472" s="92">
        <v>63109</v>
      </c>
      <c r="B4472" s="92">
        <v>0</v>
      </c>
      <c r="C4472" s="92" t="s">
        <v>3896</v>
      </c>
      <c r="D4472" s="92" t="s">
        <v>6135</v>
      </c>
      <c r="E4472" s="94" t="s">
        <v>1291</v>
      </c>
    </row>
    <row r="4473" spans="1:6">
      <c r="A4473" s="92">
        <v>63110</v>
      </c>
      <c r="B4473" s="92">
        <v>0</v>
      </c>
      <c r="C4473" s="92" t="s">
        <v>3353</v>
      </c>
      <c r="D4473" s="92" t="s">
        <v>6136</v>
      </c>
      <c r="E4473" s="94" t="s">
        <v>1293</v>
      </c>
    </row>
    <row r="4474" spans="1:6">
      <c r="A4474" s="92">
        <v>63111</v>
      </c>
      <c r="B4474" s="92">
        <v>0</v>
      </c>
      <c r="C4474" s="92" t="s">
        <v>3897</v>
      </c>
      <c r="D4474" s="92" t="s">
        <v>6137</v>
      </c>
      <c r="E4474" s="94" t="s">
        <v>1295</v>
      </c>
    </row>
    <row r="4475" spans="1:6">
      <c r="A4475" s="92">
        <v>63112</v>
      </c>
      <c r="B4475" s="92">
        <v>0</v>
      </c>
      <c r="C4475" s="92" t="s">
        <v>3724</v>
      </c>
      <c r="D4475" s="92" t="s">
        <v>6138</v>
      </c>
      <c r="E4475" s="94" t="s">
        <v>642</v>
      </c>
    </row>
    <row r="4476" spans="1:6">
      <c r="A4476" s="92">
        <v>63113</v>
      </c>
      <c r="B4476" s="92">
        <v>0</v>
      </c>
      <c r="C4476" s="92" t="s">
        <v>3898</v>
      </c>
      <c r="D4476" s="92" t="s">
        <v>6139</v>
      </c>
      <c r="E4476" s="94" t="s">
        <v>1298</v>
      </c>
    </row>
    <row r="4477" spans="1:6">
      <c r="A4477" s="92">
        <v>63114</v>
      </c>
      <c r="B4477" s="92">
        <v>0</v>
      </c>
      <c r="C4477" s="92" t="s">
        <v>6124</v>
      </c>
      <c r="D4477" s="92" t="s">
        <v>6140</v>
      </c>
      <c r="E4477" s="94" t="s">
        <v>6123</v>
      </c>
    </row>
    <row r="4478" spans="1:6" s="258" customFormat="1">
      <c r="A4478" s="22">
        <v>65001</v>
      </c>
      <c r="B4478" s="22">
        <v>0</v>
      </c>
      <c r="C4478" s="22" t="s">
        <v>3699</v>
      </c>
      <c r="D4478" s="22" t="s">
        <v>14707</v>
      </c>
      <c r="E4478" s="24" t="s">
        <v>628</v>
      </c>
      <c r="F4478" s="271"/>
    </row>
    <row r="4479" spans="1:6" s="258" customFormat="1">
      <c r="A4479" s="22">
        <v>65002</v>
      </c>
      <c r="B4479" s="22">
        <v>0</v>
      </c>
      <c r="C4479" s="22" t="s">
        <v>11833</v>
      </c>
      <c r="D4479" s="22" t="s">
        <v>14708</v>
      </c>
      <c r="E4479" s="24" t="s">
        <v>11834</v>
      </c>
      <c r="F4479" s="271"/>
    </row>
    <row r="4480" spans="1:6" s="258" customFormat="1">
      <c r="A4480" s="22">
        <v>65003</v>
      </c>
      <c r="B4480" s="22">
        <v>0</v>
      </c>
      <c r="C4480" s="22" t="s">
        <v>11833</v>
      </c>
      <c r="D4480" s="22" t="s">
        <v>14709</v>
      </c>
      <c r="E4480" s="24" t="s">
        <v>11834</v>
      </c>
      <c r="F4480" s="271"/>
    </row>
    <row r="4481" spans="1:6" s="258" customFormat="1">
      <c r="A4481" s="22">
        <v>65004</v>
      </c>
      <c r="B4481" s="22">
        <v>0</v>
      </c>
      <c r="C4481" s="22" t="s">
        <v>6927</v>
      </c>
      <c r="D4481" s="22" t="s">
        <v>14710</v>
      </c>
      <c r="E4481" s="24" t="s">
        <v>6987</v>
      </c>
      <c r="F4481" s="271"/>
    </row>
    <row r="4482" spans="1:6" s="258" customFormat="1">
      <c r="A4482" s="22">
        <v>65005</v>
      </c>
      <c r="B4482" s="22">
        <v>0</v>
      </c>
      <c r="C4482" s="22" t="s">
        <v>3366</v>
      </c>
      <c r="D4482" s="22" t="s">
        <v>14711</v>
      </c>
      <c r="E4482" s="24" t="s">
        <v>981</v>
      </c>
      <c r="F4482" s="271"/>
    </row>
    <row r="4483" spans="1:6" s="258" customFormat="1">
      <c r="A4483" s="22">
        <v>65006</v>
      </c>
      <c r="B4483" s="22">
        <v>0</v>
      </c>
      <c r="C4483" s="22" t="s">
        <v>4249</v>
      </c>
      <c r="D4483" s="22" t="s">
        <v>14712</v>
      </c>
      <c r="E4483" s="24" t="s">
        <v>2090</v>
      </c>
      <c r="F4483" s="271"/>
    </row>
    <row r="4484" spans="1:6" s="258" customFormat="1">
      <c r="A4484" s="22">
        <v>65007</v>
      </c>
      <c r="B4484" s="22">
        <v>0</v>
      </c>
      <c r="C4484" s="22" t="s">
        <v>3355</v>
      </c>
      <c r="D4484" s="22" t="s">
        <v>14713</v>
      </c>
      <c r="E4484" s="24" t="s">
        <v>599</v>
      </c>
      <c r="F4484" s="271"/>
    </row>
    <row r="4485" spans="1:6" s="258" customFormat="1">
      <c r="A4485" s="22">
        <v>65008</v>
      </c>
      <c r="B4485" s="22">
        <v>0</v>
      </c>
      <c r="C4485" s="22" t="s">
        <v>11792</v>
      </c>
      <c r="D4485" s="22" t="s">
        <v>14714</v>
      </c>
      <c r="E4485" s="24" t="s">
        <v>11794</v>
      </c>
      <c r="F4485" s="271"/>
    </row>
    <row r="4486" spans="1:6" s="258" customFormat="1">
      <c r="A4486" s="22">
        <v>65009</v>
      </c>
      <c r="B4486" s="22">
        <v>0</v>
      </c>
      <c r="C4486" s="22" t="s">
        <v>6964</v>
      </c>
      <c r="D4486" s="22" t="s">
        <v>14715</v>
      </c>
      <c r="E4486" s="24" t="s">
        <v>7024</v>
      </c>
      <c r="F4486" s="271"/>
    </row>
    <row r="4487" spans="1:6" s="258" customFormat="1">
      <c r="A4487" s="22">
        <v>65010</v>
      </c>
      <c r="B4487" s="22">
        <v>0</v>
      </c>
      <c r="C4487" s="22" t="s">
        <v>6935</v>
      </c>
      <c r="D4487" s="22" t="s">
        <v>14716</v>
      </c>
      <c r="E4487" s="24" t="s">
        <v>6995</v>
      </c>
      <c r="F4487" s="271"/>
    </row>
    <row r="4488" spans="1:6" s="258" customFormat="1">
      <c r="A4488" s="22">
        <v>65011</v>
      </c>
      <c r="B4488" s="22">
        <v>0</v>
      </c>
      <c r="C4488" s="22" t="s">
        <v>3369</v>
      </c>
      <c r="D4488" s="22" t="s">
        <v>14717</v>
      </c>
      <c r="E4488" s="24" t="s">
        <v>747</v>
      </c>
      <c r="F4488" s="271"/>
    </row>
    <row r="4489" spans="1:6" s="258" customFormat="1">
      <c r="A4489" s="22">
        <v>65012</v>
      </c>
      <c r="B4489" s="22">
        <v>0</v>
      </c>
      <c r="C4489" s="22" t="s">
        <v>3829</v>
      </c>
      <c r="D4489" s="22" t="s">
        <v>14718</v>
      </c>
      <c r="E4489" s="24" t="s">
        <v>1116</v>
      </c>
      <c r="F4489" s="271"/>
    </row>
    <row r="4490" spans="1:6" s="258" customFormat="1">
      <c r="A4490" s="22">
        <v>65013</v>
      </c>
      <c r="B4490" s="22">
        <v>0</v>
      </c>
      <c r="C4490" s="22" t="s">
        <v>3729</v>
      </c>
      <c r="D4490" s="22" t="s">
        <v>14719</v>
      </c>
      <c r="E4490" s="24" t="s">
        <v>653</v>
      </c>
      <c r="F4490" s="271"/>
    </row>
    <row r="4491" spans="1:6" s="258" customFormat="1">
      <c r="A4491" s="22">
        <v>65014</v>
      </c>
      <c r="B4491" s="22">
        <v>0</v>
      </c>
      <c r="C4491" s="22" t="s">
        <v>3758</v>
      </c>
      <c r="D4491" s="22" t="s">
        <v>14720</v>
      </c>
      <c r="E4491" s="24" t="s">
        <v>762</v>
      </c>
      <c r="F4491" s="271"/>
    </row>
    <row r="4492" spans="1:6" s="258" customFormat="1">
      <c r="A4492" s="22">
        <v>65015</v>
      </c>
      <c r="B4492" s="22">
        <v>0</v>
      </c>
      <c r="C4492" s="22" t="s">
        <v>6932</v>
      </c>
      <c r="D4492" s="22" t="s">
        <v>14721</v>
      </c>
      <c r="E4492" s="24" t="s">
        <v>6992</v>
      </c>
      <c r="F4492" s="271"/>
    </row>
    <row r="4493" spans="1:6" s="258" customFormat="1">
      <c r="A4493" s="22">
        <v>65016</v>
      </c>
      <c r="B4493" s="22">
        <v>0</v>
      </c>
      <c r="C4493" s="22" t="s">
        <v>7137</v>
      </c>
      <c r="D4493" s="22" t="s">
        <v>14722</v>
      </c>
      <c r="E4493" s="24" t="s">
        <v>7140</v>
      </c>
      <c r="F4493" s="271"/>
    </row>
    <row r="4494" spans="1:6" s="258" customFormat="1">
      <c r="A4494" s="22">
        <v>65017</v>
      </c>
      <c r="B4494" s="22">
        <v>0</v>
      </c>
      <c r="C4494" s="22" t="s">
        <v>3371</v>
      </c>
      <c r="D4494" s="22" t="s">
        <v>14723</v>
      </c>
      <c r="E4494" s="24" t="s">
        <v>751</v>
      </c>
      <c r="F4494" s="271"/>
    </row>
    <row r="4495" spans="1:6" s="258" customFormat="1">
      <c r="A4495" s="22">
        <v>65018</v>
      </c>
      <c r="B4495" s="22">
        <v>0</v>
      </c>
      <c r="C4495" s="22" t="s">
        <v>3703</v>
      </c>
      <c r="D4495" s="22" t="s">
        <v>14724</v>
      </c>
      <c r="E4495" s="24" t="s">
        <v>594</v>
      </c>
      <c r="F4495" s="271"/>
    </row>
    <row r="4496" spans="1:6" s="258" customFormat="1">
      <c r="A4496" s="22">
        <v>65019</v>
      </c>
      <c r="B4496" s="22">
        <v>0</v>
      </c>
      <c r="C4496" s="22" t="s">
        <v>3360</v>
      </c>
      <c r="D4496" s="22" t="s">
        <v>14725</v>
      </c>
      <c r="E4496" s="24" t="s">
        <v>604</v>
      </c>
      <c r="F4496" s="271"/>
    </row>
    <row r="4497" spans="1:6" s="258" customFormat="1">
      <c r="A4497" s="22">
        <v>65020</v>
      </c>
      <c r="B4497" s="22">
        <v>0</v>
      </c>
      <c r="C4497" s="22" t="s">
        <v>3338</v>
      </c>
      <c r="D4497" s="22" t="s">
        <v>14726</v>
      </c>
      <c r="E4497" s="24" t="s">
        <v>937</v>
      </c>
      <c r="F4497" s="271"/>
    </row>
    <row r="4498" spans="1:6" s="258" customFormat="1">
      <c r="A4498" s="22">
        <v>65021</v>
      </c>
      <c r="B4498" s="22">
        <v>0</v>
      </c>
      <c r="C4498" s="22" t="s">
        <v>11730</v>
      </c>
      <c r="D4498" s="22" t="s">
        <v>14727</v>
      </c>
      <c r="E4498" s="24" t="s">
        <v>11734</v>
      </c>
      <c r="F4498" s="271"/>
    </row>
    <row r="4499" spans="1:6" s="258" customFormat="1">
      <c r="A4499" s="22">
        <v>65022</v>
      </c>
      <c r="B4499" s="22">
        <v>0</v>
      </c>
      <c r="C4499" s="22" t="s">
        <v>6937</v>
      </c>
      <c r="D4499" s="22" t="s">
        <v>14728</v>
      </c>
      <c r="E4499" s="24" t="s">
        <v>6997</v>
      </c>
      <c r="F4499" s="271"/>
    </row>
    <row r="4500" spans="1:6" s="258" customFormat="1">
      <c r="A4500" s="22">
        <v>65023</v>
      </c>
      <c r="B4500" s="22">
        <v>0</v>
      </c>
      <c r="C4500" s="22" t="s">
        <v>3373</v>
      </c>
      <c r="D4500" s="22" t="s">
        <v>14729</v>
      </c>
      <c r="E4500" s="24" t="s">
        <v>991</v>
      </c>
      <c r="F4500" s="271"/>
    </row>
    <row r="4501" spans="1:6" s="258" customFormat="1">
      <c r="A4501" s="22">
        <v>65024</v>
      </c>
      <c r="B4501" s="22">
        <v>0</v>
      </c>
      <c r="C4501" s="22" t="s">
        <v>3704</v>
      </c>
      <c r="D4501" s="22" t="s">
        <v>14730</v>
      </c>
      <c r="E4501" s="24" t="s">
        <v>597</v>
      </c>
      <c r="F4501" s="271"/>
    </row>
    <row r="4502" spans="1:6" s="258" customFormat="1">
      <c r="A4502" s="22">
        <v>65025</v>
      </c>
      <c r="B4502" s="22">
        <v>0</v>
      </c>
      <c r="C4502" s="22" t="s">
        <v>3760</v>
      </c>
      <c r="D4502" s="22" t="s">
        <v>14731</v>
      </c>
      <c r="E4502" s="24" t="s">
        <v>789</v>
      </c>
      <c r="F4502" s="271"/>
    </row>
    <row r="4503" spans="1:6" s="258" customFormat="1">
      <c r="A4503" s="22">
        <v>65026</v>
      </c>
      <c r="B4503" s="22">
        <v>0</v>
      </c>
      <c r="C4503" s="22" t="s">
        <v>4254</v>
      </c>
      <c r="D4503" s="22" t="s">
        <v>14732</v>
      </c>
      <c r="E4503" s="24" t="s">
        <v>2104</v>
      </c>
      <c r="F4503" s="271"/>
    </row>
    <row r="4504" spans="1:6" s="258" customFormat="1">
      <c r="A4504" s="22">
        <v>65027</v>
      </c>
      <c r="B4504" s="22">
        <v>0</v>
      </c>
      <c r="C4504" s="22" t="s">
        <v>11793</v>
      </c>
      <c r="D4504" s="22" t="s">
        <v>14733</v>
      </c>
      <c r="E4504" s="24" t="s">
        <v>11443</v>
      </c>
      <c r="F4504" s="271"/>
    </row>
    <row r="4505" spans="1:6" s="258" customFormat="1">
      <c r="A4505" s="22">
        <v>65028</v>
      </c>
      <c r="B4505" s="22">
        <v>0</v>
      </c>
      <c r="C4505" s="22" t="s">
        <v>6944</v>
      </c>
      <c r="D4505" s="22" t="s">
        <v>14734</v>
      </c>
      <c r="E4505" s="24" t="s">
        <v>7004</v>
      </c>
      <c r="F4505" s="271"/>
    </row>
    <row r="4506" spans="1:6" s="258" customFormat="1">
      <c r="A4506" s="22">
        <v>65029</v>
      </c>
      <c r="B4506" s="22">
        <v>0</v>
      </c>
      <c r="C4506" s="22" t="s">
        <v>3375</v>
      </c>
      <c r="D4506" s="22" t="s">
        <v>14735</v>
      </c>
      <c r="E4506" s="24" t="s">
        <v>787</v>
      </c>
      <c r="F4506" s="271"/>
    </row>
    <row r="4507" spans="1:6" s="258" customFormat="1">
      <c r="A4507" s="22">
        <v>65030</v>
      </c>
      <c r="B4507" s="22">
        <v>0</v>
      </c>
      <c r="C4507" s="22" t="s">
        <v>3844</v>
      </c>
      <c r="D4507" s="22" t="s">
        <v>14736</v>
      </c>
      <c r="E4507" s="24" t="s">
        <v>1141</v>
      </c>
      <c r="F4507" s="271"/>
    </row>
    <row r="4508" spans="1:6" s="258" customFormat="1">
      <c r="A4508" s="165">
        <v>65051</v>
      </c>
      <c r="B4508" s="165">
        <v>0</v>
      </c>
      <c r="C4508" s="165" t="s">
        <v>4282</v>
      </c>
      <c r="D4508" s="165" t="s">
        <v>11798</v>
      </c>
      <c r="E4508" s="166" t="s">
        <v>2170</v>
      </c>
      <c r="F4508" s="271"/>
    </row>
    <row r="4509" spans="1:6" s="258" customFormat="1">
      <c r="A4509" s="165">
        <v>65052</v>
      </c>
      <c r="B4509" s="165">
        <v>0</v>
      </c>
      <c r="C4509" s="165" t="s">
        <v>11795</v>
      </c>
      <c r="D4509" s="165" t="s">
        <v>11799</v>
      </c>
      <c r="E4509" s="166" t="s">
        <v>11803</v>
      </c>
      <c r="F4509" s="271"/>
    </row>
    <row r="4510" spans="1:6" s="258" customFormat="1">
      <c r="A4510" s="165">
        <v>65053</v>
      </c>
      <c r="B4510" s="165">
        <v>0</v>
      </c>
      <c r="C4510" s="165" t="s">
        <v>11793</v>
      </c>
      <c r="D4510" s="165" t="s">
        <v>11800</v>
      </c>
      <c r="E4510" s="166" t="s">
        <v>11443</v>
      </c>
      <c r="F4510" s="271"/>
    </row>
    <row r="4511" spans="1:6" s="258" customFormat="1">
      <c r="A4511" s="165">
        <v>65054</v>
      </c>
      <c r="B4511" s="165">
        <v>0</v>
      </c>
      <c r="C4511" s="165" t="s">
        <v>11796</v>
      </c>
      <c r="D4511" s="165" t="s">
        <v>11801</v>
      </c>
      <c r="E4511" s="166" t="s">
        <v>11804</v>
      </c>
      <c r="F4511" s="271"/>
    </row>
    <row r="4512" spans="1:6" s="258" customFormat="1">
      <c r="A4512" s="165">
        <v>65055</v>
      </c>
      <c r="B4512" s="165">
        <v>0</v>
      </c>
      <c r="C4512" s="165" t="s">
        <v>11797</v>
      </c>
      <c r="D4512" s="165" t="s">
        <v>11802</v>
      </c>
      <c r="E4512" s="166" t="s">
        <v>10340</v>
      </c>
      <c r="F4512" s="271"/>
    </row>
    <row r="4513" spans="1:5">
      <c r="A4513" s="49">
        <v>65101</v>
      </c>
      <c r="B4513" s="49">
        <v>0</v>
      </c>
      <c r="C4513" s="49" t="s">
        <v>14560</v>
      </c>
      <c r="D4513" s="49" t="s">
        <v>14617</v>
      </c>
      <c r="E4513" s="52" t="s">
        <v>14574</v>
      </c>
    </row>
    <row r="4514" spans="1:5">
      <c r="A4514" s="49">
        <v>65102</v>
      </c>
      <c r="B4514" s="49">
        <v>0</v>
      </c>
      <c r="C4514" s="49" t="s">
        <v>3758</v>
      </c>
      <c r="D4514" s="49" t="s">
        <v>14618</v>
      </c>
      <c r="E4514" s="52" t="s">
        <v>762</v>
      </c>
    </row>
    <row r="4515" spans="1:5">
      <c r="A4515" s="49">
        <v>65103</v>
      </c>
      <c r="B4515" s="49">
        <v>0</v>
      </c>
      <c r="C4515" s="49" t="s">
        <v>4249</v>
      </c>
      <c r="D4515" s="49" t="s">
        <v>14619</v>
      </c>
      <c r="E4515" s="52" t="s">
        <v>2090</v>
      </c>
    </row>
    <row r="4516" spans="1:5">
      <c r="A4516" s="49">
        <v>65104</v>
      </c>
      <c r="B4516" s="49">
        <v>0</v>
      </c>
      <c r="C4516" s="49" t="s">
        <v>3369</v>
      </c>
      <c r="D4516" s="49" t="s">
        <v>14620</v>
      </c>
      <c r="E4516" s="52" t="s">
        <v>747</v>
      </c>
    </row>
    <row r="4517" spans="1:5">
      <c r="A4517" s="49">
        <v>65105</v>
      </c>
      <c r="B4517" s="49">
        <v>0</v>
      </c>
      <c r="C4517" s="49" t="s">
        <v>14561</v>
      </c>
      <c r="D4517" s="49" t="s">
        <v>14621</v>
      </c>
      <c r="E4517" s="52" t="s">
        <v>14575</v>
      </c>
    </row>
    <row r="4518" spans="1:5">
      <c r="A4518" s="49">
        <v>65106</v>
      </c>
      <c r="B4518" s="49">
        <v>0</v>
      </c>
      <c r="C4518" s="49" t="s">
        <v>3703</v>
      </c>
      <c r="D4518" s="49" t="s">
        <v>14622</v>
      </c>
      <c r="E4518" s="52" t="s">
        <v>594</v>
      </c>
    </row>
    <row r="4519" spans="1:5">
      <c r="A4519" s="49">
        <v>65107</v>
      </c>
      <c r="B4519" s="49">
        <v>0</v>
      </c>
      <c r="C4519" s="49" t="s">
        <v>14562</v>
      </c>
      <c r="D4519" s="49" t="s">
        <v>14623</v>
      </c>
      <c r="E4519" s="52" t="s">
        <v>14576</v>
      </c>
    </row>
    <row r="4520" spans="1:5">
      <c r="A4520" s="49">
        <v>65108</v>
      </c>
      <c r="B4520" s="49">
        <v>0</v>
      </c>
      <c r="C4520" s="49" t="s">
        <v>3338</v>
      </c>
      <c r="D4520" s="49" t="s">
        <v>14624</v>
      </c>
      <c r="E4520" s="52" t="s">
        <v>937</v>
      </c>
    </row>
    <row r="4521" spans="1:5">
      <c r="A4521" s="49">
        <v>65109</v>
      </c>
      <c r="B4521" s="49">
        <v>0</v>
      </c>
      <c r="C4521" s="49" t="s">
        <v>6954</v>
      </c>
      <c r="D4521" s="49" t="s">
        <v>14625</v>
      </c>
      <c r="E4521" s="52" t="s">
        <v>7014</v>
      </c>
    </row>
    <row r="4522" spans="1:5">
      <c r="A4522" s="49">
        <v>65110</v>
      </c>
      <c r="B4522" s="49">
        <v>0</v>
      </c>
      <c r="C4522" s="49" t="s">
        <v>3371</v>
      </c>
      <c r="D4522" s="49" t="s">
        <v>14626</v>
      </c>
      <c r="E4522" s="52" t="s">
        <v>751</v>
      </c>
    </row>
    <row r="4523" spans="1:5">
      <c r="A4523" s="49">
        <v>65111</v>
      </c>
      <c r="B4523" s="49">
        <v>0</v>
      </c>
      <c r="C4523" s="49" t="s">
        <v>11796</v>
      </c>
      <c r="D4523" s="49" t="s">
        <v>14627</v>
      </c>
      <c r="E4523" s="52" t="s">
        <v>11804</v>
      </c>
    </row>
    <row r="4524" spans="1:5">
      <c r="A4524" s="49">
        <v>65112</v>
      </c>
      <c r="B4524" s="49">
        <v>0</v>
      </c>
      <c r="C4524" s="49" t="s">
        <v>3829</v>
      </c>
      <c r="D4524" s="49" t="s">
        <v>14628</v>
      </c>
      <c r="E4524" s="52" t="s">
        <v>1116</v>
      </c>
    </row>
    <row r="4525" spans="1:5">
      <c r="A4525" s="49">
        <v>65113</v>
      </c>
      <c r="B4525" s="49">
        <v>0</v>
      </c>
      <c r="C4525" s="49" t="s">
        <v>14560</v>
      </c>
      <c r="D4525" s="49" t="s">
        <v>14629</v>
      </c>
      <c r="E4525" s="52" t="s">
        <v>14574</v>
      </c>
    </row>
    <row r="4526" spans="1:5">
      <c r="A4526" s="49">
        <v>65114</v>
      </c>
      <c r="B4526" s="49">
        <v>0</v>
      </c>
      <c r="C4526" s="49" t="s">
        <v>4254</v>
      </c>
      <c r="D4526" s="49" t="s">
        <v>14630</v>
      </c>
      <c r="E4526" s="52" t="s">
        <v>2104</v>
      </c>
    </row>
    <row r="4527" spans="1:5">
      <c r="A4527" s="49">
        <v>65115</v>
      </c>
      <c r="B4527" s="49">
        <v>0</v>
      </c>
      <c r="C4527" s="49" t="s">
        <v>4571</v>
      </c>
      <c r="D4527" s="49" t="s">
        <v>14631</v>
      </c>
      <c r="E4527" s="52" t="s">
        <v>3091</v>
      </c>
    </row>
    <row r="4528" spans="1:5">
      <c r="A4528" s="49">
        <v>65116</v>
      </c>
      <c r="B4528" s="49">
        <v>0</v>
      </c>
      <c r="C4528" s="49" t="s">
        <v>3373</v>
      </c>
      <c r="D4528" s="49" t="s">
        <v>14632</v>
      </c>
      <c r="E4528" s="52" t="s">
        <v>991</v>
      </c>
    </row>
    <row r="4529" spans="1:5">
      <c r="A4529" s="49">
        <v>65117</v>
      </c>
      <c r="B4529" s="49">
        <v>0</v>
      </c>
      <c r="C4529" s="49" t="s">
        <v>14563</v>
      </c>
      <c r="D4529" s="49" t="s">
        <v>14633</v>
      </c>
      <c r="E4529" s="52" t="s">
        <v>14577</v>
      </c>
    </row>
    <row r="4530" spans="1:5">
      <c r="A4530" s="49">
        <v>65118</v>
      </c>
      <c r="B4530" s="49">
        <v>0</v>
      </c>
      <c r="C4530" s="49" t="s">
        <v>3844</v>
      </c>
      <c r="D4530" s="49" t="s">
        <v>14634</v>
      </c>
      <c r="E4530" s="52" t="s">
        <v>1141</v>
      </c>
    </row>
    <row r="4531" spans="1:5">
      <c r="A4531" s="49">
        <v>65119</v>
      </c>
      <c r="B4531" s="49">
        <v>0</v>
      </c>
      <c r="C4531" s="49" t="s">
        <v>14564</v>
      </c>
      <c r="D4531" s="49" t="s">
        <v>14635</v>
      </c>
      <c r="E4531" s="52" t="s">
        <v>14578</v>
      </c>
    </row>
    <row r="4532" spans="1:5">
      <c r="A4532" s="49">
        <v>65120</v>
      </c>
      <c r="B4532" s="49">
        <v>0</v>
      </c>
      <c r="C4532" s="49" t="s">
        <v>3810</v>
      </c>
      <c r="D4532" s="49" t="s">
        <v>14636</v>
      </c>
      <c r="E4532" s="52" t="s">
        <v>947</v>
      </c>
    </row>
    <row r="4533" spans="1:5">
      <c r="A4533" s="49">
        <v>65121</v>
      </c>
      <c r="B4533" s="49">
        <v>0</v>
      </c>
      <c r="C4533" s="49" t="s">
        <v>14565</v>
      </c>
      <c r="D4533" s="49" t="s">
        <v>14637</v>
      </c>
      <c r="E4533" s="52" t="s">
        <v>14579</v>
      </c>
    </row>
    <row r="4534" spans="1:5">
      <c r="A4534" s="49">
        <v>65122</v>
      </c>
      <c r="B4534" s="49">
        <v>0</v>
      </c>
      <c r="C4534" s="49" t="s">
        <v>3375</v>
      </c>
      <c r="D4534" s="49" t="s">
        <v>14638</v>
      </c>
      <c r="E4534" s="52" t="s">
        <v>787</v>
      </c>
    </row>
    <row r="4535" spans="1:5">
      <c r="A4535" s="49">
        <v>65123</v>
      </c>
      <c r="B4535" s="49">
        <v>0</v>
      </c>
      <c r="C4535" s="49" t="s">
        <v>14566</v>
      </c>
      <c r="D4535" s="49" t="s">
        <v>14639</v>
      </c>
      <c r="E4535" s="52" t="s">
        <v>14580</v>
      </c>
    </row>
    <row r="4536" spans="1:5">
      <c r="A4536" s="49">
        <v>65124</v>
      </c>
      <c r="B4536" s="49">
        <v>0</v>
      </c>
      <c r="C4536" s="49" t="s">
        <v>3704</v>
      </c>
      <c r="D4536" s="49" t="s">
        <v>14640</v>
      </c>
      <c r="E4536" s="52" t="s">
        <v>597</v>
      </c>
    </row>
    <row r="4537" spans="1:5">
      <c r="A4537" s="49">
        <v>65125</v>
      </c>
      <c r="B4537" s="49">
        <v>0</v>
      </c>
      <c r="C4537" s="49" t="s">
        <v>14567</v>
      </c>
      <c r="D4537" s="49" t="s">
        <v>14641</v>
      </c>
      <c r="E4537" s="52" t="s">
        <v>14581</v>
      </c>
    </row>
    <row r="4538" spans="1:5">
      <c r="A4538" s="49">
        <v>65126</v>
      </c>
      <c r="B4538" s="49">
        <v>0</v>
      </c>
      <c r="C4538" s="49" t="s">
        <v>3348</v>
      </c>
      <c r="D4538" s="49" t="s">
        <v>14642</v>
      </c>
      <c r="E4538" s="52" t="s">
        <v>949</v>
      </c>
    </row>
    <row r="4539" spans="1:5">
      <c r="A4539" s="49">
        <v>65127</v>
      </c>
      <c r="B4539" s="49">
        <v>0</v>
      </c>
      <c r="C4539" s="49" t="s">
        <v>4334</v>
      </c>
      <c r="D4539" s="49" t="s">
        <v>14643</v>
      </c>
      <c r="E4539" s="52" t="s">
        <v>2327</v>
      </c>
    </row>
    <row r="4540" spans="1:5">
      <c r="A4540" s="49">
        <v>65128</v>
      </c>
      <c r="B4540" s="49">
        <v>0</v>
      </c>
      <c r="C4540" s="49" t="s">
        <v>3378</v>
      </c>
      <c r="D4540" s="49" t="s">
        <v>14644</v>
      </c>
      <c r="E4540" s="52" t="s">
        <v>795</v>
      </c>
    </row>
    <row r="4541" spans="1:5">
      <c r="A4541" s="49">
        <v>65129</v>
      </c>
      <c r="B4541" s="49">
        <v>0</v>
      </c>
      <c r="C4541" s="49" t="s">
        <v>14568</v>
      </c>
      <c r="D4541" s="49" t="s">
        <v>14645</v>
      </c>
      <c r="E4541" s="52" t="s">
        <v>14582</v>
      </c>
    </row>
    <row r="4542" spans="1:5">
      <c r="A4542" s="49">
        <v>65130</v>
      </c>
      <c r="B4542" s="49">
        <v>0</v>
      </c>
      <c r="C4542" s="49" t="s">
        <v>4323</v>
      </c>
      <c r="D4542" s="49" t="s">
        <v>14646</v>
      </c>
      <c r="E4542" s="52" t="s">
        <v>2298</v>
      </c>
    </row>
    <row r="4543" spans="1:5">
      <c r="A4543" s="22">
        <v>65201</v>
      </c>
      <c r="B4543" s="22">
        <v>0</v>
      </c>
      <c r="C4543" s="22" t="s">
        <v>14569</v>
      </c>
      <c r="D4543" s="22" t="s">
        <v>14647</v>
      </c>
      <c r="E4543" s="24" t="s">
        <v>14583</v>
      </c>
    </row>
    <row r="4544" spans="1:5">
      <c r="A4544" s="22">
        <v>65202</v>
      </c>
      <c r="B4544" s="22">
        <v>0</v>
      </c>
      <c r="C4544" s="22" t="s">
        <v>11796</v>
      </c>
      <c r="D4544" s="22" t="s">
        <v>14648</v>
      </c>
      <c r="E4544" s="24" t="s">
        <v>11804</v>
      </c>
    </row>
    <row r="4545" spans="1:5">
      <c r="A4545" s="22">
        <v>65203</v>
      </c>
      <c r="B4545" s="22">
        <v>0</v>
      </c>
      <c r="C4545" s="22" t="s">
        <v>3369</v>
      </c>
      <c r="D4545" s="22" t="s">
        <v>14649</v>
      </c>
      <c r="E4545" s="24" t="s">
        <v>747</v>
      </c>
    </row>
    <row r="4546" spans="1:5">
      <c r="A4546" s="22">
        <v>65204</v>
      </c>
      <c r="B4546" s="22">
        <v>0</v>
      </c>
      <c r="C4546" s="22" t="s">
        <v>6954</v>
      </c>
      <c r="D4546" s="22" t="s">
        <v>14650</v>
      </c>
      <c r="E4546" s="24" t="s">
        <v>7014</v>
      </c>
    </row>
    <row r="4547" spans="1:5">
      <c r="A4547" s="22">
        <v>65205</v>
      </c>
      <c r="B4547" s="22">
        <v>0</v>
      </c>
      <c r="C4547" s="22" t="s">
        <v>3338</v>
      </c>
      <c r="D4547" s="22" t="s">
        <v>14651</v>
      </c>
      <c r="E4547" s="24" t="s">
        <v>937</v>
      </c>
    </row>
    <row r="4548" spans="1:5">
      <c r="A4548" s="22">
        <v>65206</v>
      </c>
      <c r="B4548" s="22">
        <v>0</v>
      </c>
      <c r="C4548" s="22" t="s">
        <v>3829</v>
      </c>
      <c r="D4548" s="22" t="s">
        <v>14652</v>
      </c>
      <c r="E4548" s="24" t="s">
        <v>1116</v>
      </c>
    </row>
    <row r="4549" spans="1:5">
      <c r="A4549" s="22">
        <v>65207</v>
      </c>
      <c r="B4549" s="22">
        <v>0</v>
      </c>
      <c r="C4549" s="22" t="s">
        <v>14562</v>
      </c>
      <c r="D4549" s="22" t="s">
        <v>14653</v>
      </c>
      <c r="E4549" s="24" t="s">
        <v>14576</v>
      </c>
    </row>
    <row r="4550" spans="1:5">
      <c r="A4550" s="22">
        <v>65208</v>
      </c>
      <c r="B4550" s="22">
        <v>0</v>
      </c>
      <c r="C4550" s="22" t="s">
        <v>14561</v>
      </c>
      <c r="D4550" s="22" t="s">
        <v>14654</v>
      </c>
      <c r="E4550" s="24" t="s">
        <v>14575</v>
      </c>
    </row>
    <row r="4551" spans="1:5">
      <c r="A4551" s="22">
        <v>65209</v>
      </c>
      <c r="B4551" s="22">
        <v>0</v>
      </c>
      <c r="C4551" s="22" t="s">
        <v>3371</v>
      </c>
      <c r="D4551" s="22" t="s">
        <v>14655</v>
      </c>
      <c r="E4551" s="24" t="s">
        <v>751</v>
      </c>
    </row>
    <row r="4552" spans="1:5">
      <c r="A4552" s="22">
        <v>65210</v>
      </c>
      <c r="B4552" s="22">
        <v>0</v>
      </c>
      <c r="C4552" s="22" t="s">
        <v>4249</v>
      </c>
      <c r="D4552" s="22" t="s">
        <v>14656</v>
      </c>
      <c r="E4552" s="24" t="s">
        <v>2090</v>
      </c>
    </row>
    <row r="4553" spans="1:5">
      <c r="A4553" s="22">
        <v>65211</v>
      </c>
      <c r="B4553" s="22">
        <v>0</v>
      </c>
      <c r="C4553" s="22" t="s">
        <v>3758</v>
      </c>
      <c r="D4553" s="22" t="s">
        <v>14657</v>
      </c>
      <c r="E4553" s="24" t="s">
        <v>762</v>
      </c>
    </row>
    <row r="4554" spans="1:5">
      <c r="A4554" s="22">
        <v>65212</v>
      </c>
      <c r="B4554" s="22">
        <v>0</v>
      </c>
      <c r="C4554" s="22" t="s">
        <v>3703</v>
      </c>
      <c r="D4554" s="22" t="s">
        <v>14658</v>
      </c>
      <c r="E4554" s="24" t="s">
        <v>594</v>
      </c>
    </row>
    <row r="4555" spans="1:5">
      <c r="A4555" s="22">
        <v>65213</v>
      </c>
      <c r="B4555" s="22">
        <v>0</v>
      </c>
      <c r="C4555" s="22" t="s">
        <v>14569</v>
      </c>
      <c r="D4555" s="22" t="s">
        <v>14659</v>
      </c>
      <c r="E4555" s="24" t="s">
        <v>14583</v>
      </c>
    </row>
    <row r="4556" spans="1:5">
      <c r="A4556" s="22">
        <v>65214</v>
      </c>
      <c r="B4556" s="22">
        <v>0</v>
      </c>
      <c r="C4556" s="22" t="s">
        <v>14566</v>
      </c>
      <c r="D4556" s="22" t="s">
        <v>14660</v>
      </c>
      <c r="E4556" s="24" t="s">
        <v>14580</v>
      </c>
    </row>
    <row r="4557" spans="1:5">
      <c r="A4557" s="22">
        <v>65215</v>
      </c>
      <c r="B4557" s="22">
        <v>0</v>
      </c>
      <c r="C4557" s="22" t="s">
        <v>3373</v>
      </c>
      <c r="D4557" s="22" t="s">
        <v>14661</v>
      </c>
      <c r="E4557" s="24" t="s">
        <v>991</v>
      </c>
    </row>
    <row r="4558" spans="1:5">
      <c r="A4558" s="22">
        <v>65216</v>
      </c>
      <c r="B4558" s="22">
        <v>0</v>
      </c>
      <c r="C4558" s="22" t="s">
        <v>14565</v>
      </c>
      <c r="D4558" s="22" t="s">
        <v>14662</v>
      </c>
      <c r="E4558" s="24" t="s">
        <v>14579</v>
      </c>
    </row>
    <row r="4559" spans="1:5">
      <c r="A4559" s="22">
        <v>65217</v>
      </c>
      <c r="B4559" s="22">
        <v>0</v>
      </c>
      <c r="C4559" s="22" t="s">
        <v>3810</v>
      </c>
      <c r="D4559" s="22" t="s">
        <v>14663</v>
      </c>
      <c r="E4559" s="24" t="s">
        <v>947</v>
      </c>
    </row>
    <row r="4560" spans="1:5">
      <c r="A4560" s="22">
        <v>65218</v>
      </c>
      <c r="B4560" s="22">
        <v>0</v>
      </c>
      <c r="C4560" s="22" t="s">
        <v>3704</v>
      </c>
      <c r="D4560" s="22" t="s">
        <v>14664</v>
      </c>
      <c r="E4560" s="24" t="s">
        <v>597</v>
      </c>
    </row>
    <row r="4561" spans="1:5">
      <c r="A4561" s="22">
        <v>65219</v>
      </c>
      <c r="B4561" s="22">
        <v>0</v>
      </c>
      <c r="C4561" s="22" t="s">
        <v>14564</v>
      </c>
      <c r="D4561" s="22" t="s">
        <v>14665</v>
      </c>
      <c r="E4561" s="24" t="s">
        <v>14578</v>
      </c>
    </row>
    <row r="4562" spans="1:5">
      <c r="A4562" s="22">
        <v>65220</v>
      </c>
      <c r="B4562" s="22">
        <v>0</v>
      </c>
      <c r="C4562" s="22" t="s">
        <v>14563</v>
      </c>
      <c r="D4562" s="22" t="s">
        <v>14666</v>
      </c>
      <c r="E4562" s="24" t="s">
        <v>14577</v>
      </c>
    </row>
    <row r="4563" spans="1:5">
      <c r="A4563" s="22">
        <v>65221</v>
      </c>
      <c r="B4563" s="22">
        <v>0</v>
      </c>
      <c r="C4563" s="22" t="s">
        <v>3375</v>
      </c>
      <c r="D4563" s="22" t="s">
        <v>14667</v>
      </c>
      <c r="E4563" s="24" t="s">
        <v>787</v>
      </c>
    </row>
    <row r="4564" spans="1:5">
      <c r="A4564" s="22">
        <v>65222</v>
      </c>
      <c r="B4564" s="22">
        <v>0</v>
      </c>
      <c r="C4564" s="22" t="s">
        <v>4571</v>
      </c>
      <c r="D4564" s="22" t="s">
        <v>14668</v>
      </c>
      <c r="E4564" s="24" t="s">
        <v>3091</v>
      </c>
    </row>
    <row r="4565" spans="1:5">
      <c r="A4565" s="22">
        <v>65223</v>
      </c>
      <c r="B4565" s="22">
        <v>0</v>
      </c>
      <c r="C4565" s="22" t="s">
        <v>4254</v>
      </c>
      <c r="D4565" s="22" t="s">
        <v>14669</v>
      </c>
      <c r="E4565" s="24" t="s">
        <v>2104</v>
      </c>
    </row>
    <row r="4566" spans="1:5">
      <c r="A4566" s="22">
        <v>65224</v>
      </c>
      <c r="B4566" s="22">
        <v>0</v>
      </c>
      <c r="C4566" s="22" t="s">
        <v>3844</v>
      </c>
      <c r="D4566" s="22" t="s">
        <v>14670</v>
      </c>
      <c r="E4566" s="24" t="s">
        <v>1141</v>
      </c>
    </row>
    <row r="4567" spans="1:5">
      <c r="A4567" s="22">
        <v>65225</v>
      </c>
      <c r="B4567" s="22">
        <v>0</v>
      </c>
      <c r="C4567" s="22" t="s">
        <v>14570</v>
      </c>
      <c r="D4567" s="22" t="s">
        <v>14671</v>
      </c>
      <c r="E4567" s="24" t="s">
        <v>14584</v>
      </c>
    </row>
    <row r="4568" spans="1:5">
      <c r="A4568" s="22">
        <v>65226</v>
      </c>
      <c r="B4568" s="22">
        <v>0</v>
      </c>
      <c r="C4568" s="22" t="s">
        <v>14571</v>
      </c>
      <c r="D4568" s="22" t="s">
        <v>14672</v>
      </c>
      <c r="E4568" s="24" t="s">
        <v>14585</v>
      </c>
    </row>
    <row r="4569" spans="1:5">
      <c r="A4569" s="22">
        <v>65227</v>
      </c>
      <c r="B4569" s="22">
        <v>0</v>
      </c>
      <c r="C4569" s="22" t="s">
        <v>3378</v>
      </c>
      <c r="D4569" s="22" t="s">
        <v>14673</v>
      </c>
      <c r="E4569" s="24" t="s">
        <v>795</v>
      </c>
    </row>
    <row r="4570" spans="1:5">
      <c r="A4570" s="22">
        <v>65228</v>
      </c>
      <c r="B4570" s="22">
        <v>0</v>
      </c>
      <c r="C4570" s="22" t="s">
        <v>9135</v>
      </c>
      <c r="D4570" s="22" t="s">
        <v>14674</v>
      </c>
      <c r="E4570" s="24" t="s">
        <v>9136</v>
      </c>
    </row>
    <row r="4571" spans="1:5">
      <c r="A4571" s="22">
        <v>65229</v>
      </c>
      <c r="B4571" s="22">
        <v>0</v>
      </c>
      <c r="C4571" s="22" t="s">
        <v>3808</v>
      </c>
      <c r="D4571" s="22" t="s">
        <v>14675</v>
      </c>
      <c r="E4571" s="24" t="s">
        <v>942</v>
      </c>
    </row>
    <row r="4572" spans="1:5">
      <c r="A4572" s="22">
        <v>65230</v>
      </c>
      <c r="B4572" s="22">
        <v>0</v>
      </c>
      <c r="C4572" s="22" t="s">
        <v>3830</v>
      </c>
      <c r="D4572" s="22" t="s">
        <v>14676</v>
      </c>
      <c r="E4572" s="24" t="s">
        <v>1119</v>
      </c>
    </row>
    <row r="4573" spans="1:5">
      <c r="A4573" s="49">
        <v>65301</v>
      </c>
      <c r="B4573" s="49">
        <v>0</v>
      </c>
      <c r="C4573" s="49" t="s">
        <v>14572</v>
      </c>
      <c r="D4573" s="49" t="s">
        <v>14677</v>
      </c>
      <c r="E4573" s="52" t="s">
        <v>14586</v>
      </c>
    </row>
    <row r="4574" spans="1:5">
      <c r="A4574" s="49">
        <v>65302</v>
      </c>
      <c r="B4574" s="49">
        <v>0</v>
      </c>
      <c r="C4574" s="49" t="s">
        <v>4249</v>
      </c>
      <c r="D4574" s="49" t="s">
        <v>14678</v>
      </c>
      <c r="E4574" s="52" t="s">
        <v>2090</v>
      </c>
    </row>
    <row r="4575" spans="1:5">
      <c r="A4575" s="49">
        <v>65303</v>
      </c>
      <c r="B4575" s="49">
        <v>0</v>
      </c>
      <c r="C4575" s="49" t="s">
        <v>14561</v>
      </c>
      <c r="D4575" s="49" t="s">
        <v>14679</v>
      </c>
      <c r="E4575" s="52" t="s">
        <v>14575</v>
      </c>
    </row>
    <row r="4576" spans="1:5">
      <c r="A4576" s="49">
        <v>65304</v>
      </c>
      <c r="B4576" s="49">
        <v>0</v>
      </c>
      <c r="C4576" s="49" t="s">
        <v>3758</v>
      </c>
      <c r="D4576" s="49" t="s">
        <v>14680</v>
      </c>
      <c r="E4576" s="52" t="s">
        <v>762</v>
      </c>
    </row>
    <row r="4577" spans="1:5">
      <c r="A4577" s="49">
        <v>65305</v>
      </c>
      <c r="B4577" s="49">
        <v>0</v>
      </c>
      <c r="C4577" s="49" t="s">
        <v>3369</v>
      </c>
      <c r="D4577" s="49" t="s">
        <v>14681</v>
      </c>
      <c r="E4577" s="52" t="s">
        <v>747</v>
      </c>
    </row>
    <row r="4578" spans="1:5">
      <c r="A4578" s="49">
        <v>65306</v>
      </c>
      <c r="B4578" s="49">
        <v>0</v>
      </c>
      <c r="C4578" s="49" t="s">
        <v>3703</v>
      </c>
      <c r="D4578" s="49" t="s">
        <v>14682</v>
      </c>
      <c r="E4578" s="52" t="s">
        <v>594</v>
      </c>
    </row>
    <row r="4579" spans="1:5">
      <c r="A4579" s="49">
        <v>65307</v>
      </c>
      <c r="B4579" s="49">
        <v>0</v>
      </c>
      <c r="C4579" s="49" t="s">
        <v>14562</v>
      </c>
      <c r="D4579" s="49" t="s">
        <v>14683</v>
      </c>
      <c r="E4579" s="52" t="s">
        <v>14576</v>
      </c>
    </row>
    <row r="4580" spans="1:5">
      <c r="A4580" s="49">
        <v>65308</v>
      </c>
      <c r="B4580" s="49">
        <v>0</v>
      </c>
      <c r="C4580" s="49" t="s">
        <v>6954</v>
      </c>
      <c r="D4580" s="49" t="s">
        <v>14684</v>
      </c>
      <c r="E4580" s="52" t="s">
        <v>7014</v>
      </c>
    </row>
    <row r="4581" spans="1:5">
      <c r="A4581" s="49">
        <v>65309</v>
      </c>
      <c r="B4581" s="49">
        <v>0</v>
      </c>
      <c r="C4581" s="49" t="s">
        <v>11796</v>
      </c>
      <c r="D4581" s="49" t="s">
        <v>14685</v>
      </c>
      <c r="E4581" s="52" t="s">
        <v>11804</v>
      </c>
    </row>
    <row r="4582" spans="1:5">
      <c r="A4582" s="49">
        <v>65310</v>
      </c>
      <c r="B4582" s="49">
        <v>0</v>
      </c>
      <c r="C4582" s="49" t="s">
        <v>3338</v>
      </c>
      <c r="D4582" s="49" t="s">
        <v>14686</v>
      </c>
      <c r="E4582" s="52" t="s">
        <v>937</v>
      </c>
    </row>
    <row r="4583" spans="1:5">
      <c r="A4583" s="49">
        <v>65311</v>
      </c>
      <c r="B4583" s="49">
        <v>0</v>
      </c>
      <c r="C4583" s="49" t="s">
        <v>3371</v>
      </c>
      <c r="D4583" s="49" t="s">
        <v>14687</v>
      </c>
      <c r="E4583" s="52" t="s">
        <v>751</v>
      </c>
    </row>
    <row r="4584" spans="1:5">
      <c r="A4584" s="49">
        <v>65312</v>
      </c>
      <c r="B4584" s="49">
        <v>0</v>
      </c>
      <c r="C4584" s="49" t="s">
        <v>3829</v>
      </c>
      <c r="D4584" s="49" t="s">
        <v>14688</v>
      </c>
      <c r="E4584" s="52" t="s">
        <v>1116</v>
      </c>
    </row>
    <row r="4585" spans="1:5">
      <c r="A4585" s="49">
        <v>65313</v>
      </c>
      <c r="B4585" s="49">
        <v>0</v>
      </c>
      <c r="C4585" s="49" t="s">
        <v>14572</v>
      </c>
      <c r="D4585" s="49" t="s">
        <v>14689</v>
      </c>
      <c r="E4585" s="52" t="s">
        <v>14586</v>
      </c>
    </row>
    <row r="4586" spans="1:5">
      <c r="A4586" s="49">
        <v>65314</v>
      </c>
      <c r="B4586" s="49">
        <v>0</v>
      </c>
      <c r="C4586" s="49" t="s">
        <v>4571</v>
      </c>
      <c r="D4586" s="49" t="s">
        <v>14690</v>
      </c>
      <c r="E4586" s="52" t="s">
        <v>3091</v>
      </c>
    </row>
    <row r="4587" spans="1:5">
      <c r="A4587" s="49">
        <v>65315</v>
      </c>
      <c r="B4587" s="49">
        <v>0</v>
      </c>
      <c r="C4587" s="49" t="s">
        <v>14563</v>
      </c>
      <c r="D4587" s="49" t="s">
        <v>14691</v>
      </c>
      <c r="E4587" s="52" t="s">
        <v>14577</v>
      </c>
    </row>
    <row r="4588" spans="1:5">
      <c r="A4588" s="49">
        <v>65316</v>
      </c>
      <c r="B4588" s="49">
        <v>0</v>
      </c>
      <c r="C4588" s="49" t="s">
        <v>4254</v>
      </c>
      <c r="D4588" s="49" t="s">
        <v>14692</v>
      </c>
      <c r="E4588" s="52" t="s">
        <v>2104</v>
      </c>
    </row>
    <row r="4589" spans="1:5">
      <c r="A4589" s="49">
        <v>65317</v>
      </c>
      <c r="B4589" s="49">
        <v>0</v>
      </c>
      <c r="C4589" s="49" t="s">
        <v>3373</v>
      </c>
      <c r="D4589" s="49" t="s">
        <v>14693</v>
      </c>
      <c r="E4589" s="52" t="s">
        <v>991</v>
      </c>
    </row>
    <row r="4590" spans="1:5">
      <c r="A4590" s="49">
        <v>65318</v>
      </c>
      <c r="B4590" s="49">
        <v>0</v>
      </c>
      <c r="C4590" s="49" t="s">
        <v>3844</v>
      </c>
      <c r="D4590" s="49" t="s">
        <v>14694</v>
      </c>
      <c r="E4590" s="52" t="s">
        <v>1141</v>
      </c>
    </row>
    <row r="4591" spans="1:5">
      <c r="A4591" s="49">
        <v>65319</v>
      </c>
      <c r="B4591" s="49">
        <v>0</v>
      </c>
      <c r="C4591" s="49" t="s">
        <v>14564</v>
      </c>
      <c r="D4591" s="49" t="s">
        <v>14695</v>
      </c>
      <c r="E4591" s="52" t="s">
        <v>14578</v>
      </c>
    </row>
    <row r="4592" spans="1:5">
      <c r="A4592" s="49">
        <v>65320</v>
      </c>
      <c r="B4592" s="49">
        <v>0</v>
      </c>
      <c r="C4592" s="49" t="s">
        <v>14565</v>
      </c>
      <c r="D4592" s="49" t="s">
        <v>14696</v>
      </c>
      <c r="E4592" s="52" t="s">
        <v>14579</v>
      </c>
    </row>
    <row r="4593" spans="1:6">
      <c r="A4593" s="49">
        <v>65321</v>
      </c>
      <c r="B4593" s="49">
        <v>0</v>
      </c>
      <c r="C4593" s="49" t="s">
        <v>14566</v>
      </c>
      <c r="D4593" s="49" t="s">
        <v>14697</v>
      </c>
      <c r="E4593" s="52" t="s">
        <v>14580</v>
      </c>
    </row>
    <row r="4594" spans="1:6">
      <c r="A4594" s="49">
        <v>65322</v>
      </c>
      <c r="B4594" s="49">
        <v>0</v>
      </c>
      <c r="C4594" s="49" t="s">
        <v>3810</v>
      </c>
      <c r="D4594" s="49" t="s">
        <v>14698</v>
      </c>
      <c r="E4594" s="52" t="s">
        <v>947</v>
      </c>
    </row>
    <row r="4595" spans="1:6">
      <c r="A4595" s="49">
        <v>65323</v>
      </c>
      <c r="B4595" s="49">
        <v>0</v>
      </c>
      <c r="C4595" s="49" t="s">
        <v>3375</v>
      </c>
      <c r="D4595" s="49" t="s">
        <v>14699</v>
      </c>
      <c r="E4595" s="52" t="s">
        <v>787</v>
      </c>
    </row>
    <row r="4596" spans="1:6">
      <c r="A4596" s="49">
        <v>65324</v>
      </c>
      <c r="B4596" s="49">
        <v>0</v>
      </c>
      <c r="C4596" s="49" t="s">
        <v>3704</v>
      </c>
      <c r="D4596" s="49" t="s">
        <v>14700</v>
      </c>
      <c r="E4596" s="52" t="s">
        <v>597</v>
      </c>
    </row>
    <row r="4597" spans="1:6">
      <c r="A4597" s="49">
        <v>65325</v>
      </c>
      <c r="B4597" s="49">
        <v>0</v>
      </c>
      <c r="C4597" s="49" t="s">
        <v>14573</v>
      </c>
      <c r="D4597" s="49" t="s">
        <v>14701</v>
      </c>
      <c r="E4597" s="52" t="s">
        <v>14587</v>
      </c>
    </row>
    <row r="4598" spans="1:6">
      <c r="A4598" s="49">
        <v>65326</v>
      </c>
      <c r="B4598" s="49">
        <v>0</v>
      </c>
      <c r="C4598" s="49" t="s">
        <v>4334</v>
      </c>
      <c r="D4598" s="49" t="s">
        <v>14702</v>
      </c>
      <c r="E4598" s="52" t="s">
        <v>2327</v>
      </c>
    </row>
    <row r="4599" spans="1:6">
      <c r="A4599" s="49">
        <v>65327</v>
      </c>
      <c r="B4599" s="49">
        <v>0</v>
      </c>
      <c r="C4599" s="49" t="s">
        <v>14568</v>
      </c>
      <c r="D4599" s="49" t="s">
        <v>14703</v>
      </c>
      <c r="E4599" s="52" t="s">
        <v>14582</v>
      </c>
    </row>
    <row r="4600" spans="1:6">
      <c r="A4600" s="49">
        <v>65328</v>
      </c>
      <c r="B4600" s="49">
        <v>0</v>
      </c>
      <c r="C4600" s="49" t="s">
        <v>3348</v>
      </c>
      <c r="D4600" s="49" t="s">
        <v>14704</v>
      </c>
      <c r="E4600" s="52" t="s">
        <v>949</v>
      </c>
    </row>
    <row r="4601" spans="1:6">
      <c r="A4601" s="49">
        <v>65329</v>
      </c>
      <c r="B4601" s="49">
        <v>0</v>
      </c>
      <c r="C4601" s="49" t="s">
        <v>3378</v>
      </c>
      <c r="D4601" s="49" t="s">
        <v>14705</v>
      </c>
      <c r="E4601" s="52" t="s">
        <v>795</v>
      </c>
    </row>
    <row r="4602" spans="1:6">
      <c r="A4602" s="49">
        <v>65330</v>
      </c>
      <c r="B4602" s="49">
        <v>0</v>
      </c>
      <c r="C4602" s="49" t="s">
        <v>4323</v>
      </c>
      <c r="D4602" s="49" t="s">
        <v>14706</v>
      </c>
      <c r="E4602" s="52" t="s">
        <v>2298</v>
      </c>
    </row>
    <row r="4603" spans="1:6" s="258" customFormat="1">
      <c r="A4603" s="22">
        <v>65701</v>
      </c>
      <c r="B4603" s="22">
        <v>0</v>
      </c>
      <c r="C4603" s="22" t="s">
        <v>3348</v>
      </c>
      <c r="D4603" s="22" t="s">
        <v>14588</v>
      </c>
      <c r="E4603" s="24" t="s">
        <v>949</v>
      </c>
      <c r="F4603" s="271"/>
    </row>
    <row r="4604" spans="1:6" s="258" customFormat="1">
      <c r="A4604" s="22">
        <v>65702</v>
      </c>
      <c r="B4604" s="22">
        <v>0</v>
      </c>
      <c r="C4604" s="22" t="s">
        <v>3808</v>
      </c>
      <c r="D4604" s="22" t="s">
        <v>14589</v>
      </c>
      <c r="E4604" s="24" t="s">
        <v>942</v>
      </c>
      <c r="F4604" s="271"/>
    </row>
    <row r="4605" spans="1:6" s="258" customFormat="1">
      <c r="A4605" s="22">
        <v>65703</v>
      </c>
      <c r="B4605" s="22">
        <v>0</v>
      </c>
      <c r="C4605" s="22" t="s">
        <v>4263</v>
      </c>
      <c r="D4605" s="22" t="s">
        <v>14590</v>
      </c>
      <c r="E4605" s="24" t="s">
        <v>2131</v>
      </c>
      <c r="F4605" s="271"/>
    </row>
    <row r="4606" spans="1:6" s="258" customFormat="1">
      <c r="A4606" s="22">
        <v>65704</v>
      </c>
      <c r="B4606" s="22">
        <v>0</v>
      </c>
      <c r="C4606" s="22" t="s">
        <v>4445</v>
      </c>
      <c r="D4606" s="22" t="s">
        <v>14591</v>
      </c>
      <c r="E4606" s="24" t="s">
        <v>2702</v>
      </c>
      <c r="F4606" s="271"/>
    </row>
    <row r="4607" spans="1:6" s="258" customFormat="1">
      <c r="A4607" s="22">
        <v>65705</v>
      </c>
      <c r="B4607" s="22">
        <v>0</v>
      </c>
      <c r="C4607" s="22" t="s">
        <v>3809</v>
      </c>
      <c r="D4607" s="22" t="s">
        <v>14592</v>
      </c>
      <c r="E4607" s="24" t="s">
        <v>944</v>
      </c>
      <c r="F4607" s="271"/>
    </row>
    <row r="4608" spans="1:6" s="326" customFormat="1">
      <c r="A4608" s="49">
        <v>65711</v>
      </c>
      <c r="B4608" s="49">
        <v>0</v>
      </c>
      <c r="C4608" s="49" t="s">
        <v>9135</v>
      </c>
      <c r="D4608" s="49" t="s">
        <v>14593</v>
      </c>
      <c r="E4608" s="49" t="s">
        <v>9136</v>
      </c>
      <c r="F4608" s="325"/>
    </row>
    <row r="4609" spans="1:6" s="326" customFormat="1">
      <c r="A4609" s="49">
        <v>65712</v>
      </c>
      <c r="B4609" s="49">
        <v>0</v>
      </c>
      <c r="C4609" s="49" t="s">
        <v>4282</v>
      </c>
      <c r="D4609" s="49" t="s">
        <v>14594</v>
      </c>
      <c r="E4609" s="49" t="s">
        <v>2170</v>
      </c>
      <c r="F4609" s="325"/>
    </row>
    <row r="4610" spans="1:6" s="326" customFormat="1">
      <c r="A4610" s="49">
        <v>65713</v>
      </c>
      <c r="B4610" s="49">
        <v>0</v>
      </c>
      <c r="C4610" s="49" t="s">
        <v>14611</v>
      </c>
      <c r="D4610" s="49" t="s">
        <v>14595</v>
      </c>
      <c r="E4610" s="49" t="s">
        <v>14612</v>
      </c>
      <c r="F4610" s="325"/>
    </row>
    <row r="4611" spans="1:6" s="326" customFormat="1">
      <c r="A4611" s="49">
        <v>65714</v>
      </c>
      <c r="B4611" s="49">
        <v>0</v>
      </c>
      <c r="C4611" s="49" t="s">
        <v>14613</v>
      </c>
      <c r="D4611" s="49" t="s">
        <v>14596</v>
      </c>
      <c r="E4611" s="49" t="s">
        <v>14614</v>
      </c>
      <c r="F4611" s="325"/>
    </row>
    <row r="4612" spans="1:6" s="326" customFormat="1">
      <c r="A4612" s="49">
        <v>65715</v>
      </c>
      <c r="B4612" s="49">
        <v>0</v>
      </c>
      <c r="C4612" s="49" t="s">
        <v>14615</v>
      </c>
      <c r="D4612" s="49" t="s">
        <v>14597</v>
      </c>
      <c r="E4612" s="49" t="s">
        <v>14616</v>
      </c>
      <c r="F4612" s="325"/>
    </row>
    <row r="4613" spans="1:6" s="258" customFormat="1">
      <c r="A4613" s="22">
        <v>65721</v>
      </c>
      <c r="B4613" s="22">
        <v>0</v>
      </c>
      <c r="C4613" s="22" t="s">
        <v>14603</v>
      </c>
      <c r="D4613" s="22" t="s">
        <v>14598</v>
      </c>
      <c r="E4613" s="22" t="s">
        <v>14604</v>
      </c>
      <c r="F4613" s="271"/>
    </row>
    <row r="4614" spans="1:6" s="258" customFormat="1">
      <c r="A4614" s="22">
        <v>65722</v>
      </c>
      <c r="B4614" s="22">
        <v>0</v>
      </c>
      <c r="C4614" s="22" t="s">
        <v>14571</v>
      </c>
      <c r="D4614" s="22" t="s">
        <v>14599</v>
      </c>
      <c r="E4614" s="22" t="s">
        <v>14585</v>
      </c>
      <c r="F4614" s="271"/>
    </row>
    <row r="4615" spans="1:6" s="258" customFormat="1">
      <c r="A4615" s="22">
        <v>65723</v>
      </c>
      <c r="B4615" s="22">
        <v>0</v>
      </c>
      <c r="C4615" s="22" t="s">
        <v>14605</v>
      </c>
      <c r="D4615" s="22" t="s">
        <v>14600</v>
      </c>
      <c r="E4615" s="22" t="s">
        <v>14606</v>
      </c>
      <c r="F4615" s="271"/>
    </row>
    <row r="4616" spans="1:6" s="258" customFormat="1">
      <c r="A4616" s="22">
        <v>65724</v>
      </c>
      <c r="B4616" s="22">
        <v>0</v>
      </c>
      <c r="C4616" s="22" t="s">
        <v>14607</v>
      </c>
      <c r="D4616" s="22" t="s">
        <v>14601</v>
      </c>
      <c r="E4616" s="22" t="s">
        <v>14608</v>
      </c>
      <c r="F4616" s="271"/>
    </row>
    <row r="4617" spans="1:6" s="258" customFormat="1">
      <c r="A4617" s="22">
        <v>65725</v>
      </c>
      <c r="B4617" s="22">
        <v>0</v>
      </c>
      <c r="C4617" s="22" t="s">
        <v>14609</v>
      </c>
      <c r="D4617" s="22" t="s">
        <v>14602</v>
      </c>
      <c r="E4617" s="22" t="s">
        <v>14610</v>
      </c>
      <c r="F4617" s="271"/>
    </row>
    <row r="4618" spans="1:6">
      <c r="A4618" s="92">
        <v>65801</v>
      </c>
      <c r="B4618" s="92">
        <v>0</v>
      </c>
      <c r="C4618" s="92" t="s">
        <v>7138</v>
      </c>
      <c r="D4618" s="92" t="s">
        <v>7144</v>
      </c>
      <c r="E4618" s="94" t="s">
        <v>7141</v>
      </c>
    </row>
    <row r="4619" spans="1:6">
      <c r="A4619" s="92">
        <v>65802</v>
      </c>
      <c r="B4619" s="92">
        <v>0</v>
      </c>
      <c r="C4619" s="92" t="s">
        <v>4318</v>
      </c>
      <c r="D4619" s="92" t="s">
        <v>7145</v>
      </c>
      <c r="E4619" s="94" t="s">
        <v>2283</v>
      </c>
    </row>
    <row r="4620" spans="1:6">
      <c r="A4620" s="92">
        <v>65803</v>
      </c>
      <c r="B4620" s="92">
        <v>0</v>
      </c>
      <c r="C4620" s="92" t="s">
        <v>4515</v>
      </c>
      <c r="D4620" s="92" t="s">
        <v>7146</v>
      </c>
      <c r="E4620" s="94" t="s">
        <v>2938</v>
      </c>
    </row>
    <row r="4621" spans="1:6">
      <c r="A4621" s="92">
        <v>65804</v>
      </c>
      <c r="B4621" s="92">
        <v>0</v>
      </c>
      <c r="C4621" s="92" t="s">
        <v>4450</v>
      </c>
      <c r="D4621" s="92" t="s">
        <v>7147</v>
      </c>
      <c r="E4621" s="94" t="s">
        <v>2712</v>
      </c>
    </row>
    <row r="4622" spans="1:6">
      <c r="A4622" s="92">
        <v>65805</v>
      </c>
      <c r="B4622" s="92">
        <v>0</v>
      </c>
      <c r="C4622" s="92" t="s">
        <v>7159</v>
      </c>
      <c r="D4622" s="92" t="s">
        <v>7148</v>
      </c>
      <c r="E4622" s="94" t="s">
        <v>7167</v>
      </c>
    </row>
    <row r="4623" spans="1:6">
      <c r="A4623" s="92">
        <v>65806</v>
      </c>
      <c r="B4623" s="92">
        <v>0</v>
      </c>
      <c r="C4623" s="92" t="s">
        <v>4615</v>
      </c>
      <c r="D4623" s="92" t="s">
        <v>7149</v>
      </c>
      <c r="E4623" s="94" t="s">
        <v>3275</v>
      </c>
    </row>
    <row r="4624" spans="1:6">
      <c r="A4624" s="92">
        <v>65807</v>
      </c>
      <c r="B4624" s="92">
        <v>0</v>
      </c>
      <c r="C4624" s="92" t="s">
        <v>7160</v>
      </c>
      <c r="D4624" s="92" t="s">
        <v>7150</v>
      </c>
      <c r="E4624" s="94" t="s">
        <v>7168</v>
      </c>
    </row>
    <row r="4625" spans="1:5">
      <c r="A4625" s="92">
        <v>65808</v>
      </c>
      <c r="B4625" s="92">
        <v>0</v>
      </c>
      <c r="C4625" s="92" t="s">
        <v>3809</v>
      </c>
      <c r="D4625" s="92" t="s">
        <v>7151</v>
      </c>
      <c r="E4625" s="94" t="s">
        <v>944</v>
      </c>
    </row>
    <row r="4626" spans="1:5">
      <c r="A4626" s="92">
        <v>65809</v>
      </c>
      <c r="B4626" s="92">
        <v>0</v>
      </c>
      <c r="C4626" s="92" t="s">
        <v>7161</v>
      </c>
      <c r="D4626" s="92" t="s">
        <v>7152</v>
      </c>
      <c r="E4626" s="94" t="s">
        <v>7169</v>
      </c>
    </row>
    <row r="4627" spans="1:5">
      <c r="A4627" s="92">
        <v>65810</v>
      </c>
      <c r="B4627" s="92">
        <v>0</v>
      </c>
      <c r="C4627" s="92" t="s">
        <v>7162</v>
      </c>
      <c r="D4627" s="92" t="s">
        <v>7153</v>
      </c>
      <c r="E4627" s="94" t="s">
        <v>7170</v>
      </c>
    </row>
    <row r="4628" spans="1:5">
      <c r="A4628" s="92">
        <v>65811</v>
      </c>
      <c r="B4628" s="92">
        <v>0</v>
      </c>
      <c r="C4628" s="92" t="s">
        <v>7163</v>
      </c>
      <c r="D4628" s="92" t="s">
        <v>7154</v>
      </c>
      <c r="E4628" s="94" t="s">
        <v>7171</v>
      </c>
    </row>
    <row r="4629" spans="1:5">
      <c r="A4629" s="92">
        <v>65812</v>
      </c>
      <c r="B4629" s="92">
        <v>0</v>
      </c>
      <c r="C4629" s="92" t="s">
        <v>7164</v>
      </c>
      <c r="D4629" s="92" t="s">
        <v>7155</v>
      </c>
      <c r="E4629" s="94" t="s">
        <v>7172</v>
      </c>
    </row>
    <row r="4630" spans="1:5">
      <c r="A4630" s="92">
        <v>65813</v>
      </c>
      <c r="B4630" s="92">
        <v>0</v>
      </c>
      <c r="C4630" s="92" t="s">
        <v>7165</v>
      </c>
      <c r="D4630" s="92" t="s">
        <v>7156</v>
      </c>
      <c r="E4630" s="94" t="s">
        <v>7173</v>
      </c>
    </row>
    <row r="4631" spans="1:5">
      <c r="A4631" s="92">
        <v>65814</v>
      </c>
      <c r="B4631" s="92">
        <v>0</v>
      </c>
      <c r="C4631" s="92" t="s">
        <v>4303</v>
      </c>
      <c r="D4631" s="92" t="s">
        <v>7157</v>
      </c>
      <c r="E4631" s="94" t="s">
        <v>2225</v>
      </c>
    </row>
    <row r="4632" spans="1:5">
      <c r="A4632" s="92">
        <v>65815</v>
      </c>
      <c r="B4632" s="92">
        <v>0</v>
      </c>
      <c r="C4632" s="92" t="s">
        <v>7166</v>
      </c>
      <c r="D4632" s="92" t="s">
        <v>7158</v>
      </c>
      <c r="E4632" s="94" t="s">
        <v>7174</v>
      </c>
    </row>
    <row r="4633" spans="1:5">
      <c r="A4633" s="22">
        <v>66001</v>
      </c>
      <c r="B4633" s="22">
        <v>0</v>
      </c>
      <c r="C4633" s="22" t="s">
        <v>3375</v>
      </c>
      <c r="D4633" s="22" t="s">
        <v>2136</v>
      </c>
      <c r="E4633" s="24" t="s">
        <v>787</v>
      </c>
    </row>
    <row r="4634" spans="1:5">
      <c r="A4634" s="22">
        <v>66002</v>
      </c>
      <c r="B4634" s="22">
        <v>0</v>
      </c>
      <c r="C4634" s="22" t="s">
        <v>3427</v>
      </c>
      <c r="D4634" s="22" t="s">
        <v>2137</v>
      </c>
      <c r="E4634" s="24" t="s">
        <v>49</v>
      </c>
    </row>
    <row r="4635" spans="1:5">
      <c r="A4635" s="22">
        <v>66003</v>
      </c>
      <c r="B4635" s="22">
        <v>0</v>
      </c>
      <c r="C4635" s="22" t="s">
        <v>3380</v>
      </c>
      <c r="D4635" s="22" t="s">
        <v>2138</v>
      </c>
      <c r="E4635" s="24" t="s">
        <v>811</v>
      </c>
    </row>
    <row r="4636" spans="1:5">
      <c r="A4636" s="22">
        <v>66004</v>
      </c>
      <c r="B4636" s="22">
        <v>0</v>
      </c>
      <c r="C4636" s="22" t="s">
        <v>3384</v>
      </c>
      <c r="D4636" s="22" t="s">
        <v>2139</v>
      </c>
      <c r="E4636" s="24" t="s">
        <v>838</v>
      </c>
    </row>
    <row r="4637" spans="1:5">
      <c r="A4637" s="22">
        <v>66005</v>
      </c>
      <c r="B4637" s="22">
        <v>0</v>
      </c>
      <c r="C4637" s="22" t="s">
        <v>3426</v>
      </c>
      <c r="D4637" s="22" t="s">
        <v>2140</v>
      </c>
      <c r="E4637" s="24" t="s">
        <v>47</v>
      </c>
    </row>
    <row r="4638" spans="1:5">
      <c r="A4638" s="22">
        <v>66006</v>
      </c>
      <c r="B4638" s="22">
        <v>0</v>
      </c>
      <c r="C4638" s="22" t="s">
        <v>4266</v>
      </c>
      <c r="D4638" s="22" t="s">
        <v>2141</v>
      </c>
      <c r="E4638" s="24" t="s">
        <v>2142</v>
      </c>
    </row>
    <row r="4639" spans="1:5">
      <c r="A4639" s="22">
        <v>66007</v>
      </c>
      <c r="B4639" s="22">
        <v>0</v>
      </c>
      <c r="C4639" s="22" t="s">
        <v>3425</v>
      </c>
      <c r="D4639" s="22" t="s">
        <v>2143</v>
      </c>
      <c r="E4639" s="24" t="s">
        <v>45</v>
      </c>
    </row>
    <row r="4640" spans="1:5">
      <c r="A4640" s="98">
        <v>67001</v>
      </c>
      <c r="B4640" s="163">
        <v>0</v>
      </c>
      <c r="C4640" s="163" t="s">
        <v>3834</v>
      </c>
      <c r="D4640" s="163" t="s">
        <v>2144</v>
      </c>
      <c r="E4640" s="100" t="s">
        <v>1127</v>
      </c>
    </row>
    <row r="4641" spans="1:5">
      <c r="A4641" s="98">
        <v>67002</v>
      </c>
      <c r="B4641" s="163">
        <v>0</v>
      </c>
      <c r="C4641" s="163" t="s">
        <v>3699</v>
      </c>
      <c r="D4641" s="163" t="s">
        <v>2145</v>
      </c>
      <c r="E4641" s="100" t="s">
        <v>628</v>
      </c>
    </row>
    <row r="4642" spans="1:5">
      <c r="A4642" s="98">
        <v>67003</v>
      </c>
      <c r="B4642" s="163">
        <v>0</v>
      </c>
      <c r="C4642" s="163" t="s">
        <v>3324</v>
      </c>
      <c r="D4642" s="163" t="s">
        <v>2146</v>
      </c>
      <c r="E4642" s="100" t="s">
        <v>1377</v>
      </c>
    </row>
    <row r="4643" spans="1:5">
      <c r="A4643" s="98">
        <v>67004</v>
      </c>
      <c r="B4643" s="163">
        <v>0</v>
      </c>
      <c r="C4643" s="163" t="s">
        <v>3840</v>
      </c>
      <c r="D4643" s="163" t="s">
        <v>2147</v>
      </c>
      <c r="E4643" s="100" t="s">
        <v>1137</v>
      </c>
    </row>
    <row r="4644" spans="1:5">
      <c r="A4644" s="98">
        <v>67005</v>
      </c>
      <c r="B4644" s="163">
        <v>0</v>
      </c>
      <c r="C4644" s="163" t="s">
        <v>3602</v>
      </c>
      <c r="D4644" s="163" t="s">
        <v>398</v>
      </c>
      <c r="E4644" s="100" t="s">
        <v>399</v>
      </c>
    </row>
    <row r="4645" spans="1:5">
      <c r="A4645" s="98">
        <v>67006</v>
      </c>
      <c r="B4645" s="163">
        <v>0</v>
      </c>
      <c r="C4645" s="163" t="s">
        <v>4267</v>
      </c>
      <c r="D4645" s="163" t="s">
        <v>2148</v>
      </c>
      <c r="E4645" s="100" t="s">
        <v>2149</v>
      </c>
    </row>
    <row r="4646" spans="1:5">
      <c r="A4646" s="98">
        <v>67007</v>
      </c>
      <c r="B4646" s="163">
        <v>0</v>
      </c>
      <c r="C4646" s="163" t="s">
        <v>3355</v>
      </c>
      <c r="D4646" s="163" t="s">
        <v>2145</v>
      </c>
      <c r="E4646" s="100" t="s">
        <v>599</v>
      </c>
    </row>
    <row r="4647" spans="1:5">
      <c r="A4647" s="98">
        <v>67008</v>
      </c>
      <c r="B4647" s="163">
        <v>0</v>
      </c>
      <c r="C4647" s="163" t="s">
        <v>3324</v>
      </c>
      <c r="D4647" s="163" t="s">
        <v>2146</v>
      </c>
      <c r="E4647" s="100" t="s">
        <v>1377</v>
      </c>
    </row>
    <row r="4648" spans="1:5">
      <c r="A4648" s="98">
        <v>67009</v>
      </c>
      <c r="B4648" s="163">
        <v>0</v>
      </c>
      <c r="C4648" s="163" t="s">
        <v>3840</v>
      </c>
      <c r="D4648" s="163" t="s">
        <v>2147</v>
      </c>
      <c r="E4648" s="100" t="s">
        <v>1137</v>
      </c>
    </row>
    <row r="4649" spans="1:5">
      <c r="A4649" s="98">
        <v>67010</v>
      </c>
      <c r="B4649" s="163">
        <v>0</v>
      </c>
      <c r="C4649" s="163" t="s">
        <v>4267</v>
      </c>
      <c r="D4649" s="163" t="s">
        <v>2148</v>
      </c>
      <c r="E4649" s="100" t="s">
        <v>2149</v>
      </c>
    </row>
    <row r="4650" spans="1:5">
      <c r="A4650" s="98">
        <v>67011</v>
      </c>
      <c r="B4650" s="163">
        <v>0</v>
      </c>
      <c r="C4650" s="163" t="s">
        <v>4249</v>
      </c>
      <c r="D4650" s="163" t="s">
        <v>2150</v>
      </c>
      <c r="E4650" s="100" t="s">
        <v>2090</v>
      </c>
    </row>
    <row r="4651" spans="1:5">
      <c r="A4651" s="98">
        <v>67012</v>
      </c>
      <c r="B4651" s="163">
        <v>0</v>
      </c>
      <c r="C4651" s="163" t="s">
        <v>3829</v>
      </c>
      <c r="D4651" s="163" t="s">
        <v>2146</v>
      </c>
      <c r="E4651" s="100" t="s">
        <v>1116</v>
      </c>
    </row>
    <row r="4652" spans="1:5">
      <c r="A4652" s="98">
        <v>67013</v>
      </c>
      <c r="B4652" s="163">
        <v>0</v>
      </c>
      <c r="C4652" s="163" t="s">
        <v>3703</v>
      </c>
      <c r="D4652" s="163" t="s">
        <v>2147</v>
      </c>
      <c r="E4652" s="100" t="s">
        <v>594</v>
      </c>
    </row>
    <row r="4653" spans="1:5">
      <c r="A4653" s="98">
        <v>67014</v>
      </c>
      <c r="B4653" s="98">
        <v>0</v>
      </c>
      <c r="C4653" s="98" t="s">
        <v>3812</v>
      </c>
      <c r="D4653" s="98" t="s">
        <v>7069</v>
      </c>
      <c r="E4653" s="100" t="s">
        <v>999</v>
      </c>
    </row>
    <row r="4654" spans="1:5">
      <c r="A4654" s="98">
        <v>67015</v>
      </c>
      <c r="B4654" s="163">
        <v>0</v>
      </c>
      <c r="C4654" s="163" t="s">
        <v>4268</v>
      </c>
      <c r="D4654" s="163" t="s">
        <v>2148</v>
      </c>
      <c r="E4654" s="100" t="s">
        <v>2151</v>
      </c>
    </row>
    <row r="4655" spans="1:5">
      <c r="A4655" s="98">
        <v>67016</v>
      </c>
      <c r="B4655" s="163">
        <v>0</v>
      </c>
      <c r="C4655" s="163" t="s">
        <v>3360</v>
      </c>
      <c r="D4655" s="163" t="s">
        <v>2145</v>
      </c>
      <c r="E4655" s="100" t="s">
        <v>604</v>
      </c>
    </row>
    <row r="4656" spans="1:5">
      <c r="A4656" s="98">
        <v>67017</v>
      </c>
      <c r="B4656" s="163">
        <v>0</v>
      </c>
      <c r="C4656" s="163" t="s">
        <v>3829</v>
      </c>
      <c r="D4656" s="163" t="s">
        <v>2146</v>
      </c>
      <c r="E4656" s="100" t="s">
        <v>1116</v>
      </c>
    </row>
    <row r="4657" spans="1:5">
      <c r="A4657" s="98">
        <v>67018</v>
      </c>
      <c r="B4657" s="163">
        <v>0</v>
      </c>
      <c r="C4657" s="163" t="s">
        <v>4269</v>
      </c>
      <c r="D4657" s="163" t="s">
        <v>7078</v>
      </c>
      <c r="E4657" s="100" t="s">
        <v>2153</v>
      </c>
    </row>
    <row r="4658" spans="1:5">
      <c r="A4658" s="98">
        <v>67019</v>
      </c>
      <c r="B4658" s="98">
        <v>0</v>
      </c>
      <c r="C4658" s="98" t="s">
        <v>4270</v>
      </c>
      <c r="D4658" s="98" t="s">
        <v>7069</v>
      </c>
      <c r="E4658" s="100" t="s">
        <v>2154</v>
      </c>
    </row>
    <row r="4659" spans="1:5">
      <c r="A4659" s="98">
        <v>67020</v>
      </c>
      <c r="B4659" s="163">
        <v>0</v>
      </c>
      <c r="C4659" s="163" t="s">
        <v>4268</v>
      </c>
      <c r="D4659" s="163" t="s">
        <v>2148</v>
      </c>
      <c r="E4659" s="100" t="s">
        <v>2151</v>
      </c>
    </row>
    <row r="4660" spans="1:5">
      <c r="A4660" s="98">
        <v>67021</v>
      </c>
      <c r="B4660" s="163">
        <v>0</v>
      </c>
      <c r="C4660" s="163" t="s">
        <v>3365</v>
      </c>
      <c r="D4660" s="163" t="s">
        <v>2145</v>
      </c>
      <c r="E4660" s="100" t="s">
        <v>793</v>
      </c>
    </row>
    <row r="4661" spans="1:5">
      <c r="A4661" s="98">
        <v>67022</v>
      </c>
      <c r="B4661" s="163">
        <v>0</v>
      </c>
      <c r="C4661" s="163" t="s">
        <v>4271</v>
      </c>
      <c r="D4661" s="163" t="s">
        <v>2146</v>
      </c>
      <c r="E4661" s="100" t="s">
        <v>2155</v>
      </c>
    </row>
    <row r="4662" spans="1:5">
      <c r="A4662" s="98">
        <v>67023</v>
      </c>
      <c r="B4662" s="163">
        <v>0</v>
      </c>
      <c r="C4662" s="163" t="s">
        <v>4269</v>
      </c>
      <c r="D4662" s="163" t="s">
        <v>7078</v>
      </c>
      <c r="E4662" s="100" t="s">
        <v>2153</v>
      </c>
    </row>
    <row r="4663" spans="1:5">
      <c r="A4663" s="98">
        <v>67024</v>
      </c>
      <c r="B4663" s="98">
        <v>0</v>
      </c>
      <c r="C4663" s="98" t="s">
        <v>4272</v>
      </c>
      <c r="D4663" s="98" t="s">
        <v>7069</v>
      </c>
      <c r="E4663" s="100" t="s">
        <v>2156</v>
      </c>
    </row>
    <row r="4664" spans="1:5">
      <c r="A4664" s="98">
        <v>67025</v>
      </c>
      <c r="B4664" s="98">
        <v>0</v>
      </c>
      <c r="C4664" s="98" t="s">
        <v>3885</v>
      </c>
      <c r="D4664" s="98" t="s">
        <v>1811</v>
      </c>
      <c r="E4664" s="100" t="s">
        <v>1264</v>
      </c>
    </row>
    <row r="4665" spans="1:5">
      <c r="A4665" s="98">
        <v>67026</v>
      </c>
      <c r="B4665" s="98">
        <v>0</v>
      </c>
      <c r="C4665" s="163" t="s">
        <v>3837</v>
      </c>
      <c r="D4665" s="163" t="s">
        <v>2148</v>
      </c>
      <c r="E4665" s="100" t="s">
        <v>1133</v>
      </c>
    </row>
    <row r="4666" spans="1:5">
      <c r="A4666" s="98">
        <v>67027</v>
      </c>
      <c r="B4666" s="98">
        <v>0</v>
      </c>
      <c r="C4666" s="163" t="s">
        <v>3764</v>
      </c>
      <c r="D4666" s="163" t="s">
        <v>2145</v>
      </c>
      <c r="E4666" s="100" t="s">
        <v>801</v>
      </c>
    </row>
    <row r="4667" spans="1:5">
      <c r="A4667" s="98">
        <v>67028</v>
      </c>
      <c r="B4667" s="98">
        <v>0</v>
      </c>
      <c r="C4667" s="163" t="s">
        <v>3704</v>
      </c>
      <c r="D4667" s="163" t="s">
        <v>2146</v>
      </c>
      <c r="E4667" s="100" t="s">
        <v>597</v>
      </c>
    </row>
    <row r="4668" spans="1:5">
      <c r="A4668" s="98">
        <v>67029</v>
      </c>
      <c r="B4668" s="98">
        <v>0</v>
      </c>
      <c r="C4668" s="163" t="s">
        <v>4273</v>
      </c>
      <c r="D4668" s="163" t="s">
        <v>7079</v>
      </c>
      <c r="E4668" s="100" t="s">
        <v>2158</v>
      </c>
    </row>
    <row r="4669" spans="1:5">
      <c r="A4669" s="98">
        <v>67030</v>
      </c>
      <c r="B4669" s="98">
        <v>0</v>
      </c>
      <c r="C4669" s="164" t="s">
        <v>3608</v>
      </c>
      <c r="D4669" s="164" t="s">
        <v>410</v>
      </c>
      <c r="E4669" s="100" t="s">
        <v>411</v>
      </c>
    </row>
    <row r="4670" spans="1:5">
      <c r="A4670" s="98">
        <v>67031</v>
      </c>
      <c r="B4670" s="98">
        <v>0</v>
      </c>
      <c r="C4670" s="164" t="s">
        <v>3609</v>
      </c>
      <c r="D4670" s="164" t="s">
        <v>412</v>
      </c>
      <c r="E4670" s="100" t="s">
        <v>413</v>
      </c>
    </row>
    <row r="4671" spans="1:5">
      <c r="A4671" s="98">
        <v>67032</v>
      </c>
      <c r="B4671" s="98">
        <v>0</v>
      </c>
      <c r="C4671" s="163" t="s">
        <v>3838</v>
      </c>
      <c r="D4671" s="163" t="s">
        <v>2148</v>
      </c>
      <c r="E4671" s="100" t="s">
        <v>1134</v>
      </c>
    </row>
    <row r="4672" spans="1:5">
      <c r="A4672" s="98">
        <v>67033</v>
      </c>
      <c r="B4672" s="98">
        <v>0</v>
      </c>
      <c r="C4672" s="163" t="s">
        <v>4274</v>
      </c>
      <c r="D4672" s="163" t="s">
        <v>2145</v>
      </c>
      <c r="E4672" s="100" t="s">
        <v>2159</v>
      </c>
    </row>
    <row r="4673" spans="1:5">
      <c r="A4673" s="98">
        <v>67034</v>
      </c>
      <c r="B4673" s="98">
        <v>0</v>
      </c>
      <c r="C4673" s="163" t="s">
        <v>3844</v>
      </c>
      <c r="D4673" s="163" t="s">
        <v>2147</v>
      </c>
      <c r="E4673" s="100" t="s">
        <v>1141</v>
      </c>
    </row>
    <row r="4674" spans="1:5">
      <c r="A4674" s="98">
        <v>67035</v>
      </c>
      <c r="B4674" s="98">
        <v>0</v>
      </c>
      <c r="C4674" s="163" t="s">
        <v>3549</v>
      </c>
      <c r="D4674" s="163" t="s">
        <v>292</v>
      </c>
      <c r="E4674" s="100" t="s">
        <v>293</v>
      </c>
    </row>
    <row r="4675" spans="1:5">
      <c r="A4675" s="98">
        <v>67036</v>
      </c>
      <c r="B4675" s="98">
        <v>0</v>
      </c>
      <c r="C4675" s="163" t="s">
        <v>3548</v>
      </c>
      <c r="D4675" s="163" t="s">
        <v>290</v>
      </c>
      <c r="E4675" s="100" t="s">
        <v>291</v>
      </c>
    </row>
    <row r="4676" spans="1:5">
      <c r="A4676" s="98">
        <v>67037</v>
      </c>
      <c r="B4676" s="98">
        <v>0</v>
      </c>
      <c r="C4676" s="163" t="s">
        <v>4275</v>
      </c>
      <c r="D4676" s="163" t="s">
        <v>2146</v>
      </c>
      <c r="E4676" s="100" t="s">
        <v>2160</v>
      </c>
    </row>
    <row r="4677" spans="1:5">
      <c r="A4677" s="98">
        <v>67038</v>
      </c>
      <c r="B4677" s="98">
        <v>0</v>
      </c>
      <c r="C4677" s="163" t="s">
        <v>4276</v>
      </c>
      <c r="D4677" s="163" t="s">
        <v>2147</v>
      </c>
      <c r="E4677" s="100" t="s">
        <v>2161</v>
      </c>
    </row>
    <row r="4678" spans="1:5">
      <c r="A4678" s="98">
        <v>67039</v>
      </c>
      <c r="B4678" s="98">
        <v>0</v>
      </c>
      <c r="C4678" s="163" t="s">
        <v>3720</v>
      </c>
      <c r="D4678" s="163" t="s">
        <v>2162</v>
      </c>
      <c r="E4678" s="100" t="s">
        <v>635</v>
      </c>
    </row>
    <row r="4679" spans="1:5">
      <c r="A4679" s="98">
        <v>67040</v>
      </c>
      <c r="B4679" s="98">
        <v>0</v>
      </c>
      <c r="C4679" s="163" t="s">
        <v>3550</v>
      </c>
      <c r="D4679" s="163" t="s">
        <v>294</v>
      </c>
      <c r="E4679" s="100" t="s">
        <v>295</v>
      </c>
    </row>
    <row r="4680" spans="1:5">
      <c r="A4680" s="98">
        <v>67041</v>
      </c>
      <c r="B4680" s="98">
        <v>0</v>
      </c>
      <c r="C4680" s="163" t="s">
        <v>3551</v>
      </c>
      <c r="D4680" s="163" t="s">
        <v>296</v>
      </c>
      <c r="E4680" s="100" t="s">
        <v>297</v>
      </c>
    </row>
    <row r="4681" spans="1:5">
      <c r="A4681" s="98">
        <v>67042</v>
      </c>
      <c r="B4681" s="98">
        <v>0</v>
      </c>
      <c r="C4681" s="163" t="s">
        <v>4277</v>
      </c>
      <c r="D4681" s="163" t="s">
        <v>2145</v>
      </c>
      <c r="E4681" s="100" t="s">
        <v>2163</v>
      </c>
    </row>
    <row r="4682" spans="1:5">
      <c r="A4682" s="98">
        <v>67043</v>
      </c>
      <c r="B4682" s="98">
        <v>0</v>
      </c>
      <c r="C4682" s="163" t="s">
        <v>4154</v>
      </c>
      <c r="D4682" s="163" t="s">
        <v>2164</v>
      </c>
      <c r="E4682" s="100" t="s">
        <v>1788</v>
      </c>
    </row>
    <row r="4683" spans="1:5">
      <c r="A4683" s="98">
        <v>67044</v>
      </c>
      <c r="B4683" s="98">
        <v>0</v>
      </c>
      <c r="C4683" s="163" t="s">
        <v>4278</v>
      </c>
      <c r="D4683" s="163" t="s">
        <v>7079</v>
      </c>
      <c r="E4683" s="100" t="s">
        <v>2165</v>
      </c>
    </row>
    <row r="4684" spans="1:5">
      <c r="A4684" s="98">
        <v>67045</v>
      </c>
      <c r="B4684" s="98">
        <v>0</v>
      </c>
      <c r="C4684" s="163" t="s">
        <v>3557</v>
      </c>
      <c r="D4684" s="163" t="s">
        <v>308</v>
      </c>
      <c r="E4684" s="100" t="s">
        <v>309</v>
      </c>
    </row>
    <row r="4685" spans="1:5">
      <c r="A4685" s="98">
        <v>67046</v>
      </c>
      <c r="B4685" s="98">
        <v>0</v>
      </c>
      <c r="C4685" s="163" t="s">
        <v>3556</v>
      </c>
      <c r="D4685" s="163" t="s">
        <v>306</v>
      </c>
      <c r="E4685" s="100" t="s">
        <v>307</v>
      </c>
    </row>
    <row r="4686" spans="1:5">
      <c r="A4686" s="98">
        <v>67047</v>
      </c>
      <c r="B4686" s="98">
        <v>0</v>
      </c>
      <c r="C4686" s="163" t="s">
        <v>3831</v>
      </c>
      <c r="D4686" s="163" t="s">
        <v>2146</v>
      </c>
      <c r="E4686" s="100" t="s">
        <v>1121</v>
      </c>
    </row>
    <row r="4687" spans="1:5">
      <c r="A4687" s="98">
        <v>67048</v>
      </c>
      <c r="B4687" s="98">
        <v>0</v>
      </c>
      <c r="C4687" s="163" t="s">
        <v>3730</v>
      </c>
      <c r="D4687" s="163" t="s">
        <v>2162</v>
      </c>
      <c r="E4687" s="100" t="s">
        <v>655</v>
      </c>
    </row>
    <row r="4688" spans="1:5">
      <c r="A4688" s="98">
        <v>67049</v>
      </c>
      <c r="B4688" s="98">
        <v>0</v>
      </c>
      <c r="C4688" s="163" t="s">
        <v>4279</v>
      </c>
      <c r="D4688" s="163" t="s">
        <v>7079</v>
      </c>
      <c r="E4688" s="100" t="s">
        <v>2166</v>
      </c>
    </row>
    <row r="4689" spans="1:5">
      <c r="A4689" s="98">
        <v>67050</v>
      </c>
      <c r="B4689" s="98">
        <v>0</v>
      </c>
      <c r="C4689" s="163" t="s">
        <v>3558</v>
      </c>
      <c r="D4689" s="163" t="s">
        <v>310</v>
      </c>
      <c r="E4689" s="100" t="s">
        <v>311</v>
      </c>
    </row>
    <row r="4690" spans="1:5">
      <c r="A4690" s="98">
        <v>67051</v>
      </c>
      <c r="B4690" s="98">
        <v>0</v>
      </c>
      <c r="C4690" s="163" t="s">
        <v>3559</v>
      </c>
      <c r="D4690" s="163" t="s">
        <v>312</v>
      </c>
      <c r="E4690" s="100" t="s">
        <v>313</v>
      </c>
    </row>
    <row r="4691" spans="1:5">
      <c r="A4691" s="98">
        <v>67052</v>
      </c>
      <c r="B4691" s="98">
        <v>0</v>
      </c>
      <c r="C4691" s="163" t="s">
        <v>4280</v>
      </c>
      <c r="D4691" s="163" t="s">
        <v>2145</v>
      </c>
      <c r="E4691" s="100" t="s">
        <v>2167</v>
      </c>
    </row>
    <row r="4692" spans="1:5">
      <c r="A4692" s="98">
        <v>67053</v>
      </c>
      <c r="B4692" s="98">
        <v>0</v>
      </c>
      <c r="C4692" s="163" t="s">
        <v>4281</v>
      </c>
      <c r="D4692" s="163" t="s">
        <v>2168</v>
      </c>
      <c r="E4692" s="100" t="s">
        <v>2169</v>
      </c>
    </row>
    <row r="4693" spans="1:5">
      <c r="A4693" s="98">
        <v>67054</v>
      </c>
      <c r="B4693" s="98">
        <v>0</v>
      </c>
      <c r="C4693" s="98" t="s">
        <v>4254</v>
      </c>
      <c r="D4693" s="98" t="s">
        <v>7068</v>
      </c>
      <c r="E4693" s="100" t="s">
        <v>2104</v>
      </c>
    </row>
    <row r="4694" spans="1:5">
      <c r="A4694" s="98">
        <v>67055</v>
      </c>
      <c r="B4694" s="98">
        <v>0</v>
      </c>
      <c r="C4694" s="98" t="s">
        <v>3886</v>
      </c>
      <c r="D4694" s="98" t="s">
        <v>1812</v>
      </c>
      <c r="E4694" s="100" t="s">
        <v>1266</v>
      </c>
    </row>
    <row r="4695" spans="1:5">
      <c r="A4695" s="98">
        <v>67056</v>
      </c>
      <c r="B4695" s="98">
        <v>0</v>
      </c>
      <c r="C4695" s="163" t="s">
        <v>3730</v>
      </c>
      <c r="D4695" s="163" t="s">
        <v>2162</v>
      </c>
      <c r="E4695" s="100" t="s">
        <v>655</v>
      </c>
    </row>
    <row r="4696" spans="1:5">
      <c r="A4696" s="98">
        <v>67057</v>
      </c>
      <c r="B4696" s="98">
        <v>0</v>
      </c>
      <c r="C4696" s="163" t="s">
        <v>4282</v>
      </c>
      <c r="D4696" s="163" t="s">
        <v>2150</v>
      </c>
      <c r="E4696" s="100" t="s">
        <v>2170</v>
      </c>
    </row>
    <row r="4697" spans="1:5">
      <c r="A4697" s="98">
        <v>67058</v>
      </c>
      <c r="B4697" s="98">
        <v>0</v>
      </c>
      <c r="C4697" s="163" t="s">
        <v>4141</v>
      </c>
      <c r="D4697" s="163" t="s">
        <v>2171</v>
      </c>
      <c r="E4697" s="100" t="s">
        <v>1775</v>
      </c>
    </row>
    <row r="4698" spans="1:5">
      <c r="A4698" s="98">
        <v>67059</v>
      </c>
      <c r="B4698" s="98">
        <v>0</v>
      </c>
      <c r="C4698" s="163" t="s">
        <v>4283</v>
      </c>
      <c r="D4698" s="163" t="s">
        <v>2164</v>
      </c>
      <c r="E4698" s="100" t="s">
        <v>2172</v>
      </c>
    </row>
    <row r="4699" spans="1:5">
      <c r="A4699" s="98">
        <v>67060</v>
      </c>
      <c r="B4699" s="98">
        <v>0</v>
      </c>
      <c r="C4699" s="163" t="s">
        <v>3565</v>
      </c>
      <c r="D4699" s="163" t="s">
        <v>324</v>
      </c>
      <c r="E4699" s="100" t="s">
        <v>325</v>
      </c>
    </row>
    <row r="4700" spans="1:5">
      <c r="A4700" s="98">
        <v>67061</v>
      </c>
      <c r="B4700" s="98">
        <v>0</v>
      </c>
      <c r="C4700" s="163" t="s">
        <v>3610</v>
      </c>
      <c r="D4700" s="163" t="s">
        <v>414</v>
      </c>
      <c r="E4700" s="100" t="s">
        <v>415</v>
      </c>
    </row>
    <row r="4701" spans="1:5">
      <c r="A4701" s="98">
        <v>67062</v>
      </c>
      <c r="B4701" s="98">
        <v>0</v>
      </c>
      <c r="C4701" s="163" t="s">
        <v>3611</v>
      </c>
      <c r="D4701" s="163" t="s">
        <v>416</v>
      </c>
      <c r="E4701" s="100" t="s">
        <v>417</v>
      </c>
    </row>
    <row r="4702" spans="1:5">
      <c r="A4702" s="98">
        <v>67063</v>
      </c>
      <c r="B4702" s="98">
        <v>0</v>
      </c>
      <c r="C4702" s="163" t="s">
        <v>3730</v>
      </c>
      <c r="D4702" s="163" t="s">
        <v>2162</v>
      </c>
      <c r="E4702" s="100" t="s">
        <v>655</v>
      </c>
    </row>
    <row r="4703" spans="1:5">
      <c r="A4703" s="98">
        <v>67064</v>
      </c>
      <c r="B4703" s="98">
        <v>0</v>
      </c>
      <c r="C4703" s="163" t="s">
        <v>4284</v>
      </c>
      <c r="D4703" s="163" t="s">
        <v>7079</v>
      </c>
      <c r="E4703" s="100" t="s">
        <v>2173</v>
      </c>
    </row>
    <row r="4704" spans="1:5">
      <c r="A4704" s="98">
        <v>67065</v>
      </c>
      <c r="B4704" s="98">
        <v>0</v>
      </c>
      <c r="C4704" s="163" t="s">
        <v>3564</v>
      </c>
      <c r="D4704" s="163" t="s">
        <v>322</v>
      </c>
      <c r="E4704" s="100" t="s">
        <v>323</v>
      </c>
    </row>
    <row r="4705" spans="1:5">
      <c r="A4705" s="98">
        <v>67066</v>
      </c>
      <c r="B4705" s="98">
        <v>0</v>
      </c>
      <c r="C4705" s="164" t="s">
        <v>3608</v>
      </c>
      <c r="D4705" s="164" t="s">
        <v>410</v>
      </c>
      <c r="E4705" s="100" t="s">
        <v>411</v>
      </c>
    </row>
    <row r="4706" spans="1:5">
      <c r="A4706" s="98">
        <v>67067</v>
      </c>
      <c r="B4706" s="98">
        <v>0</v>
      </c>
      <c r="C4706" s="164" t="s">
        <v>3609</v>
      </c>
      <c r="D4706" s="164" t="s">
        <v>412</v>
      </c>
      <c r="E4706" s="100" t="s">
        <v>413</v>
      </c>
    </row>
    <row r="4707" spans="1:5">
      <c r="A4707" s="98">
        <v>67068</v>
      </c>
      <c r="B4707" s="98">
        <v>0</v>
      </c>
      <c r="C4707" s="163" t="s">
        <v>4281</v>
      </c>
      <c r="D4707" s="163" t="s">
        <v>2168</v>
      </c>
      <c r="E4707" s="100" t="s">
        <v>2169</v>
      </c>
    </row>
    <row r="4708" spans="1:5">
      <c r="A4708" s="98">
        <v>67069</v>
      </c>
      <c r="B4708" s="98">
        <v>0</v>
      </c>
      <c r="C4708" s="163" t="s">
        <v>3845</v>
      </c>
      <c r="D4708" s="163" t="s">
        <v>2147</v>
      </c>
      <c r="E4708" s="100" t="s">
        <v>1142</v>
      </c>
    </row>
    <row r="4709" spans="1:5">
      <c r="A4709" s="98">
        <v>67070</v>
      </c>
      <c r="B4709" s="98">
        <v>0</v>
      </c>
      <c r="C4709" s="163" t="s">
        <v>3566</v>
      </c>
      <c r="D4709" s="163" t="s">
        <v>326</v>
      </c>
      <c r="E4709" s="100" t="s">
        <v>327</v>
      </c>
    </row>
    <row r="4710" spans="1:5">
      <c r="A4710" s="98">
        <v>67071</v>
      </c>
      <c r="B4710" s="98">
        <v>0</v>
      </c>
      <c r="C4710" s="163" t="s">
        <v>3833</v>
      </c>
      <c r="D4710" s="163" t="s">
        <v>2146</v>
      </c>
      <c r="E4710" s="100" t="s">
        <v>1125</v>
      </c>
    </row>
    <row r="4711" spans="1:5">
      <c r="A4711" s="98">
        <v>67072</v>
      </c>
      <c r="B4711" s="98">
        <v>0</v>
      </c>
      <c r="C4711" s="163" t="s">
        <v>4285</v>
      </c>
      <c r="D4711" s="163" t="s">
        <v>2145</v>
      </c>
      <c r="E4711" s="100" t="s">
        <v>2174</v>
      </c>
    </row>
    <row r="4712" spans="1:5">
      <c r="A4712" s="98">
        <v>67073</v>
      </c>
      <c r="B4712" s="98">
        <v>0</v>
      </c>
      <c r="C4712" s="163" t="s">
        <v>4141</v>
      </c>
      <c r="D4712" s="163" t="s">
        <v>2171</v>
      </c>
      <c r="E4712" s="100" t="s">
        <v>1775</v>
      </c>
    </row>
    <row r="4713" spans="1:5">
      <c r="A4713" s="98">
        <v>67074</v>
      </c>
      <c r="B4713" s="98">
        <v>0</v>
      </c>
      <c r="C4713" s="163" t="s">
        <v>3839</v>
      </c>
      <c r="D4713" s="163" t="s">
        <v>2148</v>
      </c>
      <c r="E4713" s="100" t="s">
        <v>1135</v>
      </c>
    </row>
    <row r="4714" spans="1:5">
      <c r="A4714" s="98">
        <v>67075</v>
      </c>
      <c r="B4714" s="98">
        <v>0</v>
      </c>
      <c r="C4714" s="163" t="s">
        <v>3567</v>
      </c>
      <c r="D4714" s="163" t="s">
        <v>328</v>
      </c>
      <c r="E4714" s="100" t="s">
        <v>329</v>
      </c>
    </row>
    <row r="4715" spans="1:5">
      <c r="A4715" s="98">
        <v>67076</v>
      </c>
      <c r="B4715" s="98">
        <v>0</v>
      </c>
      <c r="C4715" s="163" t="s">
        <v>4286</v>
      </c>
      <c r="D4715" s="163" t="s">
        <v>2146</v>
      </c>
      <c r="E4715" s="100" t="s">
        <v>2175</v>
      </c>
    </row>
    <row r="4716" spans="1:5">
      <c r="A4716" s="98">
        <v>67077</v>
      </c>
      <c r="B4716" s="98">
        <v>0</v>
      </c>
      <c r="C4716" s="163" t="s">
        <v>4168</v>
      </c>
      <c r="D4716" s="163" t="s">
        <v>2145</v>
      </c>
      <c r="E4716" s="100" t="s">
        <v>1838</v>
      </c>
    </row>
    <row r="4717" spans="1:5">
      <c r="A4717" s="98">
        <v>67078</v>
      </c>
      <c r="B4717" s="98">
        <v>0</v>
      </c>
      <c r="C4717" s="163" t="s">
        <v>4287</v>
      </c>
      <c r="D4717" s="163" t="s">
        <v>2164</v>
      </c>
      <c r="E4717" s="100" t="s">
        <v>2176</v>
      </c>
    </row>
    <row r="4718" spans="1:5">
      <c r="A4718" s="98">
        <v>67079</v>
      </c>
      <c r="B4718" s="98">
        <v>0</v>
      </c>
      <c r="C4718" s="98" t="s">
        <v>4288</v>
      </c>
      <c r="D4718" s="98" t="s">
        <v>7068</v>
      </c>
      <c r="E4718" s="100" t="s">
        <v>2177</v>
      </c>
    </row>
    <row r="4719" spans="1:5">
      <c r="A4719" s="49">
        <v>68001</v>
      </c>
      <c r="B4719" s="49">
        <v>1</v>
      </c>
      <c r="C4719" s="49" t="s">
        <v>3537</v>
      </c>
      <c r="D4719" s="49" t="s">
        <v>268</v>
      </c>
      <c r="E4719" s="52" t="s">
        <v>269</v>
      </c>
    </row>
    <row r="4720" spans="1:5">
      <c r="A4720" s="49">
        <v>68002</v>
      </c>
      <c r="B4720" s="49">
        <v>1</v>
      </c>
      <c r="C4720" s="49" t="s">
        <v>3536</v>
      </c>
      <c r="D4720" s="49" t="s">
        <v>266</v>
      </c>
      <c r="E4720" s="52" t="s">
        <v>267</v>
      </c>
    </row>
    <row r="4721" spans="1:5">
      <c r="A4721" s="49">
        <v>68003</v>
      </c>
      <c r="B4721" s="49">
        <v>1</v>
      </c>
      <c r="C4721" s="49" t="s">
        <v>3538</v>
      </c>
      <c r="D4721" s="49" t="s">
        <v>270</v>
      </c>
      <c r="E4721" s="52" t="s">
        <v>271</v>
      </c>
    </row>
    <row r="4722" spans="1:5">
      <c r="A4722" s="49">
        <v>68004</v>
      </c>
      <c r="B4722" s="49">
        <v>1</v>
      </c>
      <c r="C4722" s="49" t="s">
        <v>3539</v>
      </c>
      <c r="D4722" s="49" t="s">
        <v>272</v>
      </c>
      <c r="E4722" s="52" t="s">
        <v>273</v>
      </c>
    </row>
    <row r="4723" spans="1:5">
      <c r="A4723" s="49">
        <v>68005</v>
      </c>
      <c r="B4723" s="49">
        <v>1</v>
      </c>
      <c r="C4723" s="49" t="s">
        <v>3369</v>
      </c>
      <c r="D4723" s="49" t="s">
        <v>2178</v>
      </c>
      <c r="E4723" s="52" t="s">
        <v>747</v>
      </c>
    </row>
    <row r="4724" spans="1:5">
      <c r="A4724" s="49">
        <v>68006</v>
      </c>
      <c r="B4724" s="49">
        <v>1</v>
      </c>
      <c r="C4724" s="49" t="s">
        <v>3541</v>
      </c>
      <c r="D4724" s="49" t="s">
        <v>276</v>
      </c>
      <c r="E4724" s="52" t="s">
        <v>277</v>
      </c>
    </row>
    <row r="4725" spans="1:5">
      <c r="A4725" s="49">
        <v>68007</v>
      </c>
      <c r="B4725" s="49">
        <v>1</v>
      </c>
      <c r="C4725" s="49" t="s">
        <v>3540</v>
      </c>
      <c r="D4725" s="49" t="s">
        <v>274</v>
      </c>
      <c r="E4725" s="52" t="s">
        <v>275</v>
      </c>
    </row>
    <row r="4726" spans="1:5">
      <c r="A4726" s="49">
        <v>68008</v>
      </c>
      <c r="B4726" s="49">
        <v>1</v>
      </c>
      <c r="C4726" s="49" t="s">
        <v>3600</v>
      </c>
      <c r="D4726" s="49" t="s">
        <v>394</v>
      </c>
      <c r="E4726" s="52" t="s">
        <v>395</v>
      </c>
    </row>
    <row r="4727" spans="1:5">
      <c r="A4727" s="49">
        <v>68009</v>
      </c>
      <c r="B4727" s="49">
        <v>1</v>
      </c>
      <c r="C4727" s="49" t="s">
        <v>3601</v>
      </c>
      <c r="D4727" s="49" t="s">
        <v>396</v>
      </c>
      <c r="E4727" s="52" t="s">
        <v>397</v>
      </c>
    </row>
    <row r="4728" spans="1:5">
      <c r="A4728" s="49">
        <v>68010</v>
      </c>
      <c r="B4728" s="49">
        <v>1</v>
      </c>
      <c r="C4728" s="49" t="s">
        <v>3372</v>
      </c>
      <c r="D4728" s="49" t="s">
        <v>2178</v>
      </c>
      <c r="E4728" s="52" t="s">
        <v>989</v>
      </c>
    </row>
    <row r="4729" spans="1:5">
      <c r="A4729" s="49">
        <v>68011</v>
      </c>
      <c r="B4729" s="49">
        <v>1</v>
      </c>
      <c r="C4729" s="49" t="s">
        <v>3545</v>
      </c>
      <c r="D4729" s="49" t="s">
        <v>284</v>
      </c>
      <c r="E4729" s="52" t="s">
        <v>285</v>
      </c>
    </row>
    <row r="4730" spans="1:5">
      <c r="A4730" s="49">
        <v>68012</v>
      </c>
      <c r="B4730" s="49">
        <v>1</v>
      </c>
      <c r="C4730" s="49" t="s">
        <v>3544</v>
      </c>
      <c r="D4730" s="49" t="s">
        <v>282</v>
      </c>
      <c r="E4730" s="52" t="s">
        <v>283</v>
      </c>
    </row>
    <row r="4731" spans="1:5">
      <c r="A4731" s="49">
        <v>68013</v>
      </c>
      <c r="B4731" s="49">
        <v>1</v>
      </c>
      <c r="C4731" s="49" t="s">
        <v>3360</v>
      </c>
      <c r="D4731" s="49" t="s">
        <v>2145</v>
      </c>
      <c r="E4731" s="52" t="s">
        <v>604</v>
      </c>
    </row>
    <row r="4732" spans="1:5">
      <c r="A4732" s="49">
        <v>68014</v>
      </c>
      <c r="B4732" s="49">
        <v>1</v>
      </c>
      <c r="C4732" s="49" t="s">
        <v>4289</v>
      </c>
      <c r="D4732" s="49" t="s">
        <v>582</v>
      </c>
      <c r="E4732" s="52" t="s">
        <v>2179</v>
      </c>
    </row>
    <row r="4733" spans="1:5">
      <c r="A4733" s="49">
        <v>68015</v>
      </c>
      <c r="B4733" s="49">
        <v>1</v>
      </c>
      <c r="C4733" s="49" t="s">
        <v>3375</v>
      </c>
      <c r="D4733" s="49" t="s">
        <v>2178</v>
      </c>
      <c r="E4733" s="52" t="s">
        <v>787</v>
      </c>
    </row>
    <row r="4734" spans="1:5">
      <c r="A4734" s="49">
        <v>68016</v>
      </c>
      <c r="B4734" s="49">
        <v>1</v>
      </c>
      <c r="C4734" s="49" t="s">
        <v>3546</v>
      </c>
      <c r="D4734" s="49" t="s">
        <v>286</v>
      </c>
      <c r="E4734" s="52" t="s">
        <v>287</v>
      </c>
    </row>
    <row r="4735" spans="1:5">
      <c r="A4735" s="49">
        <v>68017</v>
      </c>
      <c r="B4735" s="49">
        <v>1</v>
      </c>
      <c r="C4735" s="49" t="s">
        <v>3547</v>
      </c>
      <c r="D4735" s="49" t="s">
        <v>288</v>
      </c>
      <c r="E4735" s="52" t="s">
        <v>289</v>
      </c>
    </row>
    <row r="4736" spans="1:5">
      <c r="A4736" s="49">
        <v>68018</v>
      </c>
      <c r="B4736" s="49">
        <v>1</v>
      </c>
      <c r="C4736" s="49" t="s">
        <v>4151</v>
      </c>
      <c r="D4736" s="49" t="s">
        <v>2164</v>
      </c>
      <c r="E4736" s="52" t="s">
        <v>1785</v>
      </c>
    </row>
    <row r="4737" spans="1:5">
      <c r="A4737" s="49">
        <v>68019</v>
      </c>
      <c r="B4737" s="49">
        <v>1</v>
      </c>
      <c r="C4737" s="49" t="s">
        <v>4290</v>
      </c>
      <c r="D4737" s="49" t="s">
        <v>7078</v>
      </c>
      <c r="E4737" s="52" t="s">
        <v>2180</v>
      </c>
    </row>
    <row r="4738" spans="1:5">
      <c r="A4738" s="49">
        <v>68020</v>
      </c>
      <c r="B4738" s="49">
        <v>1</v>
      </c>
      <c r="C4738" s="49" t="s">
        <v>3763</v>
      </c>
      <c r="D4738" s="49" t="s">
        <v>2178</v>
      </c>
      <c r="E4738" s="52" t="s">
        <v>799</v>
      </c>
    </row>
    <row r="4739" spans="1:5">
      <c r="A4739" s="49">
        <v>68021</v>
      </c>
      <c r="B4739" s="49">
        <v>1</v>
      </c>
      <c r="C4739" s="49" t="s">
        <v>3549</v>
      </c>
      <c r="D4739" s="49" t="s">
        <v>292</v>
      </c>
      <c r="E4739" s="52" t="s">
        <v>293</v>
      </c>
    </row>
    <row r="4740" spans="1:5">
      <c r="A4740" s="49">
        <v>68022</v>
      </c>
      <c r="B4740" s="49">
        <v>1</v>
      </c>
      <c r="C4740" s="49" t="s">
        <v>3548</v>
      </c>
      <c r="D4740" s="49" t="s">
        <v>290</v>
      </c>
      <c r="E4740" s="52" t="s">
        <v>291</v>
      </c>
    </row>
    <row r="4741" spans="1:5">
      <c r="A4741" s="49">
        <v>68023</v>
      </c>
      <c r="B4741" s="49">
        <v>1</v>
      </c>
      <c r="C4741" s="49" t="s">
        <v>3606</v>
      </c>
      <c r="D4741" s="49" t="s">
        <v>406</v>
      </c>
      <c r="E4741" s="52" t="s">
        <v>407</v>
      </c>
    </row>
    <row r="4742" spans="1:5">
      <c r="A4742" s="49">
        <v>68024</v>
      </c>
      <c r="B4742" s="49">
        <v>1</v>
      </c>
      <c r="C4742" s="49" t="s">
        <v>3607</v>
      </c>
      <c r="D4742" s="49" t="s">
        <v>408</v>
      </c>
      <c r="E4742" s="52" t="s">
        <v>409</v>
      </c>
    </row>
    <row r="4743" spans="1:5">
      <c r="A4743" s="49">
        <v>68025</v>
      </c>
      <c r="B4743" s="49">
        <v>1</v>
      </c>
      <c r="C4743" s="49" t="s">
        <v>3380</v>
      </c>
      <c r="D4743" s="49" t="s">
        <v>2178</v>
      </c>
      <c r="E4743" s="52" t="s">
        <v>811</v>
      </c>
    </row>
    <row r="4744" spans="1:5">
      <c r="A4744" s="49">
        <v>68026</v>
      </c>
      <c r="B4744" s="49">
        <v>1</v>
      </c>
      <c r="C4744" s="49" t="s">
        <v>3550</v>
      </c>
      <c r="D4744" s="49" t="s">
        <v>294</v>
      </c>
      <c r="E4744" s="52" t="s">
        <v>295</v>
      </c>
    </row>
    <row r="4745" spans="1:5">
      <c r="A4745" s="49">
        <v>68027</v>
      </c>
      <c r="B4745" s="49">
        <v>1</v>
      </c>
      <c r="C4745" s="49" t="s">
        <v>3551</v>
      </c>
      <c r="D4745" s="49" t="s">
        <v>296</v>
      </c>
      <c r="E4745" s="52" t="s">
        <v>297</v>
      </c>
    </row>
    <row r="4746" spans="1:5">
      <c r="A4746" s="49">
        <v>68028</v>
      </c>
      <c r="B4746" s="49">
        <v>1</v>
      </c>
      <c r="C4746" s="49" t="s">
        <v>3727</v>
      </c>
      <c r="D4746" s="49" t="s">
        <v>2162</v>
      </c>
      <c r="E4746" s="52" t="s">
        <v>647</v>
      </c>
    </row>
    <row r="4747" spans="1:5">
      <c r="A4747" s="49">
        <v>68029</v>
      </c>
      <c r="B4747" s="49">
        <v>1</v>
      </c>
      <c r="C4747" s="49" t="s">
        <v>3348</v>
      </c>
      <c r="D4747" s="49" t="s">
        <v>7068</v>
      </c>
      <c r="E4747" s="52" t="s">
        <v>949</v>
      </c>
    </row>
    <row r="4748" spans="1:5">
      <c r="A4748" s="49">
        <v>68030</v>
      </c>
      <c r="B4748" s="49">
        <v>1</v>
      </c>
      <c r="C4748" s="49" t="s">
        <v>3382</v>
      </c>
      <c r="D4748" s="49" t="s">
        <v>2178</v>
      </c>
      <c r="E4748" s="52" t="s">
        <v>769</v>
      </c>
    </row>
    <row r="4749" spans="1:5">
      <c r="A4749" s="98">
        <v>68501</v>
      </c>
      <c r="B4749" s="163">
        <v>0</v>
      </c>
      <c r="C4749" s="163" t="s">
        <v>3709</v>
      </c>
      <c r="D4749" s="163" t="s">
        <v>7189</v>
      </c>
      <c r="E4749" s="100" t="s">
        <v>612</v>
      </c>
    </row>
    <row r="4750" spans="1:5">
      <c r="A4750" s="98">
        <v>68502</v>
      </c>
      <c r="B4750" s="163">
        <v>0</v>
      </c>
      <c r="C4750" s="163" t="s">
        <v>7177</v>
      </c>
      <c r="D4750" s="163" t="s">
        <v>7190</v>
      </c>
      <c r="E4750" s="100" t="s">
        <v>7183</v>
      </c>
    </row>
    <row r="4751" spans="1:5">
      <c r="A4751" s="98">
        <v>68503</v>
      </c>
      <c r="B4751" s="163">
        <v>0</v>
      </c>
      <c r="C4751" s="163" t="s">
        <v>7178</v>
      </c>
      <c r="D4751" s="163" t="s">
        <v>7191</v>
      </c>
      <c r="E4751" s="100" t="s">
        <v>7184</v>
      </c>
    </row>
    <row r="4752" spans="1:5">
      <c r="A4752" s="98">
        <v>68504</v>
      </c>
      <c r="B4752" s="163">
        <v>0</v>
      </c>
      <c r="C4752" s="163" t="s">
        <v>3613</v>
      </c>
      <c r="D4752" s="163" t="s">
        <v>7192</v>
      </c>
      <c r="E4752" s="100" t="s">
        <v>421</v>
      </c>
    </row>
    <row r="4753" spans="1:5">
      <c r="A4753" s="98">
        <v>68505</v>
      </c>
      <c r="B4753" s="163">
        <v>0</v>
      </c>
      <c r="C4753" s="163" t="s">
        <v>6743</v>
      </c>
      <c r="D4753" s="163" t="s">
        <v>7193</v>
      </c>
      <c r="E4753" s="100" t="s">
        <v>6757</v>
      </c>
    </row>
    <row r="4754" spans="1:5">
      <c r="A4754" s="98">
        <v>68506</v>
      </c>
      <c r="B4754" s="163">
        <v>0</v>
      </c>
      <c r="C4754" s="163" t="s">
        <v>11286</v>
      </c>
      <c r="D4754" s="163" t="s">
        <v>7194</v>
      </c>
      <c r="E4754" s="100" t="s">
        <v>11293</v>
      </c>
    </row>
    <row r="4755" spans="1:5">
      <c r="A4755" s="98">
        <v>68507</v>
      </c>
      <c r="B4755" s="163">
        <v>0</v>
      </c>
      <c r="C4755" s="163" t="s">
        <v>11287</v>
      </c>
      <c r="D4755" s="163" t="s">
        <v>7195</v>
      </c>
      <c r="E4755" s="100" t="s">
        <v>11294</v>
      </c>
    </row>
    <row r="4756" spans="1:5">
      <c r="A4756" s="98">
        <v>68508</v>
      </c>
      <c r="B4756" s="163">
        <v>0</v>
      </c>
      <c r="C4756" s="163" t="s">
        <v>10142</v>
      </c>
      <c r="D4756" s="163" t="s">
        <v>7196</v>
      </c>
      <c r="E4756" s="100" t="s">
        <v>10144</v>
      </c>
    </row>
    <row r="4757" spans="1:5">
      <c r="A4757" s="98">
        <v>68509</v>
      </c>
      <c r="B4757" s="163">
        <v>0</v>
      </c>
      <c r="C4757" s="163" t="s">
        <v>3613</v>
      </c>
      <c r="D4757" s="163" t="s">
        <v>7197</v>
      </c>
      <c r="E4757" s="100" t="s">
        <v>421</v>
      </c>
    </row>
    <row r="4758" spans="1:5">
      <c r="A4758" s="98">
        <v>68510</v>
      </c>
      <c r="B4758" s="163">
        <v>0</v>
      </c>
      <c r="C4758" s="163" t="s">
        <v>11288</v>
      </c>
      <c r="D4758" s="163" t="s">
        <v>7198</v>
      </c>
      <c r="E4758" s="100" t="s">
        <v>11295</v>
      </c>
    </row>
    <row r="4759" spans="1:5">
      <c r="A4759" s="98">
        <v>68511</v>
      </c>
      <c r="B4759" s="163">
        <v>0</v>
      </c>
      <c r="C4759" s="163" t="s">
        <v>3352</v>
      </c>
      <c r="D4759" s="163" t="s">
        <v>7199</v>
      </c>
      <c r="E4759" s="100" t="s">
        <v>713</v>
      </c>
    </row>
    <row r="4760" spans="1:5">
      <c r="A4760" s="98">
        <v>68512</v>
      </c>
      <c r="B4760" s="163">
        <v>0</v>
      </c>
      <c r="C4760" s="163" t="s">
        <v>3695</v>
      </c>
      <c r="D4760" s="163" t="s">
        <v>7200</v>
      </c>
      <c r="E4760" s="100" t="s">
        <v>686</v>
      </c>
    </row>
    <row r="4761" spans="1:5">
      <c r="A4761" s="98">
        <v>68513</v>
      </c>
      <c r="B4761" s="163">
        <v>0</v>
      </c>
      <c r="C4761" s="163" t="s">
        <v>11289</v>
      </c>
      <c r="D4761" s="163" t="s">
        <v>7201</v>
      </c>
      <c r="E4761" s="100" t="s">
        <v>11296</v>
      </c>
    </row>
    <row r="4762" spans="1:5">
      <c r="A4762" s="98">
        <v>68514</v>
      </c>
      <c r="B4762" s="98">
        <v>0</v>
      </c>
      <c r="C4762" s="98" t="s">
        <v>7179</v>
      </c>
      <c r="D4762" s="163" t="s">
        <v>7202</v>
      </c>
      <c r="E4762" s="100" t="s">
        <v>7185</v>
      </c>
    </row>
    <row r="4763" spans="1:5">
      <c r="A4763" s="98">
        <v>68515</v>
      </c>
      <c r="B4763" s="163">
        <v>0</v>
      </c>
      <c r="C4763" s="163" t="s">
        <v>3896</v>
      </c>
      <c r="D4763" s="163" t="s">
        <v>7203</v>
      </c>
      <c r="E4763" s="100" t="s">
        <v>1291</v>
      </c>
    </row>
    <row r="4764" spans="1:5">
      <c r="A4764" s="98">
        <v>68516</v>
      </c>
      <c r="B4764" s="163">
        <v>0</v>
      </c>
      <c r="C4764" s="163" t="s">
        <v>11290</v>
      </c>
      <c r="D4764" s="163" t="s">
        <v>7204</v>
      </c>
      <c r="E4764" s="100" t="s">
        <v>11297</v>
      </c>
    </row>
    <row r="4765" spans="1:5">
      <c r="A4765" s="98">
        <v>68517</v>
      </c>
      <c r="B4765" s="163">
        <v>0</v>
      </c>
      <c r="C4765" s="163" t="s">
        <v>10148</v>
      </c>
      <c r="D4765" s="163" t="s">
        <v>7205</v>
      </c>
      <c r="E4765" s="100" t="s">
        <v>10145</v>
      </c>
    </row>
    <row r="4766" spans="1:5">
      <c r="A4766" s="98">
        <v>68518</v>
      </c>
      <c r="B4766" s="163">
        <v>0</v>
      </c>
      <c r="C4766" s="163" t="s">
        <v>4600</v>
      </c>
      <c r="D4766" s="163" t="s">
        <v>7206</v>
      </c>
      <c r="E4766" s="100" t="s">
        <v>3193</v>
      </c>
    </row>
    <row r="4767" spans="1:5">
      <c r="A4767" s="98">
        <v>68519</v>
      </c>
      <c r="B4767" s="98">
        <v>0</v>
      </c>
      <c r="C4767" s="98" t="s">
        <v>10334</v>
      </c>
      <c r="D4767" s="163" t="s">
        <v>7207</v>
      </c>
      <c r="E4767" s="100" t="s">
        <v>10335</v>
      </c>
    </row>
    <row r="4768" spans="1:5">
      <c r="A4768" s="98">
        <v>68520</v>
      </c>
      <c r="B4768" s="163">
        <v>0</v>
      </c>
      <c r="C4768" s="163" t="s">
        <v>10149</v>
      </c>
      <c r="D4768" s="163" t="s">
        <v>7208</v>
      </c>
      <c r="E4768" s="100" t="s">
        <v>10146</v>
      </c>
    </row>
    <row r="4769" spans="1:5">
      <c r="A4769" s="98">
        <v>68521</v>
      </c>
      <c r="B4769" s="163">
        <v>0</v>
      </c>
      <c r="C4769" s="163" t="s">
        <v>3724</v>
      </c>
      <c r="D4769" s="163" t="s">
        <v>7209</v>
      </c>
      <c r="E4769" s="100" t="s">
        <v>642</v>
      </c>
    </row>
    <row r="4770" spans="1:5">
      <c r="A4770" s="98">
        <v>68522</v>
      </c>
      <c r="B4770" s="163">
        <v>0</v>
      </c>
      <c r="C4770" s="163" t="s">
        <v>11291</v>
      </c>
      <c r="D4770" s="163" t="s">
        <v>7210</v>
      </c>
      <c r="E4770" s="100" t="s">
        <v>11298</v>
      </c>
    </row>
    <row r="4771" spans="1:5">
      <c r="A4771" s="98">
        <v>68523</v>
      </c>
      <c r="B4771" s="163">
        <v>0</v>
      </c>
      <c r="C4771" s="163" t="s">
        <v>3944</v>
      </c>
      <c r="D4771" s="163" t="s">
        <v>7211</v>
      </c>
      <c r="E4771" s="100" t="s">
        <v>3120</v>
      </c>
    </row>
    <row r="4772" spans="1:5">
      <c r="A4772" s="98">
        <v>68524</v>
      </c>
      <c r="B4772" s="98">
        <v>0</v>
      </c>
      <c r="C4772" s="98" t="s">
        <v>10143</v>
      </c>
      <c r="D4772" s="163" t="s">
        <v>7212</v>
      </c>
      <c r="E4772" s="100" t="s">
        <v>10147</v>
      </c>
    </row>
    <row r="4773" spans="1:5">
      <c r="A4773" s="98">
        <v>68525</v>
      </c>
      <c r="B4773" s="98">
        <v>0</v>
      </c>
      <c r="C4773" s="98" t="s">
        <v>11291</v>
      </c>
      <c r="D4773" s="163" t="s">
        <v>7213</v>
      </c>
      <c r="E4773" s="100" t="s">
        <v>11298</v>
      </c>
    </row>
    <row r="4774" spans="1:5">
      <c r="A4774" s="98">
        <v>68526</v>
      </c>
      <c r="B4774" s="98">
        <v>0</v>
      </c>
      <c r="C4774" s="163" t="s">
        <v>3336</v>
      </c>
      <c r="D4774" s="163" t="s">
        <v>7214</v>
      </c>
      <c r="E4774" s="100" t="s">
        <v>2228</v>
      </c>
    </row>
    <row r="4775" spans="1:5">
      <c r="A4775" s="98">
        <v>68527</v>
      </c>
      <c r="B4775" s="98">
        <v>0</v>
      </c>
      <c r="C4775" s="163" t="s">
        <v>7180</v>
      </c>
      <c r="D4775" s="163" t="s">
        <v>7215</v>
      </c>
      <c r="E4775" s="100" t="s">
        <v>7186</v>
      </c>
    </row>
    <row r="4776" spans="1:5">
      <c r="A4776" s="98">
        <v>68528</v>
      </c>
      <c r="B4776" s="98">
        <v>0</v>
      </c>
      <c r="C4776" s="163" t="s">
        <v>7181</v>
      </c>
      <c r="D4776" s="163" t="s">
        <v>7216</v>
      </c>
      <c r="E4776" s="100" t="s">
        <v>7187</v>
      </c>
    </row>
    <row r="4777" spans="1:5">
      <c r="A4777" s="98">
        <v>68529</v>
      </c>
      <c r="B4777" s="98">
        <v>0</v>
      </c>
      <c r="C4777" s="163" t="s">
        <v>6925</v>
      </c>
      <c r="D4777" s="163" t="s">
        <v>7217</v>
      </c>
      <c r="E4777" s="100" t="s">
        <v>6985</v>
      </c>
    </row>
    <row r="4778" spans="1:5">
      <c r="A4778" s="98">
        <v>68530</v>
      </c>
      <c r="B4778" s="98">
        <v>0</v>
      </c>
      <c r="C4778" s="164" t="s">
        <v>11292</v>
      </c>
      <c r="D4778" s="163" t="s">
        <v>7218</v>
      </c>
      <c r="E4778" s="100" t="s">
        <v>11299</v>
      </c>
    </row>
    <row r="4779" spans="1:5">
      <c r="A4779" s="165">
        <v>68531</v>
      </c>
      <c r="B4779" s="165">
        <v>0</v>
      </c>
      <c r="C4779" s="242" t="s">
        <v>3695</v>
      </c>
      <c r="D4779" s="243" t="s">
        <v>7219</v>
      </c>
      <c r="E4779" s="166" t="s">
        <v>686</v>
      </c>
    </row>
    <row r="4780" spans="1:5">
      <c r="A4780" s="165">
        <v>68532</v>
      </c>
      <c r="B4780" s="165">
        <v>0</v>
      </c>
      <c r="C4780" s="243" t="s">
        <v>7177</v>
      </c>
      <c r="D4780" s="243" t="s">
        <v>7220</v>
      </c>
      <c r="E4780" s="166" t="s">
        <v>7183</v>
      </c>
    </row>
    <row r="4781" spans="1:5">
      <c r="A4781" s="165">
        <v>68533</v>
      </c>
      <c r="B4781" s="165">
        <v>0</v>
      </c>
      <c r="C4781" s="243" t="s">
        <v>4599</v>
      </c>
      <c r="D4781" s="243" t="s">
        <v>7221</v>
      </c>
      <c r="E4781" s="166" t="s">
        <v>3189</v>
      </c>
    </row>
    <row r="4782" spans="1:5">
      <c r="A4782" s="165">
        <v>68534</v>
      </c>
      <c r="B4782" s="165">
        <v>0</v>
      </c>
      <c r="C4782" s="243" t="s">
        <v>10155</v>
      </c>
      <c r="D4782" s="243" t="s">
        <v>7222</v>
      </c>
      <c r="E4782" s="166" t="s">
        <v>10150</v>
      </c>
    </row>
    <row r="4783" spans="1:5">
      <c r="A4783" s="165">
        <v>68535</v>
      </c>
      <c r="B4783" s="165">
        <v>0</v>
      </c>
      <c r="C4783" s="243" t="s">
        <v>3893</v>
      </c>
      <c r="D4783" s="243" t="s">
        <v>7223</v>
      </c>
      <c r="E4783" s="166" t="s">
        <v>1282</v>
      </c>
    </row>
    <row r="4784" spans="1:5">
      <c r="A4784" s="165">
        <v>68536</v>
      </c>
      <c r="B4784" s="165">
        <v>0</v>
      </c>
      <c r="C4784" s="243" t="s">
        <v>3695</v>
      </c>
      <c r="D4784" s="243" t="s">
        <v>7224</v>
      </c>
      <c r="E4784" s="166" t="s">
        <v>686</v>
      </c>
    </row>
    <row r="4785" spans="1:5">
      <c r="A4785" s="165">
        <v>68537</v>
      </c>
      <c r="B4785" s="165">
        <v>0</v>
      </c>
      <c r="C4785" s="243" t="s">
        <v>11287</v>
      </c>
      <c r="D4785" s="243" t="s">
        <v>7225</v>
      </c>
      <c r="E4785" s="166" t="s">
        <v>11294</v>
      </c>
    </row>
    <row r="4786" spans="1:5">
      <c r="A4786" s="165">
        <v>68538</v>
      </c>
      <c r="B4786" s="165">
        <v>0</v>
      </c>
      <c r="C4786" s="243" t="s">
        <v>10156</v>
      </c>
      <c r="D4786" s="243" t="s">
        <v>7226</v>
      </c>
      <c r="E4786" s="166" t="s">
        <v>10151</v>
      </c>
    </row>
    <row r="4787" spans="1:5">
      <c r="A4787" s="165">
        <v>68539</v>
      </c>
      <c r="B4787" s="165">
        <v>0</v>
      </c>
      <c r="C4787" s="243" t="s">
        <v>10157</v>
      </c>
      <c r="D4787" s="243" t="s">
        <v>7227</v>
      </c>
      <c r="E4787" s="166" t="s">
        <v>10152</v>
      </c>
    </row>
    <row r="4788" spans="1:5">
      <c r="A4788" s="165">
        <v>68540</v>
      </c>
      <c r="B4788" s="165">
        <v>0</v>
      </c>
      <c r="C4788" s="243" t="s">
        <v>10158</v>
      </c>
      <c r="D4788" s="243" t="s">
        <v>7228</v>
      </c>
      <c r="E4788" s="166" t="s">
        <v>10153</v>
      </c>
    </row>
    <row r="4789" spans="1:5">
      <c r="A4789" s="165">
        <v>68541</v>
      </c>
      <c r="B4789" s="165">
        <v>0</v>
      </c>
      <c r="C4789" s="243" t="s">
        <v>11289</v>
      </c>
      <c r="D4789" s="243" t="s">
        <v>7229</v>
      </c>
      <c r="E4789" s="166" t="s">
        <v>11296</v>
      </c>
    </row>
    <row r="4790" spans="1:5">
      <c r="A4790" s="165">
        <v>68542</v>
      </c>
      <c r="B4790" s="165">
        <v>0</v>
      </c>
      <c r="C4790" s="243" t="s">
        <v>10142</v>
      </c>
      <c r="D4790" s="243" t="s">
        <v>7230</v>
      </c>
      <c r="E4790" s="166" t="s">
        <v>10144</v>
      </c>
    </row>
    <row r="4791" spans="1:5">
      <c r="A4791" s="165">
        <v>68543</v>
      </c>
      <c r="B4791" s="165">
        <v>0</v>
      </c>
      <c r="C4791" s="243" t="s">
        <v>3336</v>
      </c>
      <c r="D4791" s="243" t="s">
        <v>7231</v>
      </c>
      <c r="E4791" s="166" t="s">
        <v>2228</v>
      </c>
    </row>
    <row r="4792" spans="1:5">
      <c r="A4792" s="165">
        <v>68544</v>
      </c>
      <c r="B4792" s="165">
        <v>0</v>
      </c>
      <c r="C4792" s="243" t="s">
        <v>6745</v>
      </c>
      <c r="D4792" s="243" t="s">
        <v>7232</v>
      </c>
      <c r="E4792" s="166" t="s">
        <v>6759</v>
      </c>
    </row>
    <row r="4793" spans="1:5">
      <c r="A4793" s="165">
        <v>68545</v>
      </c>
      <c r="B4793" s="165">
        <v>0</v>
      </c>
      <c r="C4793" s="243" t="s">
        <v>6924</v>
      </c>
      <c r="D4793" s="243" t="s">
        <v>7233</v>
      </c>
      <c r="E4793" s="166" t="s">
        <v>6984</v>
      </c>
    </row>
    <row r="4794" spans="1:5">
      <c r="A4794" s="165">
        <v>68546</v>
      </c>
      <c r="B4794" s="165">
        <v>0</v>
      </c>
      <c r="C4794" s="243" t="s">
        <v>10159</v>
      </c>
      <c r="D4794" s="243" t="s">
        <v>7234</v>
      </c>
      <c r="E4794" s="166" t="s">
        <v>10154</v>
      </c>
    </row>
    <row r="4795" spans="1:5">
      <c r="A4795" s="165">
        <v>68547</v>
      </c>
      <c r="B4795" s="165">
        <v>0</v>
      </c>
      <c r="C4795" s="243" t="s">
        <v>11290</v>
      </c>
      <c r="D4795" s="243" t="s">
        <v>7235</v>
      </c>
      <c r="E4795" s="166" t="s">
        <v>11297</v>
      </c>
    </row>
    <row r="4796" spans="1:5">
      <c r="A4796" s="165">
        <v>68548</v>
      </c>
      <c r="B4796" s="165">
        <v>0</v>
      </c>
      <c r="C4796" s="243" t="s">
        <v>3695</v>
      </c>
      <c r="D4796" s="243" t="s">
        <v>7236</v>
      </c>
      <c r="E4796" s="166" t="s">
        <v>686</v>
      </c>
    </row>
    <row r="4797" spans="1:5">
      <c r="A4797" s="165">
        <v>68549</v>
      </c>
      <c r="B4797" s="165">
        <v>0</v>
      </c>
      <c r="C4797" s="243" t="s">
        <v>10143</v>
      </c>
      <c r="D4797" s="243" t="s">
        <v>7237</v>
      </c>
      <c r="E4797" s="166" t="s">
        <v>10147</v>
      </c>
    </row>
    <row r="4798" spans="1:5">
      <c r="A4798" s="165">
        <v>68550</v>
      </c>
      <c r="B4798" s="165">
        <v>0</v>
      </c>
      <c r="C4798" s="243" t="s">
        <v>3336</v>
      </c>
      <c r="D4798" s="243" t="s">
        <v>7238</v>
      </c>
      <c r="E4798" s="166" t="s">
        <v>2228</v>
      </c>
    </row>
    <row r="4799" spans="1:5">
      <c r="A4799" s="1">
        <v>69001</v>
      </c>
      <c r="B4799" s="1">
        <v>1</v>
      </c>
      <c r="C4799" s="1" t="s">
        <v>3700</v>
      </c>
      <c r="D4799" s="1" t="s">
        <v>2181</v>
      </c>
      <c r="E4799" s="3" t="s">
        <v>1417</v>
      </c>
    </row>
    <row r="4800" spans="1:5">
      <c r="A4800" s="1">
        <v>69002</v>
      </c>
      <c r="B4800" s="1">
        <v>1</v>
      </c>
      <c r="C4800" s="1" t="s">
        <v>3375</v>
      </c>
      <c r="D4800" s="1" t="s">
        <v>2182</v>
      </c>
      <c r="E4800" s="3" t="s">
        <v>787</v>
      </c>
    </row>
    <row r="4801" spans="1:5">
      <c r="A4801" s="1">
        <v>69003</v>
      </c>
      <c r="B4801" s="1">
        <v>1</v>
      </c>
      <c r="C4801" s="1" t="s">
        <v>3812</v>
      </c>
      <c r="D4801" s="1" t="s">
        <v>2183</v>
      </c>
      <c r="E4801" s="3" t="s">
        <v>999</v>
      </c>
    </row>
    <row r="4802" spans="1:5">
      <c r="A4802" s="1">
        <v>69004</v>
      </c>
      <c r="B4802" s="1">
        <v>1</v>
      </c>
      <c r="C4802" s="1" t="s">
        <v>3380</v>
      </c>
      <c r="D4802" s="1" t="s">
        <v>2184</v>
      </c>
      <c r="E4802" s="3" t="s">
        <v>811</v>
      </c>
    </row>
    <row r="4803" spans="1:5">
      <c r="A4803" s="1">
        <v>69005</v>
      </c>
      <c r="B4803" s="1">
        <v>1</v>
      </c>
      <c r="C4803" s="1" t="s">
        <v>4291</v>
      </c>
      <c r="D4803" s="1" t="s">
        <v>2185</v>
      </c>
      <c r="E4803" s="3" t="s">
        <v>2186</v>
      </c>
    </row>
    <row r="4804" spans="1:5">
      <c r="A4804" s="1">
        <v>69006</v>
      </c>
      <c r="B4804" s="1">
        <v>1</v>
      </c>
      <c r="C4804" s="1" t="s">
        <v>4292</v>
      </c>
      <c r="D4804" s="1" t="s">
        <v>2187</v>
      </c>
      <c r="E4804" s="3" t="s">
        <v>2188</v>
      </c>
    </row>
    <row r="4805" spans="1:5">
      <c r="A4805" s="1">
        <v>69007</v>
      </c>
      <c r="B4805" s="1">
        <v>1</v>
      </c>
      <c r="C4805" s="1" t="s">
        <v>3733</v>
      </c>
      <c r="D4805" s="1" t="s">
        <v>2189</v>
      </c>
      <c r="E4805" s="3" t="s">
        <v>662</v>
      </c>
    </row>
    <row r="4806" spans="1:5">
      <c r="A4806" s="1">
        <v>69008</v>
      </c>
      <c r="B4806" s="1">
        <v>1</v>
      </c>
      <c r="C4806" s="1" t="s">
        <v>4293</v>
      </c>
      <c r="D4806" s="1" t="s">
        <v>1111</v>
      </c>
      <c r="E4806" s="3" t="s">
        <v>2190</v>
      </c>
    </row>
    <row r="4807" spans="1:5">
      <c r="A4807" s="1">
        <v>69009</v>
      </c>
      <c r="B4807" s="1">
        <v>1</v>
      </c>
      <c r="C4807" s="1" t="s">
        <v>3834</v>
      </c>
      <c r="D4807" s="1" t="s">
        <v>1025</v>
      </c>
      <c r="E4807" s="3" t="s">
        <v>1127</v>
      </c>
    </row>
    <row r="4808" spans="1:5">
      <c r="A4808" s="1">
        <v>69010</v>
      </c>
      <c r="B4808" s="1">
        <v>1</v>
      </c>
      <c r="C4808" s="1" t="s">
        <v>3835</v>
      </c>
      <c r="D4808" s="1" t="s">
        <v>1113</v>
      </c>
      <c r="E4808" s="3" t="s">
        <v>1129</v>
      </c>
    </row>
    <row r="4809" spans="1:5">
      <c r="A4809" s="1">
        <v>69011</v>
      </c>
      <c r="B4809" s="1">
        <v>1</v>
      </c>
      <c r="C4809" s="1" t="s">
        <v>4294</v>
      </c>
      <c r="D4809" s="1" t="s">
        <v>1114</v>
      </c>
      <c r="E4809" s="3" t="s">
        <v>2191</v>
      </c>
    </row>
    <row r="4810" spans="1:5">
      <c r="A4810" s="1">
        <v>69012</v>
      </c>
      <c r="B4810" s="1">
        <v>1</v>
      </c>
      <c r="C4810" s="1" t="s">
        <v>4268</v>
      </c>
      <c r="D4810" s="1" t="s">
        <v>2192</v>
      </c>
      <c r="E4810" s="3" t="s">
        <v>2151</v>
      </c>
    </row>
    <row r="4811" spans="1:5">
      <c r="A4811" s="1">
        <v>69013</v>
      </c>
      <c r="B4811" s="1">
        <v>1</v>
      </c>
      <c r="C4811" s="1" t="s">
        <v>3837</v>
      </c>
      <c r="D4811" s="1" t="s">
        <v>2193</v>
      </c>
      <c r="E4811" s="3" t="s">
        <v>1133</v>
      </c>
    </row>
    <row r="4812" spans="1:5">
      <c r="A4812" s="1">
        <v>69014</v>
      </c>
      <c r="B4812" s="1">
        <v>1</v>
      </c>
      <c r="C4812" s="1" t="s">
        <v>3838</v>
      </c>
      <c r="D4812" s="1" t="s">
        <v>1029</v>
      </c>
      <c r="E4812" s="3" t="s">
        <v>1134</v>
      </c>
    </row>
    <row r="4813" spans="1:5">
      <c r="A4813" s="1">
        <v>69015</v>
      </c>
      <c r="B4813" s="1">
        <v>1</v>
      </c>
      <c r="C4813" s="1" t="s">
        <v>3829</v>
      </c>
      <c r="D4813" s="1" t="s">
        <v>2194</v>
      </c>
      <c r="E4813" s="3" t="s">
        <v>1116</v>
      </c>
    </row>
    <row r="4814" spans="1:5">
      <c r="A4814" s="1">
        <v>69016</v>
      </c>
      <c r="B4814" s="1">
        <v>1</v>
      </c>
      <c r="C4814" s="1" t="s">
        <v>3704</v>
      </c>
      <c r="D4814" s="1" t="s">
        <v>2195</v>
      </c>
      <c r="E4814" s="3" t="s">
        <v>597</v>
      </c>
    </row>
    <row r="4815" spans="1:5">
      <c r="A4815" s="1">
        <v>69017</v>
      </c>
      <c r="B4815" s="1">
        <v>1</v>
      </c>
      <c r="C4815" s="1" t="s">
        <v>3830</v>
      </c>
      <c r="D4815" s="1" t="s">
        <v>2196</v>
      </c>
      <c r="E4815" s="3" t="s">
        <v>1119</v>
      </c>
    </row>
    <row r="4816" spans="1:5">
      <c r="A4816" s="1">
        <v>69018</v>
      </c>
      <c r="B4816" s="1">
        <v>1</v>
      </c>
      <c r="C4816" s="1" t="s">
        <v>3831</v>
      </c>
      <c r="D4816" s="1" t="s">
        <v>2197</v>
      </c>
      <c r="E4816" s="3" t="s">
        <v>1121</v>
      </c>
    </row>
    <row r="4817" spans="1:5">
      <c r="A4817" s="1">
        <v>69019</v>
      </c>
      <c r="B4817" s="1">
        <v>1</v>
      </c>
      <c r="C4817" s="1" t="s">
        <v>3832</v>
      </c>
      <c r="D4817" s="1" t="s">
        <v>2198</v>
      </c>
      <c r="E4817" s="3" t="s">
        <v>1123</v>
      </c>
    </row>
    <row r="4818" spans="1:5">
      <c r="A4818" s="1">
        <v>69020</v>
      </c>
      <c r="B4818" s="1">
        <v>1</v>
      </c>
      <c r="C4818" s="1" t="s">
        <v>3833</v>
      </c>
      <c r="D4818" s="1" t="s">
        <v>2199</v>
      </c>
      <c r="E4818" s="3" t="s">
        <v>1125</v>
      </c>
    </row>
    <row r="4819" spans="1:5">
      <c r="A4819" s="1">
        <v>69021</v>
      </c>
      <c r="B4819" s="1">
        <v>1</v>
      </c>
      <c r="C4819" s="1" t="s">
        <v>4295</v>
      </c>
      <c r="D4819" s="1" t="s">
        <v>2200</v>
      </c>
      <c r="E4819" s="3" t="s">
        <v>2201</v>
      </c>
    </row>
    <row r="4820" spans="1:5">
      <c r="A4820" s="1">
        <v>69022</v>
      </c>
      <c r="B4820" s="1">
        <v>1</v>
      </c>
      <c r="C4820" s="1" t="s">
        <v>4286</v>
      </c>
      <c r="D4820" s="1" t="s">
        <v>2202</v>
      </c>
      <c r="E4820" s="3" t="s">
        <v>2175</v>
      </c>
    </row>
    <row r="4821" spans="1:5">
      <c r="A4821" s="1">
        <v>69023</v>
      </c>
      <c r="B4821" s="1">
        <v>1</v>
      </c>
      <c r="C4821" s="1" t="s">
        <v>3752</v>
      </c>
      <c r="D4821" s="1" t="s">
        <v>2203</v>
      </c>
      <c r="E4821" s="3" t="s">
        <v>737</v>
      </c>
    </row>
    <row r="4822" spans="1:5">
      <c r="A4822" s="1">
        <v>69024</v>
      </c>
      <c r="B4822" s="1">
        <v>1</v>
      </c>
      <c r="C4822" s="1" t="s">
        <v>4248</v>
      </c>
      <c r="D4822" s="1" t="s">
        <v>2204</v>
      </c>
      <c r="E4822" s="3" t="s">
        <v>2086</v>
      </c>
    </row>
    <row r="4823" spans="1:5">
      <c r="A4823" s="1">
        <v>69025</v>
      </c>
      <c r="B4823" s="1">
        <v>1</v>
      </c>
      <c r="C4823" s="1" t="s">
        <v>4281</v>
      </c>
      <c r="D4823" s="1" t="s">
        <v>2205</v>
      </c>
      <c r="E4823" s="3" t="s">
        <v>2169</v>
      </c>
    </row>
    <row r="4824" spans="1:5">
      <c r="A4824" s="1">
        <v>69026</v>
      </c>
      <c r="B4824" s="1">
        <v>1</v>
      </c>
      <c r="C4824" s="1" t="s">
        <v>4252</v>
      </c>
      <c r="D4824" s="1" t="s">
        <v>2206</v>
      </c>
      <c r="E4824" s="3" t="s">
        <v>2098</v>
      </c>
    </row>
    <row r="4825" spans="1:5">
      <c r="A4825" s="1">
        <v>69027</v>
      </c>
      <c r="B4825" s="1">
        <v>1</v>
      </c>
      <c r="C4825" s="1" t="s">
        <v>4260</v>
      </c>
      <c r="D4825" s="1" t="s">
        <v>2207</v>
      </c>
      <c r="E4825" s="3" t="s">
        <v>2125</v>
      </c>
    </row>
    <row r="4826" spans="1:5">
      <c r="A4826" s="1">
        <v>69028</v>
      </c>
      <c r="B4826" s="1">
        <v>1</v>
      </c>
      <c r="C4826" s="1" t="s">
        <v>4296</v>
      </c>
      <c r="D4826" s="1" t="s">
        <v>2208</v>
      </c>
      <c r="E4826" s="3" t="s">
        <v>2209</v>
      </c>
    </row>
    <row r="4827" spans="1:5">
      <c r="A4827" s="1">
        <v>69029</v>
      </c>
      <c r="B4827" s="1">
        <v>1</v>
      </c>
      <c r="C4827" s="1" t="s">
        <v>4258</v>
      </c>
      <c r="D4827" s="1" t="s">
        <v>2210</v>
      </c>
      <c r="E4827" s="3" t="s">
        <v>2115</v>
      </c>
    </row>
    <row r="4828" spans="1:5">
      <c r="A4828" s="1">
        <v>69030</v>
      </c>
      <c r="B4828" s="1">
        <v>1</v>
      </c>
      <c r="C4828" s="1" t="s">
        <v>4262</v>
      </c>
      <c r="D4828" s="1" t="s">
        <v>2211</v>
      </c>
      <c r="E4828" s="3" t="s">
        <v>2129</v>
      </c>
    </row>
    <row r="4829" spans="1:5">
      <c r="A4829" s="1">
        <v>69031</v>
      </c>
      <c r="B4829" s="1">
        <v>1</v>
      </c>
      <c r="C4829" s="1" t="s">
        <v>4297</v>
      </c>
      <c r="D4829" s="1" t="s">
        <v>2212</v>
      </c>
      <c r="E4829" s="3" t="s">
        <v>2213</v>
      </c>
    </row>
    <row r="4830" spans="1:5">
      <c r="A4830" s="1">
        <v>69032</v>
      </c>
      <c r="B4830" s="1">
        <v>1</v>
      </c>
      <c r="C4830" s="1" t="s">
        <v>4298</v>
      </c>
      <c r="D4830" s="1" t="s">
        <v>2214</v>
      </c>
      <c r="E4830" s="3" t="s">
        <v>2215</v>
      </c>
    </row>
    <row r="4831" spans="1:5">
      <c r="A4831" s="1">
        <v>69033</v>
      </c>
      <c r="B4831" s="1">
        <v>1</v>
      </c>
      <c r="C4831" s="1" t="s">
        <v>4299</v>
      </c>
      <c r="D4831" s="1" t="s">
        <v>2216</v>
      </c>
      <c r="E4831" s="3" t="s">
        <v>2217</v>
      </c>
    </row>
    <row r="4832" spans="1:5">
      <c r="A4832" s="1">
        <v>69034</v>
      </c>
      <c r="B4832" s="1">
        <v>1</v>
      </c>
      <c r="C4832" s="1" t="s">
        <v>4300</v>
      </c>
      <c r="D4832" s="1" t="s">
        <v>998</v>
      </c>
      <c r="E4832" s="3" t="s">
        <v>2218</v>
      </c>
    </row>
    <row r="4833" spans="1:5">
      <c r="A4833" s="1">
        <v>69035</v>
      </c>
      <c r="B4833" s="1">
        <v>1</v>
      </c>
      <c r="C4833" s="1" t="s">
        <v>3812</v>
      </c>
      <c r="D4833" s="1" t="s">
        <v>2219</v>
      </c>
      <c r="E4833" s="3" t="s">
        <v>999</v>
      </c>
    </row>
    <row r="4834" spans="1:5">
      <c r="A4834" s="1">
        <v>69036</v>
      </c>
      <c r="B4834" s="1">
        <v>1</v>
      </c>
      <c r="C4834" s="1" t="s">
        <v>4301</v>
      </c>
      <c r="D4834" s="1" t="s">
        <v>2220</v>
      </c>
      <c r="E4834" s="3" t="s">
        <v>2221</v>
      </c>
    </row>
    <row r="4835" spans="1:5">
      <c r="A4835" s="1">
        <v>69037</v>
      </c>
      <c r="B4835" s="1">
        <v>1</v>
      </c>
      <c r="C4835" s="1" t="s">
        <v>4302</v>
      </c>
      <c r="D4835" s="1" t="s">
        <v>2222</v>
      </c>
      <c r="E4835" s="3" t="s">
        <v>2223</v>
      </c>
    </row>
    <row r="4836" spans="1:5">
      <c r="A4836" s="1">
        <v>69038</v>
      </c>
      <c r="B4836" s="1">
        <v>1</v>
      </c>
      <c r="C4836" s="1" t="s">
        <v>4303</v>
      </c>
      <c r="D4836" s="1" t="s">
        <v>2224</v>
      </c>
      <c r="E4836" s="3" t="s">
        <v>2225</v>
      </c>
    </row>
    <row r="4837" spans="1:5">
      <c r="A4837" s="1">
        <v>69039</v>
      </c>
      <c r="B4837" s="1">
        <v>1</v>
      </c>
      <c r="C4837" s="1" t="s">
        <v>3613</v>
      </c>
      <c r="D4837" s="1" t="s">
        <v>7080</v>
      </c>
      <c r="E4837" s="3" t="s">
        <v>421</v>
      </c>
    </row>
    <row r="4838" spans="1:5">
      <c r="A4838" s="1">
        <v>69040</v>
      </c>
      <c r="B4838" s="1">
        <v>1</v>
      </c>
      <c r="C4838" s="1" t="s">
        <v>3336</v>
      </c>
      <c r="D4838" s="1" t="s">
        <v>7081</v>
      </c>
      <c r="E4838" s="3" t="s">
        <v>2228</v>
      </c>
    </row>
    <row r="4839" spans="1:5">
      <c r="A4839" s="1">
        <v>69041</v>
      </c>
      <c r="B4839" s="1">
        <v>1</v>
      </c>
      <c r="C4839" s="1" t="s">
        <v>4269</v>
      </c>
      <c r="D4839" s="1" t="s">
        <v>7082</v>
      </c>
      <c r="E4839" s="3" t="s">
        <v>2153</v>
      </c>
    </row>
    <row r="4840" spans="1:5">
      <c r="A4840" s="1">
        <v>69042</v>
      </c>
      <c r="B4840" s="1">
        <v>1</v>
      </c>
      <c r="C4840" s="1" t="s">
        <v>4304</v>
      </c>
      <c r="D4840" s="1" t="s">
        <v>7083</v>
      </c>
      <c r="E4840" s="3" t="s">
        <v>2231</v>
      </c>
    </row>
    <row r="4841" spans="1:5">
      <c r="A4841" s="1">
        <v>69043</v>
      </c>
      <c r="B4841" s="1">
        <v>1</v>
      </c>
      <c r="C4841" s="1" t="s">
        <v>4290</v>
      </c>
      <c r="D4841" s="1" t="s">
        <v>7084</v>
      </c>
      <c r="E4841" s="3" t="s">
        <v>2180</v>
      </c>
    </row>
    <row r="4842" spans="1:5">
      <c r="A4842" s="1">
        <v>69044</v>
      </c>
      <c r="B4842" s="1">
        <v>1</v>
      </c>
      <c r="C4842" s="1" t="s">
        <v>4305</v>
      </c>
      <c r="D4842" s="1" t="s">
        <v>7085</v>
      </c>
      <c r="E4842" s="3" t="s">
        <v>2234</v>
      </c>
    </row>
    <row r="4843" spans="1:5">
      <c r="A4843" s="1">
        <v>69045</v>
      </c>
      <c r="B4843" s="1">
        <v>1</v>
      </c>
      <c r="C4843" s="1" t="s">
        <v>4306</v>
      </c>
      <c r="D4843" s="1" t="s">
        <v>7086</v>
      </c>
      <c r="E4843" s="3" t="s">
        <v>2236</v>
      </c>
    </row>
    <row r="4844" spans="1:5">
      <c r="A4844" s="1">
        <v>69046</v>
      </c>
      <c r="B4844" s="1">
        <v>1</v>
      </c>
      <c r="C4844" s="1" t="s">
        <v>4307</v>
      </c>
      <c r="D4844" s="1" t="s">
        <v>891</v>
      </c>
      <c r="E4844" s="3" t="s">
        <v>2237</v>
      </c>
    </row>
    <row r="4845" spans="1:5">
      <c r="A4845" s="1">
        <v>69047</v>
      </c>
      <c r="B4845" s="1">
        <v>1</v>
      </c>
      <c r="C4845" s="1" t="s">
        <v>4308</v>
      </c>
      <c r="D4845" s="1" t="s">
        <v>895</v>
      </c>
      <c r="E4845" s="3" t="s">
        <v>2238</v>
      </c>
    </row>
    <row r="4846" spans="1:5">
      <c r="A4846" s="1">
        <v>69048</v>
      </c>
      <c r="B4846" s="1">
        <v>1</v>
      </c>
      <c r="C4846" s="1" t="s">
        <v>4309</v>
      </c>
      <c r="D4846" s="1" t="s">
        <v>899</v>
      </c>
      <c r="E4846" s="3" t="s">
        <v>2239</v>
      </c>
    </row>
    <row r="4847" spans="1:5">
      <c r="A4847" s="1">
        <v>69049</v>
      </c>
      <c r="B4847" s="1">
        <v>1</v>
      </c>
      <c r="C4847" s="1" t="s">
        <v>4122</v>
      </c>
      <c r="D4847" s="1" t="s">
        <v>901</v>
      </c>
      <c r="E4847" s="3" t="s">
        <v>1735</v>
      </c>
    </row>
    <row r="4848" spans="1:5">
      <c r="A4848" s="1">
        <v>69050</v>
      </c>
      <c r="B4848" s="1">
        <v>1</v>
      </c>
      <c r="C4848" s="1" t="s">
        <v>4141</v>
      </c>
      <c r="D4848" s="1" t="s">
        <v>903</v>
      </c>
      <c r="E4848" s="3" t="s">
        <v>1775</v>
      </c>
    </row>
    <row r="4849" spans="1:5">
      <c r="A4849" s="1">
        <v>69051</v>
      </c>
      <c r="B4849" s="1">
        <v>1</v>
      </c>
      <c r="C4849" s="1" t="s">
        <v>4148</v>
      </c>
      <c r="D4849" s="1" t="s">
        <v>905</v>
      </c>
      <c r="E4849" s="3" t="s">
        <v>1782</v>
      </c>
    </row>
    <row r="4850" spans="1:5">
      <c r="A4850" s="1">
        <v>69052</v>
      </c>
      <c r="B4850" s="1">
        <v>1</v>
      </c>
      <c r="C4850" s="1" t="s">
        <v>3789</v>
      </c>
      <c r="D4850" s="1" t="s">
        <v>909</v>
      </c>
      <c r="E4850" s="3" t="s">
        <v>890</v>
      </c>
    </row>
    <row r="4851" spans="1:5">
      <c r="A4851" s="1">
        <v>69053</v>
      </c>
      <c r="B4851" s="1">
        <v>1</v>
      </c>
      <c r="C4851" s="1" t="s">
        <v>3382</v>
      </c>
      <c r="D4851" s="1" t="s">
        <v>2240</v>
      </c>
      <c r="E4851" s="3" t="s">
        <v>769</v>
      </c>
    </row>
    <row r="4852" spans="1:5">
      <c r="A4852" s="1">
        <v>69054</v>
      </c>
      <c r="B4852" s="1">
        <v>1</v>
      </c>
      <c r="C4852" s="1" t="s">
        <v>4266</v>
      </c>
      <c r="D4852" s="1" t="s">
        <v>2241</v>
      </c>
      <c r="E4852" s="3" t="s">
        <v>2142</v>
      </c>
    </row>
    <row r="4853" spans="1:5">
      <c r="A4853" s="1">
        <v>69055</v>
      </c>
      <c r="B4853" s="1">
        <v>1</v>
      </c>
      <c r="C4853" s="1" t="s">
        <v>3393</v>
      </c>
      <c r="D4853" s="1" t="s">
        <v>2242</v>
      </c>
      <c r="E4853" s="3" t="s">
        <v>1176</v>
      </c>
    </row>
    <row r="4854" spans="1:5">
      <c r="A4854" s="1">
        <v>69056</v>
      </c>
      <c r="B4854" s="1">
        <v>1</v>
      </c>
      <c r="C4854" s="1" t="s">
        <v>4310</v>
      </c>
      <c r="D4854" s="1" t="s">
        <v>2243</v>
      </c>
      <c r="E4854" s="3" t="s">
        <v>2244</v>
      </c>
    </row>
    <row r="4855" spans="1:5">
      <c r="A4855" s="1">
        <v>69057</v>
      </c>
      <c r="B4855" s="1">
        <v>1</v>
      </c>
      <c r="C4855" s="1" t="s">
        <v>4251</v>
      </c>
      <c r="D4855" s="1" t="s">
        <v>2245</v>
      </c>
      <c r="E4855" s="3" t="s">
        <v>2094</v>
      </c>
    </row>
    <row r="4856" spans="1:5">
      <c r="A4856" s="1">
        <v>69058</v>
      </c>
      <c r="B4856" s="1">
        <v>1</v>
      </c>
      <c r="C4856" s="1" t="s">
        <v>4311</v>
      </c>
      <c r="D4856" s="1" t="s">
        <v>2246</v>
      </c>
      <c r="E4856" s="3" t="s">
        <v>2247</v>
      </c>
    </row>
    <row r="4857" spans="1:5">
      <c r="A4857" s="1">
        <v>69059</v>
      </c>
      <c r="B4857" s="1">
        <v>1</v>
      </c>
      <c r="C4857" s="1" t="s">
        <v>4253</v>
      </c>
      <c r="D4857" s="1" t="s">
        <v>2248</v>
      </c>
      <c r="E4857" s="3" t="s">
        <v>2100</v>
      </c>
    </row>
    <row r="4858" spans="1:5">
      <c r="A4858" s="1">
        <v>69060</v>
      </c>
      <c r="B4858" s="1">
        <v>1</v>
      </c>
      <c r="C4858" s="1" t="s">
        <v>4140</v>
      </c>
      <c r="D4858" s="1" t="s">
        <v>2249</v>
      </c>
      <c r="E4858" s="3" t="s">
        <v>1774</v>
      </c>
    </row>
    <row r="4859" spans="1:5">
      <c r="A4859" s="1">
        <v>69061</v>
      </c>
      <c r="B4859" s="1">
        <v>1</v>
      </c>
      <c r="C4859" s="1" t="s">
        <v>4144</v>
      </c>
      <c r="D4859" s="1" t="s">
        <v>2250</v>
      </c>
      <c r="E4859" s="3" t="s">
        <v>1778</v>
      </c>
    </row>
    <row r="4860" spans="1:5">
      <c r="A4860" s="1">
        <v>69062</v>
      </c>
      <c r="B4860" s="1">
        <v>1</v>
      </c>
      <c r="C4860" s="1" t="s">
        <v>3719</v>
      </c>
      <c r="D4860" s="1" t="s">
        <v>2251</v>
      </c>
      <c r="E4860" s="3" t="s">
        <v>633</v>
      </c>
    </row>
    <row r="4861" spans="1:5">
      <c r="A4861" s="1">
        <v>69063</v>
      </c>
      <c r="B4861" s="1">
        <v>1</v>
      </c>
      <c r="C4861" s="1" t="s">
        <v>4151</v>
      </c>
      <c r="D4861" s="1" t="s">
        <v>2252</v>
      </c>
      <c r="E4861" s="3" t="s">
        <v>1785</v>
      </c>
    </row>
    <row r="4862" spans="1:5">
      <c r="A4862" s="1">
        <v>69064</v>
      </c>
      <c r="B4862" s="1">
        <v>1</v>
      </c>
      <c r="C4862" s="1" t="s">
        <v>4154</v>
      </c>
      <c r="D4862" s="1" t="s">
        <v>2253</v>
      </c>
      <c r="E4862" s="3" t="s">
        <v>1788</v>
      </c>
    </row>
    <row r="4863" spans="1:5">
      <c r="A4863" s="1">
        <v>69065</v>
      </c>
      <c r="B4863" s="1">
        <v>1</v>
      </c>
      <c r="C4863" s="1" t="s">
        <v>4158</v>
      </c>
      <c r="D4863" s="1" t="s">
        <v>2254</v>
      </c>
      <c r="E4863" s="3" t="s">
        <v>1792</v>
      </c>
    </row>
    <row r="4864" spans="1:5">
      <c r="A4864" s="1">
        <v>69066</v>
      </c>
      <c r="B4864" s="1">
        <v>1</v>
      </c>
      <c r="C4864" s="1" t="s">
        <v>4312</v>
      </c>
      <c r="D4864" s="1" t="s">
        <v>2255</v>
      </c>
      <c r="E4864" s="3" t="s">
        <v>2256</v>
      </c>
    </row>
    <row r="4865" spans="1:5">
      <c r="A4865" s="1">
        <v>69067</v>
      </c>
      <c r="B4865" s="1">
        <v>1</v>
      </c>
      <c r="C4865" s="1" t="s">
        <v>4313</v>
      </c>
      <c r="D4865" s="1" t="s">
        <v>2257</v>
      </c>
      <c r="E4865" s="3" t="s">
        <v>2258</v>
      </c>
    </row>
    <row r="4866" spans="1:5">
      <c r="A4866" s="1">
        <v>69068</v>
      </c>
      <c r="B4866" s="1">
        <v>1</v>
      </c>
      <c r="C4866" s="1" t="s">
        <v>4314</v>
      </c>
      <c r="D4866" s="1" t="s">
        <v>2259</v>
      </c>
      <c r="E4866" s="3" t="s">
        <v>2260</v>
      </c>
    </row>
    <row r="4867" spans="1:5">
      <c r="A4867" s="1">
        <v>69069</v>
      </c>
      <c r="B4867" s="1">
        <v>1</v>
      </c>
      <c r="C4867" s="1" t="s">
        <v>4315</v>
      </c>
      <c r="D4867" s="1" t="s">
        <v>2261</v>
      </c>
      <c r="E4867" s="3" t="s">
        <v>2262</v>
      </c>
    </row>
    <row r="4868" spans="1:5">
      <c r="A4868" s="1">
        <v>69070</v>
      </c>
      <c r="B4868" s="1">
        <v>1</v>
      </c>
      <c r="C4868" s="1" t="s">
        <v>4316</v>
      </c>
      <c r="D4868" s="1" t="s">
        <v>2263</v>
      </c>
      <c r="E4868" s="3" t="s">
        <v>2264</v>
      </c>
    </row>
    <row r="4869" spans="1:5">
      <c r="A4869" s="1">
        <v>69071</v>
      </c>
      <c r="B4869" s="1">
        <v>1</v>
      </c>
      <c r="C4869" s="1" t="s">
        <v>4250</v>
      </c>
      <c r="D4869" s="1" t="s">
        <v>2265</v>
      </c>
      <c r="E4869" s="3" t="s">
        <v>2092</v>
      </c>
    </row>
    <row r="4870" spans="1:5">
      <c r="A4870" s="1">
        <v>69072</v>
      </c>
      <c r="B4870" s="1">
        <v>1</v>
      </c>
      <c r="C4870" s="1" t="s">
        <v>4257</v>
      </c>
      <c r="D4870" s="1" t="s">
        <v>2266</v>
      </c>
      <c r="E4870" s="3" t="s">
        <v>2113</v>
      </c>
    </row>
    <row r="4871" spans="1:5">
      <c r="A4871" s="1">
        <v>69073</v>
      </c>
      <c r="B4871" s="1">
        <v>1</v>
      </c>
      <c r="C4871" s="1" t="s">
        <v>3355</v>
      </c>
      <c r="D4871" s="1" t="s">
        <v>2267</v>
      </c>
      <c r="E4871" s="3" t="s">
        <v>599</v>
      </c>
    </row>
    <row r="4872" spans="1:5">
      <c r="A4872" s="1">
        <v>69074</v>
      </c>
      <c r="B4872" s="1">
        <v>1</v>
      </c>
      <c r="C4872" s="1" t="s">
        <v>3729</v>
      </c>
      <c r="D4872" s="1" t="s">
        <v>2268</v>
      </c>
      <c r="E4872" s="3" t="s">
        <v>653</v>
      </c>
    </row>
    <row r="4873" spans="1:5">
      <c r="A4873" s="1">
        <v>69075</v>
      </c>
      <c r="B4873" s="1">
        <v>1</v>
      </c>
      <c r="C4873" s="1" t="s">
        <v>3360</v>
      </c>
      <c r="D4873" s="1" t="s">
        <v>2269</v>
      </c>
      <c r="E4873" s="3" t="s">
        <v>604</v>
      </c>
    </row>
    <row r="4874" spans="1:5">
      <c r="A4874" s="1">
        <v>69076</v>
      </c>
      <c r="B4874" s="1">
        <v>1</v>
      </c>
      <c r="C4874" s="1" t="s">
        <v>3760</v>
      </c>
      <c r="D4874" s="1" t="s">
        <v>2270</v>
      </c>
      <c r="E4874" s="3" t="s">
        <v>789</v>
      </c>
    </row>
    <row r="4875" spans="1:5">
      <c r="A4875" s="1">
        <v>69077</v>
      </c>
      <c r="B4875" s="1">
        <v>1</v>
      </c>
      <c r="C4875" s="1" t="s">
        <v>3365</v>
      </c>
      <c r="D4875" s="1" t="s">
        <v>2271</v>
      </c>
      <c r="E4875" s="3" t="s">
        <v>793</v>
      </c>
    </row>
    <row r="4876" spans="1:5">
      <c r="A4876" s="1">
        <v>69078</v>
      </c>
      <c r="B4876" s="1">
        <v>1</v>
      </c>
      <c r="C4876" s="1" t="s">
        <v>3764</v>
      </c>
      <c r="D4876" s="1" t="s">
        <v>2272</v>
      </c>
      <c r="E4876" s="3" t="s">
        <v>801</v>
      </c>
    </row>
    <row r="4877" spans="1:5">
      <c r="A4877" s="1">
        <v>69079</v>
      </c>
      <c r="B4877" s="1">
        <v>1</v>
      </c>
      <c r="C4877" s="1" t="s">
        <v>3768</v>
      </c>
      <c r="D4877" s="1" t="s">
        <v>2273</v>
      </c>
      <c r="E4877" s="3" t="s">
        <v>809</v>
      </c>
    </row>
    <row r="4878" spans="1:5">
      <c r="A4878" s="1">
        <v>69080</v>
      </c>
      <c r="B4878" s="1">
        <v>1</v>
      </c>
      <c r="C4878" s="1" t="s">
        <v>4317</v>
      </c>
      <c r="D4878" s="1" t="s">
        <v>2274</v>
      </c>
      <c r="E4878" s="3" t="s">
        <v>2275</v>
      </c>
    </row>
    <row r="4879" spans="1:5">
      <c r="A4879" s="1">
        <v>69081</v>
      </c>
      <c r="B4879" s="1">
        <v>1</v>
      </c>
      <c r="C4879" s="1" t="s">
        <v>3328</v>
      </c>
      <c r="D4879" s="1" t="s">
        <v>2276</v>
      </c>
      <c r="E4879" s="3" t="s">
        <v>928</v>
      </c>
    </row>
    <row r="4880" spans="1:5">
      <c r="A4880" s="1">
        <v>69082</v>
      </c>
      <c r="B4880" s="1">
        <v>1</v>
      </c>
      <c r="C4880" s="1" t="s">
        <v>4255</v>
      </c>
      <c r="D4880" s="1" t="s">
        <v>2277</v>
      </c>
      <c r="E4880" s="3" t="s">
        <v>2107</v>
      </c>
    </row>
    <row r="4881" spans="1:5">
      <c r="A4881" s="1">
        <v>69083</v>
      </c>
      <c r="B4881" s="1">
        <v>1</v>
      </c>
      <c r="C4881" s="1" t="s">
        <v>3720</v>
      </c>
      <c r="D4881" s="1" t="s">
        <v>2278</v>
      </c>
      <c r="E4881" s="3" t="s">
        <v>635</v>
      </c>
    </row>
    <row r="4882" spans="1:5">
      <c r="A4882" s="1">
        <v>69084</v>
      </c>
      <c r="B4882" s="1">
        <v>1</v>
      </c>
      <c r="C4882" s="1" t="s">
        <v>3727</v>
      </c>
      <c r="D4882" s="1" t="s">
        <v>2279</v>
      </c>
      <c r="E4882" s="3" t="s">
        <v>647</v>
      </c>
    </row>
    <row r="4883" spans="1:5">
      <c r="A4883" s="1">
        <v>69085</v>
      </c>
      <c r="B4883" s="1">
        <v>1</v>
      </c>
      <c r="C4883" s="1" t="s">
        <v>3730</v>
      </c>
      <c r="D4883" s="1" t="s">
        <v>2280</v>
      </c>
      <c r="E4883" s="3" t="s">
        <v>655</v>
      </c>
    </row>
    <row r="4884" spans="1:5">
      <c r="A4884" s="1">
        <v>69086</v>
      </c>
      <c r="B4884" s="1">
        <v>1</v>
      </c>
      <c r="C4884" s="1" t="s">
        <v>3733</v>
      </c>
      <c r="D4884" s="1" t="s">
        <v>2281</v>
      </c>
      <c r="E4884" s="3" t="s">
        <v>662</v>
      </c>
    </row>
    <row r="4885" spans="1:5">
      <c r="A4885" s="1">
        <v>69087</v>
      </c>
      <c r="B4885" s="1">
        <v>1</v>
      </c>
      <c r="C4885" s="1" t="s">
        <v>4318</v>
      </c>
      <c r="D4885" s="1" t="s">
        <v>2282</v>
      </c>
      <c r="E4885" s="3" t="s">
        <v>2283</v>
      </c>
    </row>
    <row r="4886" spans="1:5">
      <c r="A4886" s="1">
        <v>69088</v>
      </c>
      <c r="B4886" s="1">
        <v>1</v>
      </c>
      <c r="C4886" s="1" t="s">
        <v>4319</v>
      </c>
      <c r="D4886" s="1" t="s">
        <v>2284</v>
      </c>
      <c r="E4886" s="3" t="s">
        <v>2285</v>
      </c>
    </row>
    <row r="4887" spans="1:5">
      <c r="A4887" s="1">
        <v>69089</v>
      </c>
      <c r="B4887" s="1">
        <v>1</v>
      </c>
      <c r="C4887" s="1" t="s">
        <v>3375</v>
      </c>
      <c r="D4887" s="1" t="s">
        <v>2286</v>
      </c>
      <c r="E4887" s="3" t="s">
        <v>787</v>
      </c>
    </row>
    <row r="4888" spans="1:5">
      <c r="A4888" s="1">
        <v>69090</v>
      </c>
      <c r="B4888" s="1">
        <v>1</v>
      </c>
      <c r="C4888" s="1" t="s">
        <v>3767</v>
      </c>
      <c r="D4888" s="1" t="s">
        <v>2287</v>
      </c>
      <c r="E4888" s="3" t="s">
        <v>807</v>
      </c>
    </row>
    <row r="4889" spans="1:5">
      <c r="A4889" s="1">
        <v>69091</v>
      </c>
      <c r="B4889" s="1">
        <v>1</v>
      </c>
      <c r="C4889" s="1" t="s">
        <v>3382</v>
      </c>
      <c r="D4889" s="1" t="s">
        <v>2288</v>
      </c>
      <c r="E4889" s="3" t="s">
        <v>769</v>
      </c>
    </row>
    <row r="4890" spans="1:5">
      <c r="A4890" s="1">
        <v>69092</v>
      </c>
      <c r="B4890" s="1">
        <v>1</v>
      </c>
      <c r="C4890" s="1" t="s">
        <v>3775</v>
      </c>
      <c r="D4890" s="1" t="s">
        <v>2289</v>
      </c>
      <c r="E4890" s="3" t="s">
        <v>841</v>
      </c>
    </row>
    <row r="4891" spans="1:5">
      <c r="A4891" s="1">
        <v>69093</v>
      </c>
      <c r="B4891" s="1">
        <v>1</v>
      </c>
      <c r="C4891" s="1" t="s">
        <v>4320</v>
      </c>
      <c r="D4891" s="1" t="s">
        <v>2290</v>
      </c>
      <c r="E4891" s="3" t="s">
        <v>2291</v>
      </c>
    </row>
    <row r="4892" spans="1:5">
      <c r="A4892" s="1">
        <v>69094</v>
      </c>
      <c r="B4892" s="1">
        <v>1</v>
      </c>
      <c r="C4892" s="1" t="s">
        <v>4321</v>
      </c>
      <c r="D4892" s="1" t="s">
        <v>2292</v>
      </c>
      <c r="E4892" s="3" t="s">
        <v>2293</v>
      </c>
    </row>
    <row r="4893" spans="1:5">
      <c r="A4893" s="1">
        <v>69095</v>
      </c>
      <c r="B4893" s="1">
        <v>1</v>
      </c>
      <c r="C4893" s="1" t="s">
        <v>4322</v>
      </c>
      <c r="D4893" s="1" t="s">
        <v>2294</v>
      </c>
      <c r="E4893" s="3" t="s">
        <v>2295</v>
      </c>
    </row>
    <row r="4894" spans="1:5">
      <c r="A4894" s="1">
        <v>69096</v>
      </c>
      <c r="B4894" s="1">
        <v>1</v>
      </c>
      <c r="C4894" s="1" t="s">
        <v>3703</v>
      </c>
      <c r="D4894" s="1" t="s">
        <v>4941</v>
      </c>
      <c r="E4894" s="3" t="s">
        <v>594</v>
      </c>
    </row>
    <row r="4895" spans="1:5">
      <c r="A4895" s="1">
        <v>69097</v>
      </c>
      <c r="B4895" s="1">
        <v>1</v>
      </c>
      <c r="C4895" s="1" t="s">
        <v>3844</v>
      </c>
      <c r="D4895" s="1" t="s">
        <v>7087</v>
      </c>
      <c r="E4895" s="3" t="s">
        <v>1141</v>
      </c>
    </row>
    <row r="4896" spans="1:5">
      <c r="A4896" s="1">
        <v>69098</v>
      </c>
      <c r="B4896" s="1">
        <v>1</v>
      </c>
      <c r="C4896" s="1" t="s">
        <v>4323</v>
      </c>
      <c r="D4896" s="1" t="s">
        <v>7088</v>
      </c>
      <c r="E4896" s="3" t="s">
        <v>2298</v>
      </c>
    </row>
    <row r="4897" spans="1:5">
      <c r="A4897" s="1">
        <v>69099</v>
      </c>
      <c r="B4897" s="1">
        <v>1</v>
      </c>
      <c r="C4897" s="1" t="s">
        <v>3845</v>
      </c>
      <c r="D4897" s="1" t="s">
        <v>7089</v>
      </c>
      <c r="E4897" s="3" t="s">
        <v>1142</v>
      </c>
    </row>
    <row r="4898" spans="1:5">
      <c r="A4898" s="1">
        <v>69100</v>
      </c>
      <c r="B4898" s="1">
        <v>1</v>
      </c>
      <c r="C4898" s="1" t="s">
        <v>4324</v>
      </c>
      <c r="D4898" s="1" t="s">
        <v>7090</v>
      </c>
      <c r="E4898" s="3" t="s">
        <v>2301</v>
      </c>
    </row>
    <row r="4899" spans="1:5">
      <c r="A4899" s="1">
        <v>69101</v>
      </c>
      <c r="B4899" s="1">
        <v>1</v>
      </c>
      <c r="C4899" s="1" t="s">
        <v>4325</v>
      </c>
      <c r="D4899" s="1" t="s">
        <v>7091</v>
      </c>
      <c r="E4899" s="3" t="s">
        <v>2303</v>
      </c>
    </row>
    <row r="4900" spans="1:5">
      <c r="A4900" s="1">
        <v>69102</v>
      </c>
      <c r="B4900" s="1">
        <v>1</v>
      </c>
      <c r="C4900" s="1" t="s">
        <v>4326</v>
      </c>
      <c r="D4900" s="1" t="s">
        <v>7092</v>
      </c>
      <c r="E4900" s="3" t="s">
        <v>2305</v>
      </c>
    </row>
    <row r="4901" spans="1:5">
      <c r="A4901" s="1">
        <v>69103</v>
      </c>
      <c r="B4901" s="1">
        <v>1</v>
      </c>
      <c r="C4901" s="1" t="s">
        <v>4327</v>
      </c>
      <c r="D4901" s="1" t="s">
        <v>7093</v>
      </c>
      <c r="E4901" s="3" t="s">
        <v>2307</v>
      </c>
    </row>
    <row r="4902" spans="1:5">
      <c r="A4902" s="1">
        <v>69104</v>
      </c>
      <c r="B4902" s="1">
        <v>1</v>
      </c>
      <c r="C4902" s="1" t="s">
        <v>3702</v>
      </c>
      <c r="D4902" s="1" t="s">
        <v>2308</v>
      </c>
      <c r="E4902" s="3" t="s">
        <v>935</v>
      </c>
    </row>
    <row r="4903" spans="1:5">
      <c r="A4903" s="1">
        <v>69105</v>
      </c>
      <c r="B4903" s="1">
        <v>1</v>
      </c>
      <c r="C4903" s="1" t="s">
        <v>3758</v>
      </c>
      <c r="D4903" s="1" t="s">
        <v>2309</v>
      </c>
      <c r="E4903" s="3" t="s">
        <v>762</v>
      </c>
    </row>
    <row r="4904" spans="1:5">
      <c r="A4904" s="1">
        <v>69106</v>
      </c>
      <c r="B4904" s="1">
        <v>1</v>
      </c>
      <c r="C4904" s="1" t="s">
        <v>4254</v>
      </c>
      <c r="D4904" s="1" t="s">
        <v>2310</v>
      </c>
      <c r="E4904" s="3" t="s">
        <v>2104</v>
      </c>
    </row>
    <row r="4905" spans="1:5">
      <c r="A4905" s="1">
        <v>69107</v>
      </c>
      <c r="B4905" s="1">
        <v>1</v>
      </c>
      <c r="C4905" s="1" t="s">
        <v>3348</v>
      </c>
      <c r="D4905" s="1" t="s">
        <v>2311</v>
      </c>
      <c r="E4905" s="3" t="s">
        <v>949</v>
      </c>
    </row>
    <row r="4906" spans="1:5">
      <c r="A4906" s="1">
        <v>69108</v>
      </c>
      <c r="B4906" s="1">
        <v>1</v>
      </c>
      <c r="C4906" s="1" t="s">
        <v>4288</v>
      </c>
      <c r="D4906" s="1" t="s">
        <v>2312</v>
      </c>
      <c r="E4906" s="3" t="s">
        <v>2177</v>
      </c>
    </row>
    <row r="4907" spans="1:5">
      <c r="A4907" s="1">
        <v>69109</v>
      </c>
      <c r="B4907" s="1">
        <v>1</v>
      </c>
      <c r="C4907" s="1" t="s">
        <v>4263</v>
      </c>
      <c r="D4907" s="1" t="s">
        <v>2313</v>
      </c>
      <c r="E4907" s="3" t="s">
        <v>2131</v>
      </c>
    </row>
    <row r="4908" spans="1:5">
      <c r="A4908" s="1">
        <v>69110</v>
      </c>
      <c r="B4908" s="1">
        <v>1</v>
      </c>
      <c r="C4908" s="1" t="s">
        <v>3809</v>
      </c>
      <c r="D4908" s="1" t="s">
        <v>2314</v>
      </c>
      <c r="E4908" s="3" t="s">
        <v>944</v>
      </c>
    </row>
    <row r="4909" spans="1:5">
      <c r="A4909" s="1">
        <v>69111</v>
      </c>
      <c r="B4909" s="1">
        <v>1</v>
      </c>
      <c r="C4909" s="1" t="s">
        <v>4328</v>
      </c>
      <c r="D4909" s="1" t="s">
        <v>2315</v>
      </c>
      <c r="E4909" s="3" t="s">
        <v>2316</v>
      </c>
    </row>
    <row r="4910" spans="1:5">
      <c r="A4910" s="1">
        <v>69112</v>
      </c>
      <c r="B4910" s="1">
        <v>1</v>
      </c>
      <c r="C4910" s="1" t="s">
        <v>3382</v>
      </c>
      <c r="D4910" s="1" t="s">
        <v>2317</v>
      </c>
      <c r="E4910" s="3" t="s">
        <v>769</v>
      </c>
    </row>
    <row r="4911" spans="1:5">
      <c r="A4911" s="1">
        <v>69113</v>
      </c>
      <c r="B4911" s="1">
        <v>1</v>
      </c>
      <c r="C4911" s="1" t="s">
        <v>3382</v>
      </c>
      <c r="D4911" s="1" t="s">
        <v>2317</v>
      </c>
      <c r="E4911" s="3" t="s">
        <v>769</v>
      </c>
    </row>
    <row r="4912" spans="1:5">
      <c r="A4912" s="1">
        <v>69114</v>
      </c>
      <c r="B4912" s="1">
        <v>1</v>
      </c>
      <c r="C4912" s="1" t="s">
        <v>4266</v>
      </c>
      <c r="D4912" s="1" t="s">
        <v>2317</v>
      </c>
      <c r="E4912" s="3" t="s">
        <v>2142</v>
      </c>
    </row>
    <row r="4913" spans="1:5">
      <c r="A4913" s="1">
        <v>69115</v>
      </c>
      <c r="B4913" s="1">
        <v>1</v>
      </c>
      <c r="C4913" s="1" t="s">
        <v>4266</v>
      </c>
      <c r="D4913" s="1" t="s">
        <v>2317</v>
      </c>
      <c r="E4913" s="3" t="s">
        <v>2142</v>
      </c>
    </row>
    <row r="4914" spans="1:5">
      <c r="A4914" s="1">
        <v>69116</v>
      </c>
      <c r="B4914" s="1">
        <v>1</v>
      </c>
      <c r="C4914" s="1" t="s">
        <v>3393</v>
      </c>
      <c r="D4914" s="1" t="s">
        <v>2317</v>
      </c>
      <c r="E4914" s="3" t="s">
        <v>1176</v>
      </c>
    </row>
    <row r="4915" spans="1:5">
      <c r="A4915" s="1">
        <v>69117</v>
      </c>
      <c r="B4915" s="1">
        <v>1</v>
      </c>
      <c r="C4915" s="1" t="s">
        <v>3393</v>
      </c>
      <c r="D4915" s="1" t="s">
        <v>2317</v>
      </c>
      <c r="E4915" s="3" t="s">
        <v>1176</v>
      </c>
    </row>
    <row r="4916" spans="1:5">
      <c r="A4916" s="1">
        <v>69118</v>
      </c>
      <c r="B4916" s="1">
        <v>1</v>
      </c>
      <c r="C4916" s="1" t="s">
        <v>4251</v>
      </c>
      <c r="D4916" s="1" t="s">
        <v>2317</v>
      </c>
      <c r="E4916" s="3" t="s">
        <v>2094</v>
      </c>
    </row>
    <row r="4917" spans="1:5">
      <c r="A4917" s="1">
        <v>69119</v>
      </c>
      <c r="B4917" s="1">
        <v>1</v>
      </c>
      <c r="C4917" s="1" t="s">
        <v>3699</v>
      </c>
      <c r="D4917" s="1" t="s">
        <v>2317</v>
      </c>
      <c r="E4917" s="3" t="s">
        <v>628</v>
      </c>
    </row>
    <row r="4918" spans="1:5">
      <c r="A4918" s="1">
        <v>69120</v>
      </c>
      <c r="B4918" s="1">
        <v>1</v>
      </c>
      <c r="C4918" s="1" t="s">
        <v>3699</v>
      </c>
      <c r="D4918" s="1" t="s">
        <v>2318</v>
      </c>
      <c r="E4918" s="3" t="s">
        <v>628</v>
      </c>
    </row>
    <row r="4919" spans="1:5">
      <c r="A4919" s="1">
        <v>69121</v>
      </c>
      <c r="B4919" s="1">
        <v>1</v>
      </c>
      <c r="C4919" s="1" t="s">
        <v>3354</v>
      </c>
      <c r="D4919" s="1" t="s">
        <v>2317</v>
      </c>
      <c r="E4919" s="3" t="s">
        <v>782</v>
      </c>
    </row>
    <row r="4920" spans="1:5">
      <c r="A4920" s="1">
        <v>69122</v>
      </c>
      <c r="B4920" s="1">
        <v>1</v>
      </c>
      <c r="C4920" s="1" t="s">
        <v>4249</v>
      </c>
      <c r="D4920" s="1" t="s">
        <v>2318</v>
      </c>
      <c r="E4920" s="3" t="s">
        <v>2090</v>
      </c>
    </row>
    <row r="4921" spans="1:5">
      <c r="A4921" s="1">
        <v>69123</v>
      </c>
      <c r="B4921" s="1">
        <v>1</v>
      </c>
      <c r="C4921" s="1" t="s">
        <v>3812</v>
      </c>
      <c r="D4921" s="1" t="s">
        <v>2317</v>
      </c>
      <c r="E4921" s="3" t="s">
        <v>999</v>
      </c>
    </row>
    <row r="4922" spans="1:5">
      <c r="A4922" s="1">
        <v>69124</v>
      </c>
      <c r="B4922" s="1">
        <v>1</v>
      </c>
      <c r="C4922" s="1" t="s">
        <v>3703</v>
      </c>
      <c r="D4922" s="1" t="s">
        <v>2318</v>
      </c>
      <c r="E4922" s="3" t="s">
        <v>594</v>
      </c>
    </row>
    <row r="4923" spans="1:5">
      <c r="A4923" s="1">
        <v>69125</v>
      </c>
      <c r="B4923" s="1">
        <v>1</v>
      </c>
      <c r="C4923" s="1" t="s">
        <v>3335</v>
      </c>
      <c r="D4923" s="1" t="s">
        <v>2317</v>
      </c>
      <c r="E4923" s="3" t="s">
        <v>930</v>
      </c>
    </row>
    <row r="4924" spans="1:5">
      <c r="A4924" s="1">
        <v>69126</v>
      </c>
      <c r="B4924" s="1">
        <v>1</v>
      </c>
      <c r="C4924" s="1" t="s">
        <v>4255</v>
      </c>
      <c r="D4924" s="1" t="s">
        <v>2318</v>
      </c>
      <c r="E4924" s="3" t="s">
        <v>2107</v>
      </c>
    </row>
    <row r="4925" spans="1:5">
      <c r="A4925" s="1">
        <v>69127</v>
      </c>
      <c r="B4925" s="1">
        <v>1</v>
      </c>
      <c r="C4925" s="1" t="s">
        <v>3355</v>
      </c>
      <c r="D4925" s="1" t="s">
        <v>2317</v>
      </c>
      <c r="E4925" s="3" t="s">
        <v>599</v>
      </c>
    </row>
    <row r="4926" spans="1:5">
      <c r="A4926" s="1">
        <v>69128</v>
      </c>
      <c r="B4926" s="1">
        <v>1</v>
      </c>
      <c r="C4926" s="1" t="s">
        <v>4252</v>
      </c>
      <c r="D4926" s="1" t="s">
        <v>2318</v>
      </c>
      <c r="E4926" s="3" t="s">
        <v>2098</v>
      </c>
    </row>
    <row r="4927" spans="1:5">
      <c r="A4927" s="1">
        <v>69129</v>
      </c>
      <c r="B4927" s="1">
        <v>1</v>
      </c>
      <c r="C4927" s="1" t="s">
        <v>3729</v>
      </c>
      <c r="D4927" s="1" t="s">
        <v>2317</v>
      </c>
      <c r="E4927" s="3" t="s">
        <v>653</v>
      </c>
    </row>
    <row r="4928" spans="1:5">
      <c r="A4928" s="1">
        <v>69130</v>
      </c>
      <c r="B4928" s="1">
        <v>1</v>
      </c>
      <c r="C4928" s="1" t="s">
        <v>4308</v>
      </c>
      <c r="D4928" s="1" t="s">
        <v>2318</v>
      </c>
      <c r="E4928" s="3" t="s">
        <v>2238</v>
      </c>
    </row>
    <row r="4929" spans="1:5">
      <c r="A4929" s="1">
        <v>69131</v>
      </c>
      <c r="B4929" s="1">
        <v>1</v>
      </c>
      <c r="C4929" s="1" t="s">
        <v>3360</v>
      </c>
      <c r="D4929" s="1" t="s">
        <v>2317</v>
      </c>
      <c r="E4929" s="3" t="s">
        <v>604</v>
      </c>
    </row>
    <row r="4930" spans="1:5">
      <c r="A4930" s="1">
        <v>69132</v>
      </c>
      <c r="B4930" s="1">
        <v>1</v>
      </c>
      <c r="C4930" s="1" t="s">
        <v>3758</v>
      </c>
      <c r="D4930" s="1" t="s">
        <v>2318</v>
      </c>
      <c r="E4930" s="3" t="s">
        <v>762</v>
      </c>
    </row>
    <row r="4931" spans="1:5">
      <c r="A4931" s="1">
        <v>69201</v>
      </c>
      <c r="B4931" s="1">
        <v>1</v>
      </c>
      <c r="C4931" s="1" t="s">
        <v>4329</v>
      </c>
      <c r="D4931" s="1" t="s">
        <v>2319</v>
      </c>
      <c r="E4931" s="3" t="s">
        <v>2320</v>
      </c>
    </row>
    <row r="4932" spans="1:5">
      <c r="A4932" s="1">
        <v>69202</v>
      </c>
      <c r="B4932" s="1">
        <v>1</v>
      </c>
      <c r="C4932" s="1" t="s">
        <v>4330</v>
      </c>
      <c r="D4932" s="1" t="s">
        <v>2319</v>
      </c>
      <c r="E4932" s="3" t="s">
        <v>2321</v>
      </c>
    </row>
    <row r="4933" spans="1:5">
      <c r="A4933" s="1">
        <v>69203</v>
      </c>
      <c r="B4933" s="1">
        <v>1</v>
      </c>
      <c r="C4933" s="1" t="s">
        <v>4330</v>
      </c>
      <c r="D4933" s="1" t="s">
        <v>2319</v>
      </c>
      <c r="E4933" s="3" t="s">
        <v>2321</v>
      </c>
    </row>
    <row r="4934" spans="1:5">
      <c r="A4934" s="1">
        <v>69204</v>
      </c>
      <c r="B4934" s="1">
        <v>1</v>
      </c>
      <c r="C4934" s="1" t="s">
        <v>4331</v>
      </c>
      <c r="D4934" s="1" t="s">
        <v>2319</v>
      </c>
      <c r="E4934" s="3" t="s">
        <v>2322</v>
      </c>
    </row>
    <row r="4935" spans="1:5">
      <c r="A4935" s="1">
        <v>69205</v>
      </c>
      <c r="B4935" s="1">
        <v>1</v>
      </c>
      <c r="C4935" s="1" t="s">
        <v>4332</v>
      </c>
      <c r="D4935" s="1" t="s">
        <v>2319</v>
      </c>
      <c r="E4935" s="3" t="s">
        <v>2323</v>
      </c>
    </row>
    <row r="4936" spans="1:5">
      <c r="A4936" s="1">
        <v>69206</v>
      </c>
      <c r="B4936" s="1">
        <v>1</v>
      </c>
      <c r="C4936" s="1" t="s">
        <v>4332</v>
      </c>
      <c r="D4936" s="1" t="s">
        <v>2319</v>
      </c>
      <c r="E4936" s="3" t="s">
        <v>2323</v>
      </c>
    </row>
    <row r="4937" spans="1:5">
      <c r="A4937" s="1">
        <v>69207</v>
      </c>
      <c r="B4937" s="1">
        <v>1</v>
      </c>
      <c r="C4937" s="1" t="s">
        <v>4333</v>
      </c>
      <c r="D4937" s="1" t="s">
        <v>2319</v>
      </c>
      <c r="E4937" s="3" t="s">
        <v>2324</v>
      </c>
    </row>
    <row r="4938" spans="1:5">
      <c r="A4938" s="92">
        <v>69211</v>
      </c>
      <c r="B4938" s="92">
        <v>1</v>
      </c>
      <c r="C4938" s="92" t="s">
        <v>3384</v>
      </c>
      <c r="D4938" s="92" t="s">
        <v>2325</v>
      </c>
      <c r="E4938" s="94" t="s">
        <v>838</v>
      </c>
    </row>
    <row r="4939" spans="1:5">
      <c r="A4939" s="92">
        <v>69212</v>
      </c>
      <c r="B4939" s="92">
        <v>1</v>
      </c>
      <c r="C4939" s="92" t="s">
        <v>4334</v>
      </c>
      <c r="D4939" s="92" t="s">
        <v>2326</v>
      </c>
      <c r="E4939" s="94" t="s">
        <v>2327</v>
      </c>
    </row>
    <row r="4940" spans="1:5">
      <c r="A4940" s="92">
        <v>69213</v>
      </c>
      <c r="B4940" s="92">
        <v>1</v>
      </c>
      <c r="C4940" s="92" t="s">
        <v>3386</v>
      </c>
      <c r="D4940" s="92" t="s">
        <v>2328</v>
      </c>
      <c r="E4940" s="94" t="s">
        <v>2329</v>
      </c>
    </row>
    <row r="4941" spans="1:5">
      <c r="A4941" s="92">
        <v>69214</v>
      </c>
      <c r="B4941" s="92">
        <v>1</v>
      </c>
      <c r="C4941" s="92" t="s">
        <v>3388</v>
      </c>
      <c r="D4941" s="92" t="s">
        <v>2330</v>
      </c>
      <c r="E4941" s="94" t="s">
        <v>2331</v>
      </c>
    </row>
    <row r="4942" spans="1:5">
      <c r="A4942" s="92">
        <v>69215</v>
      </c>
      <c r="B4942" s="92">
        <v>1</v>
      </c>
      <c r="C4942" s="92" t="s">
        <v>4262</v>
      </c>
      <c r="D4942" s="92" t="s">
        <v>2332</v>
      </c>
      <c r="E4942" s="94" t="s">
        <v>2129</v>
      </c>
    </row>
    <row r="4943" spans="1:5">
      <c r="A4943" s="92">
        <v>69216</v>
      </c>
      <c r="B4943" s="92">
        <v>1</v>
      </c>
      <c r="C4943" s="92" t="s">
        <v>3789</v>
      </c>
      <c r="D4943" s="92" t="s">
        <v>2333</v>
      </c>
      <c r="E4943" s="94" t="s">
        <v>890</v>
      </c>
    </row>
    <row r="4944" spans="1:5">
      <c r="A4944" s="92">
        <v>69217</v>
      </c>
      <c r="B4944" s="92">
        <v>1</v>
      </c>
      <c r="C4944" s="92" t="s">
        <v>4328</v>
      </c>
      <c r="D4944" s="92" t="s">
        <v>2290</v>
      </c>
      <c r="E4944" s="94" t="s">
        <v>2316</v>
      </c>
    </row>
    <row r="4945" spans="1:5">
      <c r="A4945" s="40">
        <v>70001</v>
      </c>
      <c r="B4945" s="40">
        <v>0</v>
      </c>
      <c r="C4945" s="40" t="s">
        <v>11449</v>
      </c>
      <c r="D4945" s="40" t="s">
        <v>7114</v>
      </c>
      <c r="E4945" s="42" t="s">
        <v>11460</v>
      </c>
    </row>
    <row r="4946" spans="1:5">
      <c r="A4946" s="40">
        <v>70002</v>
      </c>
      <c r="B4946" s="40">
        <v>0</v>
      </c>
      <c r="C4946" s="40" t="s">
        <v>11449</v>
      </c>
      <c r="D4946" s="40" t="s">
        <v>7114</v>
      </c>
      <c r="E4946" s="42" t="s">
        <v>11460</v>
      </c>
    </row>
    <row r="4947" spans="1:5">
      <c r="A4947" s="40">
        <v>70003</v>
      </c>
      <c r="B4947" s="40">
        <v>0</v>
      </c>
      <c r="C4947" s="40" t="s">
        <v>11449</v>
      </c>
      <c r="D4947" s="40" t="s">
        <v>7114</v>
      </c>
      <c r="E4947" s="42" t="s">
        <v>11460</v>
      </c>
    </row>
    <row r="4948" spans="1:5">
      <c r="A4948" s="1">
        <v>70004</v>
      </c>
      <c r="B4948" s="1">
        <v>0</v>
      </c>
      <c r="C4948" s="1" t="s">
        <v>11450</v>
      </c>
      <c r="D4948" s="1" t="s">
        <v>7115</v>
      </c>
      <c r="E4948" s="3" t="s">
        <v>11461</v>
      </c>
    </row>
    <row r="4949" spans="1:5">
      <c r="A4949" s="1">
        <v>70005</v>
      </c>
      <c r="B4949" s="1">
        <v>0</v>
      </c>
      <c r="C4949" s="1" t="s">
        <v>11450</v>
      </c>
      <c r="D4949" s="1" t="s">
        <v>7115</v>
      </c>
      <c r="E4949" s="3" t="s">
        <v>11461</v>
      </c>
    </row>
    <row r="4950" spans="1:5">
      <c r="A4950" s="1">
        <v>70006</v>
      </c>
      <c r="B4950" s="1">
        <v>0</v>
      </c>
      <c r="C4950" s="1" t="s">
        <v>11450</v>
      </c>
      <c r="D4950" s="1" t="s">
        <v>7115</v>
      </c>
      <c r="E4950" s="3" t="s">
        <v>11461</v>
      </c>
    </row>
    <row r="4951" spans="1:5">
      <c r="A4951" s="40">
        <v>70007</v>
      </c>
      <c r="B4951" s="40">
        <v>0</v>
      </c>
      <c r="C4951" s="40" t="s">
        <v>11451</v>
      </c>
      <c r="D4951" s="40" t="s">
        <v>12109</v>
      </c>
      <c r="E4951" s="42" t="s">
        <v>11462</v>
      </c>
    </row>
    <row r="4952" spans="1:5">
      <c r="A4952" s="40">
        <v>70008</v>
      </c>
      <c r="B4952" s="40">
        <v>0</v>
      </c>
      <c r="C4952" s="40" t="s">
        <v>11451</v>
      </c>
      <c r="D4952" s="40" t="s">
        <v>12109</v>
      </c>
      <c r="E4952" s="42" t="s">
        <v>11462</v>
      </c>
    </row>
    <row r="4953" spans="1:5">
      <c r="A4953" s="40">
        <v>70009</v>
      </c>
      <c r="B4953" s="40">
        <v>0</v>
      </c>
      <c r="C4953" s="40" t="s">
        <v>11451</v>
      </c>
      <c r="D4953" s="40" t="s">
        <v>12109</v>
      </c>
      <c r="E4953" s="42" t="s">
        <v>11462</v>
      </c>
    </row>
    <row r="4954" spans="1:5">
      <c r="A4954" s="1">
        <v>70010</v>
      </c>
      <c r="B4954" s="1">
        <v>0</v>
      </c>
      <c r="C4954" s="1" t="s">
        <v>11452</v>
      </c>
      <c r="D4954" s="1" t="s">
        <v>12110</v>
      </c>
      <c r="E4954" s="3" t="s">
        <v>11463</v>
      </c>
    </row>
    <row r="4955" spans="1:5">
      <c r="A4955" s="1">
        <v>70011</v>
      </c>
      <c r="B4955" s="1">
        <v>0</v>
      </c>
      <c r="C4955" s="1" t="s">
        <v>11452</v>
      </c>
      <c r="D4955" s="1" t="s">
        <v>12110</v>
      </c>
      <c r="E4955" s="3" t="s">
        <v>11463</v>
      </c>
    </row>
    <row r="4956" spans="1:5">
      <c r="A4956" s="1">
        <v>70012</v>
      </c>
      <c r="B4956" s="1">
        <v>0</v>
      </c>
      <c r="C4956" s="1" t="s">
        <v>11452</v>
      </c>
      <c r="D4956" s="1" t="s">
        <v>12110</v>
      </c>
      <c r="E4956" s="3" t="s">
        <v>11463</v>
      </c>
    </row>
    <row r="4957" spans="1:5">
      <c r="A4957" s="40">
        <v>70013</v>
      </c>
      <c r="B4957" s="40">
        <v>0</v>
      </c>
      <c r="C4957" s="40" t="s">
        <v>11453</v>
      </c>
      <c r="D4957" s="40" t="s">
        <v>12111</v>
      </c>
      <c r="E4957" s="42" t="s">
        <v>11464</v>
      </c>
    </row>
    <row r="4958" spans="1:5">
      <c r="A4958" s="40">
        <v>70014</v>
      </c>
      <c r="B4958" s="40">
        <v>0</v>
      </c>
      <c r="C4958" s="40" t="s">
        <v>11453</v>
      </c>
      <c r="D4958" s="40" t="s">
        <v>12111</v>
      </c>
      <c r="E4958" s="42" t="s">
        <v>11464</v>
      </c>
    </row>
    <row r="4959" spans="1:5">
      <c r="A4959" s="40">
        <v>70015</v>
      </c>
      <c r="B4959" s="40">
        <v>0</v>
      </c>
      <c r="C4959" s="40" t="s">
        <v>11453</v>
      </c>
      <c r="D4959" s="40" t="s">
        <v>12111</v>
      </c>
      <c r="E4959" s="42" t="s">
        <v>11464</v>
      </c>
    </row>
    <row r="4960" spans="1:5">
      <c r="A4960" s="1">
        <v>70016</v>
      </c>
      <c r="B4960" s="1">
        <v>0</v>
      </c>
      <c r="C4960" s="1" t="s">
        <v>11454</v>
      </c>
      <c r="D4960" s="1" t="s">
        <v>12112</v>
      </c>
      <c r="E4960" s="3" t="s">
        <v>11465</v>
      </c>
    </row>
    <row r="4961" spans="1:5">
      <c r="A4961" s="1">
        <v>70017</v>
      </c>
      <c r="B4961" s="1">
        <v>0</v>
      </c>
      <c r="C4961" s="1" t="s">
        <v>11454</v>
      </c>
      <c r="D4961" s="1" t="s">
        <v>12112</v>
      </c>
      <c r="E4961" s="3" t="s">
        <v>11465</v>
      </c>
    </row>
    <row r="4962" spans="1:5">
      <c r="A4962" s="1">
        <v>70018</v>
      </c>
      <c r="B4962" s="1">
        <v>0</v>
      </c>
      <c r="C4962" s="1" t="s">
        <v>11454</v>
      </c>
      <c r="D4962" s="1" t="s">
        <v>12112</v>
      </c>
      <c r="E4962" s="3" t="s">
        <v>11465</v>
      </c>
    </row>
    <row r="4963" spans="1:5">
      <c r="A4963" s="40">
        <v>70019</v>
      </c>
      <c r="B4963" s="40">
        <v>0</v>
      </c>
      <c r="C4963" s="40" t="s">
        <v>11455</v>
      </c>
      <c r="D4963" s="40" t="s">
        <v>12113</v>
      </c>
      <c r="E4963" s="42" t="s">
        <v>11466</v>
      </c>
    </row>
    <row r="4964" spans="1:5">
      <c r="A4964" s="40">
        <v>70020</v>
      </c>
      <c r="B4964" s="40">
        <v>0</v>
      </c>
      <c r="C4964" s="40" t="s">
        <v>11455</v>
      </c>
      <c r="D4964" s="40" t="s">
        <v>12113</v>
      </c>
      <c r="E4964" s="42" t="s">
        <v>11466</v>
      </c>
    </row>
    <row r="4965" spans="1:5">
      <c r="A4965" s="40">
        <v>70021</v>
      </c>
      <c r="B4965" s="40">
        <v>0</v>
      </c>
      <c r="C4965" s="40" t="s">
        <v>11455</v>
      </c>
      <c r="D4965" s="40" t="s">
        <v>12113</v>
      </c>
      <c r="E4965" s="42" t="s">
        <v>11466</v>
      </c>
    </row>
    <row r="4966" spans="1:5">
      <c r="A4966" s="1">
        <v>70022</v>
      </c>
      <c r="B4966" s="1">
        <v>0</v>
      </c>
      <c r="C4966" s="1" t="s">
        <v>11456</v>
      </c>
      <c r="D4966" s="1" t="s">
        <v>12114</v>
      </c>
      <c r="E4966" s="3" t="s">
        <v>11467</v>
      </c>
    </row>
    <row r="4967" spans="1:5">
      <c r="A4967" s="1">
        <v>70023</v>
      </c>
      <c r="B4967" s="1">
        <v>0</v>
      </c>
      <c r="C4967" s="1" t="s">
        <v>11456</v>
      </c>
      <c r="D4967" s="1" t="s">
        <v>12114</v>
      </c>
      <c r="E4967" s="3" t="s">
        <v>11467</v>
      </c>
    </row>
    <row r="4968" spans="1:5">
      <c r="A4968" s="1">
        <v>70024</v>
      </c>
      <c r="B4968" s="1">
        <v>0</v>
      </c>
      <c r="C4968" s="1" t="s">
        <v>11456</v>
      </c>
      <c r="D4968" s="1" t="s">
        <v>12114</v>
      </c>
      <c r="E4968" s="3" t="s">
        <v>11467</v>
      </c>
    </row>
    <row r="4969" spans="1:5">
      <c r="A4969" s="40">
        <v>70025</v>
      </c>
      <c r="B4969" s="40">
        <v>0</v>
      </c>
      <c r="C4969" s="40" t="s">
        <v>11457</v>
      </c>
      <c r="D4969" s="40" t="s">
        <v>12115</v>
      </c>
      <c r="E4969" s="42" t="s">
        <v>11468</v>
      </c>
    </row>
    <row r="4970" spans="1:5">
      <c r="A4970" s="40">
        <v>70026</v>
      </c>
      <c r="B4970" s="40">
        <v>0</v>
      </c>
      <c r="C4970" s="40" t="s">
        <v>11457</v>
      </c>
      <c r="D4970" s="40" t="s">
        <v>12115</v>
      </c>
      <c r="E4970" s="42" t="s">
        <v>11468</v>
      </c>
    </row>
    <row r="4971" spans="1:5">
      <c r="A4971" s="40">
        <v>70027</v>
      </c>
      <c r="B4971" s="40">
        <v>0</v>
      </c>
      <c r="C4971" s="40" t="s">
        <v>11457</v>
      </c>
      <c r="D4971" s="40" t="s">
        <v>12115</v>
      </c>
      <c r="E4971" s="42" t="s">
        <v>11468</v>
      </c>
    </row>
    <row r="4972" spans="1:5">
      <c r="A4972" s="1">
        <v>70028</v>
      </c>
      <c r="B4972" s="1">
        <v>0</v>
      </c>
      <c r="C4972" s="1" t="s">
        <v>11458</v>
      </c>
      <c r="D4972" s="1" t="s">
        <v>12116</v>
      </c>
      <c r="E4972" s="3" t="s">
        <v>11469</v>
      </c>
    </row>
    <row r="4973" spans="1:5">
      <c r="A4973" s="1">
        <v>70029</v>
      </c>
      <c r="B4973" s="1">
        <v>0</v>
      </c>
      <c r="C4973" s="1" t="s">
        <v>11458</v>
      </c>
      <c r="D4973" s="1" t="s">
        <v>12116</v>
      </c>
      <c r="E4973" s="3" t="s">
        <v>11469</v>
      </c>
    </row>
    <row r="4974" spans="1:5">
      <c r="A4974" s="1">
        <v>70030</v>
      </c>
      <c r="B4974" s="1">
        <v>0</v>
      </c>
      <c r="C4974" s="1" t="s">
        <v>11458</v>
      </c>
      <c r="D4974" s="1" t="s">
        <v>12116</v>
      </c>
      <c r="E4974" s="3" t="s">
        <v>11469</v>
      </c>
    </row>
    <row r="4975" spans="1:5">
      <c r="A4975" s="40">
        <v>70031</v>
      </c>
      <c r="B4975" s="40">
        <v>0</v>
      </c>
      <c r="C4975" s="40" t="s">
        <v>11459</v>
      </c>
      <c r="D4975" s="40" t="s">
        <v>12117</v>
      </c>
      <c r="E4975" s="42" t="s">
        <v>11470</v>
      </c>
    </row>
    <row r="4976" spans="1:5">
      <c r="A4976" s="40">
        <v>70032</v>
      </c>
      <c r="B4976" s="40">
        <v>0</v>
      </c>
      <c r="C4976" s="40" t="s">
        <v>11459</v>
      </c>
      <c r="D4976" s="40" t="s">
        <v>12117</v>
      </c>
      <c r="E4976" s="42" t="s">
        <v>11470</v>
      </c>
    </row>
    <row r="4977" spans="1:5">
      <c r="A4977" s="40">
        <v>70033</v>
      </c>
      <c r="B4977" s="40">
        <v>0</v>
      </c>
      <c r="C4977" s="40" t="s">
        <v>11459</v>
      </c>
      <c r="D4977" s="40" t="s">
        <v>12117</v>
      </c>
      <c r="E4977" s="42" t="s">
        <v>11470</v>
      </c>
    </row>
    <row r="4978" spans="1:5">
      <c r="A4978" s="1">
        <v>70034</v>
      </c>
      <c r="B4978" s="1">
        <v>0</v>
      </c>
      <c r="C4978" s="1" t="s">
        <v>11459</v>
      </c>
      <c r="D4978" s="1" t="s">
        <v>12118</v>
      </c>
      <c r="E4978" s="3" t="s">
        <v>11470</v>
      </c>
    </row>
    <row r="4979" spans="1:5">
      <c r="A4979" s="1">
        <v>70035</v>
      </c>
      <c r="B4979" s="1">
        <v>0</v>
      </c>
      <c r="C4979" s="1" t="s">
        <v>11459</v>
      </c>
      <c r="D4979" s="1" t="s">
        <v>12118</v>
      </c>
      <c r="E4979" s="3" t="s">
        <v>11470</v>
      </c>
    </row>
    <row r="4980" spans="1:5">
      <c r="A4980" s="1">
        <v>70036</v>
      </c>
      <c r="B4980" s="1">
        <v>0</v>
      </c>
      <c r="C4980" s="1" t="s">
        <v>11459</v>
      </c>
      <c r="D4980" s="1" t="s">
        <v>12118</v>
      </c>
      <c r="E4980" s="3" t="s">
        <v>11470</v>
      </c>
    </row>
    <row r="4981" spans="1:5">
      <c r="A4981" s="40">
        <v>70037</v>
      </c>
      <c r="B4981" s="40">
        <v>0</v>
      </c>
      <c r="C4981" s="40" t="s">
        <v>11459</v>
      </c>
      <c r="D4981" s="40" t="s">
        <v>12119</v>
      </c>
      <c r="E4981" s="42" t="s">
        <v>11470</v>
      </c>
    </row>
    <row r="4982" spans="1:5">
      <c r="A4982" s="40">
        <v>70038</v>
      </c>
      <c r="B4982" s="40">
        <v>0</v>
      </c>
      <c r="C4982" s="40" t="s">
        <v>11459</v>
      </c>
      <c r="D4982" s="40" t="s">
        <v>12119</v>
      </c>
      <c r="E4982" s="42" t="s">
        <v>11470</v>
      </c>
    </row>
    <row r="4983" spans="1:5">
      <c r="A4983" s="40">
        <v>70039</v>
      </c>
      <c r="B4983" s="40">
        <v>0</v>
      </c>
      <c r="C4983" s="40" t="s">
        <v>11459</v>
      </c>
      <c r="D4983" s="40" t="s">
        <v>12119</v>
      </c>
      <c r="E4983" s="42" t="s">
        <v>11470</v>
      </c>
    </row>
    <row r="4984" spans="1:5">
      <c r="A4984" s="1">
        <v>70040</v>
      </c>
      <c r="B4984" s="1">
        <v>0</v>
      </c>
      <c r="C4984" s="1" t="s">
        <v>11459</v>
      </c>
      <c r="D4984" s="1" t="s">
        <v>12120</v>
      </c>
      <c r="E4984" s="3" t="s">
        <v>11470</v>
      </c>
    </row>
    <row r="4985" spans="1:5">
      <c r="A4985" s="1">
        <v>70041</v>
      </c>
      <c r="B4985" s="1">
        <v>0</v>
      </c>
      <c r="C4985" s="1" t="s">
        <v>11459</v>
      </c>
      <c r="D4985" s="1" t="s">
        <v>12120</v>
      </c>
      <c r="E4985" s="3" t="s">
        <v>11470</v>
      </c>
    </row>
    <row r="4986" spans="1:5">
      <c r="A4986" s="1">
        <v>70042</v>
      </c>
      <c r="B4986" s="1">
        <v>0</v>
      </c>
      <c r="C4986" s="1" t="s">
        <v>11459</v>
      </c>
      <c r="D4986" s="1" t="s">
        <v>12120</v>
      </c>
      <c r="E4986" s="3" t="s">
        <v>11470</v>
      </c>
    </row>
    <row r="4987" spans="1:5">
      <c r="A4987" s="40">
        <v>70043</v>
      </c>
      <c r="B4987" s="40">
        <v>0</v>
      </c>
      <c r="C4987" s="40" t="s">
        <v>11459</v>
      </c>
      <c r="D4987" s="40" t="s">
        <v>12121</v>
      </c>
      <c r="E4987" s="42" t="s">
        <v>11470</v>
      </c>
    </row>
    <row r="4988" spans="1:5">
      <c r="A4988" s="40">
        <v>70044</v>
      </c>
      <c r="B4988" s="40">
        <v>0</v>
      </c>
      <c r="C4988" s="40" t="s">
        <v>11459</v>
      </c>
      <c r="D4988" s="40" t="s">
        <v>12121</v>
      </c>
      <c r="E4988" s="42" t="s">
        <v>11470</v>
      </c>
    </row>
    <row r="4989" spans="1:5">
      <c r="A4989" s="40">
        <v>70045</v>
      </c>
      <c r="B4989" s="40">
        <v>0</v>
      </c>
      <c r="C4989" s="40" t="s">
        <v>11459</v>
      </c>
      <c r="D4989" s="40" t="s">
        <v>12121</v>
      </c>
      <c r="E4989" s="42" t="s">
        <v>11470</v>
      </c>
    </row>
    <row r="4990" spans="1:5">
      <c r="A4990" s="1">
        <v>70046</v>
      </c>
      <c r="B4990" s="1">
        <v>0</v>
      </c>
      <c r="C4990" s="1" t="s">
        <v>11459</v>
      </c>
      <c r="D4990" s="1" t="s">
        <v>12122</v>
      </c>
      <c r="E4990" s="3" t="s">
        <v>11470</v>
      </c>
    </row>
    <row r="4991" spans="1:5">
      <c r="A4991" s="1">
        <v>70047</v>
      </c>
      <c r="B4991" s="1">
        <v>0</v>
      </c>
      <c r="C4991" s="1" t="s">
        <v>11459</v>
      </c>
      <c r="D4991" s="1" t="s">
        <v>12122</v>
      </c>
      <c r="E4991" s="3" t="s">
        <v>11470</v>
      </c>
    </row>
    <row r="4992" spans="1:5">
      <c r="A4992" s="1">
        <v>70048</v>
      </c>
      <c r="B4992" s="1">
        <v>0</v>
      </c>
      <c r="C4992" s="1" t="s">
        <v>11459</v>
      </c>
      <c r="D4992" s="1" t="s">
        <v>12122</v>
      </c>
      <c r="E4992" s="3" t="s">
        <v>11470</v>
      </c>
    </row>
    <row r="4993" spans="1:5">
      <c r="A4993" s="40">
        <v>70049</v>
      </c>
      <c r="B4993" s="40">
        <v>0</v>
      </c>
      <c r="C4993" s="40" t="s">
        <v>11459</v>
      </c>
      <c r="D4993" s="40" t="s">
        <v>12123</v>
      </c>
      <c r="E4993" s="42" t="s">
        <v>11470</v>
      </c>
    </row>
    <row r="4994" spans="1:5">
      <c r="A4994" s="40">
        <v>70050</v>
      </c>
      <c r="B4994" s="40">
        <v>0</v>
      </c>
      <c r="C4994" s="40" t="s">
        <v>11459</v>
      </c>
      <c r="D4994" s="40" t="s">
        <v>12123</v>
      </c>
      <c r="E4994" s="42" t="s">
        <v>11470</v>
      </c>
    </row>
    <row r="4995" spans="1:5">
      <c r="A4995" s="40">
        <v>70051</v>
      </c>
      <c r="B4995" s="40">
        <v>0</v>
      </c>
      <c r="C4995" s="40" t="s">
        <v>11459</v>
      </c>
      <c r="D4995" s="40" t="s">
        <v>12123</v>
      </c>
      <c r="E4995" s="42" t="s">
        <v>11470</v>
      </c>
    </row>
    <row r="4996" spans="1:5">
      <c r="A4996" s="1">
        <v>70052</v>
      </c>
      <c r="B4996" s="1">
        <v>0</v>
      </c>
      <c r="C4996" s="1" t="s">
        <v>11459</v>
      </c>
      <c r="D4996" s="1" t="s">
        <v>12124</v>
      </c>
      <c r="E4996" s="3" t="s">
        <v>11470</v>
      </c>
    </row>
    <row r="4997" spans="1:5">
      <c r="A4997" s="1">
        <v>70053</v>
      </c>
      <c r="B4997" s="1">
        <v>0</v>
      </c>
      <c r="C4997" s="1" t="s">
        <v>11459</v>
      </c>
      <c r="D4997" s="1" t="s">
        <v>12124</v>
      </c>
      <c r="E4997" s="3" t="s">
        <v>11470</v>
      </c>
    </row>
    <row r="4998" spans="1:5">
      <c r="A4998" s="1">
        <v>70054</v>
      </c>
      <c r="B4998" s="1">
        <v>0</v>
      </c>
      <c r="C4998" s="1" t="s">
        <v>11459</v>
      </c>
      <c r="D4998" s="1" t="s">
        <v>12124</v>
      </c>
      <c r="E4998" s="3" t="s">
        <v>11470</v>
      </c>
    </row>
    <row r="4999" spans="1:5">
      <c r="A4999" s="40">
        <v>70055</v>
      </c>
      <c r="B4999" s="40">
        <v>0</v>
      </c>
      <c r="C4999" s="40" t="s">
        <v>11459</v>
      </c>
      <c r="D4999" s="40" t="s">
        <v>12125</v>
      </c>
      <c r="E4999" s="42" t="s">
        <v>11470</v>
      </c>
    </row>
    <row r="5000" spans="1:5">
      <c r="A5000" s="40">
        <v>70056</v>
      </c>
      <c r="B5000" s="40">
        <v>0</v>
      </c>
      <c r="C5000" s="40" t="s">
        <v>11459</v>
      </c>
      <c r="D5000" s="40" t="s">
        <v>12125</v>
      </c>
      <c r="E5000" s="42" t="s">
        <v>11470</v>
      </c>
    </row>
    <row r="5001" spans="1:5">
      <c r="A5001" s="40">
        <v>70057</v>
      </c>
      <c r="B5001" s="40">
        <v>0</v>
      </c>
      <c r="C5001" s="40" t="s">
        <v>11459</v>
      </c>
      <c r="D5001" s="40" t="s">
        <v>12125</v>
      </c>
      <c r="E5001" s="42" t="s">
        <v>11470</v>
      </c>
    </row>
    <row r="5002" spans="1:5">
      <c r="A5002" s="1">
        <v>70058</v>
      </c>
      <c r="B5002" s="1">
        <v>0</v>
      </c>
      <c r="C5002" s="1" t="s">
        <v>11459</v>
      </c>
      <c r="D5002" s="1" t="s">
        <v>12126</v>
      </c>
      <c r="E5002" s="3" t="s">
        <v>11470</v>
      </c>
    </row>
    <row r="5003" spans="1:5">
      <c r="A5003" s="1">
        <v>70059</v>
      </c>
      <c r="B5003" s="1">
        <v>0</v>
      </c>
      <c r="C5003" s="1" t="s">
        <v>11459</v>
      </c>
      <c r="D5003" s="1" t="s">
        <v>12126</v>
      </c>
      <c r="E5003" s="3" t="s">
        <v>11470</v>
      </c>
    </row>
    <row r="5004" spans="1:5">
      <c r="A5004" s="1">
        <v>70060</v>
      </c>
      <c r="B5004" s="1">
        <v>0</v>
      </c>
      <c r="C5004" s="1" t="s">
        <v>11459</v>
      </c>
      <c r="D5004" s="1" t="s">
        <v>12126</v>
      </c>
      <c r="E5004" s="3" t="s">
        <v>11470</v>
      </c>
    </row>
    <row r="5005" spans="1:5">
      <c r="A5005" s="40">
        <v>70061</v>
      </c>
      <c r="B5005" s="40">
        <v>0</v>
      </c>
      <c r="C5005" s="40" t="s">
        <v>11459</v>
      </c>
      <c r="D5005" s="40" t="s">
        <v>12127</v>
      </c>
      <c r="E5005" s="42" t="s">
        <v>11470</v>
      </c>
    </row>
    <row r="5006" spans="1:5">
      <c r="A5006" s="40">
        <v>70062</v>
      </c>
      <c r="B5006" s="40">
        <v>0</v>
      </c>
      <c r="C5006" s="40" t="s">
        <v>11459</v>
      </c>
      <c r="D5006" s="40" t="s">
        <v>12127</v>
      </c>
      <c r="E5006" s="42" t="s">
        <v>11470</v>
      </c>
    </row>
    <row r="5007" spans="1:5">
      <c r="A5007" s="40">
        <v>70063</v>
      </c>
      <c r="B5007" s="40">
        <v>0</v>
      </c>
      <c r="C5007" s="40" t="s">
        <v>11459</v>
      </c>
      <c r="D5007" s="40" t="s">
        <v>12127</v>
      </c>
      <c r="E5007" s="42" t="s">
        <v>11470</v>
      </c>
    </row>
    <row r="5008" spans="1:5">
      <c r="A5008" s="1">
        <v>70064</v>
      </c>
      <c r="B5008" s="1">
        <v>0</v>
      </c>
      <c r="C5008" s="1" t="s">
        <v>11459</v>
      </c>
      <c r="D5008" s="1" t="s">
        <v>12128</v>
      </c>
      <c r="E5008" s="3" t="s">
        <v>11470</v>
      </c>
    </row>
    <row r="5009" spans="1:5">
      <c r="A5009" s="1">
        <v>70065</v>
      </c>
      <c r="B5009" s="1">
        <v>0</v>
      </c>
      <c r="C5009" s="1" t="s">
        <v>11459</v>
      </c>
      <c r="D5009" s="1" t="s">
        <v>12128</v>
      </c>
      <c r="E5009" s="3" t="s">
        <v>11470</v>
      </c>
    </row>
    <row r="5010" spans="1:5">
      <c r="A5010" s="1">
        <v>70066</v>
      </c>
      <c r="B5010" s="1">
        <v>0</v>
      </c>
      <c r="C5010" s="1" t="s">
        <v>11459</v>
      </c>
      <c r="D5010" s="1" t="s">
        <v>12128</v>
      </c>
      <c r="E5010" s="3" t="s">
        <v>11470</v>
      </c>
    </row>
    <row r="5011" spans="1:5">
      <c r="A5011" s="286">
        <v>70067</v>
      </c>
      <c r="B5011" s="286">
        <v>1</v>
      </c>
      <c r="C5011" s="286" t="s">
        <v>3949</v>
      </c>
      <c r="D5011" s="286" t="s">
        <v>2420</v>
      </c>
      <c r="E5011" s="291" t="s">
        <v>2421</v>
      </c>
    </row>
    <row r="5012" spans="1:5">
      <c r="A5012" s="286">
        <v>70068</v>
      </c>
      <c r="B5012" s="286">
        <v>1</v>
      </c>
      <c r="C5012" s="286" t="s">
        <v>4351</v>
      </c>
      <c r="D5012" s="286" t="s">
        <v>2422</v>
      </c>
      <c r="E5012" s="291" t="s">
        <v>2423</v>
      </c>
    </row>
    <row r="5013" spans="1:5">
      <c r="A5013" s="286">
        <v>70069</v>
      </c>
      <c r="B5013" s="286">
        <v>1</v>
      </c>
      <c r="C5013" s="286" t="s">
        <v>3949</v>
      </c>
      <c r="D5013" s="286" t="s">
        <v>2424</v>
      </c>
      <c r="E5013" s="291" t="s">
        <v>2425</v>
      </c>
    </row>
    <row r="5014" spans="1:5">
      <c r="A5014" s="286">
        <v>70070</v>
      </c>
      <c r="B5014" s="286">
        <v>1</v>
      </c>
      <c r="C5014" s="286" t="s">
        <v>11424</v>
      </c>
      <c r="D5014" s="286" t="s">
        <v>2426</v>
      </c>
      <c r="E5014" s="291" t="s">
        <v>2427</v>
      </c>
    </row>
    <row r="5015" spans="1:5">
      <c r="A5015" s="286">
        <v>70071</v>
      </c>
      <c r="B5015" s="286">
        <v>1</v>
      </c>
      <c r="C5015" s="286" t="s">
        <v>4353</v>
      </c>
      <c r="D5015" s="286" t="s">
        <v>2428</v>
      </c>
      <c r="E5015" s="291" t="s">
        <v>2429</v>
      </c>
    </row>
    <row r="5016" spans="1:5">
      <c r="A5016" s="286">
        <v>70072</v>
      </c>
      <c r="B5016" s="286">
        <v>1</v>
      </c>
      <c r="C5016" s="286" t="s">
        <v>4353</v>
      </c>
      <c r="D5016" s="286" t="s">
        <v>2430</v>
      </c>
      <c r="E5016" s="291" t="s">
        <v>2431</v>
      </c>
    </row>
    <row r="5017" spans="1:5">
      <c r="A5017" s="286">
        <v>70073</v>
      </c>
      <c r="B5017" s="286">
        <v>1</v>
      </c>
      <c r="C5017" s="286" t="s">
        <v>4353</v>
      </c>
      <c r="D5017" s="286" t="s">
        <v>2432</v>
      </c>
      <c r="E5017" s="291" t="s">
        <v>2433</v>
      </c>
    </row>
    <row r="5018" spans="1:5">
      <c r="A5018" s="286">
        <v>70074</v>
      </c>
      <c r="B5018" s="286">
        <v>1</v>
      </c>
      <c r="C5018" s="286" t="s">
        <v>4353</v>
      </c>
      <c r="D5018" s="286" t="s">
        <v>2434</v>
      </c>
      <c r="E5018" s="291" t="s">
        <v>2435</v>
      </c>
    </row>
    <row r="5019" spans="1:5">
      <c r="A5019" s="286">
        <v>70075</v>
      </c>
      <c r="B5019" s="286">
        <v>1</v>
      </c>
      <c r="C5019" s="286" t="s">
        <v>4354</v>
      </c>
      <c r="D5019" s="286" t="s">
        <v>2436</v>
      </c>
      <c r="E5019" s="291" t="s">
        <v>2437</v>
      </c>
    </row>
    <row r="5020" spans="1:5">
      <c r="A5020" s="286">
        <v>70076</v>
      </c>
      <c r="B5020" s="286">
        <v>1</v>
      </c>
      <c r="C5020" s="286" t="s">
        <v>11425</v>
      </c>
      <c r="D5020" s="286" t="s">
        <v>4743</v>
      </c>
      <c r="E5020" s="291" t="s">
        <v>11426</v>
      </c>
    </row>
    <row r="5021" spans="1:5">
      <c r="A5021" s="286">
        <v>70077</v>
      </c>
      <c r="B5021" s="286">
        <v>1</v>
      </c>
      <c r="C5021" s="286" t="s">
        <v>11425</v>
      </c>
      <c r="D5021" s="286" t="s">
        <v>4744</v>
      </c>
      <c r="E5021" s="291" t="s">
        <v>11426</v>
      </c>
    </row>
    <row r="5022" spans="1:5">
      <c r="A5022" s="286">
        <v>70078</v>
      </c>
      <c r="B5022" s="286">
        <v>1</v>
      </c>
      <c r="C5022" s="286" t="s">
        <v>11425</v>
      </c>
      <c r="D5022" s="286" t="s">
        <v>4745</v>
      </c>
      <c r="E5022" s="291" t="s">
        <v>11426</v>
      </c>
    </row>
    <row r="5023" spans="1:5">
      <c r="A5023" s="286">
        <v>70079</v>
      </c>
      <c r="B5023" s="286">
        <v>1</v>
      </c>
      <c r="C5023" s="286" t="s">
        <v>11427</v>
      </c>
      <c r="D5023" s="286" t="s">
        <v>4746</v>
      </c>
      <c r="E5023" s="291" t="s">
        <v>11428</v>
      </c>
    </row>
    <row r="5024" spans="1:5">
      <c r="A5024" s="286">
        <v>70080</v>
      </c>
      <c r="B5024" s="286">
        <v>1</v>
      </c>
      <c r="C5024" s="286" t="s">
        <v>11427</v>
      </c>
      <c r="D5024" s="286" t="s">
        <v>4747</v>
      </c>
      <c r="E5024" s="291" t="s">
        <v>11428</v>
      </c>
    </row>
    <row r="5025" spans="1:5">
      <c r="A5025" s="286">
        <v>70081</v>
      </c>
      <c r="B5025" s="286">
        <v>1</v>
      </c>
      <c r="C5025" s="286" t="s">
        <v>11427</v>
      </c>
      <c r="D5025" s="286" t="s">
        <v>4748</v>
      </c>
      <c r="E5025" s="291" t="s">
        <v>11428</v>
      </c>
    </row>
    <row r="5026" spans="1:5">
      <c r="A5026" s="286">
        <v>70082</v>
      </c>
      <c r="B5026" s="286">
        <v>1</v>
      </c>
      <c r="C5026" s="286" t="s">
        <v>11429</v>
      </c>
      <c r="D5026" s="286" t="s">
        <v>4749</v>
      </c>
      <c r="E5026" s="291" t="s">
        <v>2402</v>
      </c>
    </row>
    <row r="5027" spans="1:5">
      <c r="A5027" s="286">
        <v>70083</v>
      </c>
      <c r="B5027" s="286">
        <v>1</v>
      </c>
      <c r="C5027" s="286" t="s">
        <v>11429</v>
      </c>
      <c r="D5027" s="286" t="s">
        <v>4750</v>
      </c>
      <c r="E5027" s="291" t="s">
        <v>2402</v>
      </c>
    </row>
    <row r="5028" spans="1:5">
      <c r="A5028" s="286">
        <v>70084</v>
      </c>
      <c r="B5028" s="286">
        <v>1</v>
      </c>
      <c r="C5028" s="286" t="s">
        <v>11429</v>
      </c>
      <c r="D5028" s="286" t="s">
        <v>4751</v>
      </c>
      <c r="E5028" s="291" t="s">
        <v>2402</v>
      </c>
    </row>
    <row r="5029" spans="1:5">
      <c r="A5029" s="286">
        <v>70085</v>
      </c>
      <c r="B5029" s="286">
        <v>1</v>
      </c>
      <c r="C5029" s="286" t="s">
        <v>11429</v>
      </c>
      <c r="D5029" s="286" t="s">
        <v>4752</v>
      </c>
      <c r="E5029" s="291" t="s">
        <v>2402</v>
      </c>
    </row>
    <row r="5030" spans="1:5">
      <c r="A5030" s="286">
        <v>70086</v>
      </c>
      <c r="B5030" s="286">
        <v>1</v>
      </c>
      <c r="C5030" s="286" t="s">
        <v>11429</v>
      </c>
      <c r="D5030" s="286" t="s">
        <v>4753</v>
      </c>
      <c r="E5030" s="291" t="s">
        <v>2402</v>
      </c>
    </row>
    <row r="5031" spans="1:5">
      <c r="A5031" s="286">
        <v>70087</v>
      </c>
      <c r="B5031" s="286">
        <v>1</v>
      </c>
      <c r="C5031" s="286" t="s">
        <v>11429</v>
      </c>
      <c r="D5031" s="286" t="s">
        <v>4754</v>
      </c>
      <c r="E5031" s="291" t="s">
        <v>2402</v>
      </c>
    </row>
    <row r="5032" spans="1:5">
      <c r="A5032" s="286">
        <v>70088</v>
      </c>
      <c r="B5032" s="286">
        <v>1</v>
      </c>
      <c r="C5032" s="286" t="s">
        <v>11430</v>
      </c>
      <c r="D5032" s="286" t="s">
        <v>4755</v>
      </c>
      <c r="E5032" s="291" t="s">
        <v>2425</v>
      </c>
    </row>
    <row r="5033" spans="1:5">
      <c r="A5033" s="286">
        <v>70089</v>
      </c>
      <c r="B5033" s="286">
        <v>1</v>
      </c>
      <c r="C5033" s="286" t="s">
        <v>11431</v>
      </c>
      <c r="D5033" s="286" t="s">
        <v>4756</v>
      </c>
      <c r="E5033" s="291" t="s">
        <v>2427</v>
      </c>
    </row>
    <row r="5034" spans="1:5">
      <c r="A5034" s="286">
        <v>70090</v>
      </c>
      <c r="B5034" s="286">
        <v>1</v>
      </c>
      <c r="C5034" s="286" t="s">
        <v>11432</v>
      </c>
      <c r="D5034" s="286" t="s">
        <v>4757</v>
      </c>
      <c r="E5034" s="291" t="s">
        <v>2437</v>
      </c>
    </row>
    <row r="5035" spans="1:5">
      <c r="A5035" s="277">
        <v>70101</v>
      </c>
      <c r="B5035" s="277">
        <v>1</v>
      </c>
      <c r="C5035" s="277" t="s">
        <v>4350</v>
      </c>
      <c r="D5035" s="277" t="s">
        <v>2438</v>
      </c>
      <c r="E5035" s="278" t="s">
        <v>2439</v>
      </c>
    </row>
    <row r="5036" spans="1:5">
      <c r="A5036" s="277">
        <v>70111</v>
      </c>
      <c r="B5036" s="277">
        <v>1</v>
      </c>
      <c r="C5036" s="277" t="s">
        <v>4355</v>
      </c>
      <c r="D5036" s="277" t="s">
        <v>2440</v>
      </c>
      <c r="E5036" s="278" t="s">
        <v>2441</v>
      </c>
    </row>
    <row r="5037" spans="1:5">
      <c r="A5037" s="277">
        <v>70112</v>
      </c>
      <c r="B5037" s="277">
        <v>1</v>
      </c>
      <c r="C5037" s="277" t="s">
        <v>4355</v>
      </c>
      <c r="D5037" s="277" t="s">
        <v>2442</v>
      </c>
      <c r="E5037" s="278" t="s">
        <v>2443</v>
      </c>
    </row>
    <row r="5038" spans="1:5">
      <c r="A5038" s="289">
        <v>70501</v>
      </c>
      <c r="B5038" s="289">
        <v>1</v>
      </c>
      <c r="C5038" s="289" t="s">
        <v>3922</v>
      </c>
      <c r="D5038" s="289" t="s">
        <v>2444</v>
      </c>
      <c r="E5038" s="290" t="s">
        <v>1369</v>
      </c>
    </row>
    <row r="5039" spans="1:5">
      <c r="A5039" s="289">
        <v>70502</v>
      </c>
      <c r="B5039" s="289">
        <v>1</v>
      </c>
      <c r="C5039" s="289" t="s">
        <v>3922</v>
      </c>
      <c r="D5039" s="289" t="s">
        <v>2445</v>
      </c>
      <c r="E5039" s="290" t="s">
        <v>1369</v>
      </c>
    </row>
    <row r="5040" spans="1:5">
      <c r="A5040" s="289">
        <v>70503</v>
      </c>
      <c r="B5040" s="289">
        <v>1</v>
      </c>
      <c r="C5040" s="289" t="s">
        <v>3922</v>
      </c>
      <c r="D5040" s="289" t="s">
        <v>2446</v>
      </c>
      <c r="E5040" s="290" t="s">
        <v>1369</v>
      </c>
    </row>
    <row r="5041" spans="1:5">
      <c r="A5041" s="289">
        <v>70504</v>
      </c>
      <c r="B5041" s="289">
        <v>1</v>
      </c>
      <c r="C5041" s="289" t="s">
        <v>4356</v>
      </c>
      <c r="D5041" s="289" t="s">
        <v>2447</v>
      </c>
      <c r="E5041" s="290" t="s">
        <v>2448</v>
      </c>
    </row>
    <row r="5042" spans="1:5">
      <c r="A5042" s="289">
        <v>70505</v>
      </c>
      <c r="B5042" s="289">
        <v>1</v>
      </c>
      <c r="C5042" s="289" t="s">
        <v>4356</v>
      </c>
      <c r="D5042" s="289" t="s">
        <v>2449</v>
      </c>
      <c r="E5042" s="290" t="s">
        <v>2448</v>
      </c>
    </row>
    <row r="5043" spans="1:5">
      <c r="A5043" s="289">
        <v>70506</v>
      </c>
      <c r="B5043" s="289">
        <v>1</v>
      </c>
      <c r="C5043" s="289" t="s">
        <v>4357</v>
      </c>
      <c r="D5043" s="289" t="s">
        <v>2450</v>
      </c>
      <c r="E5043" s="290" t="s">
        <v>2451</v>
      </c>
    </row>
    <row r="5044" spans="1:5">
      <c r="A5044" s="46">
        <v>70601</v>
      </c>
      <c r="B5044" s="46">
        <v>1</v>
      </c>
      <c r="C5044" s="46" t="s">
        <v>11398</v>
      </c>
      <c r="D5044" s="46" t="s">
        <v>11388</v>
      </c>
      <c r="E5044" s="48" t="s">
        <v>11433</v>
      </c>
    </row>
    <row r="5045" spans="1:5">
      <c r="A5045" s="46">
        <v>70602</v>
      </c>
      <c r="B5045" s="46">
        <v>1</v>
      </c>
      <c r="C5045" s="46" t="s">
        <v>11398</v>
      </c>
      <c r="D5045" s="46" t="s">
        <v>11389</v>
      </c>
      <c r="E5045" s="48" t="s">
        <v>11434</v>
      </c>
    </row>
    <row r="5046" spans="1:5">
      <c r="A5046" s="18">
        <v>70603</v>
      </c>
      <c r="B5046" s="18">
        <v>1</v>
      </c>
      <c r="C5046" s="18" t="s">
        <v>11398</v>
      </c>
      <c r="D5046" s="18" t="s">
        <v>11390</v>
      </c>
      <c r="E5046" s="17" t="s">
        <v>11435</v>
      </c>
    </row>
    <row r="5047" spans="1:5">
      <c r="A5047" s="18">
        <v>70604</v>
      </c>
      <c r="B5047" s="18">
        <v>1</v>
      </c>
      <c r="C5047" s="18" t="s">
        <v>11398</v>
      </c>
      <c r="D5047" s="18" t="s">
        <v>11391</v>
      </c>
      <c r="E5047" s="17" t="s">
        <v>6973</v>
      </c>
    </row>
    <row r="5048" spans="1:5">
      <c r="A5048" s="46">
        <v>70605</v>
      </c>
      <c r="B5048" s="46">
        <v>1</v>
      </c>
      <c r="C5048" s="46" t="s">
        <v>11399</v>
      </c>
      <c r="D5048" s="46" t="s">
        <v>11392</v>
      </c>
      <c r="E5048" s="48" t="s">
        <v>11436</v>
      </c>
    </row>
    <row r="5049" spans="1:5">
      <c r="A5049" s="46">
        <v>70606</v>
      </c>
      <c r="B5049" s="46">
        <v>1</v>
      </c>
      <c r="C5049" s="46" t="s">
        <v>11399</v>
      </c>
      <c r="D5049" s="46" t="s">
        <v>11393</v>
      </c>
      <c r="E5049" s="48" t="s">
        <v>11437</v>
      </c>
    </row>
    <row r="5050" spans="1:5">
      <c r="A5050" s="18">
        <v>70607</v>
      </c>
      <c r="B5050" s="18">
        <v>1</v>
      </c>
      <c r="C5050" s="18" t="s">
        <v>11399</v>
      </c>
      <c r="D5050" s="18" t="s">
        <v>11394</v>
      </c>
      <c r="E5050" s="17" t="s">
        <v>11438</v>
      </c>
    </row>
    <row r="5051" spans="1:5">
      <c r="A5051" s="18">
        <v>70608</v>
      </c>
      <c r="B5051" s="18">
        <v>1</v>
      </c>
      <c r="C5051" s="18" t="s">
        <v>11399</v>
      </c>
      <c r="D5051" s="18" t="s">
        <v>11395</v>
      </c>
      <c r="E5051" s="17" t="s">
        <v>11439</v>
      </c>
    </row>
    <row r="5052" spans="1:5">
      <c r="A5052" s="46">
        <v>70609</v>
      </c>
      <c r="B5052" s="46">
        <v>1</v>
      </c>
      <c r="C5052" s="46" t="s">
        <v>11402</v>
      </c>
      <c r="D5052" s="46" t="s">
        <v>11396</v>
      </c>
      <c r="E5052" s="48" t="s">
        <v>6975</v>
      </c>
    </row>
    <row r="5053" spans="1:5">
      <c r="A5053" s="46">
        <v>70610</v>
      </c>
      <c r="B5053" s="46">
        <v>1</v>
      </c>
      <c r="C5053" s="46" t="s">
        <v>11402</v>
      </c>
      <c r="D5053" s="46" t="s">
        <v>11397</v>
      </c>
      <c r="E5053" s="48" t="s">
        <v>11440</v>
      </c>
    </row>
    <row r="5054" spans="1:5">
      <c r="A5054" s="18">
        <v>70611</v>
      </c>
      <c r="B5054" s="18">
        <v>1</v>
      </c>
      <c r="C5054" s="18" t="s">
        <v>11402</v>
      </c>
      <c r="D5054" s="18" t="s">
        <v>11400</v>
      </c>
      <c r="E5054" s="17" t="s">
        <v>11441</v>
      </c>
    </row>
    <row r="5055" spans="1:5">
      <c r="A5055" s="18">
        <v>70612</v>
      </c>
      <c r="B5055" s="18">
        <v>1</v>
      </c>
      <c r="C5055" s="18" t="s">
        <v>11402</v>
      </c>
      <c r="D5055" s="18" t="s">
        <v>11400</v>
      </c>
      <c r="E5055" s="17" t="s">
        <v>11441</v>
      </c>
    </row>
    <row r="5056" spans="1:5">
      <c r="A5056" s="46">
        <v>70613</v>
      </c>
      <c r="B5056" s="46">
        <v>1</v>
      </c>
      <c r="C5056" s="46" t="s">
        <v>11402</v>
      </c>
      <c r="D5056" s="46" t="s">
        <v>11401</v>
      </c>
      <c r="E5056" s="48" t="s">
        <v>11441</v>
      </c>
    </row>
    <row r="5057" spans="1:5">
      <c r="A5057" s="46">
        <v>70614</v>
      </c>
      <c r="B5057" s="46">
        <v>1</v>
      </c>
      <c r="C5057" s="46" t="s">
        <v>11402</v>
      </c>
      <c r="D5057" s="46" t="s">
        <v>11401</v>
      </c>
      <c r="E5057" s="48" t="s">
        <v>11441</v>
      </c>
    </row>
    <row r="5058" spans="1:5">
      <c r="A5058" s="18">
        <v>70615</v>
      </c>
      <c r="B5058" s="18">
        <v>1</v>
      </c>
      <c r="C5058" s="18" t="s">
        <v>11402</v>
      </c>
      <c r="D5058" s="18" t="s">
        <v>11404</v>
      </c>
      <c r="E5058" s="17" t="s">
        <v>11441</v>
      </c>
    </row>
    <row r="5059" spans="1:5">
      <c r="A5059" s="18">
        <v>70616</v>
      </c>
      <c r="B5059" s="18">
        <v>1</v>
      </c>
      <c r="C5059" s="18" t="s">
        <v>11402</v>
      </c>
      <c r="D5059" s="18" t="s">
        <v>11404</v>
      </c>
      <c r="E5059" s="17" t="s">
        <v>11441</v>
      </c>
    </row>
    <row r="5060" spans="1:5">
      <c r="A5060" s="46">
        <v>70617</v>
      </c>
      <c r="B5060" s="46">
        <v>1</v>
      </c>
      <c r="C5060" s="46" t="s">
        <v>11402</v>
      </c>
      <c r="D5060" s="46" t="s">
        <v>11405</v>
      </c>
      <c r="E5060" s="48" t="s">
        <v>11441</v>
      </c>
    </row>
    <row r="5061" spans="1:5">
      <c r="A5061" s="46">
        <v>70618</v>
      </c>
      <c r="B5061" s="46">
        <v>1</v>
      </c>
      <c r="C5061" s="46" t="s">
        <v>11402</v>
      </c>
      <c r="D5061" s="46" t="s">
        <v>11405</v>
      </c>
      <c r="E5061" s="48" t="s">
        <v>11441</v>
      </c>
    </row>
    <row r="5062" spans="1:5">
      <c r="A5062" s="18">
        <v>70619</v>
      </c>
      <c r="B5062" s="18">
        <v>1</v>
      </c>
      <c r="C5062" s="18" t="s">
        <v>11402</v>
      </c>
      <c r="D5062" s="18" t="s">
        <v>11406</v>
      </c>
      <c r="E5062" s="17" t="s">
        <v>11441</v>
      </c>
    </row>
    <row r="5063" spans="1:5">
      <c r="A5063" s="18">
        <v>70620</v>
      </c>
      <c r="B5063" s="18">
        <v>1</v>
      </c>
      <c r="C5063" s="18" t="s">
        <v>11402</v>
      </c>
      <c r="D5063" s="18" t="s">
        <v>11406</v>
      </c>
      <c r="E5063" s="17" t="s">
        <v>11441</v>
      </c>
    </row>
    <row r="5064" spans="1:5">
      <c r="A5064" s="46">
        <v>70621</v>
      </c>
      <c r="B5064" s="46">
        <v>1</v>
      </c>
      <c r="C5064" s="46" t="s">
        <v>11402</v>
      </c>
      <c r="D5064" s="46" t="s">
        <v>11407</v>
      </c>
      <c r="E5064" s="48" t="s">
        <v>11441</v>
      </c>
    </row>
    <row r="5065" spans="1:5">
      <c r="A5065" s="46">
        <v>70622</v>
      </c>
      <c r="B5065" s="46">
        <v>1</v>
      </c>
      <c r="C5065" s="46" t="s">
        <v>11402</v>
      </c>
      <c r="D5065" s="46" t="s">
        <v>11407</v>
      </c>
      <c r="E5065" s="48" t="s">
        <v>11441</v>
      </c>
    </row>
    <row r="5066" spans="1:5">
      <c r="A5066" s="98">
        <v>70701</v>
      </c>
      <c r="B5066" s="98">
        <v>1</v>
      </c>
      <c r="C5066" s="98" t="s">
        <v>11402</v>
      </c>
      <c r="D5066" s="98" t="s">
        <v>11408</v>
      </c>
      <c r="E5066" s="100" t="s">
        <v>6991</v>
      </c>
    </row>
    <row r="5067" spans="1:5">
      <c r="A5067" s="98">
        <v>70702</v>
      </c>
      <c r="B5067" s="98">
        <v>1</v>
      </c>
      <c r="C5067" s="98" t="s">
        <v>11402</v>
      </c>
      <c r="D5067" s="98" t="s">
        <v>11409</v>
      </c>
      <c r="E5067" s="100" t="s">
        <v>11442</v>
      </c>
    </row>
    <row r="5068" spans="1:5">
      <c r="A5068" s="18">
        <v>70703</v>
      </c>
      <c r="B5068" s="18">
        <v>1</v>
      </c>
      <c r="C5068" s="18" t="s">
        <v>11402</v>
      </c>
      <c r="D5068" s="18" t="s">
        <v>11410</v>
      </c>
      <c r="E5068" s="17" t="s">
        <v>7143</v>
      </c>
    </row>
    <row r="5069" spans="1:5">
      <c r="A5069" s="18">
        <v>70704</v>
      </c>
      <c r="B5069" s="18">
        <v>1</v>
      </c>
      <c r="C5069" s="18" t="s">
        <v>11402</v>
      </c>
      <c r="D5069" s="18" t="s">
        <v>11411</v>
      </c>
      <c r="E5069" s="17" t="s">
        <v>11443</v>
      </c>
    </row>
    <row r="5070" spans="1:5">
      <c r="A5070" s="98">
        <v>70705</v>
      </c>
      <c r="B5070" s="98">
        <v>1</v>
      </c>
      <c r="C5070" s="98" t="s">
        <v>11403</v>
      </c>
      <c r="D5070" s="98" t="s">
        <v>11412</v>
      </c>
      <c r="E5070" s="100" t="s">
        <v>11444</v>
      </c>
    </row>
    <row r="5071" spans="1:5">
      <c r="A5071" s="98">
        <v>70706</v>
      </c>
      <c r="B5071" s="98">
        <v>1</v>
      </c>
      <c r="C5071" s="98" t="s">
        <v>11403</v>
      </c>
      <c r="D5071" s="98" t="s">
        <v>11413</v>
      </c>
      <c r="E5071" s="100" t="s">
        <v>11445</v>
      </c>
    </row>
    <row r="5072" spans="1:5">
      <c r="A5072" s="18">
        <v>70707</v>
      </c>
      <c r="B5072" s="18">
        <v>1</v>
      </c>
      <c r="C5072" s="18" t="s">
        <v>7118</v>
      </c>
      <c r="D5072" s="18" t="s">
        <v>11414</v>
      </c>
      <c r="E5072" s="17" t="s">
        <v>7172</v>
      </c>
    </row>
    <row r="5073" spans="1:5">
      <c r="A5073" s="18">
        <v>70708</v>
      </c>
      <c r="B5073" s="18">
        <v>1</v>
      </c>
      <c r="C5073" s="18" t="s">
        <v>7118</v>
      </c>
      <c r="D5073" s="18" t="s">
        <v>11415</v>
      </c>
      <c r="E5073" s="17" t="s">
        <v>11446</v>
      </c>
    </row>
    <row r="5074" spans="1:5">
      <c r="A5074" s="98">
        <v>70709</v>
      </c>
      <c r="B5074" s="98">
        <v>1</v>
      </c>
      <c r="C5074" s="98" t="s">
        <v>7118</v>
      </c>
      <c r="D5074" s="98" t="s">
        <v>11416</v>
      </c>
      <c r="E5074" s="100" t="s">
        <v>10340</v>
      </c>
    </row>
    <row r="5075" spans="1:5">
      <c r="A5075" s="98">
        <v>70710</v>
      </c>
      <c r="B5075" s="98">
        <v>1</v>
      </c>
      <c r="C5075" s="98" t="s">
        <v>7118</v>
      </c>
      <c r="D5075" s="98" t="s">
        <v>11417</v>
      </c>
      <c r="E5075" s="100" t="s">
        <v>11447</v>
      </c>
    </row>
    <row r="5076" spans="1:5">
      <c r="A5076" s="18">
        <v>70711</v>
      </c>
      <c r="B5076" s="18">
        <v>1</v>
      </c>
      <c r="C5076" s="18" t="s">
        <v>7118</v>
      </c>
      <c r="D5076" s="18" t="s">
        <v>11418</v>
      </c>
      <c r="E5076" s="17" t="s">
        <v>11448</v>
      </c>
    </row>
    <row r="5077" spans="1:5">
      <c r="A5077" s="18">
        <v>70712</v>
      </c>
      <c r="B5077" s="18">
        <v>1</v>
      </c>
      <c r="C5077" s="18" t="s">
        <v>7118</v>
      </c>
      <c r="D5077" s="18" t="s">
        <v>11418</v>
      </c>
      <c r="E5077" s="17" t="s">
        <v>11448</v>
      </c>
    </row>
    <row r="5078" spans="1:5">
      <c r="A5078" s="98">
        <v>70713</v>
      </c>
      <c r="B5078" s="98">
        <v>1</v>
      </c>
      <c r="C5078" s="98" t="s">
        <v>7118</v>
      </c>
      <c r="D5078" s="98" t="s">
        <v>11419</v>
      </c>
      <c r="E5078" s="100" t="s">
        <v>11448</v>
      </c>
    </row>
    <row r="5079" spans="1:5">
      <c r="A5079" s="98">
        <v>70714</v>
      </c>
      <c r="B5079" s="98">
        <v>1</v>
      </c>
      <c r="C5079" s="98" t="s">
        <v>7118</v>
      </c>
      <c r="D5079" s="98" t="s">
        <v>11419</v>
      </c>
      <c r="E5079" s="100" t="s">
        <v>11448</v>
      </c>
    </row>
    <row r="5080" spans="1:5">
      <c r="A5080" s="18">
        <v>70715</v>
      </c>
      <c r="B5080" s="18">
        <v>1</v>
      </c>
      <c r="C5080" s="18" t="s">
        <v>7118</v>
      </c>
      <c r="D5080" s="18" t="s">
        <v>11420</v>
      </c>
      <c r="E5080" s="17" t="s">
        <v>11448</v>
      </c>
    </row>
    <row r="5081" spans="1:5">
      <c r="A5081" s="18">
        <v>70716</v>
      </c>
      <c r="B5081" s="18">
        <v>1</v>
      </c>
      <c r="C5081" s="18" t="s">
        <v>7118</v>
      </c>
      <c r="D5081" s="18" t="s">
        <v>11420</v>
      </c>
      <c r="E5081" s="17" t="s">
        <v>11448</v>
      </c>
    </row>
    <row r="5082" spans="1:5">
      <c r="A5082" s="98">
        <v>70717</v>
      </c>
      <c r="B5082" s="98">
        <v>1</v>
      </c>
      <c r="C5082" s="98" t="s">
        <v>7118</v>
      </c>
      <c r="D5082" s="98" t="s">
        <v>11421</v>
      </c>
      <c r="E5082" s="100" t="s">
        <v>11448</v>
      </c>
    </row>
    <row r="5083" spans="1:5">
      <c r="A5083" s="98">
        <v>70718</v>
      </c>
      <c r="B5083" s="98">
        <v>1</v>
      </c>
      <c r="C5083" s="98" t="s">
        <v>7118</v>
      </c>
      <c r="D5083" s="98" t="s">
        <v>11421</v>
      </c>
      <c r="E5083" s="100" t="s">
        <v>11448</v>
      </c>
    </row>
    <row r="5084" spans="1:5">
      <c r="A5084" s="18">
        <v>70719</v>
      </c>
      <c r="B5084" s="18">
        <v>1</v>
      </c>
      <c r="C5084" s="18" t="s">
        <v>7118</v>
      </c>
      <c r="D5084" s="18" t="s">
        <v>11422</v>
      </c>
      <c r="E5084" s="17" t="s">
        <v>11448</v>
      </c>
    </row>
    <row r="5085" spans="1:5">
      <c r="A5085" s="18">
        <v>70720</v>
      </c>
      <c r="B5085" s="18">
        <v>1</v>
      </c>
      <c r="C5085" s="18" t="s">
        <v>7118</v>
      </c>
      <c r="D5085" s="18" t="s">
        <v>11422</v>
      </c>
      <c r="E5085" s="17" t="s">
        <v>11448</v>
      </c>
    </row>
    <row r="5086" spans="1:5">
      <c r="A5086" s="98">
        <v>70721</v>
      </c>
      <c r="B5086" s="98">
        <v>1</v>
      </c>
      <c r="C5086" s="98" t="s">
        <v>7118</v>
      </c>
      <c r="D5086" s="98" t="s">
        <v>11423</v>
      </c>
      <c r="E5086" s="100" t="s">
        <v>11448</v>
      </c>
    </row>
    <row r="5087" spans="1:5">
      <c r="A5087" s="98">
        <v>70722</v>
      </c>
      <c r="B5087" s="98">
        <v>1</v>
      </c>
      <c r="C5087" s="98" t="s">
        <v>7118</v>
      </c>
      <c r="D5087" s="98" t="s">
        <v>11423</v>
      </c>
      <c r="E5087" s="100" t="s">
        <v>11448</v>
      </c>
    </row>
    <row r="5088" spans="1:5">
      <c r="A5088" s="1">
        <v>72001</v>
      </c>
      <c r="B5088" s="1">
        <v>1</v>
      </c>
      <c r="C5088" s="1" t="s">
        <v>3360</v>
      </c>
      <c r="D5088" s="1" t="s">
        <v>2452</v>
      </c>
      <c r="E5088" s="3" t="s">
        <v>604</v>
      </c>
    </row>
    <row r="5089" spans="1:5">
      <c r="A5089" s="1">
        <v>72002</v>
      </c>
      <c r="B5089" s="1">
        <v>1</v>
      </c>
      <c r="C5089" s="1" t="s">
        <v>3375</v>
      </c>
      <c r="D5089" s="1" t="s">
        <v>2452</v>
      </c>
      <c r="E5089" s="3" t="s">
        <v>787</v>
      </c>
    </row>
    <row r="5090" spans="1:5">
      <c r="A5090" s="1">
        <v>72003</v>
      </c>
      <c r="B5090" s="1">
        <v>1</v>
      </c>
      <c r="C5090" s="1" t="s">
        <v>4358</v>
      </c>
      <c r="D5090" s="1" t="s">
        <v>2452</v>
      </c>
      <c r="E5090" s="3" t="s">
        <v>2453</v>
      </c>
    </row>
    <row r="5091" spans="1:5">
      <c r="A5091" s="1">
        <v>72004</v>
      </c>
      <c r="B5091" s="1">
        <v>1</v>
      </c>
      <c r="C5091" s="1" t="s">
        <v>3359</v>
      </c>
      <c r="D5091" s="1" t="s">
        <v>2454</v>
      </c>
      <c r="E5091" s="3" t="s">
        <v>1334</v>
      </c>
    </row>
    <row r="5092" spans="1:5">
      <c r="A5092" s="1">
        <v>72005</v>
      </c>
      <c r="B5092" s="1">
        <v>1</v>
      </c>
      <c r="C5092" s="1" t="s">
        <v>3373</v>
      </c>
      <c r="D5092" s="1" t="s">
        <v>2454</v>
      </c>
      <c r="E5092" s="3" t="s">
        <v>991</v>
      </c>
    </row>
    <row r="5093" spans="1:5">
      <c r="A5093" s="1">
        <v>72006</v>
      </c>
      <c r="B5093" s="1">
        <v>1</v>
      </c>
      <c r="C5093" s="1" t="s">
        <v>4359</v>
      </c>
      <c r="D5093" s="1" t="s">
        <v>2454</v>
      </c>
      <c r="E5093" s="3" t="s">
        <v>2455</v>
      </c>
    </row>
    <row r="5094" spans="1:5">
      <c r="A5094" s="1">
        <v>72007</v>
      </c>
      <c r="B5094" s="1">
        <v>1</v>
      </c>
      <c r="C5094" s="1" t="s">
        <v>3729</v>
      </c>
      <c r="D5094" s="1" t="s">
        <v>2456</v>
      </c>
      <c r="E5094" s="3" t="s">
        <v>653</v>
      </c>
    </row>
    <row r="5095" spans="1:5">
      <c r="A5095" s="1">
        <v>72008</v>
      </c>
      <c r="B5095" s="1">
        <v>1</v>
      </c>
      <c r="C5095" s="1" t="s">
        <v>3371</v>
      </c>
      <c r="D5095" s="1" t="s">
        <v>2456</v>
      </c>
      <c r="E5095" s="3" t="s">
        <v>751</v>
      </c>
    </row>
    <row r="5096" spans="1:5">
      <c r="A5096" s="1">
        <v>72009</v>
      </c>
      <c r="B5096" s="1">
        <v>1</v>
      </c>
      <c r="C5096" s="1" t="s">
        <v>4360</v>
      </c>
      <c r="D5096" s="1" t="s">
        <v>2456</v>
      </c>
      <c r="E5096" s="3" t="s">
        <v>2457</v>
      </c>
    </row>
    <row r="5097" spans="1:5">
      <c r="A5097" s="1">
        <v>72010</v>
      </c>
      <c r="B5097" s="1">
        <v>1</v>
      </c>
      <c r="C5097" s="1" t="s">
        <v>3355</v>
      </c>
      <c r="D5097" s="1" t="s">
        <v>2458</v>
      </c>
      <c r="E5097" s="3" t="s">
        <v>599</v>
      </c>
    </row>
    <row r="5098" spans="1:5">
      <c r="A5098" s="1">
        <v>72011</v>
      </c>
      <c r="B5098" s="1">
        <v>1</v>
      </c>
      <c r="C5098" s="1" t="s">
        <v>3370</v>
      </c>
      <c r="D5098" s="1" t="s">
        <v>2458</v>
      </c>
      <c r="E5098" s="3" t="s">
        <v>986</v>
      </c>
    </row>
    <row r="5099" spans="1:5">
      <c r="A5099" s="1">
        <v>72012</v>
      </c>
      <c r="B5099" s="1">
        <v>1</v>
      </c>
      <c r="C5099" s="1" t="s">
        <v>4361</v>
      </c>
      <c r="D5099" s="1" t="s">
        <v>2458</v>
      </c>
      <c r="E5099" s="3" t="s">
        <v>2459</v>
      </c>
    </row>
    <row r="5100" spans="1:5">
      <c r="A5100" s="1">
        <v>72013</v>
      </c>
      <c r="B5100" s="1">
        <v>1</v>
      </c>
      <c r="C5100" s="1" t="s">
        <v>3354</v>
      </c>
      <c r="D5100" s="1" t="s">
        <v>2460</v>
      </c>
      <c r="E5100" s="3" t="s">
        <v>782</v>
      </c>
    </row>
    <row r="5101" spans="1:5">
      <c r="A5101" s="1">
        <v>72014</v>
      </c>
      <c r="B5101" s="1">
        <v>1</v>
      </c>
      <c r="C5101" s="1" t="s">
        <v>3369</v>
      </c>
      <c r="D5101" s="1" t="s">
        <v>2460</v>
      </c>
      <c r="E5101" s="3" t="s">
        <v>747</v>
      </c>
    </row>
    <row r="5102" spans="1:5">
      <c r="A5102" s="1">
        <v>72015</v>
      </c>
      <c r="B5102" s="1">
        <v>1</v>
      </c>
      <c r="C5102" s="1" t="s">
        <v>4362</v>
      </c>
      <c r="D5102" s="1" t="s">
        <v>2460</v>
      </c>
      <c r="E5102" s="3" t="s">
        <v>2461</v>
      </c>
    </row>
    <row r="5103" spans="1:5">
      <c r="A5103" s="1">
        <v>72016</v>
      </c>
      <c r="B5103" s="1">
        <v>1</v>
      </c>
      <c r="C5103" s="1" t="s">
        <v>3699</v>
      </c>
      <c r="D5103" s="1" t="s">
        <v>2462</v>
      </c>
      <c r="E5103" s="3" t="s">
        <v>628</v>
      </c>
    </row>
    <row r="5104" spans="1:5">
      <c r="A5104" s="1">
        <v>72017</v>
      </c>
      <c r="B5104" s="1">
        <v>1</v>
      </c>
      <c r="C5104" s="1" t="s">
        <v>3368</v>
      </c>
      <c r="D5104" s="1" t="s">
        <v>2462</v>
      </c>
      <c r="E5104" s="3" t="s">
        <v>983</v>
      </c>
    </row>
    <row r="5105" spans="1:5">
      <c r="A5105" s="1">
        <v>72018</v>
      </c>
      <c r="B5105" s="1">
        <v>1</v>
      </c>
      <c r="C5105" s="1" t="s">
        <v>4265</v>
      </c>
      <c r="D5105" s="1" t="s">
        <v>2462</v>
      </c>
      <c r="E5105" s="3" t="s">
        <v>2135</v>
      </c>
    </row>
    <row r="5106" spans="1:5">
      <c r="A5106" s="1">
        <v>72019</v>
      </c>
      <c r="B5106" s="1">
        <v>1</v>
      </c>
      <c r="C5106" s="1" t="s">
        <v>3713</v>
      </c>
      <c r="D5106" s="1" t="s">
        <v>2463</v>
      </c>
      <c r="E5106" s="3" t="s">
        <v>621</v>
      </c>
    </row>
    <row r="5107" spans="1:5">
      <c r="A5107" s="1">
        <v>72020</v>
      </c>
      <c r="B5107" s="1">
        <v>1</v>
      </c>
      <c r="C5107" s="1" t="s">
        <v>3366</v>
      </c>
      <c r="D5107" s="1" t="s">
        <v>2463</v>
      </c>
      <c r="E5107" s="3" t="s">
        <v>981</v>
      </c>
    </row>
    <row r="5108" spans="1:5">
      <c r="A5108" s="1">
        <v>72021</v>
      </c>
      <c r="B5108" s="1">
        <v>1</v>
      </c>
      <c r="C5108" s="1" t="s">
        <v>4257</v>
      </c>
      <c r="D5108" s="1" t="s">
        <v>2463</v>
      </c>
      <c r="E5108" s="3" t="s">
        <v>2113</v>
      </c>
    </row>
    <row r="5109" spans="1:5">
      <c r="A5109" s="1">
        <v>72022</v>
      </c>
      <c r="B5109" s="1">
        <v>1</v>
      </c>
      <c r="C5109" s="1" t="s">
        <v>3709</v>
      </c>
      <c r="D5109" s="1" t="s">
        <v>2464</v>
      </c>
      <c r="E5109" s="3" t="s">
        <v>612</v>
      </c>
    </row>
    <row r="5110" spans="1:5">
      <c r="A5110" s="1">
        <v>72023</v>
      </c>
      <c r="B5110" s="1">
        <v>1</v>
      </c>
      <c r="C5110" s="1" t="s">
        <v>3811</v>
      </c>
      <c r="D5110" s="1" t="s">
        <v>2464</v>
      </c>
      <c r="E5110" s="3" t="s">
        <v>979</v>
      </c>
    </row>
    <row r="5111" spans="1:5">
      <c r="A5111" s="1">
        <v>72024</v>
      </c>
      <c r="B5111" s="1">
        <v>1</v>
      </c>
      <c r="C5111" s="1" t="s">
        <v>4314</v>
      </c>
      <c r="D5111" s="1" t="s">
        <v>2464</v>
      </c>
      <c r="E5111" s="3" t="s">
        <v>2260</v>
      </c>
    </row>
    <row r="5112" spans="1:5">
      <c r="A5112" s="1">
        <v>72025</v>
      </c>
      <c r="B5112" s="1">
        <v>1</v>
      </c>
      <c r="C5112" s="1" t="s">
        <v>4363</v>
      </c>
      <c r="D5112" s="1" t="s">
        <v>2465</v>
      </c>
      <c r="E5112" s="3" t="s">
        <v>2466</v>
      </c>
    </row>
    <row r="5113" spans="1:5">
      <c r="A5113" s="1">
        <v>72026</v>
      </c>
      <c r="B5113" s="1">
        <v>1</v>
      </c>
      <c r="C5113" s="1" t="s">
        <v>3366</v>
      </c>
      <c r="D5113" s="1" t="s">
        <v>2465</v>
      </c>
      <c r="E5113" s="3" t="s">
        <v>981</v>
      </c>
    </row>
    <row r="5114" spans="1:5">
      <c r="A5114" s="1">
        <v>72027</v>
      </c>
      <c r="B5114" s="1">
        <v>1</v>
      </c>
      <c r="C5114" s="1" t="s">
        <v>4250</v>
      </c>
      <c r="D5114" s="1" t="s">
        <v>2465</v>
      </c>
      <c r="E5114" s="3" t="s">
        <v>2092</v>
      </c>
    </row>
    <row r="5115" spans="1:5">
      <c r="A5115" s="1">
        <v>72028</v>
      </c>
      <c r="B5115" s="1">
        <v>1</v>
      </c>
      <c r="C5115" s="1" t="s">
        <v>3891</v>
      </c>
      <c r="D5115" s="1" t="s">
        <v>2467</v>
      </c>
      <c r="E5115" s="3" t="s">
        <v>1276</v>
      </c>
    </row>
    <row r="5116" spans="1:5">
      <c r="A5116" s="1">
        <v>72029</v>
      </c>
      <c r="B5116" s="1">
        <v>1</v>
      </c>
      <c r="C5116" s="1" t="s">
        <v>3366</v>
      </c>
      <c r="D5116" s="1" t="s">
        <v>2467</v>
      </c>
      <c r="E5116" s="3" t="s">
        <v>981</v>
      </c>
    </row>
    <row r="5117" spans="1:5">
      <c r="A5117" s="1">
        <v>72030</v>
      </c>
      <c r="B5117" s="1">
        <v>1</v>
      </c>
      <c r="C5117" s="1" t="s">
        <v>4316</v>
      </c>
      <c r="D5117" s="1" t="s">
        <v>2467</v>
      </c>
      <c r="E5117" s="3" t="s">
        <v>2264</v>
      </c>
    </row>
    <row r="5118" spans="1:5">
      <c r="A5118" s="1">
        <v>72031</v>
      </c>
      <c r="B5118" s="1">
        <v>1</v>
      </c>
      <c r="C5118" s="1" t="s">
        <v>3891</v>
      </c>
      <c r="D5118" s="1" t="s">
        <v>2468</v>
      </c>
      <c r="E5118" s="3" t="s">
        <v>1276</v>
      </c>
    </row>
    <row r="5119" spans="1:5">
      <c r="A5119" s="1">
        <v>72032</v>
      </c>
      <c r="B5119" s="1">
        <v>1</v>
      </c>
      <c r="C5119" s="1" t="s">
        <v>3366</v>
      </c>
      <c r="D5119" s="1" t="s">
        <v>2468</v>
      </c>
      <c r="E5119" s="3" t="s">
        <v>981</v>
      </c>
    </row>
    <row r="5120" spans="1:5">
      <c r="A5120" s="1">
        <v>72033</v>
      </c>
      <c r="B5120" s="1">
        <v>1</v>
      </c>
      <c r="C5120" s="1" t="s">
        <v>4315</v>
      </c>
      <c r="D5120" s="1" t="s">
        <v>2468</v>
      </c>
      <c r="E5120" s="3" t="s">
        <v>2262</v>
      </c>
    </row>
    <row r="5121" spans="1:5">
      <c r="A5121" s="1">
        <v>72034</v>
      </c>
      <c r="B5121" s="1">
        <v>1</v>
      </c>
      <c r="C5121" s="1" t="s">
        <v>3891</v>
      </c>
      <c r="D5121" s="1" t="s">
        <v>2469</v>
      </c>
      <c r="E5121" s="3" t="s">
        <v>1276</v>
      </c>
    </row>
    <row r="5122" spans="1:5">
      <c r="A5122" s="1">
        <v>72035</v>
      </c>
      <c r="B5122" s="1">
        <v>1</v>
      </c>
      <c r="C5122" s="1" t="s">
        <v>3366</v>
      </c>
      <c r="D5122" s="1" t="s">
        <v>2469</v>
      </c>
      <c r="E5122" s="3" t="s">
        <v>981</v>
      </c>
    </row>
    <row r="5123" spans="1:5">
      <c r="A5123" s="1">
        <v>72036</v>
      </c>
      <c r="B5123" s="1">
        <v>1</v>
      </c>
      <c r="C5123" s="1" t="s">
        <v>4314</v>
      </c>
      <c r="D5123" s="1" t="s">
        <v>2469</v>
      </c>
      <c r="E5123" s="3" t="s">
        <v>2260</v>
      </c>
    </row>
    <row r="5124" spans="1:5">
      <c r="A5124" s="1">
        <v>72037</v>
      </c>
      <c r="B5124" s="1">
        <v>1</v>
      </c>
      <c r="C5124" s="1" t="s">
        <v>3891</v>
      </c>
      <c r="D5124" s="1" t="s">
        <v>2470</v>
      </c>
      <c r="E5124" s="3" t="s">
        <v>1276</v>
      </c>
    </row>
    <row r="5125" spans="1:5">
      <c r="A5125" s="1">
        <v>72038</v>
      </c>
      <c r="B5125" s="1">
        <v>1</v>
      </c>
      <c r="C5125" s="1" t="s">
        <v>3366</v>
      </c>
      <c r="D5125" s="1" t="s">
        <v>2470</v>
      </c>
      <c r="E5125" s="3" t="s">
        <v>981</v>
      </c>
    </row>
    <row r="5126" spans="1:5">
      <c r="A5126" s="1">
        <v>72039</v>
      </c>
      <c r="B5126" s="1">
        <v>1</v>
      </c>
      <c r="C5126" s="1" t="s">
        <v>4314</v>
      </c>
      <c r="D5126" s="1" t="s">
        <v>2470</v>
      </c>
      <c r="E5126" s="3" t="s">
        <v>2260</v>
      </c>
    </row>
    <row r="5127" spans="1:5">
      <c r="A5127" s="1">
        <v>72040</v>
      </c>
      <c r="B5127" s="1">
        <v>1</v>
      </c>
      <c r="C5127" s="1" t="s">
        <v>3891</v>
      </c>
      <c r="D5127" s="1" t="s">
        <v>2471</v>
      </c>
      <c r="E5127" s="3" t="s">
        <v>1276</v>
      </c>
    </row>
    <row r="5128" spans="1:5">
      <c r="A5128" s="1">
        <v>72041</v>
      </c>
      <c r="B5128" s="1">
        <v>1</v>
      </c>
      <c r="C5128" s="1" t="s">
        <v>3366</v>
      </c>
      <c r="D5128" s="1" t="s">
        <v>2471</v>
      </c>
      <c r="E5128" s="3" t="s">
        <v>981</v>
      </c>
    </row>
    <row r="5129" spans="1:5">
      <c r="A5129" s="1">
        <v>72042</v>
      </c>
      <c r="B5129" s="1">
        <v>1</v>
      </c>
      <c r="C5129" s="1" t="s">
        <v>4314</v>
      </c>
      <c r="D5129" s="1" t="s">
        <v>2471</v>
      </c>
      <c r="E5129" s="3" t="s">
        <v>2260</v>
      </c>
    </row>
    <row r="5130" spans="1:5">
      <c r="A5130" s="1">
        <v>72043</v>
      </c>
      <c r="B5130" s="1">
        <v>1</v>
      </c>
      <c r="C5130" s="1" t="s">
        <v>3366</v>
      </c>
      <c r="D5130" s="1" t="s">
        <v>2472</v>
      </c>
      <c r="E5130" s="3" t="s">
        <v>981</v>
      </c>
    </row>
    <row r="5131" spans="1:5">
      <c r="A5131" s="1">
        <v>72044</v>
      </c>
      <c r="B5131" s="1">
        <v>1</v>
      </c>
      <c r="C5131" s="1" t="s">
        <v>4314</v>
      </c>
      <c r="D5131" s="1" t="s">
        <v>2472</v>
      </c>
      <c r="E5131" s="3" t="s">
        <v>2260</v>
      </c>
    </row>
    <row r="5132" spans="1:5">
      <c r="A5132" s="1">
        <v>72045</v>
      </c>
      <c r="B5132" s="1">
        <v>1</v>
      </c>
      <c r="C5132" s="1" t="s">
        <v>3366</v>
      </c>
      <c r="D5132" s="1" t="s">
        <v>2473</v>
      </c>
      <c r="E5132" s="3" t="s">
        <v>981</v>
      </c>
    </row>
    <row r="5133" spans="1:5">
      <c r="A5133" s="1">
        <v>72046</v>
      </c>
      <c r="B5133" s="1">
        <v>1</v>
      </c>
      <c r="C5133" s="1" t="s">
        <v>4314</v>
      </c>
      <c r="D5133" s="1" t="s">
        <v>2473</v>
      </c>
      <c r="E5133" s="3" t="s">
        <v>2260</v>
      </c>
    </row>
    <row r="5134" spans="1:5">
      <c r="A5134" s="1">
        <v>72047</v>
      </c>
      <c r="B5134" s="1">
        <v>1</v>
      </c>
      <c r="C5134" s="1" t="s">
        <v>3366</v>
      </c>
      <c r="D5134" s="1" t="s">
        <v>2474</v>
      </c>
      <c r="E5134" s="3" t="s">
        <v>981</v>
      </c>
    </row>
    <row r="5135" spans="1:5">
      <c r="A5135" s="1">
        <v>72048</v>
      </c>
      <c r="B5135" s="1">
        <v>1</v>
      </c>
      <c r="C5135" s="1" t="s">
        <v>4314</v>
      </c>
      <c r="D5135" s="1" t="s">
        <v>2474</v>
      </c>
      <c r="E5135" s="3" t="s">
        <v>2260</v>
      </c>
    </row>
    <row r="5136" spans="1:5">
      <c r="A5136" s="1">
        <v>72049</v>
      </c>
      <c r="B5136" s="1">
        <v>1</v>
      </c>
      <c r="C5136" s="1" t="s">
        <v>3366</v>
      </c>
      <c r="D5136" s="1" t="s">
        <v>2475</v>
      </c>
      <c r="E5136" s="3" t="s">
        <v>981</v>
      </c>
    </row>
    <row r="5137" spans="1:5">
      <c r="A5137" s="1">
        <v>72050</v>
      </c>
      <c r="B5137" s="1">
        <v>1</v>
      </c>
      <c r="C5137" s="1" t="s">
        <v>4314</v>
      </c>
      <c r="D5137" s="1" t="s">
        <v>2475</v>
      </c>
      <c r="E5137" s="3" t="s">
        <v>2260</v>
      </c>
    </row>
    <row r="5138" spans="1:5">
      <c r="A5138" s="82">
        <v>73001</v>
      </c>
      <c r="B5138" s="82">
        <v>0</v>
      </c>
      <c r="C5138" s="82" t="s">
        <v>3355</v>
      </c>
      <c r="D5138" s="82" t="s">
        <v>2476</v>
      </c>
      <c r="E5138" s="84" t="s">
        <v>599</v>
      </c>
    </row>
    <row r="5139" spans="1:5">
      <c r="A5139" s="82">
        <v>73002</v>
      </c>
      <c r="B5139" s="82">
        <v>0</v>
      </c>
      <c r="C5139" s="82" t="s">
        <v>3729</v>
      </c>
      <c r="D5139" s="82" t="s">
        <v>2477</v>
      </c>
      <c r="E5139" s="84" t="s">
        <v>653</v>
      </c>
    </row>
    <row r="5140" spans="1:5">
      <c r="A5140" s="82">
        <v>73003</v>
      </c>
      <c r="B5140" s="82">
        <v>0</v>
      </c>
      <c r="C5140" s="82" t="s">
        <v>3360</v>
      </c>
      <c r="D5140" s="82" t="s">
        <v>2478</v>
      </c>
      <c r="E5140" s="84" t="s">
        <v>604</v>
      </c>
    </row>
    <row r="5141" spans="1:5">
      <c r="A5141" s="82">
        <v>73004</v>
      </c>
      <c r="B5141" s="82">
        <v>0</v>
      </c>
      <c r="C5141" s="82" t="s">
        <v>3760</v>
      </c>
      <c r="D5141" s="82" t="s">
        <v>2479</v>
      </c>
      <c r="E5141" s="84" t="s">
        <v>789</v>
      </c>
    </row>
    <row r="5142" spans="1:5">
      <c r="A5142" s="82">
        <v>73005</v>
      </c>
      <c r="B5142" s="82">
        <v>0</v>
      </c>
      <c r="C5142" s="82" t="s">
        <v>3365</v>
      </c>
      <c r="D5142" s="82" t="s">
        <v>2480</v>
      </c>
      <c r="E5142" s="84" t="s">
        <v>793</v>
      </c>
    </row>
    <row r="5143" spans="1:5">
      <c r="A5143" s="82">
        <v>73006</v>
      </c>
      <c r="B5143" s="82">
        <v>0</v>
      </c>
      <c r="C5143" s="82" t="s">
        <v>3762</v>
      </c>
      <c r="D5143" s="82" t="s">
        <v>2481</v>
      </c>
      <c r="E5143" s="84" t="s">
        <v>797</v>
      </c>
    </row>
    <row r="5144" spans="1:5">
      <c r="A5144" s="82">
        <v>73007</v>
      </c>
      <c r="B5144" s="82">
        <v>0</v>
      </c>
      <c r="C5144" s="82" t="s">
        <v>3764</v>
      </c>
      <c r="D5144" s="82" t="s">
        <v>2482</v>
      </c>
      <c r="E5144" s="84" t="s">
        <v>801</v>
      </c>
    </row>
    <row r="5145" spans="1:5">
      <c r="A5145" s="82">
        <v>73008</v>
      </c>
      <c r="B5145" s="82">
        <v>0</v>
      </c>
      <c r="C5145" s="82" t="s">
        <v>3766</v>
      </c>
      <c r="D5145" s="82" t="s">
        <v>2483</v>
      </c>
      <c r="E5145" s="84" t="s">
        <v>805</v>
      </c>
    </row>
    <row r="5146" spans="1:5">
      <c r="A5146" s="82">
        <v>73009</v>
      </c>
      <c r="B5146" s="82">
        <v>0</v>
      </c>
      <c r="C5146" s="82" t="s">
        <v>3768</v>
      </c>
      <c r="D5146" s="82" t="s">
        <v>2484</v>
      </c>
      <c r="E5146" s="84" t="s">
        <v>809</v>
      </c>
    </row>
    <row r="5147" spans="1:5">
      <c r="A5147" s="82">
        <v>73010</v>
      </c>
      <c r="B5147" s="82">
        <v>0</v>
      </c>
      <c r="C5147" s="82" t="s">
        <v>4364</v>
      </c>
      <c r="D5147" s="82" t="s">
        <v>2485</v>
      </c>
      <c r="E5147" s="84" t="s">
        <v>2487</v>
      </c>
    </row>
    <row r="5148" spans="1:5">
      <c r="A5148" s="82">
        <v>73011</v>
      </c>
      <c r="B5148" s="82">
        <v>0</v>
      </c>
      <c r="C5148" s="82" t="s">
        <v>4274</v>
      </c>
      <c r="D5148" s="82" t="s">
        <v>2486</v>
      </c>
      <c r="E5148" s="84" t="s">
        <v>2159</v>
      </c>
    </row>
    <row r="5149" spans="1:5">
      <c r="A5149" s="82">
        <v>73012</v>
      </c>
      <c r="B5149" s="82">
        <v>0</v>
      </c>
      <c r="C5149" s="82" t="s">
        <v>4365</v>
      </c>
      <c r="D5149" s="82" t="s">
        <v>2488</v>
      </c>
      <c r="E5149" s="84" t="s">
        <v>2490</v>
      </c>
    </row>
    <row r="5150" spans="1:5">
      <c r="A5150" s="82">
        <v>73013</v>
      </c>
      <c r="B5150" s="82">
        <v>0</v>
      </c>
      <c r="C5150" s="82" t="s">
        <v>4317</v>
      </c>
      <c r="D5150" s="82" t="s">
        <v>2489</v>
      </c>
      <c r="E5150" s="84" t="s">
        <v>2275</v>
      </c>
    </row>
    <row r="5151" spans="1:5">
      <c r="A5151" s="82">
        <v>73014</v>
      </c>
      <c r="B5151" s="82">
        <v>0</v>
      </c>
      <c r="C5151" s="82" t="s">
        <v>4366</v>
      </c>
      <c r="D5151" s="82" t="s">
        <v>2491</v>
      </c>
      <c r="E5151" s="84" t="s">
        <v>2493</v>
      </c>
    </row>
    <row r="5152" spans="1:5">
      <c r="A5152" s="82">
        <v>73015</v>
      </c>
      <c r="B5152" s="82">
        <v>0</v>
      </c>
      <c r="C5152" s="82" t="s">
        <v>4277</v>
      </c>
      <c r="D5152" s="82" t="s">
        <v>2492</v>
      </c>
      <c r="E5152" s="84" t="s">
        <v>2163</v>
      </c>
    </row>
    <row r="5153" spans="1:5">
      <c r="A5153" s="82">
        <v>73016</v>
      </c>
      <c r="B5153" s="82">
        <v>0</v>
      </c>
      <c r="C5153" s="82" t="s">
        <v>4367</v>
      </c>
      <c r="D5153" s="82" t="s">
        <v>2494</v>
      </c>
      <c r="E5153" s="84" t="s">
        <v>2496</v>
      </c>
    </row>
    <row r="5154" spans="1:5">
      <c r="A5154" s="82">
        <v>73017</v>
      </c>
      <c r="B5154" s="82">
        <v>0</v>
      </c>
      <c r="C5154" s="82" t="s">
        <v>4368</v>
      </c>
      <c r="D5154" s="82" t="s">
        <v>2495</v>
      </c>
      <c r="E5154" s="84" t="s">
        <v>2498</v>
      </c>
    </row>
    <row r="5155" spans="1:5">
      <c r="A5155" s="182">
        <v>73101</v>
      </c>
      <c r="B5155" s="182">
        <v>0</v>
      </c>
      <c r="C5155" s="182" t="s">
        <v>4960</v>
      </c>
      <c r="D5155" s="182" t="s">
        <v>2544</v>
      </c>
      <c r="E5155" s="183" t="s">
        <v>4951</v>
      </c>
    </row>
    <row r="5156" spans="1:5">
      <c r="A5156" s="182">
        <v>73102</v>
      </c>
      <c r="B5156" s="182">
        <v>0</v>
      </c>
      <c r="C5156" s="182" t="s">
        <v>4961</v>
      </c>
      <c r="D5156" s="182" t="s">
        <v>2546</v>
      </c>
      <c r="E5156" s="183" t="s">
        <v>4952</v>
      </c>
    </row>
    <row r="5157" spans="1:5">
      <c r="A5157" s="182">
        <v>73103</v>
      </c>
      <c r="B5157" s="182">
        <v>0</v>
      </c>
      <c r="C5157" s="182" t="s">
        <v>4962</v>
      </c>
      <c r="D5157" s="182" t="s">
        <v>2547</v>
      </c>
      <c r="E5157" s="183" t="s">
        <v>4953</v>
      </c>
    </row>
    <row r="5158" spans="1:5">
      <c r="A5158" s="182">
        <v>73104</v>
      </c>
      <c r="B5158" s="182">
        <v>0</v>
      </c>
      <c r="C5158" s="182" t="s">
        <v>4384</v>
      </c>
      <c r="D5158" s="182" t="s">
        <v>2549</v>
      </c>
      <c r="E5158" s="183" t="s">
        <v>2545</v>
      </c>
    </row>
    <row r="5159" spans="1:5">
      <c r="A5159" s="182">
        <v>73105</v>
      </c>
      <c r="B5159" s="182">
        <v>0</v>
      </c>
      <c r="C5159" s="182" t="s">
        <v>4585</v>
      </c>
      <c r="D5159" s="182" t="s">
        <v>2550</v>
      </c>
      <c r="E5159" s="183" t="s">
        <v>3128</v>
      </c>
    </row>
    <row r="5160" spans="1:5">
      <c r="A5160" s="182">
        <v>73106</v>
      </c>
      <c r="B5160" s="182">
        <v>0</v>
      </c>
      <c r="C5160" s="182" t="s">
        <v>4586</v>
      </c>
      <c r="D5160" s="182" t="s">
        <v>2552</v>
      </c>
      <c r="E5160" s="183" t="s">
        <v>3129</v>
      </c>
    </row>
    <row r="5161" spans="1:5">
      <c r="A5161" s="182">
        <v>73107</v>
      </c>
      <c r="B5161" s="182">
        <v>0</v>
      </c>
      <c r="C5161" s="182" t="s">
        <v>4587</v>
      </c>
      <c r="D5161" s="182" t="s">
        <v>2554</v>
      </c>
      <c r="E5161" s="183" t="s">
        <v>3130</v>
      </c>
    </row>
    <row r="5162" spans="1:5">
      <c r="A5162" s="182">
        <v>73108</v>
      </c>
      <c r="B5162" s="182">
        <v>0</v>
      </c>
      <c r="C5162" s="182" t="s">
        <v>4588</v>
      </c>
      <c r="D5162" s="182" t="s">
        <v>2556</v>
      </c>
      <c r="E5162" s="183" t="s">
        <v>3131</v>
      </c>
    </row>
    <row r="5163" spans="1:5">
      <c r="A5163" s="182">
        <v>73109</v>
      </c>
      <c r="B5163" s="182">
        <v>0</v>
      </c>
      <c r="C5163" s="182" t="s">
        <v>4386</v>
      </c>
      <c r="D5163" s="182" t="s">
        <v>2558</v>
      </c>
      <c r="E5163" s="183" t="s">
        <v>2551</v>
      </c>
    </row>
    <row r="5164" spans="1:5">
      <c r="A5164" s="182">
        <v>73110</v>
      </c>
      <c r="B5164" s="182">
        <v>0</v>
      </c>
      <c r="C5164" s="182" t="s">
        <v>4387</v>
      </c>
      <c r="D5164" s="182" t="s">
        <v>2560</v>
      </c>
      <c r="E5164" s="183" t="s">
        <v>2553</v>
      </c>
    </row>
    <row r="5165" spans="1:5">
      <c r="A5165" s="182">
        <v>73111</v>
      </c>
      <c r="B5165" s="182">
        <v>0</v>
      </c>
      <c r="C5165" s="182" t="s">
        <v>4388</v>
      </c>
      <c r="D5165" s="182" t="s">
        <v>2562</v>
      </c>
      <c r="E5165" s="183" t="s">
        <v>2555</v>
      </c>
    </row>
    <row r="5166" spans="1:5">
      <c r="A5166" s="182">
        <v>73112</v>
      </c>
      <c r="B5166" s="182">
        <v>0</v>
      </c>
      <c r="C5166" s="182" t="s">
        <v>4963</v>
      </c>
      <c r="D5166" s="182" t="s">
        <v>2564</v>
      </c>
      <c r="E5166" s="183" t="s">
        <v>4954</v>
      </c>
    </row>
    <row r="5167" spans="1:5">
      <c r="A5167" s="182">
        <v>73113</v>
      </c>
      <c r="B5167" s="182">
        <v>0</v>
      </c>
      <c r="C5167" s="182" t="s">
        <v>4964</v>
      </c>
      <c r="D5167" s="182" t="s">
        <v>2566</v>
      </c>
      <c r="E5167" s="183" t="s">
        <v>4955</v>
      </c>
    </row>
    <row r="5168" spans="1:5">
      <c r="A5168" s="182">
        <v>73114</v>
      </c>
      <c r="B5168" s="182">
        <v>0</v>
      </c>
      <c r="C5168" s="182" t="s">
        <v>4965</v>
      </c>
      <c r="D5168" s="182" t="s">
        <v>2568</v>
      </c>
      <c r="E5168" s="183" t="s">
        <v>4956</v>
      </c>
    </row>
    <row r="5169" spans="1:5">
      <c r="A5169" s="182">
        <v>73115</v>
      </c>
      <c r="B5169" s="182">
        <v>0</v>
      </c>
      <c r="C5169" s="182" t="s">
        <v>4966</v>
      </c>
      <c r="D5169" s="182" t="s">
        <v>2570</v>
      </c>
      <c r="E5169" s="183" t="s">
        <v>4957</v>
      </c>
    </row>
    <row r="5170" spans="1:5">
      <c r="A5170" s="182">
        <v>73116</v>
      </c>
      <c r="B5170" s="182">
        <v>0</v>
      </c>
      <c r="C5170" s="182" t="s">
        <v>4967</v>
      </c>
      <c r="D5170" s="182" t="s">
        <v>2572</v>
      </c>
      <c r="E5170" s="183" t="s">
        <v>4958</v>
      </c>
    </row>
    <row r="5171" spans="1:5">
      <c r="A5171" s="182">
        <v>73117</v>
      </c>
      <c r="B5171" s="182">
        <v>0</v>
      </c>
      <c r="C5171" s="182" t="s">
        <v>4968</v>
      </c>
      <c r="D5171" s="182" t="s">
        <v>2574</v>
      </c>
      <c r="E5171" s="183" t="s">
        <v>4959</v>
      </c>
    </row>
    <row r="5172" spans="1:5">
      <c r="A5172" s="82">
        <v>73201</v>
      </c>
      <c r="B5172" s="82">
        <v>0</v>
      </c>
      <c r="C5172" s="82" t="s">
        <v>5098</v>
      </c>
      <c r="D5172" s="82" t="s">
        <v>2617</v>
      </c>
      <c r="E5172" s="84" t="s">
        <v>5082</v>
      </c>
    </row>
    <row r="5173" spans="1:5">
      <c r="A5173" s="82">
        <v>73202</v>
      </c>
      <c r="B5173" s="82">
        <v>0</v>
      </c>
      <c r="C5173" s="82" t="s">
        <v>5099</v>
      </c>
      <c r="D5173" s="82" t="s">
        <v>2618</v>
      </c>
      <c r="E5173" s="84" t="s">
        <v>5083</v>
      </c>
    </row>
    <row r="5174" spans="1:5">
      <c r="A5174" s="82">
        <v>73203</v>
      </c>
      <c r="B5174" s="82">
        <v>0</v>
      </c>
      <c r="C5174" s="82" t="s">
        <v>5100</v>
      </c>
      <c r="D5174" s="82" t="s">
        <v>2619</v>
      </c>
      <c r="E5174" s="84" t="s">
        <v>5084</v>
      </c>
    </row>
    <row r="5175" spans="1:5">
      <c r="A5175" s="82">
        <v>73204</v>
      </c>
      <c r="B5175" s="82">
        <v>0</v>
      </c>
      <c r="C5175" s="82" t="s">
        <v>5101</v>
      </c>
      <c r="D5175" s="82" t="s">
        <v>2620</v>
      </c>
      <c r="E5175" s="84" t="s">
        <v>5085</v>
      </c>
    </row>
    <row r="5176" spans="1:5">
      <c r="A5176" s="82">
        <v>73205</v>
      </c>
      <c r="B5176" s="82">
        <v>0</v>
      </c>
      <c r="C5176" s="82" t="s">
        <v>5102</v>
      </c>
      <c r="D5176" s="82" t="s">
        <v>2621</v>
      </c>
      <c r="E5176" s="84" t="s">
        <v>5086</v>
      </c>
    </row>
    <row r="5177" spans="1:5">
      <c r="A5177" s="82">
        <v>73206</v>
      </c>
      <c r="B5177" s="82">
        <v>0</v>
      </c>
      <c r="C5177" s="82" t="s">
        <v>5103</v>
      </c>
      <c r="D5177" s="82" t="s">
        <v>2623</v>
      </c>
      <c r="E5177" s="84" t="s">
        <v>5087</v>
      </c>
    </row>
    <row r="5178" spans="1:5">
      <c r="A5178" s="82">
        <v>73207</v>
      </c>
      <c r="B5178" s="82">
        <v>0</v>
      </c>
      <c r="C5178" s="82" t="s">
        <v>5104</v>
      </c>
      <c r="D5178" s="82" t="s">
        <v>2625</v>
      </c>
      <c r="E5178" s="84" t="s">
        <v>5088</v>
      </c>
    </row>
    <row r="5179" spans="1:5">
      <c r="A5179" s="82">
        <v>73208</v>
      </c>
      <c r="B5179" s="82">
        <v>0</v>
      </c>
      <c r="C5179" s="82" t="s">
        <v>5105</v>
      </c>
      <c r="D5179" s="82" t="s">
        <v>2627</v>
      </c>
      <c r="E5179" s="84" t="s">
        <v>5089</v>
      </c>
    </row>
    <row r="5180" spans="1:5">
      <c r="A5180" s="82">
        <v>73209</v>
      </c>
      <c r="B5180" s="82">
        <v>0</v>
      </c>
      <c r="C5180" s="82" t="s">
        <v>5106</v>
      </c>
      <c r="D5180" s="82" t="s">
        <v>2629</v>
      </c>
      <c r="E5180" s="84" t="s">
        <v>5090</v>
      </c>
    </row>
    <row r="5181" spans="1:5">
      <c r="A5181" s="82">
        <v>73210</v>
      </c>
      <c r="B5181" s="82">
        <v>0</v>
      </c>
      <c r="C5181" s="82" t="s">
        <v>5107</v>
      </c>
      <c r="D5181" s="82" t="s">
        <v>2630</v>
      </c>
      <c r="E5181" s="84" t="s">
        <v>5091</v>
      </c>
    </row>
    <row r="5182" spans="1:5">
      <c r="A5182" s="82">
        <v>73211</v>
      </c>
      <c r="B5182" s="82">
        <v>0</v>
      </c>
      <c r="C5182" s="82" t="s">
        <v>4255</v>
      </c>
      <c r="D5182" s="82" t="s">
        <v>2632</v>
      </c>
      <c r="E5182" s="84" t="s">
        <v>2107</v>
      </c>
    </row>
    <row r="5183" spans="1:5">
      <c r="A5183" s="82">
        <v>73212</v>
      </c>
      <c r="B5183" s="82">
        <v>0</v>
      </c>
      <c r="C5183" s="82" t="s">
        <v>5108</v>
      </c>
      <c r="D5183" s="82" t="s">
        <v>2634</v>
      </c>
      <c r="E5183" s="84" t="s">
        <v>5092</v>
      </c>
    </row>
    <row r="5184" spans="1:5">
      <c r="A5184" s="82">
        <v>73213</v>
      </c>
      <c r="B5184" s="82">
        <v>0</v>
      </c>
      <c r="C5184" s="82" t="s">
        <v>5109</v>
      </c>
      <c r="D5184" s="82" t="s">
        <v>2636</v>
      </c>
      <c r="E5184" s="84" t="s">
        <v>5093</v>
      </c>
    </row>
    <row r="5185" spans="1:6">
      <c r="A5185" s="82">
        <v>73214</v>
      </c>
      <c r="B5185" s="82">
        <v>0</v>
      </c>
      <c r="C5185" s="82" t="s">
        <v>5110</v>
      </c>
      <c r="D5185" s="82" t="s">
        <v>2638</v>
      </c>
      <c r="E5185" s="84" t="s">
        <v>5094</v>
      </c>
    </row>
    <row r="5186" spans="1:6">
      <c r="A5186" s="82">
        <v>73215</v>
      </c>
      <c r="B5186" s="82">
        <v>0</v>
      </c>
      <c r="C5186" s="82" t="s">
        <v>5111</v>
      </c>
      <c r="D5186" s="82" t="s">
        <v>2639</v>
      </c>
      <c r="E5186" s="84" t="s">
        <v>5095</v>
      </c>
    </row>
    <row r="5187" spans="1:6">
      <c r="A5187" s="82">
        <v>73216</v>
      </c>
      <c r="B5187" s="82">
        <v>0</v>
      </c>
      <c r="C5187" s="82" t="s">
        <v>5112</v>
      </c>
      <c r="D5187" s="82" t="s">
        <v>2641</v>
      </c>
      <c r="E5187" s="84" t="s">
        <v>5096</v>
      </c>
    </row>
    <row r="5188" spans="1:6">
      <c r="A5188" s="82">
        <v>73217</v>
      </c>
      <c r="B5188" s="82">
        <v>0</v>
      </c>
      <c r="C5188" s="82" t="s">
        <v>5113</v>
      </c>
      <c r="D5188" s="82" t="s">
        <v>2643</v>
      </c>
      <c r="E5188" s="84" t="s">
        <v>5097</v>
      </c>
    </row>
    <row r="5189" spans="1:6" s="259" customFormat="1">
      <c r="A5189" s="182">
        <v>73301</v>
      </c>
      <c r="B5189" s="182">
        <v>0</v>
      </c>
      <c r="C5189" s="182" t="s">
        <v>4604</v>
      </c>
      <c r="D5189" s="182" t="s">
        <v>2681</v>
      </c>
      <c r="E5189" s="183" t="s">
        <v>3203</v>
      </c>
      <c r="F5189" s="272"/>
    </row>
    <row r="5190" spans="1:6" s="259" customFormat="1">
      <c r="A5190" s="182">
        <v>73302</v>
      </c>
      <c r="B5190" s="182">
        <v>0</v>
      </c>
      <c r="C5190" s="182" t="s">
        <v>5014</v>
      </c>
      <c r="D5190" s="182" t="s">
        <v>2683</v>
      </c>
      <c r="E5190" s="183" t="s">
        <v>5001</v>
      </c>
      <c r="F5190" s="272"/>
    </row>
    <row r="5191" spans="1:6" s="259" customFormat="1">
      <c r="A5191" s="182">
        <v>73303</v>
      </c>
      <c r="B5191" s="182">
        <v>0</v>
      </c>
      <c r="C5191" s="182" t="s">
        <v>5015</v>
      </c>
      <c r="D5191" s="182" t="s">
        <v>2684</v>
      </c>
      <c r="E5191" s="183" t="s">
        <v>5002</v>
      </c>
      <c r="F5191" s="272"/>
    </row>
    <row r="5192" spans="1:6" s="259" customFormat="1">
      <c r="A5192" s="182">
        <v>73304</v>
      </c>
      <c r="B5192" s="182">
        <v>0</v>
      </c>
      <c r="C5192" s="182" t="s">
        <v>5016</v>
      </c>
      <c r="D5192" s="182" t="s">
        <v>2686</v>
      </c>
      <c r="E5192" s="183" t="s">
        <v>5003</v>
      </c>
      <c r="F5192" s="272"/>
    </row>
    <row r="5193" spans="1:6" s="259" customFormat="1">
      <c r="A5193" s="182">
        <v>73305</v>
      </c>
      <c r="B5193" s="182">
        <v>0</v>
      </c>
      <c r="C5193" s="182" t="s">
        <v>5017</v>
      </c>
      <c r="D5193" s="182" t="s">
        <v>2688</v>
      </c>
      <c r="E5193" s="183" t="s">
        <v>5004</v>
      </c>
      <c r="F5193" s="272"/>
    </row>
    <row r="5194" spans="1:6" s="259" customFormat="1">
      <c r="A5194" s="182">
        <v>73306</v>
      </c>
      <c r="B5194" s="182">
        <v>0</v>
      </c>
      <c r="C5194" s="182" t="s">
        <v>4348</v>
      </c>
      <c r="D5194" s="182" t="s">
        <v>2690</v>
      </c>
      <c r="E5194" s="183" t="s">
        <v>5005</v>
      </c>
      <c r="F5194" s="272"/>
    </row>
    <row r="5195" spans="1:6" s="259" customFormat="1">
      <c r="A5195" s="182">
        <v>73307</v>
      </c>
      <c r="B5195" s="182">
        <v>0</v>
      </c>
      <c r="C5195" s="182" t="s">
        <v>5018</v>
      </c>
      <c r="D5195" s="182" t="s">
        <v>2692</v>
      </c>
      <c r="E5195" s="183" t="s">
        <v>5006</v>
      </c>
      <c r="F5195" s="272"/>
    </row>
    <row r="5196" spans="1:6" s="259" customFormat="1">
      <c r="A5196" s="182">
        <v>73308</v>
      </c>
      <c r="B5196" s="182">
        <v>0</v>
      </c>
      <c r="C5196" s="182" t="s">
        <v>5019</v>
      </c>
      <c r="D5196" s="182" t="s">
        <v>2693</v>
      </c>
      <c r="E5196" s="183" t="s">
        <v>5007</v>
      </c>
      <c r="F5196" s="272"/>
    </row>
    <row r="5197" spans="1:6" s="259" customFormat="1">
      <c r="A5197" s="182">
        <v>73309</v>
      </c>
      <c r="B5197" s="182">
        <v>0</v>
      </c>
      <c r="C5197" s="182" t="s">
        <v>3757</v>
      </c>
      <c r="D5197" s="182" t="s">
        <v>2695</v>
      </c>
      <c r="E5197" s="183" t="s">
        <v>760</v>
      </c>
      <c r="F5197" s="272"/>
    </row>
    <row r="5198" spans="1:6" s="259" customFormat="1">
      <c r="A5198" s="182">
        <v>73310</v>
      </c>
      <c r="B5198" s="182">
        <v>0</v>
      </c>
      <c r="C5198" s="182" t="s">
        <v>5020</v>
      </c>
      <c r="D5198" s="182" t="s">
        <v>2697</v>
      </c>
      <c r="E5198" s="183" t="s">
        <v>5008</v>
      </c>
      <c r="F5198" s="272"/>
    </row>
    <row r="5199" spans="1:6" s="259" customFormat="1">
      <c r="A5199" s="182">
        <v>73311</v>
      </c>
      <c r="B5199" s="182">
        <v>0</v>
      </c>
      <c r="C5199" s="182" t="s">
        <v>5021</v>
      </c>
      <c r="D5199" s="182" t="s">
        <v>2699</v>
      </c>
      <c r="E5199" s="183" t="s">
        <v>5009</v>
      </c>
      <c r="F5199" s="272"/>
    </row>
    <row r="5200" spans="1:6" s="259" customFormat="1">
      <c r="A5200" s="182">
        <v>73312</v>
      </c>
      <c r="B5200" s="182">
        <v>0</v>
      </c>
      <c r="C5200" s="182" t="s">
        <v>5022</v>
      </c>
      <c r="D5200" s="182" t="s">
        <v>2701</v>
      </c>
      <c r="E5200" s="183" t="s">
        <v>5010</v>
      </c>
      <c r="F5200" s="272"/>
    </row>
    <row r="5201" spans="1:6" s="259" customFormat="1">
      <c r="A5201" s="182">
        <v>73313</v>
      </c>
      <c r="B5201" s="182">
        <v>0</v>
      </c>
      <c r="C5201" s="182" t="s">
        <v>5023</v>
      </c>
      <c r="D5201" s="182" t="s">
        <v>2703</v>
      </c>
      <c r="E5201" s="183" t="s">
        <v>5011</v>
      </c>
      <c r="F5201" s="272"/>
    </row>
    <row r="5202" spans="1:6" s="259" customFormat="1">
      <c r="A5202" s="182">
        <v>73314</v>
      </c>
      <c r="B5202" s="182">
        <v>0</v>
      </c>
      <c r="C5202" s="182" t="s">
        <v>5024</v>
      </c>
      <c r="D5202" s="182" t="s">
        <v>2705</v>
      </c>
      <c r="E5202" s="183" t="s">
        <v>5012</v>
      </c>
      <c r="F5202" s="272"/>
    </row>
    <row r="5203" spans="1:6" s="259" customFormat="1">
      <c r="A5203" s="182">
        <v>73315</v>
      </c>
      <c r="B5203" s="182">
        <v>0</v>
      </c>
      <c r="C5203" s="182" t="s">
        <v>5025</v>
      </c>
      <c r="D5203" s="182" t="s">
        <v>2707</v>
      </c>
      <c r="E5203" s="183" t="s">
        <v>5013</v>
      </c>
      <c r="F5203" s="272"/>
    </row>
    <row r="5204" spans="1:6">
      <c r="A5204" s="184">
        <v>73401</v>
      </c>
      <c r="B5204" s="184">
        <v>0</v>
      </c>
      <c r="C5204" s="184" t="s">
        <v>9080</v>
      </c>
      <c r="D5204" s="184" t="s">
        <v>9056</v>
      </c>
      <c r="E5204" s="185" t="s">
        <v>9099</v>
      </c>
    </row>
    <row r="5205" spans="1:6">
      <c r="A5205" s="184">
        <v>73402</v>
      </c>
      <c r="B5205" s="184">
        <v>0</v>
      </c>
      <c r="C5205" s="184" t="s">
        <v>9081</v>
      </c>
      <c r="D5205" s="184" t="s">
        <v>9057</v>
      </c>
      <c r="E5205" s="185" t="s">
        <v>9100</v>
      </c>
    </row>
    <row r="5206" spans="1:6">
      <c r="A5206" s="184">
        <v>73403</v>
      </c>
      <c r="B5206" s="184">
        <v>0</v>
      </c>
      <c r="C5206" s="184" t="s">
        <v>9082</v>
      </c>
      <c r="D5206" s="184" t="s">
        <v>9058</v>
      </c>
      <c r="E5206" s="185" t="s">
        <v>9101</v>
      </c>
    </row>
    <row r="5207" spans="1:6">
      <c r="A5207" s="184">
        <v>73404</v>
      </c>
      <c r="B5207" s="184">
        <v>0</v>
      </c>
      <c r="C5207" s="184" t="s">
        <v>6924</v>
      </c>
      <c r="D5207" s="184" t="s">
        <v>9059</v>
      </c>
      <c r="E5207" s="185" t="s">
        <v>6984</v>
      </c>
    </row>
    <row r="5208" spans="1:6">
      <c r="A5208" s="184">
        <v>73405</v>
      </c>
      <c r="B5208" s="184">
        <v>0</v>
      </c>
      <c r="C5208" s="184" t="s">
        <v>9083</v>
      </c>
      <c r="D5208" s="184" t="s">
        <v>9060</v>
      </c>
      <c r="E5208" s="185" t="s">
        <v>9102</v>
      </c>
    </row>
    <row r="5209" spans="1:6">
      <c r="A5209" s="184">
        <v>73406</v>
      </c>
      <c r="B5209" s="184">
        <v>0</v>
      </c>
      <c r="C5209" s="184" t="s">
        <v>9084</v>
      </c>
      <c r="D5209" s="184" t="s">
        <v>9061</v>
      </c>
      <c r="E5209" s="185" t="s">
        <v>9103</v>
      </c>
    </row>
    <row r="5210" spans="1:6">
      <c r="A5210" s="184">
        <v>73407</v>
      </c>
      <c r="B5210" s="184">
        <v>0</v>
      </c>
      <c r="C5210" s="184" t="s">
        <v>9085</v>
      </c>
      <c r="D5210" s="184" t="s">
        <v>9062</v>
      </c>
      <c r="E5210" s="185" t="s">
        <v>9104</v>
      </c>
    </row>
    <row r="5211" spans="1:6">
      <c r="A5211" s="184">
        <v>73408</v>
      </c>
      <c r="B5211" s="184">
        <v>0</v>
      </c>
      <c r="C5211" s="184" t="s">
        <v>9086</v>
      </c>
      <c r="D5211" s="184" t="s">
        <v>9063</v>
      </c>
      <c r="E5211" s="185" t="s">
        <v>9105</v>
      </c>
    </row>
    <row r="5212" spans="1:6">
      <c r="A5212" s="184">
        <v>73409</v>
      </c>
      <c r="B5212" s="184">
        <v>0</v>
      </c>
      <c r="C5212" s="184" t="s">
        <v>6926</v>
      </c>
      <c r="D5212" s="184" t="s">
        <v>9064</v>
      </c>
      <c r="E5212" s="185" t="s">
        <v>6986</v>
      </c>
    </row>
    <row r="5213" spans="1:6">
      <c r="A5213" s="184">
        <v>73410</v>
      </c>
      <c r="B5213" s="184">
        <v>0</v>
      </c>
      <c r="C5213" s="184" t="s">
        <v>9087</v>
      </c>
      <c r="D5213" s="184" t="s">
        <v>9065</v>
      </c>
      <c r="E5213" s="185" t="s">
        <v>9106</v>
      </c>
    </row>
    <row r="5214" spans="1:6">
      <c r="A5214" s="184">
        <v>73411</v>
      </c>
      <c r="B5214" s="184">
        <v>0</v>
      </c>
      <c r="C5214" s="184" t="s">
        <v>9088</v>
      </c>
      <c r="D5214" s="184" t="s">
        <v>9066</v>
      </c>
      <c r="E5214" s="185" t="s">
        <v>9107</v>
      </c>
    </row>
    <row r="5215" spans="1:6">
      <c r="A5215" s="184">
        <v>73412</v>
      </c>
      <c r="B5215" s="184">
        <v>0</v>
      </c>
      <c r="C5215" s="184" t="s">
        <v>9089</v>
      </c>
      <c r="D5215" s="184" t="s">
        <v>9067</v>
      </c>
      <c r="E5215" s="185" t="s">
        <v>9108</v>
      </c>
    </row>
    <row r="5216" spans="1:6">
      <c r="A5216" s="184">
        <v>73413</v>
      </c>
      <c r="B5216" s="184">
        <v>0</v>
      </c>
      <c r="C5216" s="184" t="s">
        <v>9090</v>
      </c>
      <c r="D5216" s="184" t="s">
        <v>9068</v>
      </c>
      <c r="E5216" s="185" t="s">
        <v>9109</v>
      </c>
    </row>
    <row r="5217" spans="1:5">
      <c r="A5217" s="184">
        <v>73414</v>
      </c>
      <c r="B5217" s="184">
        <v>0</v>
      </c>
      <c r="C5217" s="184" t="s">
        <v>6940</v>
      </c>
      <c r="D5217" s="184" t="s">
        <v>9069</v>
      </c>
      <c r="E5217" s="185" t="s">
        <v>7000</v>
      </c>
    </row>
    <row r="5218" spans="1:5">
      <c r="A5218" s="184">
        <v>73415</v>
      </c>
      <c r="B5218" s="184">
        <v>0</v>
      </c>
      <c r="C5218" s="184" t="s">
        <v>9091</v>
      </c>
      <c r="D5218" s="184" t="s">
        <v>9070</v>
      </c>
      <c r="E5218" s="185" t="s">
        <v>9110</v>
      </c>
    </row>
    <row r="5219" spans="1:5">
      <c r="A5219" s="184">
        <v>73416</v>
      </c>
      <c r="B5219" s="184">
        <v>0</v>
      </c>
      <c r="C5219" s="184" t="s">
        <v>9092</v>
      </c>
      <c r="D5219" s="184" t="s">
        <v>9071</v>
      </c>
      <c r="E5219" s="185" t="s">
        <v>9111</v>
      </c>
    </row>
    <row r="5220" spans="1:5">
      <c r="A5220" s="184">
        <v>73417</v>
      </c>
      <c r="B5220" s="184">
        <v>0</v>
      </c>
      <c r="C5220" s="184" t="s">
        <v>9093</v>
      </c>
      <c r="D5220" s="184" t="s">
        <v>9072</v>
      </c>
      <c r="E5220" s="185" t="s">
        <v>9112</v>
      </c>
    </row>
    <row r="5221" spans="1:5">
      <c r="A5221" s="184">
        <v>73418</v>
      </c>
      <c r="B5221" s="184">
        <v>0</v>
      </c>
      <c r="C5221" s="184" t="s">
        <v>9094</v>
      </c>
      <c r="D5221" s="184" t="s">
        <v>9073</v>
      </c>
      <c r="E5221" s="185" t="s">
        <v>9113</v>
      </c>
    </row>
    <row r="5222" spans="1:5">
      <c r="A5222" s="184">
        <v>73419</v>
      </c>
      <c r="B5222" s="184">
        <v>0</v>
      </c>
      <c r="C5222" s="184" t="s">
        <v>6942</v>
      </c>
      <c r="D5222" s="184" t="s">
        <v>9074</v>
      </c>
      <c r="E5222" s="185" t="s">
        <v>7002</v>
      </c>
    </row>
    <row r="5223" spans="1:5">
      <c r="A5223" s="184">
        <v>73420</v>
      </c>
      <c r="B5223" s="184">
        <v>0</v>
      </c>
      <c r="C5223" s="184" t="s">
        <v>9095</v>
      </c>
      <c r="D5223" s="184" t="s">
        <v>9075</v>
      </c>
      <c r="E5223" s="185" t="s">
        <v>9114</v>
      </c>
    </row>
    <row r="5224" spans="1:5">
      <c r="A5224" s="184">
        <v>73421</v>
      </c>
      <c r="B5224" s="184">
        <v>0</v>
      </c>
      <c r="C5224" s="184" t="s">
        <v>9096</v>
      </c>
      <c r="D5224" s="184" t="s">
        <v>9076</v>
      </c>
      <c r="E5224" s="185" t="s">
        <v>9115</v>
      </c>
    </row>
    <row r="5225" spans="1:5">
      <c r="A5225" s="184">
        <v>73422</v>
      </c>
      <c r="B5225" s="184">
        <v>0</v>
      </c>
      <c r="C5225" s="184" t="s">
        <v>9097</v>
      </c>
      <c r="D5225" s="184" t="s">
        <v>9077</v>
      </c>
      <c r="E5225" s="185" t="s">
        <v>9116</v>
      </c>
    </row>
    <row r="5226" spans="1:5">
      <c r="A5226" s="184">
        <v>73423</v>
      </c>
      <c r="B5226" s="184">
        <v>0</v>
      </c>
      <c r="C5226" s="184" t="s">
        <v>9098</v>
      </c>
      <c r="D5226" s="184" t="s">
        <v>9078</v>
      </c>
      <c r="E5226" s="185" t="s">
        <v>9117</v>
      </c>
    </row>
    <row r="5227" spans="1:5">
      <c r="A5227" s="184">
        <v>73424</v>
      </c>
      <c r="B5227" s="184">
        <v>0</v>
      </c>
      <c r="C5227" s="184" t="s">
        <v>6944</v>
      </c>
      <c r="D5227" s="184" t="s">
        <v>9079</v>
      </c>
      <c r="E5227" s="185" t="s">
        <v>7004</v>
      </c>
    </row>
    <row r="5228" spans="1:5">
      <c r="A5228" s="182">
        <v>73501</v>
      </c>
      <c r="B5228" s="182">
        <v>0</v>
      </c>
      <c r="C5228" s="182" t="s">
        <v>5026</v>
      </c>
      <c r="D5228" s="182" t="s">
        <v>4969</v>
      </c>
      <c r="E5228" s="183" t="s">
        <v>5043</v>
      </c>
    </row>
    <row r="5229" spans="1:5">
      <c r="A5229" s="182">
        <v>73502</v>
      </c>
      <c r="B5229" s="182">
        <v>0</v>
      </c>
      <c r="C5229" s="182" t="s">
        <v>5027</v>
      </c>
      <c r="D5229" s="182" t="s">
        <v>4970</v>
      </c>
      <c r="E5229" s="183" t="s">
        <v>5044</v>
      </c>
    </row>
    <row r="5230" spans="1:5">
      <c r="A5230" s="182">
        <v>73503</v>
      </c>
      <c r="B5230" s="182">
        <v>0</v>
      </c>
      <c r="C5230" s="182" t="s">
        <v>5028</v>
      </c>
      <c r="D5230" s="182" t="s">
        <v>4971</v>
      </c>
      <c r="E5230" s="183" t="s">
        <v>5045</v>
      </c>
    </row>
    <row r="5231" spans="1:5">
      <c r="A5231" s="182">
        <v>73504</v>
      </c>
      <c r="B5231" s="182">
        <v>0</v>
      </c>
      <c r="C5231" s="182" t="s">
        <v>5029</v>
      </c>
      <c r="D5231" s="182" t="s">
        <v>4972</v>
      </c>
      <c r="E5231" s="183" t="s">
        <v>5046</v>
      </c>
    </row>
    <row r="5232" spans="1:5">
      <c r="A5232" s="182">
        <v>73505</v>
      </c>
      <c r="B5232" s="182">
        <v>0</v>
      </c>
      <c r="C5232" s="182" t="s">
        <v>5030</v>
      </c>
      <c r="D5232" s="182" t="s">
        <v>4973</v>
      </c>
      <c r="E5232" s="183" t="s">
        <v>5047</v>
      </c>
    </row>
    <row r="5233" spans="1:5">
      <c r="A5233" s="182">
        <v>73506</v>
      </c>
      <c r="B5233" s="182">
        <v>0</v>
      </c>
      <c r="C5233" s="182" t="s">
        <v>5031</v>
      </c>
      <c r="D5233" s="182" t="s">
        <v>4974</v>
      </c>
      <c r="E5233" s="183" t="s">
        <v>5048</v>
      </c>
    </row>
    <row r="5234" spans="1:5">
      <c r="A5234" s="182">
        <v>73507</v>
      </c>
      <c r="B5234" s="182">
        <v>0</v>
      </c>
      <c r="C5234" s="182" t="s">
        <v>5032</v>
      </c>
      <c r="D5234" s="182" t="s">
        <v>4975</v>
      </c>
      <c r="E5234" s="183" t="s">
        <v>5049</v>
      </c>
    </row>
    <row r="5235" spans="1:5">
      <c r="A5235" s="182">
        <v>73508</v>
      </c>
      <c r="B5235" s="182">
        <v>0</v>
      </c>
      <c r="C5235" s="182" t="s">
        <v>5033</v>
      </c>
      <c r="D5235" s="182" t="s">
        <v>4976</v>
      </c>
      <c r="E5235" s="183" t="s">
        <v>5050</v>
      </c>
    </row>
    <row r="5236" spans="1:5">
      <c r="A5236" s="182">
        <v>73509</v>
      </c>
      <c r="B5236" s="182">
        <v>0</v>
      </c>
      <c r="C5236" s="182" t="s">
        <v>5034</v>
      </c>
      <c r="D5236" s="182" t="s">
        <v>4977</v>
      </c>
      <c r="E5236" s="183" t="s">
        <v>5051</v>
      </c>
    </row>
    <row r="5237" spans="1:5">
      <c r="A5237" s="182">
        <v>73510</v>
      </c>
      <c r="B5237" s="182">
        <v>0</v>
      </c>
      <c r="C5237" s="182" t="s">
        <v>5035</v>
      </c>
      <c r="D5237" s="182" t="s">
        <v>4978</v>
      </c>
      <c r="E5237" s="183" t="s">
        <v>5052</v>
      </c>
    </row>
    <row r="5238" spans="1:5">
      <c r="A5238" s="182">
        <v>73511</v>
      </c>
      <c r="B5238" s="182">
        <v>0</v>
      </c>
      <c r="C5238" s="182" t="s">
        <v>5036</v>
      </c>
      <c r="D5238" s="182" t="s">
        <v>4979</v>
      </c>
      <c r="E5238" s="183" t="s">
        <v>5053</v>
      </c>
    </row>
    <row r="5239" spans="1:5">
      <c r="A5239" s="182">
        <v>73512</v>
      </c>
      <c r="B5239" s="182">
        <v>0</v>
      </c>
      <c r="C5239" s="182" t="s">
        <v>5037</v>
      </c>
      <c r="D5239" s="182" t="s">
        <v>4980</v>
      </c>
      <c r="E5239" s="183" t="s">
        <v>5054</v>
      </c>
    </row>
    <row r="5240" spans="1:5">
      <c r="A5240" s="182">
        <v>73513</v>
      </c>
      <c r="B5240" s="182">
        <v>0</v>
      </c>
      <c r="C5240" s="182" t="s">
        <v>5038</v>
      </c>
      <c r="D5240" s="182" t="s">
        <v>4981</v>
      </c>
      <c r="E5240" s="183" t="s">
        <v>5055</v>
      </c>
    </row>
    <row r="5241" spans="1:5">
      <c r="A5241" s="182">
        <v>73514</v>
      </c>
      <c r="B5241" s="182">
        <v>0</v>
      </c>
      <c r="C5241" s="182" t="s">
        <v>5039</v>
      </c>
      <c r="D5241" s="182" t="s">
        <v>4982</v>
      </c>
      <c r="E5241" s="183" t="s">
        <v>5056</v>
      </c>
    </row>
    <row r="5242" spans="1:5">
      <c r="A5242" s="182">
        <v>73515</v>
      </c>
      <c r="B5242" s="182">
        <v>0</v>
      </c>
      <c r="C5242" s="182" t="s">
        <v>5040</v>
      </c>
      <c r="D5242" s="182" t="s">
        <v>4983</v>
      </c>
      <c r="E5242" s="183" t="s">
        <v>5057</v>
      </c>
    </row>
    <row r="5243" spans="1:5">
      <c r="A5243" s="182">
        <v>73516</v>
      </c>
      <c r="B5243" s="182">
        <v>0</v>
      </c>
      <c r="C5243" s="182" t="s">
        <v>5041</v>
      </c>
      <c r="D5243" s="182" t="s">
        <v>4984</v>
      </c>
      <c r="E5243" s="183" t="s">
        <v>5058</v>
      </c>
    </row>
    <row r="5244" spans="1:5">
      <c r="A5244" s="182">
        <v>73517</v>
      </c>
      <c r="B5244" s="182">
        <v>0</v>
      </c>
      <c r="C5244" s="182" t="s">
        <v>5042</v>
      </c>
      <c r="D5244" s="182" t="s">
        <v>4985</v>
      </c>
      <c r="E5244" s="183" t="s">
        <v>5059</v>
      </c>
    </row>
    <row r="5245" spans="1:5">
      <c r="A5245" s="82">
        <v>73601</v>
      </c>
      <c r="B5245" s="82">
        <v>0</v>
      </c>
      <c r="C5245" s="82" t="s">
        <v>3854</v>
      </c>
      <c r="D5245" s="82" t="s">
        <v>4986</v>
      </c>
      <c r="E5245" s="84" t="s">
        <v>1155</v>
      </c>
    </row>
    <row r="5246" spans="1:5">
      <c r="A5246" s="82">
        <v>73602</v>
      </c>
      <c r="B5246" s="82">
        <v>0</v>
      </c>
      <c r="C5246" s="82" t="s">
        <v>5060</v>
      </c>
      <c r="D5246" s="82" t="s">
        <v>4987</v>
      </c>
      <c r="E5246" s="84" t="s">
        <v>5071</v>
      </c>
    </row>
    <row r="5247" spans="1:5">
      <c r="A5247" s="82">
        <v>73603</v>
      </c>
      <c r="B5247" s="82">
        <v>0</v>
      </c>
      <c r="C5247" s="82" t="s">
        <v>5061</v>
      </c>
      <c r="D5247" s="82" t="s">
        <v>4988</v>
      </c>
      <c r="E5247" s="84" t="s">
        <v>5072</v>
      </c>
    </row>
    <row r="5248" spans="1:5">
      <c r="A5248" s="82">
        <v>73604</v>
      </c>
      <c r="B5248" s="82">
        <v>0</v>
      </c>
      <c r="C5248" s="82" t="s">
        <v>3745</v>
      </c>
      <c r="D5248" s="82" t="s">
        <v>4989</v>
      </c>
      <c r="E5248" s="84" t="s">
        <v>720</v>
      </c>
    </row>
    <row r="5249" spans="1:5">
      <c r="A5249" s="82">
        <v>73605</v>
      </c>
      <c r="B5249" s="82">
        <v>0</v>
      </c>
      <c r="C5249" s="82" t="s">
        <v>4254</v>
      </c>
      <c r="D5249" s="82" t="s">
        <v>4990</v>
      </c>
      <c r="E5249" s="84" t="s">
        <v>2104</v>
      </c>
    </row>
    <row r="5250" spans="1:5">
      <c r="A5250" s="82">
        <v>73606</v>
      </c>
      <c r="B5250" s="82">
        <v>0</v>
      </c>
      <c r="C5250" s="82" t="s">
        <v>5062</v>
      </c>
      <c r="D5250" s="82" t="s">
        <v>4991</v>
      </c>
      <c r="E5250" s="84" t="s">
        <v>5073</v>
      </c>
    </row>
    <row r="5251" spans="1:5">
      <c r="A5251" s="82">
        <v>73607</v>
      </c>
      <c r="B5251" s="82">
        <v>0</v>
      </c>
      <c r="C5251" s="82" t="s">
        <v>5063</v>
      </c>
      <c r="D5251" s="82" t="s">
        <v>4992</v>
      </c>
      <c r="E5251" s="84" t="s">
        <v>5074</v>
      </c>
    </row>
    <row r="5252" spans="1:5">
      <c r="A5252" s="82">
        <v>73608</v>
      </c>
      <c r="B5252" s="82">
        <v>0</v>
      </c>
      <c r="C5252" s="82" t="s">
        <v>5064</v>
      </c>
      <c r="D5252" s="82" t="s">
        <v>4993</v>
      </c>
      <c r="E5252" s="84" t="s">
        <v>5075</v>
      </c>
    </row>
    <row r="5253" spans="1:5">
      <c r="A5253" s="82">
        <v>73609</v>
      </c>
      <c r="B5253" s="82">
        <v>0</v>
      </c>
      <c r="C5253" s="82" t="s">
        <v>5065</v>
      </c>
      <c r="D5253" s="82" t="s">
        <v>4994</v>
      </c>
      <c r="E5253" s="84" t="s">
        <v>5076</v>
      </c>
    </row>
    <row r="5254" spans="1:5">
      <c r="A5254" s="82">
        <v>73610</v>
      </c>
      <c r="B5254" s="82">
        <v>0</v>
      </c>
      <c r="C5254" s="82" t="s">
        <v>4263</v>
      </c>
      <c r="D5254" s="82" t="s">
        <v>4995</v>
      </c>
      <c r="E5254" s="84" t="s">
        <v>2131</v>
      </c>
    </row>
    <row r="5255" spans="1:5">
      <c r="A5255" s="82">
        <v>73611</v>
      </c>
      <c r="B5255" s="82">
        <v>0</v>
      </c>
      <c r="C5255" s="82" t="s">
        <v>5066</v>
      </c>
      <c r="D5255" s="82" t="s">
        <v>4996</v>
      </c>
      <c r="E5255" s="84" t="s">
        <v>5077</v>
      </c>
    </row>
    <row r="5256" spans="1:5">
      <c r="A5256" s="82">
        <v>73612</v>
      </c>
      <c r="B5256" s="82">
        <v>0</v>
      </c>
      <c r="C5256" s="82" t="s">
        <v>5067</v>
      </c>
      <c r="D5256" s="82" t="s">
        <v>4997</v>
      </c>
      <c r="E5256" s="84" t="s">
        <v>5078</v>
      </c>
    </row>
    <row r="5257" spans="1:5">
      <c r="A5257" s="82">
        <v>73613</v>
      </c>
      <c r="B5257" s="82">
        <v>0</v>
      </c>
      <c r="C5257" s="82" t="s">
        <v>5068</v>
      </c>
      <c r="D5257" s="82" t="s">
        <v>4998</v>
      </c>
      <c r="E5257" s="84" t="s">
        <v>5079</v>
      </c>
    </row>
    <row r="5258" spans="1:5">
      <c r="A5258" s="82">
        <v>73614</v>
      </c>
      <c r="B5258" s="82">
        <v>0</v>
      </c>
      <c r="C5258" s="82" t="s">
        <v>5069</v>
      </c>
      <c r="D5258" s="82" t="s">
        <v>4999</v>
      </c>
      <c r="E5258" s="84" t="s">
        <v>5080</v>
      </c>
    </row>
    <row r="5259" spans="1:5">
      <c r="A5259" s="82">
        <v>73615</v>
      </c>
      <c r="B5259" s="82">
        <v>0</v>
      </c>
      <c r="C5259" s="82" t="s">
        <v>5070</v>
      </c>
      <c r="D5259" s="82" t="s">
        <v>5000</v>
      </c>
      <c r="E5259" s="84" t="s">
        <v>5081</v>
      </c>
    </row>
    <row r="5260" spans="1:5">
      <c r="A5260" s="75">
        <v>75000</v>
      </c>
      <c r="B5260" s="75">
        <v>1</v>
      </c>
      <c r="C5260" s="75" t="s">
        <v>4253</v>
      </c>
      <c r="D5260" s="75" t="s">
        <v>6760</v>
      </c>
      <c r="E5260" s="75" t="s">
        <v>9209</v>
      </c>
    </row>
    <row r="5261" spans="1:5">
      <c r="A5261" s="75">
        <v>75001</v>
      </c>
      <c r="B5261" s="75">
        <v>1</v>
      </c>
      <c r="C5261" s="75" t="s">
        <v>9170</v>
      </c>
      <c r="D5261" s="75" t="s">
        <v>6761</v>
      </c>
      <c r="E5261" s="75" t="s">
        <v>9169</v>
      </c>
    </row>
    <row r="5262" spans="1:5">
      <c r="A5262" s="75">
        <v>75002</v>
      </c>
      <c r="B5262" s="75">
        <v>1</v>
      </c>
      <c r="C5262" s="75" t="s">
        <v>3752</v>
      </c>
      <c r="D5262" s="75" t="s">
        <v>6762</v>
      </c>
      <c r="E5262" s="75" t="s">
        <v>9206</v>
      </c>
    </row>
    <row r="5263" spans="1:5">
      <c r="A5263" s="75">
        <v>75003</v>
      </c>
      <c r="B5263" s="75">
        <v>1</v>
      </c>
      <c r="C5263" s="75" t="s">
        <v>3752</v>
      </c>
      <c r="D5263" s="75" t="s">
        <v>6763</v>
      </c>
      <c r="E5263" s="75" t="s">
        <v>9207</v>
      </c>
    </row>
    <row r="5264" spans="1:5">
      <c r="A5264" s="75">
        <v>75004</v>
      </c>
      <c r="B5264" s="75">
        <v>1</v>
      </c>
      <c r="C5264" s="75" t="s">
        <v>3752</v>
      </c>
      <c r="D5264" s="75" t="s">
        <v>6764</v>
      </c>
      <c r="E5264" s="75" t="s">
        <v>737</v>
      </c>
    </row>
    <row r="5265" spans="1:5">
      <c r="A5265" s="75">
        <v>75005</v>
      </c>
      <c r="B5265" s="75">
        <v>1</v>
      </c>
      <c r="C5265" s="75" t="s">
        <v>4248</v>
      </c>
      <c r="D5265" s="75" t="s">
        <v>6765</v>
      </c>
      <c r="E5265" s="75" t="s">
        <v>2086</v>
      </c>
    </row>
    <row r="5266" spans="1:5">
      <c r="A5266" s="203">
        <v>75006</v>
      </c>
      <c r="B5266" s="203">
        <v>1</v>
      </c>
      <c r="C5266" s="203" t="s">
        <v>3541</v>
      </c>
      <c r="D5266" s="203" t="s">
        <v>6766</v>
      </c>
      <c r="E5266" s="203" t="s">
        <v>277</v>
      </c>
    </row>
    <row r="5267" spans="1:5">
      <c r="A5267" s="203">
        <v>75007</v>
      </c>
      <c r="B5267" s="203">
        <v>1</v>
      </c>
      <c r="C5267" s="203" t="s">
        <v>3944</v>
      </c>
      <c r="D5267" s="203" t="s">
        <v>6767</v>
      </c>
      <c r="E5267" s="203" t="s">
        <v>3120</v>
      </c>
    </row>
    <row r="5268" spans="1:5">
      <c r="A5268" s="203">
        <v>75008</v>
      </c>
      <c r="B5268" s="203">
        <v>1</v>
      </c>
      <c r="C5268" s="203" t="s">
        <v>3355</v>
      </c>
      <c r="D5268" s="203" t="s">
        <v>6768</v>
      </c>
      <c r="E5268" s="203" t="s">
        <v>599</v>
      </c>
    </row>
    <row r="5269" spans="1:5">
      <c r="A5269" s="203">
        <v>75009</v>
      </c>
      <c r="B5269" s="203">
        <v>1</v>
      </c>
      <c r="C5269" s="203" t="s">
        <v>3944</v>
      </c>
      <c r="D5269" s="203" t="s">
        <v>6769</v>
      </c>
      <c r="E5269" s="203" t="s">
        <v>3120</v>
      </c>
    </row>
    <row r="5270" spans="1:5">
      <c r="A5270" s="203">
        <v>75010</v>
      </c>
      <c r="B5270" s="203">
        <v>1</v>
      </c>
      <c r="C5270" s="203" t="s">
        <v>3355</v>
      </c>
      <c r="D5270" s="203" t="s">
        <v>6770</v>
      </c>
      <c r="E5270" s="203" t="s">
        <v>599</v>
      </c>
    </row>
    <row r="5271" spans="1:5">
      <c r="A5271" s="203">
        <v>75011</v>
      </c>
      <c r="B5271" s="203">
        <v>1</v>
      </c>
      <c r="C5271" s="203" t="s">
        <v>3944</v>
      </c>
      <c r="D5271" s="203" t="s">
        <v>6771</v>
      </c>
      <c r="E5271" s="203" t="s">
        <v>3120</v>
      </c>
    </row>
    <row r="5272" spans="1:5">
      <c r="A5272" s="203">
        <v>75012</v>
      </c>
      <c r="B5272" s="203">
        <v>1</v>
      </c>
      <c r="C5272" s="203" t="s">
        <v>3355</v>
      </c>
      <c r="D5272" s="203" t="s">
        <v>6772</v>
      </c>
      <c r="E5272" s="203" t="s">
        <v>599</v>
      </c>
    </row>
    <row r="5273" spans="1:5">
      <c r="A5273" s="203">
        <v>75013</v>
      </c>
      <c r="B5273" s="203">
        <v>1</v>
      </c>
      <c r="C5273" s="203" t="s">
        <v>3944</v>
      </c>
      <c r="D5273" s="203" t="s">
        <v>6773</v>
      </c>
      <c r="E5273" s="203" t="s">
        <v>3120</v>
      </c>
    </row>
    <row r="5274" spans="1:5">
      <c r="A5274" s="203">
        <v>75014</v>
      </c>
      <c r="B5274" s="203">
        <v>1</v>
      </c>
      <c r="C5274" s="203" t="s">
        <v>3355</v>
      </c>
      <c r="D5274" s="203" t="s">
        <v>6774</v>
      </c>
      <c r="E5274" s="203" t="s">
        <v>599</v>
      </c>
    </row>
    <row r="5275" spans="1:5">
      <c r="A5275" s="75">
        <v>75015</v>
      </c>
      <c r="B5275" s="75">
        <v>1</v>
      </c>
      <c r="C5275" s="75" t="s">
        <v>3709</v>
      </c>
      <c r="D5275" s="75" t="s">
        <v>6775</v>
      </c>
      <c r="E5275" s="75" t="s">
        <v>612</v>
      </c>
    </row>
    <row r="5276" spans="1:5">
      <c r="A5276" s="75">
        <v>75016</v>
      </c>
      <c r="B5276" s="75">
        <v>1</v>
      </c>
      <c r="C5276" s="75" t="s">
        <v>3350</v>
      </c>
      <c r="D5276" s="75" t="s">
        <v>6776</v>
      </c>
      <c r="E5276" s="75" t="s">
        <v>616</v>
      </c>
    </row>
    <row r="5277" spans="1:5">
      <c r="A5277" s="75">
        <v>75017</v>
      </c>
      <c r="B5277" s="75">
        <v>1</v>
      </c>
      <c r="C5277" s="75" t="s">
        <v>3352</v>
      </c>
      <c r="D5277" s="75" t="s">
        <v>6777</v>
      </c>
      <c r="E5277" s="75" t="s">
        <v>713</v>
      </c>
    </row>
    <row r="5278" spans="1:5">
      <c r="A5278" s="75">
        <v>75018</v>
      </c>
      <c r="B5278" s="75">
        <v>1</v>
      </c>
      <c r="C5278" s="75" t="s">
        <v>3353</v>
      </c>
      <c r="D5278" s="75" t="s">
        <v>6778</v>
      </c>
      <c r="E5278" s="75" t="s">
        <v>1293</v>
      </c>
    </row>
    <row r="5279" spans="1:5">
      <c r="A5279" s="75">
        <v>75019</v>
      </c>
      <c r="B5279" s="75">
        <v>1</v>
      </c>
      <c r="C5279" s="75" t="s">
        <v>3354</v>
      </c>
      <c r="D5279" s="75" t="s">
        <v>6779</v>
      </c>
      <c r="E5279" s="75" t="s">
        <v>782</v>
      </c>
    </row>
    <row r="5280" spans="1:5">
      <c r="A5280" s="75">
        <v>75020</v>
      </c>
      <c r="B5280" s="75">
        <v>1</v>
      </c>
      <c r="C5280" s="75" t="s">
        <v>3355</v>
      </c>
      <c r="D5280" s="75" t="s">
        <v>6780</v>
      </c>
      <c r="E5280" s="75" t="s">
        <v>599</v>
      </c>
    </row>
    <row r="5281" spans="1:5">
      <c r="A5281" s="203">
        <v>75021</v>
      </c>
      <c r="B5281" s="203">
        <v>1</v>
      </c>
      <c r="C5281" s="203" t="s">
        <v>6905</v>
      </c>
      <c r="D5281" s="203" t="s">
        <v>6781</v>
      </c>
      <c r="E5281" s="203" t="s">
        <v>6965</v>
      </c>
    </row>
    <row r="5282" spans="1:5">
      <c r="A5282" s="203">
        <v>75022</v>
      </c>
      <c r="B5282" s="203">
        <v>1</v>
      </c>
      <c r="C5282" s="203" t="s">
        <v>6906</v>
      </c>
      <c r="D5282" s="203" t="s">
        <v>6782</v>
      </c>
      <c r="E5282" s="203" t="s">
        <v>6966</v>
      </c>
    </row>
    <row r="5283" spans="1:5">
      <c r="A5283" s="203">
        <v>75023</v>
      </c>
      <c r="B5283" s="203">
        <v>1</v>
      </c>
      <c r="C5283" s="203" t="s">
        <v>6907</v>
      </c>
      <c r="D5283" s="203" t="s">
        <v>6783</v>
      </c>
      <c r="E5283" s="203" t="s">
        <v>6967</v>
      </c>
    </row>
    <row r="5284" spans="1:5">
      <c r="A5284" s="203">
        <v>75024</v>
      </c>
      <c r="B5284" s="203">
        <v>1</v>
      </c>
      <c r="C5284" s="203" t="s">
        <v>6908</v>
      </c>
      <c r="D5284" s="203" t="s">
        <v>6784</v>
      </c>
      <c r="E5284" s="203" t="s">
        <v>6968</v>
      </c>
    </row>
    <row r="5285" spans="1:5">
      <c r="A5285" s="203">
        <v>75025</v>
      </c>
      <c r="B5285" s="203">
        <v>1</v>
      </c>
      <c r="C5285" s="203" t="s">
        <v>6909</v>
      </c>
      <c r="D5285" s="203" t="s">
        <v>6785</v>
      </c>
      <c r="E5285" s="203" t="s">
        <v>6969</v>
      </c>
    </row>
    <row r="5286" spans="1:5">
      <c r="A5286" s="128">
        <v>75026</v>
      </c>
      <c r="B5286" s="128">
        <v>1</v>
      </c>
      <c r="C5286" s="128" t="s">
        <v>4256</v>
      </c>
      <c r="D5286" s="128" t="s">
        <v>6760</v>
      </c>
      <c r="E5286" s="128" t="s">
        <v>9210</v>
      </c>
    </row>
    <row r="5287" spans="1:5">
      <c r="A5287" s="128">
        <v>75027</v>
      </c>
      <c r="B5287" s="128">
        <v>1</v>
      </c>
      <c r="C5287" s="128" t="s">
        <v>9213</v>
      </c>
      <c r="D5287" s="128" t="s">
        <v>6786</v>
      </c>
      <c r="E5287" s="128" t="s">
        <v>9214</v>
      </c>
    </row>
    <row r="5288" spans="1:5">
      <c r="A5288" s="128">
        <v>75028</v>
      </c>
      <c r="B5288" s="128">
        <v>1</v>
      </c>
      <c r="C5288" s="128" t="s">
        <v>3730</v>
      </c>
      <c r="D5288" s="128" t="s">
        <v>6787</v>
      </c>
      <c r="E5288" s="128" t="s">
        <v>655</v>
      </c>
    </row>
    <row r="5289" spans="1:5">
      <c r="A5289" s="128">
        <v>75029</v>
      </c>
      <c r="B5289" s="128">
        <v>1</v>
      </c>
      <c r="C5289" s="128" t="s">
        <v>3728</v>
      </c>
      <c r="D5289" s="128" t="s">
        <v>6788</v>
      </c>
      <c r="E5289" s="128" t="s">
        <v>651</v>
      </c>
    </row>
    <row r="5290" spans="1:5">
      <c r="A5290" s="128">
        <v>75030</v>
      </c>
      <c r="B5290" s="128">
        <v>1</v>
      </c>
      <c r="C5290" s="128" t="s">
        <v>3727</v>
      </c>
      <c r="D5290" s="128" t="s">
        <v>6789</v>
      </c>
      <c r="E5290" s="128" t="s">
        <v>647</v>
      </c>
    </row>
    <row r="5291" spans="1:5">
      <c r="A5291" s="128">
        <v>75031</v>
      </c>
      <c r="B5291" s="128">
        <v>1</v>
      </c>
      <c r="C5291" s="128" t="s">
        <v>6910</v>
      </c>
      <c r="D5291" s="128" t="s">
        <v>6790</v>
      </c>
      <c r="E5291" s="128" t="s">
        <v>6970</v>
      </c>
    </row>
    <row r="5292" spans="1:5">
      <c r="A5292" s="128">
        <v>75032</v>
      </c>
      <c r="B5292" s="128">
        <v>1</v>
      </c>
      <c r="C5292" s="128" t="s">
        <v>3720</v>
      </c>
      <c r="D5292" s="128" t="s">
        <v>6791</v>
      </c>
      <c r="E5292" s="128" t="s">
        <v>635</v>
      </c>
    </row>
    <row r="5293" spans="1:5">
      <c r="A5293" s="128">
        <v>75033</v>
      </c>
      <c r="B5293" s="128">
        <v>1</v>
      </c>
      <c r="C5293" s="128" t="s">
        <v>4255</v>
      </c>
      <c r="D5293" s="128" t="s">
        <v>6792</v>
      </c>
      <c r="E5293" s="128" t="s">
        <v>2107</v>
      </c>
    </row>
    <row r="5294" spans="1:5">
      <c r="A5294" s="128">
        <v>75034</v>
      </c>
      <c r="B5294" s="128">
        <v>1</v>
      </c>
      <c r="C5294" s="128" t="s">
        <v>3328</v>
      </c>
      <c r="D5294" s="128" t="s">
        <v>6793</v>
      </c>
      <c r="E5294" s="128" t="s">
        <v>928</v>
      </c>
    </row>
    <row r="5295" spans="1:5">
      <c r="A5295" s="128">
        <v>75035</v>
      </c>
      <c r="B5295" s="128">
        <v>1</v>
      </c>
      <c r="C5295" s="128" t="s">
        <v>3700</v>
      </c>
      <c r="D5295" s="128" t="s">
        <v>6794</v>
      </c>
      <c r="E5295" s="128" t="s">
        <v>1417</v>
      </c>
    </row>
    <row r="5296" spans="1:5">
      <c r="A5296" s="128">
        <v>75036</v>
      </c>
      <c r="B5296" s="128">
        <v>1</v>
      </c>
      <c r="C5296" s="128" t="s">
        <v>4297</v>
      </c>
      <c r="D5296" s="128" t="s">
        <v>6795</v>
      </c>
      <c r="E5296" s="128" t="s">
        <v>2213</v>
      </c>
    </row>
    <row r="5297" spans="1:5">
      <c r="A5297" s="128">
        <v>75037</v>
      </c>
      <c r="B5297" s="128">
        <v>1</v>
      </c>
      <c r="C5297" s="128" t="s">
        <v>4298</v>
      </c>
      <c r="D5297" s="128" t="s">
        <v>6796</v>
      </c>
      <c r="E5297" s="128" t="s">
        <v>2215</v>
      </c>
    </row>
    <row r="5298" spans="1:5">
      <c r="A5298" s="128">
        <v>75038</v>
      </c>
      <c r="B5298" s="128">
        <v>1</v>
      </c>
      <c r="C5298" s="128" t="s">
        <v>4299</v>
      </c>
      <c r="D5298" s="128" t="s">
        <v>6797</v>
      </c>
      <c r="E5298" s="128" t="s">
        <v>2217</v>
      </c>
    </row>
    <row r="5299" spans="1:5">
      <c r="A5299" s="128">
        <v>75039</v>
      </c>
      <c r="B5299" s="128">
        <v>1</v>
      </c>
      <c r="C5299" s="128" t="s">
        <v>4300</v>
      </c>
      <c r="D5299" s="128" t="s">
        <v>6798</v>
      </c>
      <c r="E5299" s="128" t="s">
        <v>2218</v>
      </c>
    </row>
    <row r="5300" spans="1:5">
      <c r="A5300" s="128">
        <v>75040</v>
      </c>
      <c r="B5300" s="128">
        <v>1</v>
      </c>
      <c r="C5300" s="128" t="s">
        <v>6911</v>
      </c>
      <c r="D5300" s="128" t="s">
        <v>6799</v>
      </c>
      <c r="E5300" s="128" t="s">
        <v>6971</v>
      </c>
    </row>
    <row r="5301" spans="1:5">
      <c r="A5301" s="128">
        <v>75041</v>
      </c>
      <c r="B5301" s="128">
        <v>1</v>
      </c>
      <c r="C5301" s="128" t="s">
        <v>6912</v>
      </c>
      <c r="D5301" s="128" t="s">
        <v>6800</v>
      </c>
      <c r="E5301" s="128" t="s">
        <v>6972</v>
      </c>
    </row>
    <row r="5302" spans="1:5">
      <c r="A5302" s="128">
        <v>75042</v>
      </c>
      <c r="B5302" s="128">
        <v>1</v>
      </c>
      <c r="C5302" s="128" t="s">
        <v>6913</v>
      </c>
      <c r="D5302" s="128" t="s">
        <v>6801</v>
      </c>
      <c r="E5302" s="128" t="s">
        <v>6973</v>
      </c>
    </row>
    <row r="5303" spans="1:5">
      <c r="A5303" s="128">
        <v>75043</v>
      </c>
      <c r="B5303" s="128">
        <v>1</v>
      </c>
      <c r="C5303" s="128" t="s">
        <v>6914</v>
      </c>
      <c r="D5303" s="128" t="s">
        <v>6802</v>
      </c>
      <c r="E5303" s="128" t="s">
        <v>6974</v>
      </c>
    </row>
    <row r="5304" spans="1:5">
      <c r="A5304" s="128">
        <v>75044</v>
      </c>
      <c r="B5304" s="128">
        <v>1</v>
      </c>
      <c r="C5304" s="128" t="s">
        <v>6915</v>
      </c>
      <c r="D5304" s="128" t="s">
        <v>6803</v>
      </c>
      <c r="E5304" s="128" t="s">
        <v>6975</v>
      </c>
    </row>
    <row r="5305" spans="1:5">
      <c r="A5305" s="203">
        <v>75045</v>
      </c>
      <c r="B5305" s="203">
        <v>1</v>
      </c>
      <c r="C5305" s="203" t="s">
        <v>4256</v>
      </c>
      <c r="D5305" s="203" t="s">
        <v>6760</v>
      </c>
      <c r="E5305" s="203" t="s">
        <v>2111</v>
      </c>
    </row>
    <row r="5306" spans="1:5">
      <c r="A5306" s="75">
        <v>75046</v>
      </c>
      <c r="B5306" s="75">
        <v>1</v>
      </c>
      <c r="C5306" s="75" t="s">
        <v>9171</v>
      </c>
      <c r="D5306" s="75" t="s">
        <v>6804</v>
      </c>
      <c r="E5306" s="75" t="s">
        <v>9205</v>
      </c>
    </row>
    <row r="5307" spans="1:5">
      <c r="A5307" s="75">
        <v>75047</v>
      </c>
      <c r="B5307" s="75">
        <v>1</v>
      </c>
      <c r="C5307" s="75" t="s">
        <v>3357</v>
      </c>
      <c r="D5307" s="75" t="s">
        <v>6805</v>
      </c>
      <c r="E5307" s="75" t="s">
        <v>1320</v>
      </c>
    </row>
    <row r="5308" spans="1:5">
      <c r="A5308" s="75">
        <v>75048</v>
      </c>
      <c r="B5308" s="75">
        <v>1</v>
      </c>
      <c r="C5308" s="75" t="s">
        <v>3358</v>
      </c>
      <c r="D5308" s="75" t="s">
        <v>6806</v>
      </c>
      <c r="E5308" s="75" t="s">
        <v>1327</v>
      </c>
    </row>
    <row r="5309" spans="1:5">
      <c r="A5309" s="75">
        <v>75049</v>
      </c>
      <c r="B5309" s="75">
        <v>1</v>
      </c>
      <c r="C5309" s="75" t="s">
        <v>3359</v>
      </c>
      <c r="D5309" s="75" t="s">
        <v>6807</v>
      </c>
      <c r="E5309" s="75" t="s">
        <v>1334</v>
      </c>
    </row>
    <row r="5310" spans="1:5">
      <c r="A5310" s="75">
        <v>75050</v>
      </c>
      <c r="B5310" s="75">
        <v>1</v>
      </c>
      <c r="C5310" s="75" t="s">
        <v>3360</v>
      </c>
      <c r="D5310" s="75" t="s">
        <v>6808</v>
      </c>
      <c r="E5310" s="75" t="s">
        <v>604</v>
      </c>
    </row>
    <row r="5311" spans="1:5">
      <c r="A5311" s="203">
        <v>75051</v>
      </c>
      <c r="B5311" s="203">
        <v>1</v>
      </c>
      <c r="C5311" s="203" t="s">
        <v>6909</v>
      </c>
      <c r="D5311" s="203" t="s">
        <v>6809</v>
      </c>
      <c r="E5311" s="203" t="s">
        <v>6969</v>
      </c>
    </row>
    <row r="5312" spans="1:5">
      <c r="A5312" s="203">
        <v>75052</v>
      </c>
      <c r="B5312" s="203">
        <v>1</v>
      </c>
      <c r="C5312" s="203" t="s">
        <v>6916</v>
      </c>
      <c r="D5312" s="203" t="s">
        <v>6810</v>
      </c>
      <c r="E5312" s="203" t="s">
        <v>6976</v>
      </c>
    </row>
    <row r="5313" spans="1:5">
      <c r="A5313" s="203">
        <v>75053</v>
      </c>
      <c r="B5313" s="203">
        <v>1</v>
      </c>
      <c r="C5313" s="203" t="s">
        <v>6917</v>
      </c>
      <c r="D5313" s="203" t="s">
        <v>6811</v>
      </c>
      <c r="E5313" s="203" t="s">
        <v>6977</v>
      </c>
    </row>
    <row r="5314" spans="1:5">
      <c r="A5314" s="203">
        <v>75054</v>
      </c>
      <c r="B5314" s="203">
        <v>1</v>
      </c>
      <c r="C5314" s="203" t="s">
        <v>6918</v>
      </c>
      <c r="D5314" s="203" t="s">
        <v>6812</v>
      </c>
      <c r="E5314" s="203" t="s">
        <v>6978</v>
      </c>
    </row>
    <row r="5315" spans="1:5">
      <c r="A5315" s="203">
        <v>75055</v>
      </c>
      <c r="B5315" s="203">
        <v>1</v>
      </c>
      <c r="C5315" s="203" t="s">
        <v>6919</v>
      </c>
      <c r="D5315" s="203" t="s">
        <v>6813</v>
      </c>
      <c r="E5315" s="203" t="s">
        <v>6979</v>
      </c>
    </row>
    <row r="5316" spans="1:5">
      <c r="A5316" s="203">
        <v>75056</v>
      </c>
      <c r="B5316" s="203">
        <v>1</v>
      </c>
      <c r="C5316" s="203" t="s">
        <v>6920</v>
      </c>
      <c r="D5316" s="203" t="s">
        <v>6814</v>
      </c>
      <c r="E5316" s="203" t="s">
        <v>6980</v>
      </c>
    </row>
    <row r="5317" spans="1:5">
      <c r="A5317" s="203">
        <v>75057</v>
      </c>
      <c r="B5317" s="203">
        <v>1</v>
      </c>
      <c r="C5317" s="203" t="s">
        <v>4605</v>
      </c>
      <c r="D5317" s="203" t="s">
        <v>6815</v>
      </c>
      <c r="E5317" s="203" t="s">
        <v>3205</v>
      </c>
    </row>
    <row r="5318" spans="1:5">
      <c r="A5318" s="203">
        <v>75058</v>
      </c>
      <c r="B5318" s="203">
        <v>1</v>
      </c>
      <c r="C5318" s="203" t="s">
        <v>6921</v>
      </c>
      <c r="D5318" s="203" t="s">
        <v>6816</v>
      </c>
      <c r="E5318" s="203" t="s">
        <v>6981</v>
      </c>
    </row>
    <row r="5319" spans="1:5">
      <c r="A5319" s="203">
        <v>75059</v>
      </c>
      <c r="B5319" s="203">
        <v>1</v>
      </c>
      <c r="C5319" s="203" t="s">
        <v>6922</v>
      </c>
      <c r="D5319" s="203" t="s">
        <v>6817</v>
      </c>
      <c r="E5319" s="203" t="s">
        <v>6982</v>
      </c>
    </row>
    <row r="5320" spans="1:5">
      <c r="A5320" s="203">
        <v>75060</v>
      </c>
      <c r="B5320" s="203">
        <v>1</v>
      </c>
      <c r="C5320" s="203" t="s">
        <v>4437</v>
      </c>
      <c r="D5320" s="203" t="s">
        <v>6818</v>
      </c>
      <c r="E5320" s="203" t="s">
        <v>2682</v>
      </c>
    </row>
    <row r="5321" spans="1:5">
      <c r="A5321" s="203">
        <v>75061</v>
      </c>
      <c r="B5321" s="203">
        <v>1</v>
      </c>
      <c r="C5321" s="203" t="s">
        <v>3338</v>
      </c>
      <c r="D5321" s="203" t="s">
        <v>6819</v>
      </c>
      <c r="E5321" s="203" t="s">
        <v>937</v>
      </c>
    </row>
    <row r="5322" spans="1:5">
      <c r="A5322" s="203">
        <v>75062</v>
      </c>
      <c r="B5322" s="203">
        <v>1</v>
      </c>
      <c r="C5322" s="203" t="s">
        <v>3336</v>
      </c>
      <c r="D5322" s="203" t="s">
        <v>6820</v>
      </c>
      <c r="E5322" s="203" t="s">
        <v>2228</v>
      </c>
    </row>
    <row r="5323" spans="1:5">
      <c r="A5323" s="203">
        <v>75063</v>
      </c>
      <c r="B5323" s="203">
        <v>1</v>
      </c>
      <c r="C5323" s="203" t="s">
        <v>4304</v>
      </c>
      <c r="D5323" s="203" t="s">
        <v>6821</v>
      </c>
      <c r="E5323" s="203" t="s">
        <v>2231</v>
      </c>
    </row>
    <row r="5324" spans="1:5">
      <c r="A5324" s="203">
        <v>75064</v>
      </c>
      <c r="B5324" s="203">
        <v>1</v>
      </c>
      <c r="C5324" s="203" t="s">
        <v>4305</v>
      </c>
      <c r="D5324" s="203" t="s">
        <v>6822</v>
      </c>
      <c r="E5324" s="203" t="s">
        <v>2234</v>
      </c>
    </row>
    <row r="5325" spans="1:5">
      <c r="A5325" s="203">
        <v>75065</v>
      </c>
      <c r="B5325" s="203">
        <v>1</v>
      </c>
      <c r="C5325" s="203" t="s">
        <v>4515</v>
      </c>
      <c r="D5325" s="203" t="s">
        <v>6823</v>
      </c>
      <c r="E5325" s="203" t="s">
        <v>2938</v>
      </c>
    </row>
    <row r="5326" spans="1:5">
      <c r="A5326" s="203">
        <v>75066</v>
      </c>
      <c r="B5326" s="203">
        <v>1</v>
      </c>
      <c r="C5326" s="203" t="s">
        <v>4517</v>
      </c>
      <c r="D5326" s="203" t="s">
        <v>6824</v>
      </c>
      <c r="E5326" s="203" t="s">
        <v>2946</v>
      </c>
    </row>
    <row r="5327" spans="1:5">
      <c r="A5327" s="128">
        <v>75067</v>
      </c>
      <c r="B5327" s="128">
        <v>1</v>
      </c>
      <c r="C5327" s="128" t="s">
        <v>4256</v>
      </c>
      <c r="D5327" s="128" t="s">
        <v>6760</v>
      </c>
      <c r="E5327" s="128" t="s">
        <v>2111</v>
      </c>
    </row>
    <row r="5328" spans="1:5">
      <c r="A5328" s="128">
        <v>75068</v>
      </c>
      <c r="B5328" s="128">
        <v>1</v>
      </c>
      <c r="C5328" s="128" t="s">
        <v>9173</v>
      </c>
      <c r="D5328" s="128" t="s">
        <v>6825</v>
      </c>
      <c r="E5328" s="128" t="s">
        <v>9172</v>
      </c>
    </row>
    <row r="5329" spans="1:5">
      <c r="A5329" s="128">
        <v>75069</v>
      </c>
      <c r="B5329" s="128">
        <v>1</v>
      </c>
      <c r="C5329" s="128" t="s">
        <v>6923</v>
      </c>
      <c r="D5329" s="128" t="s">
        <v>6826</v>
      </c>
      <c r="E5329" s="128" t="s">
        <v>6983</v>
      </c>
    </row>
    <row r="5330" spans="1:5">
      <c r="A5330" s="128">
        <v>75070</v>
      </c>
      <c r="B5330" s="128">
        <v>1</v>
      </c>
      <c r="C5330" s="128" t="s">
        <v>6924</v>
      </c>
      <c r="D5330" s="128" t="s">
        <v>6827</v>
      </c>
      <c r="E5330" s="128" t="s">
        <v>6984</v>
      </c>
    </row>
    <row r="5331" spans="1:5">
      <c r="A5331" s="128">
        <v>75071</v>
      </c>
      <c r="B5331" s="128">
        <v>1</v>
      </c>
      <c r="C5331" s="128" t="s">
        <v>6925</v>
      </c>
      <c r="D5331" s="128" t="s">
        <v>6828</v>
      </c>
      <c r="E5331" s="128" t="s">
        <v>6985</v>
      </c>
    </row>
    <row r="5332" spans="1:5">
      <c r="A5332" s="128">
        <v>75072</v>
      </c>
      <c r="B5332" s="128">
        <v>1</v>
      </c>
      <c r="C5332" s="128" t="s">
        <v>6926</v>
      </c>
      <c r="D5332" s="128" t="s">
        <v>6829</v>
      </c>
      <c r="E5332" s="128" t="s">
        <v>6986</v>
      </c>
    </row>
    <row r="5333" spans="1:5">
      <c r="A5333" s="128">
        <v>75073</v>
      </c>
      <c r="B5333" s="128">
        <v>1</v>
      </c>
      <c r="C5333" s="128" t="s">
        <v>6927</v>
      </c>
      <c r="D5333" s="128" t="s">
        <v>6830</v>
      </c>
      <c r="E5333" s="128" t="s">
        <v>6987</v>
      </c>
    </row>
    <row r="5334" spans="1:5">
      <c r="A5334" s="128">
        <v>75074</v>
      </c>
      <c r="B5334" s="128">
        <v>1</v>
      </c>
      <c r="C5334" s="128" t="s">
        <v>6928</v>
      </c>
      <c r="D5334" s="128" t="s">
        <v>6831</v>
      </c>
      <c r="E5334" s="128" t="s">
        <v>6988</v>
      </c>
    </row>
    <row r="5335" spans="1:5">
      <c r="A5335" s="128">
        <v>75075</v>
      </c>
      <c r="B5335" s="128">
        <v>1</v>
      </c>
      <c r="C5335" s="128" t="s">
        <v>6929</v>
      </c>
      <c r="D5335" s="128" t="s">
        <v>6832</v>
      </c>
      <c r="E5335" s="128" t="s">
        <v>6989</v>
      </c>
    </row>
    <row r="5336" spans="1:5">
      <c r="A5336" s="128">
        <v>75076</v>
      </c>
      <c r="B5336" s="128">
        <v>1</v>
      </c>
      <c r="C5336" s="128" t="s">
        <v>6930</v>
      </c>
      <c r="D5336" s="128" t="s">
        <v>6833</v>
      </c>
      <c r="E5336" s="128" t="s">
        <v>6990</v>
      </c>
    </row>
    <row r="5337" spans="1:5">
      <c r="A5337" s="128">
        <v>75077</v>
      </c>
      <c r="B5337" s="128">
        <v>1</v>
      </c>
      <c r="C5337" s="128" t="s">
        <v>6931</v>
      </c>
      <c r="D5337" s="128" t="s">
        <v>6834</v>
      </c>
      <c r="E5337" s="128" t="s">
        <v>6991</v>
      </c>
    </row>
    <row r="5338" spans="1:5">
      <c r="A5338" s="128">
        <v>75078</v>
      </c>
      <c r="B5338" s="128">
        <v>1</v>
      </c>
      <c r="C5338" s="128" t="s">
        <v>6932</v>
      </c>
      <c r="D5338" s="128" t="s">
        <v>6835</v>
      </c>
      <c r="E5338" s="128" t="s">
        <v>6992</v>
      </c>
    </row>
    <row r="5339" spans="1:5">
      <c r="A5339" s="128">
        <v>75079</v>
      </c>
      <c r="B5339" s="128">
        <v>1</v>
      </c>
      <c r="C5339" s="128" t="s">
        <v>6933</v>
      </c>
      <c r="D5339" s="128" t="s">
        <v>6836</v>
      </c>
      <c r="E5339" s="128" t="s">
        <v>6993</v>
      </c>
    </row>
    <row r="5340" spans="1:5">
      <c r="A5340" s="128">
        <v>75080</v>
      </c>
      <c r="B5340" s="128">
        <v>1</v>
      </c>
      <c r="C5340" s="128" t="s">
        <v>6934</v>
      </c>
      <c r="D5340" s="128" t="s">
        <v>6837</v>
      </c>
      <c r="E5340" s="128" t="s">
        <v>6994</v>
      </c>
    </row>
    <row r="5341" spans="1:5">
      <c r="A5341" s="128">
        <v>75081</v>
      </c>
      <c r="B5341" s="128">
        <v>1</v>
      </c>
      <c r="C5341" s="128" t="s">
        <v>6935</v>
      </c>
      <c r="D5341" s="128" t="s">
        <v>6838</v>
      </c>
      <c r="E5341" s="128" t="s">
        <v>6995</v>
      </c>
    </row>
    <row r="5342" spans="1:5">
      <c r="A5342" s="128">
        <v>75082</v>
      </c>
      <c r="B5342" s="128">
        <v>1</v>
      </c>
      <c r="C5342" s="128" t="s">
        <v>6936</v>
      </c>
      <c r="D5342" s="128" t="s">
        <v>6839</v>
      </c>
      <c r="E5342" s="128" t="s">
        <v>6996</v>
      </c>
    </row>
    <row r="5343" spans="1:5">
      <c r="A5343" s="128">
        <v>75083</v>
      </c>
      <c r="B5343" s="128">
        <v>1</v>
      </c>
      <c r="C5343" s="128" t="s">
        <v>6937</v>
      </c>
      <c r="D5343" s="128" t="s">
        <v>6840</v>
      </c>
      <c r="E5343" s="128" t="s">
        <v>6997</v>
      </c>
    </row>
    <row r="5344" spans="1:5">
      <c r="A5344" s="128">
        <v>75084</v>
      </c>
      <c r="B5344" s="128">
        <v>1</v>
      </c>
      <c r="C5344" s="128" t="s">
        <v>3853</v>
      </c>
      <c r="D5344" s="128" t="s">
        <v>6841</v>
      </c>
      <c r="E5344" s="128" t="s">
        <v>1154</v>
      </c>
    </row>
    <row r="5345" spans="1:5">
      <c r="A5345" s="128">
        <v>75085</v>
      </c>
      <c r="B5345" s="128">
        <v>1</v>
      </c>
      <c r="C5345" s="128" t="s">
        <v>3855</v>
      </c>
      <c r="D5345" s="128" t="s">
        <v>6842</v>
      </c>
      <c r="E5345" s="128" t="s">
        <v>1156</v>
      </c>
    </row>
    <row r="5346" spans="1:5">
      <c r="A5346" s="128">
        <v>75086</v>
      </c>
      <c r="B5346" s="128">
        <v>1</v>
      </c>
      <c r="C5346" s="128" t="s">
        <v>5060</v>
      </c>
      <c r="D5346" s="128" t="s">
        <v>6843</v>
      </c>
      <c r="E5346" s="128" t="s">
        <v>5071</v>
      </c>
    </row>
    <row r="5347" spans="1:5">
      <c r="A5347" s="128">
        <v>75087</v>
      </c>
      <c r="B5347" s="128">
        <v>1</v>
      </c>
      <c r="C5347" s="128" t="s">
        <v>3856</v>
      </c>
      <c r="D5347" s="128" t="s">
        <v>6844</v>
      </c>
      <c r="E5347" s="128" t="s">
        <v>1157</v>
      </c>
    </row>
    <row r="5348" spans="1:5">
      <c r="A5348" s="128">
        <v>75088</v>
      </c>
      <c r="B5348" s="128">
        <v>1</v>
      </c>
      <c r="C5348" s="128" t="s">
        <v>3758</v>
      </c>
      <c r="D5348" s="128" t="s">
        <v>6845</v>
      </c>
      <c r="E5348" s="128" t="s">
        <v>762</v>
      </c>
    </row>
    <row r="5349" spans="1:5">
      <c r="A5349" s="203">
        <v>75089</v>
      </c>
      <c r="B5349" s="203">
        <v>1</v>
      </c>
      <c r="C5349" s="75" t="s">
        <v>4256</v>
      </c>
      <c r="D5349" s="203" t="s">
        <v>6760</v>
      </c>
      <c r="E5349" s="203" t="s">
        <v>2111</v>
      </c>
    </row>
    <row r="5350" spans="1:5">
      <c r="A5350" s="75">
        <v>75090</v>
      </c>
      <c r="B5350" s="75">
        <v>1</v>
      </c>
      <c r="C5350" s="75" t="s">
        <v>9176</v>
      </c>
      <c r="D5350" s="75" t="s">
        <v>6846</v>
      </c>
      <c r="E5350" s="75" t="s">
        <v>9177</v>
      </c>
    </row>
    <row r="5351" spans="1:5">
      <c r="A5351" s="203">
        <v>75091</v>
      </c>
      <c r="B5351" s="203">
        <v>1</v>
      </c>
      <c r="C5351" s="203" t="s">
        <v>4248</v>
      </c>
      <c r="D5351" s="203" t="s">
        <v>6847</v>
      </c>
      <c r="E5351" s="203" t="s">
        <v>2086</v>
      </c>
    </row>
    <row r="5352" spans="1:5">
      <c r="A5352" s="203">
        <v>75092</v>
      </c>
      <c r="B5352" s="203">
        <v>1</v>
      </c>
      <c r="C5352" s="203" t="s">
        <v>6938</v>
      </c>
      <c r="D5352" s="203" t="s">
        <v>6848</v>
      </c>
      <c r="E5352" s="203" t="s">
        <v>6998</v>
      </c>
    </row>
    <row r="5353" spans="1:5">
      <c r="A5353" s="203">
        <v>75093</v>
      </c>
      <c r="B5353" s="203">
        <v>1</v>
      </c>
      <c r="C5353" s="203" t="s">
        <v>4260</v>
      </c>
      <c r="D5353" s="203" t="s">
        <v>6849</v>
      </c>
      <c r="E5353" s="203" t="s">
        <v>2125</v>
      </c>
    </row>
    <row r="5354" spans="1:5">
      <c r="A5354" s="203">
        <v>75094</v>
      </c>
      <c r="B5354" s="203">
        <v>1</v>
      </c>
      <c r="C5354" s="203" t="s">
        <v>6939</v>
      </c>
      <c r="D5354" s="203" t="s">
        <v>6850</v>
      </c>
      <c r="E5354" s="203" t="s">
        <v>6999</v>
      </c>
    </row>
    <row r="5355" spans="1:5">
      <c r="A5355" s="203">
        <v>75095</v>
      </c>
      <c r="B5355" s="203">
        <v>1</v>
      </c>
      <c r="C5355" s="203" t="s">
        <v>6940</v>
      </c>
      <c r="D5355" s="203" t="s">
        <v>6851</v>
      </c>
      <c r="E5355" s="203" t="s">
        <v>7000</v>
      </c>
    </row>
    <row r="5356" spans="1:5">
      <c r="A5356" s="203">
        <v>75096</v>
      </c>
      <c r="B5356" s="203">
        <v>1</v>
      </c>
      <c r="C5356" s="203" t="s">
        <v>6941</v>
      </c>
      <c r="D5356" s="203" t="s">
        <v>6852</v>
      </c>
      <c r="E5356" s="203" t="s">
        <v>7001</v>
      </c>
    </row>
    <row r="5357" spans="1:5">
      <c r="A5357" s="203">
        <v>75097</v>
      </c>
      <c r="B5357" s="203">
        <v>1</v>
      </c>
      <c r="C5357" s="203" t="s">
        <v>6942</v>
      </c>
      <c r="D5357" s="203" t="s">
        <v>6853</v>
      </c>
      <c r="E5357" s="203" t="s">
        <v>7002</v>
      </c>
    </row>
    <row r="5358" spans="1:5">
      <c r="A5358" s="203">
        <v>75098</v>
      </c>
      <c r="B5358" s="203">
        <v>1</v>
      </c>
      <c r="C5358" s="203" t="s">
        <v>6943</v>
      </c>
      <c r="D5358" s="203" t="s">
        <v>6854</v>
      </c>
      <c r="E5358" s="203" t="s">
        <v>7003</v>
      </c>
    </row>
    <row r="5359" spans="1:5">
      <c r="A5359" s="203">
        <v>75099</v>
      </c>
      <c r="B5359" s="203">
        <v>1</v>
      </c>
      <c r="C5359" s="203" t="s">
        <v>6944</v>
      </c>
      <c r="D5359" s="203" t="s">
        <v>6855</v>
      </c>
      <c r="E5359" s="203" t="s">
        <v>7004</v>
      </c>
    </row>
    <row r="5360" spans="1:5">
      <c r="A5360" s="203">
        <v>75100</v>
      </c>
      <c r="B5360" s="203">
        <v>1</v>
      </c>
      <c r="C5360" s="203" t="s">
        <v>6945</v>
      </c>
      <c r="D5360" s="203" t="s">
        <v>6856</v>
      </c>
      <c r="E5360" s="203" t="s">
        <v>7005</v>
      </c>
    </row>
    <row r="5361" spans="1:5">
      <c r="A5361" s="203">
        <v>75101</v>
      </c>
      <c r="B5361" s="203">
        <v>1</v>
      </c>
      <c r="C5361" s="203" t="s">
        <v>4247</v>
      </c>
      <c r="D5361" s="203" t="s">
        <v>6857</v>
      </c>
      <c r="E5361" s="203" t="s">
        <v>2084</v>
      </c>
    </row>
    <row r="5362" spans="1:5">
      <c r="A5362" s="203">
        <v>75102</v>
      </c>
      <c r="B5362" s="203">
        <v>1</v>
      </c>
      <c r="C5362" s="203" t="s">
        <v>6946</v>
      </c>
      <c r="D5362" s="203" t="s">
        <v>6858</v>
      </c>
      <c r="E5362" s="203" t="s">
        <v>7006</v>
      </c>
    </row>
    <row r="5363" spans="1:5">
      <c r="A5363" s="203">
        <v>75103</v>
      </c>
      <c r="B5363" s="203">
        <v>1</v>
      </c>
      <c r="C5363" s="203" t="s">
        <v>4249</v>
      </c>
      <c r="D5363" s="203" t="s">
        <v>6859</v>
      </c>
      <c r="E5363" s="203" t="s">
        <v>2090</v>
      </c>
    </row>
    <row r="5364" spans="1:5">
      <c r="A5364" s="203">
        <v>75104</v>
      </c>
      <c r="B5364" s="203">
        <v>1</v>
      </c>
      <c r="C5364" s="203" t="s">
        <v>6947</v>
      </c>
      <c r="D5364" s="203" t="s">
        <v>6860</v>
      </c>
      <c r="E5364" s="203" t="s">
        <v>7007</v>
      </c>
    </row>
    <row r="5365" spans="1:5">
      <c r="A5365" s="203">
        <v>75105</v>
      </c>
      <c r="B5365" s="203">
        <v>1</v>
      </c>
      <c r="C5365" s="203" t="s">
        <v>4571</v>
      </c>
      <c r="D5365" s="203" t="s">
        <v>6861</v>
      </c>
      <c r="E5365" s="203" t="s">
        <v>3091</v>
      </c>
    </row>
    <row r="5366" spans="1:5">
      <c r="A5366" s="203">
        <v>75106</v>
      </c>
      <c r="B5366" s="203">
        <v>1</v>
      </c>
      <c r="C5366" s="203" t="s">
        <v>6948</v>
      </c>
      <c r="D5366" s="203" t="s">
        <v>6862</v>
      </c>
      <c r="E5366" s="203" t="s">
        <v>7008</v>
      </c>
    </row>
    <row r="5367" spans="1:5">
      <c r="A5367" s="203">
        <v>75107</v>
      </c>
      <c r="B5367" s="203">
        <v>1</v>
      </c>
      <c r="C5367" s="203" t="s">
        <v>4282</v>
      </c>
      <c r="D5367" s="203" t="s">
        <v>6863</v>
      </c>
      <c r="E5367" s="203" t="s">
        <v>2170</v>
      </c>
    </row>
    <row r="5368" spans="1:5">
      <c r="A5368" s="203">
        <v>75108</v>
      </c>
      <c r="B5368" s="203">
        <v>1</v>
      </c>
      <c r="C5368" s="203" t="s">
        <v>6949</v>
      </c>
      <c r="D5368" s="203" t="s">
        <v>6864</v>
      </c>
      <c r="E5368" s="203" t="s">
        <v>7009</v>
      </c>
    </row>
    <row r="5369" spans="1:5">
      <c r="A5369" s="203">
        <v>75109</v>
      </c>
      <c r="B5369" s="203">
        <v>1</v>
      </c>
      <c r="C5369" s="203" t="s">
        <v>4334</v>
      </c>
      <c r="D5369" s="203" t="s">
        <v>6865</v>
      </c>
      <c r="E5369" s="203" t="s">
        <v>2327</v>
      </c>
    </row>
    <row r="5370" spans="1:5">
      <c r="A5370" s="128">
        <v>75110</v>
      </c>
      <c r="B5370" s="128">
        <v>1</v>
      </c>
      <c r="C5370" s="128" t="s">
        <v>4256</v>
      </c>
      <c r="D5370" s="128" t="s">
        <v>6760</v>
      </c>
      <c r="E5370" s="128" t="s">
        <v>2111</v>
      </c>
    </row>
    <row r="5371" spans="1:5">
      <c r="A5371" s="128">
        <v>75111</v>
      </c>
      <c r="B5371" s="128">
        <v>1</v>
      </c>
      <c r="C5371" s="128" t="s">
        <v>9179</v>
      </c>
      <c r="D5371" s="128" t="s">
        <v>6892</v>
      </c>
      <c r="E5371" s="128" t="s">
        <v>9178</v>
      </c>
    </row>
    <row r="5372" spans="1:5">
      <c r="A5372" s="128">
        <v>75112</v>
      </c>
      <c r="B5372" s="128">
        <v>1</v>
      </c>
      <c r="C5372" s="128" t="s">
        <v>6950</v>
      </c>
      <c r="D5372" s="128" t="s">
        <v>6866</v>
      </c>
      <c r="E5372" s="128" t="s">
        <v>7010</v>
      </c>
    </row>
    <row r="5373" spans="1:5">
      <c r="A5373" s="128">
        <v>75113</v>
      </c>
      <c r="B5373" s="128">
        <v>1</v>
      </c>
      <c r="C5373" s="128" t="s">
        <v>6951</v>
      </c>
      <c r="D5373" s="128" t="s">
        <v>6867</v>
      </c>
      <c r="E5373" s="128" t="s">
        <v>7011</v>
      </c>
    </row>
    <row r="5374" spans="1:5">
      <c r="A5374" s="128">
        <v>75114</v>
      </c>
      <c r="B5374" s="128">
        <v>1</v>
      </c>
      <c r="C5374" s="128" t="s">
        <v>6952</v>
      </c>
      <c r="D5374" s="128" t="s">
        <v>6868</v>
      </c>
      <c r="E5374" s="128" t="s">
        <v>7012</v>
      </c>
    </row>
    <row r="5375" spans="1:5">
      <c r="A5375" s="128">
        <v>75115</v>
      </c>
      <c r="B5375" s="128">
        <v>1</v>
      </c>
      <c r="C5375" s="128" t="s">
        <v>6953</v>
      </c>
      <c r="D5375" s="128" t="s">
        <v>6869</v>
      </c>
      <c r="E5375" s="128" t="s">
        <v>7013</v>
      </c>
    </row>
    <row r="5376" spans="1:5">
      <c r="A5376" s="128">
        <v>75116</v>
      </c>
      <c r="B5376" s="128">
        <v>1</v>
      </c>
      <c r="C5376" s="128" t="s">
        <v>6954</v>
      </c>
      <c r="D5376" s="128" t="s">
        <v>6870</v>
      </c>
      <c r="E5376" s="128" t="s">
        <v>7014</v>
      </c>
    </row>
    <row r="5377" spans="1:5">
      <c r="A5377" s="128">
        <v>75117</v>
      </c>
      <c r="B5377" s="128">
        <v>1</v>
      </c>
      <c r="C5377" s="128" t="s">
        <v>4297</v>
      </c>
      <c r="D5377" s="128" t="s">
        <v>6893</v>
      </c>
      <c r="E5377" s="128" t="s">
        <v>2213</v>
      </c>
    </row>
    <row r="5378" spans="1:5">
      <c r="A5378" s="128">
        <v>75118</v>
      </c>
      <c r="B5378" s="128">
        <v>1</v>
      </c>
      <c r="C5378" s="128" t="s">
        <v>4298</v>
      </c>
      <c r="D5378" s="128" t="s">
        <v>6894</v>
      </c>
      <c r="E5378" s="128" t="s">
        <v>2215</v>
      </c>
    </row>
    <row r="5379" spans="1:5">
      <c r="A5379" s="128">
        <v>75119</v>
      </c>
      <c r="B5379" s="128">
        <v>1</v>
      </c>
      <c r="C5379" s="128" t="s">
        <v>4299</v>
      </c>
      <c r="D5379" s="128" t="s">
        <v>6871</v>
      </c>
      <c r="E5379" s="128" t="s">
        <v>2217</v>
      </c>
    </row>
    <row r="5380" spans="1:5">
      <c r="A5380" s="128">
        <v>75120</v>
      </c>
      <c r="B5380" s="128">
        <v>1</v>
      </c>
      <c r="C5380" s="128" t="s">
        <v>4300</v>
      </c>
      <c r="D5380" s="128" t="s">
        <v>6872</v>
      </c>
      <c r="E5380" s="128" t="s">
        <v>2218</v>
      </c>
    </row>
    <row r="5381" spans="1:5">
      <c r="A5381" s="128">
        <v>75121</v>
      </c>
      <c r="B5381" s="128">
        <v>1</v>
      </c>
      <c r="C5381" s="128" t="s">
        <v>6911</v>
      </c>
      <c r="D5381" s="128" t="s">
        <v>6873</v>
      </c>
      <c r="E5381" s="128" t="s">
        <v>6971</v>
      </c>
    </row>
    <row r="5382" spans="1:5">
      <c r="A5382" s="128">
        <v>75122</v>
      </c>
      <c r="B5382" s="128">
        <v>1</v>
      </c>
      <c r="C5382" s="128" t="s">
        <v>4438</v>
      </c>
      <c r="D5382" s="128" t="s">
        <v>6874</v>
      </c>
      <c r="E5382" s="128" t="s">
        <v>2685</v>
      </c>
    </row>
    <row r="5383" spans="1:5">
      <c r="A5383" s="128">
        <v>75123</v>
      </c>
      <c r="B5383" s="128">
        <v>1</v>
      </c>
      <c r="C5383" s="128" t="s">
        <v>4439</v>
      </c>
      <c r="D5383" s="128" t="s">
        <v>6875</v>
      </c>
      <c r="E5383" s="128" t="s">
        <v>2687</v>
      </c>
    </row>
    <row r="5384" spans="1:5">
      <c r="A5384" s="128">
        <v>75124</v>
      </c>
      <c r="B5384" s="128">
        <v>1</v>
      </c>
      <c r="C5384" s="128" t="s">
        <v>3345</v>
      </c>
      <c r="D5384" s="128" t="s">
        <v>6876</v>
      </c>
      <c r="E5384" s="128" t="s">
        <v>2689</v>
      </c>
    </row>
    <row r="5385" spans="1:5">
      <c r="A5385" s="128">
        <v>75125</v>
      </c>
      <c r="B5385" s="128">
        <v>1</v>
      </c>
      <c r="C5385" s="128" t="s">
        <v>4440</v>
      </c>
      <c r="D5385" s="128" t="s">
        <v>6877</v>
      </c>
      <c r="E5385" s="128" t="s">
        <v>2691</v>
      </c>
    </row>
    <row r="5386" spans="1:5">
      <c r="A5386" s="128">
        <v>75126</v>
      </c>
      <c r="B5386" s="128">
        <v>1</v>
      </c>
      <c r="C5386" s="128" t="s">
        <v>3808</v>
      </c>
      <c r="D5386" s="128" t="s">
        <v>6878</v>
      </c>
      <c r="E5386" s="128" t="s">
        <v>942</v>
      </c>
    </row>
    <row r="5387" spans="1:5">
      <c r="A5387" s="128">
        <v>75127</v>
      </c>
      <c r="B5387" s="128">
        <v>1</v>
      </c>
      <c r="C5387" s="128" t="s">
        <v>3745</v>
      </c>
      <c r="D5387" s="128" t="s">
        <v>6879</v>
      </c>
      <c r="E5387" s="128" t="s">
        <v>720</v>
      </c>
    </row>
    <row r="5388" spans="1:5">
      <c r="A5388" s="128">
        <v>75128</v>
      </c>
      <c r="B5388" s="128">
        <v>1</v>
      </c>
      <c r="C5388" s="128" t="s">
        <v>6955</v>
      </c>
      <c r="D5388" s="128" t="s">
        <v>6880</v>
      </c>
      <c r="E5388" s="128" t="s">
        <v>7015</v>
      </c>
    </row>
    <row r="5389" spans="1:5">
      <c r="A5389" s="128">
        <v>75129</v>
      </c>
      <c r="B5389" s="128">
        <v>1</v>
      </c>
      <c r="C5389" s="128" t="s">
        <v>6956</v>
      </c>
      <c r="D5389" s="128" t="s">
        <v>6881</v>
      </c>
      <c r="E5389" s="128" t="s">
        <v>7016</v>
      </c>
    </row>
    <row r="5390" spans="1:5">
      <c r="A5390" s="128">
        <v>75130</v>
      </c>
      <c r="B5390" s="128">
        <v>1</v>
      </c>
      <c r="C5390" s="128" t="s">
        <v>5062</v>
      </c>
      <c r="D5390" s="128" t="s">
        <v>6882</v>
      </c>
      <c r="E5390" s="128" t="s">
        <v>5073</v>
      </c>
    </row>
    <row r="5391" spans="1:5">
      <c r="A5391" s="128">
        <v>75131</v>
      </c>
      <c r="B5391" s="128">
        <v>1</v>
      </c>
      <c r="C5391" s="128" t="s">
        <v>3348</v>
      </c>
      <c r="D5391" s="128" t="s">
        <v>6883</v>
      </c>
      <c r="E5391" s="128" t="s">
        <v>949</v>
      </c>
    </row>
    <row r="5392" spans="1:5">
      <c r="A5392" s="203">
        <v>75132</v>
      </c>
      <c r="B5392" s="203">
        <v>1</v>
      </c>
      <c r="C5392" s="203" t="s">
        <v>9211</v>
      </c>
      <c r="D5392" s="203" t="s">
        <v>6760</v>
      </c>
      <c r="E5392" s="203" t="s">
        <v>9212</v>
      </c>
    </row>
    <row r="5393" spans="1:5">
      <c r="A5393" s="203">
        <v>75133</v>
      </c>
      <c r="B5393" s="203">
        <v>1</v>
      </c>
      <c r="C5393" s="203" t="s">
        <v>6957</v>
      </c>
      <c r="D5393" s="203" t="s">
        <v>6895</v>
      </c>
      <c r="E5393" s="203" t="s">
        <v>7017</v>
      </c>
    </row>
    <row r="5394" spans="1:5">
      <c r="A5394" s="75">
        <v>75134</v>
      </c>
      <c r="B5394" s="75">
        <v>1</v>
      </c>
      <c r="C5394" s="203" t="s">
        <v>9208</v>
      </c>
      <c r="D5394" s="75" t="s">
        <v>6896</v>
      </c>
      <c r="E5394" s="75" t="s">
        <v>769</v>
      </c>
    </row>
    <row r="5395" spans="1:5">
      <c r="A5395" s="203">
        <v>75135</v>
      </c>
      <c r="B5395" s="203">
        <v>1</v>
      </c>
      <c r="C5395" s="203" t="s">
        <v>6958</v>
      </c>
      <c r="D5395" s="203" t="s">
        <v>6884</v>
      </c>
      <c r="E5395" s="203" t="s">
        <v>7018</v>
      </c>
    </row>
    <row r="5396" spans="1:5">
      <c r="A5396" s="203">
        <v>75136</v>
      </c>
      <c r="B5396" s="203">
        <v>1</v>
      </c>
      <c r="C5396" s="203" t="s">
        <v>6959</v>
      </c>
      <c r="D5396" s="203" t="s">
        <v>6885</v>
      </c>
      <c r="E5396" s="203" t="s">
        <v>7019</v>
      </c>
    </row>
    <row r="5397" spans="1:5">
      <c r="A5397" s="203">
        <v>75137</v>
      </c>
      <c r="B5397" s="203">
        <v>1</v>
      </c>
      <c r="C5397" s="203" t="s">
        <v>6960</v>
      </c>
      <c r="D5397" s="203" t="s">
        <v>6886</v>
      </c>
      <c r="E5397" s="203" t="s">
        <v>7020</v>
      </c>
    </row>
    <row r="5398" spans="1:5">
      <c r="A5398" s="203">
        <v>75138</v>
      </c>
      <c r="B5398" s="203">
        <v>1</v>
      </c>
      <c r="C5398" s="203" t="s">
        <v>6961</v>
      </c>
      <c r="D5398" s="203" t="s">
        <v>6887</v>
      </c>
      <c r="E5398" s="203" t="s">
        <v>7021</v>
      </c>
    </row>
    <row r="5399" spans="1:5">
      <c r="A5399" s="203">
        <v>75139</v>
      </c>
      <c r="B5399" s="203">
        <v>1</v>
      </c>
      <c r="C5399" s="203" t="s">
        <v>6962</v>
      </c>
      <c r="D5399" s="203" t="s">
        <v>6888</v>
      </c>
      <c r="E5399" s="203" t="s">
        <v>7022</v>
      </c>
    </row>
    <row r="5400" spans="1:5">
      <c r="A5400" s="203">
        <v>75140</v>
      </c>
      <c r="B5400" s="203">
        <v>1</v>
      </c>
      <c r="C5400" s="203" t="s">
        <v>9197</v>
      </c>
      <c r="D5400" s="203" t="s">
        <v>9192</v>
      </c>
      <c r="E5400" s="203" t="s">
        <v>9201</v>
      </c>
    </row>
    <row r="5401" spans="1:5">
      <c r="A5401" s="203">
        <v>75141</v>
      </c>
      <c r="B5401" s="203">
        <v>1</v>
      </c>
      <c r="C5401" s="203" t="s">
        <v>9198</v>
      </c>
      <c r="D5401" s="203" t="s">
        <v>9193</v>
      </c>
      <c r="E5401" s="203" t="s">
        <v>9202</v>
      </c>
    </row>
    <row r="5402" spans="1:5">
      <c r="A5402" s="203">
        <v>75142</v>
      </c>
      <c r="B5402" s="203">
        <v>1</v>
      </c>
      <c r="C5402" s="203" t="s">
        <v>7175</v>
      </c>
      <c r="D5402" s="203" t="s">
        <v>9194</v>
      </c>
      <c r="E5402" s="203" t="s">
        <v>7176</v>
      </c>
    </row>
    <row r="5403" spans="1:5">
      <c r="A5403" s="203">
        <v>75143</v>
      </c>
      <c r="B5403" s="203">
        <v>1</v>
      </c>
      <c r="C5403" s="203" t="s">
        <v>9199</v>
      </c>
      <c r="D5403" s="203" t="s">
        <v>9195</v>
      </c>
      <c r="E5403" s="203" t="s">
        <v>9203</v>
      </c>
    </row>
    <row r="5404" spans="1:5">
      <c r="A5404" s="203">
        <v>75144</v>
      </c>
      <c r="B5404" s="203">
        <v>1</v>
      </c>
      <c r="C5404" s="203" t="s">
        <v>9200</v>
      </c>
      <c r="D5404" s="203" t="s">
        <v>9196</v>
      </c>
      <c r="E5404" s="203" t="s">
        <v>9204</v>
      </c>
    </row>
    <row r="5405" spans="1:5">
      <c r="A5405" s="203">
        <v>75145</v>
      </c>
      <c r="B5405" s="203">
        <v>1</v>
      </c>
      <c r="C5405" s="203" t="s">
        <v>3369</v>
      </c>
      <c r="D5405" s="203" t="s">
        <v>6897</v>
      </c>
      <c r="E5405" s="203" t="s">
        <v>9180</v>
      </c>
    </row>
    <row r="5406" spans="1:5">
      <c r="A5406" s="203">
        <v>75146</v>
      </c>
      <c r="B5406" s="203">
        <v>1</v>
      </c>
      <c r="C5406" s="203" t="s">
        <v>9175</v>
      </c>
      <c r="D5406" s="203" t="s">
        <v>6898</v>
      </c>
      <c r="E5406" s="203" t="s">
        <v>9174</v>
      </c>
    </row>
    <row r="5407" spans="1:5">
      <c r="A5407" s="203">
        <v>75147</v>
      </c>
      <c r="B5407" s="203">
        <v>1</v>
      </c>
      <c r="C5407" s="203" t="s">
        <v>9176</v>
      </c>
      <c r="D5407" s="203" t="s">
        <v>6899</v>
      </c>
      <c r="E5407" s="203" t="s">
        <v>9177</v>
      </c>
    </row>
    <row r="5408" spans="1:5">
      <c r="A5408" s="203">
        <v>75148</v>
      </c>
      <c r="B5408" s="203">
        <v>1</v>
      </c>
      <c r="C5408" s="203" t="s">
        <v>9176</v>
      </c>
      <c r="D5408" s="203" t="s">
        <v>6900</v>
      </c>
      <c r="E5408" s="203" t="s">
        <v>9177</v>
      </c>
    </row>
    <row r="5409" spans="1:5">
      <c r="A5409" s="203">
        <v>75149</v>
      </c>
      <c r="B5409" s="203">
        <v>1</v>
      </c>
      <c r="C5409" s="203" t="s">
        <v>9179</v>
      </c>
      <c r="D5409" s="203" t="s">
        <v>6901</v>
      </c>
      <c r="E5409" s="203" t="s">
        <v>9178</v>
      </c>
    </row>
    <row r="5410" spans="1:5">
      <c r="A5410" s="203">
        <v>75150</v>
      </c>
      <c r="B5410" s="203">
        <v>1</v>
      </c>
      <c r="C5410" s="203" t="s">
        <v>9179</v>
      </c>
      <c r="D5410" s="203" t="s">
        <v>6902</v>
      </c>
      <c r="E5410" s="203" t="s">
        <v>9178</v>
      </c>
    </row>
    <row r="5411" spans="1:5">
      <c r="A5411" s="203">
        <v>75151</v>
      </c>
      <c r="B5411" s="203">
        <v>1</v>
      </c>
      <c r="C5411" s="203" t="s">
        <v>3382</v>
      </c>
      <c r="D5411" s="203" t="s">
        <v>6903</v>
      </c>
      <c r="E5411" s="203" t="s">
        <v>769</v>
      </c>
    </row>
    <row r="5412" spans="1:5">
      <c r="A5412" s="203">
        <v>75152</v>
      </c>
      <c r="B5412" s="203">
        <v>1</v>
      </c>
      <c r="C5412" s="203" t="s">
        <v>3382</v>
      </c>
      <c r="D5412" s="203" t="s">
        <v>6904</v>
      </c>
      <c r="E5412" s="203" t="s">
        <v>769</v>
      </c>
    </row>
    <row r="5413" spans="1:5">
      <c r="A5413" s="203">
        <v>75153</v>
      </c>
      <c r="B5413" s="203">
        <v>1</v>
      </c>
      <c r="C5413" s="203" t="s">
        <v>6915</v>
      </c>
      <c r="D5413" s="203" t="s">
        <v>9181</v>
      </c>
      <c r="E5413" s="203" t="s">
        <v>6975</v>
      </c>
    </row>
    <row r="5414" spans="1:5">
      <c r="A5414" s="203">
        <v>75154</v>
      </c>
      <c r="B5414" s="203">
        <v>1</v>
      </c>
      <c r="C5414" s="203" t="s">
        <v>6915</v>
      </c>
      <c r="D5414" s="203" t="s">
        <v>9182</v>
      </c>
      <c r="E5414" s="203" t="s">
        <v>6975</v>
      </c>
    </row>
    <row r="5415" spans="1:5">
      <c r="A5415" s="203">
        <v>75155</v>
      </c>
      <c r="B5415" s="203">
        <v>1</v>
      </c>
      <c r="C5415" s="203" t="s">
        <v>6963</v>
      </c>
      <c r="D5415" s="203" t="s">
        <v>9183</v>
      </c>
      <c r="E5415" s="203" t="s">
        <v>9189</v>
      </c>
    </row>
    <row r="5416" spans="1:5">
      <c r="A5416" s="203">
        <v>75156</v>
      </c>
      <c r="B5416" s="203">
        <v>1</v>
      </c>
      <c r="C5416" s="203" t="s">
        <v>6963</v>
      </c>
      <c r="D5416" s="203" t="s">
        <v>6889</v>
      </c>
      <c r="E5416" s="203" t="s">
        <v>7023</v>
      </c>
    </row>
    <row r="5417" spans="1:5">
      <c r="A5417" s="203">
        <v>75157</v>
      </c>
      <c r="B5417" s="203">
        <v>1</v>
      </c>
      <c r="C5417" s="203" t="s">
        <v>6964</v>
      </c>
      <c r="D5417" s="203" t="s">
        <v>6890</v>
      </c>
      <c r="E5417" s="203" t="s">
        <v>7024</v>
      </c>
    </row>
    <row r="5418" spans="1:5">
      <c r="A5418" s="203">
        <v>75158</v>
      </c>
      <c r="B5418" s="203">
        <v>1</v>
      </c>
      <c r="C5418" s="203" t="s">
        <v>9191</v>
      </c>
      <c r="D5418" s="203" t="s">
        <v>6891</v>
      </c>
      <c r="E5418" s="203" t="s">
        <v>9186</v>
      </c>
    </row>
    <row r="5419" spans="1:5">
      <c r="A5419" s="203">
        <v>75159</v>
      </c>
      <c r="B5419" s="203">
        <v>1</v>
      </c>
      <c r="C5419" s="203" t="s">
        <v>9190</v>
      </c>
      <c r="D5419" s="203" t="s">
        <v>9184</v>
      </c>
      <c r="E5419" s="203" t="s">
        <v>9187</v>
      </c>
    </row>
    <row r="5420" spans="1:5">
      <c r="A5420" s="203">
        <v>75160</v>
      </c>
      <c r="B5420" s="203">
        <v>1</v>
      </c>
      <c r="C5420" s="203" t="s">
        <v>9190</v>
      </c>
      <c r="D5420" s="203" t="s">
        <v>9185</v>
      </c>
      <c r="E5420" s="203" t="s">
        <v>9188</v>
      </c>
    </row>
    <row r="5421" spans="1:5">
      <c r="A5421" s="244">
        <v>75601</v>
      </c>
      <c r="B5421" s="244">
        <v>0</v>
      </c>
      <c r="C5421" s="244" t="s">
        <v>9148</v>
      </c>
      <c r="D5421" s="244" t="s">
        <v>9144</v>
      </c>
      <c r="E5421" s="244" t="s">
        <v>9149</v>
      </c>
    </row>
    <row r="5422" spans="1:5">
      <c r="A5422" s="245">
        <v>75602</v>
      </c>
      <c r="B5422" s="245">
        <v>0</v>
      </c>
      <c r="C5422" s="245" t="s">
        <v>9150</v>
      </c>
      <c r="D5422" s="245" t="s">
        <v>9145</v>
      </c>
      <c r="E5422" s="245" t="s">
        <v>9149</v>
      </c>
    </row>
    <row r="5423" spans="1:5">
      <c r="A5423" s="245">
        <v>75603</v>
      </c>
      <c r="B5423" s="245">
        <v>0</v>
      </c>
      <c r="C5423" s="245" t="s">
        <v>9151</v>
      </c>
      <c r="D5423" s="245" t="s">
        <v>9146</v>
      </c>
      <c r="E5423" s="245" t="s">
        <v>9152</v>
      </c>
    </row>
    <row r="5424" spans="1:5">
      <c r="A5424" s="245">
        <v>75604</v>
      </c>
      <c r="B5424" s="245">
        <v>0</v>
      </c>
      <c r="C5424" s="245" t="s">
        <v>9153</v>
      </c>
      <c r="D5424" s="245" t="s">
        <v>9147</v>
      </c>
      <c r="E5424" s="245" t="s">
        <v>9154</v>
      </c>
    </row>
    <row r="5425" spans="1:5">
      <c r="A5425" s="244">
        <v>75605</v>
      </c>
      <c r="B5425" s="244">
        <v>0</v>
      </c>
      <c r="C5425" s="244" t="s">
        <v>9135</v>
      </c>
      <c r="D5425" s="244" t="s">
        <v>9142</v>
      </c>
      <c r="E5425" s="244" t="s">
        <v>9136</v>
      </c>
    </row>
    <row r="5426" spans="1:5">
      <c r="A5426" s="244">
        <v>75606</v>
      </c>
      <c r="B5426" s="244">
        <v>0</v>
      </c>
      <c r="C5426" s="244" t="s">
        <v>9137</v>
      </c>
      <c r="D5426" s="244" t="s">
        <v>9143</v>
      </c>
      <c r="E5426" s="244" t="s">
        <v>9138</v>
      </c>
    </row>
    <row r="5427" spans="1:5">
      <c r="A5427" s="245">
        <v>75607</v>
      </c>
      <c r="B5427" s="245">
        <v>0</v>
      </c>
      <c r="C5427" s="245" t="s">
        <v>9135</v>
      </c>
      <c r="D5427" s="245" t="s">
        <v>9142</v>
      </c>
      <c r="E5427" s="245" t="s">
        <v>9136</v>
      </c>
    </row>
    <row r="5428" spans="1:5">
      <c r="A5428" s="245">
        <v>75608</v>
      </c>
      <c r="B5428" s="245">
        <v>0</v>
      </c>
      <c r="C5428" s="245" t="s">
        <v>9137</v>
      </c>
      <c r="D5428" s="245" t="s">
        <v>9143</v>
      </c>
      <c r="E5428" s="245" t="s">
        <v>9138</v>
      </c>
    </row>
    <row r="5429" spans="1:5">
      <c r="A5429" s="244">
        <v>75609</v>
      </c>
      <c r="B5429" s="244">
        <v>0</v>
      </c>
      <c r="C5429" s="244" t="s">
        <v>9135</v>
      </c>
      <c r="D5429" s="244" t="s">
        <v>9142</v>
      </c>
      <c r="E5429" s="244" t="s">
        <v>9136</v>
      </c>
    </row>
    <row r="5430" spans="1:5">
      <c r="A5430" s="244">
        <v>75610</v>
      </c>
      <c r="B5430" s="244">
        <v>0</v>
      </c>
      <c r="C5430" s="244" t="s">
        <v>9137</v>
      </c>
      <c r="D5430" s="244" t="s">
        <v>9143</v>
      </c>
      <c r="E5430" s="244" t="s">
        <v>9138</v>
      </c>
    </row>
    <row r="5431" spans="1:5">
      <c r="A5431" s="245">
        <v>75611</v>
      </c>
      <c r="B5431" s="245">
        <v>0</v>
      </c>
      <c r="C5431" s="245" t="s">
        <v>9135</v>
      </c>
      <c r="D5431" s="245" t="s">
        <v>9142</v>
      </c>
      <c r="E5431" s="245" t="s">
        <v>9136</v>
      </c>
    </row>
    <row r="5432" spans="1:5">
      <c r="A5432" s="245">
        <v>75612</v>
      </c>
      <c r="B5432" s="245">
        <v>0</v>
      </c>
      <c r="C5432" s="245" t="s">
        <v>9137</v>
      </c>
      <c r="D5432" s="245" t="s">
        <v>9143</v>
      </c>
      <c r="E5432" s="245" t="s">
        <v>9138</v>
      </c>
    </row>
    <row r="5433" spans="1:5">
      <c r="A5433" s="244">
        <v>75613</v>
      </c>
      <c r="B5433" s="244">
        <v>0</v>
      </c>
      <c r="C5433" s="244" t="s">
        <v>9135</v>
      </c>
      <c r="D5433" s="244" t="s">
        <v>9142</v>
      </c>
      <c r="E5433" s="244" t="s">
        <v>9136</v>
      </c>
    </row>
    <row r="5434" spans="1:5">
      <c r="A5434" s="244">
        <v>75614</v>
      </c>
      <c r="B5434" s="244">
        <v>0</v>
      </c>
      <c r="C5434" s="244" t="s">
        <v>9137</v>
      </c>
      <c r="D5434" s="244" t="s">
        <v>9157</v>
      </c>
      <c r="E5434" s="244" t="s">
        <v>9138</v>
      </c>
    </row>
    <row r="5435" spans="1:5">
      <c r="A5435" s="111">
        <v>75759</v>
      </c>
      <c r="B5435" s="111">
        <v>1</v>
      </c>
      <c r="C5435" s="111" t="s">
        <v>3360</v>
      </c>
      <c r="D5435" s="111" t="s">
        <v>3235</v>
      </c>
      <c r="E5435" s="151" t="s">
        <v>604</v>
      </c>
    </row>
    <row r="5436" spans="1:5">
      <c r="A5436" s="111">
        <v>75760</v>
      </c>
      <c r="B5436" s="111">
        <v>1</v>
      </c>
      <c r="C5436" s="111" t="s">
        <v>4517</v>
      </c>
      <c r="D5436" s="111" t="s">
        <v>3236</v>
      </c>
      <c r="E5436" s="151" t="s">
        <v>2946</v>
      </c>
    </row>
    <row r="5437" spans="1:5">
      <c r="A5437" s="221">
        <v>75781</v>
      </c>
      <c r="B5437" s="221">
        <v>0</v>
      </c>
      <c r="C5437" s="221" t="s">
        <v>9159</v>
      </c>
      <c r="D5437" s="221" t="s">
        <v>9158</v>
      </c>
      <c r="E5437" s="221" t="s">
        <v>9164</v>
      </c>
    </row>
    <row r="5438" spans="1:5">
      <c r="A5438" s="221">
        <v>75782</v>
      </c>
      <c r="B5438" s="221">
        <v>0</v>
      </c>
      <c r="C5438" s="221" t="s">
        <v>9159</v>
      </c>
      <c r="D5438" s="221" t="s">
        <v>9158</v>
      </c>
      <c r="E5438" s="221" t="s">
        <v>9164</v>
      </c>
    </row>
    <row r="5439" spans="1:5">
      <c r="A5439" s="221">
        <v>75783</v>
      </c>
      <c r="B5439" s="221">
        <v>0</v>
      </c>
      <c r="C5439" s="221" t="s">
        <v>9160</v>
      </c>
      <c r="D5439" s="221" t="s">
        <v>9158</v>
      </c>
      <c r="E5439" s="221" t="s">
        <v>9165</v>
      </c>
    </row>
    <row r="5440" spans="1:5">
      <c r="A5440" s="221">
        <v>75784</v>
      </c>
      <c r="B5440" s="221">
        <v>0</v>
      </c>
      <c r="C5440" s="221" t="s">
        <v>9161</v>
      </c>
      <c r="D5440" s="221" t="s">
        <v>9158</v>
      </c>
      <c r="E5440" s="221" t="s">
        <v>9166</v>
      </c>
    </row>
    <row r="5441" spans="1:5">
      <c r="A5441" s="221">
        <v>75785</v>
      </c>
      <c r="B5441" s="221">
        <v>0</v>
      </c>
      <c r="C5441" s="221" t="s">
        <v>9161</v>
      </c>
      <c r="D5441" s="221" t="s">
        <v>9158</v>
      </c>
      <c r="E5441" s="221" t="s">
        <v>9166</v>
      </c>
    </row>
    <row r="5442" spans="1:5">
      <c r="A5442" s="221">
        <v>75786</v>
      </c>
      <c r="B5442" s="221">
        <v>0</v>
      </c>
      <c r="C5442" s="221" t="s">
        <v>9162</v>
      </c>
      <c r="D5442" s="221" t="s">
        <v>9158</v>
      </c>
      <c r="E5442" s="221" t="s">
        <v>9167</v>
      </c>
    </row>
    <row r="5443" spans="1:5">
      <c r="A5443" s="221">
        <v>75787</v>
      </c>
      <c r="B5443" s="221">
        <v>0</v>
      </c>
      <c r="C5443" s="221" t="s">
        <v>9163</v>
      </c>
      <c r="D5443" s="221" t="s">
        <v>9158</v>
      </c>
      <c r="E5443" s="221" t="s">
        <v>9168</v>
      </c>
    </row>
    <row r="5444" spans="1:5">
      <c r="A5444" s="113">
        <v>75801</v>
      </c>
      <c r="B5444" s="113">
        <v>1</v>
      </c>
      <c r="C5444" s="113" t="s">
        <v>3889</v>
      </c>
      <c r="D5444" s="113" t="s">
        <v>3163</v>
      </c>
      <c r="E5444" s="152" t="s">
        <v>1272</v>
      </c>
    </row>
    <row r="5445" spans="1:5">
      <c r="A5445" s="113">
        <v>75802</v>
      </c>
      <c r="B5445" s="113">
        <v>1</v>
      </c>
      <c r="C5445" s="113" t="s">
        <v>4594</v>
      </c>
      <c r="D5445" s="113" t="s">
        <v>3164</v>
      </c>
      <c r="E5445" s="152" t="s">
        <v>3165</v>
      </c>
    </row>
    <row r="5446" spans="1:5">
      <c r="A5446" s="113">
        <v>75803</v>
      </c>
      <c r="B5446" s="113">
        <v>1</v>
      </c>
      <c r="C5446" s="113" t="s">
        <v>3759</v>
      </c>
      <c r="D5446" s="113" t="s">
        <v>3166</v>
      </c>
      <c r="E5446" s="152" t="s">
        <v>764</v>
      </c>
    </row>
    <row r="5447" spans="1:5">
      <c r="A5447" s="113">
        <v>75804</v>
      </c>
      <c r="B5447" s="113">
        <v>1</v>
      </c>
      <c r="C5447" s="113" t="s">
        <v>4595</v>
      </c>
      <c r="D5447" s="113" t="s">
        <v>3167</v>
      </c>
      <c r="E5447" s="152" t="s">
        <v>3168</v>
      </c>
    </row>
    <row r="5448" spans="1:5">
      <c r="A5448" s="113">
        <v>75805</v>
      </c>
      <c r="B5448" s="113">
        <v>1</v>
      </c>
      <c r="C5448" s="113" t="s">
        <v>4607</v>
      </c>
      <c r="D5448" s="113" t="s">
        <v>3169</v>
      </c>
      <c r="E5448" s="152" t="s">
        <v>3237</v>
      </c>
    </row>
    <row r="5449" spans="1:5">
      <c r="A5449" s="113">
        <v>75806</v>
      </c>
      <c r="B5449" s="113">
        <v>1</v>
      </c>
      <c r="C5449" s="113" t="s">
        <v>4596</v>
      </c>
      <c r="D5449" s="113" t="s">
        <v>3170</v>
      </c>
      <c r="E5449" s="152" t="s">
        <v>3171</v>
      </c>
    </row>
    <row r="5450" spans="1:5">
      <c r="A5450" s="113">
        <v>75807</v>
      </c>
      <c r="B5450" s="113">
        <v>1</v>
      </c>
      <c r="C5450" s="113" t="s">
        <v>4608</v>
      </c>
      <c r="D5450" s="113" t="s">
        <v>3172</v>
      </c>
      <c r="E5450" s="152" t="s">
        <v>3238</v>
      </c>
    </row>
    <row r="5451" spans="1:5">
      <c r="A5451" s="113">
        <v>75808</v>
      </c>
      <c r="B5451" s="113">
        <v>1</v>
      </c>
      <c r="C5451" s="113" t="s">
        <v>4597</v>
      </c>
      <c r="D5451" s="113" t="s">
        <v>3173</v>
      </c>
      <c r="E5451" s="152" t="s">
        <v>3174</v>
      </c>
    </row>
    <row r="5452" spans="1:5">
      <c r="A5452" s="113">
        <v>75809</v>
      </c>
      <c r="B5452" s="113">
        <v>1</v>
      </c>
      <c r="C5452" s="113" t="s">
        <v>4609</v>
      </c>
      <c r="D5452" s="113" t="s">
        <v>3175</v>
      </c>
      <c r="E5452" s="152" t="s">
        <v>3239</v>
      </c>
    </row>
    <row r="5453" spans="1:5">
      <c r="A5453" s="113">
        <v>75810</v>
      </c>
      <c r="B5453" s="113">
        <v>1</v>
      </c>
      <c r="C5453" s="113" t="s">
        <v>4598</v>
      </c>
      <c r="D5453" s="113" t="s">
        <v>3176</v>
      </c>
      <c r="E5453" s="152" t="s">
        <v>3177</v>
      </c>
    </row>
    <row r="5454" spans="1:5">
      <c r="A5454" s="111">
        <v>75851</v>
      </c>
      <c r="B5454" s="111">
        <v>1</v>
      </c>
      <c r="C5454" s="111" t="s">
        <v>3696</v>
      </c>
      <c r="D5454" s="111" t="s">
        <v>3240</v>
      </c>
      <c r="E5454" s="151" t="s">
        <v>584</v>
      </c>
    </row>
    <row r="5455" spans="1:5">
      <c r="A5455" s="111">
        <v>75852</v>
      </c>
      <c r="B5455" s="111">
        <v>1</v>
      </c>
      <c r="C5455" s="111" t="s">
        <v>3324</v>
      </c>
      <c r="D5455" s="111" t="s">
        <v>3241</v>
      </c>
      <c r="E5455" s="151" t="s">
        <v>1377</v>
      </c>
    </row>
    <row r="5456" spans="1:5">
      <c r="A5456" s="111">
        <v>75853</v>
      </c>
      <c r="B5456" s="111">
        <v>1</v>
      </c>
      <c r="C5456" s="111" t="s">
        <v>4606</v>
      </c>
      <c r="D5456" s="111" t="s">
        <v>3242</v>
      </c>
      <c r="E5456" s="151" t="s">
        <v>3220</v>
      </c>
    </row>
    <row r="5457" spans="1:5">
      <c r="A5457" s="111">
        <v>75854</v>
      </c>
      <c r="B5457" s="111">
        <v>1</v>
      </c>
      <c r="C5457" s="111" t="s">
        <v>4264</v>
      </c>
      <c r="D5457" s="111" t="s">
        <v>3243</v>
      </c>
      <c r="E5457" s="151" t="s">
        <v>2133</v>
      </c>
    </row>
    <row r="5458" spans="1:5">
      <c r="A5458" s="111">
        <v>75855</v>
      </c>
      <c r="B5458" s="111">
        <v>1</v>
      </c>
      <c r="C5458" s="111" t="s">
        <v>3829</v>
      </c>
      <c r="D5458" s="111" t="s">
        <v>3244</v>
      </c>
      <c r="E5458" s="151" t="s">
        <v>1116</v>
      </c>
    </row>
    <row r="5459" spans="1:5">
      <c r="A5459" s="111">
        <v>75856</v>
      </c>
      <c r="B5459" s="111">
        <v>1</v>
      </c>
      <c r="C5459" s="111" t="s">
        <v>4610</v>
      </c>
      <c r="D5459" s="111" t="s">
        <v>3245</v>
      </c>
      <c r="E5459" s="151" t="s">
        <v>3246</v>
      </c>
    </row>
    <row r="5460" spans="1:5">
      <c r="A5460" s="111">
        <v>75857</v>
      </c>
      <c r="B5460" s="111">
        <v>1</v>
      </c>
      <c r="C5460" s="111" t="s">
        <v>4611</v>
      </c>
      <c r="D5460" s="111" t="s">
        <v>3247</v>
      </c>
      <c r="E5460" s="151" t="s">
        <v>3248</v>
      </c>
    </row>
    <row r="5461" spans="1:5">
      <c r="A5461" s="111">
        <v>75858</v>
      </c>
      <c r="B5461" s="111">
        <v>1</v>
      </c>
      <c r="C5461" s="111" t="s">
        <v>4271</v>
      </c>
      <c r="D5461" s="111" t="s">
        <v>3249</v>
      </c>
      <c r="E5461" s="151" t="s">
        <v>2155</v>
      </c>
    </row>
    <row r="5462" spans="1:5">
      <c r="A5462" s="111">
        <v>75859</v>
      </c>
      <c r="B5462" s="111">
        <v>1</v>
      </c>
      <c r="C5462" s="111" t="s">
        <v>4612</v>
      </c>
      <c r="D5462" s="111" t="s">
        <v>3250</v>
      </c>
      <c r="E5462" s="151" t="s">
        <v>3251</v>
      </c>
    </row>
    <row r="5463" spans="1:5">
      <c r="A5463" s="111">
        <v>75860</v>
      </c>
      <c r="B5463" s="111">
        <v>1</v>
      </c>
      <c r="C5463" s="111" t="s">
        <v>3704</v>
      </c>
      <c r="D5463" s="111" t="s">
        <v>3252</v>
      </c>
      <c r="E5463" s="151" t="s">
        <v>597</v>
      </c>
    </row>
    <row r="5464" spans="1:5">
      <c r="A5464" s="113">
        <v>75901</v>
      </c>
      <c r="B5464" s="113">
        <v>1</v>
      </c>
      <c r="C5464" s="113" t="s">
        <v>3696</v>
      </c>
      <c r="D5464" s="113" t="s">
        <v>3253</v>
      </c>
      <c r="E5464" s="152" t="s">
        <v>584</v>
      </c>
    </row>
    <row r="5465" spans="1:5">
      <c r="A5465" s="113">
        <v>75902</v>
      </c>
      <c r="B5465" s="113">
        <v>1</v>
      </c>
      <c r="C5465" s="113" t="s">
        <v>3352</v>
      </c>
      <c r="D5465" s="113" t="s">
        <v>3254</v>
      </c>
      <c r="E5465" s="152" t="s">
        <v>713</v>
      </c>
    </row>
    <row r="5466" spans="1:5">
      <c r="A5466" s="113">
        <v>75903</v>
      </c>
      <c r="B5466" s="113">
        <v>1</v>
      </c>
      <c r="C5466" s="113" t="s">
        <v>3324</v>
      </c>
      <c r="D5466" s="113" t="s">
        <v>3255</v>
      </c>
      <c r="E5466" s="152" t="s">
        <v>1377</v>
      </c>
    </row>
    <row r="5467" spans="1:5">
      <c r="A5467" s="113">
        <v>75904</v>
      </c>
      <c r="B5467" s="113">
        <v>1</v>
      </c>
      <c r="C5467" s="113" t="s">
        <v>4606</v>
      </c>
      <c r="D5467" s="113" t="s">
        <v>3256</v>
      </c>
      <c r="E5467" s="152" t="s">
        <v>3220</v>
      </c>
    </row>
    <row r="5468" spans="1:5">
      <c r="A5468" s="113">
        <v>75905</v>
      </c>
      <c r="B5468" s="113">
        <v>1</v>
      </c>
      <c r="C5468" s="113" t="s">
        <v>3354</v>
      </c>
      <c r="D5468" s="113" t="s">
        <v>3257</v>
      </c>
      <c r="E5468" s="152" t="s">
        <v>782</v>
      </c>
    </row>
    <row r="5469" spans="1:5">
      <c r="A5469" s="113">
        <v>75906</v>
      </c>
      <c r="B5469" s="113">
        <v>1</v>
      </c>
      <c r="C5469" s="113" t="s">
        <v>4264</v>
      </c>
      <c r="D5469" s="113" t="s">
        <v>3258</v>
      </c>
      <c r="E5469" s="152" t="s">
        <v>2133</v>
      </c>
    </row>
    <row r="5470" spans="1:5">
      <c r="A5470" s="113">
        <v>75907</v>
      </c>
      <c r="B5470" s="113">
        <v>1</v>
      </c>
      <c r="C5470" s="113" t="s">
        <v>3356</v>
      </c>
      <c r="D5470" s="113" t="s">
        <v>3259</v>
      </c>
      <c r="E5470" s="152" t="s">
        <v>649</v>
      </c>
    </row>
    <row r="5471" spans="1:5">
      <c r="A5471" s="113">
        <v>75908</v>
      </c>
      <c r="B5471" s="113">
        <v>1</v>
      </c>
      <c r="C5471" s="113" t="s">
        <v>3829</v>
      </c>
      <c r="D5471" s="113" t="s">
        <v>3260</v>
      </c>
      <c r="E5471" s="152" t="s">
        <v>1116</v>
      </c>
    </row>
    <row r="5472" spans="1:5">
      <c r="A5472" s="113">
        <v>75909</v>
      </c>
      <c r="B5472" s="113">
        <v>1</v>
      </c>
      <c r="C5472" s="113" t="s">
        <v>3358</v>
      </c>
      <c r="D5472" s="113" t="s">
        <v>3261</v>
      </c>
      <c r="E5472" s="152" t="s">
        <v>1327</v>
      </c>
    </row>
    <row r="5473" spans="1:5">
      <c r="A5473" s="113">
        <v>75910</v>
      </c>
      <c r="B5473" s="113">
        <v>1</v>
      </c>
      <c r="C5473" s="113" t="s">
        <v>3360</v>
      </c>
      <c r="D5473" s="113" t="s">
        <v>3262</v>
      </c>
      <c r="E5473" s="152" t="s">
        <v>604</v>
      </c>
    </row>
    <row r="5474" spans="1:5">
      <c r="A5474" s="111">
        <v>75951</v>
      </c>
      <c r="B5474" s="111">
        <v>1</v>
      </c>
      <c r="C5474" s="111" t="s">
        <v>3328</v>
      </c>
      <c r="D5474" s="111" t="s">
        <v>3263</v>
      </c>
      <c r="E5474" s="151" t="s">
        <v>928</v>
      </c>
    </row>
    <row r="5475" spans="1:5">
      <c r="A5475" s="111">
        <v>75952</v>
      </c>
      <c r="B5475" s="111">
        <v>1</v>
      </c>
      <c r="C5475" s="111" t="s">
        <v>3720</v>
      </c>
      <c r="D5475" s="111" t="s">
        <v>3264</v>
      </c>
      <c r="E5475" s="151" t="s">
        <v>635</v>
      </c>
    </row>
    <row r="5476" spans="1:5">
      <c r="A5476" s="111">
        <v>75953</v>
      </c>
      <c r="B5476" s="111">
        <v>1</v>
      </c>
      <c r="C5476" s="111" t="s">
        <v>3727</v>
      </c>
      <c r="D5476" s="111" t="s">
        <v>3265</v>
      </c>
      <c r="E5476" s="151" t="s">
        <v>647</v>
      </c>
    </row>
    <row r="5477" spans="1:5">
      <c r="A5477" s="111">
        <v>75954</v>
      </c>
      <c r="B5477" s="111">
        <v>1</v>
      </c>
      <c r="C5477" s="111" t="s">
        <v>3730</v>
      </c>
      <c r="D5477" s="111" t="s">
        <v>3266</v>
      </c>
      <c r="E5477" s="151" t="s">
        <v>655</v>
      </c>
    </row>
    <row r="5478" spans="1:5">
      <c r="A5478" s="111">
        <v>75955</v>
      </c>
      <c r="B5478" s="111">
        <v>1</v>
      </c>
      <c r="C5478" s="111" t="s">
        <v>3733</v>
      </c>
      <c r="D5478" s="111" t="s">
        <v>3267</v>
      </c>
      <c r="E5478" s="151" t="s">
        <v>662</v>
      </c>
    </row>
    <row r="5479" spans="1:5">
      <c r="A5479" s="111">
        <v>75956</v>
      </c>
      <c r="B5479" s="111">
        <v>1</v>
      </c>
      <c r="C5479" s="111" t="s">
        <v>4318</v>
      </c>
      <c r="D5479" s="111" t="s">
        <v>3268</v>
      </c>
      <c r="E5479" s="151" t="s">
        <v>2283</v>
      </c>
    </row>
    <row r="5480" spans="1:5">
      <c r="A5480" s="111">
        <v>75957</v>
      </c>
      <c r="B5480" s="111">
        <v>1</v>
      </c>
      <c r="C5480" s="111" t="s">
        <v>4319</v>
      </c>
      <c r="D5480" s="111" t="s">
        <v>3269</v>
      </c>
      <c r="E5480" s="151" t="s">
        <v>2285</v>
      </c>
    </row>
    <row r="5481" spans="1:5">
      <c r="A5481" s="111">
        <v>75958</v>
      </c>
      <c r="B5481" s="111">
        <v>1</v>
      </c>
      <c r="C5481" s="111" t="s">
        <v>4613</v>
      </c>
      <c r="D5481" s="111" t="s">
        <v>3270</v>
      </c>
      <c r="E5481" s="151" t="s">
        <v>3271</v>
      </c>
    </row>
    <row r="5482" spans="1:5">
      <c r="A5482" s="111">
        <v>75959</v>
      </c>
      <c r="B5482" s="111">
        <v>1</v>
      </c>
      <c r="C5482" s="111" t="s">
        <v>4614</v>
      </c>
      <c r="D5482" s="111" t="s">
        <v>3272</v>
      </c>
      <c r="E5482" s="151" t="s">
        <v>3273</v>
      </c>
    </row>
    <row r="5483" spans="1:5">
      <c r="A5483" s="111">
        <v>75960</v>
      </c>
      <c r="B5483" s="111">
        <v>1</v>
      </c>
      <c r="C5483" s="111" t="s">
        <v>4615</v>
      </c>
      <c r="D5483" s="111" t="s">
        <v>3274</v>
      </c>
      <c r="E5483" s="151" t="s">
        <v>3275</v>
      </c>
    </row>
    <row r="5484" spans="1:5">
      <c r="A5484" s="1">
        <v>80001</v>
      </c>
      <c r="B5484" s="1">
        <v>1</v>
      </c>
      <c r="C5484" s="1" t="s">
        <v>4251</v>
      </c>
      <c r="D5484" s="1" t="s">
        <v>3276</v>
      </c>
      <c r="E5484" s="3" t="s">
        <v>2094</v>
      </c>
    </row>
    <row r="5485" spans="1:5">
      <c r="A5485" s="1">
        <v>80002</v>
      </c>
      <c r="B5485" s="1">
        <v>1</v>
      </c>
      <c r="C5485" s="1" t="s">
        <v>4311</v>
      </c>
      <c r="D5485" s="1" t="s">
        <v>3277</v>
      </c>
      <c r="E5485" s="3" t="s">
        <v>2247</v>
      </c>
    </row>
    <row r="5486" spans="1:5">
      <c r="A5486" s="1">
        <v>80003</v>
      </c>
      <c r="B5486" s="1">
        <v>1</v>
      </c>
      <c r="C5486" s="1" t="s">
        <v>4253</v>
      </c>
      <c r="D5486" s="1" t="s">
        <v>3278</v>
      </c>
      <c r="E5486" s="3" t="s">
        <v>2100</v>
      </c>
    </row>
    <row r="5487" spans="1:5">
      <c r="A5487" s="1">
        <v>80004</v>
      </c>
      <c r="B5487" s="1">
        <v>1</v>
      </c>
      <c r="C5487" s="1" t="s">
        <v>4616</v>
      </c>
      <c r="D5487" s="1" t="s">
        <v>3279</v>
      </c>
      <c r="E5487" s="3" t="s">
        <v>3280</v>
      </c>
    </row>
    <row r="5488" spans="1:5">
      <c r="A5488" s="1">
        <v>80005</v>
      </c>
      <c r="B5488" s="1">
        <v>1</v>
      </c>
      <c r="C5488" s="1" t="s">
        <v>3863</v>
      </c>
      <c r="D5488" s="1" t="s">
        <v>3281</v>
      </c>
      <c r="E5488" s="3" t="s">
        <v>1178</v>
      </c>
    </row>
    <row r="5489" spans="1:5">
      <c r="A5489" s="1">
        <v>80006</v>
      </c>
      <c r="B5489" s="1">
        <v>1</v>
      </c>
      <c r="C5489" s="1" t="s">
        <v>4617</v>
      </c>
      <c r="D5489" s="1" t="s">
        <v>3282</v>
      </c>
      <c r="E5489" s="3" t="s">
        <v>3283</v>
      </c>
    </row>
    <row r="5490" spans="1:5">
      <c r="A5490" s="1">
        <v>80007</v>
      </c>
      <c r="B5490" s="1">
        <v>1</v>
      </c>
      <c r="C5490" s="1" t="s">
        <v>4256</v>
      </c>
      <c r="D5490" s="1" t="s">
        <v>3284</v>
      </c>
      <c r="E5490" s="3" t="s">
        <v>2111</v>
      </c>
    </row>
    <row r="5491" spans="1:5">
      <c r="A5491" s="1">
        <v>80008</v>
      </c>
      <c r="B5491" s="1">
        <v>1</v>
      </c>
      <c r="C5491" s="1" t="s">
        <v>4618</v>
      </c>
      <c r="D5491" s="1" t="s">
        <v>3285</v>
      </c>
      <c r="E5491" s="3" t="s">
        <v>3286</v>
      </c>
    </row>
    <row r="5492" spans="1:5">
      <c r="A5492" s="1">
        <v>80009</v>
      </c>
      <c r="B5492" s="1">
        <v>1</v>
      </c>
      <c r="C5492" s="1" t="s">
        <v>4169</v>
      </c>
      <c r="D5492" s="1" t="s">
        <v>3287</v>
      </c>
      <c r="E5492" s="3" t="s">
        <v>1840</v>
      </c>
    </row>
    <row r="5493" spans="1:5">
      <c r="A5493" s="1">
        <v>80010</v>
      </c>
      <c r="B5493" s="1">
        <v>1</v>
      </c>
      <c r="C5493" s="1" t="s">
        <v>4619</v>
      </c>
      <c r="D5493" s="1" t="s">
        <v>3288</v>
      </c>
      <c r="E5493" s="3" t="s">
        <v>3289</v>
      </c>
    </row>
    <row r="5494" spans="1:5">
      <c r="A5494" s="1">
        <v>80011</v>
      </c>
      <c r="B5494" s="1">
        <v>1</v>
      </c>
      <c r="C5494" s="1" t="s">
        <v>4620</v>
      </c>
      <c r="D5494" s="1" t="s">
        <v>3290</v>
      </c>
      <c r="E5494" s="3" t="s">
        <v>3291</v>
      </c>
    </row>
    <row r="5495" spans="1:5">
      <c r="A5495" s="1">
        <v>80012</v>
      </c>
      <c r="B5495" s="1">
        <v>1</v>
      </c>
      <c r="C5495" s="1" t="s">
        <v>4620</v>
      </c>
      <c r="D5495" s="1" t="s">
        <v>3292</v>
      </c>
      <c r="E5495" s="3" t="s">
        <v>3291</v>
      </c>
    </row>
    <row r="5496" spans="1:5">
      <c r="A5496" s="1">
        <v>80013</v>
      </c>
      <c r="B5496" s="1">
        <v>1</v>
      </c>
      <c r="C5496" s="1" t="s">
        <v>4620</v>
      </c>
      <c r="D5496" s="1" t="s">
        <v>3293</v>
      </c>
      <c r="E5496" s="3" t="s">
        <v>3291</v>
      </c>
    </row>
    <row r="5497" spans="1:5">
      <c r="A5497" s="1">
        <v>80014</v>
      </c>
      <c r="B5497" s="1">
        <v>1</v>
      </c>
      <c r="C5497" s="1" t="s">
        <v>4620</v>
      </c>
      <c r="D5497" s="1" t="s">
        <v>3294</v>
      </c>
      <c r="E5497" s="3" t="s">
        <v>3291</v>
      </c>
    </row>
    <row r="5498" spans="1:5">
      <c r="A5498" s="1">
        <v>80015</v>
      </c>
      <c r="B5498" s="1">
        <v>1</v>
      </c>
      <c r="C5498" s="1" t="s">
        <v>4620</v>
      </c>
      <c r="D5498" s="1" t="s">
        <v>3295</v>
      </c>
      <c r="E5498" s="3" t="s">
        <v>3291</v>
      </c>
    </row>
    <row r="5499" spans="1:5">
      <c r="A5499" s="1">
        <v>80101</v>
      </c>
      <c r="B5499" s="1">
        <v>1</v>
      </c>
      <c r="C5499" s="1" t="s">
        <v>4621</v>
      </c>
      <c r="D5499" s="1" t="s">
        <v>3296</v>
      </c>
      <c r="E5499" s="3" t="s">
        <v>3297</v>
      </c>
    </row>
    <row r="5500" spans="1:5">
      <c r="A5500" s="1">
        <v>80102</v>
      </c>
      <c r="B5500" s="1">
        <v>1</v>
      </c>
      <c r="C5500" s="1" t="s">
        <v>4622</v>
      </c>
      <c r="D5500" s="1" t="s">
        <v>3298</v>
      </c>
      <c r="E5500" s="3" t="s">
        <v>3299</v>
      </c>
    </row>
    <row r="5501" spans="1:5">
      <c r="A5501" s="1">
        <v>80103</v>
      </c>
      <c r="B5501" s="1">
        <v>1</v>
      </c>
      <c r="C5501" s="1" t="s">
        <v>4623</v>
      </c>
      <c r="D5501" s="1" t="s">
        <v>3300</v>
      </c>
      <c r="E5501" s="3" t="s">
        <v>3301</v>
      </c>
    </row>
    <row r="5502" spans="1:5">
      <c r="A5502" s="1">
        <v>80104</v>
      </c>
      <c r="B5502" s="1">
        <v>1</v>
      </c>
      <c r="C5502" s="1" t="s">
        <v>4624</v>
      </c>
      <c r="D5502" s="1" t="s">
        <v>3302</v>
      </c>
      <c r="E5502" s="3" t="s">
        <v>3303</v>
      </c>
    </row>
    <row r="5503" spans="1:5">
      <c r="A5503" s="1">
        <v>80105</v>
      </c>
      <c r="B5503" s="1">
        <v>1</v>
      </c>
      <c r="C5503" s="1" t="s">
        <v>4332</v>
      </c>
      <c r="D5503" s="1" t="s">
        <v>3304</v>
      </c>
      <c r="E5503" s="3" t="s">
        <v>2323</v>
      </c>
    </row>
    <row r="5504" spans="1:5">
      <c r="A5504" s="1">
        <v>80106</v>
      </c>
      <c r="B5504" s="1">
        <v>1</v>
      </c>
      <c r="C5504" s="1" t="s">
        <v>4625</v>
      </c>
      <c r="D5504" s="1" t="s">
        <v>3305</v>
      </c>
      <c r="E5504" s="3" t="s">
        <v>3306</v>
      </c>
    </row>
    <row r="5505" spans="1:5">
      <c r="A5505" s="1">
        <v>80107</v>
      </c>
      <c r="B5505" s="1">
        <v>1</v>
      </c>
      <c r="C5505" s="1" t="s">
        <v>4333</v>
      </c>
      <c r="D5505" s="1" t="s">
        <v>3307</v>
      </c>
      <c r="E5505" s="3" t="s">
        <v>2324</v>
      </c>
    </row>
    <row r="5506" spans="1:5">
      <c r="A5506" s="1">
        <v>80108</v>
      </c>
      <c r="B5506" s="1">
        <v>1</v>
      </c>
      <c r="C5506" s="1" t="s">
        <v>4626</v>
      </c>
      <c r="D5506" s="1" t="s">
        <v>3308</v>
      </c>
      <c r="E5506" s="3" t="s">
        <v>3309</v>
      </c>
    </row>
    <row r="5507" spans="1:5">
      <c r="A5507" s="1">
        <v>80109</v>
      </c>
      <c r="B5507" s="1">
        <v>1</v>
      </c>
      <c r="C5507" s="1" t="s">
        <v>4627</v>
      </c>
      <c r="D5507" s="1" t="s">
        <v>3310</v>
      </c>
      <c r="E5507" s="3" t="s">
        <v>3311</v>
      </c>
    </row>
    <row r="5508" spans="1:5">
      <c r="A5508" s="1">
        <v>80110</v>
      </c>
      <c r="B5508" s="1">
        <v>1</v>
      </c>
      <c r="C5508" s="1" t="s">
        <v>4628</v>
      </c>
      <c r="D5508" s="1" t="s">
        <v>3312</v>
      </c>
      <c r="E5508" s="3" t="s">
        <v>3313</v>
      </c>
    </row>
    <row r="5509" spans="1:5">
      <c r="A5509" s="1">
        <v>80111</v>
      </c>
      <c r="B5509" s="1">
        <v>1</v>
      </c>
      <c r="C5509" s="1" t="s">
        <v>4629</v>
      </c>
      <c r="D5509" s="1" t="s">
        <v>3314</v>
      </c>
      <c r="E5509" s="3" t="s">
        <v>3315</v>
      </c>
    </row>
    <row r="5510" spans="1:5">
      <c r="A5510" s="1">
        <v>80112</v>
      </c>
      <c r="B5510" s="1">
        <v>1</v>
      </c>
      <c r="C5510" s="1" t="s">
        <v>4630</v>
      </c>
      <c r="D5510" s="1" t="s">
        <v>3316</v>
      </c>
      <c r="E5510" s="3" t="s">
        <v>3317</v>
      </c>
    </row>
    <row r="5511" spans="1:5">
      <c r="A5511" s="1">
        <v>80113</v>
      </c>
      <c r="B5511" s="1">
        <v>1</v>
      </c>
      <c r="C5511" s="1" t="s">
        <v>4631</v>
      </c>
      <c r="D5511" s="1" t="s">
        <v>3318</v>
      </c>
      <c r="E5511" s="3" t="s">
        <v>3319</v>
      </c>
    </row>
    <row r="5512" spans="1:5">
      <c r="A5512" s="1">
        <v>80114</v>
      </c>
      <c r="B5512" s="1">
        <v>1</v>
      </c>
      <c r="C5512" s="1" t="s">
        <v>4632</v>
      </c>
      <c r="D5512" s="1" t="s">
        <v>3320</v>
      </c>
      <c r="E5512" s="3" t="s">
        <v>3321</v>
      </c>
    </row>
    <row r="5513" spans="1:5">
      <c r="A5513" s="1">
        <v>80115</v>
      </c>
      <c r="B5513" s="1">
        <v>1</v>
      </c>
      <c r="C5513" s="1" t="s">
        <v>4633</v>
      </c>
      <c r="D5513" s="1" t="s">
        <v>3322</v>
      </c>
      <c r="E5513" s="3" t="s">
        <v>3323</v>
      </c>
    </row>
    <row r="5514" spans="1:5">
      <c r="A5514" s="1">
        <v>81001</v>
      </c>
      <c r="B5514" s="1">
        <v>1</v>
      </c>
      <c r="C5514" s="1" t="s">
        <v>3324</v>
      </c>
      <c r="D5514" s="1" t="s">
        <v>3325</v>
      </c>
      <c r="E5514" s="3" t="s">
        <v>1377</v>
      </c>
    </row>
    <row r="5515" spans="1:5">
      <c r="A5515" s="1">
        <v>81002</v>
      </c>
      <c r="B5515" s="1">
        <v>1</v>
      </c>
      <c r="C5515" s="1" t="s">
        <v>3326</v>
      </c>
      <c r="D5515" s="1" t="s">
        <v>3327</v>
      </c>
      <c r="E5515" s="3" t="s">
        <v>2117</v>
      </c>
    </row>
    <row r="5516" spans="1:5">
      <c r="A5516" s="1">
        <v>81003</v>
      </c>
      <c r="B5516" s="1">
        <v>1</v>
      </c>
      <c r="C5516" s="1" t="s">
        <v>3328</v>
      </c>
      <c r="D5516" s="1" t="s">
        <v>3329</v>
      </c>
      <c r="E5516" s="3" t="s">
        <v>928</v>
      </c>
    </row>
    <row r="5517" spans="1:5">
      <c r="A5517" s="1">
        <v>81004</v>
      </c>
      <c r="B5517" s="1">
        <v>1</v>
      </c>
      <c r="C5517" s="1" t="s">
        <v>3330</v>
      </c>
      <c r="D5517" s="1" t="s">
        <v>3331</v>
      </c>
      <c r="E5517" s="3" t="s">
        <v>1026</v>
      </c>
    </row>
    <row r="5518" spans="1:5">
      <c r="A5518" s="1">
        <v>81005</v>
      </c>
      <c r="B5518" s="1">
        <v>1</v>
      </c>
      <c r="C5518" s="1" t="s">
        <v>3332</v>
      </c>
      <c r="D5518" s="1" t="s">
        <v>3333</v>
      </c>
      <c r="E5518" s="3" t="s">
        <v>3334</v>
      </c>
    </row>
    <row r="5519" spans="1:5">
      <c r="A5519" s="1">
        <v>81006</v>
      </c>
      <c r="B5519" s="1">
        <v>1</v>
      </c>
      <c r="C5519" s="1" t="s">
        <v>3335</v>
      </c>
      <c r="D5519" s="1" t="s">
        <v>3331</v>
      </c>
      <c r="E5519" s="3" t="s">
        <v>930</v>
      </c>
    </row>
    <row r="5520" spans="1:5">
      <c r="A5520" s="1">
        <v>81007</v>
      </c>
      <c r="B5520" s="1">
        <v>1</v>
      </c>
      <c r="C5520" s="1" t="s">
        <v>3336</v>
      </c>
      <c r="D5520" s="1" t="s">
        <v>7094</v>
      </c>
      <c r="E5520" s="3" t="s">
        <v>2228</v>
      </c>
    </row>
    <row r="5521" spans="1:5">
      <c r="A5521" s="1">
        <v>81008</v>
      </c>
      <c r="B5521" s="1">
        <v>1</v>
      </c>
      <c r="C5521" s="1" t="s">
        <v>3338</v>
      </c>
      <c r="D5521" s="1" t="s">
        <v>3339</v>
      </c>
      <c r="E5521" s="3" t="s">
        <v>937</v>
      </c>
    </row>
    <row r="5522" spans="1:5">
      <c r="A5522" s="1">
        <v>81009</v>
      </c>
      <c r="B5522" s="1">
        <v>1</v>
      </c>
      <c r="C5522" s="1" t="s">
        <v>3340</v>
      </c>
      <c r="D5522" s="1" t="s">
        <v>3333</v>
      </c>
      <c r="E5522" s="3" t="s">
        <v>3341</v>
      </c>
    </row>
    <row r="5523" spans="1:5">
      <c r="A5523" s="1">
        <v>81010</v>
      </c>
      <c r="B5523" s="1">
        <v>1</v>
      </c>
      <c r="C5523" s="1" t="s">
        <v>3342</v>
      </c>
      <c r="D5523" s="1" t="s">
        <v>3343</v>
      </c>
      <c r="E5523" s="3" t="s">
        <v>3344</v>
      </c>
    </row>
    <row r="5524" spans="1:5">
      <c r="A5524" s="1">
        <v>81011</v>
      </c>
      <c r="B5524" s="1">
        <v>1</v>
      </c>
      <c r="C5524" s="1" t="s">
        <v>3345</v>
      </c>
      <c r="D5524" s="1" t="s">
        <v>3339</v>
      </c>
      <c r="E5524" s="3" t="s">
        <v>2689</v>
      </c>
    </row>
    <row r="5525" spans="1:5">
      <c r="A5525" s="1">
        <v>81012</v>
      </c>
      <c r="B5525" s="1">
        <v>1</v>
      </c>
      <c r="C5525" s="1" t="s">
        <v>3346</v>
      </c>
      <c r="D5525" s="1" t="s">
        <v>3343</v>
      </c>
      <c r="E5525" s="3" t="s">
        <v>3347</v>
      </c>
    </row>
    <row r="5526" spans="1:5">
      <c r="A5526" s="1">
        <v>81013</v>
      </c>
      <c r="B5526" s="1">
        <v>1</v>
      </c>
      <c r="C5526" s="1" t="s">
        <v>3348</v>
      </c>
      <c r="D5526" s="1" t="s">
        <v>7095</v>
      </c>
      <c r="E5526" s="3" t="s">
        <v>949</v>
      </c>
    </row>
    <row r="5527" spans="1:5">
      <c r="A5527" s="1">
        <v>81014</v>
      </c>
      <c r="B5527" s="1">
        <v>1</v>
      </c>
      <c r="C5527" s="1" t="s">
        <v>3348</v>
      </c>
      <c r="D5527" s="1" t="s">
        <v>7095</v>
      </c>
      <c r="E5527" s="3" t="s">
        <v>949</v>
      </c>
    </row>
    <row r="5528" spans="1:5">
      <c r="A5528" s="1">
        <v>81015</v>
      </c>
      <c r="B5528" s="1">
        <v>1</v>
      </c>
      <c r="C5528" s="1" t="s">
        <v>3348</v>
      </c>
      <c r="D5528" s="1" t="s">
        <v>7095</v>
      </c>
      <c r="E5528" s="3" t="s">
        <v>949</v>
      </c>
    </row>
    <row r="5529" spans="1:5">
      <c r="A5529" s="124">
        <v>81101</v>
      </c>
      <c r="B5529" s="124">
        <v>1</v>
      </c>
      <c r="C5529" s="124" t="s">
        <v>3350</v>
      </c>
      <c r="D5529" s="124" t="s">
        <v>3351</v>
      </c>
      <c r="E5529" s="126" t="s">
        <v>616</v>
      </c>
    </row>
    <row r="5530" spans="1:5">
      <c r="A5530" s="124">
        <v>81102</v>
      </c>
      <c r="B5530" s="124">
        <v>1</v>
      </c>
      <c r="C5530" s="124" t="s">
        <v>3352</v>
      </c>
      <c r="D5530" s="124" t="s">
        <v>3351</v>
      </c>
      <c r="E5530" s="126" t="s">
        <v>713</v>
      </c>
    </row>
    <row r="5531" spans="1:5">
      <c r="A5531" s="124">
        <v>81103</v>
      </c>
      <c r="B5531" s="124">
        <v>1</v>
      </c>
      <c r="C5531" s="124" t="s">
        <v>3353</v>
      </c>
      <c r="D5531" s="124" t="s">
        <v>3351</v>
      </c>
      <c r="E5531" s="126" t="s">
        <v>1293</v>
      </c>
    </row>
    <row r="5532" spans="1:5">
      <c r="A5532" s="124">
        <v>81104</v>
      </c>
      <c r="B5532" s="124">
        <v>1</v>
      </c>
      <c r="C5532" s="124" t="s">
        <v>3354</v>
      </c>
      <c r="D5532" s="124" t="s">
        <v>3351</v>
      </c>
      <c r="E5532" s="126" t="s">
        <v>782</v>
      </c>
    </row>
    <row r="5533" spans="1:5">
      <c r="A5533" s="124">
        <v>81105</v>
      </c>
      <c r="B5533" s="124">
        <v>1</v>
      </c>
      <c r="C5533" s="124" t="s">
        <v>3355</v>
      </c>
      <c r="D5533" s="124" t="s">
        <v>3351</v>
      </c>
      <c r="E5533" s="126" t="s">
        <v>599</v>
      </c>
    </row>
    <row r="5534" spans="1:5">
      <c r="A5534" s="124">
        <v>81106</v>
      </c>
      <c r="B5534" s="124">
        <v>1</v>
      </c>
      <c r="C5534" s="124" t="s">
        <v>3356</v>
      </c>
      <c r="D5534" s="124" t="s">
        <v>3351</v>
      </c>
      <c r="E5534" s="126" t="s">
        <v>649</v>
      </c>
    </row>
    <row r="5535" spans="1:5">
      <c r="A5535" s="124">
        <v>81107</v>
      </c>
      <c r="B5535" s="124">
        <v>1</v>
      </c>
      <c r="C5535" s="124" t="s">
        <v>3357</v>
      </c>
      <c r="D5535" s="124" t="s">
        <v>3351</v>
      </c>
      <c r="E5535" s="126" t="s">
        <v>1320</v>
      </c>
    </row>
    <row r="5536" spans="1:5">
      <c r="A5536" s="124">
        <v>81108</v>
      </c>
      <c r="B5536" s="124">
        <v>1</v>
      </c>
      <c r="C5536" s="124" t="s">
        <v>3358</v>
      </c>
      <c r="D5536" s="124" t="s">
        <v>3351</v>
      </c>
      <c r="E5536" s="126" t="s">
        <v>1327</v>
      </c>
    </row>
    <row r="5537" spans="1:5">
      <c r="A5537" s="124">
        <v>81109</v>
      </c>
      <c r="B5537" s="124">
        <v>1</v>
      </c>
      <c r="C5537" s="124" t="s">
        <v>3359</v>
      </c>
      <c r="D5537" s="124" t="s">
        <v>3351</v>
      </c>
      <c r="E5537" s="126" t="s">
        <v>1334</v>
      </c>
    </row>
    <row r="5538" spans="1:5">
      <c r="A5538" s="124">
        <v>81110</v>
      </c>
      <c r="B5538" s="124">
        <v>1</v>
      </c>
      <c r="C5538" s="124" t="s">
        <v>3360</v>
      </c>
      <c r="D5538" s="124" t="s">
        <v>3351</v>
      </c>
      <c r="E5538" s="126" t="s">
        <v>604</v>
      </c>
    </row>
    <row r="5539" spans="1:5">
      <c r="A5539" s="124">
        <v>81111</v>
      </c>
      <c r="B5539" s="124">
        <v>1</v>
      </c>
      <c r="C5539" s="124" t="s">
        <v>3361</v>
      </c>
      <c r="D5539" s="124" t="s">
        <v>3351</v>
      </c>
      <c r="E5539" s="126" t="s">
        <v>1349</v>
      </c>
    </row>
    <row r="5540" spans="1:5">
      <c r="A5540" s="124">
        <v>81112</v>
      </c>
      <c r="B5540" s="124">
        <v>1</v>
      </c>
      <c r="C5540" s="124" t="s">
        <v>3362</v>
      </c>
      <c r="D5540" s="124" t="s">
        <v>3351</v>
      </c>
      <c r="E5540" s="126" t="s">
        <v>1357</v>
      </c>
    </row>
    <row r="5541" spans="1:5">
      <c r="A5541" s="124">
        <v>81113</v>
      </c>
      <c r="B5541" s="124">
        <v>1</v>
      </c>
      <c r="C5541" s="124" t="s">
        <v>3363</v>
      </c>
      <c r="D5541" s="124" t="s">
        <v>3351</v>
      </c>
      <c r="E5541" s="126" t="s">
        <v>2056</v>
      </c>
    </row>
    <row r="5542" spans="1:5">
      <c r="A5542" s="124">
        <v>81114</v>
      </c>
      <c r="B5542" s="124">
        <v>1</v>
      </c>
      <c r="C5542" s="124" t="s">
        <v>3364</v>
      </c>
      <c r="D5542" s="124" t="s">
        <v>3351</v>
      </c>
      <c r="E5542" s="126" t="s">
        <v>2061</v>
      </c>
    </row>
    <row r="5543" spans="1:5">
      <c r="A5543" s="124">
        <v>81115</v>
      </c>
      <c r="B5543" s="124">
        <v>1</v>
      </c>
      <c r="C5543" s="124" t="s">
        <v>3365</v>
      </c>
      <c r="D5543" s="124" t="s">
        <v>3351</v>
      </c>
      <c r="E5543" s="126" t="s">
        <v>793</v>
      </c>
    </row>
    <row r="5544" spans="1:5">
      <c r="A5544" s="1">
        <v>81201</v>
      </c>
      <c r="B5544" s="1">
        <v>1</v>
      </c>
      <c r="C5544" s="1" t="s">
        <v>3366</v>
      </c>
      <c r="D5544" s="1" t="s">
        <v>3367</v>
      </c>
      <c r="E5544" s="3" t="s">
        <v>981</v>
      </c>
    </row>
    <row r="5545" spans="1:5">
      <c r="A5545" s="1">
        <v>81202</v>
      </c>
      <c r="B5545" s="1">
        <v>1</v>
      </c>
      <c r="C5545" s="1" t="s">
        <v>3368</v>
      </c>
      <c r="D5545" s="1" t="s">
        <v>3367</v>
      </c>
      <c r="E5545" s="3" t="s">
        <v>983</v>
      </c>
    </row>
    <row r="5546" spans="1:5">
      <c r="A5546" s="1">
        <v>81203</v>
      </c>
      <c r="B5546" s="1">
        <v>1</v>
      </c>
      <c r="C5546" s="1" t="s">
        <v>3369</v>
      </c>
      <c r="D5546" s="1" t="s">
        <v>3367</v>
      </c>
      <c r="E5546" s="3" t="s">
        <v>747</v>
      </c>
    </row>
    <row r="5547" spans="1:5">
      <c r="A5547" s="1">
        <v>81204</v>
      </c>
      <c r="B5547" s="1">
        <v>1</v>
      </c>
      <c r="C5547" s="1" t="s">
        <v>3370</v>
      </c>
      <c r="D5547" s="1" t="s">
        <v>3367</v>
      </c>
      <c r="E5547" s="3" t="s">
        <v>986</v>
      </c>
    </row>
    <row r="5548" spans="1:5">
      <c r="A5548" s="1">
        <v>81205</v>
      </c>
      <c r="B5548" s="1">
        <v>1</v>
      </c>
      <c r="C5548" s="1" t="s">
        <v>3371</v>
      </c>
      <c r="D5548" s="1" t="s">
        <v>3367</v>
      </c>
      <c r="E5548" s="3" t="s">
        <v>751</v>
      </c>
    </row>
    <row r="5549" spans="1:5">
      <c r="A5549" s="1">
        <v>81206</v>
      </c>
      <c r="B5549" s="1">
        <v>1</v>
      </c>
      <c r="C5549" s="1" t="s">
        <v>3372</v>
      </c>
      <c r="D5549" s="1" t="s">
        <v>3367</v>
      </c>
      <c r="E5549" s="3" t="s">
        <v>989</v>
      </c>
    </row>
    <row r="5550" spans="1:5">
      <c r="A5550" s="1">
        <v>81207</v>
      </c>
      <c r="B5550" s="1">
        <v>1</v>
      </c>
      <c r="C5550" s="1" t="s">
        <v>3373</v>
      </c>
      <c r="D5550" s="1" t="s">
        <v>3367</v>
      </c>
      <c r="E5550" s="3" t="s">
        <v>991</v>
      </c>
    </row>
    <row r="5551" spans="1:5">
      <c r="A5551" s="1">
        <v>81208</v>
      </c>
      <c r="B5551" s="1">
        <v>1</v>
      </c>
      <c r="C5551" s="1" t="s">
        <v>3374</v>
      </c>
      <c r="D5551" s="1" t="s">
        <v>3367</v>
      </c>
      <c r="E5551" s="3" t="s">
        <v>993</v>
      </c>
    </row>
    <row r="5552" spans="1:5">
      <c r="A5552" s="1">
        <v>81209</v>
      </c>
      <c r="B5552" s="1">
        <v>1</v>
      </c>
      <c r="C5552" s="1" t="s">
        <v>3375</v>
      </c>
      <c r="D5552" s="1" t="s">
        <v>3367</v>
      </c>
      <c r="E5552" s="3" t="s">
        <v>787</v>
      </c>
    </row>
    <row r="5553" spans="1:5">
      <c r="A5553" s="1">
        <v>81210</v>
      </c>
      <c r="B5553" s="1">
        <v>1</v>
      </c>
      <c r="C5553" s="1" t="s">
        <v>3375</v>
      </c>
      <c r="D5553" s="1" t="s">
        <v>3367</v>
      </c>
      <c r="E5553" s="3" t="s">
        <v>787</v>
      </c>
    </row>
    <row r="5554" spans="1:5">
      <c r="A5554" s="1">
        <v>81211</v>
      </c>
      <c r="B5554" s="1">
        <v>1</v>
      </c>
      <c r="C5554" s="1" t="s">
        <v>3375</v>
      </c>
      <c r="D5554" s="1" t="s">
        <v>3367</v>
      </c>
      <c r="E5554" s="3" t="s">
        <v>787</v>
      </c>
    </row>
    <row r="5555" spans="1:5">
      <c r="A5555" s="1">
        <v>81212</v>
      </c>
      <c r="B5555" s="1">
        <v>1</v>
      </c>
      <c r="C5555" s="1" t="s">
        <v>3375</v>
      </c>
      <c r="D5555" s="1" t="s">
        <v>3367</v>
      </c>
      <c r="E5555" s="3" t="s">
        <v>787</v>
      </c>
    </row>
    <row r="5556" spans="1:5">
      <c r="A5556" s="1">
        <v>81213</v>
      </c>
      <c r="B5556" s="1">
        <v>1</v>
      </c>
      <c r="C5556" s="1" t="s">
        <v>3375</v>
      </c>
      <c r="D5556" s="1" t="s">
        <v>3367</v>
      </c>
      <c r="E5556" s="3" t="s">
        <v>787</v>
      </c>
    </row>
    <row r="5557" spans="1:5">
      <c r="A5557" s="1">
        <v>81214</v>
      </c>
      <c r="B5557" s="1">
        <v>1</v>
      </c>
      <c r="C5557" s="1" t="s">
        <v>3375</v>
      </c>
      <c r="D5557" s="1" t="s">
        <v>3367</v>
      </c>
      <c r="E5557" s="3" t="s">
        <v>787</v>
      </c>
    </row>
    <row r="5558" spans="1:5">
      <c r="A5558" s="1">
        <v>81215</v>
      </c>
      <c r="B5558" s="1">
        <v>1</v>
      </c>
      <c r="C5558" s="1" t="s">
        <v>3375</v>
      </c>
      <c r="D5558" s="1" t="s">
        <v>3367</v>
      </c>
      <c r="E5558" s="3" t="s">
        <v>787</v>
      </c>
    </row>
    <row r="5559" spans="1:5">
      <c r="A5559" s="80">
        <v>82001</v>
      </c>
      <c r="B5559" s="80">
        <v>0</v>
      </c>
      <c r="C5559" s="80" t="s">
        <v>3355</v>
      </c>
      <c r="D5559" s="80" t="s">
        <v>3395</v>
      </c>
      <c r="E5559" s="90" t="s">
        <v>599</v>
      </c>
    </row>
    <row r="5560" spans="1:5">
      <c r="A5560" s="80">
        <v>82002</v>
      </c>
      <c r="B5560" s="80">
        <v>0</v>
      </c>
      <c r="C5560" s="80" t="s">
        <v>4289</v>
      </c>
      <c r="D5560" s="80" t="s">
        <v>3396</v>
      </c>
      <c r="E5560" s="90" t="s">
        <v>2179</v>
      </c>
    </row>
    <row r="5561" spans="1:5">
      <c r="A5561" s="80">
        <v>82003</v>
      </c>
      <c r="B5561" s="80">
        <v>0</v>
      </c>
      <c r="C5561" s="80" t="s">
        <v>3844</v>
      </c>
      <c r="D5561" s="80" t="s">
        <v>3397</v>
      </c>
      <c r="E5561" s="90" t="s">
        <v>1141</v>
      </c>
    </row>
    <row r="5562" spans="1:5">
      <c r="A5562" s="80">
        <v>82004</v>
      </c>
      <c r="B5562" s="80">
        <v>0</v>
      </c>
      <c r="C5562" s="80" t="s">
        <v>3371</v>
      </c>
      <c r="D5562" s="80" t="s">
        <v>3398</v>
      </c>
      <c r="E5562" s="90" t="s">
        <v>751</v>
      </c>
    </row>
    <row r="5563" spans="1:5">
      <c r="A5563" s="80">
        <v>82005</v>
      </c>
      <c r="B5563" s="80">
        <v>0</v>
      </c>
      <c r="C5563" s="80" t="s">
        <v>6964</v>
      </c>
      <c r="D5563" s="80" t="s">
        <v>3399</v>
      </c>
      <c r="E5563" s="90" t="s">
        <v>7024</v>
      </c>
    </row>
    <row r="5564" spans="1:5">
      <c r="A5564" s="80">
        <v>82006</v>
      </c>
      <c r="B5564" s="80">
        <v>0</v>
      </c>
      <c r="C5564" s="80" t="s">
        <v>3338</v>
      </c>
      <c r="D5564" s="80" t="s">
        <v>10318</v>
      </c>
      <c r="E5564" s="90" t="s">
        <v>937</v>
      </c>
    </row>
    <row r="5565" spans="1:5">
      <c r="A5565" s="80">
        <v>82007</v>
      </c>
      <c r="B5565" s="80">
        <v>0</v>
      </c>
      <c r="C5565" s="80" t="s">
        <v>3552</v>
      </c>
      <c r="D5565" s="80" t="s">
        <v>3400</v>
      </c>
      <c r="E5565" s="90" t="s">
        <v>12950</v>
      </c>
    </row>
    <row r="5566" spans="1:5">
      <c r="A5566" s="80">
        <v>82008</v>
      </c>
      <c r="B5566" s="80">
        <v>0</v>
      </c>
      <c r="C5566" s="80" t="s">
        <v>10320</v>
      </c>
      <c r="D5566" s="80" t="s">
        <v>3401</v>
      </c>
      <c r="E5566" s="90" t="s">
        <v>10321</v>
      </c>
    </row>
    <row r="5567" spans="1:5">
      <c r="A5567" s="80">
        <v>82009</v>
      </c>
      <c r="B5567" s="80">
        <v>0</v>
      </c>
      <c r="C5567" s="80" t="s">
        <v>3380</v>
      </c>
      <c r="D5567" s="80" t="s">
        <v>3402</v>
      </c>
      <c r="E5567" s="90" t="s">
        <v>811</v>
      </c>
    </row>
    <row r="5568" spans="1:5">
      <c r="A5568" s="80">
        <v>82010</v>
      </c>
      <c r="B5568" s="80">
        <v>0</v>
      </c>
      <c r="C5568" s="80" t="s">
        <v>3382</v>
      </c>
      <c r="D5568" s="80" t="s">
        <v>3403</v>
      </c>
      <c r="E5568" s="90" t="s">
        <v>769</v>
      </c>
    </row>
    <row r="5569" spans="1:5">
      <c r="A5569" s="80">
        <v>82011</v>
      </c>
      <c r="B5569" s="80">
        <v>0</v>
      </c>
      <c r="C5569" s="80" t="s">
        <v>4266</v>
      </c>
      <c r="D5569" s="80" t="s">
        <v>3404</v>
      </c>
      <c r="E5569" s="90" t="s">
        <v>2142</v>
      </c>
    </row>
    <row r="5570" spans="1:5">
      <c r="A5570" s="80">
        <v>82012</v>
      </c>
      <c r="B5570" s="80">
        <v>0</v>
      </c>
      <c r="C5570" s="80" t="s">
        <v>3393</v>
      </c>
      <c r="D5570" s="80" t="s">
        <v>10319</v>
      </c>
      <c r="E5570" s="90" t="s">
        <v>1176</v>
      </c>
    </row>
    <row r="5571" spans="1:5">
      <c r="A5571" s="80">
        <v>82013</v>
      </c>
      <c r="B5571" s="80">
        <v>0</v>
      </c>
      <c r="C5571" s="80" t="s">
        <v>3768</v>
      </c>
      <c r="D5571" s="80" t="s">
        <v>12951</v>
      </c>
      <c r="E5571" s="90" t="s">
        <v>809</v>
      </c>
    </row>
    <row r="5572" spans="1:5">
      <c r="A5572" s="66">
        <v>82101</v>
      </c>
      <c r="B5572" s="66">
        <v>0</v>
      </c>
      <c r="C5572" s="66" t="s">
        <v>3375</v>
      </c>
      <c r="D5572" s="66" t="s">
        <v>10311</v>
      </c>
      <c r="E5572" s="68" t="s">
        <v>787</v>
      </c>
    </row>
    <row r="5573" spans="1:5">
      <c r="A5573" s="66">
        <v>82102</v>
      </c>
      <c r="B5573" s="66">
        <v>0</v>
      </c>
      <c r="C5573" s="66" t="s">
        <v>3382</v>
      </c>
      <c r="D5573" s="66" t="s">
        <v>10312</v>
      </c>
      <c r="E5573" s="68" t="s">
        <v>769</v>
      </c>
    </row>
    <row r="5574" spans="1:5">
      <c r="A5574" s="66">
        <v>82103</v>
      </c>
      <c r="B5574" s="66">
        <v>0</v>
      </c>
      <c r="C5574" s="66" t="s">
        <v>3382</v>
      </c>
      <c r="D5574" s="66" t="s">
        <v>10313</v>
      </c>
      <c r="E5574" s="68" t="s">
        <v>769</v>
      </c>
    </row>
    <row r="5575" spans="1:5">
      <c r="A5575" s="66">
        <v>82104</v>
      </c>
      <c r="B5575" s="66">
        <v>0</v>
      </c>
      <c r="C5575" s="66" t="s">
        <v>4266</v>
      </c>
      <c r="D5575" s="66" t="s">
        <v>10314</v>
      </c>
      <c r="E5575" s="68" t="s">
        <v>2142</v>
      </c>
    </row>
    <row r="5576" spans="1:5">
      <c r="A5576" s="66">
        <v>82105</v>
      </c>
      <c r="B5576" s="66">
        <v>0</v>
      </c>
      <c r="C5576" s="66" t="s">
        <v>4266</v>
      </c>
      <c r="D5576" s="66" t="s">
        <v>10315</v>
      </c>
      <c r="E5576" s="68" t="s">
        <v>2142</v>
      </c>
    </row>
    <row r="5577" spans="1:5">
      <c r="A5577" s="66">
        <v>82106</v>
      </c>
      <c r="B5577" s="66">
        <v>0</v>
      </c>
      <c r="C5577" s="66" t="s">
        <v>3393</v>
      </c>
      <c r="D5577" s="66" t="s">
        <v>10316</v>
      </c>
      <c r="E5577" s="68" t="s">
        <v>1176</v>
      </c>
    </row>
    <row r="5578" spans="1:5">
      <c r="A5578" s="66">
        <v>82107</v>
      </c>
      <c r="B5578" s="66">
        <v>0</v>
      </c>
      <c r="C5578" s="66" t="s">
        <v>4310</v>
      </c>
      <c r="D5578" s="66" t="s">
        <v>10317</v>
      </c>
      <c r="E5578" s="68" t="s">
        <v>2244</v>
      </c>
    </row>
    <row r="5579" spans="1:5">
      <c r="A5579" s="165">
        <v>83001</v>
      </c>
      <c r="B5579" s="165">
        <v>0</v>
      </c>
      <c r="C5579" s="165" t="s">
        <v>9612</v>
      </c>
      <c r="D5579" s="165" t="s">
        <v>12957</v>
      </c>
      <c r="E5579" s="166" t="s">
        <v>9462</v>
      </c>
    </row>
    <row r="5580" spans="1:5">
      <c r="A5580" s="165">
        <v>83002</v>
      </c>
      <c r="B5580" s="165">
        <v>0</v>
      </c>
      <c r="C5580" s="165" t="s">
        <v>9615</v>
      </c>
      <c r="D5580" s="165" t="s">
        <v>12958</v>
      </c>
      <c r="E5580" s="166" t="s">
        <v>9465</v>
      </c>
    </row>
    <row r="5581" spans="1:5">
      <c r="A5581" s="165">
        <v>83003</v>
      </c>
      <c r="B5581" s="165">
        <v>0</v>
      </c>
      <c r="C5581" s="165" t="s">
        <v>9618</v>
      </c>
      <c r="D5581" s="165" t="s">
        <v>12959</v>
      </c>
      <c r="E5581" s="166" t="s">
        <v>9468</v>
      </c>
    </row>
    <row r="5582" spans="1:5">
      <c r="A5582" s="165">
        <v>83004</v>
      </c>
      <c r="B5582" s="165">
        <v>0</v>
      </c>
      <c r="C5582" s="165" t="s">
        <v>9621</v>
      </c>
      <c r="D5582" s="165" t="s">
        <v>12960</v>
      </c>
      <c r="E5582" s="166" t="s">
        <v>9471</v>
      </c>
    </row>
    <row r="5583" spans="1:5">
      <c r="A5583" s="165">
        <v>83005</v>
      </c>
      <c r="B5583" s="165">
        <v>0</v>
      </c>
      <c r="C5583" s="165" t="s">
        <v>9624</v>
      </c>
      <c r="D5583" s="165" t="s">
        <v>12961</v>
      </c>
      <c r="E5583" s="166" t="s">
        <v>9474</v>
      </c>
    </row>
    <row r="5584" spans="1:5">
      <c r="A5584" s="165">
        <v>83006</v>
      </c>
      <c r="B5584" s="165">
        <v>0</v>
      </c>
      <c r="C5584" s="165" t="s">
        <v>9627</v>
      </c>
      <c r="D5584" s="165" t="s">
        <v>12962</v>
      </c>
      <c r="E5584" s="166" t="s">
        <v>9477</v>
      </c>
    </row>
    <row r="5585" spans="1:5">
      <c r="A5585" s="165">
        <v>83007</v>
      </c>
      <c r="B5585" s="165">
        <v>0</v>
      </c>
      <c r="C5585" s="165" t="s">
        <v>9630</v>
      </c>
      <c r="D5585" s="165" t="s">
        <v>12963</v>
      </c>
      <c r="E5585" s="166" t="s">
        <v>9480</v>
      </c>
    </row>
    <row r="5586" spans="1:5">
      <c r="A5586" s="165">
        <v>83008</v>
      </c>
      <c r="B5586" s="165">
        <v>0</v>
      </c>
      <c r="C5586" s="165" t="s">
        <v>9633</v>
      </c>
      <c r="D5586" s="165" t="s">
        <v>12964</v>
      </c>
      <c r="E5586" s="166" t="s">
        <v>9483</v>
      </c>
    </row>
    <row r="5587" spans="1:5">
      <c r="A5587" s="165">
        <v>83009</v>
      </c>
      <c r="B5587" s="165">
        <v>0</v>
      </c>
      <c r="C5587" s="165" t="s">
        <v>9636</v>
      </c>
      <c r="D5587" s="165" t="s">
        <v>12965</v>
      </c>
      <c r="E5587" s="166" t="s">
        <v>9486</v>
      </c>
    </row>
    <row r="5588" spans="1:5">
      <c r="A5588" s="165">
        <v>83010</v>
      </c>
      <c r="B5588" s="165">
        <v>0</v>
      </c>
      <c r="C5588" s="165" t="s">
        <v>9639</v>
      </c>
      <c r="D5588" s="165" t="s">
        <v>12966</v>
      </c>
      <c r="E5588" s="166" t="s">
        <v>9489</v>
      </c>
    </row>
    <row r="5589" spans="1:5">
      <c r="A5589" s="165">
        <v>83011</v>
      </c>
      <c r="B5589" s="165">
        <v>0</v>
      </c>
      <c r="C5589" s="165" t="s">
        <v>9642</v>
      </c>
      <c r="D5589" s="165" t="s">
        <v>12967</v>
      </c>
      <c r="E5589" s="166" t="s">
        <v>9492</v>
      </c>
    </row>
    <row r="5590" spans="1:5">
      <c r="A5590" s="165">
        <v>83012</v>
      </c>
      <c r="B5590" s="165">
        <v>0</v>
      </c>
      <c r="C5590" s="165" t="s">
        <v>9645</v>
      </c>
      <c r="D5590" s="165" t="s">
        <v>12968</v>
      </c>
      <c r="E5590" s="166" t="s">
        <v>9495</v>
      </c>
    </row>
    <row r="5591" spans="1:5">
      <c r="A5591" s="165">
        <v>83013</v>
      </c>
      <c r="B5591" s="165">
        <v>0</v>
      </c>
      <c r="C5591" s="165" t="s">
        <v>9648</v>
      </c>
      <c r="D5591" s="165" t="s">
        <v>12969</v>
      </c>
      <c r="E5591" s="166" t="s">
        <v>9498</v>
      </c>
    </row>
    <row r="5592" spans="1:5">
      <c r="A5592" s="165">
        <v>83014</v>
      </c>
      <c r="B5592" s="165">
        <v>0</v>
      </c>
      <c r="C5592" s="165" t="s">
        <v>9651</v>
      </c>
      <c r="D5592" s="165" t="s">
        <v>12970</v>
      </c>
      <c r="E5592" s="166" t="s">
        <v>9501</v>
      </c>
    </row>
    <row r="5593" spans="1:5">
      <c r="A5593" s="165">
        <v>83015</v>
      </c>
      <c r="B5593" s="165">
        <v>0</v>
      </c>
      <c r="C5593" s="165" t="s">
        <v>9654</v>
      </c>
      <c r="D5593" s="165" t="s">
        <v>12971</v>
      </c>
      <c r="E5593" s="166" t="s">
        <v>9504</v>
      </c>
    </row>
    <row r="5594" spans="1:5">
      <c r="A5594" s="165">
        <v>83016</v>
      </c>
      <c r="B5594" s="165">
        <v>0</v>
      </c>
      <c r="C5594" s="165" t="s">
        <v>9657</v>
      </c>
      <c r="D5594" s="165" t="s">
        <v>12972</v>
      </c>
      <c r="E5594" s="166" t="s">
        <v>9507</v>
      </c>
    </row>
    <row r="5595" spans="1:5">
      <c r="A5595" s="165">
        <v>83017</v>
      </c>
      <c r="B5595" s="165">
        <v>0</v>
      </c>
      <c r="C5595" s="165" t="s">
        <v>9660</v>
      </c>
      <c r="D5595" s="165" t="s">
        <v>12973</v>
      </c>
      <c r="E5595" s="166" t="s">
        <v>9510</v>
      </c>
    </row>
    <row r="5596" spans="1:5">
      <c r="A5596" s="165">
        <v>83018</v>
      </c>
      <c r="B5596" s="165">
        <v>0</v>
      </c>
      <c r="C5596" s="165" t="s">
        <v>9663</v>
      </c>
      <c r="D5596" s="165" t="s">
        <v>12974</v>
      </c>
      <c r="E5596" s="166" t="s">
        <v>9513</v>
      </c>
    </row>
    <row r="5597" spans="1:5">
      <c r="A5597" s="165">
        <v>83019</v>
      </c>
      <c r="B5597" s="165">
        <v>0</v>
      </c>
      <c r="C5597" s="165" t="s">
        <v>9666</v>
      </c>
      <c r="D5597" s="165" t="s">
        <v>12975</v>
      </c>
      <c r="E5597" s="166" t="s">
        <v>9516</v>
      </c>
    </row>
    <row r="5598" spans="1:5">
      <c r="A5598" s="165">
        <v>83020</v>
      </c>
      <c r="B5598" s="165">
        <v>0</v>
      </c>
      <c r="C5598" s="165" t="s">
        <v>9669</v>
      </c>
      <c r="D5598" s="165" t="s">
        <v>12976</v>
      </c>
      <c r="E5598" s="166" t="s">
        <v>9519</v>
      </c>
    </row>
    <row r="5599" spans="1:5">
      <c r="A5599" s="165">
        <v>83021</v>
      </c>
      <c r="B5599" s="165">
        <v>0</v>
      </c>
      <c r="C5599" s="165" t="s">
        <v>9672</v>
      </c>
      <c r="D5599" s="165" t="s">
        <v>12977</v>
      </c>
      <c r="E5599" s="166" t="s">
        <v>9522</v>
      </c>
    </row>
    <row r="5600" spans="1:5">
      <c r="A5600" s="165">
        <v>83022</v>
      </c>
      <c r="B5600" s="165">
        <v>0</v>
      </c>
      <c r="C5600" s="165" t="s">
        <v>9675</v>
      </c>
      <c r="D5600" s="165" t="s">
        <v>12978</v>
      </c>
      <c r="E5600" s="166" t="s">
        <v>9525</v>
      </c>
    </row>
    <row r="5601" spans="1:5">
      <c r="A5601" s="165">
        <v>83023</v>
      </c>
      <c r="B5601" s="165">
        <v>0</v>
      </c>
      <c r="C5601" s="165" t="s">
        <v>9678</v>
      </c>
      <c r="D5601" s="165" t="s">
        <v>12979</v>
      </c>
      <c r="E5601" s="166" t="s">
        <v>9528</v>
      </c>
    </row>
    <row r="5602" spans="1:5">
      <c r="A5602" s="165">
        <v>83024</v>
      </c>
      <c r="B5602" s="165">
        <v>0</v>
      </c>
      <c r="C5602" s="165" t="s">
        <v>9681</v>
      </c>
      <c r="D5602" s="165" t="s">
        <v>12980</v>
      </c>
      <c r="E5602" s="166" t="s">
        <v>9531</v>
      </c>
    </row>
    <row r="5603" spans="1:5">
      <c r="A5603" s="165">
        <v>83025</v>
      </c>
      <c r="B5603" s="165">
        <v>0</v>
      </c>
      <c r="C5603" s="165" t="s">
        <v>9684</v>
      </c>
      <c r="D5603" s="165" t="s">
        <v>12981</v>
      </c>
      <c r="E5603" s="166" t="s">
        <v>9534</v>
      </c>
    </row>
    <row r="5604" spans="1:5">
      <c r="A5604" s="165">
        <v>83026</v>
      </c>
      <c r="B5604" s="165">
        <v>0</v>
      </c>
      <c r="C5604" s="165" t="s">
        <v>9687</v>
      </c>
      <c r="D5604" s="165" t="s">
        <v>12982</v>
      </c>
      <c r="E5604" s="166" t="s">
        <v>9537</v>
      </c>
    </row>
    <row r="5605" spans="1:5">
      <c r="A5605" s="165">
        <v>83027</v>
      </c>
      <c r="B5605" s="165">
        <v>0</v>
      </c>
      <c r="C5605" s="165" t="s">
        <v>9690</v>
      </c>
      <c r="D5605" s="165" t="s">
        <v>12983</v>
      </c>
      <c r="E5605" s="166" t="s">
        <v>9540</v>
      </c>
    </row>
    <row r="5606" spans="1:5">
      <c r="A5606" s="165">
        <v>83028</v>
      </c>
      <c r="B5606" s="165">
        <v>0</v>
      </c>
      <c r="C5606" s="165" t="s">
        <v>9693</v>
      </c>
      <c r="D5606" s="165" t="s">
        <v>12984</v>
      </c>
      <c r="E5606" s="166" t="s">
        <v>9543</v>
      </c>
    </row>
    <row r="5607" spans="1:5">
      <c r="A5607" s="165">
        <v>83029</v>
      </c>
      <c r="B5607" s="165">
        <v>0</v>
      </c>
      <c r="C5607" s="165" t="s">
        <v>9696</v>
      </c>
      <c r="D5607" s="165" t="s">
        <v>12985</v>
      </c>
      <c r="E5607" s="166" t="s">
        <v>9546</v>
      </c>
    </row>
    <row r="5608" spans="1:5">
      <c r="A5608" s="165">
        <v>83030</v>
      </c>
      <c r="B5608" s="165">
        <v>0</v>
      </c>
      <c r="C5608" s="165" t="s">
        <v>9699</v>
      </c>
      <c r="D5608" s="165" t="s">
        <v>12986</v>
      </c>
      <c r="E5608" s="166" t="s">
        <v>9549</v>
      </c>
    </row>
    <row r="5609" spans="1:5">
      <c r="A5609" s="165">
        <v>83031</v>
      </c>
      <c r="B5609" s="165">
        <v>0</v>
      </c>
      <c r="C5609" s="165" t="s">
        <v>9702</v>
      </c>
      <c r="D5609" s="165" t="s">
        <v>12987</v>
      </c>
      <c r="E5609" s="166" t="s">
        <v>9552</v>
      </c>
    </row>
    <row r="5610" spans="1:5">
      <c r="A5610" s="165">
        <v>83032</v>
      </c>
      <c r="B5610" s="165">
        <v>0</v>
      </c>
      <c r="C5610" s="165" t="s">
        <v>9705</v>
      </c>
      <c r="D5610" s="165" t="s">
        <v>12988</v>
      </c>
      <c r="E5610" s="166" t="s">
        <v>9555</v>
      </c>
    </row>
    <row r="5611" spans="1:5">
      <c r="A5611" s="165">
        <v>83033</v>
      </c>
      <c r="B5611" s="165">
        <v>0</v>
      </c>
      <c r="C5611" s="165" t="s">
        <v>9708</v>
      </c>
      <c r="D5611" s="165" t="s">
        <v>12989</v>
      </c>
      <c r="E5611" s="166" t="s">
        <v>9558</v>
      </c>
    </row>
    <row r="5612" spans="1:5">
      <c r="A5612" s="165">
        <v>83034</v>
      </c>
      <c r="B5612" s="165">
        <v>0</v>
      </c>
      <c r="C5612" s="165" t="s">
        <v>9711</v>
      </c>
      <c r="D5612" s="165" t="s">
        <v>12990</v>
      </c>
      <c r="E5612" s="166" t="s">
        <v>9561</v>
      </c>
    </row>
    <row r="5613" spans="1:5">
      <c r="A5613" s="165">
        <v>83035</v>
      </c>
      <c r="B5613" s="165">
        <v>0</v>
      </c>
      <c r="C5613" s="165" t="s">
        <v>9714</v>
      </c>
      <c r="D5613" s="165" t="s">
        <v>12991</v>
      </c>
      <c r="E5613" s="166" t="s">
        <v>9564</v>
      </c>
    </row>
    <row r="5614" spans="1:5">
      <c r="A5614" s="165">
        <v>83036</v>
      </c>
      <c r="B5614" s="165">
        <v>0</v>
      </c>
      <c r="C5614" s="165" t="s">
        <v>9717</v>
      </c>
      <c r="D5614" s="165" t="s">
        <v>12992</v>
      </c>
      <c r="E5614" s="166" t="s">
        <v>9567</v>
      </c>
    </row>
    <row r="5615" spans="1:5">
      <c r="A5615" s="165">
        <v>83037</v>
      </c>
      <c r="B5615" s="165">
        <v>0</v>
      </c>
      <c r="C5615" s="165" t="s">
        <v>9720</v>
      </c>
      <c r="D5615" s="165" t="s">
        <v>12993</v>
      </c>
      <c r="E5615" s="166" t="s">
        <v>9570</v>
      </c>
    </row>
    <row r="5616" spans="1:5">
      <c r="A5616" s="165">
        <v>83038</v>
      </c>
      <c r="B5616" s="165">
        <v>0</v>
      </c>
      <c r="C5616" s="165" t="s">
        <v>9723</v>
      </c>
      <c r="D5616" s="165" t="s">
        <v>12994</v>
      </c>
      <c r="E5616" s="166" t="s">
        <v>9573</v>
      </c>
    </row>
    <row r="5617" spans="1:5">
      <c r="A5617" s="165">
        <v>83039</v>
      </c>
      <c r="B5617" s="165">
        <v>0</v>
      </c>
      <c r="C5617" s="165" t="s">
        <v>9726</v>
      </c>
      <c r="D5617" s="165" t="s">
        <v>12995</v>
      </c>
      <c r="E5617" s="166" t="s">
        <v>9576</v>
      </c>
    </row>
    <row r="5618" spans="1:5">
      <c r="A5618" s="165">
        <v>83040</v>
      </c>
      <c r="B5618" s="165">
        <v>0</v>
      </c>
      <c r="C5618" s="165" t="s">
        <v>9729</v>
      </c>
      <c r="D5618" s="165" t="s">
        <v>12996</v>
      </c>
      <c r="E5618" s="166" t="s">
        <v>9579</v>
      </c>
    </row>
    <row r="5619" spans="1:5">
      <c r="A5619" s="165">
        <v>83041</v>
      </c>
      <c r="B5619" s="165">
        <v>0</v>
      </c>
      <c r="C5619" s="165" t="s">
        <v>9732</v>
      </c>
      <c r="D5619" s="165" t="s">
        <v>12997</v>
      </c>
      <c r="E5619" s="166" t="s">
        <v>9582</v>
      </c>
    </row>
    <row r="5620" spans="1:5">
      <c r="A5620" s="165">
        <v>83042</v>
      </c>
      <c r="B5620" s="165">
        <v>0</v>
      </c>
      <c r="C5620" s="165" t="s">
        <v>9735</v>
      </c>
      <c r="D5620" s="165" t="s">
        <v>12998</v>
      </c>
      <c r="E5620" s="166" t="s">
        <v>9585</v>
      </c>
    </row>
    <row r="5621" spans="1:5">
      <c r="A5621" s="165">
        <v>83043</v>
      </c>
      <c r="B5621" s="165">
        <v>0</v>
      </c>
      <c r="C5621" s="165" t="s">
        <v>9738</v>
      </c>
      <c r="D5621" s="165" t="s">
        <v>12999</v>
      </c>
      <c r="E5621" s="166" t="s">
        <v>9588</v>
      </c>
    </row>
    <row r="5622" spans="1:5">
      <c r="A5622" s="165">
        <v>83044</v>
      </c>
      <c r="B5622" s="165">
        <v>0</v>
      </c>
      <c r="C5622" s="165" t="s">
        <v>9741</v>
      </c>
      <c r="D5622" s="165" t="s">
        <v>13000</v>
      </c>
      <c r="E5622" s="166" t="s">
        <v>9591</v>
      </c>
    </row>
    <row r="5623" spans="1:5">
      <c r="A5623" s="165">
        <v>83045</v>
      </c>
      <c r="B5623" s="165">
        <v>0</v>
      </c>
      <c r="C5623" s="165" t="s">
        <v>9744</v>
      </c>
      <c r="D5623" s="165" t="s">
        <v>13001</v>
      </c>
      <c r="E5623" s="166" t="s">
        <v>9594</v>
      </c>
    </row>
    <row r="5624" spans="1:5">
      <c r="A5624" s="165">
        <v>83046</v>
      </c>
      <c r="B5624" s="165">
        <v>0</v>
      </c>
      <c r="C5624" s="165" t="s">
        <v>9747</v>
      </c>
      <c r="D5624" s="165" t="s">
        <v>13002</v>
      </c>
      <c r="E5624" s="166" t="s">
        <v>9597</v>
      </c>
    </row>
    <row r="5625" spans="1:5">
      <c r="A5625" s="165">
        <v>83047</v>
      </c>
      <c r="B5625" s="165">
        <v>0</v>
      </c>
      <c r="C5625" s="165" t="s">
        <v>9750</v>
      </c>
      <c r="D5625" s="165" t="s">
        <v>13003</v>
      </c>
      <c r="E5625" s="166" t="s">
        <v>9600</v>
      </c>
    </row>
    <row r="5626" spans="1:5">
      <c r="A5626" s="165">
        <v>83048</v>
      </c>
      <c r="B5626" s="165">
        <v>0</v>
      </c>
      <c r="C5626" s="165" t="s">
        <v>9753</v>
      </c>
      <c r="D5626" s="165" t="s">
        <v>13004</v>
      </c>
      <c r="E5626" s="166" t="s">
        <v>9603</v>
      </c>
    </row>
    <row r="5627" spans="1:5">
      <c r="A5627" s="165">
        <v>83049</v>
      </c>
      <c r="B5627" s="165">
        <v>0</v>
      </c>
      <c r="C5627" s="165" t="s">
        <v>9756</v>
      </c>
      <c r="D5627" s="165" t="s">
        <v>13005</v>
      </c>
      <c r="E5627" s="166" t="s">
        <v>9606</v>
      </c>
    </row>
    <row r="5628" spans="1:5">
      <c r="A5628" s="165">
        <v>83050</v>
      </c>
      <c r="B5628" s="165">
        <v>0</v>
      </c>
      <c r="C5628" s="165" t="s">
        <v>9759</v>
      </c>
      <c r="D5628" s="165" t="s">
        <v>13006</v>
      </c>
      <c r="E5628" s="166" t="s">
        <v>9609</v>
      </c>
    </row>
    <row r="5629" spans="1:5">
      <c r="A5629" s="165">
        <v>83051</v>
      </c>
      <c r="B5629" s="165">
        <v>0</v>
      </c>
      <c r="C5629" s="165" t="s">
        <v>14371</v>
      </c>
      <c r="D5629" s="165" t="s">
        <v>13007</v>
      </c>
      <c r="E5629" s="166" t="s">
        <v>14337</v>
      </c>
    </row>
    <row r="5630" spans="1:5">
      <c r="A5630" s="165">
        <v>83052</v>
      </c>
      <c r="B5630" s="165">
        <v>0</v>
      </c>
      <c r="C5630" s="165" t="s">
        <v>10162</v>
      </c>
      <c r="D5630" s="165" t="s">
        <v>13008</v>
      </c>
      <c r="E5630" s="166" t="s">
        <v>10237</v>
      </c>
    </row>
    <row r="5631" spans="1:5">
      <c r="A5631" s="165">
        <v>83053</v>
      </c>
      <c r="B5631" s="165">
        <v>0</v>
      </c>
      <c r="C5631" s="165" t="s">
        <v>14372</v>
      </c>
      <c r="D5631" s="165" t="s">
        <v>13009</v>
      </c>
      <c r="E5631" s="166" t="s">
        <v>14338</v>
      </c>
    </row>
    <row r="5632" spans="1:5">
      <c r="A5632" s="165">
        <v>83054</v>
      </c>
      <c r="B5632" s="165">
        <v>0</v>
      </c>
      <c r="C5632" s="165" t="s">
        <v>10165</v>
      </c>
      <c r="D5632" s="165" t="s">
        <v>13010</v>
      </c>
      <c r="E5632" s="166" t="s">
        <v>10240</v>
      </c>
    </row>
    <row r="5633" spans="1:5">
      <c r="A5633" s="165">
        <v>83055</v>
      </c>
      <c r="B5633" s="165">
        <v>0</v>
      </c>
      <c r="C5633" s="165" t="s">
        <v>14193</v>
      </c>
      <c r="D5633" s="165" t="s">
        <v>13011</v>
      </c>
      <c r="E5633" s="166" t="s">
        <v>14116</v>
      </c>
    </row>
    <row r="5634" spans="1:5">
      <c r="A5634" s="165">
        <v>83056</v>
      </c>
      <c r="B5634" s="165">
        <v>0</v>
      </c>
      <c r="C5634" s="165" t="s">
        <v>10168</v>
      </c>
      <c r="D5634" s="165" t="s">
        <v>13012</v>
      </c>
      <c r="E5634" s="166" t="s">
        <v>10243</v>
      </c>
    </row>
    <row r="5635" spans="1:5">
      <c r="A5635" s="165">
        <v>83057</v>
      </c>
      <c r="B5635" s="165">
        <v>0</v>
      </c>
      <c r="C5635" s="165" t="s">
        <v>14373</v>
      </c>
      <c r="D5635" s="165" t="s">
        <v>13013</v>
      </c>
      <c r="E5635" s="166" t="s">
        <v>14339</v>
      </c>
    </row>
    <row r="5636" spans="1:5">
      <c r="A5636" s="165">
        <v>83058</v>
      </c>
      <c r="B5636" s="165">
        <v>0</v>
      </c>
      <c r="C5636" s="165" t="s">
        <v>10171</v>
      </c>
      <c r="D5636" s="165" t="s">
        <v>13014</v>
      </c>
      <c r="E5636" s="166" t="s">
        <v>10246</v>
      </c>
    </row>
    <row r="5637" spans="1:5">
      <c r="A5637" s="165">
        <v>83059</v>
      </c>
      <c r="B5637" s="165">
        <v>0</v>
      </c>
      <c r="C5637" s="165" t="s">
        <v>14374</v>
      </c>
      <c r="D5637" s="165" t="s">
        <v>13015</v>
      </c>
      <c r="E5637" s="166" t="s">
        <v>14340</v>
      </c>
    </row>
    <row r="5638" spans="1:5">
      <c r="A5638" s="165">
        <v>83060</v>
      </c>
      <c r="B5638" s="165">
        <v>0</v>
      </c>
      <c r="C5638" s="165" t="s">
        <v>10174</v>
      </c>
      <c r="D5638" s="165" t="s">
        <v>13016</v>
      </c>
      <c r="E5638" s="166" t="s">
        <v>10249</v>
      </c>
    </row>
    <row r="5639" spans="1:5">
      <c r="A5639" s="165">
        <v>83061</v>
      </c>
      <c r="B5639" s="165">
        <v>0</v>
      </c>
      <c r="C5639" s="165" t="s">
        <v>14375</v>
      </c>
      <c r="D5639" s="165" t="s">
        <v>13017</v>
      </c>
      <c r="E5639" s="166" t="s">
        <v>14341</v>
      </c>
    </row>
    <row r="5640" spans="1:5">
      <c r="A5640" s="165">
        <v>83062</v>
      </c>
      <c r="B5640" s="165">
        <v>0</v>
      </c>
      <c r="C5640" s="165" t="s">
        <v>10177</v>
      </c>
      <c r="D5640" s="165" t="s">
        <v>13018</v>
      </c>
      <c r="E5640" s="166" t="s">
        <v>10252</v>
      </c>
    </row>
    <row r="5641" spans="1:5">
      <c r="A5641" s="165">
        <v>83063</v>
      </c>
      <c r="B5641" s="165">
        <v>0</v>
      </c>
      <c r="C5641" s="165" t="s">
        <v>13827</v>
      </c>
      <c r="D5641" s="165" t="s">
        <v>13019</v>
      </c>
      <c r="E5641" s="166" t="s">
        <v>13709</v>
      </c>
    </row>
    <row r="5642" spans="1:5">
      <c r="A5642" s="165">
        <v>83064</v>
      </c>
      <c r="B5642" s="165">
        <v>0</v>
      </c>
      <c r="C5642" s="165" t="s">
        <v>10180</v>
      </c>
      <c r="D5642" s="165" t="s">
        <v>13020</v>
      </c>
      <c r="E5642" s="166" t="s">
        <v>10255</v>
      </c>
    </row>
    <row r="5643" spans="1:5">
      <c r="A5643" s="165">
        <v>83065</v>
      </c>
      <c r="B5643" s="165">
        <v>0</v>
      </c>
      <c r="C5643" s="165" t="s">
        <v>14195</v>
      </c>
      <c r="D5643" s="165" t="s">
        <v>13021</v>
      </c>
      <c r="E5643" s="166" t="s">
        <v>14118</v>
      </c>
    </row>
    <row r="5644" spans="1:5">
      <c r="A5644" s="165">
        <v>83066</v>
      </c>
      <c r="B5644" s="165">
        <v>0</v>
      </c>
      <c r="C5644" s="165" t="s">
        <v>10183</v>
      </c>
      <c r="D5644" s="165" t="s">
        <v>13022</v>
      </c>
      <c r="E5644" s="166" t="s">
        <v>10258</v>
      </c>
    </row>
    <row r="5645" spans="1:5">
      <c r="A5645" s="165">
        <v>83067</v>
      </c>
      <c r="B5645" s="165">
        <v>0</v>
      </c>
      <c r="C5645" s="165" t="s">
        <v>14376</v>
      </c>
      <c r="D5645" s="165" t="s">
        <v>13023</v>
      </c>
      <c r="E5645" s="166" t="s">
        <v>14342</v>
      </c>
    </row>
    <row r="5646" spans="1:5">
      <c r="A5646" s="165">
        <v>83068</v>
      </c>
      <c r="B5646" s="165">
        <v>0</v>
      </c>
      <c r="C5646" s="165" t="s">
        <v>10186</v>
      </c>
      <c r="D5646" s="165" t="s">
        <v>13024</v>
      </c>
      <c r="E5646" s="166" t="s">
        <v>10261</v>
      </c>
    </row>
    <row r="5647" spans="1:5">
      <c r="A5647" s="165">
        <v>83069</v>
      </c>
      <c r="B5647" s="165">
        <v>0</v>
      </c>
      <c r="C5647" s="165" t="s">
        <v>14377</v>
      </c>
      <c r="D5647" s="165" t="s">
        <v>13025</v>
      </c>
      <c r="E5647" s="166" t="s">
        <v>14343</v>
      </c>
    </row>
    <row r="5648" spans="1:5">
      <c r="A5648" s="165">
        <v>83070</v>
      </c>
      <c r="B5648" s="165">
        <v>0</v>
      </c>
      <c r="C5648" s="165" t="s">
        <v>10189</v>
      </c>
      <c r="D5648" s="165" t="s">
        <v>13026</v>
      </c>
      <c r="E5648" s="166" t="s">
        <v>10264</v>
      </c>
    </row>
    <row r="5649" spans="1:5">
      <c r="A5649" s="165">
        <v>83071</v>
      </c>
      <c r="B5649" s="165">
        <v>0</v>
      </c>
      <c r="C5649" s="165" t="s">
        <v>14378</v>
      </c>
      <c r="D5649" s="165" t="s">
        <v>13027</v>
      </c>
      <c r="E5649" s="166" t="s">
        <v>14344</v>
      </c>
    </row>
    <row r="5650" spans="1:5">
      <c r="A5650" s="165">
        <v>83072</v>
      </c>
      <c r="B5650" s="165">
        <v>0</v>
      </c>
      <c r="C5650" s="165" t="s">
        <v>10192</v>
      </c>
      <c r="D5650" s="165" t="s">
        <v>13028</v>
      </c>
      <c r="E5650" s="166" t="s">
        <v>10267</v>
      </c>
    </row>
    <row r="5651" spans="1:5">
      <c r="A5651" s="165">
        <v>83073</v>
      </c>
      <c r="B5651" s="165">
        <v>0</v>
      </c>
      <c r="C5651" s="165" t="s">
        <v>14379</v>
      </c>
      <c r="D5651" s="165" t="s">
        <v>13029</v>
      </c>
      <c r="E5651" s="166" t="s">
        <v>14345</v>
      </c>
    </row>
    <row r="5652" spans="1:5">
      <c r="A5652" s="165">
        <v>83074</v>
      </c>
      <c r="B5652" s="165">
        <v>0</v>
      </c>
      <c r="C5652" s="165" t="s">
        <v>10195</v>
      </c>
      <c r="D5652" s="165" t="s">
        <v>13030</v>
      </c>
      <c r="E5652" s="166" t="s">
        <v>10270</v>
      </c>
    </row>
    <row r="5653" spans="1:5">
      <c r="A5653" s="165">
        <v>83075</v>
      </c>
      <c r="B5653" s="165">
        <v>0</v>
      </c>
      <c r="C5653" s="165" t="s">
        <v>14198</v>
      </c>
      <c r="D5653" s="165" t="s">
        <v>13031</v>
      </c>
      <c r="E5653" s="166" t="s">
        <v>14121</v>
      </c>
    </row>
    <row r="5654" spans="1:5">
      <c r="A5654" s="165">
        <v>83076</v>
      </c>
      <c r="B5654" s="165">
        <v>0</v>
      </c>
      <c r="C5654" s="165" t="s">
        <v>10198</v>
      </c>
      <c r="D5654" s="165" t="s">
        <v>13032</v>
      </c>
      <c r="E5654" s="166" t="s">
        <v>10273</v>
      </c>
    </row>
    <row r="5655" spans="1:5">
      <c r="A5655" s="165">
        <v>83077</v>
      </c>
      <c r="B5655" s="165">
        <v>0</v>
      </c>
      <c r="C5655" s="165" t="s">
        <v>13830</v>
      </c>
      <c r="D5655" s="165" t="s">
        <v>13033</v>
      </c>
      <c r="E5655" s="166" t="s">
        <v>13712</v>
      </c>
    </row>
    <row r="5656" spans="1:5">
      <c r="A5656" s="165">
        <v>83078</v>
      </c>
      <c r="B5656" s="165">
        <v>0</v>
      </c>
      <c r="C5656" s="165" t="s">
        <v>10201</v>
      </c>
      <c r="D5656" s="165" t="s">
        <v>13034</v>
      </c>
      <c r="E5656" s="166" t="s">
        <v>10276</v>
      </c>
    </row>
    <row r="5657" spans="1:5">
      <c r="A5657" s="165">
        <v>83079</v>
      </c>
      <c r="B5657" s="165">
        <v>0</v>
      </c>
      <c r="C5657" s="165" t="s">
        <v>14380</v>
      </c>
      <c r="D5657" s="165" t="s">
        <v>13035</v>
      </c>
      <c r="E5657" s="166" t="s">
        <v>14346</v>
      </c>
    </row>
    <row r="5658" spans="1:5">
      <c r="A5658" s="165">
        <v>83080</v>
      </c>
      <c r="B5658" s="165">
        <v>0</v>
      </c>
      <c r="C5658" s="165" t="s">
        <v>10204</v>
      </c>
      <c r="D5658" s="165" t="s">
        <v>13036</v>
      </c>
      <c r="E5658" s="166" t="s">
        <v>10279</v>
      </c>
    </row>
    <row r="5659" spans="1:5">
      <c r="A5659" s="165">
        <v>83081</v>
      </c>
      <c r="B5659" s="165">
        <v>0</v>
      </c>
      <c r="C5659" s="165" t="s">
        <v>14381</v>
      </c>
      <c r="D5659" s="165" t="s">
        <v>13037</v>
      </c>
      <c r="E5659" s="166" t="s">
        <v>14347</v>
      </c>
    </row>
    <row r="5660" spans="1:5">
      <c r="A5660" s="165">
        <v>83082</v>
      </c>
      <c r="B5660" s="165">
        <v>0</v>
      </c>
      <c r="C5660" s="165" t="s">
        <v>10207</v>
      </c>
      <c r="D5660" s="165" t="s">
        <v>13038</v>
      </c>
      <c r="E5660" s="166" t="s">
        <v>10282</v>
      </c>
    </row>
    <row r="5661" spans="1:5">
      <c r="A5661" s="165">
        <v>83083</v>
      </c>
      <c r="B5661" s="165">
        <v>0</v>
      </c>
      <c r="C5661" s="165" t="s">
        <v>14382</v>
      </c>
      <c r="D5661" s="165" t="s">
        <v>13039</v>
      </c>
      <c r="E5661" s="166" t="s">
        <v>14348</v>
      </c>
    </row>
    <row r="5662" spans="1:5">
      <c r="A5662" s="165">
        <v>83084</v>
      </c>
      <c r="B5662" s="165">
        <v>0</v>
      </c>
      <c r="C5662" s="165" t="s">
        <v>10210</v>
      </c>
      <c r="D5662" s="165" t="s">
        <v>13040</v>
      </c>
      <c r="E5662" s="166" t="s">
        <v>10285</v>
      </c>
    </row>
    <row r="5663" spans="1:5">
      <c r="A5663" s="165">
        <v>83085</v>
      </c>
      <c r="B5663" s="165">
        <v>0</v>
      </c>
      <c r="C5663" s="165" t="s">
        <v>14200</v>
      </c>
      <c r="D5663" s="165" t="s">
        <v>13041</v>
      </c>
      <c r="E5663" s="166" t="s">
        <v>14123</v>
      </c>
    </row>
    <row r="5664" spans="1:5">
      <c r="A5664" s="165">
        <v>83086</v>
      </c>
      <c r="B5664" s="165">
        <v>0</v>
      </c>
      <c r="C5664" s="165" t="s">
        <v>10213</v>
      </c>
      <c r="D5664" s="165" t="s">
        <v>13042</v>
      </c>
      <c r="E5664" s="166" t="s">
        <v>10288</v>
      </c>
    </row>
    <row r="5665" spans="1:5">
      <c r="A5665" s="165">
        <v>83087</v>
      </c>
      <c r="B5665" s="165">
        <v>0</v>
      </c>
      <c r="C5665" s="165" t="s">
        <v>14383</v>
      </c>
      <c r="D5665" s="165" t="s">
        <v>13043</v>
      </c>
      <c r="E5665" s="166" t="s">
        <v>14349</v>
      </c>
    </row>
    <row r="5666" spans="1:5">
      <c r="A5666" s="165">
        <v>83088</v>
      </c>
      <c r="B5666" s="165">
        <v>0</v>
      </c>
      <c r="C5666" s="165" t="s">
        <v>10216</v>
      </c>
      <c r="D5666" s="165" t="s">
        <v>13044</v>
      </c>
      <c r="E5666" s="166" t="s">
        <v>10291</v>
      </c>
    </row>
    <row r="5667" spans="1:5">
      <c r="A5667" s="165">
        <v>83089</v>
      </c>
      <c r="B5667" s="165">
        <v>0</v>
      </c>
      <c r="C5667" s="165" t="s">
        <v>14384</v>
      </c>
      <c r="D5667" s="165" t="s">
        <v>13045</v>
      </c>
      <c r="E5667" s="166" t="s">
        <v>14350</v>
      </c>
    </row>
    <row r="5668" spans="1:5">
      <c r="A5668" s="165">
        <v>83090</v>
      </c>
      <c r="B5668" s="165">
        <v>0</v>
      </c>
      <c r="C5668" s="165" t="s">
        <v>10219</v>
      </c>
      <c r="D5668" s="165" t="s">
        <v>13046</v>
      </c>
      <c r="E5668" s="166" t="s">
        <v>10294</v>
      </c>
    </row>
    <row r="5669" spans="1:5">
      <c r="A5669" s="165">
        <v>83091</v>
      </c>
      <c r="B5669" s="165">
        <v>0</v>
      </c>
      <c r="C5669" s="165" t="s">
        <v>13833</v>
      </c>
      <c r="D5669" s="165" t="s">
        <v>13047</v>
      </c>
      <c r="E5669" s="166" t="s">
        <v>13715</v>
      </c>
    </row>
    <row r="5670" spans="1:5">
      <c r="A5670" s="165">
        <v>83092</v>
      </c>
      <c r="B5670" s="165">
        <v>0</v>
      </c>
      <c r="C5670" s="165" t="s">
        <v>10222</v>
      </c>
      <c r="D5670" s="165" t="s">
        <v>13048</v>
      </c>
      <c r="E5670" s="166" t="s">
        <v>10297</v>
      </c>
    </row>
    <row r="5671" spans="1:5">
      <c r="A5671" s="165">
        <v>83093</v>
      </c>
      <c r="B5671" s="165">
        <v>0</v>
      </c>
      <c r="C5671" s="165" t="s">
        <v>14385</v>
      </c>
      <c r="D5671" s="165" t="s">
        <v>13049</v>
      </c>
      <c r="E5671" s="166" t="s">
        <v>14351</v>
      </c>
    </row>
    <row r="5672" spans="1:5">
      <c r="A5672" s="165">
        <v>83094</v>
      </c>
      <c r="B5672" s="165">
        <v>0</v>
      </c>
      <c r="C5672" s="165" t="s">
        <v>10225</v>
      </c>
      <c r="D5672" s="165" t="s">
        <v>13050</v>
      </c>
      <c r="E5672" s="166" t="s">
        <v>10300</v>
      </c>
    </row>
    <row r="5673" spans="1:5">
      <c r="A5673" s="165">
        <v>83095</v>
      </c>
      <c r="B5673" s="165">
        <v>0</v>
      </c>
      <c r="C5673" s="165" t="s">
        <v>14203</v>
      </c>
      <c r="D5673" s="165" t="s">
        <v>13051</v>
      </c>
      <c r="E5673" s="166" t="s">
        <v>14126</v>
      </c>
    </row>
    <row r="5674" spans="1:5">
      <c r="A5674" s="165">
        <v>83096</v>
      </c>
      <c r="B5674" s="165">
        <v>0</v>
      </c>
      <c r="C5674" s="165" t="s">
        <v>10228</v>
      </c>
      <c r="D5674" s="165" t="s">
        <v>13052</v>
      </c>
      <c r="E5674" s="166" t="s">
        <v>10303</v>
      </c>
    </row>
    <row r="5675" spans="1:5">
      <c r="A5675" s="165">
        <v>83097</v>
      </c>
      <c r="B5675" s="165">
        <v>0</v>
      </c>
      <c r="C5675" s="165" t="s">
        <v>14386</v>
      </c>
      <c r="D5675" s="165" t="s">
        <v>13053</v>
      </c>
      <c r="E5675" s="166" t="s">
        <v>14352</v>
      </c>
    </row>
    <row r="5676" spans="1:5">
      <c r="A5676" s="165">
        <v>83098</v>
      </c>
      <c r="B5676" s="165">
        <v>0</v>
      </c>
      <c r="C5676" s="165" t="s">
        <v>10231</v>
      </c>
      <c r="D5676" s="165" t="s">
        <v>13054</v>
      </c>
      <c r="E5676" s="166" t="s">
        <v>10306</v>
      </c>
    </row>
    <row r="5677" spans="1:5">
      <c r="A5677" s="165">
        <v>83099</v>
      </c>
      <c r="B5677" s="165">
        <v>0</v>
      </c>
      <c r="C5677" s="165" t="s">
        <v>14387</v>
      </c>
      <c r="D5677" s="165" t="s">
        <v>13055</v>
      </c>
      <c r="E5677" s="166" t="s">
        <v>14353</v>
      </c>
    </row>
    <row r="5678" spans="1:5">
      <c r="A5678" s="165">
        <v>83100</v>
      </c>
      <c r="B5678" s="165">
        <v>0</v>
      </c>
      <c r="C5678" s="165" t="s">
        <v>10234</v>
      </c>
      <c r="D5678" s="165" t="s">
        <v>13056</v>
      </c>
      <c r="E5678" s="166" t="s">
        <v>10309</v>
      </c>
    </row>
    <row r="5679" spans="1:5">
      <c r="A5679" s="165">
        <v>83101</v>
      </c>
      <c r="B5679" s="165">
        <v>0</v>
      </c>
      <c r="C5679" s="165" t="s">
        <v>14388</v>
      </c>
      <c r="D5679" s="165" t="s">
        <v>13057</v>
      </c>
      <c r="E5679" s="166" t="s">
        <v>14354</v>
      </c>
    </row>
    <row r="5680" spans="1:5">
      <c r="A5680" s="165">
        <v>83102</v>
      </c>
      <c r="B5680" s="165">
        <v>0</v>
      </c>
      <c r="C5680" s="165" t="s">
        <v>14029</v>
      </c>
      <c r="D5680" s="165" t="s">
        <v>13058</v>
      </c>
      <c r="E5680" s="166" t="s">
        <v>13943</v>
      </c>
    </row>
    <row r="5681" spans="1:5">
      <c r="A5681" s="165">
        <v>83103</v>
      </c>
      <c r="B5681" s="165">
        <v>0</v>
      </c>
      <c r="C5681" s="165" t="s">
        <v>14389</v>
      </c>
      <c r="D5681" s="165" t="s">
        <v>13059</v>
      </c>
      <c r="E5681" s="166" t="s">
        <v>14355</v>
      </c>
    </row>
    <row r="5682" spans="1:5">
      <c r="A5682" s="165">
        <v>83104</v>
      </c>
      <c r="B5682" s="165">
        <v>0</v>
      </c>
      <c r="C5682" s="165" t="s">
        <v>14030</v>
      </c>
      <c r="D5682" s="165" t="s">
        <v>13060</v>
      </c>
      <c r="E5682" s="166" t="s">
        <v>13944</v>
      </c>
    </row>
    <row r="5683" spans="1:5">
      <c r="A5683" s="165">
        <v>83105</v>
      </c>
      <c r="B5683" s="165">
        <v>0</v>
      </c>
      <c r="C5683" s="165" t="s">
        <v>13837</v>
      </c>
      <c r="D5683" s="165" t="s">
        <v>13061</v>
      </c>
      <c r="E5683" s="166" t="s">
        <v>13719</v>
      </c>
    </row>
    <row r="5684" spans="1:5">
      <c r="A5684" s="165">
        <v>83106</v>
      </c>
      <c r="B5684" s="165">
        <v>0</v>
      </c>
      <c r="C5684" s="165" t="s">
        <v>14031</v>
      </c>
      <c r="D5684" s="165" t="s">
        <v>13062</v>
      </c>
      <c r="E5684" s="166" t="s">
        <v>13945</v>
      </c>
    </row>
    <row r="5685" spans="1:5">
      <c r="A5685" s="165">
        <v>83107</v>
      </c>
      <c r="B5685" s="165">
        <v>0</v>
      </c>
      <c r="C5685" s="165" t="s">
        <v>14390</v>
      </c>
      <c r="D5685" s="165" t="s">
        <v>13063</v>
      </c>
      <c r="E5685" s="166" t="s">
        <v>14356</v>
      </c>
    </row>
    <row r="5686" spans="1:5">
      <c r="A5686" s="165">
        <v>83108</v>
      </c>
      <c r="B5686" s="165">
        <v>0</v>
      </c>
      <c r="C5686" s="165" t="s">
        <v>14032</v>
      </c>
      <c r="D5686" s="165" t="s">
        <v>13064</v>
      </c>
      <c r="E5686" s="166" t="s">
        <v>13946</v>
      </c>
    </row>
    <row r="5687" spans="1:5">
      <c r="A5687" s="165">
        <v>83109</v>
      </c>
      <c r="B5687" s="165">
        <v>0</v>
      </c>
      <c r="C5687" s="165" t="s">
        <v>14391</v>
      </c>
      <c r="D5687" s="165" t="s">
        <v>13065</v>
      </c>
      <c r="E5687" s="166" t="s">
        <v>14357</v>
      </c>
    </row>
    <row r="5688" spans="1:5">
      <c r="A5688" s="165">
        <v>83110</v>
      </c>
      <c r="B5688" s="165">
        <v>0</v>
      </c>
      <c r="C5688" s="165" t="s">
        <v>14033</v>
      </c>
      <c r="D5688" s="165" t="s">
        <v>13066</v>
      </c>
      <c r="E5688" s="166" t="s">
        <v>13947</v>
      </c>
    </row>
    <row r="5689" spans="1:5">
      <c r="A5689" s="165">
        <v>83111</v>
      </c>
      <c r="B5689" s="165">
        <v>0</v>
      </c>
      <c r="C5689" s="165" t="s">
        <v>14392</v>
      </c>
      <c r="D5689" s="165" t="s">
        <v>13067</v>
      </c>
      <c r="E5689" s="166" t="s">
        <v>14358</v>
      </c>
    </row>
    <row r="5690" spans="1:5">
      <c r="A5690" s="165">
        <v>83112</v>
      </c>
      <c r="B5690" s="165">
        <v>0</v>
      </c>
      <c r="C5690" s="165" t="s">
        <v>13840</v>
      </c>
      <c r="D5690" s="165" t="s">
        <v>13068</v>
      </c>
      <c r="E5690" s="166" t="s">
        <v>13722</v>
      </c>
    </row>
    <row r="5691" spans="1:5">
      <c r="A5691" s="165">
        <v>83113</v>
      </c>
      <c r="B5691" s="165">
        <v>0</v>
      </c>
      <c r="C5691" s="165" t="s">
        <v>14393</v>
      </c>
      <c r="D5691" s="165" t="s">
        <v>13069</v>
      </c>
      <c r="E5691" s="166" t="s">
        <v>14359</v>
      </c>
    </row>
    <row r="5692" spans="1:5">
      <c r="A5692" s="165">
        <v>83114</v>
      </c>
      <c r="B5692" s="165">
        <v>0</v>
      </c>
      <c r="C5692" s="165" t="s">
        <v>14034</v>
      </c>
      <c r="D5692" s="165" t="s">
        <v>13070</v>
      </c>
      <c r="E5692" s="166" t="s">
        <v>13948</v>
      </c>
    </row>
    <row r="5693" spans="1:5">
      <c r="A5693" s="165">
        <v>83115</v>
      </c>
      <c r="B5693" s="165">
        <v>0</v>
      </c>
      <c r="C5693" s="165" t="s">
        <v>14211</v>
      </c>
      <c r="D5693" s="165" t="s">
        <v>13071</v>
      </c>
      <c r="E5693" s="166" t="s">
        <v>14134</v>
      </c>
    </row>
    <row r="5694" spans="1:5">
      <c r="A5694" s="165">
        <v>83116</v>
      </c>
      <c r="B5694" s="165">
        <v>0</v>
      </c>
      <c r="C5694" s="165" t="s">
        <v>14035</v>
      </c>
      <c r="D5694" s="165" t="s">
        <v>13072</v>
      </c>
      <c r="E5694" s="166" t="s">
        <v>13949</v>
      </c>
    </row>
    <row r="5695" spans="1:5">
      <c r="A5695" s="165">
        <v>83117</v>
      </c>
      <c r="B5695" s="165">
        <v>0</v>
      </c>
      <c r="C5695" s="165" t="s">
        <v>14394</v>
      </c>
      <c r="D5695" s="165" t="s">
        <v>13073</v>
      </c>
      <c r="E5695" s="166" t="s">
        <v>14360</v>
      </c>
    </row>
    <row r="5696" spans="1:5">
      <c r="A5696" s="165">
        <v>83118</v>
      </c>
      <c r="B5696" s="165">
        <v>0</v>
      </c>
      <c r="C5696" s="165" t="s">
        <v>14036</v>
      </c>
      <c r="D5696" s="165" t="s">
        <v>13074</v>
      </c>
      <c r="E5696" s="166" t="s">
        <v>13950</v>
      </c>
    </row>
    <row r="5697" spans="1:5">
      <c r="A5697" s="165">
        <v>83119</v>
      </c>
      <c r="B5697" s="165">
        <v>0</v>
      </c>
      <c r="C5697" s="165" t="s">
        <v>13843</v>
      </c>
      <c r="D5697" s="165" t="s">
        <v>13075</v>
      </c>
      <c r="E5697" s="166" t="s">
        <v>13725</v>
      </c>
    </row>
    <row r="5698" spans="1:5">
      <c r="A5698" s="165">
        <v>83120</v>
      </c>
      <c r="B5698" s="165">
        <v>0</v>
      </c>
      <c r="C5698" s="165" t="s">
        <v>14037</v>
      </c>
      <c r="D5698" s="165" t="s">
        <v>13076</v>
      </c>
      <c r="E5698" s="166" t="s">
        <v>13951</v>
      </c>
    </row>
    <row r="5699" spans="1:5">
      <c r="A5699" s="165">
        <v>83121</v>
      </c>
      <c r="B5699" s="165">
        <v>0</v>
      </c>
      <c r="C5699" s="165" t="s">
        <v>14395</v>
      </c>
      <c r="D5699" s="165" t="s">
        <v>13077</v>
      </c>
      <c r="E5699" s="166" t="s">
        <v>14361</v>
      </c>
    </row>
    <row r="5700" spans="1:5">
      <c r="A5700" s="165">
        <v>83122</v>
      </c>
      <c r="B5700" s="165">
        <v>0</v>
      </c>
      <c r="C5700" s="165" t="s">
        <v>14038</v>
      </c>
      <c r="D5700" s="165" t="s">
        <v>13078</v>
      </c>
      <c r="E5700" s="166" t="s">
        <v>13952</v>
      </c>
    </row>
    <row r="5701" spans="1:5">
      <c r="A5701" s="165">
        <v>83123</v>
      </c>
      <c r="B5701" s="165">
        <v>0</v>
      </c>
      <c r="C5701" s="165" t="s">
        <v>14396</v>
      </c>
      <c r="D5701" s="165" t="s">
        <v>13079</v>
      </c>
      <c r="E5701" s="166" t="s">
        <v>14362</v>
      </c>
    </row>
    <row r="5702" spans="1:5">
      <c r="A5702" s="165">
        <v>83124</v>
      </c>
      <c r="B5702" s="165">
        <v>0</v>
      </c>
      <c r="C5702" s="165" t="s">
        <v>14039</v>
      </c>
      <c r="D5702" s="165" t="s">
        <v>13080</v>
      </c>
      <c r="E5702" s="166" t="s">
        <v>13953</v>
      </c>
    </row>
    <row r="5703" spans="1:5">
      <c r="A5703" s="165">
        <v>83125</v>
      </c>
      <c r="B5703" s="165">
        <v>0</v>
      </c>
      <c r="C5703" s="165" t="s">
        <v>14215</v>
      </c>
      <c r="D5703" s="165" t="s">
        <v>13081</v>
      </c>
      <c r="E5703" s="166" t="s">
        <v>14138</v>
      </c>
    </row>
    <row r="5704" spans="1:5">
      <c r="A5704" s="165">
        <v>83126</v>
      </c>
      <c r="B5704" s="165">
        <v>0</v>
      </c>
      <c r="C5704" s="165" t="s">
        <v>13846</v>
      </c>
      <c r="D5704" s="165" t="s">
        <v>13082</v>
      </c>
      <c r="E5704" s="166" t="s">
        <v>13728</v>
      </c>
    </row>
    <row r="5705" spans="1:5">
      <c r="A5705" s="165">
        <v>83127</v>
      </c>
      <c r="B5705" s="165">
        <v>0</v>
      </c>
      <c r="C5705" s="165" t="s">
        <v>14397</v>
      </c>
      <c r="D5705" s="165" t="s">
        <v>13083</v>
      </c>
      <c r="E5705" s="166" t="s">
        <v>14363</v>
      </c>
    </row>
    <row r="5706" spans="1:5">
      <c r="A5706" s="165">
        <v>83128</v>
      </c>
      <c r="B5706" s="165">
        <v>0</v>
      </c>
      <c r="C5706" s="165" t="s">
        <v>14040</v>
      </c>
      <c r="D5706" s="165" t="s">
        <v>13084</v>
      </c>
      <c r="E5706" s="166" t="s">
        <v>13954</v>
      </c>
    </row>
    <row r="5707" spans="1:5">
      <c r="A5707" s="165">
        <v>83129</v>
      </c>
      <c r="B5707" s="165">
        <v>0</v>
      </c>
      <c r="C5707" s="165" t="s">
        <v>14398</v>
      </c>
      <c r="D5707" s="165" t="s">
        <v>13085</v>
      </c>
      <c r="E5707" s="166" t="s">
        <v>14364</v>
      </c>
    </row>
    <row r="5708" spans="1:5">
      <c r="A5708" s="165">
        <v>83130</v>
      </c>
      <c r="B5708" s="165">
        <v>0</v>
      </c>
      <c r="C5708" s="165" t="s">
        <v>14041</v>
      </c>
      <c r="D5708" s="165" t="s">
        <v>13086</v>
      </c>
      <c r="E5708" s="166" t="s">
        <v>13955</v>
      </c>
    </row>
    <row r="5709" spans="1:5">
      <c r="A5709" s="165">
        <v>83131</v>
      </c>
      <c r="B5709" s="165">
        <v>0</v>
      </c>
      <c r="C5709" s="165" t="s">
        <v>14399</v>
      </c>
      <c r="D5709" s="165" t="s">
        <v>13087</v>
      </c>
      <c r="E5709" s="166" t="s">
        <v>14365</v>
      </c>
    </row>
    <row r="5710" spans="1:5">
      <c r="A5710" s="165">
        <v>83132</v>
      </c>
      <c r="B5710" s="165">
        <v>0</v>
      </c>
      <c r="C5710" s="165" t="s">
        <v>14042</v>
      </c>
      <c r="D5710" s="165" t="s">
        <v>13088</v>
      </c>
      <c r="E5710" s="166" t="s">
        <v>13956</v>
      </c>
    </row>
    <row r="5711" spans="1:5">
      <c r="A5711" s="165">
        <v>83133</v>
      </c>
      <c r="B5711" s="165">
        <v>0</v>
      </c>
      <c r="C5711" s="165" t="s">
        <v>13849</v>
      </c>
      <c r="D5711" s="165" t="s">
        <v>13089</v>
      </c>
      <c r="E5711" s="166" t="s">
        <v>13731</v>
      </c>
    </row>
    <row r="5712" spans="1:5">
      <c r="A5712" s="165">
        <v>83134</v>
      </c>
      <c r="B5712" s="165">
        <v>0</v>
      </c>
      <c r="C5712" s="165" t="s">
        <v>14043</v>
      </c>
      <c r="D5712" s="165" t="s">
        <v>13090</v>
      </c>
      <c r="E5712" s="166" t="s">
        <v>13957</v>
      </c>
    </row>
    <row r="5713" spans="1:5">
      <c r="A5713" s="165">
        <v>83135</v>
      </c>
      <c r="B5713" s="165">
        <v>0</v>
      </c>
      <c r="C5713" s="165" t="s">
        <v>14219</v>
      </c>
      <c r="D5713" s="165" t="s">
        <v>13091</v>
      </c>
      <c r="E5713" s="166" t="s">
        <v>14142</v>
      </c>
    </row>
    <row r="5714" spans="1:5">
      <c r="A5714" s="165">
        <v>83136</v>
      </c>
      <c r="B5714" s="165">
        <v>0</v>
      </c>
      <c r="C5714" s="165" t="s">
        <v>14044</v>
      </c>
      <c r="D5714" s="165" t="s">
        <v>13092</v>
      </c>
      <c r="E5714" s="166" t="s">
        <v>13958</v>
      </c>
    </row>
    <row r="5715" spans="1:5">
      <c r="A5715" s="165">
        <v>83137</v>
      </c>
      <c r="B5715" s="165">
        <v>0</v>
      </c>
      <c r="C5715" s="165" t="s">
        <v>14400</v>
      </c>
      <c r="D5715" s="165" t="s">
        <v>13093</v>
      </c>
      <c r="E5715" s="166" t="s">
        <v>14366</v>
      </c>
    </row>
    <row r="5716" spans="1:5">
      <c r="A5716" s="165">
        <v>83138</v>
      </c>
      <c r="B5716" s="165">
        <v>0</v>
      </c>
      <c r="C5716" s="165" t="s">
        <v>14045</v>
      </c>
      <c r="D5716" s="165" t="s">
        <v>13094</v>
      </c>
      <c r="E5716" s="166" t="s">
        <v>13959</v>
      </c>
    </row>
    <row r="5717" spans="1:5">
      <c r="A5717" s="165">
        <v>83139</v>
      </c>
      <c r="B5717" s="165">
        <v>0</v>
      </c>
      <c r="C5717" s="165" t="s">
        <v>14401</v>
      </c>
      <c r="D5717" s="165" t="s">
        <v>13095</v>
      </c>
      <c r="E5717" s="166" t="s">
        <v>14367</v>
      </c>
    </row>
    <row r="5718" spans="1:5">
      <c r="A5718" s="165">
        <v>83140</v>
      </c>
      <c r="B5718" s="165">
        <v>0</v>
      </c>
      <c r="C5718" s="165" t="s">
        <v>13852</v>
      </c>
      <c r="D5718" s="165" t="s">
        <v>13096</v>
      </c>
      <c r="E5718" s="166" t="s">
        <v>13734</v>
      </c>
    </row>
    <row r="5719" spans="1:5">
      <c r="A5719" s="165">
        <v>83141</v>
      </c>
      <c r="B5719" s="165">
        <v>0</v>
      </c>
      <c r="C5719" s="165" t="s">
        <v>14402</v>
      </c>
      <c r="D5719" s="165" t="s">
        <v>13097</v>
      </c>
      <c r="E5719" s="166" t="s">
        <v>14368</v>
      </c>
    </row>
    <row r="5720" spans="1:5">
      <c r="A5720" s="165">
        <v>83142</v>
      </c>
      <c r="B5720" s="165">
        <v>0</v>
      </c>
      <c r="C5720" s="165" t="s">
        <v>14046</v>
      </c>
      <c r="D5720" s="165" t="s">
        <v>13098</v>
      </c>
      <c r="E5720" s="166" t="s">
        <v>13960</v>
      </c>
    </row>
    <row r="5721" spans="1:5">
      <c r="A5721" s="165">
        <v>83143</v>
      </c>
      <c r="B5721" s="165">
        <v>0</v>
      </c>
      <c r="C5721" s="165" t="s">
        <v>14403</v>
      </c>
      <c r="D5721" s="165" t="s">
        <v>13099</v>
      </c>
      <c r="E5721" s="166" t="s">
        <v>14369</v>
      </c>
    </row>
    <row r="5722" spans="1:5">
      <c r="A5722" s="165">
        <v>83144</v>
      </c>
      <c r="B5722" s="165">
        <v>0</v>
      </c>
      <c r="C5722" s="165" t="s">
        <v>14047</v>
      </c>
      <c r="D5722" s="165" t="s">
        <v>13100</v>
      </c>
      <c r="E5722" s="166" t="s">
        <v>13961</v>
      </c>
    </row>
    <row r="5723" spans="1:5">
      <c r="A5723" s="165">
        <v>83145</v>
      </c>
      <c r="B5723" s="165">
        <v>0</v>
      </c>
      <c r="C5723" s="165" t="s">
        <v>14224</v>
      </c>
      <c r="D5723" s="165" t="s">
        <v>13101</v>
      </c>
      <c r="E5723" s="166" t="s">
        <v>14147</v>
      </c>
    </row>
    <row r="5724" spans="1:5">
      <c r="A5724" s="165">
        <v>83146</v>
      </c>
      <c r="B5724" s="165">
        <v>0</v>
      </c>
      <c r="C5724" s="165" t="s">
        <v>14048</v>
      </c>
      <c r="D5724" s="165" t="s">
        <v>13102</v>
      </c>
      <c r="E5724" s="166" t="s">
        <v>13962</v>
      </c>
    </row>
    <row r="5725" spans="1:5">
      <c r="A5725" s="165">
        <v>83147</v>
      </c>
      <c r="B5725" s="165">
        <v>0</v>
      </c>
      <c r="C5725" s="165" t="s">
        <v>13855</v>
      </c>
      <c r="D5725" s="165" t="s">
        <v>13103</v>
      </c>
      <c r="E5725" s="166" t="s">
        <v>13737</v>
      </c>
    </row>
    <row r="5726" spans="1:5">
      <c r="A5726" s="165">
        <v>83148</v>
      </c>
      <c r="B5726" s="165">
        <v>0</v>
      </c>
      <c r="C5726" s="165" t="s">
        <v>14049</v>
      </c>
      <c r="D5726" s="165" t="s">
        <v>13104</v>
      </c>
      <c r="E5726" s="166" t="s">
        <v>13963</v>
      </c>
    </row>
    <row r="5727" spans="1:5">
      <c r="A5727" s="165">
        <v>83149</v>
      </c>
      <c r="B5727" s="165">
        <v>0</v>
      </c>
      <c r="C5727" s="165" t="s">
        <v>14404</v>
      </c>
      <c r="D5727" s="165" t="s">
        <v>13105</v>
      </c>
      <c r="E5727" s="166" t="s">
        <v>14370</v>
      </c>
    </row>
    <row r="5728" spans="1:5">
      <c r="A5728" s="165">
        <v>83150</v>
      </c>
      <c r="B5728" s="165">
        <v>0</v>
      </c>
      <c r="C5728" s="165" t="s">
        <v>14050</v>
      </c>
      <c r="D5728" s="165" t="s">
        <v>13106</v>
      </c>
      <c r="E5728" s="166" t="s">
        <v>13964</v>
      </c>
    </row>
    <row r="5729" spans="1:5">
      <c r="A5729" s="22">
        <v>84001</v>
      </c>
      <c r="B5729" s="22">
        <v>0</v>
      </c>
      <c r="C5729" s="22" t="s">
        <v>9613</v>
      </c>
      <c r="D5729" s="22" t="s">
        <v>13107</v>
      </c>
      <c r="E5729" s="24" t="s">
        <v>9463</v>
      </c>
    </row>
    <row r="5730" spans="1:5">
      <c r="A5730" s="22">
        <v>84002</v>
      </c>
      <c r="B5730" s="22">
        <v>0</v>
      </c>
      <c r="C5730" s="22" t="s">
        <v>9617</v>
      </c>
      <c r="D5730" s="22" t="s">
        <v>13108</v>
      </c>
      <c r="E5730" s="24" t="s">
        <v>9467</v>
      </c>
    </row>
    <row r="5731" spans="1:5">
      <c r="A5731" s="22">
        <v>84003</v>
      </c>
      <c r="B5731" s="22">
        <v>0</v>
      </c>
      <c r="C5731" s="22" t="s">
        <v>9621</v>
      </c>
      <c r="D5731" s="22" t="s">
        <v>13109</v>
      </c>
      <c r="E5731" s="24" t="s">
        <v>9471</v>
      </c>
    </row>
    <row r="5732" spans="1:5">
      <c r="A5732" s="22">
        <v>84004</v>
      </c>
      <c r="B5732" s="22">
        <v>0</v>
      </c>
      <c r="C5732" s="22" t="s">
        <v>9625</v>
      </c>
      <c r="D5732" s="22" t="s">
        <v>13110</v>
      </c>
      <c r="E5732" s="24" t="s">
        <v>9475</v>
      </c>
    </row>
    <row r="5733" spans="1:5">
      <c r="A5733" s="22">
        <v>84005</v>
      </c>
      <c r="B5733" s="22">
        <v>0</v>
      </c>
      <c r="C5733" s="22" t="s">
        <v>9629</v>
      </c>
      <c r="D5733" s="22" t="s">
        <v>13111</v>
      </c>
      <c r="E5733" s="24" t="s">
        <v>9479</v>
      </c>
    </row>
    <row r="5734" spans="1:5">
      <c r="A5734" s="22">
        <v>84006</v>
      </c>
      <c r="B5734" s="22">
        <v>0</v>
      </c>
      <c r="C5734" s="22" t="s">
        <v>9633</v>
      </c>
      <c r="D5734" s="22" t="s">
        <v>13112</v>
      </c>
      <c r="E5734" s="24" t="s">
        <v>9483</v>
      </c>
    </row>
    <row r="5735" spans="1:5">
      <c r="A5735" s="22">
        <v>84007</v>
      </c>
      <c r="B5735" s="22">
        <v>0</v>
      </c>
      <c r="C5735" s="22" t="s">
        <v>9637</v>
      </c>
      <c r="D5735" s="22" t="s">
        <v>13113</v>
      </c>
      <c r="E5735" s="24" t="s">
        <v>9487</v>
      </c>
    </row>
    <row r="5736" spans="1:5">
      <c r="A5736" s="22">
        <v>84008</v>
      </c>
      <c r="B5736" s="22">
        <v>0</v>
      </c>
      <c r="C5736" s="22" t="s">
        <v>9641</v>
      </c>
      <c r="D5736" s="22" t="s">
        <v>13114</v>
      </c>
      <c r="E5736" s="24" t="s">
        <v>9491</v>
      </c>
    </row>
    <row r="5737" spans="1:5">
      <c r="A5737" s="22">
        <v>84009</v>
      </c>
      <c r="B5737" s="22">
        <v>0</v>
      </c>
      <c r="C5737" s="22" t="s">
        <v>9645</v>
      </c>
      <c r="D5737" s="22" t="s">
        <v>13115</v>
      </c>
      <c r="E5737" s="24" t="s">
        <v>9495</v>
      </c>
    </row>
    <row r="5738" spans="1:5">
      <c r="A5738" s="22">
        <v>84010</v>
      </c>
      <c r="B5738" s="22">
        <v>0</v>
      </c>
      <c r="C5738" s="22" t="s">
        <v>9649</v>
      </c>
      <c r="D5738" s="22" t="s">
        <v>13116</v>
      </c>
      <c r="E5738" s="24" t="s">
        <v>9499</v>
      </c>
    </row>
    <row r="5739" spans="1:5">
      <c r="A5739" s="22">
        <v>84011</v>
      </c>
      <c r="B5739" s="22">
        <v>0</v>
      </c>
      <c r="C5739" s="22" t="s">
        <v>9653</v>
      </c>
      <c r="D5739" s="22" t="s">
        <v>13117</v>
      </c>
      <c r="E5739" s="24" t="s">
        <v>9503</v>
      </c>
    </row>
    <row r="5740" spans="1:5">
      <c r="A5740" s="22">
        <v>84012</v>
      </c>
      <c r="B5740" s="22">
        <v>0</v>
      </c>
      <c r="C5740" s="22" t="s">
        <v>9657</v>
      </c>
      <c r="D5740" s="22" t="s">
        <v>13118</v>
      </c>
      <c r="E5740" s="24" t="s">
        <v>9507</v>
      </c>
    </row>
    <row r="5741" spans="1:5">
      <c r="A5741" s="22">
        <v>84013</v>
      </c>
      <c r="B5741" s="22">
        <v>0</v>
      </c>
      <c r="C5741" s="22" t="s">
        <v>9661</v>
      </c>
      <c r="D5741" s="22" t="s">
        <v>13119</v>
      </c>
      <c r="E5741" s="24" t="s">
        <v>9511</v>
      </c>
    </row>
    <row r="5742" spans="1:5">
      <c r="A5742" s="22">
        <v>84014</v>
      </c>
      <c r="B5742" s="22">
        <v>0</v>
      </c>
      <c r="C5742" s="22" t="s">
        <v>9665</v>
      </c>
      <c r="D5742" s="22" t="s">
        <v>13120</v>
      </c>
      <c r="E5742" s="24" t="s">
        <v>9515</v>
      </c>
    </row>
    <row r="5743" spans="1:5">
      <c r="A5743" s="22">
        <v>84015</v>
      </c>
      <c r="B5743" s="22">
        <v>0</v>
      </c>
      <c r="C5743" s="22" t="s">
        <v>9669</v>
      </c>
      <c r="D5743" s="22" t="s">
        <v>13121</v>
      </c>
      <c r="E5743" s="24" t="s">
        <v>9519</v>
      </c>
    </row>
    <row r="5744" spans="1:5">
      <c r="A5744" s="22">
        <v>84016</v>
      </c>
      <c r="B5744" s="22">
        <v>0</v>
      </c>
      <c r="C5744" s="22" t="s">
        <v>9673</v>
      </c>
      <c r="D5744" s="22" t="s">
        <v>13122</v>
      </c>
      <c r="E5744" s="24" t="s">
        <v>9523</v>
      </c>
    </row>
    <row r="5745" spans="1:5">
      <c r="A5745" s="22">
        <v>84017</v>
      </c>
      <c r="B5745" s="22">
        <v>0</v>
      </c>
      <c r="C5745" s="22" t="s">
        <v>9677</v>
      </c>
      <c r="D5745" s="22" t="s">
        <v>13123</v>
      </c>
      <c r="E5745" s="24" t="s">
        <v>9527</v>
      </c>
    </row>
    <row r="5746" spans="1:5">
      <c r="A5746" s="22">
        <v>84018</v>
      </c>
      <c r="B5746" s="22">
        <v>0</v>
      </c>
      <c r="C5746" s="22" t="s">
        <v>9681</v>
      </c>
      <c r="D5746" s="22" t="s">
        <v>13124</v>
      </c>
      <c r="E5746" s="24" t="s">
        <v>9531</v>
      </c>
    </row>
    <row r="5747" spans="1:5">
      <c r="A5747" s="22">
        <v>84019</v>
      </c>
      <c r="B5747" s="22">
        <v>0</v>
      </c>
      <c r="C5747" s="22" t="s">
        <v>9685</v>
      </c>
      <c r="D5747" s="22" t="s">
        <v>13125</v>
      </c>
      <c r="E5747" s="24" t="s">
        <v>9535</v>
      </c>
    </row>
    <row r="5748" spans="1:5">
      <c r="A5748" s="22">
        <v>84020</v>
      </c>
      <c r="B5748" s="22">
        <v>0</v>
      </c>
      <c r="C5748" s="22" t="s">
        <v>9689</v>
      </c>
      <c r="D5748" s="22" t="s">
        <v>13126</v>
      </c>
      <c r="E5748" s="24" t="s">
        <v>9539</v>
      </c>
    </row>
    <row r="5749" spans="1:5">
      <c r="A5749" s="22">
        <v>84021</v>
      </c>
      <c r="B5749" s="22">
        <v>0</v>
      </c>
      <c r="C5749" s="22" t="s">
        <v>9693</v>
      </c>
      <c r="D5749" s="22" t="s">
        <v>13127</v>
      </c>
      <c r="E5749" s="24" t="s">
        <v>9543</v>
      </c>
    </row>
    <row r="5750" spans="1:5">
      <c r="A5750" s="22">
        <v>84022</v>
      </c>
      <c r="B5750" s="22">
        <v>0</v>
      </c>
      <c r="C5750" s="22" t="s">
        <v>9697</v>
      </c>
      <c r="D5750" s="22" t="s">
        <v>13128</v>
      </c>
      <c r="E5750" s="24" t="s">
        <v>9547</v>
      </c>
    </row>
    <row r="5751" spans="1:5">
      <c r="A5751" s="22">
        <v>84023</v>
      </c>
      <c r="B5751" s="22">
        <v>0</v>
      </c>
      <c r="C5751" s="22" t="s">
        <v>9701</v>
      </c>
      <c r="D5751" s="22" t="s">
        <v>13129</v>
      </c>
      <c r="E5751" s="24" t="s">
        <v>9551</v>
      </c>
    </row>
    <row r="5752" spans="1:5">
      <c r="A5752" s="22">
        <v>84024</v>
      </c>
      <c r="B5752" s="22">
        <v>0</v>
      </c>
      <c r="C5752" s="22" t="s">
        <v>9705</v>
      </c>
      <c r="D5752" s="22" t="s">
        <v>13130</v>
      </c>
      <c r="E5752" s="24" t="s">
        <v>9555</v>
      </c>
    </row>
    <row r="5753" spans="1:5">
      <c r="A5753" s="22">
        <v>84025</v>
      </c>
      <c r="B5753" s="22">
        <v>0</v>
      </c>
      <c r="C5753" s="22" t="s">
        <v>9709</v>
      </c>
      <c r="D5753" s="22" t="s">
        <v>13131</v>
      </c>
      <c r="E5753" s="24" t="s">
        <v>9559</v>
      </c>
    </row>
    <row r="5754" spans="1:5">
      <c r="A5754" s="22">
        <v>84026</v>
      </c>
      <c r="B5754" s="22">
        <v>0</v>
      </c>
      <c r="C5754" s="22" t="s">
        <v>9713</v>
      </c>
      <c r="D5754" s="22" t="s">
        <v>13132</v>
      </c>
      <c r="E5754" s="24" t="s">
        <v>9563</v>
      </c>
    </row>
    <row r="5755" spans="1:5">
      <c r="A5755" s="22">
        <v>84027</v>
      </c>
      <c r="B5755" s="22">
        <v>0</v>
      </c>
      <c r="C5755" s="22" t="s">
        <v>9717</v>
      </c>
      <c r="D5755" s="22" t="s">
        <v>13133</v>
      </c>
      <c r="E5755" s="24" t="s">
        <v>9567</v>
      </c>
    </row>
    <row r="5756" spans="1:5">
      <c r="A5756" s="22">
        <v>84028</v>
      </c>
      <c r="B5756" s="22">
        <v>0</v>
      </c>
      <c r="C5756" s="22" t="s">
        <v>9721</v>
      </c>
      <c r="D5756" s="22" t="s">
        <v>13134</v>
      </c>
      <c r="E5756" s="24" t="s">
        <v>9571</v>
      </c>
    </row>
    <row r="5757" spans="1:5">
      <c r="A5757" s="22">
        <v>84029</v>
      </c>
      <c r="B5757" s="22">
        <v>0</v>
      </c>
      <c r="C5757" s="22" t="s">
        <v>9725</v>
      </c>
      <c r="D5757" s="22" t="s">
        <v>13135</v>
      </c>
      <c r="E5757" s="24" t="s">
        <v>9575</v>
      </c>
    </row>
    <row r="5758" spans="1:5">
      <c r="A5758" s="22">
        <v>84030</v>
      </c>
      <c r="B5758" s="22">
        <v>0</v>
      </c>
      <c r="C5758" s="22" t="s">
        <v>9729</v>
      </c>
      <c r="D5758" s="22" t="s">
        <v>13136</v>
      </c>
      <c r="E5758" s="24" t="s">
        <v>9579</v>
      </c>
    </row>
    <row r="5759" spans="1:5">
      <c r="A5759" s="22">
        <v>84031</v>
      </c>
      <c r="B5759" s="22">
        <v>0</v>
      </c>
      <c r="C5759" s="22" t="s">
        <v>9733</v>
      </c>
      <c r="D5759" s="22" t="s">
        <v>13137</v>
      </c>
      <c r="E5759" s="24" t="s">
        <v>9583</v>
      </c>
    </row>
    <row r="5760" spans="1:5">
      <c r="A5760" s="22">
        <v>84032</v>
      </c>
      <c r="B5760" s="22">
        <v>0</v>
      </c>
      <c r="C5760" s="22" t="s">
        <v>9737</v>
      </c>
      <c r="D5760" s="22" t="s">
        <v>13138</v>
      </c>
      <c r="E5760" s="24" t="s">
        <v>9587</v>
      </c>
    </row>
    <row r="5761" spans="1:5">
      <c r="A5761" s="22">
        <v>84033</v>
      </c>
      <c r="B5761" s="22">
        <v>0</v>
      </c>
      <c r="C5761" s="22" t="s">
        <v>9741</v>
      </c>
      <c r="D5761" s="22" t="s">
        <v>13139</v>
      </c>
      <c r="E5761" s="24" t="s">
        <v>9591</v>
      </c>
    </row>
    <row r="5762" spans="1:5">
      <c r="A5762" s="22">
        <v>84034</v>
      </c>
      <c r="B5762" s="22">
        <v>0</v>
      </c>
      <c r="C5762" s="22" t="s">
        <v>9745</v>
      </c>
      <c r="D5762" s="22" t="s">
        <v>13140</v>
      </c>
      <c r="E5762" s="24" t="s">
        <v>9595</v>
      </c>
    </row>
    <row r="5763" spans="1:5">
      <c r="A5763" s="22">
        <v>84035</v>
      </c>
      <c r="B5763" s="22">
        <v>0</v>
      </c>
      <c r="C5763" s="22" t="s">
        <v>9749</v>
      </c>
      <c r="D5763" s="22" t="s">
        <v>13141</v>
      </c>
      <c r="E5763" s="24" t="s">
        <v>9599</v>
      </c>
    </row>
    <row r="5764" spans="1:5">
      <c r="A5764" s="22">
        <v>84036</v>
      </c>
      <c r="B5764" s="22">
        <v>0</v>
      </c>
      <c r="C5764" s="22" t="s">
        <v>9753</v>
      </c>
      <c r="D5764" s="22" t="s">
        <v>13142</v>
      </c>
      <c r="E5764" s="24" t="s">
        <v>9603</v>
      </c>
    </row>
    <row r="5765" spans="1:5">
      <c r="A5765" s="22">
        <v>84037</v>
      </c>
      <c r="B5765" s="22">
        <v>0</v>
      </c>
      <c r="C5765" s="22" t="s">
        <v>9757</v>
      </c>
      <c r="D5765" s="22" t="s">
        <v>13143</v>
      </c>
      <c r="E5765" s="24" t="s">
        <v>9607</v>
      </c>
    </row>
    <row r="5766" spans="1:5">
      <c r="A5766" s="22">
        <v>84038</v>
      </c>
      <c r="B5766" s="22">
        <v>0</v>
      </c>
      <c r="C5766" s="22" t="s">
        <v>10160</v>
      </c>
      <c r="D5766" s="22" t="s">
        <v>13144</v>
      </c>
      <c r="E5766" s="24" t="s">
        <v>10235</v>
      </c>
    </row>
    <row r="5767" spans="1:5">
      <c r="A5767" s="22">
        <v>84039</v>
      </c>
      <c r="B5767" s="22">
        <v>0</v>
      </c>
      <c r="C5767" s="22" t="s">
        <v>10162</v>
      </c>
      <c r="D5767" s="22" t="s">
        <v>13145</v>
      </c>
      <c r="E5767" s="24" t="s">
        <v>10237</v>
      </c>
    </row>
    <row r="5768" spans="1:5">
      <c r="A5768" s="22">
        <v>84040</v>
      </c>
      <c r="B5768" s="22">
        <v>0</v>
      </c>
      <c r="C5768" s="22" t="s">
        <v>10164</v>
      </c>
      <c r="D5768" s="22" t="s">
        <v>13146</v>
      </c>
      <c r="E5768" s="24" t="s">
        <v>10239</v>
      </c>
    </row>
    <row r="5769" spans="1:5">
      <c r="A5769" s="22">
        <v>84041</v>
      </c>
      <c r="B5769" s="22">
        <v>0</v>
      </c>
      <c r="C5769" s="22" t="s">
        <v>10166</v>
      </c>
      <c r="D5769" s="22" t="s">
        <v>13147</v>
      </c>
      <c r="E5769" s="24" t="s">
        <v>10241</v>
      </c>
    </row>
    <row r="5770" spans="1:5">
      <c r="A5770" s="22">
        <v>84042</v>
      </c>
      <c r="B5770" s="22">
        <v>0</v>
      </c>
      <c r="C5770" s="22" t="s">
        <v>10168</v>
      </c>
      <c r="D5770" s="22" t="s">
        <v>13148</v>
      </c>
      <c r="E5770" s="24" t="s">
        <v>10243</v>
      </c>
    </row>
    <row r="5771" spans="1:5">
      <c r="A5771" s="22">
        <v>84043</v>
      </c>
      <c r="B5771" s="22">
        <v>0</v>
      </c>
      <c r="C5771" s="22" t="s">
        <v>10170</v>
      </c>
      <c r="D5771" s="22" t="s">
        <v>13149</v>
      </c>
      <c r="E5771" s="24" t="s">
        <v>10245</v>
      </c>
    </row>
    <row r="5772" spans="1:5">
      <c r="A5772" s="22">
        <v>84044</v>
      </c>
      <c r="B5772" s="22">
        <v>0</v>
      </c>
      <c r="C5772" s="22" t="s">
        <v>10172</v>
      </c>
      <c r="D5772" s="22" t="s">
        <v>13150</v>
      </c>
      <c r="E5772" s="24" t="s">
        <v>10247</v>
      </c>
    </row>
    <row r="5773" spans="1:5">
      <c r="A5773" s="22">
        <v>84045</v>
      </c>
      <c r="B5773" s="22">
        <v>0</v>
      </c>
      <c r="C5773" s="22" t="s">
        <v>10174</v>
      </c>
      <c r="D5773" s="22" t="s">
        <v>13151</v>
      </c>
      <c r="E5773" s="24" t="s">
        <v>10249</v>
      </c>
    </row>
    <row r="5774" spans="1:5">
      <c r="A5774" s="22">
        <v>84046</v>
      </c>
      <c r="B5774" s="22">
        <v>0</v>
      </c>
      <c r="C5774" s="22" t="s">
        <v>10176</v>
      </c>
      <c r="D5774" s="22" t="s">
        <v>13152</v>
      </c>
      <c r="E5774" s="24" t="s">
        <v>10251</v>
      </c>
    </row>
    <row r="5775" spans="1:5">
      <c r="A5775" s="22">
        <v>84047</v>
      </c>
      <c r="B5775" s="22">
        <v>0</v>
      </c>
      <c r="C5775" s="22" t="s">
        <v>10178</v>
      </c>
      <c r="D5775" s="22" t="s">
        <v>13153</v>
      </c>
      <c r="E5775" s="24" t="s">
        <v>10253</v>
      </c>
    </row>
    <row r="5776" spans="1:5">
      <c r="A5776" s="22">
        <v>84048</v>
      </c>
      <c r="B5776" s="22">
        <v>0</v>
      </c>
      <c r="C5776" s="22" t="s">
        <v>10180</v>
      </c>
      <c r="D5776" s="22" t="s">
        <v>13154</v>
      </c>
      <c r="E5776" s="24" t="s">
        <v>10255</v>
      </c>
    </row>
    <row r="5777" spans="1:5">
      <c r="A5777" s="22">
        <v>84049</v>
      </c>
      <c r="B5777" s="22">
        <v>0</v>
      </c>
      <c r="C5777" s="22" t="s">
        <v>10182</v>
      </c>
      <c r="D5777" s="22" t="s">
        <v>13155</v>
      </c>
      <c r="E5777" s="24" t="s">
        <v>10257</v>
      </c>
    </row>
    <row r="5778" spans="1:5">
      <c r="A5778" s="22">
        <v>84050</v>
      </c>
      <c r="B5778" s="22">
        <v>0</v>
      </c>
      <c r="C5778" s="22" t="s">
        <v>10184</v>
      </c>
      <c r="D5778" s="22" t="s">
        <v>13156</v>
      </c>
      <c r="E5778" s="24" t="s">
        <v>10259</v>
      </c>
    </row>
    <row r="5779" spans="1:5">
      <c r="A5779" s="22">
        <v>84051</v>
      </c>
      <c r="B5779" s="22">
        <v>0</v>
      </c>
      <c r="C5779" s="22" t="s">
        <v>10186</v>
      </c>
      <c r="D5779" s="22" t="s">
        <v>13157</v>
      </c>
      <c r="E5779" s="24" t="s">
        <v>10261</v>
      </c>
    </row>
    <row r="5780" spans="1:5">
      <c r="A5780" s="22">
        <v>84052</v>
      </c>
      <c r="B5780" s="22">
        <v>0</v>
      </c>
      <c r="C5780" s="22" t="s">
        <v>10188</v>
      </c>
      <c r="D5780" s="22" t="s">
        <v>13158</v>
      </c>
      <c r="E5780" s="24" t="s">
        <v>10263</v>
      </c>
    </row>
    <row r="5781" spans="1:5">
      <c r="A5781" s="22">
        <v>84053</v>
      </c>
      <c r="B5781" s="22">
        <v>0</v>
      </c>
      <c r="C5781" s="22" t="s">
        <v>10190</v>
      </c>
      <c r="D5781" s="22" t="s">
        <v>13159</v>
      </c>
      <c r="E5781" s="24" t="s">
        <v>10265</v>
      </c>
    </row>
    <row r="5782" spans="1:5">
      <c r="A5782" s="22">
        <v>84054</v>
      </c>
      <c r="B5782" s="22">
        <v>0</v>
      </c>
      <c r="C5782" s="22" t="s">
        <v>10192</v>
      </c>
      <c r="D5782" s="22" t="s">
        <v>13160</v>
      </c>
      <c r="E5782" s="24" t="s">
        <v>10267</v>
      </c>
    </row>
    <row r="5783" spans="1:5">
      <c r="A5783" s="22">
        <v>84055</v>
      </c>
      <c r="B5783" s="22">
        <v>0</v>
      </c>
      <c r="C5783" s="22" t="s">
        <v>10194</v>
      </c>
      <c r="D5783" s="22" t="s">
        <v>13161</v>
      </c>
      <c r="E5783" s="24" t="s">
        <v>10269</v>
      </c>
    </row>
    <row r="5784" spans="1:5">
      <c r="A5784" s="22">
        <v>84056</v>
      </c>
      <c r="B5784" s="22">
        <v>0</v>
      </c>
      <c r="C5784" s="22" t="s">
        <v>10196</v>
      </c>
      <c r="D5784" s="22" t="s">
        <v>13162</v>
      </c>
      <c r="E5784" s="24" t="s">
        <v>10271</v>
      </c>
    </row>
    <row r="5785" spans="1:5">
      <c r="A5785" s="22">
        <v>84057</v>
      </c>
      <c r="B5785" s="22">
        <v>0</v>
      </c>
      <c r="C5785" s="22" t="s">
        <v>10198</v>
      </c>
      <c r="D5785" s="22" t="s">
        <v>13163</v>
      </c>
      <c r="E5785" s="24" t="s">
        <v>10273</v>
      </c>
    </row>
    <row r="5786" spans="1:5">
      <c r="A5786" s="22">
        <v>84058</v>
      </c>
      <c r="B5786" s="22">
        <v>0</v>
      </c>
      <c r="C5786" s="22" t="s">
        <v>10200</v>
      </c>
      <c r="D5786" s="22" t="s">
        <v>13164</v>
      </c>
      <c r="E5786" s="24" t="s">
        <v>10275</v>
      </c>
    </row>
    <row r="5787" spans="1:5">
      <c r="A5787" s="22">
        <v>84059</v>
      </c>
      <c r="B5787" s="22">
        <v>0</v>
      </c>
      <c r="C5787" s="22" t="s">
        <v>10202</v>
      </c>
      <c r="D5787" s="22" t="s">
        <v>13165</v>
      </c>
      <c r="E5787" s="24" t="s">
        <v>10277</v>
      </c>
    </row>
    <row r="5788" spans="1:5">
      <c r="A5788" s="22">
        <v>84060</v>
      </c>
      <c r="B5788" s="22">
        <v>0</v>
      </c>
      <c r="C5788" s="22" t="s">
        <v>10204</v>
      </c>
      <c r="D5788" s="22" t="s">
        <v>13166</v>
      </c>
      <c r="E5788" s="24" t="s">
        <v>10279</v>
      </c>
    </row>
    <row r="5789" spans="1:5">
      <c r="A5789" s="22">
        <v>84061</v>
      </c>
      <c r="B5789" s="22">
        <v>0</v>
      </c>
      <c r="C5789" s="22" t="s">
        <v>10206</v>
      </c>
      <c r="D5789" s="22" t="s">
        <v>13167</v>
      </c>
      <c r="E5789" s="24" t="s">
        <v>10281</v>
      </c>
    </row>
    <row r="5790" spans="1:5">
      <c r="A5790" s="22">
        <v>84062</v>
      </c>
      <c r="B5790" s="22">
        <v>0</v>
      </c>
      <c r="C5790" s="22" t="s">
        <v>10208</v>
      </c>
      <c r="D5790" s="22" t="s">
        <v>13168</v>
      </c>
      <c r="E5790" s="24" t="s">
        <v>10283</v>
      </c>
    </row>
    <row r="5791" spans="1:5">
      <c r="A5791" s="22">
        <v>84063</v>
      </c>
      <c r="B5791" s="22">
        <v>0</v>
      </c>
      <c r="C5791" s="22" t="s">
        <v>10210</v>
      </c>
      <c r="D5791" s="22" t="s">
        <v>13169</v>
      </c>
      <c r="E5791" s="24" t="s">
        <v>10285</v>
      </c>
    </row>
    <row r="5792" spans="1:5">
      <c r="A5792" s="22">
        <v>84064</v>
      </c>
      <c r="B5792" s="22">
        <v>0</v>
      </c>
      <c r="C5792" s="22" t="s">
        <v>10212</v>
      </c>
      <c r="D5792" s="22" t="s">
        <v>13170</v>
      </c>
      <c r="E5792" s="24" t="s">
        <v>10287</v>
      </c>
    </row>
    <row r="5793" spans="1:5">
      <c r="A5793" s="22">
        <v>84065</v>
      </c>
      <c r="B5793" s="22">
        <v>0</v>
      </c>
      <c r="C5793" s="22" t="s">
        <v>10214</v>
      </c>
      <c r="D5793" s="22" t="s">
        <v>13171</v>
      </c>
      <c r="E5793" s="24" t="s">
        <v>10289</v>
      </c>
    </row>
    <row r="5794" spans="1:5">
      <c r="A5794" s="22">
        <v>84066</v>
      </c>
      <c r="B5794" s="22">
        <v>0</v>
      </c>
      <c r="C5794" s="22" t="s">
        <v>10216</v>
      </c>
      <c r="D5794" s="22" t="s">
        <v>13172</v>
      </c>
      <c r="E5794" s="24" t="s">
        <v>10291</v>
      </c>
    </row>
    <row r="5795" spans="1:5">
      <c r="A5795" s="22">
        <v>84067</v>
      </c>
      <c r="B5795" s="22">
        <v>0</v>
      </c>
      <c r="C5795" s="22" t="s">
        <v>10218</v>
      </c>
      <c r="D5795" s="22" t="s">
        <v>13173</v>
      </c>
      <c r="E5795" s="24" t="s">
        <v>10293</v>
      </c>
    </row>
    <row r="5796" spans="1:5">
      <c r="A5796" s="22">
        <v>84068</v>
      </c>
      <c r="B5796" s="22">
        <v>0</v>
      </c>
      <c r="C5796" s="22" t="s">
        <v>10220</v>
      </c>
      <c r="D5796" s="22" t="s">
        <v>13174</v>
      </c>
      <c r="E5796" s="24" t="s">
        <v>10295</v>
      </c>
    </row>
    <row r="5797" spans="1:5">
      <c r="A5797" s="22">
        <v>84069</v>
      </c>
      <c r="B5797" s="22">
        <v>0</v>
      </c>
      <c r="C5797" s="22" t="s">
        <v>10222</v>
      </c>
      <c r="D5797" s="22" t="s">
        <v>13175</v>
      </c>
      <c r="E5797" s="24" t="s">
        <v>10297</v>
      </c>
    </row>
    <row r="5798" spans="1:5">
      <c r="A5798" s="22">
        <v>84070</v>
      </c>
      <c r="B5798" s="22">
        <v>0</v>
      </c>
      <c r="C5798" s="22" t="s">
        <v>10224</v>
      </c>
      <c r="D5798" s="22" t="s">
        <v>13176</v>
      </c>
      <c r="E5798" s="24" t="s">
        <v>10299</v>
      </c>
    </row>
    <row r="5799" spans="1:5">
      <c r="A5799" s="22">
        <v>84071</v>
      </c>
      <c r="B5799" s="22">
        <v>0</v>
      </c>
      <c r="C5799" s="22" t="s">
        <v>10226</v>
      </c>
      <c r="D5799" s="22" t="s">
        <v>13177</v>
      </c>
      <c r="E5799" s="24" t="s">
        <v>10301</v>
      </c>
    </row>
    <row r="5800" spans="1:5">
      <c r="A5800" s="22">
        <v>84072</v>
      </c>
      <c r="B5800" s="22">
        <v>0</v>
      </c>
      <c r="C5800" s="22" t="s">
        <v>10228</v>
      </c>
      <c r="D5800" s="22" t="s">
        <v>13178</v>
      </c>
      <c r="E5800" s="24" t="s">
        <v>10303</v>
      </c>
    </row>
    <row r="5801" spans="1:5">
      <c r="A5801" s="22">
        <v>84073</v>
      </c>
      <c r="B5801" s="22">
        <v>0</v>
      </c>
      <c r="C5801" s="22" t="s">
        <v>10230</v>
      </c>
      <c r="D5801" s="22" t="s">
        <v>13179</v>
      </c>
      <c r="E5801" s="24" t="s">
        <v>10305</v>
      </c>
    </row>
    <row r="5802" spans="1:5">
      <c r="A5802" s="22">
        <v>84074</v>
      </c>
      <c r="B5802" s="22">
        <v>0</v>
      </c>
      <c r="C5802" s="22" t="s">
        <v>10232</v>
      </c>
      <c r="D5802" s="22" t="s">
        <v>13180</v>
      </c>
      <c r="E5802" s="24" t="s">
        <v>10307</v>
      </c>
    </row>
    <row r="5803" spans="1:5">
      <c r="A5803" s="22">
        <v>84075</v>
      </c>
      <c r="B5803" s="22">
        <v>0</v>
      </c>
      <c r="C5803" s="22" t="s">
        <v>10234</v>
      </c>
      <c r="D5803" s="22" t="s">
        <v>13181</v>
      </c>
      <c r="E5803" s="24" t="s">
        <v>10309</v>
      </c>
    </row>
    <row r="5804" spans="1:5">
      <c r="A5804" s="22">
        <v>84076</v>
      </c>
      <c r="B5804" s="22">
        <v>0</v>
      </c>
      <c r="C5804" s="22" t="s">
        <v>14303</v>
      </c>
      <c r="D5804" s="22" t="s">
        <v>13182</v>
      </c>
      <c r="E5804" s="24" t="s">
        <v>14269</v>
      </c>
    </row>
    <row r="5805" spans="1:5">
      <c r="A5805" s="22">
        <v>84077</v>
      </c>
      <c r="B5805" s="22">
        <v>0</v>
      </c>
      <c r="C5805" s="22" t="s">
        <v>13836</v>
      </c>
      <c r="D5805" s="22" t="s">
        <v>13183</v>
      </c>
      <c r="E5805" s="24" t="s">
        <v>13718</v>
      </c>
    </row>
    <row r="5806" spans="1:5">
      <c r="A5806" s="22">
        <v>84078</v>
      </c>
      <c r="B5806" s="22">
        <v>0</v>
      </c>
      <c r="C5806" s="22" t="s">
        <v>14030</v>
      </c>
      <c r="D5806" s="22" t="s">
        <v>13184</v>
      </c>
      <c r="E5806" s="24" t="s">
        <v>13944</v>
      </c>
    </row>
    <row r="5807" spans="1:5">
      <c r="A5807" s="22">
        <v>84079</v>
      </c>
      <c r="B5807" s="22">
        <v>0</v>
      </c>
      <c r="C5807" s="22" t="s">
        <v>14304</v>
      </c>
      <c r="D5807" s="22" t="s">
        <v>13185</v>
      </c>
      <c r="E5807" s="24" t="s">
        <v>14270</v>
      </c>
    </row>
    <row r="5808" spans="1:5">
      <c r="A5808" s="22">
        <v>84080</v>
      </c>
      <c r="B5808" s="22">
        <v>0</v>
      </c>
      <c r="C5808" s="22" t="s">
        <v>14207</v>
      </c>
      <c r="D5808" s="22" t="s">
        <v>13186</v>
      </c>
      <c r="E5808" s="24" t="s">
        <v>14130</v>
      </c>
    </row>
    <row r="5809" spans="1:5">
      <c r="A5809" s="22">
        <v>84081</v>
      </c>
      <c r="B5809" s="22">
        <v>0</v>
      </c>
      <c r="C5809" s="22" t="s">
        <v>14032</v>
      </c>
      <c r="D5809" s="22" t="s">
        <v>13187</v>
      </c>
      <c r="E5809" s="24" t="s">
        <v>13946</v>
      </c>
    </row>
    <row r="5810" spans="1:5">
      <c r="A5810" s="22">
        <v>84082</v>
      </c>
      <c r="B5810" s="22">
        <v>0</v>
      </c>
      <c r="C5810" s="22" t="s">
        <v>14305</v>
      </c>
      <c r="D5810" s="22" t="s">
        <v>13188</v>
      </c>
      <c r="E5810" s="24" t="s">
        <v>14271</v>
      </c>
    </row>
    <row r="5811" spans="1:5">
      <c r="A5811" s="22">
        <v>84083</v>
      </c>
      <c r="B5811" s="22">
        <v>0</v>
      </c>
      <c r="C5811" s="22" t="s">
        <v>14306</v>
      </c>
      <c r="D5811" s="22" t="s">
        <v>13189</v>
      </c>
      <c r="E5811" s="24" t="s">
        <v>14272</v>
      </c>
    </row>
    <row r="5812" spans="1:5">
      <c r="A5812" s="22">
        <v>84084</v>
      </c>
      <c r="B5812" s="22">
        <v>0</v>
      </c>
      <c r="C5812" s="22" t="s">
        <v>13840</v>
      </c>
      <c r="D5812" s="22" t="s">
        <v>13190</v>
      </c>
      <c r="E5812" s="24" t="s">
        <v>13722</v>
      </c>
    </row>
    <row r="5813" spans="1:5">
      <c r="A5813" s="22">
        <v>84085</v>
      </c>
      <c r="B5813" s="22">
        <v>0</v>
      </c>
      <c r="C5813" s="22" t="s">
        <v>14210</v>
      </c>
      <c r="D5813" s="22" t="s">
        <v>13191</v>
      </c>
      <c r="E5813" s="24" t="s">
        <v>14133</v>
      </c>
    </row>
    <row r="5814" spans="1:5">
      <c r="A5814" s="22">
        <v>84086</v>
      </c>
      <c r="B5814" s="22">
        <v>0</v>
      </c>
      <c r="C5814" s="22" t="s">
        <v>14307</v>
      </c>
      <c r="D5814" s="22" t="s">
        <v>13192</v>
      </c>
      <c r="E5814" s="24" t="s">
        <v>14273</v>
      </c>
    </row>
    <row r="5815" spans="1:5">
      <c r="A5815" s="22">
        <v>84087</v>
      </c>
      <c r="B5815" s="22">
        <v>0</v>
      </c>
      <c r="C5815" s="22" t="s">
        <v>14035</v>
      </c>
      <c r="D5815" s="22" t="s">
        <v>13193</v>
      </c>
      <c r="E5815" s="24" t="s">
        <v>13949</v>
      </c>
    </row>
    <row r="5816" spans="1:5">
      <c r="A5816" s="22">
        <v>84088</v>
      </c>
      <c r="B5816" s="22">
        <v>0</v>
      </c>
      <c r="C5816" s="22" t="s">
        <v>14308</v>
      </c>
      <c r="D5816" s="22" t="s">
        <v>13194</v>
      </c>
      <c r="E5816" s="24" t="s">
        <v>14274</v>
      </c>
    </row>
    <row r="5817" spans="1:5">
      <c r="A5817" s="22">
        <v>84089</v>
      </c>
      <c r="B5817" s="22">
        <v>0</v>
      </c>
      <c r="C5817" s="22" t="s">
        <v>14309</v>
      </c>
      <c r="D5817" s="22" t="s">
        <v>13195</v>
      </c>
      <c r="E5817" s="24" t="s">
        <v>14275</v>
      </c>
    </row>
    <row r="5818" spans="1:5">
      <c r="A5818" s="22">
        <v>84090</v>
      </c>
      <c r="B5818" s="22">
        <v>0</v>
      </c>
      <c r="C5818" s="22" t="s">
        <v>14037</v>
      </c>
      <c r="D5818" s="22" t="s">
        <v>13196</v>
      </c>
      <c r="E5818" s="24" t="s">
        <v>13951</v>
      </c>
    </row>
    <row r="5819" spans="1:5">
      <c r="A5819" s="22">
        <v>84091</v>
      </c>
      <c r="B5819" s="22">
        <v>0</v>
      </c>
      <c r="C5819" s="22" t="s">
        <v>13844</v>
      </c>
      <c r="D5819" s="22" t="s">
        <v>13197</v>
      </c>
      <c r="E5819" s="24" t="s">
        <v>13726</v>
      </c>
    </row>
    <row r="5820" spans="1:5">
      <c r="A5820" s="22">
        <v>84092</v>
      </c>
      <c r="B5820" s="22">
        <v>0</v>
      </c>
      <c r="C5820" s="22" t="s">
        <v>14310</v>
      </c>
      <c r="D5820" s="22" t="s">
        <v>13198</v>
      </c>
      <c r="E5820" s="24" t="s">
        <v>14276</v>
      </c>
    </row>
    <row r="5821" spans="1:5">
      <c r="A5821" s="22">
        <v>84093</v>
      </c>
      <c r="B5821" s="22">
        <v>0</v>
      </c>
      <c r="C5821" s="22" t="s">
        <v>14039</v>
      </c>
      <c r="D5821" s="22" t="s">
        <v>13199</v>
      </c>
      <c r="E5821" s="24" t="s">
        <v>13953</v>
      </c>
    </row>
    <row r="5822" spans="1:5">
      <c r="A5822" s="22">
        <v>84094</v>
      </c>
      <c r="B5822" s="22">
        <v>0</v>
      </c>
      <c r="C5822" s="22" t="s">
        <v>14311</v>
      </c>
      <c r="D5822" s="22" t="s">
        <v>13200</v>
      </c>
      <c r="E5822" s="24" t="s">
        <v>14277</v>
      </c>
    </row>
    <row r="5823" spans="1:5">
      <c r="A5823" s="22">
        <v>84095</v>
      </c>
      <c r="B5823" s="22">
        <v>0</v>
      </c>
      <c r="C5823" s="22" t="s">
        <v>14216</v>
      </c>
      <c r="D5823" s="22" t="s">
        <v>13201</v>
      </c>
      <c r="E5823" s="24" t="s">
        <v>14139</v>
      </c>
    </row>
    <row r="5824" spans="1:5">
      <c r="A5824" s="22">
        <v>84096</v>
      </c>
      <c r="B5824" s="22">
        <v>0</v>
      </c>
      <c r="C5824" s="22" t="s">
        <v>14040</v>
      </c>
      <c r="D5824" s="22" t="s">
        <v>13202</v>
      </c>
      <c r="E5824" s="24" t="s">
        <v>13954</v>
      </c>
    </row>
    <row r="5825" spans="1:5">
      <c r="A5825" s="22">
        <v>84097</v>
      </c>
      <c r="B5825" s="22">
        <v>0</v>
      </c>
      <c r="C5825" s="22" t="s">
        <v>14312</v>
      </c>
      <c r="D5825" s="22" t="s">
        <v>13203</v>
      </c>
      <c r="E5825" s="24" t="s">
        <v>14278</v>
      </c>
    </row>
    <row r="5826" spans="1:5">
      <c r="A5826" s="22">
        <v>84098</v>
      </c>
      <c r="B5826" s="22">
        <v>0</v>
      </c>
      <c r="C5826" s="22" t="s">
        <v>13848</v>
      </c>
      <c r="D5826" s="22" t="s">
        <v>13204</v>
      </c>
      <c r="E5826" s="24" t="s">
        <v>13730</v>
      </c>
    </row>
    <row r="5827" spans="1:5">
      <c r="A5827" s="22">
        <v>84099</v>
      </c>
      <c r="B5827" s="22">
        <v>0</v>
      </c>
      <c r="C5827" s="22" t="s">
        <v>14042</v>
      </c>
      <c r="D5827" s="22" t="s">
        <v>13205</v>
      </c>
      <c r="E5827" s="24" t="s">
        <v>13956</v>
      </c>
    </row>
    <row r="5828" spans="1:5">
      <c r="A5828" s="22">
        <v>84100</v>
      </c>
      <c r="B5828" s="22">
        <v>0</v>
      </c>
      <c r="C5828" s="22" t="s">
        <v>14218</v>
      </c>
      <c r="D5828" s="22" t="s">
        <v>13206</v>
      </c>
      <c r="E5828" s="24" t="s">
        <v>14141</v>
      </c>
    </row>
    <row r="5829" spans="1:5">
      <c r="A5829" s="22">
        <v>84101</v>
      </c>
      <c r="B5829" s="22">
        <v>0</v>
      </c>
      <c r="C5829" s="22" t="s">
        <v>14313</v>
      </c>
      <c r="D5829" s="22" t="s">
        <v>13207</v>
      </c>
      <c r="E5829" s="24" t="s">
        <v>14279</v>
      </c>
    </row>
    <row r="5830" spans="1:5">
      <c r="A5830" s="22">
        <v>84102</v>
      </c>
      <c r="B5830" s="22">
        <v>0</v>
      </c>
      <c r="C5830" s="22" t="s">
        <v>14044</v>
      </c>
      <c r="D5830" s="22" t="s">
        <v>13208</v>
      </c>
      <c r="E5830" s="24" t="s">
        <v>13958</v>
      </c>
    </row>
    <row r="5831" spans="1:5">
      <c r="A5831" s="22">
        <v>84103</v>
      </c>
      <c r="B5831" s="22">
        <v>0</v>
      </c>
      <c r="C5831" s="22" t="s">
        <v>14314</v>
      </c>
      <c r="D5831" s="22" t="s">
        <v>13209</v>
      </c>
      <c r="E5831" s="24" t="s">
        <v>14280</v>
      </c>
    </row>
    <row r="5832" spans="1:5">
      <c r="A5832" s="22">
        <v>84104</v>
      </c>
      <c r="B5832" s="22">
        <v>0</v>
      </c>
      <c r="C5832" s="22" t="s">
        <v>14315</v>
      </c>
      <c r="D5832" s="22" t="s">
        <v>13210</v>
      </c>
      <c r="E5832" s="24" t="s">
        <v>14281</v>
      </c>
    </row>
    <row r="5833" spans="1:5">
      <c r="A5833" s="22">
        <v>84105</v>
      </c>
      <c r="B5833" s="22">
        <v>0</v>
      </c>
      <c r="C5833" s="22" t="s">
        <v>13852</v>
      </c>
      <c r="D5833" s="22" t="s">
        <v>13211</v>
      </c>
      <c r="E5833" s="24" t="s">
        <v>13734</v>
      </c>
    </row>
    <row r="5834" spans="1:5">
      <c r="A5834" s="22">
        <v>84106</v>
      </c>
      <c r="B5834" s="22">
        <v>0</v>
      </c>
      <c r="C5834" s="22" t="s">
        <v>14316</v>
      </c>
      <c r="D5834" s="22" t="s">
        <v>13212</v>
      </c>
      <c r="E5834" s="24" t="s">
        <v>14282</v>
      </c>
    </row>
    <row r="5835" spans="1:5">
      <c r="A5835" s="22">
        <v>84107</v>
      </c>
      <c r="B5835" s="22">
        <v>0</v>
      </c>
      <c r="C5835" s="22" t="s">
        <v>14317</v>
      </c>
      <c r="D5835" s="22" t="s">
        <v>13213</v>
      </c>
      <c r="E5835" s="24" t="s">
        <v>14283</v>
      </c>
    </row>
    <row r="5836" spans="1:5">
      <c r="A5836" s="22">
        <v>84108</v>
      </c>
      <c r="B5836" s="22">
        <v>0</v>
      </c>
      <c r="C5836" s="22" t="s">
        <v>14047</v>
      </c>
      <c r="D5836" s="22" t="s">
        <v>13214</v>
      </c>
      <c r="E5836" s="24" t="s">
        <v>13961</v>
      </c>
    </row>
    <row r="5837" spans="1:5">
      <c r="A5837" s="22">
        <v>84109</v>
      </c>
      <c r="B5837" s="22">
        <v>0</v>
      </c>
      <c r="C5837" s="22" t="s">
        <v>14318</v>
      </c>
      <c r="D5837" s="22" t="s">
        <v>13215</v>
      </c>
      <c r="E5837" s="24" t="s">
        <v>14284</v>
      </c>
    </row>
    <row r="5838" spans="1:5">
      <c r="A5838" s="22">
        <v>84110</v>
      </c>
      <c r="B5838" s="22">
        <v>0</v>
      </c>
      <c r="C5838" s="22" t="s">
        <v>14225</v>
      </c>
      <c r="D5838" s="22" t="s">
        <v>13216</v>
      </c>
      <c r="E5838" s="24" t="s">
        <v>14148</v>
      </c>
    </row>
    <row r="5839" spans="1:5">
      <c r="A5839" s="22">
        <v>84111</v>
      </c>
      <c r="B5839" s="22">
        <v>0</v>
      </c>
      <c r="C5839" s="22" t="s">
        <v>14049</v>
      </c>
      <c r="D5839" s="22" t="s">
        <v>13217</v>
      </c>
      <c r="E5839" s="24" t="s">
        <v>13963</v>
      </c>
    </row>
    <row r="5840" spans="1:5">
      <c r="A5840" s="22">
        <v>84112</v>
      </c>
      <c r="B5840" s="22">
        <v>0</v>
      </c>
      <c r="C5840" s="22" t="s">
        <v>13856</v>
      </c>
      <c r="D5840" s="22" t="s">
        <v>13218</v>
      </c>
      <c r="E5840" s="24" t="s">
        <v>13738</v>
      </c>
    </row>
    <row r="5841" spans="1:5">
      <c r="A5841" s="22">
        <v>84113</v>
      </c>
      <c r="B5841" s="22">
        <v>0</v>
      </c>
      <c r="C5841" s="22" t="s">
        <v>14319</v>
      </c>
      <c r="D5841" s="22" t="s">
        <v>13219</v>
      </c>
      <c r="E5841" s="24" t="s">
        <v>14285</v>
      </c>
    </row>
    <row r="5842" spans="1:5">
      <c r="A5842" s="22">
        <v>84114</v>
      </c>
      <c r="B5842" s="22">
        <v>0</v>
      </c>
      <c r="C5842" s="22" t="s">
        <v>14051</v>
      </c>
      <c r="D5842" s="22" t="s">
        <v>13220</v>
      </c>
      <c r="E5842" s="24" t="s">
        <v>13965</v>
      </c>
    </row>
    <row r="5843" spans="1:5">
      <c r="A5843" s="22">
        <v>84115</v>
      </c>
      <c r="B5843" s="22">
        <v>0</v>
      </c>
      <c r="C5843" s="22" t="s">
        <v>14227</v>
      </c>
      <c r="D5843" s="22" t="s">
        <v>13221</v>
      </c>
      <c r="E5843" s="24" t="s">
        <v>14150</v>
      </c>
    </row>
    <row r="5844" spans="1:5">
      <c r="A5844" s="22">
        <v>84116</v>
      </c>
      <c r="B5844" s="22">
        <v>0</v>
      </c>
      <c r="C5844" s="22" t="s">
        <v>14320</v>
      </c>
      <c r="D5844" s="22" t="s">
        <v>13222</v>
      </c>
      <c r="E5844" s="24" t="s">
        <v>14286</v>
      </c>
    </row>
    <row r="5845" spans="1:5">
      <c r="A5845" s="22">
        <v>84117</v>
      </c>
      <c r="B5845" s="22">
        <v>0</v>
      </c>
      <c r="C5845" s="22" t="s">
        <v>14052</v>
      </c>
      <c r="D5845" s="22" t="s">
        <v>13223</v>
      </c>
      <c r="E5845" s="24" t="s">
        <v>13966</v>
      </c>
    </row>
    <row r="5846" spans="1:5">
      <c r="A5846" s="22">
        <v>84118</v>
      </c>
      <c r="B5846" s="22">
        <v>0</v>
      </c>
      <c r="C5846" s="22" t="s">
        <v>14321</v>
      </c>
      <c r="D5846" s="22" t="s">
        <v>13224</v>
      </c>
      <c r="E5846" s="24" t="s">
        <v>14287</v>
      </c>
    </row>
    <row r="5847" spans="1:5">
      <c r="A5847" s="22">
        <v>84119</v>
      </c>
      <c r="B5847" s="22">
        <v>0</v>
      </c>
      <c r="C5847" s="22" t="s">
        <v>13860</v>
      </c>
      <c r="D5847" s="22" t="s">
        <v>13225</v>
      </c>
      <c r="E5847" s="24" t="s">
        <v>13742</v>
      </c>
    </row>
    <row r="5848" spans="1:5">
      <c r="A5848" s="22">
        <v>84120</v>
      </c>
      <c r="B5848" s="22">
        <v>0</v>
      </c>
      <c r="C5848" s="22" t="s">
        <v>14054</v>
      </c>
      <c r="D5848" s="22" t="s">
        <v>13226</v>
      </c>
      <c r="E5848" s="24" t="s">
        <v>13968</v>
      </c>
    </row>
    <row r="5849" spans="1:5">
      <c r="A5849" s="22">
        <v>84121</v>
      </c>
      <c r="B5849" s="22">
        <v>0</v>
      </c>
      <c r="C5849" s="22" t="s">
        <v>14322</v>
      </c>
      <c r="D5849" s="22" t="s">
        <v>13227</v>
      </c>
      <c r="E5849" s="24" t="s">
        <v>14288</v>
      </c>
    </row>
    <row r="5850" spans="1:5">
      <c r="A5850" s="22">
        <v>84122</v>
      </c>
      <c r="B5850" s="22">
        <v>0</v>
      </c>
      <c r="C5850" s="22" t="s">
        <v>14323</v>
      </c>
      <c r="D5850" s="22" t="s">
        <v>13228</v>
      </c>
      <c r="E5850" s="24" t="s">
        <v>14289</v>
      </c>
    </row>
    <row r="5851" spans="1:5">
      <c r="A5851" s="22">
        <v>84123</v>
      </c>
      <c r="B5851" s="22">
        <v>0</v>
      </c>
      <c r="C5851" s="22" t="s">
        <v>14056</v>
      </c>
      <c r="D5851" s="22" t="s">
        <v>13229</v>
      </c>
      <c r="E5851" s="24" t="s">
        <v>13970</v>
      </c>
    </row>
    <row r="5852" spans="1:5">
      <c r="A5852" s="22">
        <v>84124</v>
      </c>
      <c r="B5852" s="22">
        <v>0</v>
      </c>
      <c r="C5852" s="22" t="s">
        <v>14324</v>
      </c>
      <c r="D5852" s="22" t="s">
        <v>13230</v>
      </c>
      <c r="E5852" s="24" t="s">
        <v>14290</v>
      </c>
    </row>
    <row r="5853" spans="1:5">
      <c r="A5853" s="22">
        <v>84125</v>
      </c>
      <c r="B5853" s="22">
        <v>0</v>
      </c>
      <c r="C5853" s="22" t="s">
        <v>14233</v>
      </c>
      <c r="D5853" s="22" t="s">
        <v>13231</v>
      </c>
      <c r="E5853" s="24" t="s">
        <v>14156</v>
      </c>
    </row>
    <row r="5854" spans="1:5">
      <c r="A5854" s="22">
        <v>84126</v>
      </c>
      <c r="B5854" s="22">
        <v>0</v>
      </c>
      <c r="C5854" s="22" t="s">
        <v>13864</v>
      </c>
      <c r="D5854" s="22" t="s">
        <v>13232</v>
      </c>
      <c r="E5854" s="24" t="s">
        <v>13746</v>
      </c>
    </row>
    <row r="5855" spans="1:5">
      <c r="A5855" s="22">
        <v>84127</v>
      </c>
      <c r="B5855" s="22">
        <v>0</v>
      </c>
      <c r="C5855" s="22" t="s">
        <v>14325</v>
      </c>
      <c r="D5855" s="22" t="s">
        <v>13233</v>
      </c>
      <c r="E5855" s="24" t="s">
        <v>14291</v>
      </c>
    </row>
    <row r="5856" spans="1:5">
      <c r="A5856" s="22">
        <v>84128</v>
      </c>
      <c r="B5856" s="22">
        <v>0</v>
      </c>
      <c r="C5856" s="22" t="s">
        <v>14326</v>
      </c>
      <c r="D5856" s="22" t="s">
        <v>13234</v>
      </c>
      <c r="E5856" s="24" t="s">
        <v>14292</v>
      </c>
    </row>
    <row r="5857" spans="1:5">
      <c r="A5857" s="22">
        <v>84129</v>
      </c>
      <c r="B5857" s="22">
        <v>0</v>
      </c>
      <c r="C5857" s="22" t="s">
        <v>14059</v>
      </c>
      <c r="D5857" s="22" t="s">
        <v>13235</v>
      </c>
      <c r="E5857" s="24" t="s">
        <v>13973</v>
      </c>
    </row>
    <row r="5858" spans="1:5">
      <c r="A5858" s="22">
        <v>84130</v>
      </c>
      <c r="B5858" s="22">
        <v>0</v>
      </c>
      <c r="C5858" s="22" t="s">
        <v>14236</v>
      </c>
      <c r="D5858" s="22" t="s">
        <v>13236</v>
      </c>
      <c r="E5858" s="24" t="s">
        <v>14159</v>
      </c>
    </row>
    <row r="5859" spans="1:5">
      <c r="A5859" s="22">
        <v>84131</v>
      </c>
      <c r="B5859" s="22">
        <v>0</v>
      </c>
      <c r="C5859" s="22" t="s">
        <v>14327</v>
      </c>
      <c r="D5859" s="22" t="s">
        <v>13237</v>
      </c>
      <c r="E5859" s="24" t="s">
        <v>14293</v>
      </c>
    </row>
    <row r="5860" spans="1:5">
      <c r="A5860" s="22">
        <v>84132</v>
      </c>
      <c r="B5860" s="22">
        <v>0</v>
      </c>
      <c r="C5860" s="22" t="s">
        <v>14061</v>
      </c>
      <c r="D5860" s="22" t="s">
        <v>13238</v>
      </c>
      <c r="E5860" s="24" t="s">
        <v>13975</v>
      </c>
    </row>
    <row r="5861" spans="1:5">
      <c r="A5861" s="22">
        <v>84133</v>
      </c>
      <c r="B5861" s="22">
        <v>0</v>
      </c>
      <c r="C5861" s="22" t="s">
        <v>13868</v>
      </c>
      <c r="D5861" s="22" t="s">
        <v>13239</v>
      </c>
      <c r="E5861" s="24" t="s">
        <v>13750</v>
      </c>
    </row>
    <row r="5862" spans="1:5">
      <c r="A5862" s="22">
        <v>84134</v>
      </c>
      <c r="B5862" s="22">
        <v>0</v>
      </c>
      <c r="C5862" s="22" t="s">
        <v>14328</v>
      </c>
      <c r="D5862" s="22" t="s">
        <v>13240</v>
      </c>
      <c r="E5862" s="24" t="s">
        <v>14294</v>
      </c>
    </row>
    <row r="5863" spans="1:5">
      <c r="A5863" s="22">
        <v>84135</v>
      </c>
      <c r="B5863" s="22">
        <v>0</v>
      </c>
      <c r="C5863" s="22" t="s">
        <v>14063</v>
      </c>
      <c r="D5863" s="22" t="s">
        <v>13241</v>
      </c>
      <c r="E5863" s="24" t="s">
        <v>13977</v>
      </c>
    </row>
    <row r="5864" spans="1:5">
      <c r="A5864" s="22">
        <v>84136</v>
      </c>
      <c r="B5864" s="22">
        <v>0</v>
      </c>
      <c r="C5864" s="22" t="s">
        <v>14329</v>
      </c>
      <c r="D5864" s="22" t="s">
        <v>13242</v>
      </c>
      <c r="E5864" s="24" t="s">
        <v>14295</v>
      </c>
    </row>
    <row r="5865" spans="1:5">
      <c r="A5865" s="22">
        <v>84137</v>
      </c>
      <c r="B5865" s="22">
        <v>0</v>
      </c>
      <c r="C5865" s="22" t="s">
        <v>14330</v>
      </c>
      <c r="D5865" s="22" t="s">
        <v>13243</v>
      </c>
      <c r="E5865" s="24" t="s">
        <v>14296</v>
      </c>
    </row>
    <row r="5866" spans="1:5">
      <c r="A5866" s="22">
        <v>84138</v>
      </c>
      <c r="B5866" s="22">
        <v>0</v>
      </c>
      <c r="C5866" s="22" t="s">
        <v>14064</v>
      </c>
      <c r="D5866" s="22" t="s">
        <v>13244</v>
      </c>
      <c r="E5866" s="24" t="s">
        <v>13978</v>
      </c>
    </row>
    <row r="5867" spans="1:5">
      <c r="A5867" s="22">
        <v>84139</v>
      </c>
      <c r="B5867" s="22">
        <v>0</v>
      </c>
      <c r="C5867" s="22" t="s">
        <v>14331</v>
      </c>
      <c r="D5867" s="22" t="s">
        <v>13245</v>
      </c>
      <c r="E5867" s="24" t="s">
        <v>14297</v>
      </c>
    </row>
    <row r="5868" spans="1:5">
      <c r="A5868" s="22">
        <v>84140</v>
      </c>
      <c r="B5868" s="22">
        <v>0</v>
      </c>
      <c r="C5868" s="22" t="s">
        <v>13872</v>
      </c>
      <c r="D5868" s="22" t="s">
        <v>13246</v>
      </c>
      <c r="E5868" s="24" t="s">
        <v>13754</v>
      </c>
    </row>
    <row r="5869" spans="1:5">
      <c r="A5869" s="22">
        <v>84141</v>
      </c>
      <c r="B5869" s="22">
        <v>0</v>
      </c>
      <c r="C5869" s="22" t="s">
        <v>14066</v>
      </c>
      <c r="D5869" s="22" t="s">
        <v>13247</v>
      </c>
      <c r="E5869" s="24" t="s">
        <v>13980</v>
      </c>
    </row>
    <row r="5870" spans="1:5">
      <c r="A5870" s="22">
        <v>84142</v>
      </c>
      <c r="B5870" s="22">
        <v>0</v>
      </c>
      <c r="C5870" s="22" t="s">
        <v>14332</v>
      </c>
      <c r="D5870" s="22" t="s">
        <v>13248</v>
      </c>
      <c r="E5870" s="24" t="s">
        <v>14298</v>
      </c>
    </row>
    <row r="5871" spans="1:5">
      <c r="A5871" s="22">
        <v>84143</v>
      </c>
      <c r="B5871" s="22">
        <v>0</v>
      </c>
      <c r="C5871" s="22" t="s">
        <v>14333</v>
      </c>
      <c r="D5871" s="22" t="s">
        <v>13249</v>
      </c>
      <c r="E5871" s="24" t="s">
        <v>14299</v>
      </c>
    </row>
    <row r="5872" spans="1:5">
      <c r="A5872" s="22">
        <v>84144</v>
      </c>
      <c r="B5872" s="22">
        <v>0</v>
      </c>
      <c r="C5872" s="22" t="s">
        <v>14068</v>
      </c>
      <c r="D5872" s="22" t="s">
        <v>13250</v>
      </c>
      <c r="E5872" s="24" t="s">
        <v>13982</v>
      </c>
    </row>
    <row r="5873" spans="1:5">
      <c r="A5873" s="22">
        <v>84145</v>
      </c>
      <c r="B5873" s="22">
        <v>0</v>
      </c>
      <c r="C5873" s="22" t="s">
        <v>14244</v>
      </c>
      <c r="D5873" s="22" t="s">
        <v>13251</v>
      </c>
      <c r="E5873" s="24" t="s">
        <v>14167</v>
      </c>
    </row>
    <row r="5874" spans="1:5">
      <c r="A5874" s="22">
        <v>84146</v>
      </c>
      <c r="B5874" s="22">
        <v>0</v>
      </c>
      <c r="C5874" s="22" t="s">
        <v>14334</v>
      </c>
      <c r="D5874" s="22" t="s">
        <v>13252</v>
      </c>
      <c r="E5874" s="24" t="s">
        <v>14300</v>
      </c>
    </row>
    <row r="5875" spans="1:5">
      <c r="A5875" s="22">
        <v>84147</v>
      </c>
      <c r="B5875" s="22">
        <v>0</v>
      </c>
      <c r="C5875" s="22" t="s">
        <v>13876</v>
      </c>
      <c r="D5875" s="22" t="s">
        <v>13253</v>
      </c>
      <c r="E5875" s="24" t="s">
        <v>13758</v>
      </c>
    </row>
    <row r="5876" spans="1:5">
      <c r="A5876" s="22">
        <v>84148</v>
      </c>
      <c r="B5876" s="22">
        <v>0</v>
      </c>
      <c r="C5876" s="22" t="s">
        <v>14335</v>
      </c>
      <c r="D5876" s="22" t="s">
        <v>13254</v>
      </c>
      <c r="E5876" s="24" t="s">
        <v>14301</v>
      </c>
    </row>
    <row r="5877" spans="1:5">
      <c r="A5877" s="22">
        <v>84149</v>
      </c>
      <c r="B5877" s="22">
        <v>0</v>
      </c>
      <c r="C5877" s="22" t="s">
        <v>14336</v>
      </c>
      <c r="D5877" s="22" t="s">
        <v>13255</v>
      </c>
      <c r="E5877" s="24" t="s">
        <v>14302</v>
      </c>
    </row>
    <row r="5878" spans="1:5">
      <c r="A5878" s="22">
        <v>84150</v>
      </c>
      <c r="B5878" s="22">
        <v>0</v>
      </c>
      <c r="C5878" s="22" t="s">
        <v>14071</v>
      </c>
      <c r="D5878" s="22" t="s">
        <v>13256</v>
      </c>
      <c r="E5878" s="24" t="s">
        <v>13985</v>
      </c>
    </row>
    <row r="5879" spans="1:5">
      <c r="A5879" s="165">
        <v>85001</v>
      </c>
      <c r="B5879" s="165">
        <v>0</v>
      </c>
      <c r="C5879" s="165" t="s">
        <v>9614</v>
      </c>
      <c r="D5879" s="165" t="s">
        <v>13257</v>
      </c>
      <c r="E5879" s="166" t="s">
        <v>9464</v>
      </c>
    </row>
    <row r="5880" spans="1:5">
      <c r="A5880" s="165">
        <v>85002</v>
      </c>
      <c r="B5880" s="165">
        <v>0</v>
      </c>
      <c r="C5880" s="165" t="s">
        <v>9619</v>
      </c>
      <c r="D5880" s="165" t="s">
        <v>13258</v>
      </c>
      <c r="E5880" s="166" t="s">
        <v>9469</v>
      </c>
    </row>
    <row r="5881" spans="1:5">
      <c r="A5881" s="165">
        <v>85003</v>
      </c>
      <c r="B5881" s="165">
        <v>0</v>
      </c>
      <c r="C5881" s="165" t="s">
        <v>9624</v>
      </c>
      <c r="D5881" s="165" t="s">
        <v>13259</v>
      </c>
      <c r="E5881" s="166" t="s">
        <v>9474</v>
      </c>
    </row>
    <row r="5882" spans="1:5">
      <c r="A5882" s="165">
        <v>85004</v>
      </c>
      <c r="B5882" s="165">
        <v>0</v>
      </c>
      <c r="C5882" s="165" t="s">
        <v>9629</v>
      </c>
      <c r="D5882" s="165" t="s">
        <v>13260</v>
      </c>
      <c r="E5882" s="166" t="s">
        <v>9479</v>
      </c>
    </row>
    <row r="5883" spans="1:5">
      <c r="A5883" s="165">
        <v>85005</v>
      </c>
      <c r="B5883" s="165">
        <v>0</v>
      </c>
      <c r="C5883" s="165" t="s">
        <v>9634</v>
      </c>
      <c r="D5883" s="165" t="s">
        <v>13261</v>
      </c>
      <c r="E5883" s="166" t="s">
        <v>9484</v>
      </c>
    </row>
    <row r="5884" spans="1:5">
      <c r="A5884" s="165">
        <v>85006</v>
      </c>
      <c r="B5884" s="165">
        <v>0</v>
      </c>
      <c r="C5884" s="165" t="s">
        <v>9639</v>
      </c>
      <c r="D5884" s="165" t="s">
        <v>13262</v>
      </c>
      <c r="E5884" s="166" t="s">
        <v>9489</v>
      </c>
    </row>
    <row r="5885" spans="1:5">
      <c r="A5885" s="165">
        <v>85007</v>
      </c>
      <c r="B5885" s="165">
        <v>0</v>
      </c>
      <c r="C5885" s="165" t="s">
        <v>9644</v>
      </c>
      <c r="D5885" s="165" t="s">
        <v>13263</v>
      </c>
      <c r="E5885" s="166" t="s">
        <v>9494</v>
      </c>
    </row>
    <row r="5886" spans="1:5">
      <c r="A5886" s="165">
        <v>85008</v>
      </c>
      <c r="B5886" s="165">
        <v>0</v>
      </c>
      <c r="C5886" s="165" t="s">
        <v>9649</v>
      </c>
      <c r="D5886" s="165" t="s">
        <v>13264</v>
      </c>
      <c r="E5886" s="166" t="s">
        <v>9499</v>
      </c>
    </row>
    <row r="5887" spans="1:5">
      <c r="A5887" s="165">
        <v>85009</v>
      </c>
      <c r="B5887" s="165">
        <v>0</v>
      </c>
      <c r="C5887" s="165" t="s">
        <v>9654</v>
      </c>
      <c r="D5887" s="165" t="s">
        <v>13265</v>
      </c>
      <c r="E5887" s="166" t="s">
        <v>9504</v>
      </c>
    </row>
    <row r="5888" spans="1:5">
      <c r="A5888" s="165">
        <v>85010</v>
      </c>
      <c r="B5888" s="165">
        <v>0</v>
      </c>
      <c r="C5888" s="165" t="s">
        <v>9659</v>
      </c>
      <c r="D5888" s="165" t="s">
        <v>13266</v>
      </c>
      <c r="E5888" s="166" t="s">
        <v>9509</v>
      </c>
    </row>
    <row r="5889" spans="1:5">
      <c r="A5889" s="165">
        <v>85011</v>
      </c>
      <c r="B5889" s="165">
        <v>0</v>
      </c>
      <c r="C5889" s="165" t="s">
        <v>9664</v>
      </c>
      <c r="D5889" s="165" t="s">
        <v>13267</v>
      </c>
      <c r="E5889" s="166" t="s">
        <v>9514</v>
      </c>
    </row>
    <row r="5890" spans="1:5">
      <c r="A5890" s="165">
        <v>85012</v>
      </c>
      <c r="B5890" s="165">
        <v>0</v>
      </c>
      <c r="C5890" s="165" t="s">
        <v>9669</v>
      </c>
      <c r="D5890" s="165" t="s">
        <v>13268</v>
      </c>
      <c r="E5890" s="166" t="s">
        <v>9519</v>
      </c>
    </row>
    <row r="5891" spans="1:5">
      <c r="A5891" s="165">
        <v>85013</v>
      </c>
      <c r="B5891" s="165">
        <v>0</v>
      </c>
      <c r="C5891" s="165" t="s">
        <v>9674</v>
      </c>
      <c r="D5891" s="165" t="s">
        <v>13269</v>
      </c>
      <c r="E5891" s="166" t="s">
        <v>9524</v>
      </c>
    </row>
    <row r="5892" spans="1:5">
      <c r="A5892" s="165">
        <v>85014</v>
      </c>
      <c r="B5892" s="165">
        <v>0</v>
      </c>
      <c r="C5892" s="165" t="s">
        <v>9679</v>
      </c>
      <c r="D5892" s="165" t="s">
        <v>13270</v>
      </c>
      <c r="E5892" s="166" t="s">
        <v>9529</v>
      </c>
    </row>
    <row r="5893" spans="1:5">
      <c r="A5893" s="165">
        <v>85015</v>
      </c>
      <c r="B5893" s="165">
        <v>0</v>
      </c>
      <c r="C5893" s="165" t="s">
        <v>9684</v>
      </c>
      <c r="D5893" s="165" t="s">
        <v>13271</v>
      </c>
      <c r="E5893" s="166" t="s">
        <v>9534</v>
      </c>
    </row>
    <row r="5894" spans="1:5">
      <c r="A5894" s="165">
        <v>85016</v>
      </c>
      <c r="B5894" s="165">
        <v>0</v>
      </c>
      <c r="C5894" s="165" t="s">
        <v>9689</v>
      </c>
      <c r="D5894" s="165" t="s">
        <v>13272</v>
      </c>
      <c r="E5894" s="166" t="s">
        <v>9539</v>
      </c>
    </row>
    <row r="5895" spans="1:5">
      <c r="A5895" s="165">
        <v>85017</v>
      </c>
      <c r="B5895" s="165">
        <v>0</v>
      </c>
      <c r="C5895" s="165" t="s">
        <v>9694</v>
      </c>
      <c r="D5895" s="165" t="s">
        <v>13273</v>
      </c>
      <c r="E5895" s="166" t="s">
        <v>9544</v>
      </c>
    </row>
    <row r="5896" spans="1:5">
      <c r="A5896" s="165">
        <v>85018</v>
      </c>
      <c r="B5896" s="165">
        <v>0</v>
      </c>
      <c r="C5896" s="165" t="s">
        <v>9699</v>
      </c>
      <c r="D5896" s="165" t="s">
        <v>13274</v>
      </c>
      <c r="E5896" s="166" t="s">
        <v>9549</v>
      </c>
    </row>
    <row r="5897" spans="1:5">
      <c r="A5897" s="165">
        <v>85019</v>
      </c>
      <c r="B5897" s="165">
        <v>0</v>
      </c>
      <c r="C5897" s="165" t="s">
        <v>9704</v>
      </c>
      <c r="D5897" s="165" t="s">
        <v>13275</v>
      </c>
      <c r="E5897" s="166" t="s">
        <v>9554</v>
      </c>
    </row>
    <row r="5898" spans="1:5">
      <c r="A5898" s="165">
        <v>85020</v>
      </c>
      <c r="B5898" s="165">
        <v>0</v>
      </c>
      <c r="C5898" s="165" t="s">
        <v>9709</v>
      </c>
      <c r="D5898" s="165" t="s">
        <v>13276</v>
      </c>
      <c r="E5898" s="166" t="s">
        <v>9559</v>
      </c>
    </row>
    <row r="5899" spans="1:5">
      <c r="A5899" s="165">
        <v>85021</v>
      </c>
      <c r="B5899" s="165">
        <v>0</v>
      </c>
      <c r="C5899" s="165" t="s">
        <v>9714</v>
      </c>
      <c r="D5899" s="165" t="s">
        <v>13277</v>
      </c>
      <c r="E5899" s="166" t="s">
        <v>9564</v>
      </c>
    </row>
    <row r="5900" spans="1:5">
      <c r="A5900" s="165">
        <v>85022</v>
      </c>
      <c r="B5900" s="165">
        <v>0</v>
      </c>
      <c r="C5900" s="165" t="s">
        <v>9719</v>
      </c>
      <c r="D5900" s="165" t="s">
        <v>13278</v>
      </c>
      <c r="E5900" s="166" t="s">
        <v>9569</v>
      </c>
    </row>
    <row r="5901" spans="1:5">
      <c r="A5901" s="165">
        <v>85023</v>
      </c>
      <c r="B5901" s="165">
        <v>0</v>
      </c>
      <c r="C5901" s="165" t="s">
        <v>9724</v>
      </c>
      <c r="D5901" s="165" t="s">
        <v>13279</v>
      </c>
      <c r="E5901" s="166" t="s">
        <v>9574</v>
      </c>
    </row>
    <row r="5902" spans="1:5">
      <c r="A5902" s="165">
        <v>85024</v>
      </c>
      <c r="B5902" s="165">
        <v>0</v>
      </c>
      <c r="C5902" s="165" t="s">
        <v>9729</v>
      </c>
      <c r="D5902" s="165" t="s">
        <v>13280</v>
      </c>
      <c r="E5902" s="166" t="s">
        <v>9579</v>
      </c>
    </row>
    <row r="5903" spans="1:5">
      <c r="A5903" s="165">
        <v>85025</v>
      </c>
      <c r="B5903" s="165">
        <v>0</v>
      </c>
      <c r="C5903" s="165" t="s">
        <v>9734</v>
      </c>
      <c r="D5903" s="165" t="s">
        <v>13281</v>
      </c>
      <c r="E5903" s="166" t="s">
        <v>9584</v>
      </c>
    </row>
    <row r="5904" spans="1:5">
      <c r="A5904" s="165">
        <v>85026</v>
      </c>
      <c r="B5904" s="165">
        <v>0</v>
      </c>
      <c r="C5904" s="165" t="s">
        <v>9739</v>
      </c>
      <c r="D5904" s="165" t="s">
        <v>13282</v>
      </c>
      <c r="E5904" s="166" t="s">
        <v>9589</v>
      </c>
    </row>
    <row r="5905" spans="1:5">
      <c r="A5905" s="165">
        <v>85027</v>
      </c>
      <c r="B5905" s="165">
        <v>0</v>
      </c>
      <c r="C5905" s="165" t="s">
        <v>9744</v>
      </c>
      <c r="D5905" s="165" t="s">
        <v>13283</v>
      </c>
      <c r="E5905" s="166" t="s">
        <v>9594</v>
      </c>
    </row>
    <row r="5906" spans="1:5">
      <c r="A5906" s="165">
        <v>85028</v>
      </c>
      <c r="B5906" s="165">
        <v>0</v>
      </c>
      <c r="C5906" s="165" t="s">
        <v>9749</v>
      </c>
      <c r="D5906" s="165" t="s">
        <v>13284</v>
      </c>
      <c r="E5906" s="166" t="s">
        <v>9599</v>
      </c>
    </row>
    <row r="5907" spans="1:5">
      <c r="A5907" s="165">
        <v>85029</v>
      </c>
      <c r="B5907" s="165">
        <v>0</v>
      </c>
      <c r="C5907" s="165" t="s">
        <v>9754</v>
      </c>
      <c r="D5907" s="165" t="s">
        <v>13285</v>
      </c>
      <c r="E5907" s="166" t="s">
        <v>9604</v>
      </c>
    </row>
    <row r="5908" spans="1:5">
      <c r="A5908" s="165">
        <v>85030</v>
      </c>
      <c r="B5908" s="165">
        <v>0</v>
      </c>
      <c r="C5908" s="165" t="s">
        <v>9759</v>
      </c>
      <c r="D5908" s="165" t="s">
        <v>13286</v>
      </c>
      <c r="E5908" s="166" t="s">
        <v>9609</v>
      </c>
    </row>
    <row r="5909" spans="1:5">
      <c r="A5909" s="165">
        <v>85031</v>
      </c>
      <c r="B5909" s="165">
        <v>0</v>
      </c>
      <c r="C5909" s="165" t="s">
        <v>14192</v>
      </c>
      <c r="D5909" s="165" t="s">
        <v>13287</v>
      </c>
      <c r="E5909" s="166" t="s">
        <v>14115</v>
      </c>
    </row>
    <row r="5910" spans="1:5">
      <c r="A5910" s="165">
        <v>85032</v>
      </c>
      <c r="B5910" s="165">
        <v>0</v>
      </c>
      <c r="C5910" s="165" t="s">
        <v>10164</v>
      </c>
      <c r="D5910" s="165" t="s">
        <v>13288</v>
      </c>
      <c r="E5910" s="166" t="s">
        <v>10239</v>
      </c>
    </row>
    <row r="5911" spans="1:5">
      <c r="A5911" s="165">
        <v>85033</v>
      </c>
      <c r="B5911" s="165">
        <v>0</v>
      </c>
      <c r="C5911" s="165" t="s">
        <v>14193</v>
      </c>
      <c r="D5911" s="165" t="s">
        <v>13289</v>
      </c>
      <c r="E5911" s="166" t="s">
        <v>14116</v>
      </c>
    </row>
    <row r="5912" spans="1:5">
      <c r="A5912" s="165">
        <v>85034</v>
      </c>
      <c r="B5912" s="165">
        <v>0</v>
      </c>
      <c r="C5912" s="165" t="s">
        <v>10169</v>
      </c>
      <c r="D5912" s="165" t="s">
        <v>13290</v>
      </c>
      <c r="E5912" s="166" t="s">
        <v>10244</v>
      </c>
    </row>
    <row r="5913" spans="1:5">
      <c r="A5913" s="165">
        <v>85035</v>
      </c>
      <c r="B5913" s="165">
        <v>0</v>
      </c>
      <c r="C5913" s="165" t="s">
        <v>13826</v>
      </c>
      <c r="D5913" s="165" t="s">
        <v>13291</v>
      </c>
      <c r="E5913" s="166" t="s">
        <v>13708</v>
      </c>
    </row>
    <row r="5914" spans="1:5">
      <c r="A5914" s="165">
        <v>85036</v>
      </c>
      <c r="B5914" s="165">
        <v>0</v>
      </c>
      <c r="C5914" s="165" t="s">
        <v>10174</v>
      </c>
      <c r="D5914" s="165" t="s">
        <v>13292</v>
      </c>
      <c r="E5914" s="166" t="s">
        <v>10249</v>
      </c>
    </row>
    <row r="5915" spans="1:5">
      <c r="A5915" s="165">
        <v>85037</v>
      </c>
      <c r="B5915" s="165">
        <v>0</v>
      </c>
      <c r="C5915" s="165" t="s">
        <v>14194</v>
      </c>
      <c r="D5915" s="165" t="s">
        <v>13293</v>
      </c>
      <c r="E5915" s="166" t="s">
        <v>14117</v>
      </c>
    </row>
    <row r="5916" spans="1:5">
      <c r="A5916" s="165">
        <v>85038</v>
      </c>
      <c r="B5916" s="165">
        <v>0</v>
      </c>
      <c r="C5916" s="165" t="s">
        <v>10179</v>
      </c>
      <c r="D5916" s="165" t="s">
        <v>13294</v>
      </c>
      <c r="E5916" s="166" t="s">
        <v>10254</v>
      </c>
    </row>
    <row r="5917" spans="1:5">
      <c r="A5917" s="165">
        <v>85039</v>
      </c>
      <c r="B5917" s="165">
        <v>0</v>
      </c>
      <c r="C5917" s="165" t="s">
        <v>14195</v>
      </c>
      <c r="D5917" s="165" t="s">
        <v>13295</v>
      </c>
      <c r="E5917" s="166" t="s">
        <v>14118</v>
      </c>
    </row>
    <row r="5918" spans="1:5">
      <c r="A5918" s="165">
        <v>85040</v>
      </c>
      <c r="B5918" s="165">
        <v>0</v>
      </c>
      <c r="C5918" s="165" t="s">
        <v>10184</v>
      </c>
      <c r="D5918" s="165" t="s">
        <v>13296</v>
      </c>
      <c r="E5918" s="166" t="s">
        <v>10259</v>
      </c>
    </row>
    <row r="5919" spans="1:5">
      <c r="A5919" s="165">
        <v>85041</v>
      </c>
      <c r="B5919" s="165">
        <v>0</v>
      </c>
      <c r="C5919" s="165" t="s">
        <v>14196</v>
      </c>
      <c r="D5919" s="165" t="s">
        <v>13297</v>
      </c>
      <c r="E5919" s="166" t="s">
        <v>14119</v>
      </c>
    </row>
    <row r="5920" spans="1:5">
      <c r="A5920" s="165">
        <v>85042</v>
      </c>
      <c r="B5920" s="165">
        <v>0</v>
      </c>
      <c r="C5920" s="165" t="s">
        <v>10189</v>
      </c>
      <c r="D5920" s="165" t="s">
        <v>13298</v>
      </c>
      <c r="E5920" s="166" t="s">
        <v>10264</v>
      </c>
    </row>
    <row r="5921" spans="1:5">
      <c r="A5921" s="165">
        <v>85043</v>
      </c>
      <c r="B5921" s="165">
        <v>0</v>
      </c>
      <c r="C5921" s="165" t="s">
        <v>14197</v>
      </c>
      <c r="D5921" s="165" t="s">
        <v>13299</v>
      </c>
      <c r="E5921" s="166" t="s">
        <v>14120</v>
      </c>
    </row>
    <row r="5922" spans="1:5">
      <c r="A5922" s="165">
        <v>85044</v>
      </c>
      <c r="B5922" s="165">
        <v>0</v>
      </c>
      <c r="C5922" s="165" t="s">
        <v>10194</v>
      </c>
      <c r="D5922" s="165" t="s">
        <v>13300</v>
      </c>
      <c r="E5922" s="166" t="s">
        <v>10269</v>
      </c>
    </row>
    <row r="5923" spans="1:5">
      <c r="A5923" s="165">
        <v>85045</v>
      </c>
      <c r="B5923" s="165">
        <v>0</v>
      </c>
      <c r="C5923" s="165" t="s">
        <v>14198</v>
      </c>
      <c r="D5923" s="165" t="s">
        <v>13301</v>
      </c>
      <c r="E5923" s="166" t="s">
        <v>14121</v>
      </c>
    </row>
    <row r="5924" spans="1:5">
      <c r="A5924" s="165">
        <v>85046</v>
      </c>
      <c r="B5924" s="165">
        <v>0</v>
      </c>
      <c r="C5924" s="165" t="s">
        <v>10199</v>
      </c>
      <c r="D5924" s="165" t="s">
        <v>13302</v>
      </c>
      <c r="E5924" s="166" t="s">
        <v>10274</v>
      </c>
    </row>
    <row r="5925" spans="1:5">
      <c r="A5925" s="165">
        <v>85047</v>
      </c>
      <c r="B5925" s="165">
        <v>0</v>
      </c>
      <c r="C5925" s="165" t="s">
        <v>14199</v>
      </c>
      <c r="D5925" s="165" t="s">
        <v>13303</v>
      </c>
      <c r="E5925" s="166" t="s">
        <v>14122</v>
      </c>
    </row>
    <row r="5926" spans="1:5">
      <c r="A5926" s="165">
        <v>85048</v>
      </c>
      <c r="B5926" s="165">
        <v>0</v>
      </c>
      <c r="C5926" s="165" t="s">
        <v>10204</v>
      </c>
      <c r="D5926" s="165" t="s">
        <v>13304</v>
      </c>
      <c r="E5926" s="166" t="s">
        <v>10279</v>
      </c>
    </row>
    <row r="5927" spans="1:5">
      <c r="A5927" s="165">
        <v>85049</v>
      </c>
      <c r="B5927" s="165">
        <v>0</v>
      </c>
      <c r="C5927" s="165" t="s">
        <v>13831</v>
      </c>
      <c r="D5927" s="165" t="s">
        <v>13305</v>
      </c>
      <c r="E5927" s="166" t="s">
        <v>13713</v>
      </c>
    </row>
    <row r="5928" spans="1:5">
      <c r="A5928" s="165">
        <v>85050</v>
      </c>
      <c r="B5928" s="165">
        <v>0</v>
      </c>
      <c r="C5928" s="165" t="s">
        <v>10209</v>
      </c>
      <c r="D5928" s="165" t="s">
        <v>13306</v>
      </c>
      <c r="E5928" s="166" t="s">
        <v>10284</v>
      </c>
    </row>
    <row r="5929" spans="1:5">
      <c r="A5929" s="165">
        <v>85051</v>
      </c>
      <c r="B5929" s="165">
        <v>0</v>
      </c>
      <c r="C5929" s="165" t="s">
        <v>14200</v>
      </c>
      <c r="D5929" s="165" t="s">
        <v>13307</v>
      </c>
      <c r="E5929" s="166" t="s">
        <v>14123</v>
      </c>
    </row>
    <row r="5930" spans="1:5">
      <c r="A5930" s="165">
        <v>85052</v>
      </c>
      <c r="B5930" s="165">
        <v>0</v>
      </c>
      <c r="C5930" s="165" t="s">
        <v>10214</v>
      </c>
      <c r="D5930" s="165" t="s">
        <v>13308</v>
      </c>
      <c r="E5930" s="166" t="s">
        <v>10289</v>
      </c>
    </row>
    <row r="5931" spans="1:5">
      <c r="A5931" s="165">
        <v>85053</v>
      </c>
      <c r="B5931" s="165">
        <v>0</v>
      </c>
      <c r="C5931" s="165" t="s">
        <v>14201</v>
      </c>
      <c r="D5931" s="165" t="s">
        <v>13309</v>
      </c>
      <c r="E5931" s="166" t="s">
        <v>14124</v>
      </c>
    </row>
    <row r="5932" spans="1:5">
      <c r="A5932" s="165">
        <v>85054</v>
      </c>
      <c r="B5932" s="165">
        <v>0</v>
      </c>
      <c r="C5932" s="165" t="s">
        <v>10219</v>
      </c>
      <c r="D5932" s="165" t="s">
        <v>13310</v>
      </c>
      <c r="E5932" s="166" t="s">
        <v>10294</v>
      </c>
    </row>
    <row r="5933" spans="1:5">
      <c r="A5933" s="165">
        <v>85055</v>
      </c>
      <c r="B5933" s="165">
        <v>0</v>
      </c>
      <c r="C5933" s="165" t="s">
        <v>14202</v>
      </c>
      <c r="D5933" s="165" t="s">
        <v>13311</v>
      </c>
      <c r="E5933" s="166" t="s">
        <v>14125</v>
      </c>
    </row>
    <row r="5934" spans="1:5">
      <c r="A5934" s="165">
        <v>85056</v>
      </c>
      <c r="B5934" s="165">
        <v>0</v>
      </c>
      <c r="C5934" s="165" t="s">
        <v>10224</v>
      </c>
      <c r="D5934" s="165" t="s">
        <v>13312</v>
      </c>
      <c r="E5934" s="166" t="s">
        <v>10299</v>
      </c>
    </row>
    <row r="5935" spans="1:5">
      <c r="A5935" s="165">
        <v>85057</v>
      </c>
      <c r="B5935" s="165">
        <v>0</v>
      </c>
      <c r="C5935" s="165" t="s">
        <v>14203</v>
      </c>
      <c r="D5935" s="165" t="s">
        <v>13313</v>
      </c>
      <c r="E5935" s="166" t="s">
        <v>14126</v>
      </c>
    </row>
    <row r="5936" spans="1:5">
      <c r="A5936" s="165">
        <v>85058</v>
      </c>
      <c r="B5936" s="165">
        <v>0</v>
      </c>
      <c r="C5936" s="165" t="s">
        <v>10229</v>
      </c>
      <c r="D5936" s="165" t="s">
        <v>13314</v>
      </c>
      <c r="E5936" s="166" t="s">
        <v>10304</v>
      </c>
    </row>
    <row r="5937" spans="1:5">
      <c r="A5937" s="165">
        <v>85059</v>
      </c>
      <c r="B5937" s="165">
        <v>0</v>
      </c>
      <c r="C5937" s="165" t="s">
        <v>14204</v>
      </c>
      <c r="D5937" s="165" t="s">
        <v>13315</v>
      </c>
      <c r="E5937" s="166" t="s">
        <v>14127</v>
      </c>
    </row>
    <row r="5938" spans="1:5">
      <c r="A5938" s="165">
        <v>85060</v>
      </c>
      <c r="B5938" s="165">
        <v>0</v>
      </c>
      <c r="C5938" s="165" t="s">
        <v>10234</v>
      </c>
      <c r="D5938" s="165" t="s">
        <v>13316</v>
      </c>
      <c r="E5938" s="166" t="s">
        <v>10309</v>
      </c>
    </row>
    <row r="5939" spans="1:5">
      <c r="A5939" s="165">
        <v>85061</v>
      </c>
      <c r="B5939" s="165">
        <v>0</v>
      </c>
      <c r="C5939" s="165" t="s">
        <v>14205</v>
      </c>
      <c r="D5939" s="165" t="s">
        <v>13317</v>
      </c>
      <c r="E5939" s="166" t="s">
        <v>14128</v>
      </c>
    </row>
    <row r="5940" spans="1:5">
      <c r="A5940" s="165">
        <v>85062</v>
      </c>
      <c r="B5940" s="165">
        <v>0</v>
      </c>
      <c r="C5940" s="165" t="s">
        <v>14206</v>
      </c>
      <c r="D5940" s="165" t="s">
        <v>13318</v>
      </c>
      <c r="E5940" s="166" t="s">
        <v>14129</v>
      </c>
    </row>
    <row r="5941" spans="1:5">
      <c r="A5941" s="165">
        <v>85063</v>
      </c>
      <c r="B5941" s="165">
        <v>0</v>
      </c>
      <c r="C5941" s="165" t="s">
        <v>13837</v>
      </c>
      <c r="D5941" s="165" t="s">
        <v>13319</v>
      </c>
      <c r="E5941" s="166" t="s">
        <v>13719</v>
      </c>
    </row>
    <row r="5942" spans="1:5">
      <c r="A5942" s="165">
        <v>85064</v>
      </c>
      <c r="B5942" s="165">
        <v>0</v>
      </c>
      <c r="C5942" s="165" t="s">
        <v>14207</v>
      </c>
      <c r="D5942" s="165" t="s">
        <v>13320</v>
      </c>
      <c r="E5942" s="166" t="s">
        <v>14130</v>
      </c>
    </row>
    <row r="5943" spans="1:5">
      <c r="A5943" s="165">
        <v>85065</v>
      </c>
      <c r="B5943" s="165">
        <v>0</v>
      </c>
      <c r="C5943" s="165" t="s">
        <v>14208</v>
      </c>
      <c r="D5943" s="165" t="s">
        <v>13321</v>
      </c>
      <c r="E5943" s="166" t="s">
        <v>14131</v>
      </c>
    </row>
    <row r="5944" spans="1:5">
      <c r="A5944" s="165">
        <v>85066</v>
      </c>
      <c r="B5944" s="165">
        <v>0</v>
      </c>
      <c r="C5944" s="165" t="s">
        <v>14033</v>
      </c>
      <c r="D5944" s="165" t="s">
        <v>13322</v>
      </c>
      <c r="E5944" s="166" t="s">
        <v>13947</v>
      </c>
    </row>
    <row r="5945" spans="1:5">
      <c r="A5945" s="165">
        <v>85067</v>
      </c>
      <c r="B5945" s="165">
        <v>0</v>
      </c>
      <c r="C5945" s="165" t="s">
        <v>14209</v>
      </c>
      <c r="D5945" s="165" t="s">
        <v>13323</v>
      </c>
      <c r="E5945" s="166" t="s">
        <v>14132</v>
      </c>
    </row>
    <row r="5946" spans="1:5">
      <c r="A5946" s="165">
        <v>85068</v>
      </c>
      <c r="B5946" s="165">
        <v>0</v>
      </c>
      <c r="C5946" s="165" t="s">
        <v>14210</v>
      </c>
      <c r="D5946" s="165" t="s">
        <v>13324</v>
      </c>
      <c r="E5946" s="166" t="s">
        <v>14133</v>
      </c>
    </row>
    <row r="5947" spans="1:5">
      <c r="A5947" s="165">
        <v>85069</v>
      </c>
      <c r="B5947" s="165">
        <v>0</v>
      </c>
      <c r="C5947" s="165" t="s">
        <v>14211</v>
      </c>
      <c r="D5947" s="165" t="s">
        <v>13325</v>
      </c>
      <c r="E5947" s="166" t="s">
        <v>14134</v>
      </c>
    </row>
    <row r="5948" spans="1:5">
      <c r="A5948" s="165">
        <v>85070</v>
      </c>
      <c r="B5948" s="165">
        <v>0</v>
      </c>
      <c r="C5948" s="165" t="s">
        <v>13842</v>
      </c>
      <c r="D5948" s="165" t="s">
        <v>13326</v>
      </c>
      <c r="E5948" s="166" t="s">
        <v>13724</v>
      </c>
    </row>
    <row r="5949" spans="1:5">
      <c r="A5949" s="165">
        <v>85071</v>
      </c>
      <c r="B5949" s="165">
        <v>0</v>
      </c>
      <c r="C5949" s="165" t="s">
        <v>14212</v>
      </c>
      <c r="D5949" s="165" t="s">
        <v>13327</v>
      </c>
      <c r="E5949" s="166" t="s">
        <v>14135</v>
      </c>
    </row>
    <row r="5950" spans="1:5">
      <c r="A5950" s="165">
        <v>85072</v>
      </c>
      <c r="B5950" s="165">
        <v>0</v>
      </c>
      <c r="C5950" s="165" t="s">
        <v>14037</v>
      </c>
      <c r="D5950" s="165" t="s">
        <v>13328</v>
      </c>
      <c r="E5950" s="166" t="s">
        <v>13951</v>
      </c>
    </row>
    <row r="5951" spans="1:5">
      <c r="A5951" s="165">
        <v>85073</v>
      </c>
      <c r="B5951" s="165">
        <v>0</v>
      </c>
      <c r="C5951" s="165" t="s">
        <v>14213</v>
      </c>
      <c r="D5951" s="165" t="s">
        <v>13329</v>
      </c>
      <c r="E5951" s="166" t="s">
        <v>14136</v>
      </c>
    </row>
    <row r="5952" spans="1:5">
      <c r="A5952" s="165">
        <v>85074</v>
      </c>
      <c r="B5952" s="165">
        <v>0</v>
      </c>
      <c r="C5952" s="165" t="s">
        <v>14214</v>
      </c>
      <c r="D5952" s="165" t="s">
        <v>13330</v>
      </c>
      <c r="E5952" s="166" t="s">
        <v>14137</v>
      </c>
    </row>
    <row r="5953" spans="1:5">
      <c r="A5953" s="165">
        <v>85075</v>
      </c>
      <c r="B5953" s="165">
        <v>0</v>
      </c>
      <c r="C5953" s="165" t="s">
        <v>14215</v>
      </c>
      <c r="D5953" s="165" t="s">
        <v>13331</v>
      </c>
      <c r="E5953" s="166" t="s">
        <v>14138</v>
      </c>
    </row>
    <row r="5954" spans="1:5">
      <c r="A5954" s="165">
        <v>85076</v>
      </c>
      <c r="B5954" s="165">
        <v>0</v>
      </c>
      <c r="C5954" s="165" t="s">
        <v>14216</v>
      </c>
      <c r="D5954" s="165" t="s">
        <v>13332</v>
      </c>
      <c r="E5954" s="166" t="s">
        <v>14139</v>
      </c>
    </row>
    <row r="5955" spans="1:5">
      <c r="A5955" s="165">
        <v>85077</v>
      </c>
      <c r="B5955" s="165">
        <v>0</v>
      </c>
      <c r="C5955" s="165" t="s">
        <v>13847</v>
      </c>
      <c r="D5955" s="165" t="s">
        <v>13333</v>
      </c>
      <c r="E5955" s="166" t="s">
        <v>13729</v>
      </c>
    </row>
    <row r="5956" spans="1:5">
      <c r="A5956" s="165">
        <v>85078</v>
      </c>
      <c r="B5956" s="165">
        <v>0</v>
      </c>
      <c r="C5956" s="165" t="s">
        <v>14041</v>
      </c>
      <c r="D5956" s="165" t="s">
        <v>13334</v>
      </c>
      <c r="E5956" s="166" t="s">
        <v>13955</v>
      </c>
    </row>
    <row r="5957" spans="1:5">
      <c r="A5957" s="165">
        <v>85079</v>
      </c>
      <c r="B5957" s="165">
        <v>0</v>
      </c>
      <c r="C5957" s="165" t="s">
        <v>14217</v>
      </c>
      <c r="D5957" s="165" t="s">
        <v>13335</v>
      </c>
      <c r="E5957" s="166" t="s">
        <v>14140</v>
      </c>
    </row>
    <row r="5958" spans="1:5">
      <c r="A5958" s="165">
        <v>85080</v>
      </c>
      <c r="B5958" s="165">
        <v>0</v>
      </c>
      <c r="C5958" s="165" t="s">
        <v>14218</v>
      </c>
      <c r="D5958" s="165" t="s">
        <v>13336</v>
      </c>
      <c r="E5958" s="166" t="s">
        <v>14141</v>
      </c>
    </row>
    <row r="5959" spans="1:5">
      <c r="A5959" s="165">
        <v>85081</v>
      </c>
      <c r="B5959" s="165">
        <v>0</v>
      </c>
      <c r="C5959" s="165" t="s">
        <v>14219</v>
      </c>
      <c r="D5959" s="165" t="s">
        <v>13337</v>
      </c>
      <c r="E5959" s="166" t="s">
        <v>14142</v>
      </c>
    </row>
    <row r="5960" spans="1:5">
      <c r="A5960" s="165">
        <v>85082</v>
      </c>
      <c r="B5960" s="165">
        <v>0</v>
      </c>
      <c r="C5960" s="165" t="s">
        <v>14220</v>
      </c>
      <c r="D5960" s="165" t="s">
        <v>13338</v>
      </c>
      <c r="E5960" s="166" t="s">
        <v>14143</v>
      </c>
    </row>
    <row r="5961" spans="1:5">
      <c r="A5961" s="165">
        <v>85083</v>
      </c>
      <c r="B5961" s="165">
        <v>0</v>
      </c>
      <c r="C5961" s="165" t="s">
        <v>14221</v>
      </c>
      <c r="D5961" s="165" t="s">
        <v>13339</v>
      </c>
      <c r="E5961" s="166" t="s">
        <v>14144</v>
      </c>
    </row>
    <row r="5962" spans="1:5">
      <c r="A5962" s="165">
        <v>85084</v>
      </c>
      <c r="B5962" s="165">
        <v>0</v>
      </c>
      <c r="C5962" s="165" t="s">
        <v>13852</v>
      </c>
      <c r="D5962" s="165" t="s">
        <v>13340</v>
      </c>
      <c r="E5962" s="166" t="s">
        <v>13734</v>
      </c>
    </row>
    <row r="5963" spans="1:5">
      <c r="A5963" s="165">
        <v>85085</v>
      </c>
      <c r="B5963" s="165">
        <v>0</v>
      </c>
      <c r="C5963" s="165" t="s">
        <v>14222</v>
      </c>
      <c r="D5963" s="165" t="s">
        <v>13341</v>
      </c>
      <c r="E5963" s="166" t="s">
        <v>14145</v>
      </c>
    </row>
    <row r="5964" spans="1:5">
      <c r="A5964" s="165">
        <v>85086</v>
      </c>
      <c r="B5964" s="165">
        <v>0</v>
      </c>
      <c r="C5964" s="165" t="s">
        <v>14223</v>
      </c>
      <c r="D5964" s="165" t="s">
        <v>13342</v>
      </c>
      <c r="E5964" s="166" t="s">
        <v>14146</v>
      </c>
    </row>
    <row r="5965" spans="1:5">
      <c r="A5965" s="165">
        <v>85087</v>
      </c>
      <c r="B5965" s="165">
        <v>0</v>
      </c>
      <c r="C5965" s="165" t="s">
        <v>14224</v>
      </c>
      <c r="D5965" s="165" t="s">
        <v>13343</v>
      </c>
      <c r="E5965" s="166" t="s">
        <v>14147</v>
      </c>
    </row>
    <row r="5966" spans="1:5">
      <c r="A5966" s="165">
        <v>85088</v>
      </c>
      <c r="B5966" s="165">
        <v>0</v>
      </c>
      <c r="C5966" s="165" t="s">
        <v>14225</v>
      </c>
      <c r="D5966" s="165" t="s">
        <v>13344</v>
      </c>
      <c r="E5966" s="166" t="s">
        <v>14148</v>
      </c>
    </row>
    <row r="5967" spans="1:5">
      <c r="A5967" s="165">
        <v>85089</v>
      </c>
      <c r="B5967" s="165">
        <v>0</v>
      </c>
      <c r="C5967" s="165" t="s">
        <v>14226</v>
      </c>
      <c r="D5967" s="165" t="s">
        <v>13345</v>
      </c>
      <c r="E5967" s="166" t="s">
        <v>14149</v>
      </c>
    </row>
    <row r="5968" spans="1:5">
      <c r="A5968" s="165">
        <v>85090</v>
      </c>
      <c r="B5968" s="165">
        <v>0</v>
      </c>
      <c r="C5968" s="165" t="s">
        <v>14050</v>
      </c>
      <c r="D5968" s="165" t="s">
        <v>13346</v>
      </c>
      <c r="E5968" s="166" t="s">
        <v>13964</v>
      </c>
    </row>
    <row r="5969" spans="1:5">
      <c r="A5969" s="165">
        <v>85091</v>
      </c>
      <c r="B5969" s="165">
        <v>0</v>
      </c>
      <c r="C5969" s="165" t="s">
        <v>13857</v>
      </c>
      <c r="D5969" s="165" t="s">
        <v>13347</v>
      </c>
      <c r="E5969" s="166" t="s">
        <v>13739</v>
      </c>
    </row>
    <row r="5970" spans="1:5">
      <c r="A5970" s="165">
        <v>85092</v>
      </c>
      <c r="B5970" s="165">
        <v>0</v>
      </c>
      <c r="C5970" s="165" t="s">
        <v>14227</v>
      </c>
      <c r="D5970" s="165" t="s">
        <v>13348</v>
      </c>
      <c r="E5970" s="166" t="s">
        <v>14150</v>
      </c>
    </row>
    <row r="5971" spans="1:5">
      <c r="A5971" s="165">
        <v>85093</v>
      </c>
      <c r="B5971" s="165">
        <v>0</v>
      </c>
      <c r="C5971" s="165" t="s">
        <v>14228</v>
      </c>
      <c r="D5971" s="165" t="s">
        <v>13349</v>
      </c>
      <c r="E5971" s="166" t="s">
        <v>14151</v>
      </c>
    </row>
    <row r="5972" spans="1:5">
      <c r="A5972" s="165">
        <v>85094</v>
      </c>
      <c r="B5972" s="165">
        <v>0</v>
      </c>
      <c r="C5972" s="165" t="s">
        <v>14229</v>
      </c>
      <c r="D5972" s="165" t="s">
        <v>13350</v>
      </c>
      <c r="E5972" s="166" t="s">
        <v>14152</v>
      </c>
    </row>
    <row r="5973" spans="1:5">
      <c r="A5973" s="165">
        <v>85095</v>
      </c>
      <c r="B5973" s="165">
        <v>0</v>
      </c>
      <c r="C5973" s="165" t="s">
        <v>14230</v>
      </c>
      <c r="D5973" s="165" t="s">
        <v>13351</v>
      </c>
      <c r="E5973" s="166" t="s">
        <v>14153</v>
      </c>
    </row>
    <row r="5974" spans="1:5">
      <c r="A5974" s="165">
        <v>85096</v>
      </c>
      <c r="B5974" s="165">
        <v>0</v>
      </c>
      <c r="C5974" s="165" t="s">
        <v>14054</v>
      </c>
      <c r="D5974" s="165" t="s">
        <v>13352</v>
      </c>
      <c r="E5974" s="166" t="s">
        <v>13968</v>
      </c>
    </row>
    <row r="5975" spans="1:5">
      <c r="A5975" s="165">
        <v>85097</v>
      </c>
      <c r="B5975" s="165">
        <v>0</v>
      </c>
      <c r="C5975" s="165" t="s">
        <v>14231</v>
      </c>
      <c r="D5975" s="165" t="s">
        <v>13353</v>
      </c>
      <c r="E5975" s="166" t="s">
        <v>14154</v>
      </c>
    </row>
    <row r="5976" spans="1:5">
      <c r="A5976" s="165">
        <v>85098</v>
      </c>
      <c r="B5976" s="165">
        <v>0</v>
      </c>
      <c r="C5976" s="165" t="s">
        <v>13862</v>
      </c>
      <c r="D5976" s="165" t="s">
        <v>13354</v>
      </c>
      <c r="E5976" s="166" t="s">
        <v>13744</v>
      </c>
    </row>
    <row r="5977" spans="1:5">
      <c r="A5977" s="165">
        <v>85099</v>
      </c>
      <c r="B5977" s="165">
        <v>0</v>
      </c>
      <c r="C5977" s="165" t="s">
        <v>14232</v>
      </c>
      <c r="D5977" s="165" t="s">
        <v>13355</v>
      </c>
      <c r="E5977" s="166" t="s">
        <v>14155</v>
      </c>
    </row>
    <row r="5978" spans="1:5">
      <c r="A5978" s="165">
        <v>85100</v>
      </c>
      <c r="B5978" s="165">
        <v>0</v>
      </c>
      <c r="C5978" s="165" t="s">
        <v>14233</v>
      </c>
      <c r="D5978" s="165" t="s">
        <v>13356</v>
      </c>
      <c r="E5978" s="166" t="s">
        <v>14156</v>
      </c>
    </row>
    <row r="5979" spans="1:5">
      <c r="A5979" s="165">
        <v>85101</v>
      </c>
      <c r="B5979" s="165">
        <v>0</v>
      </c>
      <c r="C5979" s="165" t="s">
        <v>14234</v>
      </c>
      <c r="D5979" s="165" t="s">
        <v>13357</v>
      </c>
      <c r="E5979" s="166" t="s">
        <v>14157</v>
      </c>
    </row>
    <row r="5980" spans="1:5">
      <c r="A5980" s="165">
        <v>85102</v>
      </c>
      <c r="B5980" s="165">
        <v>0</v>
      </c>
      <c r="C5980" s="165" t="s">
        <v>14058</v>
      </c>
      <c r="D5980" s="165" t="s">
        <v>13358</v>
      </c>
      <c r="E5980" s="166" t="s">
        <v>13972</v>
      </c>
    </row>
    <row r="5981" spans="1:5">
      <c r="A5981" s="165">
        <v>85103</v>
      </c>
      <c r="B5981" s="165">
        <v>0</v>
      </c>
      <c r="C5981" s="165" t="s">
        <v>14235</v>
      </c>
      <c r="D5981" s="165" t="s">
        <v>13359</v>
      </c>
      <c r="E5981" s="166" t="s">
        <v>14158</v>
      </c>
    </row>
    <row r="5982" spans="1:5">
      <c r="A5982" s="165">
        <v>85104</v>
      </c>
      <c r="B5982" s="165">
        <v>0</v>
      </c>
      <c r="C5982" s="165" t="s">
        <v>14236</v>
      </c>
      <c r="D5982" s="165" t="s">
        <v>13360</v>
      </c>
      <c r="E5982" s="166" t="s">
        <v>14159</v>
      </c>
    </row>
    <row r="5983" spans="1:5">
      <c r="A5983" s="165">
        <v>85105</v>
      </c>
      <c r="B5983" s="165">
        <v>0</v>
      </c>
      <c r="C5983" s="165" t="s">
        <v>13867</v>
      </c>
      <c r="D5983" s="165" t="s">
        <v>13361</v>
      </c>
      <c r="E5983" s="166" t="s">
        <v>13749</v>
      </c>
    </row>
    <row r="5984" spans="1:5">
      <c r="A5984" s="165">
        <v>85106</v>
      </c>
      <c r="B5984" s="165">
        <v>0</v>
      </c>
      <c r="C5984" s="165" t="s">
        <v>14237</v>
      </c>
      <c r="D5984" s="165" t="s">
        <v>13362</v>
      </c>
      <c r="E5984" s="166" t="s">
        <v>14160</v>
      </c>
    </row>
    <row r="5985" spans="1:5">
      <c r="A5985" s="165">
        <v>85107</v>
      </c>
      <c r="B5985" s="165">
        <v>0</v>
      </c>
      <c r="C5985" s="165" t="s">
        <v>14238</v>
      </c>
      <c r="D5985" s="165" t="s">
        <v>13363</v>
      </c>
      <c r="E5985" s="166" t="s">
        <v>14161</v>
      </c>
    </row>
    <row r="5986" spans="1:5">
      <c r="A5986" s="165">
        <v>85108</v>
      </c>
      <c r="B5986" s="165">
        <v>0</v>
      </c>
      <c r="C5986" s="165" t="s">
        <v>14063</v>
      </c>
      <c r="D5986" s="165" t="s">
        <v>13364</v>
      </c>
      <c r="E5986" s="166" t="s">
        <v>13977</v>
      </c>
    </row>
    <row r="5987" spans="1:5">
      <c r="A5987" s="165">
        <v>85109</v>
      </c>
      <c r="B5987" s="165">
        <v>0</v>
      </c>
      <c r="C5987" s="165" t="s">
        <v>14239</v>
      </c>
      <c r="D5987" s="165" t="s">
        <v>13365</v>
      </c>
      <c r="E5987" s="166" t="s">
        <v>14162</v>
      </c>
    </row>
    <row r="5988" spans="1:5">
      <c r="A5988" s="165">
        <v>85110</v>
      </c>
      <c r="B5988" s="165">
        <v>0</v>
      </c>
      <c r="C5988" s="165" t="s">
        <v>14240</v>
      </c>
      <c r="D5988" s="165" t="s">
        <v>13366</v>
      </c>
      <c r="E5988" s="166" t="s">
        <v>14163</v>
      </c>
    </row>
    <row r="5989" spans="1:5">
      <c r="A5989" s="165">
        <v>85111</v>
      </c>
      <c r="B5989" s="165">
        <v>0</v>
      </c>
      <c r="C5989" s="165" t="s">
        <v>14241</v>
      </c>
      <c r="D5989" s="165" t="s">
        <v>13367</v>
      </c>
      <c r="E5989" s="166" t="s">
        <v>14164</v>
      </c>
    </row>
    <row r="5990" spans="1:5">
      <c r="A5990" s="165">
        <v>85112</v>
      </c>
      <c r="B5990" s="165">
        <v>0</v>
      </c>
      <c r="C5990" s="165" t="s">
        <v>13872</v>
      </c>
      <c r="D5990" s="165" t="s">
        <v>13368</v>
      </c>
      <c r="E5990" s="166" t="s">
        <v>13754</v>
      </c>
    </row>
    <row r="5991" spans="1:5">
      <c r="A5991" s="165">
        <v>85113</v>
      </c>
      <c r="B5991" s="165">
        <v>0</v>
      </c>
      <c r="C5991" s="165" t="s">
        <v>14242</v>
      </c>
      <c r="D5991" s="165" t="s">
        <v>13369</v>
      </c>
      <c r="E5991" s="166" t="s">
        <v>14165</v>
      </c>
    </row>
    <row r="5992" spans="1:5">
      <c r="A5992" s="165">
        <v>85114</v>
      </c>
      <c r="B5992" s="165">
        <v>0</v>
      </c>
      <c r="C5992" s="165" t="s">
        <v>14067</v>
      </c>
      <c r="D5992" s="165" t="s">
        <v>13370</v>
      </c>
      <c r="E5992" s="166" t="s">
        <v>13981</v>
      </c>
    </row>
    <row r="5993" spans="1:5">
      <c r="A5993" s="165">
        <v>85115</v>
      </c>
      <c r="B5993" s="165">
        <v>0</v>
      </c>
      <c r="C5993" s="165" t="s">
        <v>14243</v>
      </c>
      <c r="D5993" s="165" t="s">
        <v>13371</v>
      </c>
      <c r="E5993" s="166" t="s">
        <v>14166</v>
      </c>
    </row>
    <row r="5994" spans="1:5">
      <c r="A5994" s="165">
        <v>85116</v>
      </c>
      <c r="B5994" s="165">
        <v>0</v>
      </c>
      <c r="C5994" s="165" t="s">
        <v>14244</v>
      </c>
      <c r="D5994" s="165" t="s">
        <v>13372</v>
      </c>
      <c r="E5994" s="166" t="s">
        <v>14167</v>
      </c>
    </row>
    <row r="5995" spans="1:5">
      <c r="A5995" s="165">
        <v>85117</v>
      </c>
      <c r="B5995" s="165">
        <v>0</v>
      </c>
      <c r="C5995" s="165" t="s">
        <v>14245</v>
      </c>
      <c r="D5995" s="165" t="s">
        <v>13373</v>
      </c>
      <c r="E5995" s="166" t="s">
        <v>14168</v>
      </c>
    </row>
    <row r="5996" spans="1:5">
      <c r="A5996" s="165">
        <v>85118</v>
      </c>
      <c r="B5996" s="165">
        <v>0</v>
      </c>
      <c r="C5996" s="165" t="s">
        <v>14246</v>
      </c>
      <c r="D5996" s="165" t="s">
        <v>13374</v>
      </c>
      <c r="E5996" s="166" t="s">
        <v>14169</v>
      </c>
    </row>
    <row r="5997" spans="1:5">
      <c r="A5997" s="165">
        <v>85119</v>
      </c>
      <c r="B5997" s="165">
        <v>0</v>
      </c>
      <c r="C5997" s="165" t="s">
        <v>13877</v>
      </c>
      <c r="D5997" s="165" t="s">
        <v>13375</v>
      </c>
      <c r="E5997" s="166" t="s">
        <v>13759</v>
      </c>
    </row>
    <row r="5998" spans="1:5">
      <c r="A5998" s="165">
        <v>85120</v>
      </c>
      <c r="B5998" s="165">
        <v>0</v>
      </c>
      <c r="C5998" s="165" t="s">
        <v>14071</v>
      </c>
      <c r="D5998" s="165" t="s">
        <v>13376</v>
      </c>
      <c r="E5998" s="166" t="s">
        <v>13985</v>
      </c>
    </row>
    <row r="5999" spans="1:5">
      <c r="A5999" s="165">
        <v>85121</v>
      </c>
      <c r="B5999" s="165">
        <v>0</v>
      </c>
      <c r="C5999" s="165" t="s">
        <v>14247</v>
      </c>
      <c r="D5999" s="165" t="s">
        <v>13377</v>
      </c>
      <c r="E5999" s="166" t="s">
        <v>14170</v>
      </c>
    </row>
    <row r="6000" spans="1:5">
      <c r="A6000" s="165">
        <v>85122</v>
      </c>
      <c r="B6000" s="165">
        <v>0</v>
      </c>
      <c r="C6000" s="165" t="s">
        <v>14248</v>
      </c>
      <c r="D6000" s="165" t="s">
        <v>13378</v>
      </c>
      <c r="E6000" s="166" t="s">
        <v>14171</v>
      </c>
    </row>
    <row r="6001" spans="1:5">
      <c r="A6001" s="165">
        <v>85123</v>
      </c>
      <c r="B6001" s="165">
        <v>0</v>
      </c>
      <c r="C6001" s="165" t="s">
        <v>14249</v>
      </c>
      <c r="D6001" s="165" t="s">
        <v>13379</v>
      </c>
      <c r="E6001" s="166" t="s">
        <v>14172</v>
      </c>
    </row>
    <row r="6002" spans="1:5">
      <c r="A6002" s="165">
        <v>85124</v>
      </c>
      <c r="B6002" s="165">
        <v>0</v>
      </c>
      <c r="C6002" s="165" t="s">
        <v>14250</v>
      </c>
      <c r="D6002" s="165" t="s">
        <v>13380</v>
      </c>
      <c r="E6002" s="166" t="s">
        <v>14173</v>
      </c>
    </row>
    <row r="6003" spans="1:5">
      <c r="A6003" s="165">
        <v>85125</v>
      </c>
      <c r="B6003" s="165">
        <v>0</v>
      </c>
      <c r="C6003" s="165" t="s">
        <v>14251</v>
      </c>
      <c r="D6003" s="165" t="s">
        <v>13381</v>
      </c>
      <c r="E6003" s="166" t="s">
        <v>14174</v>
      </c>
    </row>
    <row r="6004" spans="1:5">
      <c r="A6004" s="165">
        <v>85126</v>
      </c>
      <c r="B6004" s="165">
        <v>0</v>
      </c>
      <c r="C6004" s="165" t="s">
        <v>13882</v>
      </c>
      <c r="D6004" s="165" t="s">
        <v>13382</v>
      </c>
      <c r="E6004" s="166" t="s">
        <v>13764</v>
      </c>
    </row>
    <row r="6005" spans="1:5">
      <c r="A6005" s="165">
        <v>85127</v>
      </c>
      <c r="B6005" s="165">
        <v>0</v>
      </c>
      <c r="C6005" s="165" t="s">
        <v>14252</v>
      </c>
      <c r="D6005" s="165" t="s">
        <v>13383</v>
      </c>
      <c r="E6005" s="166" t="s">
        <v>14175</v>
      </c>
    </row>
    <row r="6006" spans="1:5">
      <c r="A6006" s="165">
        <v>85128</v>
      </c>
      <c r="B6006" s="165">
        <v>0</v>
      </c>
      <c r="C6006" s="165" t="s">
        <v>14253</v>
      </c>
      <c r="D6006" s="165" t="s">
        <v>13384</v>
      </c>
      <c r="E6006" s="166" t="s">
        <v>14176</v>
      </c>
    </row>
    <row r="6007" spans="1:5">
      <c r="A6007" s="165">
        <v>85129</v>
      </c>
      <c r="B6007" s="165">
        <v>0</v>
      </c>
      <c r="C6007" s="165" t="s">
        <v>14254</v>
      </c>
      <c r="D6007" s="165" t="s">
        <v>13385</v>
      </c>
      <c r="E6007" s="166" t="s">
        <v>14177</v>
      </c>
    </row>
    <row r="6008" spans="1:5">
      <c r="A6008" s="165">
        <v>85130</v>
      </c>
      <c r="B6008" s="165">
        <v>0</v>
      </c>
      <c r="C6008" s="165" t="s">
        <v>14255</v>
      </c>
      <c r="D6008" s="165" t="s">
        <v>13386</v>
      </c>
      <c r="E6008" s="166" t="s">
        <v>14178</v>
      </c>
    </row>
    <row r="6009" spans="1:5">
      <c r="A6009" s="165">
        <v>85131</v>
      </c>
      <c r="B6009" s="165">
        <v>0</v>
      </c>
      <c r="C6009" s="165" t="s">
        <v>14256</v>
      </c>
      <c r="D6009" s="165" t="s">
        <v>13387</v>
      </c>
      <c r="E6009" s="166" t="s">
        <v>14179</v>
      </c>
    </row>
    <row r="6010" spans="1:5">
      <c r="A6010" s="165">
        <v>85132</v>
      </c>
      <c r="B6010" s="165">
        <v>0</v>
      </c>
      <c r="C6010" s="165" t="s">
        <v>14080</v>
      </c>
      <c r="D6010" s="165" t="s">
        <v>13388</v>
      </c>
      <c r="E6010" s="166" t="s">
        <v>13994</v>
      </c>
    </row>
    <row r="6011" spans="1:5">
      <c r="A6011" s="165">
        <v>85133</v>
      </c>
      <c r="B6011" s="165">
        <v>0</v>
      </c>
      <c r="C6011" s="165" t="s">
        <v>13887</v>
      </c>
      <c r="D6011" s="165" t="s">
        <v>13389</v>
      </c>
      <c r="E6011" s="166" t="s">
        <v>13769</v>
      </c>
    </row>
    <row r="6012" spans="1:5">
      <c r="A6012" s="165">
        <v>85134</v>
      </c>
      <c r="B6012" s="165">
        <v>0</v>
      </c>
      <c r="C6012" s="165" t="s">
        <v>14257</v>
      </c>
      <c r="D6012" s="165" t="s">
        <v>13390</v>
      </c>
      <c r="E6012" s="166" t="s">
        <v>14180</v>
      </c>
    </row>
    <row r="6013" spans="1:5">
      <c r="A6013" s="165">
        <v>85135</v>
      </c>
      <c r="B6013" s="165">
        <v>0</v>
      </c>
      <c r="C6013" s="165" t="s">
        <v>14258</v>
      </c>
      <c r="D6013" s="165" t="s">
        <v>13391</v>
      </c>
      <c r="E6013" s="166" t="s">
        <v>14181</v>
      </c>
    </row>
    <row r="6014" spans="1:5">
      <c r="A6014" s="165">
        <v>85136</v>
      </c>
      <c r="B6014" s="165">
        <v>0</v>
      </c>
      <c r="C6014" s="165" t="s">
        <v>14259</v>
      </c>
      <c r="D6014" s="165" t="s">
        <v>13392</v>
      </c>
      <c r="E6014" s="166" t="s">
        <v>14182</v>
      </c>
    </row>
    <row r="6015" spans="1:5">
      <c r="A6015" s="165">
        <v>85137</v>
      </c>
      <c r="B6015" s="165">
        <v>0</v>
      </c>
      <c r="C6015" s="165" t="s">
        <v>14260</v>
      </c>
      <c r="D6015" s="165" t="s">
        <v>13393</v>
      </c>
      <c r="E6015" s="166" t="s">
        <v>14183</v>
      </c>
    </row>
    <row r="6016" spans="1:5">
      <c r="A6016" s="165">
        <v>85138</v>
      </c>
      <c r="B6016" s="165">
        <v>0</v>
      </c>
      <c r="C6016" s="165" t="s">
        <v>14084</v>
      </c>
      <c r="D6016" s="165" t="s">
        <v>13394</v>
      </c>
      <c r="E6016" s="166" t="s">
        <v>13998</v>
      </c>
    </row>
    <row r="6017" spans="1:5">
      <c r="A6017" s="165">
        <v>85139</v>
      </c>
      <c r="B6017" s="165">
        <v>0</v>
      </c>
      <c r="C6017" s="165" t="s">
        <v>14261</v>
      </c>
      <c r="D6017" s="165" t="s">
        <v>13395</v>
      </c>
      <c r="E6017" s="166" t="s">
        <v>14184</v>
      </c>
    </row>
    <row r="6018" spans="1:5">
      <c r="A6018" s="165">
        <v>85140</v>
      </c>
      <c r="B6018" s="165">
        <v>0</v>
      </c>
      <c r="C6018" s="165" t="s">
        <v>13892</v>
      </c>
      <c r="D6018" s="165" t="s">
        <v>13396</v>
      </c>
      <c r="E6018" s="166" t="s">
        <v>13774</v>
      </c>
    </row>
    <row r="6019" spans="1:5">
      <c r="A6019" s="165">
        <v>85141</v>
      </c>
      <c r="B6019" s="165">
        <v>0</v>
      </c>
      <c r="C6019" s="165" t="s">
        <v>14262</v>
      </c>
      <c r="D6019" s="165" t="s">
        <v>13397</v>
      </c>
      <c r="E6019" s="166" t="s">
        <v>14185</v>
      </c>
    </row>
    <row r="6020" spans="1:5">
      <c r="A6020" s="165">
        <v>85142</v>
      </c>
      <c r="B6020" s="165">
        <v>0</v>
      </c>
      <c r="C6020" s="165" t="s">
        <v>14263</v>
      </c>
      <c r="D6020" s="165" t="s">
        <v>13398</v>
      </c>
      <c r="E6020" s="166" t="s">
        <v>14186</v>
      </c>
    </row>
    <row r="6021" spans="1:5">
      <c r="A6021" s="165">
        <v>85143</v>
      </c>
      <c r="B6021" s="165">
        <v>0</v>
      </c>
      <c r="C6021" s="165" t="s">
        <v>14264</v>
      </c>
      <c r="D6021" s="165" t="s">
        <v>13399</v>
      </c>
      <c r="E6021" s="166" t="s">
        <v>14187</v>
      </c>
    </row>
    <row r="6022" spans="1:5">
      <c r="A6022" s="165">
        <v>85144</v>
      </c>
      <c r="B6022" s="165">
        <v>0</v>
      </c>
      <c r="C6022" s="165" t="s">
        <v>14088</v>
      </c>
      <c r="D6022" s="165" t="s">
        <v>13400</v>
      </c>
      <c r="E6022" s="166" t="s">
        <v>14002</v>
      </c>
    </row>
    <row r="6023" spans="1:5">
      <c r="A6023" s="165">
        <v>85145</v>
      </c>
      <c r="B6023" s="165">
        <v>0</v>
      </c>
      <c r="C6023" s="165" t="s">
        <v>14265</v>
      </c>
      <c r="D6023" s="165" t="s">
        <v>13401</v>
      </c>
      <c r="E6023" s="166" t="s">
        <v>14188</v>
      </c>
    </row>
    <row r="6024" spans="1:5">
      <c r="A6024" s="165">
        <v>85146</v>
      </c>
      <c r="B6024" s="165">
        <v>0</v>
      </c>
      <c r="C6024" s="165" t="s">
        <v>14266</v>
      </c>
      <c r="D6024" s="165" t="s">
        <v>13402</v>
      </c>
      <c r="E6024" s="166" t="s">
        <v>14189</v>
      </c>
    </row>
    <row r="6025" spans="1:5">
      <c r="A6025" s="165">
        <v>85147</v>
      </c>
      <c r="B6025" s="165">
        <v>0</v>
      </c>
      <c r="C6025" s="165" t="s">
        <v>13897</v>
      </c>
      <c r="D6025" s="165" t="s">
        <v>13403</v>
      </c>
      <c r="E6025" s="166" t="s">
        <v>13779</v>
      </c>
    </row>
    <row r="6026" spans="1:5">
      <c r="A6026" s="165">
        <v>85148</v>
      </c>
      <c r="B6026" s="165">
        <v>0</v>
      </c>
      <c r="C6026" s="165" t="s">
        <v>14267</v>
      </c>
      <c r="D6026" s="165" t="s">
        <v>13404</v>
      </c>
      <c r="E6026" s="166" t="s">
        <v>14190</v>
      </c>
    </row>
    <row r="6027" spans="1:5">
      <c r="A6027" s="165">
        <v>85149</v>
      </c>
      <c r="B6027" s="165">
        <v>0</v>
      </c>
      <c r="C6027" s="165" t="s">
        <v>14268</v>
      </c>
      <c r="D6027" s="165" t="s">
        <v>13405</v>
      </c>
      <c r="E6027" s="166" t="s">
        <v>14191</v>
      </c>
    </row>
    <row r="6028" spans="1:5">
      <c r="A6028" s="165">
        <v>85150</v>
      </c>
      <c r="B6028" s="165">
        <v>0</v>
      </c>
      <c r="C6028" s="165" t="s">
        <v>14093</v>
      </c>
      <c r="D6028" s="165" t="s">
        <v>13406</v>
      </c>
      <c r="E6028" s="166" t="s">
        <v>14007</v>
      </c>
    </row>
    <row r="6029" spans="1:5">
      <c r="A6029" s="22">
        <v>86001</v>
      </c>
      <c r="B6029" s="22">
        <v>0</v>
      </c>
      <c r="C6029" s="22" t="s">
        <v>9615</v>
      </c>
      <c r="D6029" s="22" t="s">
        <v>13407</v>
      </c>
      <c r="E6029" s="24" t="s">
        <v>9465</v>
      </c>
    </row>
    <row r="6030" spans="1:5">
      <c r="A6030" s="22">
        <v>86002</v>
      </c>
      <c r="B6030" s="22">
        <v>0</v>
      </c>
      <c r="C6030" s="22" t="s">
        <v>9621</v>
      </c>
      <c r="D6030" s="22" t="s">
        <v>13408</v>
      </c>
      <c r="E6030" s="24" t="s">
        <v>9471</v>
      </c>
    </row>
    <row r="6031" spans="1:5">
      <c r="A6031" s="22">
        <v>86003</v>
      </c>
      <c r="B6031" s="22">
        <v>0</v>
      </c>
      <c r="C6031" s="22" t="s">
        <v>9627</v>
      </c>
      <c r="D6031" s="22" t="s">
        <v>13409</v>
      </c>
      <c r="E6031" s="24" t="s">
        <v>9477</v>
      </c>
    </row>
    <row r="6032" spans="1:5">
      <c r="A6032" s="22">
        <v>86004</v>
      </c>
      <c r="B6032" s="22">
        <v>0</v>
      </c>
      <c r="C6032" s="22" t="s">
        <v>9633</v>
      </c>
      <c r="D6032" s="22" t="s">
        <v>13410</v>
      </c>
      <c r="E6032" s="24" t="s">
        <v>9483</v>
      </c>
    </row>
    <row r="6033" spans="1:5">
      <c r="A6033" s="22">
        <v>86005</v>
      </c>
      <c r="B6033" s="22">
        <v>0</v>
      </c>
      <c r="C6033" s="22" t="s">
        <v>9639</v>
      </c>
      <c r="D6033" s="22" t="s">
        <v>13411</v>
      </c>
      <c r="E6033" s="24" t="s">
        <v>9489</v>
      </c>
    </row>
    <row r="6034" spans="1:5">
      <c r="A6034" s="22">
        <v>86006</v>
      </c>
      <c r="B6034" s="22">
        <v>0</v>
      </c>
      <c r="C6034" s="22" t="s">
        <v>9645</v>
      </c>
      <c r="D6034" s="22" t="s">
        <v>13412</v>
      </c>
      <c r="E6034" s="24" t="s">
        <v>9495</v>
      </c>
    </row>
    <row r="6035" spans="1:5">
      <c r="A6035" s="22">
        <v>86007</v>
      </c>
      <c r="B6035" s="22">
        <v>0</v>
      </c>
      <c r="C6035" s="22" t="s">
        <v>9651</v>
      </c>
      <c r="D6035" s="22" t="s">
        <v>13413</v>
      </c>
      <c r="E6035" s="24" t="s">
        <v>9501</v>
      </c>
    </row>
    <row r="6036" spans="1:5">
      <c r="A6036" s="22">
        <v>86008</v>
      </c>
      <c r="B6036" s="22">
        <v>0</v>
      </c>
      <c r="C6036" s="22" t="s">
        <v>9657</v>
      </c>
      <c r="D6036" s="22" t="s">
        <v>13414</v>
      </c>
      <c r="E6036" s="24" t="s">
        <v>9507</v>
      </c>
    </row>
    <row r="6037" spans="1:5">
      <c r="A6037" s="22">
        <v>86009</v>
      </c>
      <c r="B6037" s="22">
        <v>0</v>
      </c>
      <c r="C6037" s="22" t="s">
        <v>9663</v>
      </c>
      <c r="D6037" s="22" t="s">
        <v>13415</v>
      </c>
      <c r="E6037" s="24" t="s">
        <v>9513</v>
      </c>
    </row>
    <row r="6038" spans="1:5">
      <c r="A6038" s="22">
        <v>86010</v>
      </c>
      <c r="B6038" s="22">
        <v>0</v>
      </c>
      <c r="C6038" s="22" t="s">
        <v>9669</v>
      </c>
      <c r="D6038" s="22" t="s">
        <v>13416</v>
      </c>
      <c r="E6038" s="24" t="s">
        <v>9519</v>
      </c>
    </row>
    <row r="6039" spans="1:5">
      <c r="A6039" s="22">
        <v>86011</v>
      </c>
      <c r="B6039" s="22">
        <v>0</v>
      </c>
      <c r="C6039" s="22" t="s">
        <v>9675</v>
      </c>
      <c r="D6039" s="22" t="s">
        <v>13417</v>
      </c>
      <c r="E6039" s="24" t="s">
        <v>9525</v>
      </c>
    </row>
    <row r="6040" spans="1:5">
      <c r="A6040" s="22">
        <v>86012</v>
      </c>
      <c r="B6040" s="22">
        <v>0</v>
      </c>
      <c r="C6040" s="22" t="s">
        <v>9681</v>
      </c>
      <c r="D6040" s="22" t="s">
        <v>13418</v>
      </c>
      <c r="E6040" s="24" t="s">
        <v>9531</v>
      </c>
    </row>
    <row r="6041" spans="1:5">
      <c r="A6041" s="22">
        <v>86013</v>
      </c>
      <c r="B6041" s="22">
        <v>0</v>
      </c>
      <c r="C6041" s="22" t="s">
        <v>9687</v>
      </c>
      <c r="D6041" s="22" t="s">
        <v>13419</v>
      </c>
      <c r="E6041" s="24" t="s">
        <v>9537</v>
      </c>
    </row>
    <row r="6042" spans="1:5">
      <c r="A6042" s="22">
        <v>86014</v>
      </c>
      <c r="B6042" s="22">
        <v>0</v>
      </c>
      <c r="C6042" s="22" t="s">
        <v>9693</v>
      </c>
      <c r="D6042" s="22" t="s">
        <v>13420</v>
      </c>
      <c r="E6042" s="24" t="s">
        <v>9543</v>
      </c>
    </row>
    <row r="6043" spans="1:5">
      <c r="A6043" s="22">
        <v>86015</v>
      </c>
      <c r="B6043" s="22">
        <v>0</v>
      </c>
      <c r="C6043" s="22" t="s">
        <v>9699</v>
      </c>
      <c r="D6043" s="22" t="s">
        <v>13421</v>
      </c>
      <c r="E6043" s="24" t="s">
        <v>9549</v>
      </c>
    </row>
    <row r="6044" spans="1:5">
      <c r="A6044" s="22">
        <v>86016</v>
      </c>
      <c r="B6044" s="22">
        <v>0</v>
      </c>
      <c r="C6044" s="22" t="s">
        <v>9705</v>
      </c>
      <c r="D6044" s="22" t="s">
        <v>13422</v>
      </c>
      <c r="E6044" s="24" t="s">
        <v>9555</v>
      </c>
    </row>
    <row r="6045" spans="1:5">
      <c r="A6045" s="22">
        <v>86017</v>
      </c>
      <c r="B6045" s="22">
        <v>0</v>
      </c>
      <c r="C6045" s="22" t="s">
        <v>9711</v>
      </c>
      <c r="D6045" s="22" t="s">
        <v>13423</v>
      </c>
      <c r="E6045" s="24" t="s">
        <v>9561</v>
      </c>
    </row>
    <row r="6046" spans="1:5">
      <c r="A6046" s="22">
        <v>86018</v>
      </c>
      <c r="B6046" s="22">
        <v>0</v>
      </c>
      <c r="C6046" s="22" t="s">
        <v>9717</v>
      </c>
      <c r="D6046" s="22" t="s">
        <v>13424</v>
      </c>
      <c r="E6046" s="24" t="s">
        <v>9567</v>
      </c>
    </row>
    <row r="6047" spans="1:5">
      <c r="A6047" s="22">
        <v>86019</v>
      </c>
      <c r="B6047" s="22">
        <v>0</v>
      </c>
      <c r="C6047" s="22" t="s">
        <v>9723</v>
      </c>
      <c r="D6047" s="22" t="s">
        <v>13425</v>
      </c>
      <c r="E6047" s="24" t="s">
        <v>9573</v>
      </c>
    </row>
    <row r="6048" spans="1:5">
      <c r="A6048" s="22">
        <v>86020</v>
      </c>
      <c r="B6048" s="22">
        <v>0</v>
      </c>
      <c r="C6048" s="22" t="s">
        <v>9729</v>
      </c>
      <c r="D6048" s="22" t="s">
        <v>13426</v>
      </c>
      <c r="E6048" s="24" t="s">
        <v>9579</v>
      </c>
    </row>
    <row r="6049" spans="1:5">
      <c r="A6049" s="22">
        <v>86021</v>
      </c>
      <c r="B6049" s="22">
        <v>0</v>
      </c>
      <c r="C6049" s="22" t="s">
        <v>9735</v>
      </c>
      <c r="D6049" s="22" t="s">
        <v>13427</v>
      </c>
      <c r="E6049" s="24" t="s">
        <v>9585</v>
      </c>
    </row>
    <row r="6050" spans="1:5">
      <c r="A6050" s="22">
        <v>86022</v>
      </c>
      <c r="B6050" s="22">
        <v>0</v>
      </c>
      <c r="C6050" s="22" t="s">
        <v>9741</v>
      </c>
      <c r="D6050" s="22" t="s">
        <v>13428</v>
      </c>
      <c r="E6050" s="24" t="s">
        <v>9591</v>
      </c>
    </row>
    <row r="6051" spans="1:5">
      <c r="A6051" s="22">
        <v>86023</v>
      </c>
      <c r="B6051" s="22">
        <v>0</v>
      </c>
      <c r="C6051" s="22" t="s">
        <v>9747</v>
      </c>
      <c r="D6051" s="22" t="s">
        <v>13429</v>
      </c>
      <c r="E6051" s="24" t="s">
        <v>9597</v>
      </c>
    </row>
    <row r="6052" spans="1:5">
      <c r="A6052" s="22">
        <v>86024</v>
      </c>
      <c r="B6052" s="22">
        <v>0</v>
      </c>
      <c r="C6052" s="22" t="s">
        <v>9753</v>
      </c>
      <c r="D6052" s="22" t="s">
        <v>13430</v>
      </c>
      <c r="E6052" s="24" t="s">
        <v>9603</v>
      </c>
    </row>
    <row r="6053" spans="1:5">
      <c r="A6053" s="22">
        <v>86025</v>
      </c>
      <c r="B6053" s="22">
        <v>0</v>
      </c>
      <c r="C6053" s="22" t="s">
        <v>9759</v>
      </c>
      <c r="D6053" s="22" t="s">
        <v>13431</v>
      </c>
      <c r="E6053" s="24" t="s">
        <v>9609</v>
      </c>
    </row>
    <row r="6054" spans="1:5">
      <c r="A6054" s="22">
        <v>86026</v>
      </c>
      <c r="B6054" s="22">
        <v>0</v>
      </c>
      <c r="C6054" s="22" t="s">
        <v>10162</v>
      </c>
      <c r="D6054" s="22" t="s">
        <v>13432</v>
      </c>
      <c r="E6054" s="24" t="s">
        <v>10237</v>
      </c>
    </row>
    <row r="6055" spans="1:5">
      <c r="A6055" s="22">
        <v>86027</v>
      </c>
      <c r="B6055" s="22">
        <v>0</v>
      </c>
      <c r="C6055" s="22" t="s">
        <v>10165</v>
      </c>
      <c r="D6055" s="22" t="s">
        <v>13433</v>
      </c>
      <c r="E6055" s="24" t="s">
        <v>10240</v>
      </c>
    </row>
    <row r="6056" spans="1:5">
      <c r="A6056" s="22">
        <v>86028</v>
      </c>
      <c r="B6056" s="22">
        <v>0</v>
      </c>
      <c r="C6056" s="22" t="s">
        <v>10168</v>
      </c>
      <c r="D6056" s="22" t="s">
        <v>13434</v>
      </c>
      <c r="E6056" s="24" t="s">
        <v>10243</v>
      </c>
    </row>
    <row r="6057" spans="1:5">
      <c r="A6057" s="22">
        <v>86029</v>
      </c>
      <c r="B6057" s="22">
        <v>0</v>
      </c>
      <c r="C6057" s="22" t="s">
        <v>10171</v>
      </c>
      <c r="D6057" s="22" t="s">
        <v>13435</v>
      </c>
      <c r="E6057" s="24" t="s">
        <v>10246</v>
      </c>
    </row>
    <row r="6058" spans="1:5">
      <c r="A6058" s="22">
        <v>86030</v>
      </c>
      <c r="B6058" s="22">
        <v>0</v>
      </c>
      <c r="C6058" s="22" t="s">
        <v>10174</v>
      </c>
      <c r="D6058" s="22" t="s">
        <v>13436</v>
      </c>
      <c r="E6058" s="24" t="s">
        <v>10249</v>
      </c>
    </row>
    <row r="6059" spans="1:5">
      <c r="A6059" s="22">
        <v>86031</v>
      </c>
      <c r="B6059" s="22">
        <v>0</v>
      </c>
      <c r="C6059" s="22" t="s">
        <v>10177</v>
      </c>
      <c r="D6059" s="22" t="s">
        <v>13437</v>
      </c>
      <c r="E6059" s="24" t="s">
        <v>10252</v>
      </c>
    </row>
    <row r="6060" spans="1:5">
      <c r="A6060" s="22">
        <v>86032</v>
      </c>
      <c r="B6060" s="22">
        <v>0</v>
      </c>
      <c r="C6060" s="22" t="s">
        <v>10180</v>
      </c>
      <c r="D6060" s="22" t="s">
        <v>13438</v>
      </c>
      <c r="E6060" s="24" t="s">
        <v>10255</v>
      </c>
    </row>
    <row r="6061" spans="1:5">
      <c r="A6061" s="22">
        <v>86033</v>
      </c>
      <c r="B6061" s="22">
        <v>0</v>
      </c>
      <c r="C6061" s="22" t="s">
        <v>10183</v>
      </c>
      <c r="D6061" s="22" t="s">
        <v>13439</v>
      </c>
      <c r="E6061" s="24" t="s">
        <v>10258</v>
      </c>
    </row>
    <row r="6062" spans="1:5">
      <c r="A6062" s="22">
        <v>86034</v>
      </c>
      <c r="B6062" s="22">
        <v>0</v>
      </c>
      <c r="C6062" s="22" t="s">
        <v>10186</v>
      </c>
      <c r="D6062" s="22" t="s">
        <v>13440</v>
      </c>
      <c r="E6062" s="24" t="s">
        <v>10261</v>
      </c>
    </row>
    <row r="6063" spans="1:5">
      <c r="A6063" s="22">
        <v>86035</v>
      </c>
      <c r="B6063" s="22">
        <v>0</v>
      </c>
      <c r="C6063" s="22" t="s">
        <v>10189</v>
      </c>
      <c r="D6063" s="22" t="s">
        <v>13441</v>
      </c>
      <c r="E6063" s="24" t="s">
        <v>10264</v>
      </c>
    </row>
    <row r="6064" spans="1:5">
      <c r="A6064" s="22">
        <v>86036</v>
      </c>
      <c r="B6064" s="22">
        <v>0</v>
      </c>
      <c r="C6064" s="22" t="s">
        <v>10192</v>
      </c>
      <c r="D6064" s="22" t="s">
        <v>13442</v>
      </c>
      <c r="E6064" s="24" t="s">
        <v>10267</v>
      </c>
    </row>
    <row r="6065" spans="1:5">
      <c r="A6065" s="22">
        <v>86037</v>
      </c>
      <c r="B6065" s="22">
        <v>0</v>
      </c>
      <c r="C6065" s="22" t="s">
        <v>10195</v>
      </c>
      <c r="D6065" s="22" t="s">
        <v>13443</v>
      </c>
      <c r="E6065" s="24" t="s">
        <v>10270</v>
      </c>
    </row>
    <row r="6066" spans="1:5">
      <c r="A6066" s="22">
        <v>86038</v>
      </c>
      <c r="B6066" s="22">
        <v>0</v>
      </c>
      <c r="C6066" s="22" t="s">
        <v>10198</v>
      </c>
      <c r="D6066" s="22" t="s">
        <v>13444</v>
      </c>
      <c r="E6066" s="24" t="s">
        <v>10273</v>
      </c>
    </row>
    <row r="6067" spans="1:5">
      <c r="A6067" s="22">
        <v>86039</v>
      </c>
      <c r="B6067" s="22">
        <v>0</v>
      </c>
      <c r="C6067" s="22" t="s">
        <v>10201</v>
      </c>
      <c r="D6067" s="22" t="s">
        <v>13445</v>
      </c>
      <c r="E6067" s="24" t="s">
        <v>10276</v>
      </c>
    </row>
    <row r="6068" spans="1:5">
      <c r="A6068" s="22">
        <v>86040</v>
      </c>
      <c r="B6068" s="22">
        <v>0</v>
      </c>
      <c r="C6068" s="22" t="s">
        <v>10204</v>
      </c>
      <c r="D6068" s="22" t="s">
        <v>13446</v>
      </c>
      <c r="E6068" s="24" t="s">
        <v>10279</v>
      </c>
    </row>
    <row r="6069" spans="1:5">
      <c r="A6069" s="22">
        <v>86041</v>
      </c>
      <c r="B6069" s="22">
        <v>0</v>
      </c>
      <c r="C6069" s="22" t="s">
        <v>10207</v>
      </c>
      <c r="D6069" s="22" t="s">
        <v>13447</v>
      </c>
      <c r="E6069" s="24" t="s">
        <v>10282</v>
      </c>
    </row>
    <row r="6070" spans="1:5">
      <c r="A6070" s="22">
        <v>86042</v>
      </c>
      <c r="B6070" s="22">
        <v>0</v>
      </c>
      <c r="C6070" s="22" t="s">
        <v>10210</v>
      </c>
      <c r="D6070" s="22" t="s">
        <v>13448</v>
      </c>
      <c r="E6070" s="24" t="s">
        <v>10285</v>
      </c>
    </row>
    <row r="6071" spans="1:5">
      <c r="A6071" s="22">
        <v>86043</v>
      </c>
      <c r="B6071" s="22">
        <v>0</v>
      </c>
      <c r="C6071" s="22" t="s">
        <v>10213</v>
      </c>
      <c r="D6071" s="22" t="s">
        <v>13449</v>
      </c>
      <c r="E6071" s="24" t="s">
        <v>10288</v>
      </c>
    </row>
    <row r="6072" spans="1:5">
      <c r="A6072" s="22">
        <v>86044</v>
      </c>
      <c r="B6072" s="22">
        <v>0</v>
      </c>
      <c r="C6072" s="22" t="s">
        <v>10216</v>
      </c>
      <c r="D6072" s="22" t="s">
        <v>13450</v>
      </c>
      <c r="E6072" s="24" t="s">
        <v>10291</v>
      </c>
    </row>
    <row r="6073" spans="1:5">
      <c r="A6073" s="22">
        <v>86045</v>
      </c>
      <c r="B6073" s="22">
        <v>0</v>
      </c>
      <c r="C6073" s="22" t="s">
        <v>10219</v>
      </c>
      <c r="D6073" s="22" t="s">
        <v>13451</v>
      </c>
      <c r="E6073" s="24" t="s">
        <v>10294</v>
      </c>
    </row>
    <row r="6074" spans="1:5">
      <c r="A6074" s="22">
        <v>86046</v>
      </c>
      <c r="B6074" s="22">
        <v>0</v>
      </c>
      <c r="C6074" s="22" t="s">
        <v>10222</v>
      </c>
      <c r="D6074" s="22" t="s">
        <v>13452</v>
      </c>
      <c r="E6074" s="24" t="s">
        <v>10297</v>
      </c>
    </row>
    <row r="6075" spans="1:5">
      <c r="A6075" s="22">
        <v>86047</v>
      </c>
      <c r="B6075" s="22">
        <v>0</v>
      </c>
      <c r="C6075" s="22" t="s">
        <v>10225</v>
      </c>
      <c r="D6075" s="22" t="s">
        <v>13453</v>
      </c>
      <c r="E6075" s="24" t="s">
        <v>10300</v>
      </c>
    </row>
    <row r="6076" spans="1:5">
      <c r="A6076" s="22">
        <v>86048</v>
      </c>
      <c r="B6076" s="22">
        <v>0</v>
      </c>
      <c r="C6076" s="22" t="s">
        <v>10228</v>
      </c>
      <c r="D6076" s="22" t="s">
        <v>13454</v>
      </c>
      <c r="E6076" s="24" t="s">
        <v>10303</v>
      </c>
    </row>
    <row r="6077" spans="1:5">
      <c r="A6077" s="22">
        <v>86049</v>
      </c>
      <c r="B6077" s="22">
        <v>0</v>
      </c>
      <c r="C6077" s="22" t="s">
        <v>10231</v>
      </c>
      <c r="D6077" s="22" t="s">
        <v>13455</v>
      </c>
      <c r="E6077" s="24" t="s">
        <v>10306</v>
      </c>
    </row>
    <row r="6078" spans="1:5">
      <c r="A6078" s="22">
        <v>86050</v>
      </c>
      <c r="B6078" s="22">
        <v>0</v>
      </c>
      <c r="C6078" s="22" t="s">
        <v>10234</v>
      </c>
      <c r="D6078" s="22" t="s">
        <v>13456</v>
      </c>
      <c r="E6078" s="24" t="s">
        <v>10309</v>
      </c>
    </row>
    <row r="6079" spans="1:5">
      <c r="A6079" s="22">
        <v>86051</v>
      </c>
      <c r="B6079" s="22">
        <v>0</v>
      </c>
      <c r="C6079" s="22" t="s">
        <v>14029</v>
      </c>
      <c r="D6079" s="22" t="s">
        <v>13457</v>
      </c>
      <c r="E6079" s="24" t="s">
        <v>13943</v>
      </c>
    </row>
    <row r="6080" spans="1:5">
      <c r="A6080" s="22">
        <v>86052</v>
      </c>
      <c r="B6080" s="22">
        <v>0</v>
      </c>
      <c r="C6080" s="22" t="s">
        <v>14030</v>
      </c>
      <c r="D6080" s="22" t="s">
        <v>13458</v>
      </c>
      <c r="E6080" s="24" t="s">
        <v>13944</v>
      </c>
    </row>
    <row r="6081" spans="1:5">
      <c r="A6081" s="22">
        <v>86053</v>
      </c>
      <c r="B6081" s="22">
        <v>0</v>
      </c>
      <c r="C6081" s="22" t="s">
        <v>14031</v>
      </c>
      <c r="D6081" s="22" t="s">
        <v>13459</v>
      </c>
      <c r="E6081" s="24" t="s">
        <v>13945</v>
      </c>
    </row>
    <row r="6082" spans="1:5">
      <c r="A6082" s="22">
        <v>86054</v>
      </c>
      <c r="B6082" s="22">
        <v>0</v>
      </c>
      <c r="C6082" s="22" t="s">
        <v>14032</v>
      </c>
      <c r="D6082" s="22" t="s">
        <v>13460</v>
      </c>
      <c r="E6082" s="24" t="s">
        <v>13946</v>
      </c>
    </row>
    <row r="6083" spans="1:5">
      <c r="A6083" s="22">
        <v>86055</v>
      </c>
      <c r="B6083" s="22">
        <v>0</v>
      </c>
      <c r="C6083" s="22" t="s">
        <v>14033</v>
      </c>
      <c r="D6083" s="22" t="s">
        <v>13461</v>
      </c>
      <c r="E6083" s="24" t="s">
        <v>13947</v>
      </c>
    </row>
    <row r="6084" spans="1:5">
      <c r="A6084" s="22">
        <v>86056</v>
      </c>
      <c r="B6084" s="22">
        <v>0</v>
      </c>
      <c r="C6084" s="22" t="s">
        <v>13840</v>
      </c>
      <c r="D6084" s="22" t="s">
        <v>13462</v>
      </c>
      <c r="E6084" s="24" t="s">
        <v>13722</v>
      </c>
    </row>
    <row r="6085" spans="1:5">
      <c r="A6085" s="22">
        <v>86057</v>
      </c>
      <c r="B6085" s="22">
        <v>0</v>
      </c>
      <c r="C6085" s="22" t="s">
        <v>14034</v>
      </c>
      <c r="D6085" s="22" t="s">
        <v>13463</v>
      </c>
      <c r="E6085" s="24" t="s">
        <v>13948</v>
      </c>
    </row>
    <row r="6086" spans="1:5">
      <c r="A6086" s="22">
        <v>86058</v>
      </c>
      <c r="B6086" s="22">
        <v>0</v>
      </c>
      <c r="C6086" s="22" t="s">
        <v>14035</v>
      </c>
      <c r="D6086" s="22" t="s">
        <v>13464</v>
      </c>
      <c r="E6086" s="24" t="s">
        <v>13949</v>
      </c>
    </row>
    <row r="6087" spans="1:5">
      <c r="A6087" s="22">
        <v>86059</v>
      </c>
      <c r="B6087" s="22">
        <v>0</v>
      </c>
      <c r="C6087" s="22" t="s">
        <v>14036</v>
      </c>
      <c r="D6087" s="22" t="s">
        <v>13465</v>
      </c>
      <c r="E6087" s="24" t="s">
        <v>13950</v>
      </c>
    </row>
    <row r="6088" spans="1:5">
      <c r="A6088" s="22">
        <v>86060</v>
      </c>
      <c r="B6088" s="22">
        <v>0</v>
      </c>
      <c r="C6088" s="22" t="s">
        <v>14037</v>
      </c>
      <c r="D6088" s="22" t="s">
        <v>13466</v>
      </c>
      <c r="E6088" s="24" t="s">
        <v>13951</v>
      </c>
    </row>
    <row r="6089" spans="1:5">
      <c r="A6089" s="22">
        <v>86061</v>
      </c>
      <c r="B6089" s="22">
        <v>0</v>
      </c>
      <c r="C6089" s="22" t="s">
        <v>14038</v>
      </c>
      <c r="D6089" s="22" t="s">
        <v>13467</v>
      </c>
      <c r="E6089" s="24" t="s">
        <v>13952</v>
      </c>
    </row>
    <row r="6090" spans="1:5">
      <c r="A6090" s="22">
        <v>86062</v>
      </c>
      <c r="B6090" s="22">
        <v>0</v>
      </c>
      <c r="C6090" s="22" t="s">
        <v>14039</v>
      </c>
      <c r="D6090" s="22" t="s">
        <v>13468</v>
      </c>
      <c r="E6090" s="24" t="s">
        <v>13953</v>
      </c>
    </row>
    <row r="6091" spans="1:5">
      <c r="A6091" s="22">
        <v>86063</v>
      </c>
      <c r="B6091" s="22">
        <v>0</v>
      </c>
      <c r="C6091" s="22" t="s">
        <v>13846</v>
      </c>
      <c r="D6091" s="22" t="s">
        <v>13469</v>
      </c>
      <c r="E6091" s="24" t="s">
        <v>13728</v>
      </c>
    </row>
    <row r="6092" spans="1:5">
      <c r="A6092" s="22">
        <v>86064</v>
      </c>
      <c r="B6092" s="22">
        <v>0</v>
      </c>
      <c r="C6092" s="22" t="s">
        <v>14040</v>
      </c>
      <c r="D6092" s="22" t="s">
        <v>13470</v>
      </c>
      <c r="E6092" s="24" t="s">
        <v>13954</v>
      </c>
    </row>
    <row r="6093" spans="1:5">
      <c r="A6093" s="22">
        <v>86065</v>
      </c>
      <c r="B6093" s="22">
        <v>0</v>
      </c>
      <c r="C6093" s="22" t="s">
        <v>14041</v>
      </c>
      <c r="D6093" s="22" t="s">
        <v>13471</v>
      </c>
      <c r="E6093" s="24" t="s">
        <v>13955</v>
      </c>
    </row>
    <row r="6094" spans="1:5">
      <c r="A6094" s="22">
        <v>86066</v>
      </c>
      <c r="B6094" s="22">
        <v>0</v>
      </c>
      <c r="C6094" s="22" t="s">
        <v>14042</v>
      </c>
      <c r="D6094" s="22" t="s">
        <v>13472</v>
      </c>
      <c r="E6094" s="24" t="s">
        <v>13956</v>
      </c>
    </row>
    <row r="6095" spans="1:5">
      <c r="A6095" s="22">
        <v>86067</v>
      </c>
      <c r="B6095" s="22">
        <v>0</v>
      </c>
      <c r="C6095" s="22" t="s">
        <v>14043</v>
      </c>
      <c r="D6095" s="22" t="s">
        <v>13473</v>
      </c>
      <c r="E6095" s="24" t="s">
        <v>13957</v>
      </c>
    </row>
    <row r="6096" spans="1:5">
      <c r="A6096" s="22">
        <v>86068</v>
      </c>
      <c r="B6096" s="22">
        <v>0</v>
      </c>
      <c r="C6096" s="22" t="s">
        <v>14044</v>
      </c>
      <c r="D6096" s="22" t="s">
        <v>13474</v>
      </c>
      <c r="E6096" s="24" t="s">
        <v>13958</v>
      </c>
    </row>
    <row r="6097" spans="1:5">
      <c r="A6097" s="22">
        <v>86069</v>
      </c>
      <c r="B6097" s="22">
        <v>0</v>
      </c>
      <c r="C6097" s="22" t="s">
        <v>14045</v>
      </c>
      <c r="D6097" s="22" t="s">
        <v>13475</v>
      </c>
      <c r="E6097" s="24" t="s">
        <v>13959</v>
      </c>
    </row>
    <row r="6098" spans="1:5">
      <c r="A6098" s="22">
        <v>86070</v>
      </c>
      <c r="B6098" s="22">
        <v>0</v>
      </c>
      <c r="C6098" s="22" t="s">
        <v>13852</v>
      </c>
      <c r="D6098" s="22" t="s">
        <v>13476</v>
      </c>
      <c r="E6098" s="24" t="s">
        <v>13734</v>
      </c>
    </row>
    <row r="6099" spans="1:5">
      <c r="A6099" s="22">
        <v>86071</v>
      </c>
      <c r="B6099" s="22">
        <v>0</v>
      </c>
      <c r="C6099" s="22" t="s">
        <v>14046</v>
      </c>
      <c r="D6099" s="22" t="s">
        <v>13477</v>
      </c>
      <c r="E6099" s="24" t="s">
        <v>13960</v>
      </c>
    </row>
    <row r="6100" spans="1:5">
      <c r="A6100" s="22">
        <v>86072</v>
      </c>
      <c r="B6100" s="22">
        <v>0</v>
      </c>
      <c r="C6100" s="22" t="s">
        <v>14047</v>
      </c>
      <c r="D6100" s="22" t="s">
        <v>13478</v>
      </c>
      <c r="E6100" s="24" t="s">
        <v>13961</v>
      </c>
    </row>
    <row r="6101" spans="1:5">
      <c r="A6101" s="22">
        <v>86073</v>
      </c>
      <c r="B6101" s="22">
        <v>0</v>
      </c>
      <c r="C6101" s="22" t="s">
        <v>14048</v>
      </c>
      <c r="D6101" s="22" t="s">
        <v>13479</v>
      </c>
      <c r="E6101" s="24" t="s">
        <v>13962</v>
      </c>
    </row>
    <row r="6102" spans="1:5">
      <c r="A6102" s="22">
        <v>86074</v>
      </c>
      <c r="B6102" s="22">
        <v>0</v>
      </c>
      <c r="C6102" s="22" t="s">
        <v>14049</v>
      </c>
      <c r="D6102" s="22" t="s">
        <v>13480</v>
      </c>
      <c r="E6102" s="24" t="s">
        <v>13963</v>
      </c>
    </row>
    <row r="6103" spans="1:5">
      <c r="A6103" s="22">
        <v>86075</v>
      </c>
      <c r="B6103" s="22">
        <v>0</v>
      </c>
      <c r="C6103" s="22" t="s">
        <v>14050</v>
      </c>
      <c r="D6103" s="22" t="s">
        <v>13481</v>
      </c>
      <c r="E6103" s="24" t="s">
        <v>13964</v>
      </c>
    </row>
    <row r="6104" spans="1:5">
      <c r="A6104" s="22">
        <v>86076</v>
      </c>
      <c r="B6104" s="22">
        <v>0</v>
      </c>
      <c r="C6104" s="22" t="s">
        <v>14051</v>
      </c>
      <c r="D6104" s="22" t="s">
        <v>13482</v>
      </c>
      <c r="E6104" s="24" t="s">
        <v>13965</v>
      </c>
    </row>
    <row r="6105" spans="1:5">
      <c r="A6105" s="22">
        <v>86077</v>
      </c>
      <c r="B6105" s="22">
        <v>0</v>
      </c>
      <c r="C6105" s="22" t="s">
        <v>13858</v>
      </c>
      <c r="D6105" s="22" t="s">
        <v>13483</v>
      </c>
      <c r="E6105" s="24" t="s">
        <v>13740</v>
      </c>
    </row>
    <row r="6106" spans="1:5">
      <c r="A6106" s="22">
        <v>86078</v>
      </c>
      <c r="B6106" s="22">
        <v>0</v>
      </c>
      <c r="C6106" s="22" t="s">
        <v>14052</v>
      </c>
      <c r="D6106" s="22" t="s">
        <v>13484</v>
      </c>
      <c r="E6106" s="24" t="s">
        <v>13966</v>
      </c>
    </row>
    <row r="6107" spans="1:5">
      <c r="A6107" s="22">
        <v>86079</v>
      </c>
      <c r="B6107" s="22">
        <v>0</v>
      </c>
      <c r="C6107" s="22" t="s">
        <v>14053</v>
      </c>
      <c r="D6107" s="22" t="s">
        <v>13485</v>
      </c>
      <c r="E6107" s="24" t="s">
        <v>13967</v>
      </c>
    </row>
    <row r="6108" spans="1:5">
      <c r="A6108" s="22">
        <v>86080</v>
      </c>
      <c r="B6108" s="22">
        <v>0</v>
      </c>
      <c r="C6108" s="22" t="s">
        <v>14054</v>
      </c>
      <c r="D6108" s="22" t="s">
        <v>13486</v>
      </c>
      <c r="E6108" s="24" t="s">
        <v>13968</v>
      </c>
    </row>
    <row r="6109" spans="1:5">
      <c r="A6109" s="22">
        <v>86081</v>
      </c>
      <c r="B6109" s="22">
        <v>0</v>
      </c>
      <c r="C6109" s="22" t="s">
        <v>14055</v>
      </c>
      <c r="D6109" s="22" t="s">
        <v>13487</v>
      </c>
      <c r="E6109" s="24" t="s">
        <v>13969</v>
      </c>
    </row>
    <row r="6110" spans="1:5">
      <c r="A6110" s="22">
        <v>86082</v>
      </c>
      <c r="B6110" s="22">
        <v>0</v>
      </c>
      <c r="C6110" s="22" t="s">
        <v>14056</v>
      </c>
      <c r="D6110" s="22" t="s">
        <v>13488</v>
      </c>
      <c r="E6110" s="24" t="s">
        <v>13970</v>
      </c>
    </row>
    <row r="6111" spans="1:5">
      <c r="A6111" s="22">
        <v>86083</v>
      </c>
      <c r="B6111" s="22">
        <v>0</v>
      </c>
      <c r="C6111" s="22" t="s">
        <v>14057</v>
      </c>
      <c r="D6111" s="22" t="s">
        <v>13489</v>
      </c>
      <c r="E6111" s="24" t="s">
        <v>13971</v>
      </c>
    </row>
    <row r="6112" spans="1:5">
      <c r="A6112" s="22">
        <v>86084</v>
      </c>
      <c r="B6112" s="22">
        <v>0</v>
      </c>
      <c r="C6112" s="22" t="s">
        <v>13864</v>
      </c>
      <c r="D6112" s="22" t="s">
        <v>13490</v>
      </c>
      <c r="E6112" s="24" t="s">
        <v>13746</v>
      </c>
    </row>
    <row r="6113" spans="1:5">
      <c r="A6113" s="22">
        <v>86085</v>
      </c>
      <c r="B6113" s="22">
        <v>0</v>
      </c>
      <c r="C6113" s="22" t="s">
        <v>14058</v>
      </c>
      <c r="D6113" s="22" t="s">
        <v>13491</v>
      </c>
      <c r="E6113" s="24" t="s">
        <v>13972</v>
      </c>
    </row>
    <row r="6114" spans="1:5">
      <c r="A6114" s="22">
        <v>86086</v>
      </c>
      <c r="B6114" s="22">
        <v>0</v>
      </c>
      <c r="C6114" s="22" t="s">
        <v>14059</v>
      </c>
      <c r="D6114" s="22" t="s">
        <v>13492</v>
      </c>
      <c r="E6114" s="24" t="s">
        <v>13973</v>
      </c>
    </row>
    <row r="6115" spans="1:5">
      <c r="A6115" s="22">
        <v>86087</v>
      </c>
      <c r="B6115" s="22">
        <v>0</v>
      </c>
      <c r="C6115" s="22" t="s">
        <v>14060</v>
      </c>
      <c r="D6115" s="22" t="s">
        <v>13493</v>
      </c>
      <c r="E6115" s="24" t="s">
        <v>13974</v>
      </c>
    </row>
    <row r="6116" spans="1:5">
      <c r="A6116" s="22">
        <v>86088</v>
      </c>
      <c r="B6116" s="22">
        <v>0</v>
      </c>
      <c r="C6116" s="22" t="s">
        <v>14061</v>
      </c>
      <c r="D6116" s="22" t="s">
        <v>13494</v>
      </c>
      <c r="E6116" s="24" t="s">
        <v>13975</v>
      </c>
    </row>
    <row r="6117" spans="1:5">
      <c r="A6117" s="22">
        <v>86089</v>
      </c>
      <c r="B6117" s="22">
        <v>0</v>
      </c>
      <c r="C6117" s="22" t="s">
        <v>14062</v>
      </c>
      <c r="D6117" s="22" t="s">
        <v>13495</v>
      </c>
      <c r="E6117" s="24" t="s">
        <v>13976</v>
      </c>
    </row>
    <row r="6118" spans="1:5">
      <c r="A6118" s="22">
        <v>86090</v>
      </c>
      <c r="B6118" s="22">
        <v>0</v>
      </c>
      <c r="C6118" s="22" t="s">
        <v>14063</v>
      </c>
      <c r="D6118" s="22" t="s">
        <v>13496</v>
      </c>
      <c r="E6118" s="24" t="s">
        <v>13977</v>
      </c>
    </row>
    <row r="6119" spans="1:5">
      <c r="A6119" s="22">
        <v>86091</v>
      </c>
      <c r="B6119" s="22">
        <v>0</v>
      </c>
      <c r="C6119" s="22" t="s">
        <v>13870</v>
      </c>
      <c r="D6119" s="22" t="s">
        <v>13497</v>
      </c>
      <c r="E6119" s="24" t="s">
        <v>13752</v>
      </c>
    </row>
    <row r="6120" spans="1:5">
      <c r="A6120" s="22">
        <v>86092</v>
      </c>
      <c r="B6120" s="22">
        <v>0</v>
      </c>
      <c r="C6120" s="22" t="s">
        <v>14064</v>
      </c>
      <c r="D6120" s="22" t="s">
        <v>13498</v>
      </c>
      <c r="E6120" s="24" t="s">
        <v>13978</v>
      </c>
    </row>
    <row r="6121" spans="1:5">
      <c r="A6121" s="22">
        <v>86093</v>
      </c>
      <c r="B6121" s="22">
        <v>0</v>
      </c>
      <c r="C6121" s="22" t="s">
        <v>14065</v>
      </c>
      <c r="D6121" s="22" t="s">
        <v>13499</v>
      </c>
      <c r="E6121" s="24" t="s">
        <v>13979</v>
      </c>
    </row>
    <row r="6122" spans="1:5">
      <c r="A6122" s="22">
        <v>86094</v>
      </c>
      <c r="B6122" s="22">
        <v>0</v>
      </c>
      <c r="C6122" s="22" t="s">
        <v>14066</v>
      </c>
      <c r="D6122" s="22" t="s">
        <v>13500</v>
      </c>
      <c r="E6122" s="24" t="s">
        <v>13980</v>
      </c>
    </row>
    <row r="6123" spans="1:5">
      <c r="A6123" s="22">
        <v>86095</v>
      </c>
      <c r="B6123" s="22">
        <v>0</v>
      </c>
      <c r="C6123" s="22" t="s">
        <v>14067</v>
      </c>
      <c r="D6123" s="22" t="s">
        <v>13501</v>
      </c>
      <c r="E6123" s="24" t="s">
        <v>13981</v>
      </c>
    </row>
    <row r="6124" spans="1:5">
      <c r="A6124" s="22">
        <v>86096</v>
      </c>
      <c r="B6124" s="22">
        <v>0</v>
      </c>
      <c r="C6124" s="22" t="s">
        <v>14068</v>
      </c>
      <c r="D6124" s="22" t="s">
        <v>13502</v>
      </c>
      <c r="E6124" s="24" t="s">
        <v>13982</v>
      </c>
    </row>
    <row r="6125" spans="1:5">
      <c r="A6125" s="22">
        <v>86097</v>
      </c>
      <c r="B6125" s="22">
        <v>0</v>
      </c>
      <c r="C6125" s="22" t="s">
        <v>14069</v>
      </c>
      <c r="D6125" s="22" t="s">
        <v>13503</v>
      </c>
      <c r="E6125" s="24" t="s">
        <v>13983</v>
      </c>
    </row>
    <row r="6126" spans="1:5">
      <c r="A6126" s="22">
        <v>86098</v>
      </c>
      <c r="B6126" s="22">
        <v>0</v>
      </c>
      <c r="C6126" s="22" t="s">
        <v>13876</v>
      </c>
      <c r="D6126" s="22" t="s">
        <v>13504</v>
      </c>
      <c r="E6126" s="24" t="s">
        <v>13758</v>
      </c>
    </row>
    <row r="6127" spans="1:5">
      <c r="A6127" s="22">
        <v>86099</v>
      </c>
      <c r="B6127" s="22">
        <v>0</v>
      </c>
      <c r="C6127" s="22" t="s">
        <v>14070</v>
      </c>
      <c r="D6127" s="22" t="s">
        <v>13505</v>
      </c>
      <c r="E6127" s="24" t="s">
        <v>13984</v>
      </c>
    </row>
    <row r="6128" spans="1:5">
      <c r="A6128" s="22">
        <v>86100</v>
      </c>
      <c r="B6128" s="22">
        <v>0</v>
      </c>
      <c r="C6128" s="22" t="s">
        <v>14071</v>
      </c>
      <c r="D6128" s="22" t="s">
        <v>13506</v>
      </c>
      <c r="E6128" s="24" t="s">
        <v>13985</v>
      </c>
    </row>
    <row r="6129" spans="1:5">
      <c r="A6129" s="22">
        <v>86101</v>
      </c>
      <c r="B6129" s="22">
        <v>0</v>
      </c>
      <c r="C6129" s="22" t="s">
        <v>14072</v>
      </c>
      <c r="D6129" s="22" t="s">
        <v>13507</v>
      </c>
      <c r="E6129" s="24" t="s">
        <v>13986</v>
      </c>
    </row>
    <row r="6130" spans="1:5">
      <c r="A6130" s="22">
        <v>86102</v>
      </c>
      <c r="B6130" s="22">
        <v>0</v>
      </c>
      <c r="C6130" s="22" t="s">
        <v>14073</v>
      </c>
      <c r="D6130" s="22" t="s">
        <v>13508</v>
      </c>
      <c r="E6130" s="24" t="s">
        <v>13987</v>
      </c>
    </row>
    <row r="6131" spans="1:5">
      <c r="A6131" s="22">
        <v>86103</v>
      </c>
      <c r="B6131" s="22">
        <v>0</v>
      </c>
      <c r="C6131" s="22" t="s">
        <v>14074</v>
      </c>
      <c r="D6131" s="22" t="s">
        <v>13509</v>
      </c>
      <c r="E6131" s="24" t="s">
        <v>13988</v>
      </c>
    </row>
    <row r="6132" spans="1:5">
      <c r="A6132" s="22">
        <v>86104</v>
      </c>
      <c r="B6132" s="22">
        <v>0</v>
      </c>
      <c r="C6132" s="22" t="s">
        <v>14075</v>
      </c>
      <c r="D6132" s="22" t="s">
        <v>13510</v>
      </c>
      <c r="E6132" s="24" t="s">
        <v>13989</v>
      </c>
    </row>
    <row r="6133" spans="1:5">
      <c r="A6133" s="22">
        <v>86105</v>
      </c>
      <c r="B6133" s="22">
        <v>0</v>
      </c>
      <c r="C6133" s="22" t="s">
        <v>13882</v>
      </c>
      <c r="D6133" s="22" t="s">
        <v>13511</v>
      </c>
      <c r="E6133" s="24" t="s">
        <v>13764</v>
      </c>
    </row>
    <row r="6134" spans="1:5">
      <c r="A6134" s="22">
        <v>86106</v>
      </c>
      <c r="B6134" s="22">
        <v>0</v>
      </c>
      <c r="C6134" s="22" t="s">
        <v>14076</v>
      </c>
      <c r="D6134" s="22" t="s">
        <v>13512</v>
      </c>
      <c r="E6134" s="24" t="s">
        <v>13990</v>
      </c>
    </row>
    <row r="6135" spans="1:5">
      <c r="A6135" s="22">
        <v>86107</v>
      </c>
      <c r="B6135" s="22">
        <v>0</v>
      </c>
      <c r="C6135" s="22" t="s">
        <v>14077</v>
      </c>
      <c r="D6135" s="22" t="s">
        <v>13513</v>
      </c>
      <c r="E6135" s="24" t="s">
        <v>13991</v>
      </c>
    </row>
    <row r="6136" spans="1:5">
      <c r="A6136" s="22">
        <v>86108</v>
      </c>
      <c r="B6136" s="22">
        <v>0</v>
      </c>
      <c r="C6136" s="22" t="s">
        <v>14078</v>
      </c>
      <c r="D6136" s="22" t="s">
        <v>13514</v>
      </c>
      <c r="E6136" s="24" t="s">
        <v>13992</v>
      </c>
    </row>
    <row r="6137" spans="1:5">
      <c r="A6137" s="22">
        <v>86109</v>
      </c>
      <c r="B6137" s="22">
        <v>0</v>
      </c>
      <c r="C6137" s="22" t="s">
        <v>14079</v>
      </c>
      <c r="D6137" s="22" t="s">
        <v>13515</v>
      </c>
      <c r="E6137" s="24" t="s">
        <v>13993</v>
      </c>
    </row>
    <row r="6138" spans="1:5">
      <c r="A6138" s="22">
        <v>86110</v>
      </c>
      <c r="B6138" s="22">
        <v>0</v>
      </c>
      <c r="C6138" s="22" t="s">
        <v>14080</v>
      </c>
      <c r="D6138" s="22" t="s">
        <v>13516</v>
      </c>
      <c r="E6138" s="24" t="s">
        <v>13994</v>
      </c>
    </row>
    <row r="6139" spans="1:5">
      <c r="A6139" s="22">
        <v>86111</v>
      </c>
      <c r="B6139" s="22">
        <v>0</v>
      </c>
      <c r="C6139" s="22" t="s">
        <v>14081</v>
      </c>
      <c r="D6139" s="22" t="s">
        <v>13517</v>
      </c>
      <c r="E6139" s="24" t="s">
        <v>13995</v>
      </c>
    </row>
    <row r="6140" spans="1:5">
      <c r="A6140" s="22">
        <v>86112</v>
      </c>
      <c r="B6140" s="22">
        <v>0</v>
      </c>
      <c r="C6140" s="22" t="s">
        <v>13888</v>
      </c>
      <c r="D6140" s="22" t="s">
        <v>13518</v>
      </c>
      <c r="E6140" s="24" t="s">
        <v>13770</v>
      </c>
    </row>
    <row r="6141" spans="1:5">
      <c r="A6141" s="22">
        <v>86113</v>
      </c>
      <c r="B6141" s="22">
        <v>0</v>
      </c>
      <c r="C6141" s="22" t="s">
        <v>14082</v>
      </c>
      <c r="D6141" s="22" t="s">
        <v>13519</v>
      </c>
      <c r="E6141" s="24" t="s">
        <v>13996</v>
      </c>
    </row>
    <row r="6142" spans="1:5">
      <c r="A6142" s="22">
        <v>86114</v>
      </c>
      <c r="B6142" s="22">
        <v>0</v>
      </c>
      <c r="C6142" s="22" t="s">
        <v>14083</v>
      </c>
      <c r="D6142" s="22" t="s">
        <v>13520</v>
      </c>
      <c r="E6142" s="24" t="s">
        <v>13997</v>
      </c>
    </row>
    <row r="6143" spans="1:5">
      <c r="A6143" s="22">
        <v>86115</v>
      </c>
      <c r="B6143" s="22">
        <v>0</v>
      </c>
      <c r="C6143" s="22" t="s">
        <v>14084</v>
      </c>
      <c r="D6143" s="22" t="s">
        <v>13521</v>
      </c>
      <c r="E6143" s="24" t="s">
        <v>13998</v>
      </c>
    </row>
    <row r="6144" spans="1:5">
      <c r="A6144" s="22">
        <v>86116</v>
      </c>
      <c r="B6144" s="22">
        <v>0</v>
      </c>
      <c r="C6144" s="22" t="s">
        <v>14085</v>
      </c>
      <c r="D6144" s="22" t="s">
        <v>13522</v>
      </c>
      <c r="E6144" s="24" t="s">
        <v>13999</v>
      </c>
    </row>
    <row r="6145" spans="1:5">
      <c r="A6145" s="22">
        <v>86117</v>
      </c>
      <c r="B6145" s="22">
        <v>0</v>
      </c>
      <c r="C6145" s="22" t="s">
        <v>14086</v>
      </c>
      <c r="D6145" s="22" t="s">
        <v>13523</v>
      </c>
      <c r="E6145" s="24" t="s">
        <v>14000</v>
      </c>
    </row>
    <row r="6146" spans="1:5">
      <c r="A6146" s="22">
        <v>86118</v>
      </c>
      <c r="B6146" s="22">
        <v>0</v>
      </c>
      <c r="C6146" s="22" t="s">
        <v>14087</v>
      </c>
      <c r="D6146" s="22" t="s">
        <v>13524</v>
      </c>
      <c r="E6146" s="24" t="s">
        <v>14001</v>
      </c>
    </row>
    <row r="6147" spans="1:5">
      <c r="A6147" s="22">
        <v>86119</v>
      </c>
      <c r="B6147" s="22">
        <v>0</v>
      </c>
      <c r="C6147" s="22" t="s">
        <v>13894</v>
      </c>
      <c r="D6147" s="22" t="s">
        <v>13525</v>
      </c>
      <c r="E6147" s="24" t="s">
        <v>13776</v>
      </c>
    </row>
    <row r="6148" spans="1:5">
      <c r="A6148" s="22">
        <v>86120</v>
      </c>
      <c r="B6148" s="22">
        <v>0</v>
      </c>
      <c r="C6148" s="22" t="s">
        <v>14088</v>
      </c>
      <c r="D6148" s="22" t="s">
        <v>13526</v>
      </c>
      <c r="E6148" s="24" t="s">
        <v>14002</v>
      </c>
    </row>
    <row r="6149" spans="1:5">
      <c r="A6149" s="22">
        <v>86121</v>
      </c>
      <c r="B6149" s="22">
        <v>0</v>
      </c>
      <c r="C6149" s="22" t="s">
        <v>14089</v>
      </c>
      <c r="D6149" s="22" t="s">
        <v>13527</v>
      </c>
      <c r="E6149" s="24" t="s">
        <v>14003</v>
      </c>
    </row>
    <row r="6150" spans="1:5">
      <c r="A6150" s="22">
        <v>86122</v>
      </c>
      <c r="B6150" s="22">
        <v>0</v>
      </c>
      <c r="C6150" s="22" t="s">
        <v>14090</v>
      </c>
      <c r="D6150" s="22" t="s">
        <v>13528</v>
      </c>
      <c r="E6150" s="24" t="s">
        <v>14004</v>
      </c>
    </row>
    <row r="6151" spans="1:5">
      <c r="A6151" s="22">
        <v>86123</v>
      </c>
      <c r="B6151" s="22">
        <v>0</v>
      </c>
      <c r="C6151" s="22" t="s">
        <v>14091</v>
      </c>
      <c r="D6151" s="22" t="s">
        <v>13529</v>
      </c>
      <c r="E6151" s="24" t="s">
        <v>14005</v>
      </c>
    </row>
    <row r="6152" spans="1:5">
      <c r="A6152" s="22">
        <v>86124</v>
      </c>
      <c r="B6152" s="22">
        <v>0</v>
      </c>
      <c r="C6152" s="22" t="s">
        <v>14092</v>
      </c>
      <c r="D6152" s="22" t="s">
        <v>13530</v>
      </c>
      <c r="E6152" s="24" t="s">
        <v>14006</v>
      </c>
    </row>
    <row r="6153" spans="1:5">
      <c r="A6153" s="22">
        <v>86125</v>
      </c>
      <c r="B6153" s="22">
        <v>0</v>
      </c>
      <c r="C6153" s="22" t="s">
        <v>14093</v>
      </c>
      <c r="D6153" s="22" t="s">
        <v>13531</v>
      </c>
      <c r="E6153" s="24" t="s">
        <v>14007</v>
      </c>
    </row>
    <row r="6154" spans="1:5">
      <c r="A6154" s="22">
        <v>86126</v>
      </c>
      <c r="B6154" s="22">
        <v>0</v>
      </c>
      <c r="C6154" s="22" t="s">
        <v>13900</v>
      </c>
      <c r="D6154" s="22" t="s">
        <v>13532</v>
      </c>
      <c r="E6154" s="24" t="s">
        <v>13782</v>
      </c>
    </row>
    <row r="6155" spans="1:5">
      <c r="A6155" s="22">
        <v>86127</v>
      </c>
      <c r="B6155" s="22">
        <v>0</v>
      </c>
      <c r="C6155" s="22" t="s">
        <v>14094</v>
      </c>
      <c r="D6155" s="22" t="s">
        <v>13533</v>
      </c>
      <c r="E6155" s="24" t="s">
        <v>14008</v>
      </c>
    </row>
    <row r="6156" spans="1:5">
      <c r="A6156" s="22">
        <v>86128</v>
      </c>
      <c r="B6156" s="22">
        <v>0</v>
      </c>
      <c r="C6156" s="22" t="s">
        <v>14095</v>
      </c>
      <c r="D6156" s="22" t="s">
        <v>13534</v>
      </c>
      <c r="E6156" s="24" t="s">
        <v>14009</v>
      </c>
    </row>
    <row r="6157" spans="1:5">
      <c r="A6157" s="22">
        <v>86129</v>
      </c>
      <c r="B6157" s="22">
        <v>0</v>
      </c>
      <c r="C6157" s="22" t="s">
        <v>14096</v>
      </c>
      <c r="D6157" s="22" t="s">
        <v>13535</v>
      </c>
      <c r="E6157" s="24" t="s">
        <v>14010</v>
      </c>
    </row>
    <row r="6158" spans="1:5">
      <c r="A6158" s="22">
        <v>86130</v>
      </c>
      <c r="B6158" s="22">
        <v>0</v>
      </c>
      <c r="C6158" s="22" t="s">
        <v>14097</v>
      </c>
      <c r="D6158" s="22" t="s">
        <v>13536</v>
      </c>
      <c r="E6158" s="24" t="s">
        <v>14011</v>
      </c>
    </row>
    <row r="6159" spans="1:5">
      <c r="A6159" s="22">
        <v>86131</v>
      </c>
      <c r="B6159" s="22">
        <v>0</v>
      </c>
      <c r="C6159" s="22" t="s">
        <v>14098</v>
      </c>
      <c r="D6159" s="22" t="s">
        <v>13537</v>
      </c>
      <c r="E6159" s="24" t="s">
        <v>14012</v>
      </c>
    </row>
    <row r="6160" spans="1:5">
      <c r="A6160" s="22">
        <v>86132</v>
      </c>
      <c r="B6160" s="22">
        <v>0</v>
      </c>
      <c r="C6160" s="22" t="s">
        <v>14099</v>
      </c>
      <c r="D6160" s="22" t="s">
        <v>13538</v>
      </c>
      <c r="E6160" s="24" t="s">
        <v>14013</v>
      </c>
    </row>
    <row r="6161" spans="1:5">
      <c r="A6161" s="22">
        <v>86133</v>
      </c>
      <c r="B6161" s="22">
        <v>0</v>
      </c>
      <c r="C6161" s="22" t="s">
        <v>13906</v>
      </c>
      <c r="D6161" s="22" t="s">
        <v>13539</v>
      </c>
      <c r="E6161" s="24" t="s">
        <v>13788</v>
      </c>
    </row>
    <row r="6162" spans="1:5">
      <c r="A6162" s="22">
        <v>86134</v>
      </c>
      <c r="B6162" s="22">
        <v>0</v>
      </c>
      <c r="C6162" s="22" t="s">
        <v>14100</v>
      </c>
      <c r="D6162" s="22" t="s">
        <v>13540</v>
      </c>
      <c r="E6162" s="24" t="s">
        <v>14014</v>
      </c>
    </row>
    <row r="6163" spans="1:5">
      <c r="A6163" s="22">
        <v>86135</v>
      </c>
      <c r="B6163" s="22">
        <v>0</v>
      </c>
      <c r="C6163" s="22" t="s">
        <v>14101</v>
      </c>
      <c r="D6163" s="22" t="s">
        <v>13541</v>
      </c>
      <c r="E6163" s="24" t="s">
        <v>14015</v>
      </c>
    </row>
    <row r="6164" spans="1:5">
      <c r="A6164" s="22">
        <v>86136</v>
      </c>
      <c r="B6164" s="22">
        <v>0</v>
      </c>
      <c r="C6164" s="22" t="s">
        <v>14102</v>
      </c>
      <c r="D6164" s="22" t="s">
        <v>13542</v>
      </c>
      <c r="E6164" s="24" t="s">
        <v>14016</v>
      </c>
    </row>
    <row r="6165" spans="1:5">
      <c r="A6165" s="22">
        <v>86137</v>
      </c>
      <c r="B6165" s="22">
        <v>0</v>
      </c>
      <c r="C6165" s="22" t="s">
        <v>14103</v>
      </c>
      <c r="D6165" s="22" t="s">
        <v>13543</v>
      </c>
      <c r="E6165" s="24" t="s">
        <v>14017</v>
      </c>
    </row>
    <row r="6166" spans="1:5">
      <c r="A6166" s="22">
        <v>86138</v>
      </c>
      <c r="B6166" s="22">
        <v>0</v>
      </c>
      <c r="C6166" s="22" t="s">
        <v>14104</v>
      </c>
      <c r="D6166" s="22" t="s">
        <v>13544</v>
      </c>
      <c r="E6166" s="24" t="s">
        <v>14018</v>
      </c>
    </row>
    <row r="6167" spans="1:5">
      <c r="A6167" s="22">
        <v>86139</v>
      </c>
      <c r="B6167" s="22">
        <v>0</v>
      </c>
      <c r="C6167" s="22" t="s">
        <v>14105</v>
      </c>
      <c r="D6167" s="22" t="s">
        <v>13545</v>
      </c>
      <c r="E6167" s="24" t="s">
        <v>14019</v>
      </c>
    </row>
    <row r="6168" spans="1:5">
      <c r="A6168" s="22">
        <v>86140</v>
      </c>
      <c r="B6168" s="22">
        <v>0</v>
      </c>
      <c r="C6168" s="22" t="s">
        <v>13912</v>
      </c>
      <c r="D6168" s="22" t="s">
        <v>13546</v>
      </c>
      <c r="E6168" s="24" t="s">
        <v>13794</v>
      </c>
    </row>
    <row r="6169" spans="1:5">
      <c r="A6169" s="22">
        <v>86141</v>
      </c>
      <c r="B6169" s="22">
        <v>0</v>
      </c>
      <c r="C6169" s="22" t="s">
        <v>14106</v>
      </c>
      <c r="D6169" s="22" t="s">
        <v>13547</v>
      </c>
      <c r="E6169" s="24" t="s">
        <v>14020</v>
      </c>
    </row>
    <row r="6170" spans="1:5">
      <c r="A6170" s="22">
        <v>86142</v>
      </c>
      <c r="B6170" s="22">
        <v>0</v>
      </c>
      <c r="C6170" s="22" t="s">
        <v>14107</v>
      </c>
      <c r="D6170" s="22" t="s">
        <v>13548</v>
      </c>
      <c r="E6170" s="24" t="s">
        <v>14021</v>
      </c>
    </row>
    <row r="6171" spans="1:5">
      <c r="A6171" s="22">
        <v>86143</v>
      </c>
      <c r="B6171" s="22">
        <v>0</v>
      </c>
      <c r="C6171" s="22" t="s">
        <v>14108</v>
      </c>
      <c r="D6171" s="22" t="s">
        <v>13549</v>
      </c>
      <c r="E6171" s="24" t="s">
        <v>14022</v>
      </c>
    </row>
    <row r="6172" spans="1:5">
      <c r="A6172" s="22">
        <v>86144</v>
      </c>
      <c r="B6172" s="22">
        <v>0</v>
      </c>
      <c r="C6172" s="22" t="s">
        <v>14109</v>
      </c>
      <c r="D6172" s="22" t="s">
        <v>13550</v>
      </c>
      <c r="E6172" s="24" t="s">
        <v>14023</v>
      </c>
    </row>
    <row r="6173" spans="1:5">
      <c r="A6173" s="22">
        <v>86145</v>
      </c>
      <c r="B6173" s="22">
        <v>0</v>
      </c>
      <c r="C6173" s="22" t="s">
        <v>14110</v>
      </c>
      <c r="D6173" s="22" t="s">
        <v>13551</v>
      </c>
      <c r="E6173" s="24" t="s">
        <v>14024</v>
      </c>
    </row>
    <row r="6174" spans="1:5">
      <c r="A6174" s="22">
        <v>86146</v>
      </c>
      <c r="B6174" s="22">
        <v>0</v>
      </c>
      <c r="C6174" s="22" t="s">
        <v>14111</v>
      </c>
      <c r="D6174" s="22" t="s">
        <v>13552</v>
      </c>
      <c r="E6174" s="24" t="s">
        <v>14025</v>
      </c>
    </row>
    <row r="6175" spans="1:5">
      <c r="A6175" s="22">
        <v>86147</v>
      </c>
      <c r="B6175" s="22">
        <v>0</v>
      </c>
      <c r="C6175" s="22" t="s">
        <v>13918</v>
      </c>
      <c r="D6175" s="22" t="s">
        <v>13553</v>
      </c>
      <c r="E6175" s="24" t="s">
        <v>13800</v>
      </c>
    </row>
    <row r="6176" spans="1:5">
      <c r="A6176" s="22">
        <v>86148</v>
      </c>
      <c r="B6176" s="22">
        <v>0</v>
      </c>
      <c r="C6176" s="22" t="s">
        <v>14112</v>
      </c>
      <c r="D6176" s="22" t="s">
        <v>13554</v>
      </c>
      <c r="E6176" s="24" t="s">
        <v>14026</v>
      </c>
    </row>
    <row r="6177" spans="1:5">
      <c r="A6177" s="22">
        <v>86149</v>
      </c>
      <c r="B6177" s="22">
        <v>0</v>
      </c>
      <c r="C6177" s="22" t="s">
        <v>14113</v>
      </c>
      <c r="D6177" s="22" t="s">
        <v>13555</v>
      </c>
      <c r="E6177" s="24" t="s">
        <v>14027</v>
      </c>
    </row>
    <row r="6178" spans="1:5">
      <c r="A6178" s="22">
        <v>86150</v>
      </c>
      <c r="B6178" s="22">
        <v>0</v>
      </c>
      <c r="C6178" s="22" t="s">
        <v>14114</v>
      </c>
      <c r="D6178" s="22" t="s">
        <v>13556</v>
      </c>
      <c r="E6178" s="24" t="s">
        <v>14028</v>
      </c>
    </row>
    <row r="6179" spans="1:5">
      <c r="A6179" s="165">
        <v>87001</v>
      </c>
      <c r="B6179" s="165">
        <v>0</v>
      </c>
      <c r="C6179" s="165" t="s">
        <v>9616</v>
      </c>
      <c r="D6179" s="165" t="s">
        <v>13557</v>
      </c>
      <c r="E6179" s="166" t="s">
        <v>9466</v>
      </c>
    </row>
    <row r="6180" spans="1:5">
      <c r="A6180" s="165">
        <v>87002</v>
      </c>
      <c r="B6180" s="165">
        <v>0</v>
      </c>
      <c r="C6180" s="165" t="s">
        <v>9623</v>
      </c>
      <c r="D6180" s="165" t="s">
        <v>13558</v>
      </c>
      <c r="E6180" s="166" t="s">
        <v>9473</v>
      </c>
    </row>
    <row r="6181" spans="1:5">
      <c r="A6181" s="165">
        <v>87003</v>
      </c>
      <c r="B6181" s="165">
        <v>0</v>
      </c>
      <c r="C6181" s="165" t="s">
        <v>9630</v>
      </c>
      <c r="D6181" s="165" t="s">
        <v>13559</v>
      </c>
      <c r="E6181" s="166" t="s">
        <v>9480</v>
      </c>
    </row>
    <row r="6182" spans="1:5">
      <c r="A6182" s="165">
        <v>87004</v>
      </c>
      <c r="B6182" s="165">
        <v>0</v>
      </c>
      <c r="C6182" s="165" t="s">
        <v>9637</v>
      </c>
      <c r="D6182" s="165" t="s">
        <v>13560</v>
      </c>
      <c r="E6182" s="166" t="s">
        <v>9487</v>
      </c>
    </row>
    <row r="6183" spans="1:5">
      <c r="A6183" s="165">
        <v>87005</v>
      </c>
      <c r="B6183" s="165">
        <v>0</v>
      </c>
      <c r="C6183" s="165" t="s">
        <v>9644</v>
      </c>
      <c r="D6183" s="165" t="s">
        <v>13561</v>
      </c>
      <c r="E6183" s="166" t="s">
        <v>9494</v>
      </c>
    </row>
    <row r="6184" spans="1:5">
      <c r="A6184" s="165">
        <v>87006</v>
      </c>
      <c r="B6184" s="165">
        <v>0</v>
      </c>
      <c r="C6184" s="165" t="s">
        <v>9651</v>
      </c>
      <c r="D6184" s="165" t="s">
        <v>13562</v>
      </c>
      <c r="E6184" s="166" t="s">
        <v>9501</v>
      </c>
    </row>
    <row r="6185" spans="1:5">
      <c r="A6185" s="165">
        <v>87007</v>
      </c>
      <c r="B6185" s="165">
        <v>0</v>
      </c>
      <c r="C6185" s="165" t="s">
        <v>9658</v>
      </c>
      <c r="D6185" s="165" t="s">
        <v>13563</v>
      </c>
      <c r="E6185" s="166" t="s">
        <v>9508</v>
      </c>
    </row>
    <row r="6186" spans="1:5">
      <c r="A6186" s="165">
        <v>87008</v>
      </c>
      <c r="B6186" s="165">
        <v>0</v>
      </c>
      <c r="C6186" s="165" t="s">
        <v>9665</v>
      </c>
      <c r="D6186" s="165" t="s">
        <v>13564</v>
      </c>
      <c r="E6186" s="166" t="s">
        <v>9515</v>
      </c>
    </row>
    <row r="6187" spans="1:5">
      <c r="A6187" s="165">
        <v>87009</v>
      </c>
      <c r="B6187" s="165">
        <v>0</v>
      </c>
      <c r="C6187" s="165" t="s">
        <v>9672</v>
      </c>
      <c r="D6187" s="165" t="s">
        <v>13565</v>
      </c>
      <c r="E6187" s="166" t="s">
        <v>9522</v>
      </c>
    </row>
    <row r="6188" spans="1:5">
      <c r="A6188" s="165">
        <v>87010</v>
      </c>
      <c r="B6188" s="165">
        <v>0</v>
      </c>
      <c r="C6188" s="165" t="s">
        <v>9679</v>
      </c>
      <c r="D6188" s="165" t="s">
        <v>13566</v>
      </c>
      <c r="E6188" s="166" t="s">
        <v>9529</v>
      </c>
    </row>
    <row r="6189" spans="1:5">
      <c r="A6189" s="165">
        <v>87011</v>
      </c>
      <c r="B6189" s="165">
        <v>0</v>
      </c>
      <c r="C6189" s="165" t="s">
        <v>9686</v>
      </c>
      <c r="D6189" s="165" t="s">
        <v>13567</v>
      </c>
      <c r="E6189" s="166" t="s">
        <v>9536</v>
      </c>
    </row>
    <row r="6190" spans="1:5">
      <c r="A6190" s="165">
        <v>87012</v>
      </c>
      <c r="B6190" s="165">
        <v>0</v>
      </c>
      <c r="C6190" s="165" t="s">
        <v>9693</v>
      </c>
      <c r="D6190" s="165" t="s">
        <v>13568</v>
      </c>
      <c r="E6190" s="166" t="s">
        <v>9543</v>
      </c>
    </row>
    <row r="6191" spans="1:5">
      <c r="A6191" s="165">
        <v>87013</v>
      </c>
      <c r="B6191" s="165">
        <v>0</v>
      </c>
      <c r="C6191" s="165" t="s">
        <v>9700</v>
      </c>
      <c r="D6191" s="165" t="s">
        <v>13569</v>
      </c>
      <c r="E6191" s="166" t="s">
        <v>9550</v>
      </c>
    </row>
    <row r="6192" spans="1:5">
      <c r="A6192" s="165">
        <v>87014</v>
      </c>
      <c r="B6192" s="165">
        <v>0</v>
      </c>
      <c r="C6192" s="165" t="s">
        <v>9707</v>
      </c>
      <c r="D6192" s="165" t="s">
        <v>13570</v>
      </c>
      <c r="E6192" s="166" t="s">
        <v>9557</v>
      </c>
    </row>
    <row r="6193" spans="1:5">
      <c r="A6193" s="165">
        <v>87015</v>
      </c>
      <c r="B6193" s="165">
        <v>0</v>
      </c>
      <c r="C6193" s="165" t="s">
        <v>9714</v>
      </c>
      <c r="D6193" s="165" t="s">
        <v>13571</v>
      </c>
      <c r="E6193" s="166" t="s">
        <v>9564</v>
      </c>
    </row>
    <row r="6194" spans="1:5">
      <c r="A6194" s="165">
        <v>87016</v>
      </c>
      <c r="B6194" s="165">
        <v>0</v>
      </c>
      <c r="C6194" s="165" t="s">
        <v>9721</v>
      </c>
      <c r="D6194" s="165" t="s">
        <v>13572</v>
      </c>
      <c r="E6194" s="166" t="s">
        <v>9571</v>
      </c>
    </row>
    <row r="6195" spans="1:5">
      <c r="A6195" s="165">
        <v>87017</v>
      </c>
      <c r="B6195" s="165">
        <v>0</v>
      </c>
      <c r="C6195" s="165" t="s">
        <v>9728</v>
      </c>
      <c r="D6195" s="165" t="s">
        <v>13573</v>
      </c>
      <c r="E6195" s="166" t="s">
        <v>9578</v>
      </c>
    </row>
    <row r="6196" spans="1:5">
      <c r="A6196" s="165">
        <v>87018</v>
      </c>
      <c r="B6196" s="165">
        <v>0</v>
      </c>
      <c r="C6196" s="165" t="s">
        <v>9735</v>
      </c>
      <c r="D6196" s="165" t="s">
        <v>13574</v>
      </c>
      <c r="E6196" s="166" t="s">
        <v>9585</v>
      </c>
    </row>
    <row r="6197" spans="1:5">
      <c r="A6197" s="165">
        <v>87019</v>
      </c>
      <c r="B6197" s="165">
        <v>0</v>
      </c>
      <c r="C6197" s="165" t="s">
        <v>9742</v>
      </c>
      <c r="D6197" s="165" t="s">
        <v>13575</v>
      </c>
      <c r="E6197" s="166" t="s">
        <v>9592</v>
      </c>
    </row>
    <row r="6198" spans="1:5">
      <c r="A6198" s="165">
        <v>87020</v>
      </c>
      <c r="B6198" s="165">
        <v>0</v>
      </c>
      <c r="C6198" s="165" t="s">
        <v>9749</v>
      </c>
      <c r="D6198" s="165" t="s">
        <v>13576</v>
      </c>
      <c r="E6198" s="166" t="s">
        <v>9599</v>
      </c>
    </row>
    <row r="6199" spans="1:5">
      <c r="A6199" s="165">
        <v>87021</v>
      </c>
      <c r="B6199" s="165">
        <v>0</v>
      </c>
      <c r="C6199" s="165" t="s">
        <v>9756</v>
      </c>
      <c r="D6199" s="165" t="s">
        <v>13577</v>
      </c>
      <c r="E6199" s="166" t="s">
        <v>9606</v>
      </c>
    </row>
    <row r="6200" spans="1:5">
      <c r="A6200" s="165">
        <v>87022</v>
      </c>
      <c r="B6200" s="165">
        <v>0</v>
      </c>
      <c r="C6200" s="165" t="s">
        <v>10161</v>
      </c>
      <c r="D6200" s="165" t="s">
        <v>13578</v>
      </c>
      <c r="E6200" s="166" t="s">
        <v>10236</v>
      </c>
    </row>
    <row r="6201" spans="1:5">
      <c r="A6201" s="165">
        <v>87023</v>
      </c>
      <c r="B6201" s="165">
        <v>0</v>
      </c>
      <c r="C6201" s="165" t="s">
        <v>13825</v>
      </c>
      <c r="D6201" s="165" t="s">
        <v>13579</v>
      </c>
      <c r="E6201" s="166" t="s">
        <v>13707</v>
      </c>
    </row>
    <row r="6202" spans="1:5">
      <c r="A6202" s="165">
        <v>87024</v>
      </c>
      <c r="B6202" s="165">
        <v>0</v>
      </c>
      <c r="C6202" s="165" t="s">
        <v>10168</v>
      </c>
      <c r="D6202" s="165" t="s">
        <v>13580</v>
      </c>
      <c r="E6202" s="166" t="s">
        <v>10243</v>
      </c>
    </row>
    <row r="6203" spans="1:5">
      <c r="A6203" s="165">
        <v>87025</v>
      </c>
      <c r="B6203" s="165">
        <v>0</v>
      </c>
      <c r="C6203" s="165" t="s">
        <v>13826</v>
      </c>
      <c r="D6203" s="165" t="s">
        <v>13581</v>
      </c>
      <c r="E6203" s="166" t="s">
        <v>13708</v>
      </c>
    </row>
    <row r="6204" spans="1:5">
      <c r="A6204" s="165">
        <v>87026</v>
      </c>
      <c r="B6204" s="165">
        <v>0</v>
      </c>
      <c r="C6204" s="165" t="s">
        <v>10175</v>
      </c>
      <c r="D6204" s="165" t="s">
        <v>13582</v>
      </c>
      <c r="E6204" s="166" t="s">
        <v>10250</v>
      </c>
    </row>
    <row r="6205" spans="1:5">
      <c r="A6205" s="165">
        <v>87027</v>
      </c>
      <c r="B6205" s="165">
        <v>0</v>
      </c>
      <c r="C6205" s="165" t="s">
        <v>13827</v>
      </c>
      <c r="D6205" s="165" t="s">
        <v>13583</v>
      </c>
      <c r="E6205" s="166" t="s">
        <v>13709</v>
      </c>
    </row>
    <row r="6206" spans="1:5">
      <c r="A6206" s="165">
        <v>87028</v>
      </c>
      <c r="B6206" s="165">
        <v>0</v>
      </c>
      <c r="C6206" s="165" t="s">
        <v>10182</v>
      </c>
      <c r="D6206" s="165" t="s">
        <v>13584</v>
      </c>
      <c r="E6206" s="166" t="s">
        <v>10257</v>
      </c>
    </row>
    <row r="6207" spans="1:5">
      <c r="A6207" s="165">
        <v>87029</v>
      </c>
      <c r="B6207" s="165">
        <v>0</v>
      </c>
      <c r="C6207" s="165" t="s">
        <v>13828</v>
      </c>
      <c r="D6207" s="165" t="s">
        <v>13585</v>
      </c>
      <c r="E6207" s="166" t="s">
        <v>13710</v>
      </c>
    </row>
    <row r="6208" spans="1:5">
      <c r="A6208" s="165">
        <v>87030</v>
      </c>
      <c r="B6208" s="165">
        <v>0</v>
      </c>
      <c r="C6208" s="165" t="s">
        <v>10189</v>
      </c>
      <c r="D6208" s="165" t="s">
        <v>13586</v>
      </c>
      <c r="E6208" s="166" t="s">
        <v>10264</v>
      </c>
    </row>
    <row r="6209" spans="1:5">
      <c r="A6209" s="165">
        <v>87031</v>
      </c>
      <c r="B6209" s="165">
        <v>0</v>
      </c>
      <c r="C6209" s="165" t="s">
        <v>13829</v>
      </c>
      <c r="D6209" s="165" t="s">
        <v>13587</v>
      </c>
      <c r="E6209" s="166" t="s">
        <v>13711</v>
      </c>
    </row>
    <row r="6210" spans="1:5">
      <c r="A6210" s="165">
        <v>87032</v>
      </c>
      <c r="B6210" s="165">
        <v>0</v>
      </c>
      <c r="C6210" s="165" t="s">
        <v>10196</v>
      </c>
      <c r="D6210" s="165" t="s">
        <v>13588</v>
      </c>
      <c r="E6210" s="166" t="s">
        <v>10271</v>
      </c>
    </row>
    <row r="6211" spans="1:5">
      <c r="A6211" s="165">
        <v>87033</v>
      </c>
      <c r="B6211" s="165">
        <v>0</v>
      </c>
      <c r="C6211" s="165" t="s">
        <v>13830</v>
      </c>
      <c r="D6211" s="165" t="s">
        <v>13589</v>
      </c>
      <c r="E6211" s="166" t="s">
        <v>13712</v>
      </c>
    </row>
    <row r="6212" spans="1:5">
      <c r="A6212" s="165">
        <v>87034</v>
      </c>
      <c r="B6212" s="165">
        <v>0</v>
      </c>
      <c r="C6212" s="165" t="s">
        <v>10203</v>
      </c>
      <c r="D6212" s="165" t="s">
        <v>13590</v>
      </c>
      <c r="E6212" s="166" t="s">
        <v>10278</v>
      </c>
    </row>
    <row r="6213" spans="1:5">
      <c r="A6213" s="165">
        <v>87035</v>
      </c>
      <c r="B6213" s="165">
        <v>0</v>
      </c>
      <c r="C6213" s="165" t="s">
        <v>13831</v>
      </c>
      <c r="D6213" s="165" t="s">
        <v>13591</v>
      </c>
      <c r="E6213" s="166" t="s">
        <v>13713</v>
      </c>
    </row>
    <row r="6214" spans="1:5">
      <c r="A6214" s="165">
        <v>87036</v>
      </c>
      <c r="B6214" s="165">
        <v>0</v>
      </c>
      <c r="C6214" s="165" t="s">
        <v>10210</v>
      </c>
      <c r="D6214" s="165" t="s">
        <v>13592</v>
      </c>
      <c r="E6214" s="166" t="s">
        <v>10285</v>
      </c>
    </row>
    <row r="6215" spans="1:5">
      <c r="A6215" s="165">
        <v>87037</v>
      </c>
      <c r="B6215" s="165">
        <v>0</v>
      </c>
      <c r="C6215" s="165" t="s">
        <v>13832</v>
      </c>
      <c r="D6215" s="165" t="s">
        <v>13593</v>
      </c>
      <c r="E6215" s="166" t="s">
        <v>13714</v>
      </c>
    </row>
    <row r="6216" spans="1:5">
      <c r="A6216" s="165">
        <v>87038</v>
      </c>
      <c r="B6216" s="165">
        <v>0</v>
      </c>
      <c r="C6216" s="165" t="s">
        <v>10217</v>
      </c>
      <c r="D6216" s="165" t="s">
        <v>13594</v>
      </c>
      <c r="E6216" s="166" t="s">
        <v>10292</v>
      </c>
    </row>
    <row r="6217" spans="1:5">
      <c r="A6217" s="165">
        <v>87039</v>
      </c>
      <c r="B6217" s="165">
        <v>0</v>
      </c>
      <c r="C6217" s="165" t="s">
        <v>13833</v>
      </c>
      <c r="D6217" s="165" t="s">
        <v>13595</v>
      </c>
      <c r="E6217" s="166" t="s">
        <v>13715</v>
      </c>
    </row>
    <row r="6218" spans="1:5">
      <c r="A6218" s="165">
        <v>87040</v>
      </c>
      <c r="B6218" s="165">
        <v>0</v>
      </c>
      <c r="C6218" s="165" t="s">
        <v>10224</v>
      </c>
      <c r="D6218" s="165" t="s">
        <v>13596</v>
      </c>
      <c r="E6218" s="166" t="s">
        <v>10299</v>
      </c>
    </row>
    <row r="6219" spans="1:5">
      <c r="A6219" s="165">
        <v>87041</v>
      </c>
      <c r="B6219" s="165">
        <v>0</v>
      </c>
      <c r="C6219" s="165" t="s">
        <v>13834</v>
      </c>
      <c r="D6219" s="165" t="s">
        <v>13597</v>
      </c>
      <c r="E6219" s="166" t="s">
        <v>13716</v>
      </c>
    </row>
    <row r="6220" spans="1:5">
      <c r="A6220" s="165">
        <v>87042</v>
      </c>
      <c r="B6220" s="165">
        <v>0</v>
      </c>
      <c r="C6220" s="165" t="s">
        <v>10231</v>
      </c>
      <c r="D6220" s="165" t="s">
        <v>13598</v>
      </c>
      <c r="E6220" s="166" t="s">
        <v>10306</v>
      </c>
    </row>
    <row r="6221" spans="1:5">
      <c r="A6221" s="165">
        <v>87043</v>
      </c>
      <c r="B6221" s="165">
        <v>0</v>
      </c>
      <c r="C6221" s="165" t="s">
        <v>13835</v>
      </c>
      <c r="D6221" s="165" t="s">
        <v>13599</v>
      </c>
      <c r="E6221" s="166" t="s">
        <v>13717</v>
      </c>
    </row>
    <row r="6222" spans="1:5">
      <c r="A6222" s="165">
        <v>87044</v>
      </c>
      <c r="B6222" s="165">
        <v>0</v>
      </c>
      <c r="C6222" s="165" t="s">
        <v>13836</v>
      </c>
      <c r="D6222" s="165" t="s">
        <v>13600</v>
      </c>
      <c r="E6222" s="166" t="s">
        <v>13718</v>
      </c>
    </row>
    <row r="6223" spans="1:5">
      <c r="A6223" s="165">
        <v>87045</v>
      </c>
      <c r="B6223" s="165">
        <v>0</v>
      </c>
      <c r="C6223" s="165" t="s">
        <v>13837</v>
      </c>
      <c r="D6223" s="165" t="s">
        <v>13601</v>
      </c>
      <c r="E6223" s="166" t="s">
        <v>13719</v>
      </c>
    </row>
    <row r="6224" spans="1:5">
      <c r="A6224" s="165">
        <v>87046</v>
      </c>
      <c r="B6224" s="165">
        <v>0</v>
      </c>
      <c r="C6224" s="165" t="s">
        <v>13838</v>
      </c>
      <c r="D6224" s="165" t="s">
        <v>13602</v>
      </c>
      <c r="E6224" s="166" t="s">
        <v>13720</v>
      </c>
    </row>
    <row r="6225" spans="1:5">
      <c r="A6225" s="165">
        <v>87047</v>
      </c>
      <c r="B6225" s="165">
        <v>0</v>
      </c>
      <c r="C6225" s="165" t="s">
        <v>13839</v>
      </c>
      <c r="D6225" s="165" t="s">
        <v>13603</v>
      </c>
      <c r="E6225" s="166" t="s">
        <v>13721</v>
      </c>
    </row>
    <row r="6226" spans="1:5">
      <c r="A6226" s="165">
        <v>87048</v>
      </c>
      <c r="B6226" s="165">
        <v>0</v>
      </c>
      <c r="C6226" s="165" t="s">
        <v>13840</v>
      </c>
      <c r="D6226" s="165" t="s">
        <v>13604</v>
      </c>
      <c r="E6226" s="166" t="s">
        <v>13722</v>
      </c>
    </row>
    <row r="6227" spans="1:5">
      <c r="A6227" s="165">
        <v>87049</v>
      </c>
      <c r="B6227" s="165">
        <v>0</v>
      </c>
      <c r="C6227" s="165" t="s">
        <v>13841</v>
      </c>
      <c r="D6227" s="165" t="s">
        <v>13605</v>
      </c>
      <c r="E6227" s="166" t="s">
        <v>13723</v>
      </c>
    </row>
    <row r="6228" spans="1:5">
      <c r="A6228" s="165">
        <v>87050</v>
      </c>
      <c r="B6228" s="165">
        <v>0</v>
      </c>
      <c r="C6228" s="165" t="s">
        <v>13842</v>
      </c>
      <c r="D6228" s="165" t="s">
        <v>13606</v>
      </c>
      <c r="E6228" s="166" t="s">
        <v>13724</v>
      </c>
    </row>
    <row r="6229" spans="1:5">
      <c r="A6229" s="165">
        <v>87051</v>
      </c>
      <c r="B6229" s="165">
        <v>0</v>
      </c>
      <c r="C6229" s="165" t="s">
        <v>13843</v>
      </c>
      <c r="D6229" s="165" t="s">
        <v>13607</v>
      </c>
      <c r="E6229" s="166" t="s">
        <v>13725</v>
      </c>
    </row>
    <row r="6230" spans="1:5">
      <c r="A6230" s="165">
        <v>87052</v>
      </c>
      <c r="B6230" s="165">
        <v>0</v>
      </c>
      <c r="C6230" s="165" t="s">
        <v>13844</v>
      </c>
      <c r="D6230" s="165" t="s">
        <v>13608</v>
      </c>
      <c r="E6230" s="166" t="s">
        <v>13726</v>
      </c>
    </row>
    <row r="6231" spans="1:5">
      <c r="A6231" s="165">
        <v>87053</v>
      </c>
      <c r="B6231" s="165">
        <v>0</v>
      </c>
      <c r="C6231" s="165" t="s">
        <v>13845</v>
      </c>
      <c r="D6231" s="165" t="s">
        <v>13609</v>
      </c>
      <c r="E6231" s="166" t="s">
        <v>13727</v>
      </c>
    </row>
    <row r="6232" spans="1:5">
      <c r="A6232" s="165">
        <v>87054</v>
      </c>
      <c r="B6232" s="165">
        <v>0</v>
      </c>
      <c r="C6232" s="165" t="s">
        <v>13846</v>
      </c>
      <c r="D6232" s="165" t="s">
        <v>13610</v>
      </c>
      <c r="E6232" s="166" t="s">
        <v>13728</v>
      </c>
    </row>
    <row r="6233" spans="1:5">
      <c r="A6233" s="165">
        <v>87055</v>
      </c>
      <c r="B6233" s="165">
        <v>0</v>
      </c>
      <c r="C6233" s="165" t="s">
        <v>13847</v>
      </c>
      <c r="D6233" s="165" t="s">
        <v>13611</v>
      </c>
      <c r="E6233" s="166" t="s">
        <v>13729</v>
      </c>
    </row>
    <row r="6234" spans="1:5">
      <c r="A6234" s="165">
        <v>87056</v>
      </c>
      <c r="B6234" s="165">
        <v>0</v>
      </c>
      <c r="C6234" s="165" t="s">
        <v>13848</v>
      </c>
      <c r="D6234" s="165" t="s">
        <v>13612</v>
      </c>
      <c r="E6234" s="166" t="s">
        <v>13730</v>
      </c>
    </row>
    <row r="6235" spans="1:5">
      <c r="A6235" s="165">
        <v>87057</v>
      </c>
      <c r="B6235" s="165">
        <v>0</v>
      </c>
      <c r="C6235" s="165" t="s">
        <v>13849</v>
      </c>
      <c r="D6235" s="165" t="s">
        <v>13613</v>
      </c>
      <c r="E6235" s="166" t="s">
        <v>13731</v>
      </c>
    </row>
    <row r="6236" spans="1:5">
      <c r="A6236" s="165">
        <v>87058</v>
      </c>
      <c r="B6236" s="165">
        <v>0</v>
      </c>
      <c r="C6236" s="165" t="s">
        <v>13850</v>
      </c>
      <c r="D6236" s="165" t="s">
        <v>13614</v>
      </c>
      <c r="E6236" s="166" t="s">
        <v>13732</v>
      </c>
    </row>
    <row r="6237" spans="1:5">
      <c r="A6237" s="165">
        <v>87059</v>
      </c>
      <c r="B6237" s="165">
        <v>0</v>
      </c>
      <c r="C6237" s="165" t="s">
        <v>13851</v>
      </c>
      <c r="D6237" s="165" t="s">
        <v>13615</v>
      </c>
      <c r="E6237" s="166" t="s">
        <v>13733</v>
      </c>
    </row>
    <row r="6238" spans="1:5">
      <c r="A6238" s="165">
        <v>87060</v>
      </c>
      <c r="B6238" s="165">
        <v>0</v>
      </c>
      <c r="C6238" s="165" t="s">
        <v>13852</v>
      </c>
      <c r="D6238" s="165" t="s">
        <v>13616</v>
      </c>
      <c r="E6238" s="166" t="s">
        <v>13734</v>
      </c>
    </row>
    <row r="6239" spans="1:5">
      <c r="A6239" s="165">
        <v>87061</v>
      </c>
      <c r="B6239" s="165">
        <v>0</v>
      </c>
      <c r="C6239" s="165" t="s">
        <v>13853</v>
      </c>
      <c r="D6239" s="165" t="s">
        <v>13617</v>
      </c>
      <c r="E6239" s="166" t="s">
        <v>13735</v>
      </c>
    </row>
    <row r="6240" spans="1:5">
      <c r="A6240" s="165">
        <v>87062</v>
      </c>
      <c r="B6240" s="165">
        <v>0</v>
      </c>
      <c r="C6240" s="165" t="s">
        <v>13854</v>
      </c>
      <c r="D6240" s="165" t="s">
        <v>13618</v>
      </c>
      <c r="E6240" s="166" t="s">
        <v>13736</v>
      </c>
    </row>
    <row r="6241" spans="1:5">
      <c r="A6241" s="165">
        <v>87063</v>
      </c>
      <c r="B6241" s="165">
        <v>0</v>
      </c>
      <c r="C6241" s="165" t="s">
        <v>13855</v>
      </c>
      <c r="D6241" s="165" t="s">
        <v>13619</v>
      </c>
      <c r="E6241" s="166" t="s">
        <v>13737</v>
      </c>
    </row>
    <row r="6242" spans="1:5">
      <c r="A6242" s="165">
        <v>87064</v>
      </c>
      <c r="B6242" s="165">
        <v>0</v>
      </c>
      <c r="C6242" s="165" t="s">
        <v>13856</v>
      </c>
      <c r="D6242" s="165" t="s">
        <v>13620</v>
      </c>
      <c r="E6242" s="166" t="s">
        <v>13738</v>
      </c>
    </row>
    <row r="6243" spans="1:5">
      <c r="A6243" s="165">
        <v>87065</v>
      </c>
      <c r="B6243" s="165">
        <v>0</v>
      </c>
      <c r="C6243" s="165" t="s">
        <v>13857</v>
      </c>
      <c r="D6243" s="165" t="s">
        <v>13621</v>
      </c>
      <c r="E6243" s="166" t="s">
        <v>13739</v>
      </c>
    </row>
    <row r="6244" spans="1:5">
      <c r="A6244" s="165">
        <v>87066</v>
      </c>
      <c r="B6244" s="165">
        <v>0</v>
      </c>
      <c r="C6244" s="165" t="s">
        <v>13858</v>
      </c>
      <c r="D6244" s="165" t="s">
        <v>13622</v>
      </c>
      <c r="E6244" s="166" t="s">
        <v>13740</v>
      </c>
    </row>
    <row r="6245" spans="1:5">
      <c r="A6245" s="165">
        <v>87067</v>
      </c>
      <c r="B6245" s="165">
        <v>0</v>
      </c>
      <c r="C6245" s="165" t="s">
        <v>13859</v>
      </c>
      <c r="D6245" s="165" t="s">
        <v>13623</v>
      </c>
      <c r="E6245" s="166" t="s">
        <v>13741</v>
      </c>
    </row>
    <row r="6246" spans="1:5">
      <c r="A6246" s="165">
        <v>87068</v>
      </c>
      <c r="B6246" s="165">
        <v>0</v>
      </c>
      <c r="C6246" s="165" t="s">
        <v>13860</v>
      </c>
      <c r="D6246" s="165" t="s">
        <v>13624</v>
      </c>
      <c r="E6246" s="166" t="s">
        <v>13742</v>
      </c>
    </row>
    <row r="6247" spans="1:5">
      <c r="A6247" s="165">
        <v>87069</v>
      </c>
      <c r="B6247" s="165">
        <v>0</v>
      </c>
      <c r="C6247" s="165" t="s">
        <v>13861</v>
      </c>
      <c r="D6247" s="165" t="s">
        <v>13625</v>
      </c>
      <c r="E6247" s="166" t="s">
        <v>13743</v>
      </c>
    </row>
    <row r="6248" spans="1:5">
      <c r="A6248" s="165">
        <v>87070</v>
      </c>
      <c r="B6248" s="165">
        <v>0</v>
      </c>
      <c r="C6248" s="165" t="s">
        <v>13862</v>
      </c>
      <c r="D6248" s="165" t="s">
        <v>13626</v>
      </c>
      <c r="E6248" s="166" t="s">
        <v>13744</v>
      </c>
    </row>
    <row r="6249" spans="1:5">
      <c r="A6249" s="165">
        <v>87071</v>
      </c>
      <c r="B6249" s="165">
        <v>0</v>
      </c>
      <c r="C6249" s="165" t="s">
        <v>13863</v>
      </c>
      <c r="D6249" s="165" t="s">
        <v>13627</v>
      </c>
      <c r="E6249" s="166" t="s">
        <v>13745</v>
      </c>
    </row>
    <row r="6250" spans="1:5">
      <c r="A6250" s="165">
        <v>87072</v>
      </c>
      <c r="B6250" s="165">
        <v>0</v>
      </c>
      <c r="C6250" s="165" t="s">
        <v>13864</v>
      </c>
      <c r="D6250" s="165" t="s">
        <v>13628</v>
      </c>
      <c r="E6250" s="166" t="s">
        <v>13746</v>
      </c>
    </row>
    <row r="6251" spans="1:5">
      <c r="A6251" s="165">
        <v>87073</v>
      </c>
      <c r="B6251" s="165">
        <v>0</v>
      </c>
      <c r="C6251" s="165" t="s">
        <v>13865</v>
      </c>
      <c r="D6251" s="165" t="s">
        <v>13629</v>
      </c>
      <c r="E6251" s="166" t="s">
        <v>13747</v>
      </c>
    </row>
    <row r="6252" spans="1:5">
      <c r="A6252" s="165">
        <v>87074</v>
      </c>
      <c r="B6252" s="165">
        <v>0</v>
      </c>
      <c r="C6252" s="165" t="s">
        <v>13866</v>
      </c>
      <c r="D6252" s="165" t="s">
        <v>13630</v>
      </c>
      <c r="E6252" s="166" t="s">
        <v>13748</v>
      </c>
    </row>
    <row r="6253" spans="1:5">
      <c r="A6253" s="165">
        <v>87075</v>
      </c>
      <c r="B6253" s="165">
        <v>0</v>
      </c>
      <c r="C6253" s="165" t="s">
        <v>13867</v>
      </c>
      <c r="D6253" s="165" t="s">
        <v>13631</v>
      </c>
      <c r="E6253" s="166" t="s">
        <v>13749</v>
      </c>
    </row>
    <row r="6254" spans="1:5">
      <c r="A6254" s="165">
        <v>87076</v>
      </c>
      <c r="B6254" s="165">
        <v>0</v>
      </c>
      <c r="C6254" s="165" t="s">
        <v>13868</v>
      </c>
      <c r="D6254" s="165" t="s">
        <v>13632</v>
      </c>
      <c r="E6254" s="166" t="s">
        <v>13750</v>
      </c>
    </row>
    <row r="6255" spans="1:5">
      <c r="A6255" s="165">
        <v>87077</v>
      </c>
      <c r="B6255" s="165">
        <v>0</v>
      </c>
      <c r="C6255" s="165" t="s">
        <v>13869</v>
      </c>
      <c r="D6255" s="165" t="s">
        <v>13633</v>
      </c>
      <c r="E6255" s="166" t="s">
        <v>13751</v>
      </c>
    </row>
    <row r="6256" spans="1:5">
      <c r="A6256" s="165">
        <v>87078</v>
      </c>
      <c r="B6256" s="165">
        <v>0</v>
      </c>
      <c r="C6256" s="165" t="s">
        <v>13870</v>
      </c>
      <c r="D6256" s="165" t="s">
        <v>13634</v>
      </c>
      <c r="E6256" s="166" t="s">
        <v>13752</v>
      </c>
    </row>
    <row r="6257" spans="1:5">
      <c r="A6257" s="165">
        <v>87079</v>
      </c>
      <c r="B6257" s="165">
        <v>0</v>
      </c>
      <c r="C6257" s="165" t="s">
        <v>13871</v>
      </c>
      <c r="D6257" s="165" t="s">
        <v>13635</v>
      </c>
      <c r="E6257" s="166" t="s">
        <v>13753</v>
      </c>
    </row>
    <row r="6258" spans="1:5">
      <c r="A6258" s="165">
        <v>87080</v>
      </c>
      <c r="B6258" s="165">
        <v>0</v>
      </c>
      <c r="C6258" s="165" t="s">
        <v>13872</v>
      </c>
      <c r="D6258" s="165" t="s">
        <v>13636</v>
      </c>
      <c r="E6258" s="166" t="s">
        <v>13754</v>
      </c>
    </row>
    <row r="6259" spans="1:5">
      <c r="A6259" s="165">
        <v>87081</v>
      </c>
      <c r="B6259" s="165">
        <v>0</v>
      </c>
      <c r="C6259" s="165" t="s">
        <v>13873</v>
      </c>
      <c r="D6259" s="165" t="s">
        <v>13637</v>
      </c>
      <c r="E6259" s="166" t="s">
        <v>13755</v>
      </c>
    </row>
    <row r="6260" spans="1:5">
      <c r="A6260" s="165">
        <v>87082</v>
      </c>
      <c r="B6260" s="165">
        <v>0</v>
      </c>
      <c r="C6260" s="165" t="s">
        <v>13874</v>
      </c>
      <c r="D6260" s="165" t="s">
        <v>13638</v>
      </c>
      <c r="E6260" s="166" t="s">
        <v>13756</v>
      </c>
    </row>
    <row r="6261" spans="1:5">
      <c r="A6261" s="165">
        <v>87083</v>
      </c>
      <c r="B6261" s="165">
        <v>0</v>
      </c>
      <c r="C6261" s="165" t="s">
        <v>13875</v>
      </c>
      <c r="D6261" s="165" t="s">
        <v>13639</v>
      </c>
      <c r="E6261" s="166" t="s">
        <v>13757</v>
      </c>
    </row>
    <row r="6262" spans="1:5">
      <c r="A6262" s="165">
        <v>87084</v>
      </c>
      <c r="B6262" s="165">
        <v>0</v>
      </c>
      <c r="C6262" s="165" t="s">
        <v>13876</v>
      </c>
      <c r="D6262" s="165" t="s">
        <v>13640</v>
      </c>
      <c r="E6262" s="166" t="s">
        <v>13758</v>
      </c>
    </row>
    <row r="6263" spans="1:5">
      <c r="A6263" s="165">
        <v>87085</v>
      </c>
      <c r="B6263" s="165">
        <v>0</v>
      </c>
      <c r="C6263" s="165" t="s">
        <v>13877</v>
      </c>
      <c r="D6263" s="165" t="s">
        <v>13641</v>
      </c>
      <c r="E6263" s="166" t="s">
        <v>13759</v>
      </c>
    </row>
    <row r="6264" spans="1:5">
      <c r="A6264" s="165">
        <v>87086</v>
      </c>
      <c r="B6264" s="165">
        <v>0</v>
      </c>
      <c r="C6264" s="165" t="s">
        <v>13878</v>
      </c>
      <c r="D6264" s="165" t="s">
        <v>13642</v>
      </c>
      <c r="E6264" s="166" t="s">
        <v>13760</v>
      </c>
    </row>
    <row r="6265" spans="1:5">
      <c r="A6265" s="165">
        <v>87087</v>
      </c>
      <c r="B6265" s="165">
        <v>0</v>
      </c>
      <c r="C6265" s="165" t="s">
        <v>13879</v>
      </c>
      <c r="D6265" s="165" t="s">
        <v>13643</v>
      </c>
      <c r="E6265" s="166" t="s">
        <v>13761</v>
      </c>
    </row>
    <row r="6266" spans="1:5">
      <c r="A6266" s="165">
        <v>87088</v>
      </c>
      <c r="B6266" s="165">
        <v>0</v>
      </c>
      <c r="C6266" s="165" t="s">
        <v>13880</v>
      </c>
      <c r="D6266" s="165" t="s">
        <v>13644</v>
      </c>
      <c r="E6266" s="166" t="s">
        <v>13762</v>
      </c>
    </row>
    <row r="6267" spans="1:5">
      <c r="A6267" s="165">
        <v>87089</v>
      </c>
      <c r="B6267" s="165">
        <v>0</v>
      </c>
      <c r="C6267" s="165" t="s">
        <v>13881</v>
      </c>
      <c r="D6267" s="165" t="s">
        <v>13645</v>
      </c>
      <c r="E6267" s="166" t="s">
        <v>13763</v>
      </c>
    </row>
    <row r="6268" spans="1:5">
      <c r="A6268" s="165">
        <v>87090</v>
      </c>
      <c r="B6268" s="165">
        <v>0</v>
      </c>
      <c r="C6268" s="165" t="s">
        <v>13882</v>
      </c>
      <c r="D6268" s="165" t="s">
        <v>13646</v>
      </c>
      <c r="E6268" s="166" t="s">
        <v>13764</v>
      </c>
    </row>
    <row r="6269" spans="1:5">
      <c r="A6269" s="165">
        <v>87091</v>
      </c>
      <c r="B6269" s="165">
        <v>0</v>
      </c>
      <c r="C6269" s="165" t="s">
        <v>13883</v>
      </c>
      <c r="D6269" s="165" t="s">
        <v>13647</v>
      </c>
      <c r="E6269" s="166" t="s">
        <v>13765</v>
      </c>
    </row>
    <row r="6270" spans="1:5">
      <c r="A6270" s="165">
        <v>87092</v>
      </c>
      <c r="B6270" s="165">
        <v>0</v>
      </c>
      <c r="C6270" s="165" t="s">
        <v>13884</v>
      </c>
      <c r="D6270" s="165" t="s">
        <v>13648</v>
      </c>
      <c r="E6270" s="166" t="s">
        <v>13766</v>
      </c>
    </row>
    <row r="6271" spans="1:5">
      <c r="A6271" s="165">
        <v>87093</v>
      </c>
      <c r="B6271" s="165">
        <v>0</v>
      </c>
      <c r="C6271" s="165" t="s">
        <v>13885</v>
      </c>
      <c r="D6271" s="165" t="s">
        <v>13649</v>
      </c>
      <c r="E6271" s="166" t="s">
        <v>13767</v>
      </c>
    </row>
    <row r="6272" spans="1:5">
      <c r="A6272" s="165">
        <v>87094</v>
      </c>
      <c r="B6272" s="165">
        <v>0</v>
      </c>
      <c r="C6272" s="165" t="s">
        <v>13886</v>
      </c>
      <c r="D6272" s="165" t="s">
        <v>13650</v>
      </c>
      <c r="E6272" s="166" t="s">
        <v>13768</v>
      </c>
    </row>
    <row r="6273" spans="1:5">
      <c r="A6273" s="165">
        <v>87095</v>
      </c>
      <c r="B6273" s="165">
        <v>0</v>
      </c>
      <c r="C6273" s="165" t="s">
        <v>13887</v>
      </c>
      <c r="D6273" s="165" t="s">
        <v>13651</v>
      </c>
      <c r="E6273" s="166" t="s">
        <v>13769</v>
      </c>
    </row>
    <row r="6274" spans="1:5">
      <c r="A6274" s="165">
        <v>87096</v>
      </c>
      <c r="B6274" s="165">
        <v>0</v>
      </c>
      <c r="C6274" s="165" t="s">
        <v>13888</v>
      </c>
      <c r="D6274" s="165" t="s">
        <v>13652</v>
      </c>
      <c r="E6274" s="166" t="s">
        <v>13770</v>
      </c>
    </row>
    <row r="6275" spans="1:5">
      <c r="A6275" s="165">
        <v>87097</v>
      </c>
      <c r="B6275" s="165">
        <v>0</v>
      </c>
      <c r="C6275" s="165" t="s">
        <v>13889</v>
      </c>
      <c r="D6275" s="165" t="s">
        <v>13653</v>
      </c>
      <c r="E6275" s="166" t="s">
        <v>13771</v>
      </c>
    </row>
    <row r="6276" spans="1:5">
      <c r="A6276" s="165">
        <v>87098</v>
      </c>
      <c r="B6276" s="165">
        <v>0</v>
      </c>
      <c r="C6276" s="165" t="s">
        <v>13890</v>
      </c>
      <c r="D6276" s="165" t="s">
        <v>13654</v>
      </c>
      <c r="E6276" s="166" t="s">
        <v>13772</v>
      </c>
    </row>
    <row r="6277" spans="1:5">
      <c r="A6277" s="165">
        <v>87099</v>
      </c>
      <c r="B6277" s="165">
        <v>0</v>
      </c>
      <c r="C6277" s="165" t="s">
        <v>13891</v>
      </c>
      <c r="D6277" s="165" t="s">
        <v>13655</v>
      </c>
      <c r="E6277" s="166" t="s">
        <v>13773</v>
      </c>
    </row>
    <row r="6278" spans="1:5">
      <c r="A6278" s="165">
        <v>87100</v>
      </c>
      <c r="B6278" s="165">
        <v>0</v>
      </c>
      <c r="C6278" s="165" t="s">
        <v>13892</v>
      </c>
      <c r="D6278" s="165" t="s">
        <v>13656</v>
      </c>
      <c r="E6278" s="166" t="s">
        <v>13774</v>
      </c>
    </row>
    <row r="6279" spans="1:5">
      <c r="A6279" s="165">
        <v>87101</v>
      </c>
      <c r="B6279" s="165">
        <v>0</v>
      </c>
      <c r="C6279" s="165" t="s">
        <v>13893</v>
      </c>
      <c r="D6279" s="165" t="s">
        <v>13657</v>
      </c>
      <c r="E6279" s="166" t="s">
        <v>13775</v>
      </c>
    </row>
    <row r="6280" spans="1:5">
      <c r="A6280" s="165">
        <v>87102</v>
      </c>
      <c r="B6280" s="165">
        <v>0</v>
      </c>
      <c r="C6280" s="165" t="s">
        <v>13894</v>
      </c>
      <c r="D6280" s="165" t="s">
        <v>13658</v>
      </c>
      <c r="E6280" s="166" t="s">
        <v>13776</v>
      </c>
    </row>
    <row r="6281" spans="1:5">
      <c r="A6281" s="165">
        <v>87103</v>
      </c>
      <c r="B6281" s="165">
        <v>0</v>
      </c>
      <c r="C6281" s="165" t="s">
        <v>13895</v>
      </c>
      <c r="D6281" s="165" t="s">
        <v>13659</v>
      </c>
      <c r="E6281" s="166" t="s">
        <v>13777</v>
      </c>
    </row>
    <row r="6282" spans="1:5">
      <c r="A6282" s="165">
        <v>87104</v>
      </c>
      <c r="B6282" s="165">
        <v>0</v>
      </c>
      <c r="C6282" s="165" t="s">
        <v>13896</v>
      </c>
      <c r="D6282" s="165" t="s">
        <v>13660</v>
      </c>
      <c r="E6282" s="166" t="s">
        <v>13778</v>
      </c>
    </row>
    <row r="6283" spans="1:5">
      <c r="A6283" s="165">
        <v>87105</v>
      </c>
      <c r="B6283" s="165">
        <v>0</v>
      </c>
      <c r="C6283" s="165" t="s">
        <v>13897</v>
      </c>
      <c r="D6283" s="165" t="s">
        <v>13661</v>
      </c>
      <c r="E6283" s="166" t="s">
        <v>13779</v>
      </c>
    </row>
    <row r="6284" spans="1:5">
      <c r="A6284" s="165">
        <v>87106</v>
      </c>
      <c r="B6284" s="165">
        <v>0</v>
      </c>
      <c r="C6284" s="165" t="s">
        <v>13898</v>
      </c>
      <c r="D6284" s="165" t="s">
        <v>13662</v>
      </c>
      <c r="E6284" s="166" t="s">
        <v>13780</v>
      </c>
    </row>
    <row r="6285" spans="1:5">
      <c r="A6285" s="165">
        <v>87107</v>
      </c>
      <c r="B6285" s="165">
        <v>0</v>
      </c>
      <c r="C6285" s="165" t="s">
        <v>13899</v>
      </c>
      <c r="D6285" s="165" t="s">
        <v>13663</v>
      </c>
      <c r="E6285" s="166" t="s">
        <v>13781</v>
      </c>
    </row>
    <row r="6286" spans="1:5">
      <c r="A6286" s="165">
        <v>87108</v>
      </c>
      <c r="B6286" s="165">
        <v>0</v>
      </c>
      <c r="C6286" s="165" t="s">
        <v>13900</v>
      </c>
      <c r="D6286" s="165" t="s">
        <v>13664</v>
      </c>
      <c r="E6286" s="166" t="s">
        <v>13782</v>
      </c>
    </row>
    <row r="6287" spans="1:5">
      <c r="A6287" s="165">
        <v>87109</v>
      </c>
      <c r="B6287" s="165">
        <v>0</v>
      </c>
      <c r="C6287" s="165" t="s">
        <v>13901</v>
      </c>
      <c r="D6287" s="165" t="s">
        <v>13665</v>
      </c>
      <c r="E6287" s="166" t="s">
        <v>13783</v>
      </c>
    </row>
    <row r="6288" spans="1:5">
      <c r="A6288" s="165">
        <v>87110</v>
      </c>
      <c r="B6288" s="165">
        <v>0</v>
      </c>
      <c r="C6288" s="165" t="s">
        <v>13902</v>
      </c>
      <c r="D6288" s="165" t="s">
        <v>13666</v>
      </c>
      <c r="E6288" s="166" t="s">
        <v>13784</v>
      </c>
    </row>
    <row r="6289" spans="1:5">
      <c r="A6289" s="165">
        <v>87111</v>
      </c>
      <c r="B6289" s="165">
        <v>0</v>
      </c>
      <c r="C6289" s="165" t="s">
        <v>13903</v>
      </c>
      <c r="D6289" s="165" t="s">
        <v>13667</v>
      </c>
      <c r="E6289" s="166" t="s">
        <v>13785</v>
      </c>
    </row>
    <row r="6290" spans="1:5">
      <c r="A6290" s="165">
        <v>87112</v>
      </c>
      <c r="B6290" s="165">
        <v>0</v>
      </c>
      <c r="C6290" s="165" t="s">
        <v>13904</v>
      </c>
      <c r="D6290" s="165" t="s">
        <v>13668</v>
      </c>
      <c r="E6290" s="166" t="s">
        <v>13786</v>
      </c>
    </row>
    <row r="6291" spans="1:5">
      <c r="A6291" s="165">
        <v>87113</v>
      </c>
      <c r="B6291" s="165">
        <v>0</v>
      </c>
      <c r="C6291" s="165" t="s">
        <v>13905</v>
      </c>
      <c r="D6291" s="165" t="s">
        <v>13669</v>
      </c>
      <c r="E6291" s="166" t="s">
        <v>13787</v>
      </c>
    </row>
    <row r="6292" spans="1:5">
      <c r="A6292" s="165">
        <v>87114</v>
      </c>
      <c r="B6292" s="165">
        <v>0</v>
      </c>
      <c r="C6292" s="165" t="s">
        <v>13906</v>
      </c>
      <c r="D6292" s="165" t="s">
        <v>13670</v>
      </c>
      <c r="E6292" s="166" t="s">
        <v>13788</v>
      </c>
    </row>
    <row r="6293" spans="1:5">
      <c r="A6293" s="165">
        <v>87115</v>
      </c>
      <c r="B6293" s="165">
        <v>0</v>
      </c>
      <c r="C6293" s="165" t="s">
        <v>13907</v>
      </c>
      <c r="D6293" s="165" t="s">
        <v>13671</v>
      </c>
      <c r="E6293" s="166" t="s">
        <v>13789</v>
      </c>
    </row>
    <row r="6294" spans="1:5">
      <c r="A6294" s="165">
        <v>87116</v>
      </c>
      <c r="B6294" s="165">
        <v>0</v>
      </c>
      <c r="C6294" s="165" t="s">
        <v>13908</v>
      </c>
      <c r="D6294" s="165" t="s">
        <v>13672</v>
      </c>
      <c r="E6294" s="166" t="s">
        <v>13790</v>
      </c>
    </row>
    <row r="6295" spans="1:5">
      <c r="A6295" s="165">
        <v>87117</v>
      </c>
      <c r="B6295" s="165">
        <v>0</v>
      </c>
      <c r="C6295" s="165" t="s">
        <v>13909</v>
      </c>
      <c r="D6295" s="165" t="s">
        <v>13673</v>
      </c>
      <c r="E6295" s="166" t="s">
        <v>13791</v>
      </c>
    </row>
    <row r="6296" spans="1:5">
      <c r="A6296" s="165">
        <v>87118</v>
      </c>
      <c r="B6296" s="165">
        <v>0</v>
      </c>
      <c r="C6296" s="165" t="s">
        <v>13910</v>
      </c>
      <c r="D6296" s="165" t="s">
        <v>13674</v>
      </c>
      <c r="E6296" s="166" t="s">
        <v>13792</v>
      </c>
    </row>
    <row r="6297" spans="1:5">
      <c r="A6297" s="165">
        <v>87119</v>
      </c>
      <c r="B6297" s="165">
        <v>0</v>
      </c>
      <c r="C6297" s="165" t="s">
        <v>13911</v>
      </c>
      <c r="D6297" s="165" t="s">
        <v>13675</v>
      </c>
      <c r="E6297" s="166" t="s">
        <v>13793</v>
      </c>
    </row>
    <row r="6298" spans="1:5">
      <c r="A6298" s="165">
        <v>87120</v>
      </c>
      <c r="B6298" s="165">
        <v>0</v>
      </c>
      <c r="C6298" s="165" t="s">
        <v>13912</v>
      </c>
      <c r="D6298" s="165" t="s">
        <v>13676</v>
      </c>
      <c r="E6298" s="166" t="s">
        <v>13794</v>
      </c>
    </row>
    <row r="6299" spans="1:5">
      <c r="A6299" s="165">
        <v>87121</v>
      </c>
      <c r="B6299" s="165">
        <v>0</v>
      </c>
      <c r="C6299" s="165" t="s">
        <v>13913</v>
      </c>
      <c r="D6299" s="165" t="s">
        <v>13677</v>
      </c>
      <c r="E6299" s="166" t="s">
        <v>13795</v>
      </c>
    </row>
    <row r="6300" spans="1:5">
      <c r="A6300" s="165">
        <v>87122</v>
      </c>
      <c r="B6300" s="165">
        <v>0</v>
      </c>
      <c r="C6300" s="165" t="s">
        <v>13914</v>
      </c>
      <c r="D6300" s="165" t="s">
        <v>13678</v>
      </c>
      <c r="E6300" s="166" t="s">
        <v>13796</v>
      </c>
    </row>
    <row r="6301" spans="1:5">
      <c r="A6301" s="165">
        <v>87123</v>
      </c>
      <c r="B6301" s="165">
        <v>0</v>
      </c>
      <c r="C6301" s="165" t="s">
        <v>13915</v>
      </c>
      <c r="D6301" s="165" t="s">
        <v>13679</v>
      </c>
      <c r="E6301" s="166" t="s">
        <v>13797</v>
      </c>
    </row>
    <row r="6302" spans="1:5">
      <c r="A6302" s="165">
        <v>87124</v>
      </c>
      <c r="B6302" s="165">
        <v>0</v>
      </c>
      <c r="C6302" s="165" t="s">
        <v>13916</v>
      </c>
      <c r="D6302" s="165" t="s">
        <v>13680</v>
      </c>
      <c r="E6302" s="166" t="s">
        <v>13798</v>
      </c>
    </row>
    <row r="6303" spans="1:5">
      <c r="A6303" s="165">
        <v>87125</v>
      </c>
      <c r="B6303" s="165">
        <v>0</v>
      </c>
      <c r="C6303" s="165" t="s">
        <v>13917</v>
      </c>
      <c r="D6303" s="165" t="s">
        <v>13681</v>
      </c>
      <c r="E6303" s="166" t="s">
        <v>13799</v>
      </c>
    </row>
    <row r="6304" spans="1:5">
      <c r="A6304" s="165">
        <v>87126</v>
      </c>
      <c r="B6304" s="165">
        <v>0</v>
      </c>
      <c r="C6304" s="165" t="s">
        <v>13918</v>
      </c>
      <c r="D6304" s="165" t="s">
        <v>13682</v>
      </c>
      <c r="E6304" s="166" t="s">
        <v>13800</v>
      </c>
    </row>
    <row r="6305" spans="1:5">
      <c r="A6305" s="165">
        <v>87127</v>
      </c>
      <c r="B6305" s="165">
        <v>0</v>
      </c>
      <c r="C6305" s="165" t="s">
        <v>13919</v>
      </c>
      <c r="D6305" s="165" t="s">
        <v>13683</v>
      </c>
      <c r="E6305" s="166" t="s">
        <v>13801</v>
      </c>
    </row>
    <row r="6306" spans="1:5">
      <c r="A6306" s="165">
        <v>87128</v>
      </c>
      <c r="B6306" s="165">
        <v>0</v>
      </c>
      <c r="C6306" s="165" t="s">
        <v>13920</v>
      </c>
      <c r="D6306" s="165" t="s">
        <v>13684</v>
      </c>
      <c r="E6306" s="166" t="s">
        <v>13802</v>
      </c>
    </row>
    <row r="6307" spans="1:5">
      <c r="A6307" s="165">
        <v>87129</v>
      </c>
      <c r="B6307" s="165">
        <v>0</v>
      </c>
      <c r="C6307" s="165" t="s">
        <v>13921</v>
      </c>
      <c r="D6307" s="165" t="s">
        <v>13685</v>
      </c>
      <c r="E6307" s="166" t="s">
        <v>13803</v>
      </c>
    </row>
    <row r="6308" spans="1:5">
      <c r="A6308" s="165">
        <v>87130</v>
      </c>
      <c r="B6308" s="165">
        <v>0</v>
      </c>
      <c r="C6308" s="165" t="s">
        <v>13922</v>
      </c>
      <c r="D6308" s="165" t="s">
        <v>13686</v>
      </c>
      <c r="E6308" s="166" t="s">
        <v>13804</v>
      </c>
    </row>
    <row r="6309" spans="1:5">
      <c r="A6309" s="165">
        <v>87131</v>
      </c>
      <c r="B6309" s="165">
        <v>0</v>
      </c>
      <c r="C6309" s="165" t="s">
        <v>13923</v>
      </c>
      <c r="D6309" s="165" t="s">
        <v>13687</v>
      </c>
      <c r="E6309" s="166" t="s">
        <v>13805</v>
      </c>
    </row>
    <row r="6310" spans="1:5">
      <c r="A6310" s="165">
        <v>87132</v>
      </c>
      <c r="B6310" s="165">
        <v>0</v>
      </c>
      <c r="C6310" s="165" t="s">
        <v>13924</v>
      </c>
      <c r="D6310" s="165" t="s">
        <v>13688</v>
      </c>
      <c r="E6310" s="166" t="s">
        <v>13806</v>
      </c>
    </row>
    <row r="6311" spans="1:5">
      <c r="A6311" s="165">
        <v>87133</v>
      </c>
      <c r="B6311" s="165">
        <v>0</v>
      </c>
      <c r="C6311" s="165" t="s">
        <v>13925</v>
      </c>
      <c r="D6311" s="165" t="s">
        <v>13689</v>
      </c>
      <c r="E6311" s="166" t="s">
        <v>13807</v>
      </c>
    </row>
    <row r="6312" spans="1:5">
      <c r="A6312" s="165">
        <v>87134</v>
      </c>
      <c r="B6312" s="165">
        <v>0</v>
      </c>
      <c r="C6312" s="165" t="s">
        <v>13926</v>
      </c>
      <c r="D6312" s="165" t="s">
        <v>13690</v>
      </c>
      <c r="E6312" s="166" t="s">
        <v>13808</v>
      </c>
    </row>
    <row r="6313" spans="1:5">
      <c r="A6313" s="165">
        <v>87135</v>
      </c>
      <c r="B6313" s="165">
        <v>0</v>
      </c>
      <c r="C6313" s="165" t="s">
        <v>13927</v>
      </c>
      <c r="D6313" s="165" t="s">
        <v>13691</v>
      </c>
      <c r="E6313" s="166" t="s">
        <v>13809</v>
      </c>
    </row>
    <row r="6314" spans="1:5">
      <c r="A6314" s="165">
        <v>87136</v>
      </c>
      <c r="B6314" s="165">
        <v>0</v>
      </c>
      <c r="C6314" s="165" t="s">
        <v>13928</v>
      </c>
      <c r="D6314" s="165" t="s">
        <v>13692</v>
      </c>
      <c r="E6314" s="166" t="s">
        <v>13810</v>
      </c>
    </row>
    <row r="6315" spans="1:5">
      <c r="A6315" s="165">
        <v>87137</v>
      </c>
      <c r="B6315" s="165">
        <v>0</v>
      </c>
      <c r="C6315" s="165" t="s">
        <v>13929</v>
      </c>
      <c r="D6315" s="165" t="s">
        <v>13693</v>
      </c>
      <c r="E6315" s="166" t="s">
        <v>13811</v>
      </c>
    </row>
    <row r="6316" spans="1:5">
      <c r="A6316" s="165">
        <v>87138</v>
      </c>
      <c r="B6316" s="165">
        <v>0</v>
      </c>
      <c r="C6316" s="165" t="s">
        <v>13930</v>
      </c>
      <c r="D6316" s="165" t="s">
        <v>13694</v>
      </c>
      <c r="E6316" s="166" t="s">
        <v>13812</v>
      </c>
    </row>
    <row r="6317" spans="1:5">
      <c r="A6317" s="165">
        <v>87139</v>
      </c>
      <c r="B6317" s="165">
        <v>0</v>
      </c>
      <c r="C6317" s="165" t="s">
        <v>13931</v>
      </c>
      <c r="D6317" s="165" t="s">
        <v>13695</v>
      </c>
      <c r="E6317" s="166" t="s">
        <v>13813</v>
      </c>
    </row>
    <row r="6318" spans="1:5">
      <c r="A6318" s="165">
        <v>87140</v>
      </c>
      <c r="B6318" s="165">
        <v>0</v>
      </c>
      <c r="C6318" s="165" t="s">
        <v>13932</v>
      </c>
      <c r="D6318" s="165" t="s">
        <v>13696</v>
      </c>
      <c r="E6318" s="166" t="s">
        <v>13814</v>
      </c>
    </row>
    <row r="6319" spans="1:5">
      <c r="A6319" s="165">
        <v>87141</v>
      </c>
      <c r="B6319" s="165">
        <v>0</v>
      </c>
      <c r="C6319" s="165" t="s">
        <v>13933</v>
      </c>
      <c r="D6319" s="165" t="s">
        <v>13697</v>
      </c>
      <c r="E6319" s="166" t="s">
        <v>13815</v>
      </c>
    </row>
    <row r="6320" spans="1:5">
      <c r="A6320" s="165">
        <v>87142</v>
      </c>
      <c r="B6320" s="165">
        <v>0</v>
      </c>
      <c r="C6320" s="165" t="s">
        <v>13934</v>
      </c>
      <c r="D6320" s="165" t="s">
        <v>13698</v>
      </c>
      <c r="E6320" s="166" t="s">
        <v>13816</v>
      </c>
    </row>
    <row r="6321" spans="1:5">
      <c r="A6321" s="165">
        <v>87143</v>
      </c>
      <c r="B6321" s="165">
        <v>0</v>
      </c>
      <c r="C6321" s="165" t="s">
        <v>13935</v>
      </c>
      <c r="D6321" s="165" t="s">
        <v>13699</v>
      </c>
      <c r="E6321" s="166" t="s">
        <v>13817</v>
      </c>
    </row>
    <row r="6322" spans="1:5">
      <c r="A6322" s="165">
        <v>87144</v>
      </c>
      <c r="B6322" s="165">
        <v>0</v>
      </c>
      <c r="C6322" s="165" t="s">
        <v>13936</v>
      </c>
      <c r="D6322" s="165" t="s">
        <v>13700</v>
      </c>
      <c r="E6322" s="166" t="s">
        <v>13818</v>
      </c>
    </row>
    <row r="6323" spans="1:5">
      <c r="A6323" s="165">
        <v>87145</v>
      </c>
      <c r="B6323" s="165">
        <v>0</v>
      </c>
      <c r="C6323" s="165" t="s">
        <v>13937</v>
      </c>
      <c r="D6323" s="165" t="s">
        <v>13701</v>
      </c>
      <c r="E6323" s="166" t="s">
        <v>13819</v>
      </c>
    </row>
    <row r="6324" spans="1:5">
      <c r="A6324" s="165">
        <v>87146</v>
      </c>
      <c r="B6324" s="165">
        <v>0</v>
      </c>
      <c r="C6324" s="165" t="s">
        <v>13938</v>
      </c>
      <c r="D6324" s="165" t="s">
        <v>13702</v>
      </c>
      <c r="E6324" s="166" t="s">
        <v>13820</v>
      </c>
    </row>
    <row r="6325" spans="1:5">
      <c r="A6325" s="165">
        <v>87147</v>
      </c>
      <c r="B6325" s="165">
        <v>0</v>
      </c>
      <c r="C6325" s="165" t="s">
        <v>13939</v>
      </c>
      <c r="D6325" s="165" t="s">
        <v>13703</v>
      </c>
      <c r="E6325" s="166" t="s">
        <v>13821</v>
      </c>
    </row>
    <row r="6326" spans="1:5">
      <c r="A6326" s="165">
        <v>87148</v>
      </c>
      <c r="B6326" s="165">
        <v>0</v>
      </c>
      <c r="C6326" s="165" t="s">
        <v>13940</v>
      </c>
      <c r="D6326" s="165" t="s">
        <v>13704</v>
      </c>
      <c r="E6326" s="166" t="s">
        <v>13822</v>
      </c>
    </row>
    <row r="6327" spans="1:5">
      <c r="A6327" s="165">
        <v>87149</v>
      </c>
      <c r="B6327" s="165">
        <v>0</v>
      </c>
      <c r="C6327" s="165" t="s">
        <v>13941</v>
      </c>
      <c r="D6327" s="165" t="s">
        <v>13705</v>
      </c>
      <c r="E6327" s="166" t="s">
        <v>13823</v>
      </c>
    </row>
    <row r="6328" spans="1:5">
      <c r="A6328" s="165">
        <v>87150</v>
      </c>
      <c r="B6328" s="165">
        <v>0</v>
      </c>
      <c r="C6328" s="165" t="s">
        <v>13942</v>
      </c>
      <c r="D6328" s="165" t="s">
        <v>13706</v>
      </c>
      <c r="E6328" s="166" t="s">
        <v>13824</v>
      </c>
    </row>
    <row r="6329" spans="1:5">
      <c r="A6329" s="37">
        <v>90001</v>
      </c>
      <c r="B6329" s="37">
        <v>0</v>
      </c>
      <c r="C6329" s="37" t="s">
        <v>3350</v>
      </c>
      <c r="D6329" s="37" t="s">
        <v>9404</v>
      </c>
      <c r="E6329" s="39" t="s">
        <v>616</v>
      </c>
    </row>
    <row r="6330" spans="1:5">
      <c r="A6330" s="37">
        <v>90002</v>
      </c>
      <c r="B6330" s="37">
        <v>0</v>
      </c>
      <c r="C6330" s="37" t="s">
        <v>3352</v>
      </c>
      <c r="D6330" s="37" t="s">
        <v>9405</v>
      </c>
      <c r="E6330" s="39" t="s">
        <v>713</v>
      </c>
    </row>
    <row r="6331" spans="1:5">
      <c r="A6331" s="37">
        <v>90003</v>
      </c>
      <c r="B6331" s="37">
        <v>0</v>
      </c>
      <c r="C6331" s="37" t="s">
        <v>3352</v>
      </c>
      <c r="D6331" s="37" t="s">
        <v>9406</v>
      </c>
      <c r="E6331" s="39" t="s">
        <v>713</v>
      </c>
    </row>
    <row r="6332" spans="1:5">
      <c r="A6332" s="37">
        <v>90004</v>
      </c>
      <c r="B6332" s="37">
        <v>0</v>
      </c>
      <c r="C6332" s="37" t="s">
        <v>3352</v>
      </c>
      <c r="D6332" s="37" t="s">
        <v>9407</v>
      </c>
      <c r="E6332" s="39" t="s">
        <v>713</v>
      </c>
    </row>
    <row r="6333" spans="1:5">
      <c r="A6333" s="37">
        <v>90005</v>
      </c>
      <c r="B6333" s="37">
        <v>0</v>
      </c>
      <c r="C6333" s="37" t="s">
        <v>3353</v>
      </c>
      <c r="D6333" s="37" t="s">
        <v>9408</v>
      </c>
      <c r="E6333" s="39" t="s">
        <v>1293</v>
      </c>
    </row>
    <row r="6334" spans="1:5">
      <c r="A6334" s="37">
        <v>90006</v>
      </c>
      <c r="B6334" s="37">
        <v>0</v>
      </c>
      <c r="C6334" s="37" t="s">
        <v>3353</v>
      </c>
      <c r="D6334" s="37" t="s">
        <v>9409</v>
      </c>
      <c r="E6334" s="39" t="s">
        <v>1293</v>
      </c>
    </row>
    <row r="6335" spans="1:5">
      <c r="A6335" s="37">
        <v>90007</v>
      </c>
      <c r="B6335" s="37">
        <v>0</v>
      </c>
      <c r="C6335" s="37" t="s">
        <v>3353</v>
      </c>
      <c r="D6335" s="37" t="s">
        <v>9410</v>
      </c>
      <c r="E6335" s="39" t="s">
        <v>1293</v>
      </c>
    </row>
    <row r="6336" spans="1:5">
      <c r="A6336" s="37">
        <v>90008</v>
      </c>
      <c r="B6336" s="37">
        <v>0</v>
      </c>
      <c r="C6336" s="37" t="s">
        <v>3354</v>
      </c>
      <c r="D6336" s="37" t="s">
        <v>9411</v>
      </c>
      <c r="E6336" s="39" t="s">
        <v>782</v>
      </c>
    </row>
    <row r="6337" spans="1:5">
      <c r="A6337" s="37">
        <v>90009</v>
      </c>
      <c r="B6337" s="37">
        <v>0</v>
      </c>
      <c r="C6337" s="37" t="s">
        <v>3354</v>
      </c>
      <c r="D6337" s="37" t="s">
        <v>9412</v>
      </c>
      <c r="E6337" s="39" t="s">
        <v>782</v>
      </c>
    </row>
    <row r="6338" spans="1:5">
      <c r="A6338" s="37">
        <v>90010</v>
      </c>
      <c r="B6338" s="37">
        <v>0</v>
      </c>
      <c r="C6338" s="37" t="s">
        <v>3354</v>
      </c>
      <c r="D6338" s="37" t="s">
        <v>9413</v>
      </c>
      <c r="E6338" s="39" t="s">
        <v>782</v>
      </c>
    </row>
    <row r="6339" spans="1:5">
      <c r="A6339" s="37">
        <v>90011</v>
      </c>
      <c r="B6339" s="37">
        <v>0</v>
      </c>
      <c r="C6339" s="37" t="s">
        <v>3355</v>
      </c>
      <c r="D6339" s="37" t="s">
        <v>9414</v>
      </c>
      <c r="E6339" s="39" t="s">
        <v>599</v>
      </c>
    </row>
    <row r="6340" spans="1:5">
      <c r="A6340" s="37">
        <v>90012</v>
      </c>
      <c r="B6340" s="37">
        <v>0</v>
      </c>
      <c r="C6340" s="37" t="s">
        <v>3355</v>
      </c>
      <c r="D6340" s="37" t="s">
        <v>9415</v>
      </c>
      <c r="E6340" s="39" t="s">
        <v>599</v>
      </c>
    </row>
    <row r="6341" spans="1:5">
      <c r="A6341" s="37">
        <v>90013</v>
      </c>
      <c r="B6341" s="37">
        <v>0</v>
      </c>
      <c r="C6341" s="37" t="s">
        <v>3355</v>
      </c>
      <c r="D6341" s="37" t="s">
        <v>9416</v>
      </c>
      <c r="E6341" s="39" t="s">
        <v>599</v>
      </c>
    </row>
    <row r="6342" spans="1:5">
      <c r="A6342" s="37">
        <v>90014</v>
      </c>
      <c r="B6342" s="37">
        <v>0</v>
      </c>
      <c r="C6342" s="37" t="s">
        <v>3356</v>
      </c>
      <c r="D6342" s="37" t="s">
        <v>9417</v>
      </c>
      <c r="E6342" s="39" t="s">
        <v>649</v>
      </c>
    </row>
    <row r="6343" spans="1:5">
      <c r="A6343" s="37">
        <v>90015</v>
      </c>
      <c r="B6343" s="37">
        <v>0</v>
      </c>
      <c r="C6343" s="37" t="s">
        <v>3356</v>
      </c>
      <c r="D6343" s="37" t="s">
        <v>9418</v>
      </c>
      <c r="E6343" s="39" t="s">
        <v>649</v>
      </c>
    </row>
    <row r="6344" spans="1:5">
      <c r="A6344" s="37">
        <v>90016</v>
      </c>
      <c r="B6344" s="37">
        <v>0</v>
      </c>
      <c r="C6344" s="37" t="s">
        <v>3356</v>
      </c>
      <c r="D6344" s="37" t="s">
        <v>9419</v>
      </c>
      <c r="E6344" s="39" t="s">
        <v>649</v>
      </c>
    </row>
    <row r="6345" spans="1:5">
      <c r="A6345" s="37">
        <v>90017</v>
      </c>
      <c r="B6345" s="37">
        <v>0</v>
      </c>
      <c r="C6345" s="37" t="s">
        <v>3357</v>
      </c>
      <c r="D6345" s="37" t="s">
        <v>9420</v>
      </c>
      <c r="E6345" s="39" t="s">
        <v>1320</v>
      </c>
    </row>
    <row r="6346" spans="1:5">
      <c r="A6346" s="37">
        <v>90018</v>
      </c>
      <c r="B6346" s="37">
        <v>0</v>
      </c>
      <c r="C6346" s="37" t="s">
        <v>3357</v>
      </c>
      <c r="D6346" s="37" t="s">
        <v>9421</v>
      </c>
      <c r="E6346" s="39" t="s">
        <v>1320</v>
      </c>
    </row>
    <row r="6347" spans="1:5">
      <c r="A6347" s="37">
        <v>90019</v>
      </c>
      <c r="B6347" s="37">
        <v>0</v>
      </c>
      <c r="C6347" s="37" t="s">
        <v>3357</v>
      </c>
      <c r="D6347" s="37" t="s">
        <v>9422</v>
      </c>
      <c r="E6347" s="39" t="s">
        <v>1320</v>
      </c>
    </row>
    <row r="6348" spans="1:5">
      <c r="A6348" s="37">
        <v>90020</v>
      </c>
      <c r="B6348" s="37">
        <v>0</v>
      </c>
      <c r="C6348" s="37" t="s">
        <v>3358</v>
      </c>
      <c r="D6348" s="37" t="s">
        <v>9423</v>
      </c>
      <c r="E6348" s="39" t="s">
        <v>1327</v>
      </c>
    </row>
    <row r="6349" spans="1:5">
      <c r="A6349" s="37">
        <v>90021</v>
      </c>
      <c r="B6349" s="37">
        <v>0</v>
      </c>
      <c r="C6349" s="37" t="s">
        <v>3358</v>
      </c>
      <c r="D6349" s="37" t="s">
        <v>9424</v>
      </c>
      <c r="E6349" s="39" t="s">
        <v>1327</v>
      </c>
    </row>
    <row r="6350" spans="1:5">
      <c r="A6350" s="37">
        <v>90022</v>
      </c>
      <c r="B6350" s="37">
        <v>0</v>
      </c>
      <c r="C6350" s="37" t="s">
        <v>3358</v>
      </c>
      <c r="D6350" s="37" t="s">
        <v>9425</v>
      </c>
      <c r="E6350" s="39" t="s">
        <v>1327</v>
      </c>
    </row>
    <row r="6351" spans="1:5">
      <c r="A6351" s="37">
        <v>90023</v>
      </c>
      <c r="B6351" s="37">
        <v>0</v>
      </c>
      <c r="C6351" s="37" t="s">
        <v>3359</v>
      </c>
      <c r="D6351" s="37" t="s">
        <v>9426</v>
      </c>
      <c r="E6351" s="39" t="s">
        <v>1334</v>
      </c>
    </row>
    <row r="6352" spans="1:5">
      <c r="A6352" s="37">
        <v>90024</v>
      </c>
      <c r="B6352" s="37">
        <v>0</v>
      </c>
      <c r="C6352" s="37" t="s">
        <v>3359</v>
      </c>
      <c r="D6352" s="37" t="s">
        <v>9427</v>
      </c>
      <c r="E6352" s="39" t="s">
        <v>1334</v>
      </c>
    </row>
    <row r="6353" spans="1:5">
      <c r="A6353" s="37">
        <v>90025</v>
      </c>
      <c r="B6353" s="37">
        <v>0</v>
      </c>
      <c r="C6353" s="37" t="s">
        <v>3359</v>
      </c>
      <c r="D6353" s="37" t="s">
        <v>9428</v>
      </c>
      <c r="E6353" s="39" t="s">
        <v>1334</v>
      </c>
    </row>
    <row r="6354" spans="1:5">
      <c r="A6354" s="37">
        <v>90026</v>
      </c>
      <c r="B6354" s="37">
        <v>0</v>
      </c>
      <c r="C6354" s="37" t="s">
        <v>3360</v>
      </c>
      <c r="D6354" s="37" t="s">
        <v>9429</v>
      </c>
      <c r="E6354" s="39" t="s">
        <v>604</v>
      </c>
    </row>
    <row r="6355" spans="1:5">
      <c r="A6355" s="37">
        <v>90027</v>
      </c>
      <c r="B6355" s="37">
        <v>0</v>
      </c>
      <c r="C6355" s="37" t="s">
        <v>3360</v>
      </c>
      <c r="D6355" s="37" t="s">
        <v>9430</v>
      </c>
      <c r="E6355" s="39" t="s">
        <v>604</v>
      </c>
    </row>
    <row r="6356" spans="1:5">
      <c r="A6356" s="37">
        <v>90028</v>
      </c>
      <c r="B6356" s="37">
        <v>0</v>
      </c>
      <c r="C6356" s="37" t="s">
        <v>3360</v>
      </c>
      <c r="D6356" s="37" t="s">
        <v>9431</v>
      </c>
      <c r="E6356" s="39" t="s">
        <v>604</v>
      </c>
    </row>
    <row r="6357" spans="1:5">
      <c r="A6357" s="37">
        <v>90029</v>
      </c>
      <c r="B6357" s="37">
        <v>0</v>
      </c>
      <c r="C6357" s="37" t="s">
        <v>3361</v>
      </c>
      <c r="D6357" s="37" t="s">
        <v>9432</v>
      </c>
      <c r="E6357" s="39" t="s">
        <v>1349</v>
      </c>
    </row>
    <row r="6358" spans="1:5">
      <c r="A6358" s="37">
        <v>90030</v>
      </c>
      <c r="B6358" s="37">
        <v>0</v>
      </c>
      <c r="C6358" s="37" t="s">
        <v>3361</v>
      </c>
      <c r="D6358" s="37" t="s">
        <v>9433</v>
      </c>
      <c r="E6358" s="39" t="s">
        <v>1349</v>
      </c>
    </row>
    <row r="6359" spans="1:5">
      <c r="A6359" s="37">
        <v>90031</v>
      </c>
      <c r="B6359" s="37">
        <v>0</v>
      </c>
      <c r="C6359" s="37" t="s">
        <v>3361</v>
      </c>
      <c r="D6359" s="37" t="s">
        <v>9434</v>
      </c>
      <c r="E6359" s="39" t="s">
        <v>1349</v>
      </c>
    </row>
    <row r="6360" spans="1:5">
      <c r="A6360" s="37">
        <v>90032</v>
      </c>
      <c r="B6360" s="37">
        <v>0</v>
      </c>
      <c r="C6360" s="37" t="s">
        <v>3362</v>
      </c>
      <c r="D6360" s="37" t="s">
        <v>9435</v>
      </c>
      <c r="E6360" s="39" t="s">
        <v>1357</v>
      </c>
    </row>
    <row r="6361" spans="1:5">
      <c r="A6361" s="37">
        <v>90033</v>
      </c>
      <c r="B6361" s="37">
        <v>0</v>
      </c>
      <c r="C6361" s="37" t="s">
        <v>3362</v>
      </c>
      <c r="D6361" s="37" t="s">
        <v>9436</v>
      </c>
      <c r="E6361" s="39" t="s">
        <v>1357</v>
      </c>
    </row>
    <row r="6362" spans="1:5">
      <c r="A6362" s="37">
        <v>90034</v>
      </c>
      <c r="B6362" s="37">
        <v>0</v>
      </c>
      <c r="C6362" s="37" t="s">
        <v>3362</v>
      </c>
      <c r="D6362" s="37" t="s">
        <v>9437</v>
      </c>
      <c r="E6362" s="39" t="s">
        <v>1357</v>
      </c>
    </row>
    <row r="6363" spans="1:5">
      <c r="A6363" s="37">
        <v>90035</v>
      </c>
      <c r="B6363" s="37">
        <v>0</v>
      </c>
      <c r="C6363" s="37" t="s">
        <v>3363</v>
      </c>
      <c r="D6363" s="37" t="s">
        <v>9438</v>
      </c>
      <c r="E6363" s="39" t="s">
        <v>2056</v>
      </c>
    </row>
    <row r="6364" spans="1:5">
      <c r="A6364" s="37">
        <v>90036</v>
      </c>
      <c r="B6364" s="37">
        <v>0</v>
      </c>
      <c r="C6364" s="37" t="s">
        <v>3363</v>
      </c>
      <c r="D6364" s="37" t="s">
        <v>9439</v>
      </c>
      <c r="E6364" s="39" t="s">
        <v>2056</v>
      </c>
    </row>
    <row r="6365" spans="1:5">
      <c r="A6365" s="37">
        <v>90037</v>
      </c>
      <c r="B6365" s="37">
        <v>0</v>
      </c>
      <c r="C6365" s="37" t="s">
        <v>3363</v>
      </c>
      <c r="D6365" s="37" t="s">
        <v>9440</v>
      </c>
      <c r="E6365" s="39" t="s">
        <v>2056</v>
      </c>
    </row>
    <row r="6366" spans="1:5">
      <c r="A6366" s="37">
        <v>90038</v>
      </c>
      <c r="B6366" s="37">
        <v>0</v>
      </c>
      <c r="C6366" s="37" t="s">
        <v>3364</v>
      </c>
      <c r="D6366" s="37" t="s">
        <v>9441</v>
      </c>
      <c r="E6366" s="39" t="s">
        <v>2061</v>
      </c>
    </row>
    <row r="6367" spans="1:5">
      <c r="A6367" s="37">
        <v>90039</v>
      </c>
      <c r="B6367" s="37">
        <v>0</v>
      </c>
      <c r="C6367" s="37" t="s">
        <v>3364</v>
      </c>
      <c r="D6367" s="37" t="s">
        <v>9442</v>
      </c>
      <c r="E6367" s="39" t="s">
        <v>2061</v>
      </c>
    </row>
    <row r="6368" spans="1:5">
      <c r="A6368" s="37">
        <v>90040</v>
      </c>
      <c r="B6368" s="37">
        <v>0</v>
      </c>
      <c r="C6368" s="37" t="s">
        <v>3364</v>
      </c>
      <c r="D6368" s="37" t="s">
        <v>9443</v>
      </c>
      <c r="E6368" s="39" t="s">
        <v>2061</v>
      </c>
    </row>
    <row r="6369" spans="1:5">
      <c r="A6369" s="37">
        <v>90041</v>
      </c>
      <c r="B6369" s="37">
        <v>0</v>
      </c>
      <c r="C6369" s="37" t="s">
        <v>3365</v>
      </c>
      <c r="D6369" s="37" t="s">
        <v>9444</v>
      </c>
      <c r="E6369" s="39" t="s">
        <v>793</v>
      </c>
    </row>
    <row r="6370" spans="1:5">
      <c r="A6370" s="37">
        <v>90042</v>
      </c>
      <c r="B6370" s="37">
        <v>0</v>
      </c>
      <c r="C6370" s="37" t="s">
        <v>3365</v>
      </c>
      <c r="D6370" s="37" t="s">
        <v>9445</v>
      </c>
      <c r="E6370" s="39" t="s">
        <v>793</v>
      </c>
    </row>
    <row r="6371" spans="1:5">
      <c r="A6371" s="37">
        <v>90043</v>
      </c>
      <c r="B6371" s="37">
        <v>0</v>
      </c>
      <c r="C6371" s="37" t="s">
        <v>3365</v>
      </c>
      <c r="D6371" s="37" t="s">
        <v>9446</v>
      </c>
      <c r="E6371" s="39" t="s">
        <v>793</v>
      </c>
    </row>
    <row r="6372" spans="1:5">
      <c r="A6372" s="37">
        <v>90044</v>
      </c>
      <c r="B6372" s="37">
        <v>0</v>
      </c>
      <c r="C6372" s="37" t="s">
        <v>4589</v>
      </c>
      <c r="D6372" s="37" t="s">
        <v>9447</v>
      </c>
      <c r="E6372" s="39" t="s">
        <v>3140</v>
      </c>
    </row>
    <row r="6373" spans="1:5">
      <c r="A6373" s="37">
        <v>90045</v>
      </c>
      <c r="B6373" s="37">
        <v>0</v>
      </c>
      <c r="C6373" s="37" t="s">
        <v>4589</v>
      </c>
      <c r="D6373" s="37" t="s">
        <v>9448</v>
      </c>
      <c r="E6373" s="39" t="s">
        <v>3140</v>
      </c>
    </row>
    <row r="6374" spans="1:5">
      <c r="A6374" s="37">
        <v>90046</v>
      </c>
      <c r="B6374" s="37">
        <v>0</v>
      </c>
      <c r="C6374" s="37" t="s">
        <v>4589</v>
      </c>
      <c r="D6374" s="37" t="s">
        <v>9449</v>
      </c>
      <c r="E6374" s="39" t="s">
        <v>3140</v>
      </c>
    </row>
    <row r="6375" spans="1:5">
      <c r="A6375" s="37">
        <v>90047</v>
      </c>
      <c r="B6375" s="37">
        <v>0</v>
      </c>
      <c r="C6375" s="37" t="s">
        <v>5114</v>
      </c>
      <c r="D6375" s="37" t="s">
        <v>9450</v>
      </c>
      <c r="E6375" s="39" t="s">
        <v>5118</v>
      </c>
    </row>
    <row r="6376" spans="1:5">
      <c r="A6376" s="37">
        <v>90048</v>
      </c>
      <c r="B6376" s="37">
        <v>0</v>
      </c>
      <c r="C6376" s="37" t="s">
        <v>5114</v>
      </c>
      <c r="D6376" s="37" t="s">
        <v>9451</v>
      </c>
      <c r="E6376" s="39" t="s">
        <v>5118</v>
      </c>
    </row>
    <row r="6377" spans="1:5">
      <c r="A6377" s="37">
        <v>90049</v>
      </c>
      <c r="B6377" s="37">
        <v>0</v>
      </c>
      <c r="C6377" s="37" t="s">
        <v>5114</v>
      </c>
      <c r="D6377" s="37" t="s">
        <v>9452</v>
      </c>
      <c r="E6377" s="39" t="s">
        <v>5118</v>
      </c>
    </row>
    <row r="6378" spans="1:5">
      <c r="A6378" s="37">
        <v>90050</v>
      </c>
      <c r="B6378" s="37">
        <v>0</v>
      </c>
      <c r="C6378" s="37" t="s">
        <v>4112</v>
      </c>
      <c r="D6378" s="37" t="s">
        <v>9453</v>
      </c>
      <c r="E6378" s="39" t="s">
        <v>1714</v>
      </c>
    </row>
    <row r="6379" spans="1:5">
      <c r="A6379" s="37">
        <v>90051</v>
      </c>
      <c r="B6379" s="37">
        <v>0</v>
      </c>
      <c r="C6379" s="37" t="s">
        <v>4112</v>
      </c>
      <c r="D6379" s="37" t="s">
        <v>10562</v>
      </c>
      <c r="E6379" s="39" t="s">
        <v>1714</v>
      </c>
    </row>
    <row r="6380" spans="1:5">
      <c r="A6380" s="37">
        <v>90052</v>
      </c>
      <c r="B6380" s="37">
        <v>0</v>
      </c>
      <c r="C6380" s="37" t="s">
        <v>4112</v>
      </c>
      <c r="D6380" s="37" t="s">
        <v>10563</v>
      </c>
      <c r="E6380" s="39" t="s">
        <v>1714</v>
      </c>
    </row>
    <row r="6381" spans="1:5">
      <c r="A6381" s="37">
        <v>90053</v>
      </c>
      <c r="B6381" s="37">
        <v>0</v>
      </c>
      <c r="C6381" s="37" t="s">
        <v>5115</v>
      </c>
      <c r="D6381" s="37" t="s">
        <v>10564</v>
      </c>
      <c r="E6381" s="39" t="s">
        <v>5119</v>
      </c>
    </row>
    <row r="6382" spans="1:5">
      <c r="A6382" s="37">
        <v>90054</v>
      </c>
      <c r="B6382" s="37">
        <v>0</v>
      </c>
      <c r="C6382" s="37" t="s">
        <v>5115</v>
      </c>
      <c r="D6382" s="37" t="s">
        <v>10565</v>
      </c>
      <c r="E6382" s="39" t="s">
        <v>5119</v>
      </c>
    </row>
    <row r="6383" spans="1:5">
      <c r="A6383" s="37">
        <v>90055</v>
      </c>
      <c r="B6383" s="37">
        <v>0</v>
      </c>
      <c r="C6383" s="37" t="s">
        <v>5115</v>
      </c>
      <c r="D6383" s="37" t="s">
        <v>10566</v>
      </c>
      <c r="E6383" s="39" t="s">
        <v>5119</v>
      </c>
    </row>
    <row r="6384" spans="1:5">
      <c r="A6384" s="37">
        <v>90056</v>
      </c>
      <c r="B6384" s="37">
        <v>0</v>
      </c>
      <c r="C6384" s="37" t="s">
        <v>3764</v>
      </c>
      <c r="D6384" s="37" t="s">
        <v>10567</v>
      </c>
      <c r="E6384" s="39" t="s">
        <v>801</v>
      </c>
    </row>
    <row r="6385" spans="1:5">
      <c r="A6385" s="37">
        <v>90057</v>
      </c>
      <c r="B6385" s="37">
        <v>0</v>
      </c>
      <c r="C6385" s="37" t="s">
        <v>3764</v>
      </c>
      <c r="D6385" s="37" t="s">
        <v>10568</v>
      </c>
      <c r="E6385" s="39" t="s">
        <v>801</v>
      </c>
    </row>
    <row r="6386" spans="1:5">
      <c r="A6386" s="37">
        <v>90058</v>
      </c>
      <c r="B6386" s="37">
        <v>0</v>
      </c>
      <c r="C6386" s="37" t="s">
        <v>3764</v>
      </c>
      <c r="D6386" s="37" t="s">
        <v>10569</v>
      </c>
      <c r="E6386" s="39" t="s">
        <v>801</v>
      </c>
    </row>
    <row r="6387" spans="1:5">
      <c r="A6387" s="37">
        <v>90059</v>
      </c>
      <c r="B6387" s="37">
        <v>0</v>
      </c>
      <c r="C6387" s="37" t="s">
        <v>11485</v>
      </c>
      <c r="D6387" s="37" t="s">
        <v>10570</v>
      </c>
      <c r="E6387" s="39" t="s">
        <v>11497</v>
      </c>
    </row>
    <row r="6388" spans="1:5">
      <c r="A6388" s="37">
        <v>90060</v>
      </c>
      <c r="B6388" s="37">
        <v>0</v>
      </c>
      <c r="C6388" s="37" t="s">
        <v>11485</v>
      </c>
      <c r="D6388" s="37" t="s">
        <v>10571</v>
      </c>
      <c r="E6388" s="39" t="s">
        <v>11497</v>
      </c>
    </row>
    <row r="6389" spans="1:5">
      <c r="A6389" s="37">
        <v>90061</v>
      </c>
      <c r="B6389" s="37">
        <v>0</v>
      </c>
      <c r="C6389" s="37" t="s">
        <v>11485</v>
      </c>
      <c r="D6389" s="37" t="s">
        <v>10572</v>
      </c>
      <c r="E6389" s="39" t="s">
        <v>11497</v>
      </c>
    </row>
    <row r="6390" spans="1:5">
      <c r="A6390" s="37">
        <v>90062</v>
      </c>
      <c r="B6390" s="37">
        <v>0</v>
      </c>
      <c r="C6390" s="37" t="s">
        <v>11486</v>
      </c>
      <c r="D6390" s="37" t="s">
        <v>10573</v>
      </c>
      <c r="E6390" s="39" t="s">
        <v>11498</v>
      </c>
    </row>
    <row r="6391" spans="1:5">
      <c r="A6391" s="37">
        <v>90063</v>
      </c>
      <c r="B6391" s="37">
        <v>0</v>
      </c>
      <c r="C6391" s="37" t="s">
        <v>11486</v>
      </c>
      <c r="D6391" s="37" t="s">
        <v>10574</v>
      </c>
      <c r="E6391" s="39" t="s">
        <v>11498</v>
      </c>
    </row>
    <row r="6392" spans="1:5">
      <c r="A6392" s="37">
        <v>90064</v>
      </c>
      <c r="B6392" s="37">
        <v>0</v>
      </c>
      <c r="C6392" s="37" t="s">
        <v>11486</v>
      </c>
      <c r="D6392" s="37" t="s">
        <v>10575</v>
      </c>
      <c r="E6392" s="39" t="s">
        <v>11498</v>
      </c>
    </row>
    <row r="6393" spans="1:5">
      <c r="A6393" s="37">
        <v>90065</v>
      </c>
      <c r="B6393" s="37">
        <v>0</v>
      </c>
      <c r="C6393" s="37" t="s">
        <v>11487</v>
      </c>
      <c r="D6393" s="37" t="s">
        <v>10576</v>
      </c>
      <c r="E6393" s="39" t="s">
        <v>11499</v>
      </c>
    </row>
    <row r="6394" spans="1:5">
      <c r="A6394" s="37">
        <v>90066</v>
      </c>
      <c r="B6394" s="37">
        <v>0</v>
      </c>
      <c r="C6394" s="37" t="s">
        <v>11487</v>
      </c>
      <c r="D6394" s="37" t="s">
        <v>10577</v>
      </c>
      <c r="E6394" s="39" t="s">
        <v>11499</v>
      </c>
    </row>
    <row r="6395" spans="1:5">
      <c r="A6395" s="37">
        <v>90067</v>
      </c>
      <c r="B6395" s="37">
        <v>0</v>
      </c>
      <c r="C6395" s="37" t="s">
        <v>11487</v>
      </c>
      <c r="D6395" s="37" t="s">
        <v>10578</v>
      </c>
      <c r="E6395" s="39" t="s">
        <v>11499</v>
      </c>
    </row>
    <row r="6396" spans="1:5">
      <c r="A6396" s="37">
        <v>90068</v>
      </c>
      <c r="B6396" s="37">
        <v>0</v>
      </c>
      <c r="C6396" s="37" t="s">
        <v>11488</v>
      </c>
      <c r="D6396" s="37" t="s">
        <v>10579</v>
      </c>
      <c r="E6396" s="39" t="s">
        <v>11500</v>
      </c>
    </row>
    <row r="6397" spans="1:5">
      <c r="A6397" s="37">
        <v>90069</v>
      </c>
      <c r="B6397" s="37">
        <v>0</v>
      </c>
      <c r="C6397" s="37" t="s">
        <v>11488</v>
      </c>
      <c r="D6397" s="37" t="s">
        <v>10580</v>
      </c>
      <c r="E6397" s="39" t="s">
        <v>11500</v>
      </c>
    </row>
    <row r="6398" spans="1:5">
      <c r="A6398" s="37">
        <v>90070</v>
      </c>
      <c r="B6398" s="37">
        <v>0</v>
      </c>
      <c r="C6398" s="37" t="s">
        <v>11488</v>
      </c>
      <c r="D6398" s="37" t="s">
        <v>10581</v>
      </c>
      <c r="E6398" s="39" t="s">
        <v>11500</v>
      </c>
    </row>
    <row r="6399" spans="1:5">
      <c r="A6399" s="37">
        <v>90071</v>
      </c>
      <c r="B6399" s="37">
        <v>0</v>
      </c>
      <c r="C6399" s="37" t="s">
        <v>3768</v>
      </c>
      <c r="D6399" s="37" t="s">
        <v>10582</v>
      </c>
      <c r="E6399" s="39" t="s">
        <v>809</v>
      </c>
    </row>
    <row r="6400" spans="1:5">
      <c r="A6400" s="37">
        <v>90072</v>
      </c>
      <c r="B6400" s="37">
        <v>0</v>
      </c>
      <c r="C6400" s="37" t="s">
        <v>3768</v>
      </c>
      <c r="D6400" s="37" t="s">
        <v>10583</v>
      </c>
      <c r="E6400" s="39" t="s">
        <v>809</v>
      </c>
    </row>
    <row r="6401" spans="1:5">
      <c r="A6401" s="37">
        <v>90073</v>
      </c>
      <c r="B6401" s="37">
        <v>0</v>
      </c>
      <c r="C6401" s="37" t="s">
        <v>3768</v>
      </c>
      <c r="D6401" s="37" t="s">
        <v>10584</v>
      </c>
      <c r="E6401" s="39" t="s">
        <v>809</v>
      </c>
    </row>
    <row r="6402" spans="1:5">
      <c r="A6402" s="37">
        <v>90074</v>
      </c>
      <c r="B6402" s="37">
        <v>0</v>
      </c>
      <c r="C6402" s="37" t="s">
        <v>11489</v>
      </c>
      <c r="D6402" s="37" t="s">
        <v>10585</v>
      </c>
      <c r="E6402" s="39" t="s">
        <v>11501</v>
      </c>
    </row>
    <row r="6403" spans="1:5">
      <c r="A6403" s="37">
        <v>90075</v>
      </c>
      <c r="B6403" s="37">
        <v>0</v>
      </c>
      <c r="C6403" s="37" t="s">
        <v>11489</v>
      </c>
      <c r="D6403" s="37" t="s">
        <v>10586</v>
      </c>
      <c r="E6403" s="39" t="s">
        <v>11501</v>
      </c>
    </row>
    <row r="6404" spans="1:5">
      <c r="A6404" s="37">
        <v>90076</v>
      </c>
      <c r="B6404" s="37">
        <v>0</v>
      </c>
      <c r="C6404" s="37" t="s">
        <v>11489</v>
      </c>
      <c r="D6404" s="37" t="s">
        <v>10587</v>
      </c>
      <c r="E6404" s="39" t="s">
        <v>11501</v>
      </c>
    </row>
    <row r="6405" spans="1:5">
      <c r="A6405" s="37">
        <v>90077</v>
      </c>
      <c r="B6405" s="37">
        <v>0</v>
      </c>
      <c r="C6405" s="37" t="s">
        <v>11490</v>
      </c>
      <c r="D6405" s="37" t="s">
        <v>10588</v>
      </c>
      <c r="E6405" s="39" t="s">
        <v>11502</v>
      </c>
    </row>
    <row r="6406" spans="1:5">
      <c r="A6406" s="37">
        <v>90078</v>
      </c>
      <c r="B6406" s="37">
        <v>0</v>
      </c>
      <c r="C6406" s="37" t="s">
        <v>11490</v>
      </c>
      <c r="D6406" s="37" t="s">
        <v>10589</v>
      </c>
      <c r="E6406" s="39" t="s">
        <v>11502</v>
      </c>
    </row>
    <row r="6407" spans="1:5">
      <c r="A6407" s="37">
        <v>90079</v>
      </c>
      <c r="B6407" s="37">
        <v>0</v>
      </c>
      <c r="C6407" s="37" t="s">
        <v>11490</v>
      </c>
      <c r="D6407" s="37" t="s">
        <v>10590</v>
      </c>
      <c r="E6407" s="39" t="s">
        <v>11502</v>
      </c>
    </row>
    <row r="6408" spans="1:5">
      <c r="A6408" s="37">
        <v>90080</v>
      </c>
      <c r="B6408" s="37">
        <v>0</v>
      </c>
      <c r="C6408" s="37" t="s">
        <v>11491</v>
      </c>
      <c r="D6408" s="37" t="s">
        <v>10591</v>
      </c>
      <c r="E6408" s="39" t="s">
        <v>11503</v>
      </c>
    </row>
    <row r="6409" spans="1:5">
      <c r="A6409" s="37">
        <v>90081</v>
      </c>
      <c r="B6409" s="37">
        <v>0</v>
      </c>
      <c r="C6409" s="37" t="s">
        <v>11491</v>
      </c>
      <c r="D6409" s="37" t="s">
        <v>10592</v>
      </c>
      <c r="E6409" s="39" t="s">
        <v>11503</v>
      </c>
    </row>
    <row r="6410" spans="1:5">
      <c r="A6410" s="37">
        <v>90082</v>
      </c>
      <c r="B6410" s="37">
        <v>0</v>
      </c>
      <c r="C6410" s="37" t="s">
        <v>11491</v>
      </c>
      <c r="D6410" s="37" t="s">
        <v>10593</v>
      </c>
      <c r="E6410" s="39" t="s">
        <v>11503</v>
      </c>
    </row>
    <row r="6411" spans="1:5">
      <c r="A6411" s="37">
        <v>90083</v>
      </c>
      <c r="B6411" s="37">
        <v>0</v>
      </c>
      <c r="C6411" s="37" t="s">
        <v>11492</v>
      </c>
      <c r="D6411" s="37" t="s">
        <v>10594</v>
      </c>
      <c r="E6411" s="39" t="s">
        <v>11504</v>
      </c>
    </row>
    <row r="6412" spans="1:5">
      <c r="A6412" s="37">
        <v>90084</v>
      </c>
      <c r="B6412" s="37">
        <v>0</v>
      </c>
      <c r="C6412" s="37" t="s">
        <v>11492</v>
      </c>
      <c r="D6412" s="37" t="s">
        <v>10595</v>
      </c>
      <c r="E6412" s="39" t="s">
        <v>11504</v>
      </c>
    </row>
    <row r="6413" spans="1:5">
      <c r="A6413" s="37">
        <v>90085</v>
      </c>
      <c r="B6413" s="37">
        <v>0</v>
      </c>
      <c r="C6413" s="37" t="s">
        <v>11492</v>
      </c>
      <c r="D6413" s="37" t="s">
        <v>10596</v>
      </c>
      <c r="E6413" s="39" t="s">
        <v>11504</v>
      </c>
    </row>
    <row r="6414" spans="1:5">
      <c r="A6414" s="37">
        <v>90086</v>
      </c>
      <c r="B6414" s="37">
        <v>0</v>
      </c>
      <c r="C6414" s="37" t="s">
        <v>4274</v>
      </c>
      <c r="D6414" s="37" t="s">
        <v>10597</v>
      </c>
      <c r="E6414" s="39" t="s">
        <v>2159</v>
      </c>
    </row>
    <row r="6415" spans="1:5">
      <c r="A6415" s="37">
        <v>90087</v>
      </c>
      <c r="B6415" s="37">
        <v>0</v>
      </c>
      <c r="C6415" s="37" t="s">
        <v>4274</v>
      </c>
      <c r="D6415" s="37" t="s">
        <v>10598</v>
      </c>
      <c r="E6415" s="39" t="s">
        <v>2159</v>
      </c>
    </row>
    <row r="6416" spans="1:5">
      <c r="A6416" s="37">
        <v>90088</v>
      </c>
      <c r="B6416" s="37">
        <v>0</v>
      </c>
      <c r="C6416" s="37" t="s">
        <v>4274</v>
      </c>
      <c r="D6416" s="37" t="s">
        <v>10599</v>
      </c>
      <c r="E6416" s="39" t="s">
        <v>2159</v>
      </c>
    </row>
    <row r="6417" spans="1:6">
      <c r="A6417" s="37">
        <v>90089</v>
      </c>
      <c r="B6417" s="37">
        <v>0</v>
      </c>
      <c r="C6417" s="37" t="s">
        <v>11493</v>
      </c>
      <c r="D6417" s="37" t="s">
        <v>10600</v>
      </c>
      <c r="E6417" s="39" t="s">
        <v>11505</v>
      </c>
    </row>
    <row r="6418" spans="1:6">
      <c r="A6418" s="37">
        <v>90090</v>
      </c>
      <c r="B6418" s="37">
        <v>0</v>
      </c>
      <c r="C6418" s="37" t="s">
        <v>11493</v>
      </c>
      <c r="D6418" s="37" t="s">
        <v>10601</v>
      </c>
      <c r="E6418" s="39" t="s">
        <v>11505</v>
      </c>
    </row>
    <row r="6419" spans="1:6">
      <c r="A6419" s="37">
        <v>90091</v>
      </c>
      <c r="B6419" s="37">
        <v>0</v>
      </c>
      <c r="C6419" s="37" t="s">
        <v>11493</v>
      </c>
      <c r="D6419" s="37" t="s">
        <v>10602</v>
      </c>
      <c r="E6419" s="39" t="s">
        <v>11505</v>
      </c>
    </row>
    <row r="6420" spans="1:6">
      <c r="A6420" s="37">
        <v>90092</v>
      </c>
      <c r="B6420" s="37">
        <v>0</v>
      </c>
      <c r="C6420" s="37" t="s">
        <v>11494</v>
      </c>
      <c r="D6420" s="37" t="s">
        <v>10603</v>
      </c>
      <c r="E6420" s="39" t="s">
        <v>11506</v>
      </c>
    </row>
    <row r="6421" spans="1:6">
      <c r="A6421" s="37">
        <v>90093</v>
      </c>
      <c r="B6421" s="37">
        <v>0</v>
      </c>
      <c r="C6421" s="37" t="s">
        <v>11494</v>
      </c>
      <c r="D6421" s="37" t="s">
        <v>10604</v>
      </c>
      <c r="E6421" s="39" t="s">
        <v>11506</v>
      </c>
    </row>
    <row r="6422" spans="1:6">
      <c r="A6422" s="37">
        <v>90094</v>
      </c>
      <c r="B6422" s="37">
        <v>0</v>
      </c>
      <c r="C6422" s="37" t="s">
        <v>11494</v>
      </c>
      <c r="D6422" s="37" t="s">
        <v>10605</v>
      </c>
      <c r="E6422" s="39" t="s">
        <v>11506</v>
      </c>
    </row>
    <row r="6423" spans="1:6">
      <c r="A6423" s="37">
        <v>90095</v>
      </c>
      <c r="B6423" s="37">
        <v>0</v>
      </c>
      <c r="C6423" s="37" t="s">
        <v>11495</v>
      </c>
      <c r="D6423" s="37" t="s">
        <v>10606</v>
      </c>
      <c r="E6423" s="39" t="s">
        <v>11507</v>
      </c>
    </row>
    <row r="6424" spans="1:6">
      <c r="A6424" s="37">
        <v>90096</v>
      </c>
      <c r="B6424" s="37">
        <v>0</v>
      </c>
      <c r="C6424" s="37" t="s">
        <v>11495</v>
      </c>
      <c r="D6424" s="37" t="s">
        <v>10607</v>
      </c>
      <c r="E6424" s="39" t="s">
        <v>11507</v>
      </c>
    </row>
    <row r="6425" spans="1:6">
      <c r="A6425" s="37">
        <v>90097</v>
      </c>
      <c r="B6425" s="37">
        <v>0</v>
      </c>
      <c r="C6425" s="37" t="s">
        <v>11495</v>
      </c>
      <c r="D6425" s="37" t="s">
        <v>10608</v>
      </c>
      <c r="E6425" s="39" t="s">
        <v>11507</v>
      </c>
    </row>
    <row r="6426" spans="1:6">
      <c r="A6426" s="37">
        <v>90098</v>
      </c>
      <c r="B6426" s="37">
        <v>0</v>
      </c>
      <c r="C6426" s="37" t="s">
        <v>11496</v>
      </c>
      <c r="D6426" s="37" t="s">
        <v>10609</v>
      </c>
      <c r="E6426" s="39" t="s">
        <v>11508</v>
      </c>
    </row>
    <row r="6427" spans="1:6">
      <c r="A6427" s="37">
        <v>90099</v>
      </c>
      <c r="B6427" s="37">
        <v>0</v>
      </c>
      <c r="C6427" s="37" t="s">
        <v>11496</v>
      </c>
      <c r="D6427" s="37" t="s">
        <v>10610</v>
      </c>
      <c r="E6427" s="39" t="s">
        <v>11508</v>
      </c>
    </row>
    <row r="6428" spans="1:6">
      <c r="A6428" s="37">
        <v>90100</v>
      </c>
      <c r="B6428" s="37">
        <v>0</v>
      </c>
      <c r="C6428" s="37" t="s">
        <v>11496</v>
      </c>
      <c r="D6428" s="37" t="s">
        <v>10611</v>
      </c>
      <c r="E6428" s="39" t="s">
        <v>11508</v>
      </c>
    </row>
    <row r="6429" spans="1:6" s="260" customFormat="1">
      <c r="A6429" s="66">
        <v>91001</v>
      </c>
      <c r="B6429" s="66">
        <v>0</v>
      </c>
      <c r="C6429" s="66" t="s">
        <v>3355</v>
      </c>
      <c r="D6429" s="66" t="s">
        <v>9454</v>
      </c>
      <c r="E6429" s="68" t="s">
        <v>9458</v>
      </c>
      <c r="F6429" s="273"/>
    </row>
    <row r="6430" spans="1:6" s="260" customFormat="1">
      <c r="A6430" s="66">
        <v>91002</v>
      </c>
      <c r="B6430" s="66">
        <v>0</v>
      </c>
      <c r="C6430" s="66" t="s">
        <v>3360</v>
      </c>
      <c r="D6430" s="66" t="s">
        <v>9455</v>
      </c>
      <c r="E6430" s="68" t="s">
        <v>9459</v>
      </c>
      <c r="F6430" s="273"/>
    </row>
    <row r="6431" spans="1:6" s="260" customFormat="1">
      <c r="A6431" s="66">
        <v>91003</v>
      </c>
      <c r="B6431" s="66">
        <v>0</v>
      </c>
      <c r="C6431" s="66" t="s">
        <v>11509</v>
      </c>
      <c r="D6431" s="66" t="s">
        <v>9456</v>
      </c>
      <c r="E6431" s="68" t="s">
        <v>11511</v>
      </c>
      <c r="F6431" s="273"/>
    </row>
    <row r="6432" spans="1:6" s="260" customFormat="1">
      <c r="A6432" s="66">
        <v>91004</v>
      </c>
      <c r="B6432" s="66">
        <v>0</v>
      </c>
      <c r="C6432" s="66" t="s">
        <v>11510</v>
      </c>
      <c r="D6432" s="66" t="s">
        <v>9457</v>
      </c>
      <c r="E6432" s="68" t="s">
        <v>11512</v>
      </c>
      <c r="F6432" s="273"/>
    </row>
    <row r="6433" spans="1:6" s="260" customFormat="1">
      <c r="A6433" s="66">
        <v>91005</v>
      </c>
      <c r="B6433" s="66">
        <v>0</v>
      </c>
      <c r="C6433" s="66" t="s">
        <v>3360</v>
      </c>
      <c r="D6433" s="66" t="s">
        <v>7126</v>
      </c>
      <c r="E6433" s="68" t="s">
        <v>604</v>
      </c>
      <c r="F6433" s="273"/>
    </row>
    <row r="6434" spans="1:6" s="260" customFormat="1">
      <c r="A6434" s="66">
        <v>91006</v>
      </c>
      <c r="B6434" s="66">
        <v>0</v>
      </c>
      <c r="C6434" s="66" t="s">
        <v>3361</v>
      </c>
      <c r="D6434" s="66" t="s">
        <v>7127</v>
      </c>
      <c r="E6434" s="68" t="s">
        <v>1349</v>
      </c>
      <c r="F6434" s="273"/>
    </row>
    <row r="6435" spans="1:6" s="260" customFormat="1">
      <c r="A6435" s="66">
        <v>91007</v>
      </c>
      <c r="B6435" s="66">
        <v>0</v>
      </c>
      <c r="C6435" s="66" t="s">
        <v>3362</v>
      </c>
      <c r="D6435" s="66" t="s">
        <v>7128</v>
      </c>
      <c r="E6435" s="68" t="s">
        <v>1357</v>
      </c>
      <c r="F6435" s="273"/>
    </row>
    <row r="6436" spans="1:6" s="260" customFormat="1">
      <c r="A6436" s="66">
        <v>91008</v>
      </c>
      <c r="B6436" s="66">
        <v>0</v>
      </c>
      <c r="C6436" s="66" t="s">
        <v>3363</v>
      </c>
      <c r="D6436" s="66" t="s">
        <v>7129</v>
      </c>
      <c r="E6436" s="68" t="s">
        <v>2056</v>
      </c>
      <c r="F6436" s="273"/>
    </row>
    <row r="6437" spans="1:6" s="260" customFormat="1">
      <c r="A6437" s="66">
        <v>91009</v>
      </c>
      <c r="B6437" s="66">
        <v>0</v>
      </c>
      <c r="C6437" s="66" t="s">
        <v>3364</v>
      </c>
      <c r="D6437" s="66" t="s">
        <v>7130</v>
      </c>
      <c r="E6437" s="68" t="s">
        <v>2061</v>
      </c>
      <c r="F6437" s="273"/>
    </row>
    <row r="6438" spans="1:6" s="260" customFormat="1">
      <c r="A6438" s="66">
        <v>91010</v>
      </c>
      <c r="B6438" s="66">
        <v>0</v>
      </c>
      <c r="C6438" s="66" t="s">
        <v>3365</v>
      </c>
      <c r="D6438" s="66" t="s">
        <v>7131</v>
      </c>
      <c r="E6438" s="68" t="s">
        <v>793</v>
      </c>
      <c r="F6438" s="273"/>
    </row>
    <row r="6439" spans="1:6" s="260" customFormat="1">
      <c r="A6439" s="66">
        <v>91011</v>
      </c>
      <c r="B6439" s="66">
        <v>0</v>
      </c>
      <c r="C6439" s="66" t="s">
        <v>4589</v>
      </c>
      <c r="D6439" s="66" t="s">
        <v>7132</v>
      </c>
      <c r="E6439" s="68" t="s">
        <v>3140</v>
      </c>
      <c r="F6439" s="273"/>
    </row>
    <row r="6440" spans="1:6" s="260" customFormat="1">
      <c r="A6440" s="66">
        <v>91012</v>
      </c>
      <c r="B6440" s="66">
        <v>0</v>
      </c>
      <c r="C6440" s="66" t="s">
        <v>5114</v>
      </c>
      <c r="D6440" s="66" t="s">
        <v>7133</v>
      </c>
      <c r="E6440" s="68" t="s">
        <v>5118</v>
      </c>
      <c r="F6440" s="273"/>
    </row>
    <row r="6441" spans="1:6" s="260" customFormat="1">
      <c r="A6441" s="66">
        <v>91013</v>
      </c>
      <c r="B6441" s="66">
        <v>0</v>
      </c>
      <c r="C6441" s="66" t="s">
        <v>4112</v>
      </c>
      <c r="D6441" s="66" t="s">
        <v>7134</v>
      </c>
      <c r="E6441" s="68" t="s">
        <v>1714</v>
      </c>
      <c r="F6441" s="273"/>
    </row>
    <row r="6442" spans="1:6" s="260" customFormat="1">
      <c r="A6442" s="66">
        <v>91014</v>
      </c>
      <c r="B6442" s="66">
        <v>0</v>
      </c>
      <c r="C6442" s="66" t="s">
        <v>5115</v>
      </c>
      <c r="D6442" s="66" t="s">
        <v>7135</v>
      </c>
      <c r="E6442" s="68" t="s">
        <v>5119</v>
      </c>
      <c r="F6442" s="273"/>
    </row>
    <row r="6443" spans="1:6" s="260" customFormat="1">
      <c r="A6443" s="66">
        <v>91015</v>
      </c>
      <c r="B6443" s="66">
        <v>0</v>
      </c>
      <c r="C6443" s="66" t="s">
        <v>3764</v>
      </c>
      <c r="D6443" s="66" t="s">
        <v>7136</v>
      </c>
      <c r="E6443" s="68" t="s">
        <v>801</v>
      </c>
      <c r="F6443" s="273"/>
    </row>
    <row r="6444" spans="1:6" s="261" customFormat="1">
      <c r="A6444" s="43">
        <v>95001</v>
      </c>
      <c r="B6444" s="43">
        <v>0</v>
      </c>
      <c r="C6444" s="43" t="s">
        <v>3695</v>
      </c>
      <c r="D6444" s="43" t="s">
        <v>5523</v>
      </c>
      <c r="E6444" s="45" t="s">
        <v>686</v>
      </c>
      <c r="F6444" s="274"/>
    </row>
    <row r="6445" spans="1:6" s="261" customFormat="1">
      <c r="A6445" s="43">
        <v>95002</v>
      </c>
      <c r="B6445" s="43">
        <v>0</v>
      </c>
      <c r="C6445" s="43" t="s">
        <v>3695</v>
      </c>
      <c r="D6445" s="43" t="s">
        <v>5524</v>
      </c>
      <c r="E6445" s="45" t="s">
        <v>686</v>
      </c>
      <c r="F6445" s="274"/>
    </row>
    <row r="6446" spans="1:6" s="261" customFormat="1">
      <c r="A6446" s="43">
        <v>95003</v>
      </c>
      <c r="B6446" s="43">
        <v>0</v>
      </c>
      <c r="C6446" s="43" t="s">
        <v>3695</v>
      </c>
      <c r="D6446" s="43" t="s">
        <v>5525</v>
      </c>
      <c r="E6446" s="45" t="s">
        <v>686</v>
      </c>
      <c r="F6446" s="274"/>
    </row>
    <row r="6447" spans="1:6" s="261" customFormat="1">
      <c r="A6447" s="43">
        <v>95004</v>
      </c>
      <c r="B6447" s="43">
        <v>0</v>
      </c>
      <c r="C6447" s="43" t="s">
        <v>11380</v>
      </c>
      <c r="D6447" s="43" t="s">
        <v>5526</v>
      </c>
      <c r="E6447" s="45" t="s">
        <v>11376</v>
      </c>
      <c r="F6447" s="274"/>
    </row>
    <row r="6448" spans="1:6" s="261" customFormat="1">
      <c r="A6448" s="43">
        <v>95005</v>
      </c>
      <c r="B6448" s="43">
        <v>0</v>
      </c>
      <c r="C6448" s="43" t="s">
        <v>11776</v>
      </c>
      <c r="D6448" s="43" t="s">
        <v>5527</v>
      </c>
      <c r="E6448" s="45" t="s">
        <v>11774</v>
      </c>
      <c r="F6448" s="274"/>
    </row>
    <row r="6449" spans="1:6" s="261" customFormat="1">
      <c r="A6449" s="43">
        <v>95006</v>
      </c>
      <c r="B6449" s="43">
        <v>0</v>
      </c>
      <c r="C6449" s="43" t="s">
        <v>11777</v>
      </c>
      <c r="D6449" s="43" t="s">
        <v>5528</v>
      </c>
      <c r="E6449" s="45" t="s">
        <v>11775</v>
      </c>
      <c r="F6449" s="274"/>
    </row>
    <row r="6450" spans="1:6" s="261" customFormat="1">
      <c r="A6450" s="43">
        <v>95007</v>
      </c>
      <c r="B6450" s="43">
        <v>0</v>
      </c>
      <c r="C6450" s="43" t="s">
        <v>11777</v>
      </c>
      <c r="D6450" s="43" t="s">
        <v>5529</v>
      </c>
      <c r="E6450" s="45" t="s">
        <v>11775</v>
      </c>
      <c r="F6450" s="274"/>
    </row>
    <row r="6451" spans="1:6" s="261" customFormat="1">
      <c r="A6451" s="43">
        <v>95008</v>
      </c>
      <c r="B6451" s="43">
        <v>0</v>
      </c>
      <c r="C6451" s="43" t="s">
        <v>11776</v>
      </c>
      <c r="D6451" s="43" t="s">
        <v>5530</v>
      </c>
      <c r="E6451" s="45" t="s">
        <v>11774</v>
      </c>
      <c r="F6451" s="274"/>
    </row>
    <row r="6452" spans="1:6" s="261" customFormat="1">
      <c r="A6452" s="43">
        <v>95009</v>
      </c>
      <c r="B6452" s="43">
        <v>0</v>
      </c>
      <c r="C6452" s="43" t="s">
        <v>11777</v>
      </c>
      <c r="D6452" s="43" t="s">
        <v>5531</v>
      </c>
      <c r="E6452" s="45" t="s">
        <v>11775</v>
      </c>
      <c r="F6452" s="274"/>
    </row>
    <row r="6453" spans="1:6" s="261" customFormat="1">
      <c r="A6453" s="43">
        <v>95010</v>
      </c>
      <c r="B6453" s="43">
        <v>0</v>
      </c>
      <c r="C6453" s="43" t="s">
        <v>12666</v>
      </c>
      <c r="D6453" s="43" t="s">
        <v>5532</v>
      </c>
      <c r="E6453" s="45" t="s">
        <v>12638</v>
      </c>
      <c r="F6453" s="274"/>
    </row>
    <row r="6454" spans="1:6" s="261" customFormat="1">
      <c r="A6454" s="43">
        <v>95011</v>
      </c>
      <c r="B6454" s="43">
        <v>0</v>
      </c>
      <c r="C6454" s="43" t="s">
        <v>12667</v>
      </c>
      <c r="D6454" s="43" t="s">
        <v>5533</v>
      </c>
      <c r="E6454" s="45" t="s">
        <v>12639</v>
      </c>
      <c r="F6454" s="274"/>
    </row>
    <row r="6455" spans="1:6" s="261" customFormat="1">
      <c r="A6455" s="43">
        <v>95012</v>
      </c>
      <c r="B6455" s="43">
        <v>0</v>
      </c>
      <c r="C6455" s="43" t="s">
        <v>12668</v>
      </c>
      <c r="D6455" s="43" t="s">
        <v>5534</v>
      </c>
      <c r="E6455" s="45" t="s">
        <v>12640</v>
      </c>
      <c r="F6455" s="274"/>
    </row>
    <row r="6456" spans="1:6" s="261" customFormat="1">
      <c r="A6456" s="43">
        <v>95013</v>
      </c>
      <c r="B6456" s="43">
        <v>0</v>
      </c>
      <c r="C6456" s="43" t="s">
        <v>12669</v>
      </c>
      <c r="D6456" s="43" t="s">
        <v>5535</v>
      </c>
      <c r="E6456" s="45" t="s">
        <v>12641</v>
      </c>
      <c r="F6456" s="274"/>
    </row>
    <row r="6457" spans="1:6" s="261" customFormat="1">
      <c r="A6457" s="43">
        <v>95014</v>
      </c>
      <c r="B6457" s="43">
        <v>0</v>
      </c>
      <c r="C6457" s="43" t="s">
        <v>12670</v>
      </c>
      <c r="D6457" s="43" t="s">
        <v>5536</v>
      </c>
      <c r="E6457" s="45" t="s">
        <v>12642</v>
      </c>
      <c r="F6457" s="274"/>
    </row>
    <row r="6458" spans="1:6" s="261" customFormat="1">
      <c r="A6458" s="43">
        <v>95015</v>
      </c>
      <c r="B6458" s="43">
        <v>0</v>
      </c>
      <c r="C6458" s="43" t="s">
        <v>12671</v>
      </c>
      <c r="D6458" s="43" t="s">
        <v>5537</v>
      </c>
      <c r="E6458" s="45" t="s">
        <v>12643</v>
      </c>
      <c r="F6458" s="274"/>
    </row>
    <row r="6459" spans="1:6" s="261" customFormat="1">
      <c r="A6459" s="43">
        <v>95016</v>
      </c>
      <c r="B6459" s="43">
        <v>0</v>
      </c>
      <c r="C6459" s="43" t="s">
        <v>5919</v>
      </c>
      <c r="D6459" s="43" t="s">
        <v>5538</v>
      </c>
      <c r="E6459" s="45" t="s">
        <v>6021</v>
      </c>
      <c r="F6459" s="274"/>
    </row>
    <row r="6460" spans="1:6" s="261" customFormat="1">
      <c r="A6460" s="43">
        <v>95017</v>
      </c>
      <c r="B6460" s="43">
        <v>0</v>
      </c>
      <c r="C6460" s="43" t="s">
        <v>12672</v>
      </c>
      <c r="D6460" s="43" t="s">
        <v>5539</v>
      </c>
      <c r="E6460" s="45" t="s">
        <v>12644</v>
      </c>
      <c r="F6460" s="274"/>
    </row>
    <row r="6461" spans="1:6" s="261" customFormat="1">
      <c r="A6461" s="43">
        <v>95018</v>
      </c>
      <c r="B6461" s="43">
        <v>0</v>
      </c>
      <c r="C6461" s="43" t="s">
        <v>12673</v>
      </c>
      <c r="D6461" s="43" t="s">
        <v>5540</v>
      </c>
      <c r="E6461" s="45" t="s">
        <v>12645</v>
      </c>
      <c r="F6461" s="274"/>
    </row>
    <row r="6462" spans="1:6" s="261" customFormat="1">
      <c r="A6462" s="43">
        <v>95019</v>
      </c>
      <c r="B6462" s="43">
        <v>0</v>
      </c>
      <c r="C6462" s="43" t="s">
        <v>5920</v>
      </c>
      <c r="D6462" s="43" t="s">
        <v>5541</v>
      </c>
      <c r="E6462" s="45" t="s">
        <v>6022</v>
      </c>
      <c r="F6462" s="274"/>
    </row>
    <row r="6463" spans="1:6" s="261" customFormat="1">
      <c r="A6463" s="43">
        <v>95020</v>
      </c>
      <c r="B6463" s="43">
        <v>0</v>
      </c>
      <c r="C6463" s="43" t="s">
        <v>12674</v>
      </c>
      <c r="D6463" s="43" t="s">
        <v>5542</v>
      </c>
      <c r="E6463" s="45" t="s">
        <v>12646</v>
      </c>
      <c r="F6463" s="274"/>
    </row>
    <row r="6464" spans="1:6" s="261" customFormat="1">
      <c r="A6464" s="43">
        <v>95021</v>
      </c>
      <c r="B6464" s="43">
        <v>0</v>
      </c>
      <c r="C6464" s="43" t="s">
        <v>12675</v>
      </c>
      <c r="D6464" s="43" t="s">
        <v>5543</v>
      </c>
      <c r="E6464" s="45" t="s">
        <v>12647</v>
      </c>
      <c r="F6464" s="274"/>
    </row>
    <row r="6465" spans="1:6" s="261" customFormat="1">
      <c r="A6465" s="43">
        <v>95022</v>
      </c>
      <c r="B6465" s="43">
        <v>0</v>
      </c>
      <c r="C6465" s="43" t="s">
        <v>5921</v>
      </c>
      <c r="D6465" s="43" t="s">
        <v>5544</v>
      </c>
      <c r="E6465" s="45" t="s">
        <v>6023</v>
      </c>
      <c r="F6465" s="274"/>
    </row>
    <row r="6466" spans="1:6" s="261" customFormat="1">
      <c r="A6466" s="43">
        <v>95023</v>
      </c>
      <c r="B6466" s="43">
        <v>0</v>
      </c>
      <c r="C6466" s="43" t="s">
        <v>12676</v>
      </c>
      <c r="D6466" s="43" t="s">
        <v>5545</v>
      </c>
      <c r="E6466" s="45" t="s">
        <v>12648</v>
      </c>
      <c r="F6466" s="274"/>
    </row>
    <row r="6467" spans="1:6" s="261" customFormat="1">
      <c r="A6467" s="43">
        <v>95024</v>
      </c>
      <c r="B6467" s="43">
        <v>0</v>
      </c>
      <c r="C6467" s="43" t="s">
        <v>11383</v>
      </c>
      <c r="D6467" s="43" t="s">
        <v>5546</v>
      </c>
      <c r="E6467" s="45" t="s">
        <v>11379</v>
      </c>
      <c r="F6467" s="274"/>
    </row>
    <row r="6468" spans="1:6" s="261" customFormat="1">
      <c r="A6468" s="43">
        <v>95025</v>
      </c>
      <c r="B6468" s="43">
        <v>0</v>
      </c>
      <c r="C6468" s="43" t="s">
        <v>5922</v>
      </c>
      <c r="D6468" s="43" t="s">
        <v>5547</v>
      </c>
      <c r="E6468" s="45" t="s">
        <v>6024</v>
      </c>
      <c r="F6468" s="274"/>
    </row>
    <row r="6469" spans="1:6" s="261" customFormat="1">
      <c r="A6469" s="43">
        <v>95026</v>
      </c>
      <c r="B6469" s="43">
        <v>0</v>
      </c>
      <c r="C6469" s="43" t="s">
        <v>11381</v>
      </c>
      <c r="D6469" s="43" t="s">
        <v>5548</v>
      </c>
      <c r="E6469" s="45" t="s">
        <v>11377</v>
      </c>
      <c r="F6469" s="274"/>
    </row>
    <row r="6470" spans="1:6" s="261" customFormat="1">
      <c r="A6470" s="43">
        <v>95027</v>
      </c>
      <c r="B6470" s="43">
        <v>0</v>
      </c>
      <c r="C6470" s="43" t="s">
        <v>11382</v>
      </c>
      <c r="D6470" s="43" t="s">
        <v>5549</v>
      </c>
      <c r="E6470" s="45" t="s">
        <v>11378</v>
      </c>
      <c r="F6470" s="274"/>
    </row>
    <row r="6471" spans="1:6" s="261" customFormat="1">
      <c r="A6471" s="43">
        <v>95028</v>
      </c>
      <c r="B6471" s="43">
        <v>0</v>
      </c>
      <c r="C6471" s="43" t="s">
        <v>5923</v>
      </c>
      <c r="D6471" s="43" t="s">
        <v>5550</v>
      </c>
      <c r="E6471" s="45" t="s">
        <v>6025</v>
      </c>
      <c r="F6471" s="274"/>
    </row>
    <row r="6472" spans="1:6" s="261" customFormat="1">
      <c r="A6472" s="43">
        <v>95029</v>
      </c>
      <c r="B6472" s="43">
        <v>0</v>
      </c>
      <c r="C6472" s="43" t="s">
        <v>12677</v>
      </c>
      <c r="D6472" s="43" t="s">
        <v>5551</v>
      </c>
      <c r="E6472" s="45" t="s">
        <v>12649</v>
      </c>
      <c r="F6472" s="274"/>
    </row>
    <row r="6473" spans="1:6" s="261" customFormat="1">
      <c r="A6473" s="43">
        <v>95030</v>
      </c>
      <c r="B6473" s="43">
        <v>0</v>
      </c>
      <c r="C6473" s="43" t="s">
        <v>12678</v>
      </c>
      <c r="D6473" s="43" t="s">
        <v>5552</v>
      </c>
      <c r="E6473" s="45" t="s">
        <v>12650</v>
      </c>
      <c r="F6473" s="274"/>
    </row>
    <row r="6474" spans="1:6" s="261" customFormat="1">
      <c r="A6474" s="43">
        <v>95031</v>
      </c>
      <c r="B6474" s="43">
        <v>0</v>
      </c>
      <c r="C6474" s="43" t="s">
        <v>5924</v>
      </c>
      <c r="D6474" s="43" t="s">
        <v>5553</v>
      </c>
      <c r="E6474" s="45" t="s">
        <v>6026</v>
      </c>
      <c r="F6474" s="274"/>
    </row>
    <row r="6475" spans="1:6" s="261" customFormat="1">
      <c r="A6475" s="43">
        <v>95032</v>
      </c>
      <c r="B6475" s="43">
        <v>0</v>
      </c>
      <c r="C6475" s="43" t="s">
        <v>12679</v>
      </c>
      <c r="D6475" s="43" t="s">
        <v>5554</v>
      </c>
      <c r="E6475" s="45" t="s">
        <v>12651</v>
      </c>
      <c r="F6475" s="274"/>
    </row>
    <row r="6476" spans="1:6" s="261" customFormat="1">
      <c r="A6476" s="43">
        <v>95033</v>
      </c>
      <c r="B6476" s="43">
        <v>0</v>
      </c>
      <c r="C6476" s="43" t="s">
        <v>12680</v>
      </c>
      <c r="D6476" s="43" t="s">
        <v>5555</v>
      </c>
      <c r="E6476" s="45" t="s">
        <v>12652</v>
      </c>
      <c r="F6476" s="274"/>
    </row>
    <row r="6477" spans="1:6" s="261" customFormat="1">
      <c r="A6477" s="43">
        <v>95034</v>
      </c>
      <c r="B6477" s="43">
        <v>0</v>
      </c>
      <c r="C6477" s="43" t="s">
        <v>5925</v>
      </c>
      <c r="D6477" s="43" t="s">
        <v>5556</v>
      </c>
      <c r="E6477" s="45" t="s">
        <v>6027</v>
      </c>
      <c r="F6477" s="274"/>
    </row>
    <row r="6478" spans="1:6" s="261" customFormat="1">
      <c r="A6478" s="43">
        <v>95035</v>
      </c>
      <c r="B6478" s="43">
        <v>0</v>
      </c>
      <c r="C6478" s="43" t="s">
        <v>5926</v>
      </c>
      <c r="D6478" s="43" t="s">
        <v>5557</v>
      </c>
      <c r="E6478" s="45" t="s">
        <v>6028</v>
      </c>
      <c r="F6478" s="274"/>
    </row>
    <row r="6479" spans="1:6" s="261" customFormat="1">
      <c r="A6479" s="43">
        <v>95036</v>
      </c>
      <c r="B6479" s="43">
        <v>0</v>
      </c>
      <c r="C6479" s="43" t="s">
        <v>12681</v>
      </c>
      <c r="D6479" s="43" t="s">
        <v>5558</v>
      </c>
      <c r="E6479" s="45" t="s">
        <v>12653</v>
      </c>
      <c r="F6479" s="274"/>
    </row>
    <row r="6480" spans="1:6" s="261" customFormat="1">
      <c r="A6480" s="43">
        <v>95037</v>
      </c>
      <c r="B6480" s="43">
        <v>0</v>
      </c>
      <c r="C6480" s="43" t="s">
        <v>5927</v>
      </c>
      <c r="D6480" s="43" t="s">
        <v>5559</v>
      </c>
      <c r="E6480" s="45" t="s">
        <v>6029</v>
      </c>
      <c r="F6480" s="274"/>
    </row>
    <row r="6481" spans="1:6" s="261" customFormat="1">
      <c r="A6481" s="43">
        <v>95038</v>
      </c>
      <c r="B6481" s="43">
        <v>0</v>
      </c>
      <c r="C6481" s="43" t="s">
        <v>5928</v>
      </c>
      <c r="D6481" s="43" t="s">
        <v>5560</v>
      </c>
      <c r="E6481" s="45" t="s">
        <v>6030</v>
      </c>
      <c r="F6481" s="274"/>
    </row>
    <row r="6482" spans="1:6" s="261" customFormat="1">
      <c r="A6482" s="43">
        <v>95039</v>
      </c>
      <c r="B6482" s="43">
        <v>0</v>
      </c>
      <c r="C6482" s="43" t="s">
        <v>12682</v>
      </c>
      <c r="D6482" s="43" t="s">
        <v>5561</v>
      </c>
      <c r="E6482" s="45" t="s">
        <v>12654</v>
      </c>
      <c r="F6482" s="274"/>
    </row>
    <row r="6483" spans="1:6" s="261" customFormat="1">
      <c r="A6483" s="43">
        <v>95040</v>
      </c>
      <c r="B6483" s="43">
        <v>0</v>
      </c>
      <c r="C6483" s="43" t="s">
        <v>5929</v>
      </c>
      <c r="D6483" s="43" t="s">
        <v>5562</v>
      </c>
      <c r="E6483" s="45" t="s">
        <v>6031</v>
      </c>
      <c r="F6483" s="274"/>
    </row>
    <row r="6484" spans="1:6" s="261" customFormat="1">
      <c r="A6484" s="43">
        <v>95041</v>
      </c>
      <c r="B6484" s="43">
        <v>0</v>
      </c>
      <c r="C6484" s="43" t="s">
        <v>5930</v>
      </c>
      <c r="D6484" s="43" t="s">
        <v>5563</v>
      </c>
      <c r="E6484" s="45" t="s">
        <v>6032</v>
      </c>
      <c r="F6484" s="274"/>
    </row>
    <row r="6485" spans="1:6" s="261" customFormat="1">
      <c r="A6485" s="43">
        <v>95042</v>
      </c>
      <c r="B6485" s="43">
        <v>0</v>
      </c>
      <c r="C6485" s="43" t="s">
        <v>12683</v>
      </c>
      <c r="D6485" s="43" t="s">
        <v>5564</v>
      </c>
      <c r="E6485" s="45" t="s">
        <v>12655</v>
      </c>
      <c r="F6485" s="274"/>
    </row>
    <row r="6486" spans="1:6" s="261" customFormat="1">
      <c r="A6486" s="43">
        <v>95043</v>
      </c>
      <c r="B6486" s="43">
        <v>0</v>
      </c>
      <c r="C6486" s="43" t="s">
        <v>5926</v>
      </c>
      <c r="D6486" s="43" t="s">
        <v>5565</v>
      </c>
      <c r="E6486" s="45" t="s">
        <v>6028</v>
      </c>
      <c r="F6486" s="274"/>
    </row>
    <row r="6487" spans="1:6" s="261" customFormat="1">
      <c r="A6487" s="43">
        <v>95044</v>
      </c>
      <c r="B6487" s="43">
        <v>0</v>
      </c>
      <c r="C6487" s="43" t="s">
        <v>5931</v>
      </c>
      <c r="D6487" s="43" t="s">
        <v>5566</v>
      </c>
      <c r="E6487" s="45" t="s">
        <v>6033</v>
      </c>
      <c r="F6487" s="274"/>
    </row>
    <row r="6488" spans="1:6" s="261" customFormat="1">
      <c r="A6488" s="43">
        <v>95045</v>
      </c>
      <c r="B6488" s="43">
        <v>0</v>
      </c>
      <c r="C6488" s="43" t="s">
        <v>12684</v>
      </c>
      <c r="D6488" s="43" t="s">
        <v>5567</v>
      </c>
      <c r="E6488" s="45" t="s">
        <v>12656</v>
      </c>
      <c r="F6488" s="274"/>
    </row>
    <row r="6489" spans="1:6" s="261" customFormat="1">
      <c r="A6489" s="43">
        <v>95046</v>
      </c>
      <c r="B6489" s="43">
        <v>0</v>
      </c>
      <c r="C6489" s="43" t="s">
        <v>5928</v>
      </c>
      <c r="D6489" s="43" t="s">
        <v>5568</v>
      </c>
      <c r="E6489" s="45" t="s">
        <v>6030</v>
      </c>
      <c r="F6489" s="274"/>
    </row>
    <row r="6490" spans="1:6" s="261" customFormat="1">
      <c r="A6490" s="43">
        <v>95047</v>
      </c>
      <c r="B6490" s="43">
        <v>0</v>
      </c>
      <c r="C6490" s="43" t="s">
        <v>5932</v>
      </c>
      <c r="D6490" s="43" t="s">
        <v>5569</v>
      </c>
      <c r="E6490" s="45" t="s">
        <v>6034</v>
      </c>
      <c r="F6490" s="274"/>
    </row>
    <row r="6491" spans="1:6" s="261" customFormat="1">
      <c r="A6491" s="43">
        <v>95048</v>
      </c>
      <c r="B6491" s="43">
        <v>0</v>
      </c>
      <c r="C6491" s="43" t="s">
        <v>12685</v>
      </c>
      <c r="D6491" s="43" t="s">
        <v>5570</v>
      </c>
      <c r="E6491" s="45" t="s">
        <v>12657</v>
      </c>
      <c r="F6491" s="274"/>
    </row>
    <row r="6492" spans="1:6" s="261" customFormat="1">
      <c r="A6492" s="43">
        <v>95049</v>
      </c>
      <c r="B6492" s="43">
        <v>0</v>
      </c>
      <c r="C6492" s="43" t="s">
        <v>5930</v>
      </c>
      <c r="D6492" s="43" t="s">
        <v>5571</v>
      </c>
      <c r="E6492" s="45" t="s">
        <v>6032</v>
      </c>
      <c r="F6492" s="274"/>
    </row>
    <row r="6493" spans="1:6" s="261" customFormat="1">
      <c r="A6493" s="43">
        <v>95050</v>
      </c>
      <c r="B6493" s="43">
        <v>0</v>
      </c>
      <c r="C6493" s="43" t="s">
        <v>12750</v>
      </c>
      <c r="D6493" s="43" t="s">
        <v>5572</v>
      </c>
      <c r="E6493" s="45" t="s">
        <v>12713</v>
      </c>
      <c r="F6493" s="274"/>
    </row>
    <row r="6494" spans="1:6" s="261" customFormat="1">
      <c r="A6494" s="43">
        <v>95051</v>
      </c>
      <c r="B6494" s="43">
        <v>0</v>
      </c>
      <c r="C6494" s="43" t="s">
        <v>12686</v>
      </c>
      <c r="D6494" s="43" t="s">
        <v>5573</v>
      </c>
      <c r="E6494" s="45" t="s">
        <v>12658</v>
      </c>
      <c r="F6494" s="274"/>
    </row>
    <row r="6495" spans="1:6" s="261" customFormat="1">
      <c r="A6495" s="43">
        <v>95052</v>
      </c>
      <c r="B6495" s="43">
        <v>0</v>
      </c>
      <c r="C6495" s="43" t="s">
        <v>5931</v>
      </c>
      <c r="D6495" s="43" t="s">
        <v>5574</v>
      </c>
      <c r="E6495" s="45" t="s">
        <v>6033</v>
      </c>
      <c r="F6495" s="274"/>
    </row>
    <row r="6496" spans="1:6" s="261" customFormat="1">
      <c r="A6496" s="43">
        <v>95053</v>
      </c>
      <c r="B6496" s="43">
        <v>0</v>
      </c>
      <c r="C6496" s="43" t="s">
        <v>12751</v>
      </c>
      <c r="D6496" s="43" t="s">
        <v>5575</v>
      </c>
      <c r="E6496" s="45" t="s">
        <v>12714</v>
      </c>
      <c r="F6496" s="274"/>
    </row>
    <row r="6497" spans="1:6" s="261" customFormat="1">
      <c r="A6497" s="43">
        <v>95054</v>
      </c>
      <c r="B6497" s="43">
        <v>0</v>
      </c>
      <c r="C6497" s="43" t="s">
        <v>12687</v>
      </c>
      <c r="D6497" s="43" t="s">
        <v>5576</v>
      </c>
      <c r="E6497" s="45" t="s">
        <v>12659</v>
      </c>
      <c r="F6497" s="274"/>
    </row>
    <row r="6498" spans="1:6" s="261" customFormat="1">
      <c r="A6498" s="43">
        <v>95055</v>
      </c>
      <c r="B6498" s="43">
        <v>0</v>
      </c>
      <c r="C6498" s="43" t="s">
        <v>5932</v>
      </c>
      <c r="D6498" s="43" t="s">
        <v>5577</v>
      </c>
      <c r="E6498" s="45" t="s">
        <v>6034</v>
      </c>
      <c r="F6498" s="274"/>
    </row>
    <row r="6499" spans="1:6" s="261" customFormat="1">
      <c r="A6499" s="43">
        <v>95056</v>
      </c>
      <c r="B6499" s="43">
        <v>0</v>
      </c>
      <c r="C6499" s="43" t="s">
        <v>12752</v>
      </c>
      <c r="D6499" s="43" t="s">
        <v>5578</v>
      </c>
      <c r="E6499" s="45" t="s">
        <v>12715</v>
      </c>
      <c r="F6499" s="274"/>
    </row>
    <row r="6500" spans="1:6" s="261" customFormat="1">
      <c r="A6500" s="43">
        <v>95057</v>
      </c>
      <c r="B6500" s="43">
        <v>0</v>
      </c>
      <c r="C6500" s="43" t="s">
        <v>12688</v>
      </c>
      <c r="D6500" s="43" t="s">
        <v>5579</v>
      </c>
      <c r="E6500" s="45" t="s">
        <v>12660</v>
      </c>
      <c r="F6500" s="274"/>
    </row>
    <row r="6501" spans="1:6" s="261" customFormat="1">
      <c r="A6501" s="43">
        <v>95058</v>
      </c>
      <c r="B6501" s="43">
        <v>0</v>
      </c>
      <c r="C6501" s="43" t="s">
        <v>12753</v>
      </c>
      <c r="D6501" s="43" t="s">
        <v>5580</v>
      </c>
      <c r="E6501" s="45" t="s">
        <v>12716</v>
      </c>
      <c r="F6501" s="274"/>
    </row>
    <row r="6502" spans="1:6" s="261" customFormat="1">
      <c r="A6502" s="43">
        <v>95059</v>
      </c>
      <c r="B6502" s="43">
        <v>0</v>
      </c>
      <c r="C6502" s="43" t="s">
        <v>5933</v>
      </c>
      <c r="D6502" s="43" t="s">
        <v>5581</v>
      </c>
      <c r="E6502" s="45" t="s">
        <v>6035</v>
      </c>
      <c r="F6502" s="274"/>
    </row>
    <row r="6503" spans="1:6" s="261" customFormat="1">
      <c r="A6503" s="43">
        <v>95060</v>
      </c>
      <c r="B6503" s="43">
        <v>0</v>
      </c>
      <c r="C6503" s="43" t="s">
        <v>12689</v>
      </c>
      <c r="D6503" s="43" t="s">
        <v>5582</v>
      </c>
      <c r="E6503" s="45" t="s">
        <v>12661</v>
      </c>
      <c r="F6503" s="274"/>
    </row>
    <row r="6504" spans="1:6" s="261" customFormat="1">
      <c r="A6504" s="43">
        <v>95061</v>
      </c>
      <c r="B6504" s="43">
        <v>0</v>
      </c>
      <c r="C6504" s="43" t="s">
        <v>12754</v>
      </c>
      <c r="D6504" s="43" t="s">
        <v>5583</v>
      </c>
      <c r="E6504" s="45" t="s">
        <v>12717</v>
      </c>
      <c r="F6504" s="274"/>
    </row>
    <row r="6505" spans="1:6" s="261" customFormat="1">
      <c r="A6505" s="43">
        <v>95062</v>
      </c>
      <c r="B6505" s="43">
        <v>0</v>
      </c>
      <c r="C6505" s="43" t="s">
        <v>5933</v>
      </c>
      <c r="D6505" s="43" t="s">
        <v>5584</v>
      </c>
      <c r="E6505" s="45" t="s">
        <v>6035</v>
      </c>
      <c r="F6505" s="274"/>
    </row>
    <row r="6506" spans="1:6" s="261" customFormat="1">
      <c r="A6506" s="43">
        <v>95063</v>
      </c>
      <c r="B6506" s="43">
        <v>0</v>
      </c>
      <c r="C6506" s="43" t="s">
        <v>12690</v>
      </c>
      <c r="D6506" s="43" t="s">
        <v>5585</v>
      </c>
      <c r="E6506" s="45" t="s">
        <v>12662</v>
      </c>
      <c r="F6506" s="274"/>
    </row>
    <row r="6507" spans="1:6" s="261" customFormat="1">
      <c r="A6507" s="43">
        <v>95064</v>
      </c>
      <c r="B6507" s="43">
        <v>0</v>
      </c>
      <c r="C6507" s="43" t="s">
        <v>12755</v>
      </c>
      <c r="D6507" s="43" t="s">
        <v>5586</v>
      </c>
      <c r="E6507" s="45" t="s">
        <v>12718</v>
      </c>
      <c r="F6507" s="274"/>
    </row>
    <row r="6508" spans="1:6" s="261" customFormat="1">
      <c r="A6508" s="43">
        <v>95065</v>
      </c>
      <c r="B6508" s="43">
        <v>0</v>
      </c>
      <c r="C6508" s="43" t="s">
        <v>5937</v>
      </c>
      <c r="D6508" s="43" t="s">
        <v>5587</v>
      </c>
      <c r="E6508" s="45" t="s">
        <v>6039</v>
      </c>
      <c r="F6508" s="274"/>
    </row>
    <row r="6509" spans="1:6" s="261" customFormat="1">
      <c r="A6509" s="43">
        <v>95066</v>
      </c>
      <c r="B6509" s="43">
        <v>0</v>
      </c>
      <c r="C6509" s="43" t="s">
        <v>12691</v>
      </c>
      <c r="D6509" s="43" t="s">
        <v>5588</v>
      </c>
      <c r="E6509" s="45" t="s">
        <v>12663</v>
      </c>
      <c r="F6509" s="274"/>
    </row>
    <row r="6510" spans="1:6" s="261" customFormat="1">
      <c r="A6510" s="43">
        <v>95067</v>
      </c>
      <c r="B6510" s="43">
        <v>0</v>
      </c>
      <c r="C6510" s="43" t="s">
        <v>5933</v>
      </c>
      <c r="D6510" s="43" t="s">
        <v>5589</v>
      </c>
      <c r="E6510" s="45" t="s">
        <v>6035</v>
      </c>
      <c r="F6510" s="274"/>
    </row>
    <row r="6511" spans="1:6" s="261" customFormat="1">
      <c r="A6511" s="43">
        <v>95068</v>
      </c>
      <c r="B6511" s="43">
        <v>0</v>
      </c>
      <c r="C6511" s="43" t="s">
        <v>5934</v>
      </c>
      <c r="D6511" s="43" t="s">
        <v>5590</v>
      </c>
      <c r="E6511" s="45" t="s">
        <v>6036</v>
      </c>
      <c r="F6511" s="274"/>
    </row>
    <row r="6512" spans="1:6" s="261" customFormat="1">
      <c r="A6512" s="43">
        <v>95069</v>
      </c>
      <c r="B6512" s="43">
        <v>0</v>
      </c>
      <c r="C6512" s="43" t="s">
        <v>12692</v>
      </c>
      <c r="D6512" s="43" t="s">
        <v>5591</v>
      </c>
      <c r="E6512" s="45" t="s">
        <v>12664</v>
      </c>
      <c r="F6512" s="274"/>
    </row>
    <row r="6513" spans="1:6" s="261" customFormat="1">
      <c r="A6513" s="43">
        <v>95070</v>
      </c>
      <c r="B6513" s="43">
        <v>0</v>
      </c>
      <c r="C6513" s="43" t="s">
        <v>5935</v>
      </c>
      <c r="D6513" s="43" t="s">
        <v>5592</v>
      </c>
      <c r="E6513" s="45" t="s">
        <v>6037</v>
      </c>
      <c r="F6513" s="274"/>
    </row>
    <row r="6514" spans="1:6" s="261" customFormat="1">
      <c r="A6514" s="43">
        <v>95071</v>
      </c>
      <c r="B6514" s="43">
        <v>0</v>
      </c>
      <c r="C6514" s="43" t="s">
        <v>5940</v>
      </c>
      <c r="D6514" s="43" t="s">
        <v>5593</v>
      </c>
      <c r="E6514" s="45" t="s">
        <v>6042</v>
      </c>
      <c r="F6514" s="274"/>
    </row>
    <row r="6515" spans="1:6" s="261" customFormat="1">
      <c r="A6515" s="43">
        <v>95072</v>
      </c>
      <c r="B6515" s="43">
        <v>0</v>
      </c>
      <c r="C6515" s="43" t="s">
        <v>12693</v>
      </c>
      <c r="D6515" s="43" t="s">
        <v>5594</v>
      </c>
      <c r="E6515" s="45" t="s">
        <v>12665</v>
      </c>
      <c r="F6515" s="274"/>
    </row>
    <row r="6516" spans="1:6" s="261" customFormat="1">
      <c r="A6516" s="43">
        <v>95073</v>
      </c>
      <c r="B6516" s="43">
        <v>0</v>
      </c>
      <c r="C6516" s="43" t="s">
        <v>5937</v>
      </c>
      <c r="D6516" s="43" t="s">
        <v>5595</v>
      </c>
      <c r="E6516" s="45" t="s">
        <v>6039</v>
      </c>
      <c r="F6516" s="274"/>
    </row>
    <row r="6517" spans="1:6" s="261" customFormat="1">
      <c r="A6517" s="43">
        <v>95074</v>
      </c>
      <c r="B6517" s="43">
        <v>0</v>
      </c>
      <c r="C6517" s="43" t="s">
        <v>5941</v>
      </c>
      <c r="D6517" s="43" t="s">
        <v>5596</v>
      </c>
      <c r="E6517" s="45" t="s">
        <v>6043</v>
      </c>
      <c r="F6517" s="274"/>
    </row>
    <row r="6518" spans="1:6" s="261" customFormat="1">
      <c r="A6518" s="43">
        <v>95075</v>
      </c>
      <c r="B6518" s="43">
        <v>0</v>
      </c>
      <c r="C6518" s="43" t="s">
        <v>12756</v>
      </c>
      <c r="D6518" s="43" t="s">
        <v>5597</v>
      </c>
      <c r="E6518" s="45" t="s">
        <v>12719</v>
      </c>
      <c r="F6518" s="274"/>
    </row>
    <row r="6519" spans="1:6" s="261" customFormat="1">
      <c r="A6519" s="43">
        <v>95076</v>
      </c>
      <c r="B6519" s="43">
        <v>0</v>
      </c>
      <c r="C6519" s="43" t="s">
        <v>5934</v>
      </c>
      <c r="D6519" s="43" t="s">
        <v>5598</v>
      </c>
      <c r="E6519" s="45" t="s">
        <v>6036</v>
      </c>
      <c r="F6519" s="274"/>
    </row>
    <row r="6520" spans="1:6" s="261" customFormat="1">
      <c r="A6520" s="43">
        <v>95077</v>
      </c>
      <c r="B6520" s="43">
        <v>0</v>
      </c>
      <c r="C6520" s="43" t="s">
        <v>5942</v>
      </c>
      <c r="D6520" s="43" t="s">
        <v>5599</v>
      </c>
      <c r="E6520" s="45" t="s">
        <v>6044</v>
      </c>
      <c r="F6520" s="274"/>
    </row>
    <row r="6521" spans="1:6" s="261" customFormat="1">
      <c r="A6521" s="43">
        <v>95078</v>
      </c>
      <c r="B6521" s="43">
        <v>0</v>
      </c>
      <c r="C6521" s="43" t="s">
        <v>12757</v>
      </c>
      <c r="D6521" s="43" t="s">
        <v>5600</v>
      </c>
      <c r="E6521" s="45" t="s">
        <v>12720</v>
      </c>
      <c r="F6521" s="274"/>
    </row>
    <row r="6522" spans="1:6" s="261" customFormat="1">
      <c r="A6522" s="43">
        <v>95079</v>
      </c>
      <c r="B6522" s="43">
        <v>0</v>
      </c>
      <c r="C6522" s="43" t="s">
        <v>5936</v>
      </c>
      <c r="D6522" s="43" t="s">
        <v>5601</v>
      </c>
      <c r="E6522" s="45" t="s">
        <v>6038</v>
      </c>
      <c r="F6522" s="274"/>
    </row>
    <row r="6523" spans="1:6" s="261" customFormat="1">
      <c r="A6523" s="43">
        <v>95080</v>
      </c>
      <c r="B6523" s="43">
        <v>0</v>
      </c>
      <c r="C6523" s="43" t="s">
        <v>5944</v>
      </c>
      <c r="D6523" s="43" t="s">
        <v>5602</v>
      </c>
      <c r="E6523" s="45" t="s">
        <v>6046</v>
      </c>
      <c r="F6523" s="274"/>
    </row>
    <row r="6524" spans="1:6" s="261" customFormat="1">
      <c r="A6524" s="43">
        <v>95081</v>
      </c>
      <c r="B6524" s="43">
        <v>0</v>
      </c>
      <c r="C6524" s="43" t="s">
        <v>12758</v>
      </c>
      <c r="D6524" s="43" t="s">
        <v>5603</v>
      </c>
      <c r="E6524" s="45" t="s">
        <v>12721</v>
      </c>
      <c r="F6524" s="274"/>
    </row>
    <row r="6525" spans="1:6" s="261" customFormat="1">
      <c r="A6525" s="43">
        <v>95082</v>
      </c>
      <c r="B6525" s="43">
        <v>0</v>
      </c>
      <c r="C6525" s="43" t="s">
        <v>5938</v>
      </c>
      <c r="D6525" s="43" t="s">
        <v>5604</v>
      </c>
      <c r="E6525" s="45" t="s">
        <v>6040</v>
      </c>
      <c r="F6525" s="274"/>
    </row>
    <row r="6526" spans="1:6" s="261" customFormat="1">
      <c r="A6526" s="43">
        <v>95083</v>
      </c>
      <c r="B6526" s="43">
        <v>0</v>
      </c>
      <c r="C6526" s="43" t="s">
        <v>5946</v>
      </c>
      <c r="D6526" s="43" t="s">
        <v>5605</v>
      </c>
      <c r="E6526" s="45" t="s">
        <v>6048</v>
      </c>
      <c r="F6526" s="274"/>
    </row>
    <row r="6527" spans="1:6" s="261" customFormat="1">
      <c r="A6527" s="43">
        <v>95084</v>
      </c>
      <c r="B6527" s="43">
        <v>0</v>
      </c>
      <c r="C6527" s="43" t="s">
        <v>12759</v>
      </c>
      <c r="D6527" s="43" t="s">
        <v>5606</v>
      </c>
      <c r="E6527" s="45" t="s">
        <v>12722</v>
      </c>
      <c r="F6527" s="274"/>
    </row>
    <row r="6528" spans="1:6" s="261" customFormat="1">
      <c r="A6528" s="43">
        <v>95085</v>
      </c>
      <c r="B6528" s="43">
        <v>0</v>
      </c>
      <c r="C6528" s="43" t="s">
        <v>5939</v>
      </c>
      <c r="D6528" s="43" t="s">
        <v>5607</v>
      </c>
      <c r="E6528" s="45" t="s">
        <v>6041</v>
      </c>
      <c r="F6528" s="274"/>
    </row>
    <row r="6529" spans="1:6" s="261" customFormat="1">
      <c r="A6529" s="43">
        <v>95086</v>
      </c>
      <c r="B6529" s="43">
        <v>0</v>
      </c>
      <c r="C6529" s="43" t="s">
        <v>5948</v>
      </c>
      <c r="D6529" s="43" t="s">
        <v>5608</v>
      </c>
      <c r="E6529" s="45" t="s">
        <v>6050</v>
      </c>
      <c r="F6529" s="274"/>
    </row>
    <row r="6530" spans="1:6" s="261" customFormat="1">
      <c r="A6530" s="43">
        <v>95087</v>
      </c>
      <c r="B6530" s="43">
        <v>0</v>
      </c>
      <c r="C6530" s="43" t="s">
        <v>12760</v>
      </c>
      <c r="D6530" s="43" t="s">
        <v>5609</v>
      </c>
      <c r="E6530" s="45" t="s">
        <v>12723</v>
      </c>
      <c r="F6530" s="274"/>
    </row>
    <row r="6531" spans="1:6" s="261" customFormat="1">
      <c r="A6531" s="43">
        <v>95088</v>
      </c>
      <c r="B6531" s="43">
        <v>0</v>
      </c>
      <c r="C6531" s="43" t="s">
        <v>5943</v>
      </c>
      <c r="D6531" s="43" t="s">
        <v>5610</v>
      </c>
      <c r="E6531" s="45" t="s">
        <v>6045</v>
      </c>
      <c r="F6531" s="274"/>
    </row>
    <row r="6532" spans="1:6" s="261" customFormat="1">
      <c r="A6532" s="43">
        <v>95089</v>
      </c>
      <c r="B6532" s="43">
        <v>0</v>
      </c>
      <c r="C6532" s="43" t="s">
        <v>5950</v>
      </c>
      <c r="D6532" s="43" t="s">
        <v>5611</v>
      </c>
      <c r="E6532" s="45" t="s">
        <v>6052</v>
      </c>
      <c r="F6532" s="274"/>
    </row>
    <row r="6533" spans="1:6" s="261" customFormat="1">
      <c r="A6533" s="43">
        <v>95090</v>
      </c>
      <c r="B6533" s="43">
        <v>0</v>
      </c>
      <c r="C6533" s="43" t="s">
        <v>12761</v>
      </c>
      <c r="D6533" s="43" t="s">
        <v>5612</v>
      </c>
      <c r="E6533" s="45" t="s">
        <v>12724</v>
      </c>
      <c r="F6533" s="274"/>
    </row>
    <row r="6534" spans="1:6" s="261" customFormat="1">
      <c r="A6534" s="43">
        <v>95091</v>
      </c>
      <c r="B6534" s="43">
        <v>0</v>
      </c>
      <c r="C6534" s="43" t="s">
        <v>5945</v>
      </c>
      <c r="D6534" s="43" t="s">
        <v>5613</v>
      </c>
      <c r="E6534" s="45" t="s">
        <v>6047</v>
      </c>
      <c r="F6534" s="274"/>
    </row>
    <row r="6535" spans="1:6" s="261" customFormat="1">
      <c r="A6535" s="43">
        <v>95092</v>
      </c>
      <c r="B6535" s="43">
        <v>0</v>
      </c>
      <c r="C6535" s="43" t="s">
        <v>5952</v>
      </c>
      <c r="D6535" s="43" t="s">
        <v>5614</v>
      </c>
      <c r="E6535" s="45" t="s">
        <v>6054</v>
      </c>
      <c r="F6535" s="274"/>
    </row>
    <row r="6536" spans="1:6" s="261" customFormat="1">
      <c r="A6536" s="43">
        <v>95093</v>
      </c>
      <c r="B6536" s="43">
        <v>0</v>
      </c>
      <c r="C6536" s="43" t="s">
        <v>12762</v>
      </c>
      <c r="D6536" s="43" t="s">
        <v>5615</v>
      </c>
      <c r="E6536" s="45" t="s">
        <v>12725</v>
      </c>
      <c r="F6536" s="274"/>
    </row>
    <row r="6537" spans="1:6" s="261" customFormat="1">
      <c r="A6537" s="43">
        <v>95094</v>
      </c>
      <c r="B6537" s="43">
        <v>0</v>
      </c>
      <c r="C6537" s="43" t="s">
        <v>5947</v>
      </c>
      <c r="D6537" s="43" t="s">
        <v>5616</v>
      </c>
      <c r="E6537" s="45" t="s">
        <v>6049</v>
      </c>
      <c r="F6537" s="274"/>
    </row>
    <row r="6538" spans="1:6" s="261" customFormat="1">
      <c r="A6538" s="43">
        <v>95095</v>
      </c>
      <c r="B6538" s="43">
        <v>0</v>
      </c>
      <c r="C6538" s="43" t="s">
        <v>5955</v>
      </c>
      <c r="D6538" s="43" t="s">
        <v>5617</v>
      </c>
      <c r="E6538" s="45" t="s">
        <v>6057</v>
      </c>
      <c r="F6538" s="274"/>
    </row>
    <row r="6539" spans="1:6" s="261" customFormat="1">
      <c r="A6539" s="43">
        <v>95096</v>
      </c>
      <c r="B6539" s="43">
        <v>0</v>
      </c>
      <c r="C6539" s="43" t="s">
        <v>12763</v>
      </c>
      <c r="D6539" s="43" t="s">
        <v>5618</v>
      </c>
      <c r="E6539" s="45" t="s">
        <v>12726</v>
      </c>
      <c r="F6539" s="274"/>
    </row>
    <row r="6540" spans="1:6" s="261" customFormat="1">
      <c r="A6540" s="43">
        <v>95097</v>
      </c>
      <c r="B6540" s="43">
        <v>0</v>
      </c>
      <c r="C6540" s="43" t="s">
        <v>5949</v>
      </c>
      <c r="D6540" s="43" t="s">
        <v>5619</v>
      </c>
      <c r="E6540" s="45" t="s">
        <v>6051</v>
      </c>
      <c r="F6540" s="274"/>
    </row>
    <row r="6541" spans="1:6" s="261" customFormat="1">
      <c r="A6541" s="43">
        <v>95098</v>
      </c>
      <c r="B6541" s="43">
        <v>0</v>
      </c>
      <c r="C6541" s="43" t="s">
        <v>5957</v>
      </c>
      <c r="D6541" s="43" t="s">
        <v>5620</v>
      </c>
      <c r="E6541" s="45" t="s">
        <v>6059</v>
      </c>
      <c r="F6541" s="274"/>
    </row>
    <row r="6542" spans="1:6" s="261" customFormat="1">
      <c r="A6542" s="43">
        <v>95099</v>
      </c>
      <c r="B6542" s="43">
        <v>0</v>
      </c>
      <c r="C6542" s="43" t="s">
        <v>12764</v>
      </c>
      <c r="D6542" s="43" t="s">
        <v>5621</v>
      </c>
      <c r="E6542" s="45" t="s">
        <v>12727</v>
      </c>
      <c r="F6542" s="274"/>
    </row>
    <row r="6543" spans="1:6" s="261" customFormat="1">
      <c r="A6543" s="43">
        <v>95100</v>
      </c>
      <c r="B6543" s="43">
        <v>0</v>
      </c>
      <c r="C6543" s="43" t="s">
        <v>5951</v>
      </c>
      <c r="D6543" s="43" t="s">
        <v>5622</v>
      </c>
      <c r="E6543" s="45" t="s">
        <v>6053</v>
      </c>
      <c r="F6543" s="274"/>
    </row>
    <row r="6544" spans="1:6" s="261" customFormat="1">
      <c r="A6544" s="43">
        <v>95101</v>
      </c>
      <c r="B6544" s="43">
        <v>0</v>
      </c>
      <c r="C6544" s="43" t="s">
        <v>5959</v>
      </c>
      <c r="D6544" s="43" t="s">
        <v>5623</v>
      </c>
      <c r="E6544" s="45" t="s">
        <v>6061</v>
      </c>
      <c r="F6544" s="274"/>
    </row>
    <row r="6545" spans="1:6" s="261" customFormat="1">
      <c r="A6545" s="43">
        <v>95102</v>
      </c>
      <c r="B6545" s="43">
        <v>0</v>
      </c>
      <c r="C6545" s="43" t="s">
        <v>12765</v>
      </c>
      <c r="D6545" s="43" t="s">
        <v>5624</v>
      </c>
      <c r="E6545" s="45" t="s">
        <v>12728</v>
      </c>
      <c r="F6545" s="274"/>
    </row>
    <row r="6546" spans="1:6" s="261" customFormat="1">
      <c r="A6546" s="43">
        <v>95103</v>
      </c>
      <c r="B6546" s="43">
        <v>0</v>
      </c>
      <c r="C6546" s="43" t="s">
        <v>5953</v>
      </c>
      <c r="D6546" s="43" t="s">
        <v>5625</v>
      </c>
      <c r="E6546" s="45" t="s">
        <v>6055</v>
      </c>
      <c r="F6546" s="274"/>
    </row>
    <row r="6547" spans="1:6" s="261" customFormat="1">
      <c r="A6547" s="43">
        <v>95104</v>
      </c>
      <c r="B6547" s="43">
        <v>0</v>
      </c>
      <c r="C6547" s="43" t="s">
        <v>12766</v>
      </c>
      <c r="D6547" s="43" t="s">
        <v>5626</v>
      </c>
      <c r="E6547" s="45" t="s">
        <v>12729</v>
      </c>
      <c r="F6547" s="274"/>
    </row>
    <row r="6548" spans="1:6" s="261" customFormat="1">
      <c r="A6548" s="43">
        <v>95105</v>
      </c>
      <c r="B6548" s="43">
        <v>0</v>
      </c>
      <c r="C6548" s="43" t="s">
        <v>12767</v>
      </c>
      <c r="D6548" s="43" t="s">
        <v>5627</v>
      </c>
      <c r="E6548" s="45" t="s">
        <v>12730</v>
      </c>
      <c r="F6548" s="274"/>
    </row>
    <row r="6549" spans="1:6" s="261" customFormat="1">
      <c r="A6549" s="43">
        <v>95106</v>
      </c>
      <c r="B6549" s="43">
        <v>0</v>
      </c>
      <c r="C6549" s="43" t="s">
        <v>5954</v>
      </c>
      <c r="D6549" s="43" t="s">
        <v>5628</v>
      </c>
      <c r="E6549" s="45" t="s">
        <v>6056</v>
      </c>
      <c r="F6549" s="274"/>
    </row>
    <row r="6550" spans="1:6" s="261" customFormat="1">
      <c r="A6550" s="43">
        <v>95107</v>
      </c>
      <c r="B6550" s="43">
        <v>0</v>
      </c>
      <c r="C6550" s="43" t="s">
        <v>5937</v>
      </c>
      <c r="D6550" s="43" t="s">
        <v>5629</v>
      </c>
      <c r="E6550" s="45" t="s">
        <v>6039</v>
      </c>
      <c r="F6550" s="274"/>
    </row>
    <row r="6551" spans="1:6" s="261" customFormat="1">
      <c r="A6551" s="43">
        <v>95108</v>
      </c>
      <c r="B6551" s="43">
        <v>0</v>
      </c>
      <c r="C6551" s="43" t="s">
        <v>6011</v>
      </c>
      <c r="D6551" s="43" t="s">
        <v>5630</v>
      </c>
      <c r="E6551" s="45" t="s">
        <v>6113</v>
      </c>
      <c r="F6551" s="274"/>
    </row>
    <row r="6552" spans="1:6" s="261" customFormat="1">
      <c r="A6552" s="43">
        <v>95109</v>
      </c>
      <c r="B6552" s="43">
        <v>0</v>
      </c>
      <c r="C6552" s="43" t="s">
        <v>5956</v>
      </c>
      <c r="D6552" s="43" t="s">
        <v>5631</v>
      </c>
      <c r="E6552" s="45" t="s">
        <v>6058</v>
      </c>
      <c r="F6552" s="274"/>
    </row>
    <row r="6553" spans="1:6" s="261" customFormat="1">
      <c r="A6553" s="43">
        <v>95110</v>
      </c>
      <c r="B6553" s="43">
        <v>0</v>
      </c>
      <c r="C6553" s="43" t="s">
        <v>12768</v>
      </c>
      <c r="D6553" s="43" t="s">
        <v>5632</v>
      </c>
      <c r="E6553" s="45" t="s">
        <v>12731</v>
      </c>
      <c r="F6553" s="274"/>
    </row>
    <row r="6554" spans="1:6" s="261" customFormat="1">
      <c r="A6554" s="43">
        <v>95111</v>
      </c>
      <c r="B6554" s="43">
        <v>0</v>
      </c>
      <c r="C6554" s="43" t="s">
        <v>5967</v>
      </c>
      <c r="D6554" s="43" t="s">
        <v>5633</v>
      </c>
      <c r="E6554" s="45" t="s">
        <v>6069</v>
      </c>
      <c r="F6554" s="274"/>
    </row>
    <row r="6555" spans="1:6" s="261" customFormat="1">
      <c r="A6555" s="43">
        <v>95112</v>
      </c>
      <c r="B6555" s="43">
        <v>0</v>
      </c>
      <c r="C6555" s="43" t="s">
        <v>5958</v>
      </c>
      <c r="D6555" s="43" t="s">
        <v>5634</v>
      </c>
      <c r="E6555" s="45" t="s">
        <v>6060</v>
      </c>
      <c r="F6555" s="274"/>
    </row>
    <row r="6556" spans="1:6" s="261" customFormat="1">
      <c r="A6556" s="43">
        <v>95113</v>
      </c>
      <c r="B6556" s="43">
        <v>0</v>
      </c>
      <c r="C6556" s="43" t="s">
        <v>12769</v>
      </c>
      <c r="D6556" s="43" t="s">
        <v>5635</v>
      </c>
      <c r="E6556" s="45" t="s">
        <v>12732</v>
      </c>
      <c r="F6556" s="274"/>
    </row>
    <row r="6557" spans="1:6" s="261" customFormat="1">
      <c r="A6557" s="43">
        <v>95114</v>
      </c>
      <c r="B6557" s="43">
        <v>0</v>
      </c>
      <c r="C6557" s="43" t="s">
        <v>5970</v>
      </c>
      <c r="D6557" s="43" t="s">
        <v>5636</v>
      </c>
      <c r="E6557" s="45" t="s">
        <v>6072</v>
      </c>
      <c r="F6557" s="274"/>
    </row>
    <row r="6558" spans="1:6" s="261" customFormat="1">
      <c r="A6558" s="43">
        <v>95115</v>
      </c>
      <c r="B6558" s="43">
        <v>0</v>
      </c>
      <c r="C6558" s="43" t="s">
        <v>12753</v>
      </c>
      <c r="D6558" s="43" t="s">
        <v>5637</v>
      </c>
      <c r="E6558" s="45" t="s">
        <v>12716</v>
      </c>
      <c r="F6558" s="274"/>
    </row>
    <row r="6559" spans="1:6" s="261" customFormat="1">
      <c r="A6559" s="43">
        <v>95116</v>
      </c>
      <c r="B6559" s="43">
        <v>0</v>
      </c>
      <c r="C6559" s="43" t="s">
        <v>12770</v>
      </c>
      <c r="D6559" s="43" t="s">
        <v>5638</v>
      </c>
      <c r="E6559" s="45" t="s">
        <v>12733</v>
      </c>
      <c r="F6559" s="274"/>
    </row>
    <row r="6560" spans="1:6" s="261" customFormat="1">
      <c r="A6560" s="43">
        <v>95117</v>
      </c>
      <c r="B6560" s="43">
        <v>0</v>
      </c>
      <c r="C6560" s="43" t="s">
        <v>5973</v>
      </c>
      <c r="D6560" s="43" t="s">
        <v>5639</v>
      </c>
      <c r="E6560" s="45" t="s">
        <v>6075</v>
      </c>
      <c r="F6560" s="274"/>
    </row>
    <row r="6561" spans="1:6" s="261" customFormat="1">
      <c r="A6561" s="43">
        <v>95118</v>
      </c>
      <c r="B6561" s="43">
        <v>0</v>
      </c>
      <c r="C6561" s="43" t="s">
        <v>12754</v>
      </c>
      <c r="D6561" s="43" t="s">
        <v>5640</v>
      </c>
      <c r="E6561" s="45" t="s">
        <v>12717</v>
      </c>
      <c r="F6561" s="274"/>
    </row>
    <row r="6562" spans="1:6" s="261" customFormat="1">
      <c r="A6562" s="43">
        <v>95119</v>
      </c>
      <c r="B6562" s="43">
        <v>0</v>
      </c>
      <c r="C6562" s="43" t="s">
        <v>5960</v>
      </c>
      <c r="D6562" s="43" t="s">
        <v>5641</v>
      </c>
      <c r="E6562" s="45" t="s">
        <v>6062</v>
      </c>
      <c r="F6562" s="274"/>
    </row>
    <row r="6563" spans="1:6" s="261" customFormat="1">
      <c r="A6563" s="43">
        <v>95120</v>
      </c>
      <c r="B6563" s="43">
        <v>0</v>
      </c>
      <c r="C6563" s="43" t="s">
        <v>5976</v>
      </c>
      <c r="D6563" s="43" t="s">
        <v>5642</v>
      </c>
      <c r="E6563" s="45" t="s">
        <v>6078</v>
      </c>
      <c r="F6563" s="274"/>
    </row>
    <row r="6564" spans="1:6" s="261" customFormat="1">
      <c r="A6564" s="43">
        <v>95121</v>
      </c>
      <c r="B6564" s="43">
        <v>0</v>
      </c>
      <c r="C6564" s="43" t="s">
        <v>12755</v>
      </c>
      <c r="D6564" s="43" t="s">
        <v>5643</v>
      </c>
      <c r="E6564" s="45" t="s">
        <v>12718</v>
      </c>
      <c r="F6564" s="274"/>
    </row>
    <row r="6565" spans="1:6" s="261" customFormat="1">
      <c r="A6565" s="43">
        <v>95122</v>
      </c>
      <c r="B6565" s="43">
        <v>0</v>
      </c>
      <c r="C6565" s="43" t="s">
        <v>5961</v>
      </c>
      <c r="D6565" s="43" t="s">
        <v>5644</v>
      </c>
      <c r="E6565" s="45" t="s">
        <v>6063</v>
      </c>
      <c r="F6565" s="274"/>
    </row>
    <row r="6566" spans="1:6" s="261" customFormat="1">
      <c r="A6566" s="43">
        <v>95123</v>
      </c>
      <c r="B6566" s="43">
        <v>0</v>
      </c>
      <c r="C6566" s="43" t="s">
        <v>5979</v>
      </c>
      <c r="D6566" s="43" t="s">
        <v>5645</v>
      </c>
      <c r="E6566" s="45" t="s">
        <v>6081</v>
      </c>
      <c r="F6566" s="274"/>
    </row>
    <row r="6567" spans="1:6" s="261" customFormat="1">
      <c r="A6567" s="43">
        <v>95124</v>
      </c>
      <c r="B6567" s="43">
        <v>0</v>
      </c>
      <c r="C6567" s="43" t="s">
        <v>5933</v>
      </c>
      <c r="D6567" s="43" t="s">
        <v>5646</v>
      </c>
      <c r="E6567" s="45" t="s">
        <v>6035</v>
      </c>
      <c r="F6567" s="274"/>
    </row>
    <row r="6568" spans="1:6" s="261" customFormat="1">
      <c r="A6568" s="43">
        <v>95125</v>
      </c>
      <c r="B6568" s="43">
        <v>0</v>
      </c>
      <c r="C6568" s="43" t="s">
        <v>5962</v>
      </c>
      <c r="D6568" s="43" t="s">
        <v>5647</v>
      </c>
      <c r="E6568" s="45" t="s">
        <v>6064</v>
      </c>
      <c r="F6568" s="274"/>
    </row>
    <row r="6569" spans="1:6" s="261" customFormat="1">
      <c r="A6569" s="43">
        <v>95126</v>
      </c>
      <c r="B6569" s="43">
        <v>0</v>
      </c>
      <c r="C6569" s="43" t="s">
        <v>5982</v>
      </c>
      <c r="D6569" s="43" t="s">
        <v>5648</v>
      </c>
      <c r="E6569" s="45" t="s">
        <v>6084</v>
      </c>
      <c r="F6569" s="274"/>
    </row>
    <row r="6570" spans="1:6" s="261" customFormat="1">
      <c r="A6570" s="43">
        <v>95127</v>
      </c>
      <c r="B6570" s="43">
        <v>0</v>
      </c>
      <c r="C6570" s="43" t="s">
        <v>5935</v>
      </c>
      <c r="D6570" s="43" t="s">
        <v>5649</v>
      </c>
      <c r="E6570" s="45" t="s">
        <v>6037</v>
      </c>
      <c r="F6570" s="274"/>
    </row>
    <row r="6571" spans="1:6" s="261" customFormat="1">
      <c r="A6571" s="43">
        <v>95128</v>
      </c>
      <c r="B6571" s="43">
        <v>0</v>
      </c>
      <c r="C6571" s="43" t="s">
        <v>5963</v>
      </c>
      <c r="D6571" s="43" t="s">
        <v>5650</v>
      </c>
      <c r="E6571" s="45" t="s">
        <v>6065</v>
      </c>
      <c r="F6571" s="274"/>
    </row>
    <row r="6572" spans="1:6" s="261" customFormat="1">
      <c r="A6572" s="43">
        <v>95129</v>
      </c>
      <c r="B6572" s="43">
        <v>0</v>
      </c>
      <c r="C6572" s="43" t="s">
        <v>5985</v>
      </c>
      <c r="D6572" s="43" t="s">
        <v>5651</v>
      </c>
      <c r="E6572" s="45" t="s">
        <v>6087</v>
      </c>
      <c r="F6572" s="274"/>
    </row>
    <row r="6573" spans="1:6" s="261" customFormat="1">
      <c r="A6573" s="43">
        <v>95130</v>
      </c>
      <c r="B6573" s="43">
        <v>0</v>
      </c>
      <c r="C6573" s="43" t="s">
        <v>5937</v>
      </c>
      <c r="D6573" s="43" t="s">
        <v>5652</v>
      </c>
      <c r="E6573" s="45" t="s">
        <v>6039</v>
      </c>
      <c r="F6573" s="274"/>
    </row>
    <row r="6574" spans="1:6" s="261" customFormat="1">
      <c r="A6574" s="43">
        <v>95131</v>
      </c>
      <c r="B6574" s="43">
        <v>0</v>
      </c>
      <c r="C6574" s="43" t="s">
        <v>5964</v>
      </c>
      <c r="D6574" s="43" t="s">
        <v>5653</v>
      </c>
      <c r="E6574" s="45" t="s">
        <v>6066</v>
      </c>
      <c r="F6574" s="274"/>
    </row>
    <row r="6575" spans="1:6" s="261" customFormat="1">
      <c r="A6575" s="43">
        <v>95132</v>
      </c>
      <c r="B6575" s="43">
        <v>0</v>
      </c>
      <c r="C6575" s="43" t="s">
        <v>5988</v>
      </c>
      <c r="D6575" s="43" t="s">
        <v>5654</v>
      </c>
      <c r="E6575" s="45" t="s">
        <v>6090</v>
      </c>
      <c r="F6575" s="274"/>
    </row>
    <row r="6576" spans="1:6" s="261" customFormat="1">
      <c r="A6576" s="43">
        <v>95133</v>
      </c>
      <c r="B6576" s="43">
        <v>0</v>
      </c>
      <c r="C6576" s="43" t="s">
        <v>5934</v>
      </c>
      <c r="D6576" s="43" t="s">
        <v>5655</v>
      </c>
      <c r="E6576" s="45" t="s">
        <v>6036</v>
      </c>
      <c r="F6576" s="274"/>
    </row>
    <row r="6577" spans="1:6" s="261" customFormat="1">
      <c r="A6577" s="43">
        <v>95134</v>
      </c>
      <c r="B6577" s="43">
        <v>0</v>
      </c>
      <c r="C6577" s="43" t="s">
        <v>5940</v>
      </c>
      <c r="D6577" s="43" t="s">
        <v>5656</v>
      </c>
      <c r="E6577" s="45" t="s">
        <v>6042</v>
      </c>
      <c r="F6577" s="274"/>
    </row>
    <row r="6578" spans="1:6" s="261" customFormat="1">
      <c r="A6578" s="43">
        <v>95135</v>
      </c>
      <c r="B6578" s="43">
        <v>0</v>
      </c>
      <c r="C6578" s="43" t="s">
        <v>5991</v>
      </c>
      <c r="D6578" s="43" t="s">
        <v>5657</v>
      </c>
      <c r="E6578" s="45" t="s">
        <v>6093</v>
      </c>
      <c r="F6578" s="274"/>
    </row>
    <row r="6579" spans="1:6" s="261" customFormat="1">
      <c r="A6579" s="43">
        <v>95136</v>
      </c>
      <c r="B6579" s="43">
        <v>0</v>
      </c>
      <c r="C6579" s="43" t="s">
        <v>5936</v>
      </c>
      <c r="D6579" s="43" t="s">
        <v>5658</v>
      </c>
      <c r="E6579" s="45" t="s">
        <v>6038</v>
      </c>
      <c r="F6579" s="274"/>
    </row>
    <row r="6580" spans="1:6" s="261" customFormat="1">
      <c r="A6580" s="43">
        <v>95137</v>
      </c>
      <c r="B6580" s="43">
        <v>0</v>
      </c>
      <c r="C6580" s="43" t="s">
        <v>5941</v>
      </c>
      <c r="D6580" s="43" t="s">
        <v>5659</v>
      </c>
      <c r="E6580" s="45" t="s">
        <v>6043</v>
      </c>
      <c r="F6580" s="274"/>
    </row>
    <row r="6581" spans="1:6" s="261" customFormat="1">
      <c r="A6581" s="43">
        <v>95138</v>
      </c>
      <c r="B6581" s="43">
        <v>0</v>
      </c>
      <c r="C6581" s="43" t="s">
        <v>5997</v>
      </c>
      <c r="D6581" s="43" t="s">
        <v>5660</v>
      </c>
      <c r="E6581" s="45" t="s">
        <v>6099</v>
      </c>
      <c r="F6581" s="274"/>
    </row>
    <row r="6582" spans="1:6" s="261" customFormat="1">
      <c r="A6582" s="43">
        <v>95139</v>
      </c>
      <c r="B6582" s="43">
        <v>0</v>
      </c>
      <c r="C6582" s="43" t="s">
        <v>5938</v>
      </c>
      <c r="D6582" s="43" t="s">
        <v>5661</v>
      </c>
      <c r="E6582" s="45" t="s">
        <v>6040</v>
      </c>
      <c r="F6582" s="274"/>
    </row>
    <row r="6583" spans="1:6" s="261" customFormat="1">
      <c r="A6583" s="43">
        <v>95140</v>
      </c>
      <c r="B6583" s="43">
        <v>0</v>
      </c>
      <c r="C6583" s="43" t="s">
        <v>5942</v>
      </c>
      <c r="D6583" s="43" t="s">
        <v>5662</v>
      </c>
      <c r="E6583" s="45" t="s">
        <v>6044</v>
      </c>
      <c r="F6583" s="274"/>
    </row>
    <row r="6584" spans="1:6" s="261" customFormat="1">
      <c r="A6584" s="43">
        <v>95141</v>
      </c>
      <c r="B6584" s="43">
        <v>0</v>
      </c>
      <c r="C6584" s="43" t="s">
        <v>6000</v>
      </c>
      <c r="D6584" s="43" t="s">
        <v>5663</v>
      </c>
      <c r="E6584" s="45" t="s">
        <v>6102</v>
      </c>
      <c r="F6584" s="274"/>
    </row>
    <row r="6585" spans="1:6" s="261" customFormat="1">
      <c r="A6585" s="43">
        <v>95142</v>
      </c>
      <c r="B6585" s="43">
        <v>0</v>
      </c>
      <c r="C6585" s="43" t="s">
        <v>5939</v>
      </c>
      <c r="D6585" s="43" t="s">
        <v>5664</v>
      </c>
      <c r="E6585" s="45" t="s">
        <v>6041</v>
      </c>
      <c r="F6585" s="274"/>
    </row>
    <row r="6586" spans="1:6" s="261" customFormat="1">
      <c r="A6586" s="43">
        <v>95143</v>
      </c>
      <c r="B6586" s="43">
        <v>0</v>
      </c>
      <c r="C6586" s="43" t="s">
        <v>5944</v>
      </c>
      <c r="D6586" s="43" t="s">
        <v>5665</v>
      </c>
      <c r="E6586" s="45" t="s">
        <v>6046</v>
      </c>
      <c r="F6586" s="274"/>
    </row>
    <row r="6587" spans="1:6" s="261" customFormat="1">
      <c r="A6587" s="43">
        <v>95144</v>
      </c>
      <c r="B6587" s="43">
        <v>0</v>
      </c>
      <c r="C6587" s="43" t="s">
        <v>6003</v>
      </c>
      <c r="D6587" s="43" t="s">
        <v>5666</v>
      </c>
      <c r="E6587" s="45" t="s">
        <v>6105</v>
      </c>
      <c r="F6587" s="274"/>
    </row>
    <row r="6588" spans="1:6" s="261" customFormat="1">
      <c r="A6588" s="43">
        <v>95145</v>
      </c>
      <c r="B6588" s="43">
        <v>0</v>
      </c>
      <c r="C6588" s="43" t="s">
        <v>5943</v>
      </c>
      <c r="D6588" s="43" t="s">
        <v>5667</v>
      </c>
      <c r="E6588" s="45" t="s">
        <v>6045</v>
      </c>
      <c r="F6588" s="274"/>
    </row>
    <row r="6589" spans="1:6" s="261" customFormat="1">
      <c r="A6589" s="43">
        <v>95146</v>
      </c>
      <c r="B6589" s="43">
        <v>0</v>
      </c>
      <c r="C6589" s="43" t="s">
        <v>5946</v>
      </c>
      <c r="D6589" s="43" t="s">
        <v>5668</v>
      </c>
      <c r="E6589" s="45" t="s">
        <v>6048</v>
      </c>
      <c r="F6589" s="274"/>
    </row>
    <row r="6590" spans="1:6" s="261" customFormat="1">
      <c r="A6590" s="43">
        <v>95147</v>
      </c>
      <c r="B6590" s="43">
        <v>0</v>
      </c>
      <c r="C6590" s="43" t="s">
        <v>6016</v>
      </c>
      <c r="D6590" s="43" t="s">
        <v>5669</v>
      </c>
      <c r="E6590" s="45" t="s">
        <v>6118</v>
      </c>
      <c r="F6590" s="274"/>
    </row>
    <row r="6591" spans="1:6" s="261" customFormat="1">
      <c r="A6591" s="43">
        <v>95148</v>
      </c>
      <c r="B6591" s="43">
        <v>0</v>
      </c>
      <c r="C6591" s="43" t="s">
        <v>5995</v>
      </c>
      <c r="D6591" s="43" t="s">
        <v>5670</v>
      </c>
      <c r="E6591" s="45" t="s">
        <v>6097</v>
      </c>
      <c r="F6591" s="274"/>
    </row>
    <row r="6592" spans="1:6" s="261" customFormat="1">
      <c r="A6592" s="43">
        <v>95149</v>
      </c>
      <c r="B6592" s="43">
        <v>0</v>
      </c>
      <c r="C6592" s="43" t="s">
        <v>6005</v>
      </c>
      <c r="D6592" s="43" t="s">
        <v>5671</v>
      </c>
      <c r="E6592" s="45" t="s">
        <v>6107</v>
      </c>
      <c r="F6592" s="274"/>
    </row>
    <row r="6593" spans="1:6" s="261" customFormat="1">
      <c r="A6593" s="43">
        <v>95150</v>
      </c>
      <c r="B6593" s="43">
        <v>0</v>
      </c>
      <c r="C6593" s="43" t="s">
        <v>12771</v>
      </c>
      <c r="D6593" s="43" t="s">
        <v>5672</v>
      </c>
      <c r="E6593" s="45" t="s">
        <v>12734</v>
      </c>
      <c r="F6593" s="274"/>
    </row>
    <row r="6594" spans="1:6" s="261" customFormat="1">
      <c r="A6594" s="43">
        <v>95151</v>
      </c>
      <c r="B6594" s="43">
        <v>0</v>
      </c>
      <c r="C6594" s="43" t="s">
        <v>5998</v>
      </c>
      <c r="D6594" s="43" t="s">
        <v>5673</v>
      </c>
      <c r="E6594" s="45" t="s">
        <v>6100</v>
      </c>
      <c r="F6594" s="274"/>
    </row>
    <row r="6595" spans="1:6" s="261" customFormat="1">
      <c r="A6595" s="43">
        <v>95152</v>
      </c>
      <c r="B6595" s="43">
        <v>0</v>
      </c>
      <c r="C6595" s="43" t="s">
        <v>6008</v>
      </c>
      <c r="D6595" s="43" t="s">
        <v>5674</v>
      </c>
      <c r="E6595" s="45" t="s">
        <v>6110</v>
      </c>
      <c r="F6595" s="274"/>
    </row>
    <row r="6596" spans="1:6" s="261" customFormat="1">
      <c r="A6596" s="43">
        <v>95153</v>
      </c>
      <c r="B6596" s="43">
        <v>0</v>
      </c>
      <c r="C6596" s="43" t="s">
        <v>12772</v>
      </c>
      <c r="D6596" s="43" t="s">
        <v>5675</v>
      </c>
      <c r="E6596" s="45" t="s">
        <v>12735</v>
      </c>
      <c r="F6596" s="274"/>
    </row>
    <row r="6597" spans="1:6" s="261" customFormat="1">
      <c r="A6597" s="43">
        <v>95154</v>
      </c>
      <c r="B6597" s="43">
        <v>0</v>
      </c>
      <c r="C6597" s="43" t="s">
        <v>6001</v>
      </c>
      <c r="D6597" s="43" t="s">
        <v>5676</v>
      </c>
      <c r="E6597" s="45" t="s">
        <v>6103</v>
      </c>
      <c r="F6597" s="274"/>
    </row>
    <row r="6598" spans="1:6" s="261" customFormat="1">
      <c r="A6598" s="43">
        <v>95155</v>
      </c>
      <c r="B6598" s="43">
        <v>0</v>
      </c>
      <c r="C6598" s="43" t="s">
        <v>6010</v>
      </c>
      <c r="D6598" s="43" t="s">
        <v>5677</v>
      </c>
      <c r="E6598" s="45" t="s">
        <v>6112</v>
      </c>
      <c r="F6598" s="274"/>
    </row>
    <row r="6599" spans="1:6" s="261" customFormat="1">
      <c r="A6599" s="43">
        <v>95156</v>
      </c>
      <c r="B6599" s="43">
        <v>0</v>
      </c>
      <c r="C6599" s="43" t="s">
        <v>6018</v>
      </c>
      <c r="D6599" s="43" t="s">
        <v>5678</v>
      </c>
      <c r="E6599" s="45" t="s">
        <v>6120</v>
      </c>
      <c r="F6599" s="274"/>
    </row>
    <row r="6600" spans="1:6" s="261" customFormat="1">
      <c r="A6600" s="43">
        <v>95157</v>
      </c>
      <c r="B6600" s="43">
        <v>0</v>
      </c>
      <c r="C6600" s="43" t="s">
        <v>6004</v>
      </c>
      <c r="D6600" s="43" t="s">
        <v>5679</v>
      </c>
      <c r="E6600" s="45" t="s">
        <v>6106</v>
      </c>
      <c r="F6600" s="274"/>
    </row>
    <row r="6601" spans="1:6" s="261" customFormat="1">
      <c r="A6601" s="43">
        <v>95158</v>
      </c>
      <c r="B6601" s="43">
        <v>0</v>
      </c>
      <c r="C6601" s="43" t="s">
        <v>5966</v>
      </c>
      <c r="D6601" s="43" t="s">
        <v>5680</v>
      </c>
      <c r="E6601" s="45" t="s">
        <v>6068</v>
      </c>
      <c r="F6601" s="274"/>
    </row>
    <row r="6602" spans="1:6" s="261" customFormat="1">
      <c r="A6602" s="43">
        <v>95159</v>
      </c>
      <c r="B6602" s="43">
        <v>0</v>
      </c>
      <c r="C6602" s="43" t="s">
        <v>6020</v>
      </c>
      <c r="D6602" s="43" t="s">
        <v>5681</v>
      </c>
      <c r="E6602" s="45" t="s">
        <v>6122</v>
      </c>
      <c r="F6602" s="274"/>
    </row>
    <row r="6603" spans="1:6" s="261" customFormat="1">
      <c r="A6603" s="43">
        <v>95160</v>
      </c>
      <c r="B6603" s="43">
        <v>0</v>
      </c>
      <c r="C6603" s="43" t="s">
        <v>6007</v>
      </c>
      <c r="D6603" s="43" t="s">
        <v>5682</v>
      </c>
      <c r="E6603" s="45" t="s">
        <v>6109</v>
      </c>
      <c r="F6603" s="274"/>
    </row>
    <row r="6604" spans="1:6" s="261" customFormat="1">
      <c r="A6604" s="43">
        <v>95161</v>
      </c>
      <c r="B6604" s="43">
        <v>0</v>
      </c>
      <c r="C6604" s="43" t="s">
        <v>5969</v>
      </c>
      <c r="D6604" s="43" t="s">
        <v>5683</v>
      </c>
      <c r="E6604" s="45" t="s">
        <v>6071</v>
      </c>
      <c r="F6604" s="274"/>
    </row>
    <row r="6605" spans="1:6" s="261" customFormat="1">
      <c r="A6605" s="43">
        <v>95162</v>
      </c>
      <c r="B6605" s="43">
        <v>0</v>
      </c>
      <c r="C6605" s="43" t="s">
        <v>6006</v>
      </c>
      <c r="D6605" s="43" t="s">
        <v>5684</v>
      </c>
      <c r="E6605" s="45" t="s">
        <v>6108</v>
      </c>
      <c r="F6605" s="274"/>
    </row>
    <row r="6606" spans="1:6" s="261" customFormat="1">
      <c r="A6606" s="43">
        <v>95163</v>
      </c>
      <c r="B6606" s="43">
        <v>0</v>
      </c>
      <c r="C6606" s="43" t="s">
        <v>6009</v>
      </c>
      <c r="D6606" s="43" t="s">
        <v>5685</v>
      </c>
      <c r="E6606" s="45" t="s">
        <v>6111</v>
      </c>
      <c r="F6606" s="274"/>
    </row>
    <row r="6607" spans="1:6" s="261" customFormat="1">
      <c r="A6607" s="43">
        <v>95164</v>
      </c>
      <c r="B6607" s="43">
        <v>0</v>
      </c>
      <c r="C6607" s="43" t="s">
        <v>5972</v>
      </c>
      <c r="D6607" s="43" t="s">
        <v>5686</v>
      </c>
      <c r="E6607" s="45" t="s">
        <v>6074</v>
      </c>
      <c r="F6607" s="274"/>
    </row>
    <row r="6608" spans="1:6" s="261" customFormat="1">
      <c r="A6608" s="43">
        <v>95165</v>
      </c>
      <c r="B6608" s="43">
        <v>0</v>
      </c>
      <c r="C6608" s="43" t="s">
        <v>6012</v>
      </c>
      <c r="D6608" s="43" t="s">
        <v>5687</v>
      </c>
      <c r="E6608" s="45" t="s">
        <v>6114</v>
      </c>
      <c r="F6608" s="274"/>
    </row>
    <row r="6609" spans="1:6" s="261" customFormat="1">
      <c r="A6609" s="43">
        <v>95166</v>
      </c>
      <c r="B6609" s="43">
        <v>0</v>
      </c>
      <c r="C6609" s="43" t="s">
        <v>5965</v>
      </c>
      <c r="D6609" s="43" t="s">
        <v>5688</v>
      </c>
      <c r="E6609" s="45" t="s">
        <v>6067</v>
      </c>
      <c r="F6609" s="274"/>
    </row>
    <row r="6610" spans="1:6" s="261" customFormat="1">
      <c r="A6610" s="43">
        <v>95167</v>
      </c>
      <c r="B6610" s="43">
        <v>0</v>
      </c>
      <c r="C6610" s="43" t="s">
        <v>12773</v>
      </c>
      <c r="D6610" s="43" t="s">
        <v>5689</v>
      </c>
      <c r="E6610" s="45" t="s">
        <v>12736</v>
      </c>
      <c r="F6610" s="274"/>
    </row>
    <row r="6611" spans="1:6" s="261" customFormat="1">
      <c r="A6611" s="43">
        <v>95168</v>
      </c>
      <c r="B6611" s="43">
        <v>0</v>
      </c>
      <c r="C6611" s="43" t="s">
        <v>6013</v>
      </c>
      <c r="D6611" s="43" t="s">
        <v>5690</v>
      </c>
      <c r="E6611" s="45" t="s">
        <v>6115</v>
      </c>
      <c r="F6611" s="274"/>
    </row>
    <row r="6612" spans="1:6" s="261" customFormat="1">
      <c r="A6612" s="43">
        <v>95169</v>
      </c>
      <c r="B6612" s="43">
        <v>0</v>
      </c>
      <c r="C6612" s="43" t="s">
        <v>5968</v>
      </c>
      <c r="D6612" s="43" t="s">
        <v>5691</v>
      </c>
      <c r="E6612" s="45" t="s">
        <v>6070</v>
      </c>
      <c r="F6612" s="274"/>
    </row>
    <row r="6613" spans="1:6" s="261" customFormat="1">
      <c r="A6613" s="43">
        <v>95170</v>
      </c>
      <c r="B6613" s="43">
        <v>0</v>
      </c>
      <c r="C6613" s="43" t="s">
        <v>5977</v>
      </c>
      <c r="D6613" s="43" t="s">
        <v>5692</v>
      </c>
      <c r="E6613" s="45" t="s">
        <v>6079</v>
      </c>
      <c r="F6613" s="274"/>
    </row>
    <row r="6614" spans="1:6" s="261" customFormat="1">
      <c r="A6614" s="43">
        <v>95171</v>
      </c>
      <c r="B6614" s="43">
        <v>0</v>
      </c>
      <c r="C6614" s="43" t="s">
        <v>12774</v>
      </c>
      <c r="D6614" s="43" t="s">
        <v>5693</v>
      </c>
      <c r="E6614" s="45" t="s">
        <v>12737</v>
      </c>
      <c r="F6614" s="274"/>
    </row>
    <row r="6615" spans="1:6" s="261" customFormat="1">
      <c r="A6615" s="43">
        <v>95172</v>
      </c>
      <c r="B6615" s="43">
        <v>0</v>
      </c>
      <c r="C6615" s="43" t="s">
        <v>12775</v>
      </c>
      <c r="D6615" s="43" t="s">
        <v>5694</v>
      </c>
      <c r="E6615" s="45" t="s">
        <v>12738</v>
      </c>
      <c r="F6615" s="274"/>
    </row>
    <row r="6616" spans="1:6" s="261" customFormat="1">
      <c r="A6616" s="43">
        <v>95173</v>
      </c>
      <c r="B6616" s="43">
        <v>0</v>
      </c>
      <c r="C6616" s="43" t="s">
        <v>12776</v>
      </c>
      <c r="D6616" s="43" t="s">
        <v>5695</v>
      </c>
      <c r="E6616" s="45" t="s">
        <v>12739</v>
      </c>
      <c r="F6616" s="274"/>
    </row>
    <row r="6617" spans="1:6" s="261" customFormat="1">
      <c r="A6617" s="43">
        <v>95174</v>
      </c>
      <c r="B6617" s="43">
        <v>0</v>
      </c>
      <c r="C6617" s="43" t="s">
        <v>6015</v>
      </c>
      <c r="D6617" s="43" t="s">
        <v>5696</v>
      </c>
      <c r="E6617" s="45" t="s">
        <v>6117</v>
      </c>
      <c r="F6617" s="274"/>
    </row>
    <row r="6618" spans="1:6" s="261" customFormat="1">
      <c r="A6618" s="43">
        <v>95175</v>
      </c>
      <c r="B6618" s="43">
        <v>0</v>
      </c>
      <c r="C6618" s="43" t="s">
        <v>12777</v>
      </c>
      <c r="D6618" s="43" t="s">
        <v>5697</v>
      </c>
      <c r="E6618" s="45" t="s">
        <v>12740</v>
      </c>
      <c r="F6618" s="274"/>
    </row>
    <row r="6619" spans="1:6" s="261" customFormat="1">
      <c r="A6619" s="43">
        <v>95176</v>
      </c>
      <c r="B6619" s="43">
        <v>0</v>
      </c>
      <c r="C6619" s="43" t="s">
        <v>12778</v>
      </c>
      <c r="D6619" s="43" t="s">
        <v>5698</v>
      </c>
      <c r="E6619" s="45" t="s">
        <v>12741</v>
      </c>
      <c r="F6619" s="274"/>
    </row>
    <row r="6620" spans="1:6" s="261" customFormat="1">
      <c r="A6620" s="43">
        <v>95177</v>
      </c>
      <c r="B6620" s="43">
        <v>0</v>
      </c>
      <c r="C6620" s="43" t="s">
        <v>12779</v>
      </c>
      <c r="D6620" s="43" t="s">
        <v>5699</v>
      </c>
      <c r="E6620" s="45" t="s">
        <v>12742</v>
      </c>
      <c r="F6620" s="274"/>
    </row>
    <row r="6621" spans="1:6" s="261" customFormat="1">
      <c r="A6621" s="43">
        <v>95178</v>
      </c>
      <c r="B6621" s="43">
        <v>0</v>
      </c>
      <c r="C6621" s="43" t="s">
        <v>12780</v>
      </c>
      <c r="D6621" s="43" t="s">
        <v>5700</v>
      </c>
      <c r="E6621" s="45" t="s">
        <v>12743</v>
      </c>
      <c r="F6621" s="274"/>
    </row>
    <row r="6622" spans="1:6" s="261" customFormat="1">
      <c r="A6622" s="43">
        <v>95179</v>
      </c>
      <c r="B6622" s="43">
        <v>0</v>
      </c>
      <c r="C6622" s="43" t="s">
        <v>12781</v>
      </c>
      <c r="D6622" s="43" t="s">
        <v>5701</v>
      </c>
      <c r="E6622" s="45" t="s">
        <v>12744</v>
      </c>
      <c r="F6622" s="274"/>
    </row>
    <row r="6623" spans="1:6" s="261" customFormat="1">
      <c r="A6623" s="43">
        <v>95180</v>
      </c>
      <c r="B6623" s="43">
        <v>0</v>
      </c>
      <c r="C6623" s="43" t="s">
        <v>6019</v>
      </c>
      <c r="D6623" s="43" t="s">
        <v>5702</v>
      </c>
      <c r="E6623" s="45" t="s">
        <v>6121</v>
      </c>
      <c r="F6623" s="274"/>
    </row>
    <row r="6624" spans="1:6" s="261" customFormat="1">
      <c r="A6624" s="43">
        <v>95181</v>
      </c>
      <c r="B6624" s="43">
        <v>0</v>
      </c>
      <c r="C6624" s="43" t="s">
        <v>5971</v>
      </c>
      <c r="D6624" s="43" t="s">
        <v>5703</v>
      </c>
      <c r="E6624" s="45" t="s">
        <v>6073</v>
      </c>
      <c r="F6624" s="274"/>
    </row>
    <row r="6625" spans="1:6" s="261" customFormat="1">
      <c r="A6625" s="43">
        <v>95182</v>
      </c>
      <c r="B6625" s="43">
        <v>0</v>
      </c>
      <c r="C6625" s="43" t="s">
        <v>5975</v>
      </c>
      <c r="D6625" s="43" t="s">
        <v>5704</v>
      </c>
      <c r="E6625" s="45" t="s">
        <v>6077</v>
      </c>
      <c r="F6625" s="274"/>
    </row>
    <row r="6626" spans="1:6" s="261" customFormat="1">
      <c r="A6626" s="43">
        <v>95183</v>
      </c>
      <c r="B6626" s="43">
        <v>0</v>
      </c>
      <c r="C6626" s="43" t="s">
        <v>5994</v>
      </c>
      <c r="D6626" s="43" t="s">
        <v>5705</v>
      </c>
      <c r="E6626" s="45" t="s">
        <v>6096</v>
      </c>
      <c r="F6626" s="274"/>
    </row>
    <row r="6627" spans="1:6" s="261" customFormat="1">
      <c r="A6627" s="43">
        <v>95184</v>
      </c>
      <c r="B6627" s="43">
        <v>0</v>
      </c>
      <c r="C6627" s="43" t="s">
        <v>5974</v>
      </c>
      <c r="D6627" s="43" t="s">
        <v>5706</v>
      </c>
      <c r="E6627" s="45" t="s">
        <v>6076</v>
      </c>
      <c r="F6627" s="274"/>
    </row>
    <row r="6628" spans="1:6" s="261" customFormat="1">
      <c r="A6628" s="43">
        <v>95185</v>
      </c>
      <c r="B6628" s="43">
        <v>0</v>
      </c>
      <c r="C6628" s="43" t="s">
        <v>5978</v>
      </c>
      <c r="D6628" s="43" t="s">
        <v>5707</v>
      </c>
      <c r="E6628" s="45" t="s">
        <v>6080</v>
      </c>
      <c r="F6628" s="274"/>
    </row>
    <row r="6629" spans="1:6" s="261" customFormat="1">
      <c r="A6629" s="43">
        <v>95186</v>
      </c>
      <c r="B6629" s="43">
        <v>0</v>
      </c>
      <c r="C6629" s="43" t="s">
        <v>6017</v>
      </c>
      <c r="D6629" s="43" t="s">
        <v>5708</v>
      </c>
      <c r="E6629" s="45" t="s">
        <v>6119</v>
      </c>
      <c r="F6629" s="274"/>
    </row>
    <row r="6630" spans="1:6" s="261" customFormat="1">
      <c r="A6630" s="43">
        <v>95187</v>
      </c>
      <c r="B6630" s="43">
        <v>0</v>
      </c>
      <c r="C6630" s="43" t="s">
        <v>5977</v>
      </c>
      <c r="D6630" s="43" t="s">
        <v>5709</v>
      </c>
      <c r="E6630" s="45" t="s">
        <v>6079</v>
      </c>
      <c r="F6630" s="274"/>
    </row>
    <row r="6631" spans="1:6" s="261" customFormat="1">
      <c r="A6631" s="43">
        <v>95188</v>
      </c>
      <c r="B6631" s="43">
        <v>0</v>
      </c>
      <c r="C6631" s="43" t="s">
        <v>5981</v>
      </c>
      <c r="D6631" s="43" t="s">
        <v>5710</v>
      </c>
      <c r="E6631" s="45" t="s">
        <v>6083</v>
      </c>
      <c r="F6631" s="274"/>
    </row>
    <row r="6632" spans="1:6" s="261" customFormat="1">
      <c r="A6632" s="43">
        <v>95189</v>
      </c>
      <c r="B6632" s="43">
        <v>0</v>
      </c>
      <c r="C6632" s="43" t="s">
        <v>12782</v>
      </c>
      <c r="D6632" s="43" t="s">
        <v>5711</v>
      </c>
      <c r="E6632" s="45" t="s">
        <v>12745</v>
      </c>
      <c r="F6632" s="274"/>
    </row>
    <row r="6633" spans="1:6" s="261" customFormat="1">
      <c r="A6633" s="43">
        <v>95190</v>
      </c>
      <c r="B6633" s="43">
        <v>0</v>
      </c>
      <c r="C6633" s="43" t="s">
        <v>5980</v>
      </c>
      <c r="D6633" s="43" t="s">
        <v>5712</v>
      </c>
      <c r="E6633" s="45" t="s">
        <v>6082</v>
      </c>
      <c r="F6633" s="274"/>
    </row>
    <row r="6634" spans="1:6" s="261" customFormat="1">
      <c r="A6634" s="43">
        <v>95191</v>
      </c>
      <c r="B6634" s="43">
        <v>0</v>
      </c>
      <c r="C6634" s="43" t="s">
        <v>5984</v>
      </c>
      <c r="D6634" s="43" t="s">
        <v>5713</v>
      </c>
      <c r="E6634" s="45" t="s">
        <v>6086</v>
      </c>
      <c r="F6634" s="274"/>
    </row>
    <row r="6635" spans="1:6" s="261" customFormat="1">
      <c r="A6635" s="43">
        <v>95192</v>
      </c>
      <c r="B6635" s="43">
        <v>0</v>
      </c>
      <c r="C6635" s="43" t="s">
        <v>6014</v>
      </c>
      <c r="D6635" s="43" t="s">
        <v>5714</v>
      </c>
      <c r="E6635" s="45" t="s">
        <v>6116</v>
      </c>
      <c r="F6635" s="274"/>
    </row>
    <row r="6636" spans="1:6" s="261" customFormat="1">
      <c r="A6636" s="43">
        <v>95193</v>
      </c>
      <c r="B6636" s="43">
        <v>0</v>
      </c>
      <c r="C6636" s="43" t="s">
        <v>5983</v>
      </c>
      <c r="D6636" s="43" t="s">
        <v>5715</v>
      </c>
      <c r="E6636" s="45" t="s">
        <v>6085</v>
      </c>
      <c r="F6636" s="274"/>
    </row>
    <row r="6637" spans="1:6" s="261" customFormat="1">
      <c r="A6637" s="43">
        <v>95194</v>
      </c>
      <c r="B6637" s="43">
        <v>0</v>
      </c>
      <c r="C6637" s="43" t="s">
        <v>5987</v>
      </c>
      <c r="D6637" s="43" t="s">
        <v>5716</v>
      </c>
      <c r="E6637" s="45" t="s">
        <v>6089</v>
      </c>
      <c r="F6637" s="274"/>
    </row>
    <row r="6638" spans="1:6" s="261" customFormat="1">
      <c r="A6638" s="43">
        <v>95195</v>
      </c>
      <c r="B6638" s="43">
        <v>0</v>
      </c>
      <c r="C6638" s="43" t="s">
        <v>12783</v>
      </c>
      <c r="D6638" s="43" t="s">
        <v>5717</v>
      </c>
      <c r="E6638" s="45" t="s">
        <v>12746</v>
      </c>
      <c r="F6638" s="274"/>
    </row>
    <row r="6639" spans="1:6" s="261" customFormat="1">
      <c r="A6639" s="43">
        <v>95196</v>
      </c>
      <c r="B6639" s="43">
        <v>0</v>
      </c>
      <c r="C6639" s="43" t="s">
        <v>5986</v>
      </c>
      <c r="D6639" s="43" t="s">
        <v>5718</v>
      </c>
      <c r="E6639" s="45" t="s">
        <v>6088</v>
      </c>
      <c r="F6639" s="274"/>
    </row>
    <row r="6640" spans="1:6" s="261" customFormat="1">
      <c r="A6640" s="43">
        <v>95197</v>
      </c>
      <c r="B6640" s="43">
        <v>0</v>
      </c>
      <c r="C6640" s="43" t="s">
        <v>5990</v>
      </c>
      <c r="D6640" s="43" t="s">
        <v>5719</v>
      </c>
      <c r="E6640" s="45" t="s">
        <v>6092</v>
      </c>
      <c r="F6640" s="274"/>
    </row>
    <row r="6641" spans="1:6" s="261" customFormat="1">
      <c r="A6641" s="43">
        <v>95198</v>
      </c>
      <c r="B6641" s="43">
        <v>0</v>
      </c>
      <c r="C6641" s="43" t="s">
        <v>12605</v>
      </c>
      <c r="D6641" s="43" t="s">
        <v>5720</v>
      </c>
      <c r="E6641" s="45" t="s">
        <v>12604</v>
      </c>
      <c r="F6641" s="274"/>
    </row>
    <row r="6642" spans="1:6" s="261" customFormat="1">
      <c r="A6642" s="43">
        <v>95199</v>
      </c>
      <c r="B6642" s="43">
        <v>0</v>
      </c>
      <c r="C6642" s="43" t="s">
        <v>5989</v>
      </c>
      <c r="D6642" s="43" t="s">
        <v>5721</v>
      </c>
      <c r="E6642" s="45" t="s">
        <v>6091</v>
      </c>
      <c r="F6642" s="274"/>
    </row>
    <row r="6643" spans="1:6" s="261" customFormat="1">
      <c r="A6643" s="43">
        <v>95200</v>
      </c>
      <c r="B6643" s="43">
        <v>0</v>
      </c>
      <c r="C6643" s="43" t="s">
        <v>5993</v>
      </c>
      <c r="D6643" s="43" t="s">
        <v>5722</v>
      </c>
      <c r="E6643" s="45" t="s">
        <v>6095</v>
      </c>
      <c r="F6643" s="274"/>
    </row>
    <row r="6644" spans="1:6" s="261" customFormat="1">
      <c r="A6644" s="43">
        <v>95201</v>
      </c>
      <c r="B6644" s="43">
        <v>0</v>
      </c>
      <c r="C6644" s="43" t="s">
        <v>12784</v>
      </c>
      <c r="D6644" s="43" t="s">
        <v>5723</v>
      </c>
      <c r="E6644" s="45" t="s">
        <v>12747</v>
      </c>
      <c r="F6644" s="274"/>
    </row>
    <row r="6645" spans="1:6" s="261" customFormat="1">
      <c r="A6645" s="43">
        <v>95202</v>
      </c>
      <c r="B6645" s="43">
        <v>0</v>
      </c>
      <c r="C6645" s="43" t="s">
        <v>5992</v>
      </c>
      <c r="D6645" s="43" t="s">
        <v>5724</v>
      </c>
      <c r="E6645" s="45" t="s">
        <v>6094</v>
      </c>
      <c r="F6645" s="274"/>
    </row>
    <row r="6646" spans="1:6" s="261" customFormat="1">
      <c r="A6646" s="43">
        <v>95203</v>
      </c>
      <c r="B6646" s="43">
        <v>0</v>
      </c>
      <c r="C6646" s="43" t="s">
        <v>5996</v>
      </c>
      <c r="D6646" s="43" t="s">
        <v>5725</v>
      </c>
      <c r="E6646" s="45" t="s">
        <v>6098</v>
      </c>
      <c r="F6646" s="274"/>
    </row>
    <row r="6647" spans="1:6" s="261" customFormat="1">
      <c r="A6647" s="43">
        <v>95204</v>
      </c>
      <c r="B6647" s="43">
        <v>0</v>
      </c>
      <c r="C6647" s="43" t="s">
        <v>12785</v>
      </c>
      <c r="D6647" s="43" t="s">
        <v>5726</v>
      </c>
      <c r="E6647" s="45" t="s">
        <v>12748</v>
      </c>
      <c r="F6647" s="274"/>
    </row>
    <row r="6648" spans="1:6" s="261" customFormat="1">
      <c r="A6648" s="43">
        <v>95205</v>
      </c>
      <c r="B6648" s="43">
        <v>0</v>
      </c>
      <c r="C6648" s="43" t="s">
        <v>5995</v>
      </c>
      <c r="D6648" s="43" t="s">
        <v>5727</v>
      </c>
      <c r="E6648" s="45" t="s">
        <v>6097</v>
      </c>
      <c r="F6648" s="274"/>
    </row>
    <row r="6649" spans="1:6" s="261" customFormat="1">
      <c r="A6649" s="43">
        <v>95206</v>
      </c>
      <c r="B6649" s="43">
        <v>0</v>
      </c>
      <c r="C6649" s="43" t="s">
        <v>5999</v>
      </c>
      <c r="D6649" s="43" t="s">
        <v>5728</v>
      </c>
      <c r="E6649" s="45" t="s">
        <v>6101</v>
      </c>
      <c r="F6649" s="274"/>
    </row>
    <row r="6650" spans="1:6" s="261" customFormat="1">
      <c r="A6650" s="43">
        <v>95207</v>
      </c>
      <c r="B6650" s="43">
        <v>0</v>
      </c>
      <c r="C6650" s="43" t="s">
        <v>12786</v>
      </c>
      <c r="D6650" s="43" t="s">
        <v>5729</v>
      </c>
      <c r="E6650" s="45" t="s">
        <v>12749</v>
      </c>
      <c r="F6650" s="274"/>
    </row>
    <row r="6651" spans="1:6" s="261" customFormat="1">
      <c r="A6651" s="43">
        <v>95208</v>
      </c>
      <c r="B6651" s="43">
        <v>0</v>
      </c>
      <c r="C6651" s="43" t="s">
        <v>5998</v>
      </c>
      <c r="D6651" s="43" t="s">
        <v>5730</v>
      </c>
      <c r="E6651" s="45" t="s">
        <v>6100</v>
      </c>
      <c r="F6651" s="274"/>
    </row>
    <row r="6652" spans="1:6" s="261" customFormat="1">
      <c r="A6652" s="43">
        <v>95209</v>
      </c>
      <c r="B6652" s="43">
        <v>0</v>
      </c>
      <c r="C6652" s="43" t="s">
        <v>6002</v>
      </c>
      <c r="D6652" s="43" t="s">
        <v>5731</v>
      </c>
      <c r="E6652" s="45" t="s">
        <v>6104</v>
      </c>
      <c r="F6652" s="274"/>
    </row>
    <row r="6653" spans="1:6" s="261" customFormat="1">
      <c r="A6653" s="43">
        <v>95210</v>
      </c>
      <c r="B6653" s="43">
        <v>0</v>
      </c>
      <c r="C6653" s="43" t="s">
        <v>6012</v>
      </c>
      <c r="D6653" s="43" t="s">
        <v>5732</v>
      </c>
      <c r="E6653" s="45" t="s">
        <v>6114</v>
      </c>
      <c r="F6653" s="274"/>
    </row>
    <row r="6654" spans="1:6" s="261" customFormat="1">
      <c r="A6654" s="43">
        <v>95211</v>
      </c>
      <c r="B6654" s="43">
        <v>0</v>
      </c>
      <c r="C6654" s="43" t="s">
        <v>6001</v>
      </c>
      <c r="D6654" s="43" t="s">
        <v>5733</v>
      </c>
      <c r="E6654" s="45" t="s">
        <v>6103</v>
      </c>
      <c r="F6654" s="274"/>
    </row>
    <row r="6655" spans="1:6" s="261" customFormat="1">
      <c r="A6655" s="43">
        <v>95212</v>
      </c>
      <c r="B6655" s="43">
        <v>0</v>
      </c>
      <c r="C6655" s="43" t="s">
        <v>6005</v>
      </c>
      <c r="D6655" s="43" t="s">
        <v>5734</v>
      </c>
      <c r="E6655" s="45" t="s">
        <v>6107</v>
      </c>
      <c r="F6655" s="274"/>
    </row>
    <row r="6656" spans="1:6" s="261" customFormat="1">
      <c r="A6656" s="43">
        <v>95213</v>
      </c>
      <c r="B6656" s="43">
        <v>0</v>
      </c>
      <c r="C6656" s="43" t="s">
        <v>6013</v>
      </c>
      <c r="D6656" s="43" t="s">
        <v>5735</v>
      </c>
      <c r="E6656" s="45" t="s">
        <v>6115</v>
      </c>
      <c r="F6656" s="274"/>
    </row>
    <row r="6657" spans="1:6" s="261" customFormat="1">
      <c r="A6657" s="43">
        <v>95214</v>
      </c>
      <c r="B6657" s="43">
        <v>0</v>
      </c>
      <c r="C6657" s="43" t="s">
        <v>6004</v>
      </c>
      <c r="D6657" s="43" t="s">
        <v>5736</v>
      </c>
      <c r="E6657" s="45" t="s">
        <v>6106</v>
      </c>
      <c r="F6657" s="274"/>
    </row>
    <row r="6658" spans="1:6" s="261" customFormat="1">
      <c r="A6658" s="43">
        <v>95215</v>
      </c>
      <c r="B6658" s="43">
        <v>0</v>
      </c>
      <c r="C6658" s="43" t="s">
        <v>6008</v>
      </c>
      <c r="D6658" s="43" t="s">
        <v>5737</v>
      </c>
      <c r="E6658" s="45" t="s">
        <v>6110</v>
      </c>
      <c r="F6658" s="274"/>
    </row>
    <row r="6659" spans="1:6" s="261" customFormat="1">
      <c r="A6659" s="43">
        <v>95216</v>
      </c>
      <c r="B6659" s="43">
        <v>0</v>
      </c>
      <c r="C6659" s="43" t="s">
        <v>12774</v>
      </c>
      <c r="D6659" s="43" t="s">
        <v>5738</v>
      </c>
      <c r="E6659" s="45" t="s">
        <v>12737</v>
      </c>
      <c r="F6659" s="274"/>
    </row>
    <row r="6660" spans="1:6" s="261" customFormat="1">
      <c r="A6660" s="43">
        <v>95217</v>
      </c>
      <c r="B6660" s="43">
        <v>0</v>
      </c>
      <c r="C6660" s="43" t="s">
        <v>6007</v>
      </c>
      <c r="D6660" s="43" t="s">
        <v>5739</v>
      </c>
      <c r="E6660" s="45" t="s">
        <v>6109</v>
      </c>
      <c r="F6660" s="274"/>
    </row>
    <row r="6661" spans="1:6" s="261" customFormat="1">
      <c r="A6661" s="43">
        <v>95218</v>
      </c>
      <c r="B6661" s="43">
        <v>0</v>
      </c>
      <c r="C6661" s="43" t="s">
        <v>6010</v>
      </c>
      <c r="D6661" s="43" t="s">
        <v>5740</v>
      </c>
      <c r="E6661" s="45" t="s">
        <v>6112</v>
      </c>
      <c r="F6661" s="274"/>
    </row>
    <row r="6662" spans="1:6" s="261" customFormat="1">
      <c r="A6662" s="43">
        <v>95219</v>
      </c>
      <c r="B6662" s="43">
        <v>0</v>
      </c>
      <c r="C6662" s="43" t="s">
        <v>6015</v>
      </c>
      <c r="D6662" s="43" t="s">
        <v>5741</v>
      </c>
      <c r="E6662" s="45" t="s">
        <v>6117</v>
      </c>
      <c r="F6662" s="274"/>
    </row>
    <row r="6663" spans="1:6" s="261" customFormat="1">
      <c r="A6663" s="43">
        <v>95220</v>
      </c>
      <c r="B6663" s="43">
        <v>0</v>
      </c>
      <c r="C6663" s="43" t="s">
        <v>6009</v>
      </c>
      <c r="D6663" s="43" t="s">
        <v>5742</v>
      </c>
      <c r="E6663" s="45" t="s">
        <v>6111</v>
      </c>
      <c r="F6663" s="274"/>
    </row>
    <row r="6664" spans="1:6" s="261" customFormat="1">
      <c r="A6664" s="43">
        <v>95221</v>
      </c>
      <c r="B6664" s="43">
        <v>0</v>
      </c>
      <c r="C6664" s="43" t="s">
        <v>5966</v>
      </c>
      <c r="D6664" s="43" t="s">
        <v>5743</v>
      </c>
      <c r="E6664" s="45" t="s">
        <v>6068</v>
      </c>
      <c r="F6664" s="274"/>
    </row>
    <row r="6665" spans="1:6" s="261" customFormat="1">
      <c r="A6665" s="43">
        <v>95222</v>
      </c>
      <c r="B6665" s="43">
        <v>0</v>
      </c>
      <c r="C6665" s="43" t="s">
        <v>12779</v>
      </c>
      <c r="D6665" s="43" t="s">
        <v>5744</v>
      </c>
      <c r="E6665" s="45" t="s">
        <v>12742</v>
      </c>
      <c r="F6665" s="274"/>
    </row>
    <row r="6666" spans="1:6" s="261" customFormat="1">
      <c r="A6666" s="43">
        <v>95223</v>
      </c>
      <c r="B6666" s="43">
        <v>0</v>
      </c>
      <c r="C6666" s="43" t="s">
        <v>5965</v>
      </c>
      <c r="D6666" s="43" t="s">
        <v>5745</v>
      </c>
      <c r="E6666" s="45" t="s">
        <v>6067</v>
      </c>
      <c r="F6666" s="274"/>
    </row>
    <row r="6667" spans="1:6" s="261" customFormat="1">
      <c r="A6667" s="43">
        <v>95224</v>
      </c>
      <c r="B6667" s="43">
        <v>0</v>
      </c>
      <c r="C6667" s="43" t="s">
        <v>5969</v>
      </c>
      <c r="D6667" s="43" t="s">
        <v>5746</v>
      </c>
      <c r="E6667" s="45" t="s">
        <v>6071</v>
      </c>
      <c r="F6667" s="274"/>
    </row>
    <row r="6668" spans="1:6" s="261" customFormat="1">
      <c r="A6668" s="43">
        <v>95225</v>
      </c>
      <c r="B6668" s="43">
        <v>0</v>
      </c>
      <c r="C6668" s="43" t="s">
        <v>6019</v>
      </c>
      <c r="D6668" s="43" t="s">
        <v>5747</v>
      </c>
      <c r="E6668" s="45" t="s">
        <v>6121</v>
      </c>
      <c r="F6668" s="274"/>
    </row>
    <row r="6669" spans="1:6" s="261" customFormat="1">
      <c r="A6669" s="43">
        <v>95226</v>
      </c>
      <c r="B6669" s="43">
        <v>0</v>
      </c>
      <c r="C6669" s="43" t="s">
        <v>5968</v>
      </c>
      <c r="D6669" s="43" t="s">
        <v>5748</v>
      </c>
      <c r="E6669" s="45" t="s">
        <v>6070</v>
      </c>
      <c r="F6669" s="274"/>
    </row>
    <row r="6670" spans="1:6" s="261" customFormat="1">
      <c r="A6670" s="43">
        <v>95227</v>
      </c>
      <c r="B6670" s="43">
        <v>0</v>
      </c>
      <c r="C6670" s="43" t="s">
        <v>5972</v>
      </c>
      <c r="D6670" s="43" t="s">
        <v>5749</v>
      </c>
      <c r="E6670" s="45" t="s">
        <v>6074</v>
      </c>
      <c r="F6670" s="274"/>
    </row>
    <row r="6671" spans="1:6" s="261" customFormat="1">
      <c r="A6671" s="43">
        <v>95228</v>
      </c>
      <c r="B6671" s="43">
        <v>0</v>
      </c>
      <c r="C6671" s="43" t="s">
        <v>5994</v>
      </c>
      <c r="D6671" s="43" t="s">
        <v>5750</v>
      </c>
      <c r="E6671" s="45" t="s">
        <v>6096</v>
      </c>
      <c r="F6671" s="274"/>
    </row>
    <row r="6672" spans="1:6" s="261" customFormat="1">
      <c r="A6672" s="43">
        <v>95229</v>
      </c>
      <c r="B6672" s="43">
        <v>0</v>
      </c>
      <c r="C6672" s="43" t="s">
        <v>12775</v>
      </c>
      <c r="D6672" s="43" t="s">
        <v>5751</v>
      </c>
      <c r="E6672" s="45" t="s">
        <v>12738</v>
      </c>
      <c r="F6672" s="274"/>
    </row>
    <row r="6673" spans="1:6" s="261" customFormat="1">
      <c r="A6673" s="43">
        <v>95230</v>
      </c>
      <c r="B6673" s="43">
        <v>0</v>
      </c>
      <c r="C6673" s="43" t="s">
        <v>12773</v>
      </c>
      <c r="D6673" s="43" t="s">
        <v>5752</v>
      </c>
      <c r="E6673" s="45" t="s">
        <v>12736</v>
      </c>
      <c r="F6673" s="274"/>
    </row>
    <row r="6674" spans="1:6" s="261" customFormat="1">
      <c r="A6674" s="43">
        <v>95231</v>
      </c>
      <c r="B6674" s="43">
        <v>0</v>
      </c>
      <c r="C6674" s="43" t="s">
        <v>6017</v>
      </c>
      <c r="D6674" s="43" t="s">
        <v>5753</v>
      </c>
      <c r="E6674" s="45" t="s">
        <v>6119</v>
      </c>
      <c r="F6674" s="274"/>
    </row>
    <row r="6675" spans="1:6" s="261" customFormat="1">
      <c r="A6675" s="43">
        <v>95232</v>
      </c>
      <c r="B6675" s="43">
        <v>0</v>
      </c>
      <c r="C6675" s="43" t="s">
        <v>12777</v>
      </c>
      <c r="D6675" s="43" t="s">
        <v>5754</v>
      </c>
      <c r="E6675" s="45" t="s">
        <v>12740</v>
      </c>
      <c r="F6675" s="274"/>
    </row>
    <row r="6676" spans="1:6" s="261" customFormat="1">
      <c r="A6676" s="43">
        <v>95233</v>
      </c>
      <c r="B6676" s="43">
        <v>0</v>
      </c>
      <c r="C6676" s="43" t="s">
        <v>5977</v>
      </c>
      <c r="D6676" s="43" t="s">
        <v>5755</v>
      </c>
      <c r="E6676" s="45" t="s">
        <v>6079</v>
      </c>
      <c r="F6676" s="274"/>
    </row>
    <row r="6677" spans="1:6" s="261" customFormat="1">
      <c r="A6677" s="43">
        <v>95234</v>
      </c>
      <c r="B6677" s="43">
        <v>0</v>
      </c>
      <c r="C6677" s="43" t="s">
        <v>12782</v>
      </c>
      <c r="D6677" s="43" t="s">
        <v>5756</v>
      </c>
      <c r="E6677" s="45" t="s">
        <v>12745</v>
      </c>
      <c r="F6677" s="274"/>
    </row>
    <row r="6678" spans="1:6" s="261" customFormat="1">
      <c r="A6678" s="43">
        <v>95235</v>
      </c>
      <c r="B6678" s="43">
        <v>0</v>
      </c>
      <c r="C6678" s="43" t="s">
        <v>12780</v>
      </c>
      <c r="D6678" s="43" t="s">
        <v>5757</v>
      </c>
      <c r="E6678" s="45" t="s">
        <v>12743</v>
      </c>
      <c r="F6678" s="274"/>
    </row>
    <row r="6679" spans="1:6" s="261" customFormat="1">
      <c r="A6679" s="43">
        <v>95236</v>
      </c>
      <c r="B6679" s="43">
        <v>0</v>
      </c>
      <c r="C6679" s="43" t="s">
        <v>12776</v>
      </c>
      <c r="D6679" s="43" t="s">
        <v>5758</v>
      </c>
      <c r="E6679" s="45" t="s">
        <v>12739</v>
      </c>
      <c r="F6679" s="274"/>
    </row>
    <row r="6680" spans="1:6" s="261" customFormat="1">
      <c r="A6680" s="43">
        <v>95237</v>
      </c>
      <c r="B6680" s="43">
        <v>0</v>
      </c>
      <c r="C6680" s="43" t="s">
        <v>6014</v>
      </c>
      <c r="D6680" s="43" t="s">
        <v>5759</v>
      </c>
      <c r="E6680" s="45" t="s">
        <v>6116</v>
      </c>
      <c r="F6680" s="274"/>
    </row>
    <row r="6681" spans="1:6" s="261" customFormat="1">
      <c r="A6681" s="43">
        <v>95238</v>
      </c>
      <c r="B6681" s="43">
        <v>0</v>
      </c>
      <c r="C6681" s="43" t="s">
        <v>5971</v>
      </c>
      <c r="D6681" s="43" t="s">
        <v>5760</v>
      </c>
      <c r="E6681" s="45" t="s">
        <v>6073</v>
      </c>
      <c r="F6681" s="274"/>
    </row>
    <row r="6682" spans="1:6" s="261" customFormat="1">
      <c r="A6682" s="43">
        <v>95239</v>
      </c>
      <c r="B6682" s="43">
        <v>0</v>
      </c>
      <c r="C6682" s="43" t="s">
        <v>12778</v>
      </c>
      <c r="D6682" s="43" t="s">
        <v>5761</v>
      </c>
      <c r="E6682" s="45" t="s">
        <v>12741</v>
      </c>
      <c r="F6682" s="274"/>
    </row>
    <row r="6683" spans="1:6" s="261" customFormat="1">
      <c r="A6683" s="43">
        <v>95240</v>
      </c>
      <c r="B6683" s="43">
        <v>0</v>
      </c>
      <c r="C6683" s="43" t="s">
        <v>12783</v>
      </c>
      <c r="D6683" s="43" t="s">
        <v>5762</v>
      </c>
      <c r="E6683" s="45" t="s">
        <v>12746</v>
      </c>
      <c r="F6683" s="274"/>
    </row>
    <row r="6684" spans="1:6" s="261" customFormat="1">
      <c r="A6684" s="43">
        <v>95241</v>
      </c>
      <c r="B6684" s="43">
        <v>0</v>
      </c>
      <c r="C6684" s="43" t="s">
        <v>5974</v>
      </c>
      <c r="D6684" s="43" t="s">
        <v>5763</v>
      </c>
      <c r="E6684" s="45" t="s">
        <v>6076</v>
      </c>
      <c r="F6684" s="274"/>
    </row>
    <row r="6685" spans="1:6" s="261" customFormat="1">
      <c r="A6685" s="43">
        <v>95242</v>
      </c>
      <c r="B6685" s="43">
        <v>0</v>
      </c>
      <c r="C6685" s="43" t="s">
        <v>12781</v>
      </c>
      <c r="D6685" s="43" t="s">
        <v>5764</v>
      </c>
      <c r="E6685" s="45" t="s">
        <v>12744</v>
      </c>
      <c r="F6685" s="274"/>
    </row>
    <row r="6686" spans="1:6" s="261" customFormat="1">
      <c r="A6686" s="43">
        <v>95243</v>
      </c>
      <c r="B6686" s="43">
        <v>0</v>
      </c>
      <c r="C6686" s="43" t="s">
        <v>12605</v>
      </c>
      <c r="D6686" s="43" t="s">
        <v>5765</v>
      </c>
      <c r="E6686" s="45" t="s">
        <v>12604</v>
      </c>
      <c r="F6686" s="274"/>
    </row>
    <row r="6687" spans="1:6" s="261" customFormat="1">
      <c r="A6687" s="43">
        <v>95244</v>
      </c>
      <c r="B6687" s="43">
        <v>0</v>
      </c>
      <c r="C6687" s="43" t="s">
        <v>5977</v>
      </c>
      <c r="D6687" s="43" t="s">
        <v>5766</v>
      </c>
      <c r="E6687" s="45" t="s">
        <v>6079</v>
      </c>
      <c r="F6687" s="274"/>
    </row>
    <row r="6688" spans="1:6" s="261" customFormat="1">
      <c r="A6688" s="43">
        <v>95245</v>
      </c>
      <c r="B6688" s="43">
        <v>0</v>
      </c>
      <c r="C6688" s="43" t="s">
        <v>5975</v>
      </c>
      <c r="D6688" s="43" t="s">
        <v>5767</v>
      </c>
      <c r="E6688" s="45" t="s">
        <v>6077</v>
      </c>
      <c r="F6688" s="274"/>
    </row>
    <row r="6689" spans="1:6" s="261" customFormat="1">
      <c r="A6689" s="43">
        <v>95246</v>
      </c>
      <c r="B6689" s="43">
        <v>0</v>
      </c>
      <c r="C6689" s="43" t="s">
        <v>12784</v>
      </c>
      <c r="D6689" s="43" t="s">
        <v>5768</v>
      </c>
      <c r="E6689" s="45" t="s">
        <v>12747</v>
      </c>
      <c r="F6689" s="274"/>
    </row>
    <row r="6690" spans="1:6" s="261" customFormat="1">
      <c r="A6690" s="43">
        <v>95247</v>
      </c>
      <c r="B6690" s="43">
        <v>0</v>
      </c>
      <c r="C6690" s="43" t="s">
        <v>5980</v>
      </c>
      <c r="D6690" s="43" t="s">
        <v>5769</v>
      </c>
      <c r="E6690" s="45" t="s">
        <v>6082</v>
      </c>
      <c r="F6690" s="274"/>
    </row>
    <row r="6691" spans="1:6" s="261" customFormat="1">
      <c r="A6691" s="43">
        <v>95248</v>
      </c>
      <c r="B6691" s="43">
        <v>0</v>
      </c>
      <c r="C6691" s="43" t="s">
        <v>5978</v>
      </c>
      <c r="D6691" s="43" t="s">
        <v>5770</v>
      </c>
      <c r="E6691" s="45" t="s">
        <v>6080</v>
      </c>
      <c r="F6691" s="274"/>
    </row>
    <row r="6692" spans="1:6" s="261" customFormat="1">
      <c r="A6692" s="43">
        <v>95249</v>
      </c>
      <c r="B6692" s="43">
        <v>0</v>
      </c>
      <c r="C6692" s="43" t="s">
        <v>12785</v>
      </c>
      <c r="D6692" s="43" t="s">
        <v>5771</v>
      </c>
      <c r="E6692" s="45" t="s">
        <v>12748</v>
      </c>
      <c r="F6692" s="274"/>
    </row>
    <row r="6693" spans="1:6" s="261" customFormat="1">
      <c r="A6693" s="43">
        <v>95250</v>
      </c>
      <c r="B6693" s="43">
        <v>0</v>
      </c>
      <c r="C6693" s="43" t="s">
        <v>5983</v>
      </c>
      <c r="D6693" s="43" t="s">
        <v>5772</v>
      </c>
      <c r="E6693" s="45" t="s">
        <v>6085</v>
      </c>
      <c r="F6693" s="274"/>
    </row>
    <row r="6694" spans="1:6" s="261" customFormat="1">
      <c r="A6694" s="43">
        <v>95251</v>
      </c>
      <c r="B6694" s="43">
        <v>0</v>
      </c>
      <c r="C6694" s="43" t="s">
        <v>5981</v>
      </c>
      <c r="D6694" s="43" t="s">
        <v>5773</v>
      </c>
      <c r="E6694" s="45" t="s">
        <v>6083</v>
      </c>
      <c r="F6694" s="274"/>
    </row>
    <row r="6695" spans="1:6" s="261" customFormat="1">
      <c r="A6695" s="43">
        <v>95252</v>
      </c>
      <c r="B6695" s="43">
        <v>0</v>
      </c>
      <c r="C6695" s="43" t="s">
        <v>12786</v>
      </c>
      <c r="D6695" s="43" t="s">
        <v>5774</v>
      </c>
      <c r="E6695" s="45" t="s">
        <v>12749</v>
      </c>
      <c r="F6695" s="274"/>
    </row>
    <row r="6696" spans="1:6" s="261" customFormat="1">
      <c r="A6696" s="43">
        <v>95253</v>
      </c>
      <c r="B6696" s="43">
        <v>0</v>
      </c>
      <c r="C6696" s="43" t="s">
        <v>5986</v>
      </c>
      <c r="D6696" s="43" t="s">
        <v>5775</v>
      </c>
      <c r="E6696" s="45" t="s">
        <v>6088</v>
      </c>
      <c r="F6696" s="274"/>
    </row>
    <row r="6697" spans="1:6" s="261" customFormat="1">
      <c r="A6697" s="43">
        <v>95254</v>
      </c>
      <c r="B6697" s="43">
        <v>0</v>
      </c>
      <c r="C6697" s="43" t="s">
        <v>5984</v>
      </c>
      <c r="D6697" s="43" t="s">
        <v>5776</v>
      </c>
      <c r="E6697" s="45" t="s">
        <v>6086</v>
      </c>
      <c r="F6697" s="274"/>
    </row>
    <row r="6698" spans="1:6" s="261" customFormat="1">
      <c r="A6698" s="43">
        <v>95255</v>
      </c>
      <c r="B6698" s="43">
        <v>0</v>
      </c>
      <c r="C6698" s="43" t="s">
        <v>6012</v>
      </c>
      <c r="D6698" s="43" t="s">
        <v>5777</v>
      </c>
      <c r="E6698" s="45" t="s">
        <v>6114</v>
      </c>
      <c r="F6698" s="274"/>
    </row>
    <row r="6699" spans="1:6" s="261" customFormat="1">
      <c r="A6699" s="43">
        <v>95256</v>
      </c>
      <c r="B6699" s="43">
        <v>0</v>
      </c>
      <c r="C6699" s="43" t="s">
        <v>5989</v>
      </c>
      <c r="D6699" s="43" t="s">
        <v>5778</v>
      </c>
      <c r="E6699" s="45" t="s">
        <v>6091</v>
      </c>
      <c r="F6699" s="274"/>
    </row>
    <row r="6700" spans="1:6" s="261" customFormat="1">
      <c r="A6700" s="43">
        <v>95257</v>
      </c>
      <c r="B6700" s="43">
        <v>0</v>
      </c>
      <c r="C6700" s="43" t="s">
        <v>5987</v>
      </c>
      <c r="D6700" s="43" t="s">
        <v>5779</v>
      </c>
      <c r="E6700" s="45" t="s">
        <v>6089</v>
      </c>
      <c r="F6700" s="274"/>
    </row>
    <row r="6701" spans="1:6" s="261" customFormat="1">
      <c r="A6701" s="43">
        <v>95258</v>
      </c>
      <c r="B6701" s="43">
        <v>0</v>
      </c>
      <c r="C6701" s="43" t="s">
        <v>6013</v>
      </c>
      <c r="D6701" s="43" t="s">
        <v>5780</v>
      </c>
      <c r="E6701" s="45" t="s">
        <v>6115</v>
      </c>
      <c r="F6701" s="274"/>
    </row>
    <row r="6702" spans="1:6" s="261" customFormat="1">
      <c r="A6702" s="43">
        <v>95259</v>
      </c>
      <c r="B6702" s="43">
        <v>0</v>
      </c>
      <c r="C6702" s="43" t="s">
        <v>5992</v>
      </c>
      <c r="D6702" s="43" t="s">
        <v>5781</v>
      </c>
      <c r="E6702" s="45" t="s">
        <v>6094</v>
      </c>
      <c r="F6702" s="274"/>
    </row>
    <row r="6703" spans="1:6" s="261" customFormat="1">
      <c r="A6703" s="43">
        <v>95260</v>
      </c>
      <c r="B6703" s="43">
        <v>0</v>
      </c>
      <c r="C6703" s="43" t="s">
        <v>5990</v>
      </c>
      <c r="D6703" s="43" t="s">
        <v>5782</v>
      </c>
      <c r="E6703" s="45" t="s">
        <v>6092</v>
      </c>
      <c r="F6703" s="274"/>
    </row>
    <row r="6704" spans="1:6" s="261" customFormat="1">
      <c r="A6704" s="43">
        <v>95261</v>
      </c>
      <c r="B6704" s="43">
        <v>0</v>
      </c>
      <c r="C6704" s="43" t="s">
        <v>12774</v>
      </c>
      <c r="D6704" s="43" t="s">
        <v>5783</v>
      </c>
      <c r="E6704" s="45" t="s">
        <v>12737</v>
      </c>
      <c r="F6704" s="274"/>
    </row>
    <row r="6705" spans="1:6" s="261" customFormat="1">
      <c r="A6705" s="43">
        <v>95262</v>
      </c>
      <c r="B6705" s="43">
        <v>0</v>
      </c>
      <c r="C6705" s="43" t="s">
        <v>5995</v>
      </c>
      <c r="D6705" s="43" t="s">
        <v>5784</v>
      </c>
      <c r="E6705" s="45" t="s">
        <v>6097</v>
      </c>
      <c r="F6705" s="274"/>
    </row>
    <row r="6706" spans="1:6" s="261" customFormat="1">
      <c r="A6706" s="43">
        <v>95263</v>
      </c>
      <c r="B6706" s="43">
        <v>0</v>
      </c>
      <c r="C6706" s="43" t="s">
        <v>5993</v>
      </c>
      <c r="D6706" s="43" t="s">
        <v>5785</v>
      </c>
      <c r="E6706" s="45" t="s">
        <v>6095</v>
      </c>
      <c r="F6706" s="274"/>
    </row>
    <row r="6707" spans="1:6" s="261" customFormat="1">
      <c r="A6707" s="43">
        <v>95264</v>
      </c>
      <c r="B6707" s="43">
        <v>0</v>
      </c>
      <c r="C6707" s="43" t="s">
        <v>6015</v>
      </c>
      <c r="D6707" s="43" t="s">
        <v>5786</v>
      </c>
      <c r="E6707" s="45" t="s">
        <v>6117</v>
      </c>
      <c r="F6707" s="274"/>
    </row>
    <row r="6708" spans="1:6" s="261" customFormat="1">
      <c r="A6708" s="43">
        <v>95265</v>
      </c>
      <c r="B6708" s="43">
        <v>0</v>
      </c>
      <c r="C6708" s="43" t="s">
        <v>5998</v>
      </c>
      <c r="D6708" s="43" t="s">
        <v>5787</v>
      </c>
      <c r="E6708" s="45" t="s">
        <v>6100</v>
      </c>
      <c r="F6708" s="274"/>
    </row>
    <row r="6709" spans="1:6" s="261" customFormat="1">
      <c r="A6709" s="43">
        <v>95266</v>
      </c>
      <c r="B6709" s="43">
        <v>0</v>
      </c>
      <c r="C6709" s="43" t="s">
        <v>5996</v>
      </c>
      <c r="D6709" s="43" t="s">
        <v>5788</v>
      </c>
      <c r="E6709" s="45" t="s">
        <v>6098</v>
      </c>
      <c r="F6709" s="274"/>
    </row>
    <row r="6710" spans="1:6" s="261" customFormat="1">
      <c r="A6710" s="43">
        <v>95267</v>
      </c>
      <c r="B6710" s="43">
        <v>0</v>
      </c>
      <c r="C6710" s="43" t="s">
        <v>12779</v>
      </c>
      <c r="D6710" s="43" t="s">
        <v>5789</v>
      </c>
      <c r="E6710" s="45" t="s">
        <v>12742</v>
      </c>
      <c r="F6710" s="274"/>
    </row>
    <row r="6711" spans="1:6" s="261" customFormat="1">
      <c r="A6711" s="43">
        <v>95268</v>
      </c>
      <c r="B6711" s="43">
        <v>0</v>
      </c>
      <c r="C6711" s="43" t="s">
        <v>6001</v>
      </c>
      <c r="D6711" s="43" t="s">
        <v>5790</v>
      </c>
      <c r="E6711" s="45" t="s">
        <v>6103</v>
      </c>
      <c r="F6711" s="274"/>
    </row>
    <row r="6712" spans="1:6" s="261" customFormat="1">
      <c r="A6712" s="43">
        <v>95269</v>
      </c>
      <c r="B6712" s="43">
        <v>0</v>
      </c>
      <c r="C6712" s="43" t="s">
        <v>5999</v>
      </c>
      <c r="D6712" s="43" t="s">
        <v>5791</v>
      </c>
      <c r="E6712" s="45" t="s">
        <v>6101</v>
      </c>
      <c r="F6712" s="274"/>
    </row>
    <row r="6713" spans="1:6" s="261" customFormat="1">
      <c r="A6713" s="43">
        <v>95270</v>
      </c>
      <c r="B6713" s="43">
        <v>0</v>
      </c>
      <c r="C6713" s="43" t="s">
        <v>6019</v>
      </c>
      <c r="D6713" s="43" t="s">
        <v>5792</v>
      </c>
      <c r="E6713" s="45" t="s">
        <v>6121</v>
      </c>
      <c r="F6713" s="274"/>
    </row>
    <row r="6714" spans="1:6" s="261" customFormat="1">
      <c r="A6714" s="43">
        <v>95271</v>
      </c>
      <c r="B6714" s="43">
        <v>0</v>
      </c>
      <c r="C6714" s="43" t="s">
        <v>6004</v>
      </c>
      <c r="D6714" s="43" t="s">
        <v>5793</v>
      </c>
      <c r="E6714" s="45" t="s">
        <v>6106</v>
      </c>
      <c r="F6714" s="274"/>
    </row>
    <row r="6715" spans="1:6" s="261" customFormat="1">
      <c r="A6715" s="43">
        <v>95272</v>
      </c>
      <c r="B6715" s="43">
        <v>0</v>
      </c>
      <c r="C6715" s="43" t="s">
        <v>6002</v>
      </c>
      <c r="D6715" s="43" t="s">
        <v>5794</v>
      </c>
      <c r="E6715" s="45" t="s">
        <v>6104</v>
      </c>
      <c r="F6715" s="274"/>
    </row>
    <row r="6716" spans="1:6" s="261" customFormat="1">
      <c r="A6716" s="43">
        <v>95273</v>
      </c>
      <c r="B6716" s="43">
        <v>0</v>
      </c>
      <c r="C6716" s="43" t="s">
        <v>5994</v>
      </c>
      <c r="D6716" s="43" t="s">
        <v>5795</v>
      </c>
      <c r="E6716" s="45" t="s">
        <v>6096</v>
      </c>
      <c r="F6716" s="274"/>
    </row>
    <row r="6717" spans="1:6" s="261" customFormat="1">
      <c r="A6717" s="43">
        <v>95274</v>
      </c>
      <c r="B6717" s="43">
        <v>0</v>
      </c>
      <c r="C6717" s="43" t="s">
        <v>6007</v>
      </c>
      <c r="D6717" s="43" t="s">
        <v>5796</v>
      </c>
      <c r="E6717" s="45" t="s">
        <v>6109</v>
      </c>
      <c r="F6717" s="274"/>
    </row>
    <row r="6718" spans="1:6" s="261" customFormat="1">
      <c r="A6718" s="43">
        <v>95275</v>
      </c>
      <c r="B6718" s="43">
        <v>0</v>
      </c>
      <c r="C6718" s="43" t="s">
        <v>6005</v>
      </c>
      <c r="D6718" s="43" t="s">
        <v>5797</v>
      </c>
      <c r="E6718" s="45" t="s">
        <v>6107</v>
      </c>
      <c r="F6718" s="274"/>
    </row>
    <row r="6719" spans="1:6" s="261" customFormat="1">
      <c r="A6719" s="43">
        <v>95276</v>
      </c>
      <c r="B6719" s="43">
        <v>0</v>
      </c>
      <c r="C6719" s="43" t="s">
        <v>6017</v>
      </c>
      <c r="D6719" s="43" t="s">
        <v>5798</v>
      </c>
      <c r="E6719" s="45" t="s">
        <v>6119</v>
      </c>
      <c r="F6719" s="274"/>
    </row>
    <row r="6720" spans="1:6" s="261" customFormat="1">
      <c r="A6720" s="43">
        <v>95277</v>
      </c>
      <c r="B6720" s="43">
        <v>0</v>
      </c>
      <c r="C6720" s="43" t="s">
        <v>6009</v>
      </c>
      <c r="D6720" s="43" t="s">
        <v>5799</v>
      </c>
      <c r="E6720" s="45" t="s">
        <v>6111</v>
      </c>
      <c r="F6720" s="274"/>
    </row>
    <row r="6721" spans="1:6" s="261" customFormat="1">
      <c r="A6721" s="43">
        <v>95278</v>
      </c>
      <c r="B6721" s="43">
        <v>0</v>
      </c>
      <c r="C6721" s="43" t="s">
        <v>6008</v>
      </c>
      <c r="D6721" s="43" t="s">
        <v>5800</v>
      </c>
      <c r="E6721" s="45" t="s">
        <v>6110</v>
      </c>
      <c r="F6721" s="274"/>
    </row>
    <row r="6722" spans="1:6" s="261" customFormat="1">
      <c r="A6722" s="43">
        <v>95279</v>
      </c>
      <c r="B6722" s="43">
        <v>0</v>
      </c>
      <c r="C6722" s="43" t="s">
        <v>12782</v>
      </c>
      <c r="D6722" s="43" t="s">
        <v>5801</v>
      </c>
      <c r="E6722" s="45" t="s">
        <v>12745</v>
      </c>
      <c r="F6722" s="274"/>
    </row>
    <row r="6723" spans="1:6" s="261" customFormat="1">
      <c r="A6723" s="43">
        <v>95280</v>
      </c>
      <c r="B6723" s="43">
        <v>0</v>
      </c>
      <c r="C6723" s="43" t="s">
        <v>5965</v>
      </c>
      <c r="D6723" s="43" t="s">
        <v>5802</v>
      </c>
      <c r="E6723" s="45" t="s">
        <v>6067</v>
      </c>
      <c r="F6723" s="274"/>
    </row>
    <row r="6724" spans="1:6" s="261" customFormat="1">
      <c r="A6724" s="43">
        <v>95281</v>
      </c>
      <c r="B6724" s="43">
        <v>0</v>
      </c>
      <c r="C6724" s="43" t="s">
        <v>6010</v>
      </c>
      <c r="D6724" s="43" t="s">
        <v>5803</v>
      </c>
      <c r="E6724" s="45" t="s">
        <v>6112</v>
      </c>
      <c r="F6724" s="274"/>
    </row>
    <row r="6725" spans="1:6" s="261" customFormat="1">
      <c r="A6725" s="43">
        <v>95282</v>
      </c>
      <c r="B6725" s="43">
        <v>0</v>
      </c>
      <c r="C6725" s="43" t="s">
        <v>6014</v>
      </c>
      <c r="D6725" s="43" t="s">
        <v>5804</v>
      </c>
      <c r="E6725" s="45" t="s">
        <v>6116</v>
      </c>
      <c r="F6725" s="274"/>
    </row>
    <row r="6726" spans="1:6" s="261" customFormat="1">
      <c r="A6726" s="43">
        <v>95283</v>
      </c>
      <c r="B6726" s="43">
        <v>0</v>
      </c>
      <c r="C6726" s="43" t="s">
        <v>5968</v>
      </c>
      <c r="D6726" s="43" t="s">
        <v>5805</v>
      </c>
      <c r="E6726" s="45" t="s">
        <v>6070</v>
      </c>
      <c r="F6726" s="274"/>
    </row>
    <row r="6727" spans="1:6" s="261" customFormat="1">
      <c r="A6727" s="43">
        <v>95284</v>
      </c>
      <c r="B6727" s="43">
        <v>0</v>
      </c>
      <c r="C6727" s="43" t="s">
        <v>5966</v>
      </c>
      <c r="D6727" s="43" t="s">
        <v>5806</v>
      </c>
      <c r="E6727" s="45" t="s">
        <v>6068</v>
      </c>
      <c r="F6727" s="274"/>
    </row>
    <row r="6728" spans="1:6" s="261" customFormat="1">
      <c r="A6728" s="43">
        <v>95285</v>
      </c>
      <c r="B6728" s="43">
        <v>0</v>
      </c>
      <c r="C6728" s="43" t="s">
        <v>12783</v>
      </c>
      <c r="D6728" s="43" t="s">
        <v>5807</v>
      </c>
      <c r="E6728" s="45" t="s">
        <v>12746</v>
      </c>
      <c r="F6728" s="274"/>
    </row>
    <row r="6729" spans="1:6" s="261" customFormat="1">
      <c r="A6729" s="43">
        <v>95286</v>
      </c>
      <c r="B6729" s="43">
        <v>0</v>
      </c>
      <c r="C6729" s="43" t="s">
        <v>12775</v>
      </c>
      <c r="D6729" s="43" t="s">
        <v>5808</v>
      </c>
      <c r="E6729" s="45" t="s">
        <v>12738</v>
      </c>
      <c r="F6729" s="274"/>
    </row>
    <row r="6730" spans="1:6" s="261" customFormat="1">
      <c r="A6730" s="43">
        <v>95287</v>
      </c>
      <c r="B6730" s="43">
        <v>0</v>
      </c>
      <c r="C6730" s="43" t="s">
        <v>5969</v>
      </c>
      <c r="D6730" s="43" t="s">
        <v>5809</v>
      </c>
      <c r="E6730" s="45" t="s">
        <v>6071</v>
      </c>
      <c r="F6730" s="274"/>
    </row>
    <row r="6731" spans="1:6" s="261" customFormat="1">
      <c r="A6731" s="43">
        <v>95288</v>
      </c>
      <c r="B6731" s="43">
        <v>0</v>
      </c>
      <c r="C6731" s="43" t="s">
        <v>12605</v>
      </c>
      <c r="D6731" s="43" t="s">
        <v>5810</v>
      </c>
      <c r="E6731" s="45" t="s">
        <v>12604</v>
      </c>
      <c r="F6731" s="274"/>
    </row>
    <row r="6732" spans="1:6" s="261" customFormat="1">
      <c r="A6732" s="43">
        <v>95289</v>
      </c>
      <c r="B6732" s="43">
        <v>0</v>
      </c>
      <c r="C6732" s="43" t="s">
        <v>12777</v>
      </c>
      <c r="D6732" s="43" t="s">
        <v>5811</v>
      </c>
      <c r="E6732" s="45" t="s">
        <v>12740</v>
      </c>
      <c r="F6732" s="274"/>
    </row>
    <row r="6733" spans="1:6" s="261" customFormat="1">
      <c r="A6733" s="43">
        <v>95290</v>
      </c>
      <c r="B6733" s="43">
        <v>0</v>
      </c>
      <c r="C6733" s="43" t="s">
        <v>5972</v>
      </c>
      <c r="D6733" s="43" t="s">
        <v>5812</v>
      </c>
      <c r="E6733" s="45" t="s">
        <v>6074</v>
      </c>
      <c r="F6733" s="274"/>
    </row>
    <row r="6734" spans="1:6" s="261" customFormat="1">
      <c r="A6734" s="43">
        <v>95291</v>
      </c>
      <c r="B6734" s="43">
        <v>0</v>
      </c>
      <c r="C6734" s="43" t="s">
        <v>12784</v>
      </c>
      <c r="D6734" s="43" t="s">
        <v>5813</v>
      </c>
      <c r="E6734" s="45" t="s">
        <v>12747</v>
      </c>
      <c r="F6734" s="274"/>
    </row>
    <row r="6735" spans="1:6" s="261" customFormat="1">
      <c r="A6735" s="43">
        <v>95292</v>
      </c>
      <c r="B6735" s="43">
        <v>0</v>
      </c>
      <c r="C6735" s="43" t="s">
        <v>12780</v>
      </c>
      <c r="D6735" s="43" t="s">
        <v>5814</v>
      </c>
      <c r="E6735" s="45" t="s">
        <v>12743</v>
      </c>
      <c r="F6735" s="274"/>
    </row>
    <row r="6736" spans="1:6" s="261" customFormat="1">
      <c r="A6736" s="43">
        <v>95293</v>
      </c>
      <c r="B6736" s="43">
        <v>0</v>
      </c>
      <c r="C6736" s="43" t="s">
        <v>12773</v>
      </c>
      <c r="D6736" s="43" t="s">
        <v>5815</v>
      </c>
      <c r="E6736" s="45" t="s">
        <v>12736</v>
      </c>
      <c r="F6736" s="274"/>
    </row>
    <row r="6737" spans="1:6" s="261" customFormat="1">
      <c r="A6737" s="43">
        <v>95294</v>
      </c>
      <c r="B6737" s="43">
        <v>0</v>
      </c>
      <c r="C6737" s="43" t="s">
        <v>12785</v>
      </c>
      <c r="D6737" s="43" t="s">
        <v>5816</v>
      </c>
      <c r="E6737" s="45" t="s">
        <v>12748</v>
      </c>
      <c r="F6737" s="274"/>
    </row>
    <row r="6738" spans="1:6" s="261" customFormat="1">
      <c r="A6738" s="43">
        <v>95295</v>
      </c>
      <c r="B6738" s="43">
        <v>0</v>
      </c>
      <c r="C6738" s="43" t="s">
        <v>5971</v>
      </c>
      <c r="D6738" s="43" t="s">
        <v>5817</v>
      </c>
      <c r="E6738" s="45" t="s">
        <v>6073</v>
      </c>
      <c r="F6738" s="274"/>
    </row>
    <row r="6739" spans="1:6" s="261" customFormat="1">
      <c r="A6739" s="43">
        <v>95296</v>
      </c>
      <c r="B6739" s="43">
        <v>0</v>
      </c>
      <c r="C6739" s="43" t="s">
        <v>5977</v>
      </c>
      <c r="D6739" s="43" t="s">
        <v>5818</v>
      </c>
      <c r="E6739" s="45" t="s">
        <v>6079</v>
      </c>
      <c r="F6739" s="274"/>
    </row>
    <row r="6740" spans="1:6" s="261" customFormat="1">
      <c r="A6740" s="43">
        <v>95297</v>
      </c>
      <c r="B6740" s="43">
        <v>0</v>
      </c>
      <c r="C6740" s="43" t="s">
        <v>12786</v>
      </c>
      <c r="D6740" s="43" t="s">
        <v>5819</v>
      </c>
      <c r="E6740" s="45" t="s">
        <v>12749</v>
      </c>
      <c r="F6740" s="274"/>
    </row>
    <row r="6741" spans="1:6" s="261" customFormat="1">
      <c r="A6741" s="43">
        <v>95298</v>
      </c>
      <c r="B6741" s="43">
        <v>0</v>
      </c>
      <c r="C6741" s="43" t="s">
        <v>5974</v>
      </c>
      <c r="D6741" s="43" t="s">
        <v>5820</v>
      </c>
      <c r="E6741" s="45" t="s">
        <v>6076</v>
      </c>
      <c r="F6741" s="274"/>
    </row>
    <row r="6742" spans="1:6" s="261" customFormat="1">
      <c r="A6742" s="43">
        <v>95299</v>
      </c>
      <c r="B6742" s="43">
        <v>0</v>
      </c>
      <c r="C6742" s="43" t="s">
        <v>12776</v>
      </c>
      <c r="D6742" s="43" t="s">
        <v>5821</v>
      </c>
      <c r="E6742" s="45" t="s">
        <v>12739</v>
      </c>
      <c r="F6742" s="274"/>
    </row>
    <row r="6743" spans="1:6" s="261" customFormat="1">
      <c r="A6743" s="43">
        <v>95300</v>
      </c>
      <c r="B6743" s="43">
        <v>0</v>
      </c>
      <c r="C6743" s="43" t="s">
        <v>6012</v>
      </c>
      <c r="D6743" s="43" t="s">
        <v>5822</v>
      </c>
      <c r="E6743" s="45" t="s">
        <v>6114</v>
      </c>
      <c r="F6743" s="274"/>
    </row>
    <row r="6744" spans="1:6" s="261" customFormat="1">
      <c r="A6744" s="43">
        <v>95301</v>
      </c>
      <c r="B6744" s="43">
        <v>0</v>
      </c>
      <c r="C6744" s="43" t="s">
        <v>5977</v>
      </c>
      <c r="D6744" s="43" t="s">
        <v>5823</v>
      </c>
      <c r="E6744" s="45" t="s">
        <v>6079</v>
      </c>
      <c r="F6744" s="274"/>
    </row>
    <row r="6745" spans="1:6" s="261" customFormat="1">
      <c r="A6745" s="43">
        <v>95302</v>
      </c>
      <c r="B6745" s="43">
        <v>0</v>
      </c>
      <c r="C6745" s="43" t="s">
        <v>12778</v>
      </c>
      <c r="D6745" s="43" t="s">
        <v>5824</v>
      </c>
      <c r="E6745" s="45" t="s">
        <v>12741</v>
      </c>
      <c r="F6745" s="274"/>
    </row>
    <row r="6746" spans="1:6" s="261" customFormat="1">
      <c r="A6746" s="43">
        <v>95303</v>
      </c>
      <c r="B6746" s="43">
        <v>0</v>
      </c>
      <c r="C6746" s="43" t="s">
        <v>6013</v>
      </c>
      <c r="D6746" s="43" t="s">
        <v>5825</v>
      </c>
      <c r="E6746" s="45" t="s">
        <v>6115</v>
      </c>
      <c r="F6746" s="274"/>
    </row>
    <row r="6747" spans="1:6" s="261" customFormat="1">
      <c r="A6747" s="43">
        <v>95304</v>
      </c>
      <c r="B6747" s="43">
        <v>0</v>
      </c>
      <c r="C6747" s="43" t="s">
        <v>5980</v>
      </c>
      <c r="D6747" s="43" t="s">
        <v>5826</v>
      </c>
      <c r="E6747" s="45" t="s">
        <v>6082</v>
      </c>
      <c r="F6747" s="274"/>
    </row>
    <row r="6748" spans="1:6" s="261" customFormat="1">
      <c r="A6748" s="43">
        <v>95305</v>
      </c>
      <c r="B6748" s="43">
        <v>0</v>
      </c>
      <c r="C6748" s="43" t="s">
        <v>12781</v>
      </c>
      <c r="D6748" s="43" t="s">
        <v>5827</v>
      </c>
      <c r="E6748" s="45" t="s">
        <v>12744</v>
      </c>
      <c r="F6748" s="274"/>
    </row>
    <row r="6749" spans="1:6" s="261" customFormat="1">
      <c r="A6749" s="43">
        <v>95306</v>
      </c>
      <c r="B6749" s="43">
        <v>0</v>
      </c>
      <c r="C6749" s="43" t="s">
        <v>12774</v>
      </c>
      <c r="D6749" s="43" t="s">
        <v>5828</v>
      </c>
      <c r="E6749" s="45" t="s">
        <v>12737</v>
      </c>
      <c r="F6749" s="274"/>
    </row>
    <row r="6750" spans="1:6" s="261" customFormat="1">
      <c r="A6750" s="43">
        <v>95307</v>
      </c>
      <c r="B6750" s="43">
        <v>0</v>
      </c>
      <c r="C6750" s="43" t="s">
        <v>5983</v>
      </c>
      <c r="D6750" s="43" t="s">
        <v>5829</v>
      </c>
      <c r="E6750" s="45" t="s">
        <v>6085</v>
      </c>
      <c r="F6750" s="274"/>
    </row>
    <row r="6751" spans="1:6" s="261" customFormat="1">
      <c r="A6751" s="43">
        <v>95308</v>
      </c>
      <c r="B6751" s="43">
        <v>0</v>
      </c>
      <c r="C6751" s="43" t="s">
        <v>5975</v>
      </c>
      <c r="D6751" s="43" t="s">
        <v>5830</v>
      </c>
      <c r="E6751" s="45" t="s">
        <v>6077</v>
      </c>
      <c r="F6751" s="274"/>
    </row>
    <row r="6752" spans="1:6" s="261" customFormat="1">
      <c r="A6752" s="43">
        <v>95309</v>
      </c>
      <c r="B6752" s="43">
        <v>0</v>
      </c>
      <c r="C6752" s="43" t="s">
        <v>6015</v>
      </c>
      <c r="D6752" s="43" t="s">
        <v>5831</v>
      </c>
      <c r="E6752" s="45" t="s">
        <v>6117</v>
      </c>
      <c r="F6752" s="274"/>
    </row>
    <row r="6753" spans="1:6" s="261" customFormat="1">
      <c r="A6753" s="43">
        <v>95310</v>
      </c>
      <c r="B6753" s="43">
        <v>0</v>
      </c>
      <c r="C6753" s="43" t="s">
        <v>5986</v>
      </c>
      <c r="D6753" s="43" t="s">
        <v>5832</v>
      </c>
      <c r="E6753" s="45" t="s">
        <v>6088</v>
      </c>
      <c r="F6753" s="274"/>
    </row>
    <row r="6754" spans="1:6" s="261" customFormat="1">
      <c r="A6754" s="43">
        <v>95311</v>
      </c>
      <c r="B6754" s="43">
        <v>0</v>
      </c>
      <c r="C6754" s="43" t="s">
        <v>5978</v>
      </c>
      <c r="D6754" s="43" t="s">
        <v>5833</v>
      </c>
      <c r="E6754" s="45" t="s">
        <v>6080</v>
      </c>
      <c r="F6754" s="274"/>
    </row>
    <row r="6755" spans="1:6" s="261" customFormat="1">
      <c r="A6755" s="43">
        <v>95312</v>
      </c>
      <c r="B6755" s="43">
        <v>0</v>
      </c>
      <c r="C6755" s="43" t="s">
        <v>12779</v>
      </c>
      <c r="D6755" s="43" t="s">
        <v>5834</v>
      </c>
      <c r="E6755" s="45" t="s">
        <v>12742</v>
      </c>
      <c r="F6755" s="274"/>
    </row>
    <row r="6756" spans="1:6" s="261" customFormat="1">
      <c r="A6756" s="43">
        <v>95313</v>
      </c>
      <c r="B6756" s="43">
        <v>0</v>
      </c>
      <c r="C6756" s="43" t="s">
        <v>5989</v>
      </c>
      <c r="D6756" s="43" t="s">
        <v>5835</v>
      </c>
      <c r="E6756" s="45" t="s">
        <v>6091</v>
      </c>
      <c r="F6756" s="274"/>
    </row>
    <row r="6757" spans="1:6" s="261" customFormat="1">
      <c r="A6757" s="43">
        <v>95314</v>
      </c>
      <c r="B6757" s="43">
        <v>0</v>
      </c>
      <c r="C6757" s="43" t="s">
        <v>5981</v>
      </c>
      <c r="D6757" s="43" t="s">
        <v>5836</v>
      </c>
      <c r="E6757" s="45" t="s">
        <v>6083</v>
      </c>
      <c r="F6757" s="274"/>
    </row>
    <row r="6758" spans="1:6" s="261" customFormat="1">
      <c r="A6758" s="43">
        <v>95315</v>
      </c>
      <c r="B6758" s="43">
        <v>0</v>
      </c>
      <c r="C6758" s="43" t="s">
        <v>6019</v>
      </c>
      <c r="D6758" s="43" t="s">
        <v>5837</v>
      </c>
      <c r="E6758" s="45" t="s">
        <v>6121</v>
      </c>
      <c r="F6758" s="274"/>
    </row>
    <row r="6759" spans="1:6" s="261" customFormat="1">
      <c r="A6759" s="43">
        <v>95316</v>
      </c>
      <c r="B6759" s="43">
        <v>0</v>
      </c>
      <c r="C6759" s="43" t="s">
        <v>5992</v>
      </c>
      <c r="D6759" s="43" t="s">
        <v>5838</v>
      </c>
      <c r="E6759" s="45" t="s">
        <v>6094</v>
      </c>
      <c r="F6759" s="274"/>
    </row>
    <row r="6760" spans="1:6" s="261" customFormat="1">
      <c r="A6760" s="43">
        <v>95317</v>
      </c>
      <c r="B6760" s="43">
        <v>0</v>
      </c>
      <c r="C6760" s="43" t="s">
        <v>5984</v>
      </c>
      <c r="D6760" s="43" t="s">
        <v>5839</v>
      </c>
      <c r="E6760" s="45" t="s">
        <v>6086</v>
      </c>
      <c r="F6760" s="274"/>
    </row>
    <row r="6761" spans="1:6" s="261" customFormat="1">
      <c r="A6761" s="43">
        <v>95318</v>
      </c>
      <c r="B6761" s="43">
        <v>0</v>
      </c>
      <c r="C6761" s="43" t="s">
        <v>5994</v>
      </c>
      <c r="D6761" s="43" t="s">
        <v>5840</v>
      </c>
      <c r="E6761" s="45" t="s">
        <v>6096</v>
      </c>
      <c r="F6761" s="274"/>
    </row>
    <row r="6762" spans="1:6" s="261" customFormat="1">
      <c r="A6762" s="43">
        <v>95319</v>
      </c>
      <c r="B6762" s="43">
        <v>0</v>
      </c>
      <c r="C6762" s="43" t="s">
        <v>5995</v>
      </c>
      <c r="D6762" s="43" t="s">
        <v>5841</v>
      </c>
      <c r="E6762" s="45" t="s">
        <v>6097</v>
      </c>
      <c r="F6762" s="274"/>
    </row>
    <row r="6763" spans="1:6" s="261" customFormat="1">
      <c r="A6763" s="43">
        <v>95320</v>
      </c>
      <c r="B6763" s="43">
        <v>0</v>
      </c>
      <c r="C6763" s="43" t="s">
        <v>5987</v>
      </c>
      <c r="D6763" s="43" t="s">
        <v>5842</v>
      </c>
      <c r="E6763" s="45" t="s">
        <v>6089</v>
      </c>
      <c r="F6763" s="274"/>
    </row>
    <row r="6764" spans="1:6" s="261" customFormat="1">
      <c r="A6764" s="43">
        <v>95321</v>
      </c>
      <c r="B6764" s="43">
        <v>0</v>
      </c>
      <c r="C6764" s="43" t="s">
        <v>6017</v>
      </c>
      <c r="D6764" s="43" t="s">
        <v>5843</v>
      </c>
      <c r="E6764" s="45" t="s">
        <v>6119</v>
      </c>
      <c r="F6764" s="274"/>
    </row>
    <row r="6765" spans="1:6" s="261" customFormat="1">
      <c r="A6765" s="43">
        <v>95322</v>
      </c>
      <c r="B6765" s="43">
        <v>0</v>
      </c>
      <c r="C6765" s="43" t="s">
        <v>5998</v>
      </c>
      <c r="D6765" s="43" t="s">
        <v>5844</v>
      </c>
      <c r="E6765" s="45" t="s">
        <v>6100</v>
      </c>
      <c r="F6765" s="274"/>
    </row>
    <row r="6766" spans="1:6" s="261" customFormat="1">
      <c r="A6766" s="43">
        <v>95323</v>
      </c>
      <c r="B6766" s="43">
        <v>0</v>
      </c>
      <c r="C6766" s="43" t="s">
        <v>5990</v>
      </c>
      <c r="D6766" s="43" t="s">
        <v>5845</v>
      </c>
      <c r="E6766" s="45" t="s">
        <v>6092</v>
      </c>
      <c r="F6766" s="274"/>
    </row>
    <row r="6767" spans="1:6" s="261" customFormat="1">
      <c r="A6767" s="43">
        <v>95324</v>
      </c>
      <c r="B6767" s="43">
        <v>0</v>
      </c>
      <c r="C6767" s="43" t="s">
        <v>12782</v>
      </c>
      <c r="D6767" s="43" t="s">
        <v>5846</v>
      </c>
      <c r="E6767" s="45" t="s">
        <v>12745</v>
      </c>
      <c r="F6767" s="274"/>
    </row>
    <row r="6768" spans="1:6" s="261" customFormat="1">
      <c r="A6768" s="43">
        <v>95325</v>
      </c>
      <c r="B6768" s="43">
        <v>0</v>
      </c>
      <c r="C6768" s="43" t="s">
        <v>6001</v>
      </c>
      <c r="D6768" s="43" t="s">
        <v>5847</v>
      </c>
      <c r="E6768" s="45" t="s">
        <v>6103</v>
      </c>
      <c r="F6768" s="274"/>
    </row>
    <row r="6769" spans="1:6" s="261" customFormat="1">
      <c r="A6769" s="43">
        <v>95326</v>
      </c>
      <c r="B6769" s="43">
        <v>0</v>
      </c>
      <c r="C6769" s="43" t="s">
        <v>5993</v>
      </c>
      <c r="D6769" s="43" t="s">
        <v>5848</v>
      </c>
      <c r="E6769" s="45" t="s">
        <v>6095</v>
      </c>
      <c r="F6769" s="274"/>
    </row>
    <row r="6770" spans="1:6" s="261" customFormat="1">
      <c r="A6770" s="43">
        <v>95327</v>
      </c>
      <c r="B6770" s="43">
        <v>0</v>
      </c>
      <c r="C6770" s="43" t="s">
        <v>6014</v>
      </c>
      <c r="D6770" s="43" t="s">
        <v>5849</v>
      </c>
      <c r="E6770" s="45" t="s">
        <v>6116</v>
      </c>
      <c r="F6770" s="274"/>
    </row>
    <row r="6771" spans="1:6" s="261" customFormat="1">
      <c r="A6771" s="43">
        <v>95328</v>
      </c>
      <c r="B6771" s="43">
        <v>0</v>
      </c>
      <c r="C6771" s="43" t="s">
        <v>6004</v>
      </c>
      <c r="D6771" s="43" t="s">
        <v>5850</v>
      </c>
      <c r="E6771" s="45" t="s">
        <v>6106</v>
      </c>
      <c r="F6771" s="274"/>
    </row>
    <row r="6772" spans="1:6" s="261" customFormat="1">
      <c r="A6772" s="43">
        <v>95329</v>
      </c>
      <c r="B6772" s="43">
        <v>0</v>
      </c>
      <c r="C6772" s="43" t="s">
        <v>5996</v>
      </c>
      <c r="D6772" s="43" t="s">
        <v>5851</v>
      </c>
      <c r="E6772" s="45" t="s">
        <v>6098</v>
      </c>
      <c r="F6772" s="274"/>
    </row>
    <row r="6773" spans="1:6" s="261" customFormat="1">
      <c r="A6773" s="43">
        <v>95330</v>
      </c>
      <c r="B6773" s="43">
        <v>0</v>
      </c>
      <c r="C6773" s="43" t="s">
        <v>12783</v>
      </c>
      <c r="D6773" s="43" t="s">
        <v>5852</v>
      </c>
      <c r="E6773" s="45" t="s">
        <v>12746</v>
      </c>
      <c r="F6773" s="274"/>
    </row>
    <row r="6774" spans="1:6" s="261" customFormat="1">
      <c r="A6774" s="43">
        <v>95331</v>
      </c>
      <c r="B6774" s="43">
        <v>0</v>
      </c>
      <c r="C6774" s="43" t="s">
        <v>6007</v>
      </c>
      <c r="D6774" s="43" t="s">
        <v>5853</v>
      </c>
      <c r="E6774" s="45" t="s">
        <v>6109</v>
      </c>
      <c r="F6774" s="274"/>
    </row>
    <row r="6775" spans="1:6" s="261" customFormat="1">
      <c r="A6775" s="43">
        <v>95332</v>
      </c>
      <c r="B6775" s="43">
        <v>0</v>
      </c>
      <c r="C6775" s="43" t="s">
        <v>5999</v>
      </c>
      <c r="D6775" s="43" t="s">
        <v>5854</v>
      </c>
      <c r="E6775" s="45" t="s">
        <v>6101</v>
      </c>
      <c r="F6775" s="274"/>
    </row>
    <row r="6776" spans="1:6" s="261" customFormat="1">
      <c r="A6776" s="43">
        <v>95333</v>
      </c>
      <c r="B6776" s="43">
        <v>0</v>
      </c>
      <c r="C6776" s="43" t="s">
        <v>12605</v>
      </c>
      <c r="D6776" s="43" t="s">
        <v>5855</v>
      </c>
      <c r="E6776" s="45" t="s">
        <v>12604</v>
      </c>
      <c r="F6776" s="274"/>
    </row>
    <row r="6777" spans="1:6" s="261" customFormat="1">
      <c r="A6777" s="43">
        <v>95334</v>
      </c>
      <c r="B6777" s="43">
        <v>0</v>
      </c>
      <c r="C6777" s="43" t="s">
        <v>6009</v>
      </c>
      <c r="D6777" s="43" t="s">
        <v>5856</v>
      </c>
      <c r="E6777" s="45" t="s">
        <v>6111</v>
      </c>
      <c r="F6777" s="274"/>
    </row>
    <row r="6778" spans="1:6" s="261" customFormat="1">
      <c r="A6778" s="43">
        <v>95335</v>
      </c>
      <c r="B6778" s="43">
        <v>0</v>
      </c>
      <c r="C6778" s="43" t="s">
        <v>6002</v>
      </c>
      <c r="D6778" s="43" t="s">
        <v>5857</v>
      </c>
      <c r="E6778" s="45" t="s">
        <v>6104</v>
      </c>
      <c r="F6778" s="274"/>
    </row>
    <row r="6779" spans="1:6" s="261" customFormat="1">
      <c r="A6779" s="43">
        <v>95336</v>
      </c>
      <c r="B6779" s="43">
        <v>0</v>
      </c>
      <c r="C6779" s="43" t="s">
        <v>12784</v>
      </c>
      <c r="D6779" s="43" t="s">
        <v>5858</v>
      </c>
      <c r="E6779" s="45" t="s">
        <v>12747</v>
      </c>
      <c r="F6779" s="274"/>
    </row>
    <row r="6780" spans="1:6" s="261" customFormat="1">
      <c r="A6780" s="43">
        <v>95337</v>
      </c>
      <c r="B6780" s="43">
        <v>0</v>
      </c>
      <c r="C6780" s="43" t="s">
        <v>5965</v>
      </c>
      <c r="D6780" s="43" t="s">
        <v>5859</v>
      </c>
      <c r="E6780" s="45" t="s">
        <v>6067</v>
      </c>
      <c r="F6780" s="274"/>
    </row>
    <row r="6781" spans="1:6" s="261" customFormat="1">
      <c r="A6781" s="43">
        <v>95338</v>
      </c>
      <c r="B6781" s="43">
        <v>0</v>
      </c>
      <c r="C6781" s="43" t="s">
        <v>6005</v>
      </c>
      <c r="D6781" s="43" t="s">
        <v>5860</v>
      </c>
      <c r="E6781" s="45" t="s">
        <v>6107</v>
      </c>
      <c r="F6781" s="274"/>
    </row>
    <row r="6782" spans="1:6" s="261" customFormat="1">
      <c r="A6782" s="43">
        <v>95339</v>
      </c>
      <c r="B6782" s="43">
        <v>0</v>
      </c>
      <c r="C6782" s="43" t="s">
        <v>12785</v>
      </c>
      <c r="D6782" s="43" t="s">
        <v>5861</v>
      </c>
      <c r="E6782" s="45" t="s">
        <v>12748</v>
      </c>
      <c r="F6782" s="274"/>
    </row>
    <row r="6783" spans="1:6" s="261" customFormat="1">
      <c r="A6783" s="43">
        <v>95340</v>
      </c>
      <c r="B6783" s="43">
        <v>0</v>
      </c>
      <c r="C6783" s="43" t="s">
        <v>5968</v>
      </c>
      <c r="D6783" s="43" t="s">
        <v>5862</v>
      </c>
      <c r="E6783" s="45" t="s">
        <v>6070</v>
      </c>
      <c r="F6783" s="274"/>
    </row>
    <row r="6784" spans="1:6" s="261" customFormat="1">
      <c r="A6784" s="43">
        <v>95341</v>
      </c>
      <c r="B6784" s="43">
        <v>0</v>
      </c>
      <c r="C6784" s="43" t="s">
        <v>6008</v>
      </c>
      <c r="D6784" s="43" t="s">
        <v>5863</v>
      </c>
      <c r="E6784" s="45" t="s">
        <v>6110</v>
      </c>
      <c r="F6784" s="274"/>
    </row>
    <row r="6785" spans="1:6" s="261" customFormat="1">
      <c r="A6785" s="43">
        <v>95342</v>
      </c>
      <c r="B6785" s="43">
        <v>0</v>
      </c>
      <c r="C6785" s="43" t="s">
        <v>12786</v>
      </c>
      <c r="D6785" s="43" t="s">
        <v>5864</v>
      </c>
      <c r="E6785" s="45" t="s">
        <v>12749</v>
      </c>
      <c r="F6785" s="274"/>
    </row>
    <row r="6786" spans="1:6" s="261" customFormat="1">
      <c r="A6786" s="43">
        <v>95343</v>
      </c>
      <c r="B6786" s="43">
        <v>0</v>
      </c>
      <c r="C6786" s="43" t="s">
        <v>12775</v>
      </c>
      <c r="D6786" s="43" t="s">
        <v>5865</v>
      </c>
      <c r="E6786" s="45" t="s">
        <v>12738</v>
      </c>
      <c r="F6786" s="274"/>
    </row>
    <row r="6787" spans="1:6" s="261" customFormat="1">
      <c r="A6787" s="43">
        <v>95344</v>
      </c>
      <c r="B6787" s="43">
        <v>0</v>
      </c>
      <c r="C6787" s="43" t="s">
        <v>6010</v>
      </c>
      <c r="D6787" s="43" t="s">
        <v>5866</v>
      </c>
      <c r="E6787" s="45" t="s">
        <v>6112</v>
      </c>
      <c r="F6787" s="274"/>
    </row>
    <row r="6788" spans="1:6" s="261" customFormat="1">
      <c r="A6788" s="43">
        <v>95345</v>
      </c>
      <c r="B6788" s="43">
        <v>0</v>
      </c>
      <c r="C6788" s="43" t="s">
        <v>6012</v>
      </c>
      <c r="D6788" s="43" t="s">
        <v>5867</v>
      </c>
      <c r="E6788" s="45" t="s">
        <v>6114</v>
      </c>
      <c r="F6788" s="274"/>
    </row>
    <row r="6789" spans="1:6" s="261" customFormat="1">
      <c r="A6789" s="43">
        <v>95346</v>
      </c>
      <c r="B6789" s="43">
        <v>0</v>
      </c>
      <c r="C6789" s="43" t="s">
        <v>12777</v>
      </c>
      <c r="D6789" s="43" t="s">
        <v>5868</v>
      </c>
      <c r="E6789" s="45" t="s">
        <v>12740</v>
      </c>
      <c r="F6789" s="274"/>
    </row>
    <row r="6790" spans="1:6" s="261" customFormat="1">
      <c r="A6790" s="43">
        <v>95347</v>
      </c>
      <c r="B6790" s="43">
        <v>0</v>
      </c>
      <c r="C6790" s="43" t="s">
        <v>5966</v>
      </c>
      <c r="D6790" s="43" t="s">
        <v>5869</v>
      </c>
      <c r="E6790" s="45" t="s">
        <v>6068</v>
      </c>
      <c r="F6790" s="274"/>
    </row>
    <row r="6791" spans="1:6" s="261" customFormat="1">
      <c r="A6791" s="43">
        <v>95348</v>
      </c>
      <c r="B6791" s="43">
        <v>0</v>
      </c>
      <c r="C6791" s="43" t="s">
        <v>6013</v>
      </c>
      <c r="D6791" s="43" t="s">
        <v>5870</v>
      </c>
      <c r="E6791" s="45" t="s">
        <v>6115</v>
      </c>
      <c r="F6791" s="274"/>
    </row>
    <row r="6792" spans="1:6" s="261" customFormat="1">
      <c r="A6792" s="43">
        <v>95349</v>
      </c>
      <c r="B6792" s="43">
        <v>0</v>
      </c>
      <c r="C6792" s="43" t="s">
        <v>12780</v>
      </c>
      <c r="D6792" s="43" t="s">
        <v>5871</v>
      </c>
      <c r="E6792" s="45" t="s">
        <v>12743</v>
      </c>
      <c r="F6792" s="274"/>
    </row>
    <row r="6793" spans="1:6" s="261" customFormat="1">
      <c r="A6793" s="43">
        <v>95350</v>
      </c>
      <c r="B6793" s="43">
        <v>0</v>
      </c>
      <c r="C6793" s="43" t="s">
        <v>5969</v>
      </c>
      <c r="D6793" s="43" t="s">
        <v>5872</v>
      </c>
      <c r="E6793" s="45" t="s">
        <v>6071</v>
      </c>
      <c r="F6793" s="274"/>
    </row>
    <row r="6794" spans="1:6" s="261" customFormat="1">
      <c r="A6794" s="43">
        <v>95351</v>
      </c>
      <c r="B6794" s="43">
        <v>0</v>
      </c>
      <c r="C6794" s="43" t="s">
        <v>12774</v>
      </c>
      <c r="D6794" s="43" t="s">
        <v>5873</v>
      </c>
      <c r="E6794" s="45" t="s">
        <v>12737</v>
      </c>
      <c r="F6794" s="274"/>
    </row>
    <row r="6795" spans="1:6" s="261" customFormat="1">
      <c r="A6795" s="43">
        <v>95352</v>
      </c>
      <c r="B6795" s="43">
        <v>0</v>
      </c>
      <c r="C6795" s="43" t="s">
        <v>5971</v>
      </c>
      <c r="D6795" s="43" t="s">
        <v>5874</v>
      </c>
      <c r="E6795" s="45" t="s">
        <v>6073</v>
      </c>
      <c r="F6795" s="274"/>
    </row>
    <row r="6796" spans="1:6" s="261" customFormat="1">
      <c r="A6796" s="43">
        <v>95353</v>
      </c>
      <c r="B6796" s="43">
        <v>0</v>
      </c>
      <c r="C6796" s="43" t="s">
        <v>5972</v>
      </c>
      <c r="D6796" s="43" t="s">
        <v>5875</v>
      </c>
      <c r="E6796" s="45" t="s">
        <v>6074</v>
      </c>
      <c r="F6796" s="274"/>
    </row>
    <row r="6797" spans="1:6" s="261" customFormat="1">
      <c r="A6797" s="43">
        <v>95354</v>
      </c>
      <c r="B6797" s="43">
        <v>0</v>
      </c>
      <c r="C6797" s="43" t="s">
        <v>6015</v>
      </c>
      <c r="D6797" s="43" t="s">
        <v>5876</v>
      </c>
      <c r="E6797" s="45" t="s">
        <v>6117</v>
      </c>
      <c r="F6797" s="274"/>
    </row>
    <row r="6798" spans="1:6" s="261" customFormat="1">
      <c r="A6798" s="43">
        <v>95355</v>
      </c>
      <c r="B6798" s="43">
        <v>0</v>
      </c>
      <c r="C6798" s="43" t="s">
        <v>5974</v>
      </c>
      <c r="D6798" s="43" t="s">
        <v>5877</v>
      </c>
      <c r="E6798" s="45" t="s">
        <v>6076</v>
      </c>
      <c r="F6798" s="274"/>
    </row>
    <row r="6799" spans="1:6" s="261" customFormat="1">
      <c r="A6799" s="43">
        <v>95356</v>
      </c>
      <c r="B6799" s="43">
        <v>0</v>
      </c>
      <c r="C6799" s="43" t="s">
        <v>12773</v>
      </c>
      <c r="D6799" s="43" t="s">
        <v>5878</v>
      </c>
      <c r="E6799" s="45" t="s">
        <v>12736</v>
      </c>
      <c r="F6799" s="274"/>
    </row>
    <row r="6800" spans="1:6" s="261" customFormat="1">
      <c r="A6800" s="43">
        <v>95357</v>
      </c>
      <c r="B6800" s="43">
        <v>0</v>
      </c>
      <c r="C6800" s="43" t="s">
        <v>12779</v>
      </c>
      <c r="D6800" s="43" t="s">
        <v>5879</v>
      </c>
      <c r="E6800" s="45" t="s">
        <v>12742</v>
      </c>
      <c r="F6800" s="274"/>
    </row>
    <row r="6801" spans="1:6" s="261" customFormat="1">
      <c r="A6801" s="43">
        <v>95358</v>
      </c>
      <c r="B6801" s="43">
        <v>0</v>
      </c>
      <c r="C6801" s="43" t="s">
        <v>5977</v>
      </c>
      <c r="D6801" s="43" t="s">
        <v>5880</v>
      </c>
      <c r="E6801" s="45" t="s">
        <v>6079</v>
      </c>
      <c r="F6801" s="274"/>
    </row>
    <row r="6802" spans="1:6" s="261" customFormat="1">
      <c r="A6802" s="43">
        <v>95359</v>
      </c>
      <c r="B6802" s="43">
        <v>0</v>
      </c>
      <c r="C6802" s="43" t="s">
        <v>5977</v>
      </c>
      <c r="D6802" s="43" t="s">
        <v>5881</v>
      </c>
      <c r="E6802" s="45" t="s">
        <v>6079</v>
      </c>
      <c r="F6802" s="274"/>
    </row>
    <row r="6803" spans="1:6" s="261" customFormat="1">
      <c r="A6803" s="43">
        <v>95360</v>
      </c>
      <c r="B6803" s="43">
        <v>0</v>
      </c>
      <c r="C6803" s="43" t="s">
        <v>6019</v>
      </c>
      <c r="D6803" s="43" t="s">
        <v>5882</v>
      </c>
      <c r="E6803" s="45" t="s">
        <v>6121</v>
      </c>
      <c r="F6803" s="274"/>
    </row>
    <row r="6804" spans="1:6" s="261" customFormat="1">
      <c r="A6804" s="43">
        <v>95361</v>
      </c>
      <c r="B6804" s="43">
        <v>0</v>
      </c>
      <c r="C6804" s="43" t="s">
        <v>5980</v>
      </c>
      <c r="D6804" s="43" t="s">
        <v>5883</v>
      </c>
      <c r="E6804" s="45" t="s">
        <v>6082</v>
      </c>
      <c r="F6804" s="274"/>
    </row>
    <row r="6805" spans="1:6" s="261" customFormat="1">
      <c r="A6805" s="43">
        <v>95362</v>
      </c>
      <c r="B6805" s="43">
        <v>0</v>
      </c>
      <c r="C6805" s="43" t="s">
        <v>12776</v>
      </c>
      <c r="D6805" s="43" t="s">
        <v>5884</v>
      </c>
      <c r="E6805" s="45" t="s">
        <v>12739</v>
      </c>
      <c r="F6805" s="274"/>
    </row>
    <row r="6806" spans="1:6" s="261" customFormat="1">
      <c r="A6806" s="43">
        <v>95363</v>
      </c>
      <c r="B6806" s="43">
        <v>0</v>
      </c>
      <c r="C6806" s="43" t="s">
        <v>5994</v>
      </c>
      <c r="D6806" s="43" t="s">
        <v>5885</v>
      </c>
      <c r="E6806" s="45" t="s">
        <v>6096</v>
      </c>
      <c r="F6806" s="274"/>
    </row>
    <row r="6807" spans="1:6" s="261" customFormat="1">
      <c r="A6807" s="43">
        <v>95364</v>
      </c>
      <c r="B6807" s="43">
        <v>0</v>
      </c>
      <c r="C6807" s="43" t="s">
        <v>5983</v>
      </c>
      <c r="D6807" s="43" t="s">
        <v>5886</v>
      </c>
      <c r="E6807" s="45" t="s">
        <v>6085</v>
      </c>
      <c r="F6807" s="274"/>
    </row>
    <row r="6808" spans="1:6" s="261" customFormat="1">
      <c r="A6808" s="43">
        <v>95365</v>
      </c>
      <c r="B6808" s="43">
        <v>0</v>
      </c>
      <c r="C6808" s="43" t="s">
        <v>12778</v>
      </c>
      <c r="D6808" s="43" t="s">
        <v>5887</v>
      </c>
      <c r="E6808" s="45" t="s">
        <v>12741</v>
      </c>
      <c r="F6808" s="274"/>
    </row>
    <row r="6809" spans="1:6" s="261" customFormat="1">
      <c r="A6809" s="43">
        <v>95366</v>
      </c>
      <c r="B6809" s="43">
        <v>0</v>
      </c>
      <c r="C6809" s="43" t="s">
        <v>6017</v>
      </c>
      <c r="D6809" s="43" t="s">
        <v>5888</v>
      </c>
      <c r="E6809" s="45" t="s">
        <v>6119</v>
      </c>
      <c r="F6809" s="274"/>
    </row>
    <row r="6810" spans="1:6" s="261" customFormat="1">
      <c r="A6810" s="43">
        <v>95367</v>
      </c>
      <c r="B6810" s="43">
        <v>0</v>
      </c>
      <c r="C6810" s="43" t="s">
        <v>5986</v>
      </c>
      <c r="D6810" s="43" t="s">
        <v>5889</v>
      </c>
      <c r="E6810" s="45" t="s">
        <v>6088</v>
      </c>
      <c r="F6810" s="274"/>
    </row>
    <row r="6811" spans="1:6" s="261" customFormat="1">
      <c r="A6811" s="43">
        <v>95368</v>
      </c>
      <c r="B6811" s="43">
        <v>0</v>
      </c>
      <c r="C6811" s="43" t="s">
        <v>12781</v>
      </c>
      <c r="D6811" s="43" t="s">
        <v>5890</v>
      </c>
      <c r="E6811" s="45" t="s">
        <v>12744</v>
      </c>
      <c r="F6811" s="274"/>
    </row>
    <row r="6812" spans="1:6" s="261" customFormat="1">
      <c r="A6812" s="43">
        <v>95369</v>
      </c>
      <c r="B6812" s="43">
        <v>0</v>
      </c>
      <c r="C6812" s="43" t="s">
        <v>12782</v>
      </c>
      <c r="D6812" s="43" t="s">
        <v>5891</v>
      </c>
      <c r="E6812" s="45" t="s">
        <v>12745</v>
      </c>
      <c r="F6812" s="274"/>
    </row>
    <row r="6813" spans="1:6" s="261" customFormat="1">
      <c r="A6813" s="43">
        <v>95370</v>
      </c>
      <c r="B6813" s="43">
        <v>0</v>
      </c>
      <c r="C6813" s="43" t="s">
        <v>5989</v>
      </c>
      <c r="D6813" s="43" t="s">
        <v>5892</v>
      </c>
      <c r="E6813" s="45" t="s">
        <v>6091</v>
      </c>
      <c r="F6813" s="274"/>
    </row>
    <row r="6814" spans="1:6" s="261" customFormat="1">
      <c r="A6814" s="43">
        <v>95371</v>
      </c>
      <c r="B6814" s="43">
        <v>0</v>
      </c>
      <c r="C6814" s="43" t="s">
        <v>5975</v>
      </c>
      <c r="D6814" s="43" t="s">
        <v>5893</v>
      </c>
      <c r="E6814" s="45" t="s">
        <v>6077</v>
      </c>
      <c r="F6814" s="274"/>
    </row>
    <row r="6815" spans="1:6" s="261" customFormat="1">
      <c r="A6815" s="43">
        <v>95372</v>
      </c>
      <c r="B6815" s="43">
        <v>0</v>
      </c>
      <c r="C6815" s="43" t="s">
        <v>6014</v>
      </c>
      <c r="D6815" s="43" t="s">
        <v>5894</v>
      </c>
      <c r="E6815" s="45" t="s">
        <v>6116</v>
      </c>
      <c r="F6815" s="274"/>
    </row>
    <row r="6816" spans="1:6" s="261" customFormat="1">
      <c r="A6816" s="43">
        <v>95373</v>
      </c>
      <c r="B6816" s="43">
        <v>0</v>
      </c>
      <c r="C6816" s="43" t="s">
        <v>5992</v>
      </c>
      <c r="D6816" s="43" t="s">
        <v>5895</v>
      </c>
      <c r="E6816" s="45" t="s">
        <v>6094</v>
      </c>
      <c r="F6816" s="274"/>
    </row>
    <row r="6817" spans="1:6" s="261" customFormat="1">
      <c r="A6817" s="43">
        <v>95374</v>
      </c>
      <c r="B6817" s="43">
        <v>0</v>
      </c>
      <c r="C6817" s="43" t="s">
        <v>5978</v>
      </c>
      <c r="D6817" s="43" t="s">
        <v>5896</v>
      </c>
      <c r="E6817" s="45" t="s">
        <v>6080</v>
      </c>
      <c r="F6817" s="274"/>
    </row>
    <row r="6818" spans="1:6" s="261" customFormat="1">
      <c r="A6818" s="43">
        <v>95375</v>
      </c>
      <c r="B6818" s="43">
        <v>0</v>
      </c>
      <c r="C6818" s="43" t="s">
        <v>12783</v>
      </c>
      <c r="D6818" s="43" t="s">
        <v>5897</v>
      </c>
      <c r="E6818" s="45" t="s">
        <v>12746</v>
      </c>
      <c r="F6818" s="274"/>
    </row>
    <row r="6819" spans="1:6" s="261" customFormat="1">
      <c r="A6819" s="43">
        <v>95376</v>
      </c>
      <c r="B6819" s="43">
        <v>0</v>
      </c>
      <c r="C6819" s="43" t="s">
        <v>5995</v>
      </c>
      <c r="D6819" s="43" t="s">
        <v>5898</v>
      </c>
      <c r="E6819" s="45" t="s">
        <v>6097</v>
      </c>
      <c r="F6819" s="274"/>
    </row>
    <row r="6820" spans="1:6" s="261" customFormat="1">
      <c r="A6820" s="43">
        <v>95377</v>
      </c>
      <c r="B6820" s="43">
        <v>0</v>
      </c>
      <c r="C6820" s="43" t="s">
        <v>5981</v>
      </c>
      <c r="D6820" s="43" t="s">
        <v>5899</v>
      </c>
      <c r="E6820" s="45" t="s">
        <v>6083</v>
      </c>
      <c r="F6820" s="274"/>
    </row>
    <row r="6821" spans="1:6" s="261" customFormat="1">
      <c r="A6821" s="43">
        <v>95378</v>
      </c>
      <c r="B6821" s="43">
        <v>0</v>
      </c>
      <c r="C6821" s="43" t="s">
        <v>12605</v>
      </c>
      <c r="D6821" s="43" t="s">
        <v>5900</v>
      </c>
      <c r="E6821" s="45" t="s">
        <v>12604</v>
      </c>
      <c r="F6821" s="274"/>
    </row>
    <row r="6822" spans="1:6" s="261" customFormat="1">
      <c r="A6822" s="43">
        <v>95379</v>
      </c>
      <c r="B6822" s="43">
        <v>0</v>
      </c>
      <c r="C6822" s="43" t="s">
        <v>5998</v>
      </c>
      <c r="D6822" s="43" t="s">
        <v>5901</v>
      </c>
      <c r="E6822" s="45" t="s">
        <v>6100</v>
      </c>
      <c r="F6822" s="274"/>
    </row>
    <row r="6823" spans="1:6" s="261" customFormat="1">
      <c r="A6823" s="43">
        <v>95380</v>
      </c>
      <c r="B6823" s="43">
        <v>0</v>
      </c>
      <c r="C6823" s="43" t="s">
        <v>5984</v>
      </c>
      <c r="D6823" s="43" t="s">
        <v>5902</v>
      </c>
      <c r="E6823" s="45" t="s">
        <v>6086</v>
      </c>
      <c r="F6823" s="274"/>
    </row>
    <row r="6824" spans="1:6" s="261" customFormat="1">
      <c r="A6824" s="43">
        <v>95381</v>
      </c>
      <c r="B6824" s="43">
        <v>0</v>
      </c>
      <c r="C6824" s="43" t="s">
        <v>12784</v>
      </c>
      <c r="D6824" s="43" t="s">
        <v>5903</v>
      </c>
      <c r="E6824" s="45" t="s">
        <v>12747</v>
      </c>
      <c r="F6824" s="274"/>
    </row>
    <row r="6825" spans="1:6" s="261" customFormat="1">
      <c r="A6825" s="43">
        <v>95382</v>
      </c>
      <c r="B6825" s="43">
        <v>0</v>
      </c>
      <c r="C6825" s="43" t="s">
        <v>6001</v>
      </c>
      <c r="D6825" s="43" t="s">
        <v>5904</v>
      </c>
      <c r="E6825" s="45" t="s">
        <v>6103</v>
      </c>
      <c r="F6825" s="274"/>
    </row>
    <row r="6826" spans="1:6" s="261" customFormat="1">
      <c r="A6826" s="43">
        <v>95383</v>
      </c>
      <c r="B6826" s="43">
        <v>0</v>
      </c>
      <c r="C6826" s="43" t="s">
        <v>5987</v>
      </c>
      <c r="D6826" s="43" t="s">
        <v>5905</v>
      </c>
      <c r="E6826" s="45" t="s">
        <v>6089</v>
      </c>
      <c r="F6826" s="274"/>
    </row>
    <row r="6827" spans="1:6" s="261" customFormat="1">
      <c r="A6827" s="43">
        <v>95384</v>
      </c>
      <c r="B6827" s="43">
        <v>0</v>
      </c>
      <c r="C6827" s="43" t="s">
        <v>12785</v>
      </c>
      <c r="D6827" s="43" t="s">
        <v>5906</v>
      </c>
      <c r="E6827" s="45" t="s">
        <v>12748</v>
      </c>
      <c r="F6827" s="274"/>
    </row>
    <row r="6828" spans="1:6" s="261" customFormat="1">
      <c r="A6828" s="43">
        <v>95385</v>
      </c>
      <c r="B6828" s="43">
        <v>0</v>
      </c>
      <c r="C6828" s="43" t="s">
        <v>6004</v>
      </c>
      <c r="D6828" s="43" t="s">
        <v>5907</v>
      </c>
      <c r="E6828" s="45" t="s">
        <v>6106</v>
      </c>
      <c r="F6828" s="274"/>
    </row>
    <row r="6829" spans="1:6" s="261" customFormat="1">
      <c r="A6829" s="43">
        <v>95386</v>
      </c>
      <c r="B6829" s="43">
        <v>0</v>
      </c>
      <c r="C6829" s="43" t="s">
        <v>5990</v>
      </c>
      <c r="D6829" s="43" t="s">
        <v>5908</v>
      </c>
      <c r="E6829" s="45" t="s">
        <v>6092</v>
      </c>
      <c r="F6829" s="274"/>
    </row>
    <row r="6830" spans="1:6" s="261" customFormat="1">
      <c r="A6830" s="43">
        <v>95387</v>
      </c>
      <c r="B6830" s="43">
        <v>0</v>
      </c>
      <c r="C6830" s="43" t="s">
        <v>12786</v>
      </c>
      <c r="D6830" s="43" t="s">
        <v>5909</v>
      </c>
      <c r="E6830" s="45" t="s">
        <v>12749</v>
      </c>
      <c r="F6830" s="274"/>
    </row>
    <row r="6831" spans="1:6" s="261" customFormat="1">
      <c r="A6831" s="43">
        <v>95388</v>
      </c>
      <c r="B6831" s="43">
        <v>0</v>
      </c>
      <c r="C6831" s="43" t="s">
        <v>6007</v>
      </c>
      <c r="D6831" s="43" t="s">
        <v>5910</v>
      </c>
      <c r="E6831" s="45" t="s">
        <v>6109</v>
      </c>
      <c r="F6831" s="274"/>
    </row>
    <row r="6832" spans="1:6" s="261" customFormat="1">
      <c r="A6832" s="43">
        <v>95389</v>
      </c>
      <c r="B6832" s="43">
        <v>0</v>
      </c>
      <c r="C6832" s="43" t="s">
        <v>5993</v>
      </c>
      <c r="D6832" s="43" t="s">
        <v>5911</v>
      </c>
      <c r="E6832" s="45" t="s">
        <v>6095</v>
      </c>
      <c r="F6832" s="274"/>
    </row>
    <row r="6833" spans="1:6" s="261" customFormat="1">
      <c r="A6833" s="43">
        <v>95390</v>
      </c>
      <c r="B6833" s="43">
        <v>0</v>
      </c>
      <c r="C6833" s="43" t="s">
        <v>6012</v>
      </c>
      <c r="D6833" s="43" t="s">
        <v>5912</v>
      </c>
      <c r="E6833" s="45" t="s">
        <v>6114</v>
      </c>
      <c r="F6833" s="274"/>
    </row>
    <row r="6834" spans="1:6" s="261" customFormat="1">
      <c r="A6834" s="43">
        <v>95391</v>
      </c>
      <c r="B6834" s="43">
        <v>0</v>
      </c>
      <c r="C6834" s="43" t="s">
        <v>6009</v>
      </c>
      <c r="D6834" s="43" t="s">
        <v>5913</v>
      </c>
      <c r="E6834" s="45" t="s">
        <v>6111</v>
      </c>
      <c r="F6834" s="274"/>
    </row>
    <row r="6835" spans="1:6" s="261" customFormat="1">
      <c r="A6835" s="43">
        <v>95392</v>
      </c>
      <c r="B6835" s="43">
        <v>0</v>
      </c>
      <c r="C6835" s="43" t="s">
        <v>5996</v>
      </c>
      <c r="D6835" s="43" t="s">
        <v>5914</v>
      </c>
      <c r="E6835" s="45" t="s">
        <v>6098</v>
      </c>
      <c r="F6835" s="274"/>
    </row>
    <row r="6836" spans="1:6" s="261" customFormat="1">
      <c r="A6836" s="43">
        <v>95393</v>
      </c>
      <c r="B6836" s="43">
        <v>0</v>
      </c>
      <c r="C6836" s="43" t="s">
        <v>6013</v>
      </c>
      <c r="D6836" s="43" t="s">
        <v>5915</v>
      </c>
      <c r="E6836" s="45" t="s">
        <v>6115</v>
      </c>
      <c r="F6836" s="274"/>
    </row>
    <row r="6837" spans="1:6" s="261" customFormat="1">
      <c r="A6837" s="43">
        <v>95394</v>
      </c>
      <c r="B6837" s="43">
        <v>0</v>
      </c>
      <c r="C6837" s="43" t="s">
        <v>5965</v>
      </c>
      <c r="D6837" s="43" t="s">
        <v>5916</v>
      </c>
      <c r="E6837" s="45" t="s">
        <v>6067</v>
      </c>
      <c r="F6837" s="274"/>
    </row>
    <row r="6838" spans="1:6" s="261" customFormat="1">
      <c r="A6838" s="43">
        <v>95395</v>
      </c>
      <c r="B6838" s="43">
        <v>0</v>
      </c>
      <c r="C6838" s="43" t="s">
        <v>5999</v>
      </c>
      <c r="D6838" s="43" t="s">
        <v>5917</v>
      </c>
      <c r="E6838" s="45" t="s">
        <v>6101</v>
      </c>
      <c r="F6838" s="274"/>
    </row>
    <row r="6839" spans="1:6" s="261" customFormat="1">
      <c r="A6839" s="43">
        <v>95396</v>
      </c>
      <c r="B6839" s="43">
        <v>0</v>
      </c>
      <c r="C6839" s="43" t="s">
        <v>12774</v>
      </c>
      <c r="D6839" s="43" t="s">
        <v>5918</v>
      </c>
      <c r="E6839" s="45" t="s">
        <v>12737</v>
      </c>
      <c r="F6839" s="274"/>
    </row>
    <row r="6840" spans="1:6" s="253" customFormat="1">
      <c r="A6840" s="40">
        <v>97001</v>
      </c>
      <c r="B6840" s="40">
        <v>0</v>
      </c>
      <c r="C6840" s="40" t="s">
        <v>11126</v>
      </c>
      <c r="D6840" s="40" t="s">
        <v>7687</v>
      </c>
      <c r="E6840" s="42" t="s">
        <v>11059</v>
      </c>
      <c r="F6840" s="267"/>
    </row>
    <row r="6841" spans="1:6" s="253" customFormat="1">
      <c r="A6841" s="40">
        <v>97002</v>
      </c>
      <c r="B6841" s="40">
        <v>0</v>
      </c>
      <c r="C6841" s="40" t="s">
        <v>11127</v>
      </c>
      <c r="D6841" s="40" t="s">
        <v>7688</v>
      </c>
      <c r="E6841" s="42" t="s">
        <v>11060</v>
      </c>
      <c r="F6841" s="267"/>
    </row>
    <row r="6842" spans="1:6" s="253" customFormat="1">
      <c r="A6842" s="40">
        <v>97003</v>
      </c>
      <c r="B6842" s="40">
        <v>0</v>
      </c>
      <c r="C6842" s="40" t="s">
        <v>12882</v>
      </c>
      <c r="D6842" s="40" t="s">
        <v>7689</v>
      </c>
      <c r="E6842" s="42" t="s">
        <v>12814</v>
      </c>
      <c r="F6842" s="267"/>
    </row>
    <row r="6843" spans="1:6" s="253" customFormat="1">
      <c r="A6843" s="40">
        <v>97004</v>
      </c>
      <c r="B6843" s="40">
        <v>0</v>
      </c>
      <c r="C6843" s="40" t="s">
        <v>11126</v>
      </c>
      <c r="D6843" s="40" t="s">
        <v>7690</v>
      </c>
      <c r="E6843" s="42" t="s">
        <v>11059</v>
      </c>
      <c r="F6843" s="267"/>
    </row>
    <row r="6844" spans="1:6" s="253" customFormat="1">
      <c r="A6844" s="40">
        <v>97005</v>
      </c>
      <c r="B6844" s="40">
        <v>0</v>
      </c>
      <c r="C6844" s="40" t="s">
        <v>11127</v>
      </c>
      <c r="D6844" s="40" t="s">
        <v>7691</v>
      </c>
      <c r="E6844" s="42" t="s">
        <v>11060</v>
      </c>
      <c r="F6844" s="267"/>
    </row>
    <row r="6845" spans="1:6" s="253" customFormat="1">
      <c r="A6845" s="40">
        <v>97006</v>
      </c>
      <c r="B6845" s="40">
        <v>0</v>
      </c>
      <c r="C6845" s="40" t="s">
        <v>12882</v>
      </c>
      <c r="D6845" s="40" t="s">
        <v>7692</v>
      </c>
      <c r="E6845" s="42" t="s">
        <v>12814</v>
      </c>
      <c r="F6845" s="267"/>
    </row>
    <row r="6846" spans="1:6" s="253" customFormat="1">
      <c r="A6846" s="40">
        <v>97007</v>
      </c>
      <c r="B6846" s="40">
        <v>0</v>
      </c>
      <c r="C6846" s="40" t="s">
        <v>11126</v>
      </c>
      <c r="D6846" s="40" t="s">
        <v>7693</v>
      </c>
      <c r="E6846" s="42" t="s">
        <v>11059</v>
      </c>
      <c r="F6846" s="267"/>
    </row>
    <row r="6847" spans="1:6" s="253" customFormat="1">
      <c r="A6847" s="40">
        <v>97008</v>
      </c>
      <c r="B6847" s="40">
        <v>0</v>
      </c>
      <c r="C6847" s="40" t="s">
        <v>11128</v>
      </c>
      <c r="D6847" s="40" t="s">
        <v>7694</v>
      </c>
      <c r="E6847" s="42" t="s">
        <v>11061</v>
      </c>
      <c r="F6847" s="267"/>
    </row>
    <row r="6848" spans="1:6" s="253" customFormat="1">
      <c r="A6848" s="40">
        <v>97009</v>
      </c>
      <c r="B6848" s="40">
        <v>0</v>
      </c>
      <c r="C6848" s="40" t="s">
        <v>12883</v>
      </c>
      <c r="D6848" s="40" t="s">
        <v>7695</v>
      </c>
      <c r="E6848" s="42" t="s">
        <v>12815</v>
      </c>
      <c r="F6848" s="267"/>
    </row>
    <row r="6849" spans="1:6" s="253" customFormat="1">
      <c r="A6849" s="40">
        <v>97010</v>
      </c>
      <c r="B6849" s="40">
        <v>0</v>
      </c>
      <c r="C6849" s="40" t="s">
        <v>11126</v>
      </c>
      <c r="D6849" s="40" t="s">
        <v>7696</v>
      </c>
      <c r="E6849" s="42" t="s">
        <v>11059</v>
      </c>
      <c r="F6849" s="267"/>
    </row>
    <row r="6850" spans="1:6" s="253" customFormat="1">
      <c r="A6850" s="40">
        <v>97011</v>
      </c>
      <c r="B6850" s="40">
        <v>0</v>
      </c>
      <c r="C6850" s="40" t="s">
        <v>11128</v>
      </c>
      <c r="D6850" s="40" t="s">
        <v>7697</v>
      </c>
      <c r="E6850" s="42" t="s">
        <v>11061</v>
      </c>
      <c r="F6850" s="267"/>
    </row>
    <row r="6851" spans="1:6" s="253" customFormat="1">
      <c r="A6851" s="40">
        <v>97012</v>
      </c>
      <c r="B6851" s="40">
        <v>0</v>
      </c>
      <c r="C6851" s="40" t="s">
        <v>12884</v>
      </c>
      <c r="D6851" s="40" t="s">
        <v>7698</v>
      </c>
      <c r="E6851" s="42" t="s">
        <v>12816</v>
      </c>
      <c r="F6851" s="267"/>
    </row>
    <row r="6852" spans="1:6" s="253" customFormat="1">
      <c r="A6852" s="40">
        <v>97013</v>
      </c>
      <c r="B6852" s="40">
        <v>0</v>
      </c>
      <c r="C6852" s="40" t="s">
        <v>11126</v>
      </c>
      <c r="D6852" s="40" t="s">
        <v>7699</v>
      </c>
      <c r="E6852" s="42" t="s">
        <v>11059</v>
      </c>
      <c r="F6852" s="267"/>
    </row>
    <row r="6853" spans="1:6" s="253" customFormat="1">
      <c r="A6853" s="40">
        <v>97014</v>
      </c>
      <c r="B6853" s="40">
        <v>0</v>
      </c>
      <c r="C6853" s="40" t="s">
        <v>11129</v>
      </c>
      <c r="D6853" s="40" t="s">
        <v>7700</v>
      </c>
      <c r="E6853" s="42" t="s">
        <v>11062</v>
      </c>
      <c r="F6853" s="267"/>
    </row>
    <row r="6854" spans="1:6" s="253" customFormat="1">
      <c r="A6854" s="40">
        <v>97015</v>
      </c>
      <c r="B6854" s="40">
        <v>0</v>
      </c>
      <c r="C6854" s="40" t="s">
        <v>12885</v>
      </c>
      <c r="D6854" s="40" t="s">
        <v>7701</v>
      </c>
      <c r="E6854" s="42" t="s">
        <v>12817</v>
      </c>
      <c r="F6854" s="267"/>
    </row>
    <row r="6855" spans="1:6" s="253" customFormat="1">
      <c r="A6855" s="40">
        <v>97016</v>
      </c>
      <c r="B6855" s="40">
        <v>0</v>
      </c>
      <c r="C6855" s="40" t="s">
        <v>11126</v>
      </c>
      <c r="D6855" s="40" t="s">
        <v>7702</v>
      </c>
      <c r="E6855" s="42" t="s">
        <v>11059</v>
      </c>
      <c r="F6855" s="267"/>
    </row>
    <row r="6856" spans="1:6" s="253" customFormat="1">
      <c r="A6856" s="40">
        <v>97017</v>
      </c>
      <c r="B6856" s="40">
        <v>0</v>
      </c>
      <c r="C6856" s="40" t="s">
        <v>11129</v>
      </c>
      <c r="D6856" s="40" t="s">
        <v>7703</v>
      </c>
      <c r="E6856" s="42" t="s">
        <v>11062</v>
      </c>
      <c r="F6856" s="267"/>
    </row>
    <row r="6857" spans="1:6" s="253" customFormat="1">
      <c r="A6857" s="40">
        <v>97018</v>
      </c>
      <c r="B6857" s="40">
        <v>0</v>
      </c>
      <c r="C6857" s="40" t="s">
        <v>12885</v>
      </c>
      <c r="D6857" s="40" t="s">
        <v>7704</v>
      </c>
      <c r="E6857" s="42" t="s">
        <v>12817</v>
      </c>
      <c r="F6857" s="267"/>
    </row>
    <row r="6858" spans="1:6" s="253" customFormat="1">
      <c r="A6858" s="40">
        <v>97019</v>
      </c>
      <c r="B6858" s="40">
        <v>0</v>
      </c>
      <c r="C6858" s="40" t="s">
        <v>11126</v>
      </c>
      <c r="D6858" s="40" t="s">
        <v>7705</v>
      </c>
      <c r="E6858" s="42" t="s">
        <v>11059</v>
      </c>
      <c r="F6858" s="267"/>
    </row>
    <row r="6859" spans="1:6" s="253" customFormat="1">
      <c r="A6859" s="40">
        <v>97020</v>
      </c>
      <c r="B6859" s="40">
        <v>0</v>
      </c>
      <c r="C6859" s="40" t="s">
        <v>11130</v>
      </c>
      <c r="D6859" s="40" t="s">
        <v>7706</v>
      </c>
      <c r="E6859" s="42" t="s">
        <v>11063</v>
      </c>
      <c r="F6859" s="267"/>
    </row>
    <row r="6860" spans="1:6" s="253" customFormat="1">
      <c r="A6860" s="40">
        <v>97021</v>
      </c>
      <c r="B6860" s="40">
        <v>0</v>
      </c>
      <c r="C6860" s="40" t="s">
        <v>12886</v>
      </c>
      <c r="D6860" s="40" t="s">
        <v>7707</v>
      </c>
      <c r="E6860" s="42" t="s">
        <v>12818</v>
      </c>
      <c r="F6860" s="267"/>
    </row>
    <row r="6861" spans="1:6" s="253" customFormat="1">
      <c r="A6861" s="40">
        <v>97022</v>
      </c>
      <c r="B6861" s="40">
        <v>0</v>
      </c>
      <c r="C6861" s="40" t="s">
        <v>11126</v>
      </c>
      <c r="D6861" s="40" t="s">
        <v>7708</v>
      </c>
      <c r="E6861" s="42" t="s">
        <v>11059</v>
      </c>
      <c r="F6861" s="267"/>
    </row>
    <row r="6862" spans="1:6" s="253" customFormat="1">
      <c r="A6862" s="40">
        <v>97023</v>
      </c>
      <c r="B6862" s="40">
        <v>0</v>
      </c>
      <c r="C6862" s="40" t="s">
        <v>11130</v>
      </c>
      <c r="D6862" s="40" t="s">
        <v>7709</v>
      </c>
      <c r="E6862" s="42" t="s">
        <v>11063</v>
      </c>
      <c r="F6862" s="267"/>
    </row>
    <row r="6863" spans="1:6" s="253" customFormat="1">
      <c r="A6863" s="40">
        <v>97024</v>
      </c>
      <c r="B6863" s="40">
        <v>0</v>
      </c>
      <c r="C6863" s="40" t="s">
        <v>12886</v>
      </c>
      <c r="D6863" s="40" t="s">
        <v>7710</v>
      </c>
      <c r="E6863" s="42" t="s">
        <v>12818</v>
      </c>
      <c r="F6863" s="267"/>
    </row>
    <row r="6864" spans="1:6" s="253" customFormat="1">
      <c r="A6864" s="40">
        <v>97025</v>
      </c>
      <c r="B6864" s="40">
        <v>0</v>
      </c>
      <c r="C6864" s="40" t="s">
        <v>11126</v>
      </c>
      <c r="D6864" s="40" t="s">
        <v>7711</v>
      </c>
      <c r="E6864" s="42" t="s">
        <v>11059</v>
      </c>
      <c r="F6864" s="267"/>
    </row>
    <row r="6865" spans="1:6" s="253" customFormat="1">
      <c r="A6865" s="40">
        <v>97026</v>
      </c>
      <c r="B6865" s="40">
        <v>0</v>
      </c>
      <c r="C6865" s="40" t="s">
        <v>11131</v>
      </c>
      <c r="D6865" s="40" t="s">
        <v>7712</v>
      </c>
      <c r="E6865" s="42" t="s">
        <v>11064</v>
      </c>
      <c r="F6865" s="267"/>
    </row>
    <row r="6866" spans="1:6" s="253" customFormat="1">
      <c r="A6866" s="40">
        <v>97027</v>
      </c>
      <c r="B6866" s="40">
        <v>0</v>
      </c>
      <c r="C6866" s="40" t="s">
        <v>12887</v>
      </c>
      <c r="D6866" s="40" t="s">
        <v>7713</v>
      </c>
      <c r="E6866" s="42" t="s">
        <v>12819</v>
      </c>
      <c r="F6866" s="267"/>
    </row>
    <row r="6867" spans="1:6" s="253" customFormat="1">
      <c r="A6867" s="40">
        <v>97028</v>
      </c>
      <c r="B6867" s="40">
        <v>0</v>
      </c>
      <c r="C6867" s="40" t="s">
        <v>11126</v>
      </c>
      <c r="D6867" s="40" t="s">
        <v>7714</v>
      </c>
      <c r="E6867" s="42" t="s">
        <v>11059</v>
      </c>
      <c r="F6867" s="267"/>
    </row>
    <row r="6868" spans="1:6" s="253" customFormat="1">
      <c r="A6868" s="40">
        <v>97029</v>
      </c>
      <c r="B6868" s="40">
        <v>0</v>
      </c>
      <c r="C6868" s="40" t="s">
        <v>11131</v>
      </c>
      <c r="D6868" s="40" t="s">
        <v>7715</v>
      </c>
      <c r="E6868" s="42" t="s">
        <v>11064</v>
      </c>
      <c r="F6868" s="267"/>
    </row>
    <row r="6869" spans="1:6" s="253" customFormat="1">
      <c r="A6869" s="40">
        <v>97030</v>
      </c>
      <c r="B6869" s="40">
        <v>0</v>
      </c>
      <c r="C6869" s="40" t="s">
        <v>12887</v>
      </c>
      <c r="D6869" s="40" t="s">
        <v>7716</v>
      </c>
      <c r="E6869" s="42" t="s">
        <v>12819</v>
      </c>
      <c r="F6869" s="267"/>
    </row>
    <row r="6870" spans="1:6" s="253" customFormat="1">
      <c r="A6870" s="40">
        <v>97031</v>
      </c>
      <c r="B6870" s="40">
        <v>0</v>
      </c>
      <c r="C6870" s="40" t="s">
        <v>11126</v>
      </c>
      <c r="D6870" s="40" t="s">
        <v>7717</v>
      </c>
      <c r="E6870" s="42" t="s">
        <v>11059</v>
      </c>
      <c r="F6870" s="267"/>
    </row>
    <row r="6871" spans="1:6" s="253" customFormat="1">
      <c r="A6871" s="40">
        <v>97032</v>
      </c>
      <c r="B6871" s="40">
        <v>0</v>
      </c>
      <c r="C6871" s="40" t="s">
        <v>11132</v>
      </c>
      <c r="D6871" s="40" t="s">
        <v>7718</v>
      </c>
      <c r="E6871" s="42" t="s">
        <v>11065</v>
      </c>
      <c r="F6871" s="267"/>
    </row>
    <row r="6872" spans="1:6" s="253" customFormat="1">
      <c r="A6872" s="40">
        <v>97033</v>
      </c>
      <c r="B6872" s="40">
        <v>0</v>
      </c>
      <c r="C6872" s="40" t="s">
        <v>12888</v>
      </c>
      <c r="D6872" s="40" t="s">
        <v>7719</v>
      </c>
      <c r="E6872" s="42" t="s">
        <v>12820</v>
      </c>
      <c r="F6872" s="267"/>
    </row>
    <row r="6873" spans="1:6" s="253" customFormat="1">
      <c r="A6873" s="40">
        <v>97034</v>
      </c>
      <c r="B6873" s="40">
        <v>0</v>
      </c>
      <c r="C6873" s="40" t="s">
        <v>11126</v>
      </c>
      <c r="D6873" s="40" t="s">
        <v>7720</v>
      </c>
      <c r="E6873" s="42" t="s">
        <v>11059</v>
      </c>
      <c r="F6873" s="267"/>
    </row>
    <row r="6874" spans="1:6" s="253" customFormat="1">
      <c r="A6874" s="40">
        <v>97035</v>
      </c>
      <c r="B6874" s="40">
        <v>0</v>
      </c>
      <c r="C6874" s="40" t="s">
        <v>11132</v>
      </c>
      <c r="D6874" s="40" t="s">
        <v>7721</v>
      </c>
      <c r="E6874" s="42" t="s">
        <v>11065</v>
      </c>
      <c r="F6874" s="267"/>
    </row>
    <row r="6875" spans="1:6" s="253" customFormat="1">
      <c r="A6875" s="40">
        <v>97036</v>
      </c>
      <c r="B6875" s="40">
        <v>0</v>
      </c>
      <c r="C6875" s="40" t="s">
        <v>12889</v>
      </c>
      <c r="D6875" s="40" t="s">
        <v>7722</v>
      </c>
      <c r="E6875" s="42" t="s">
        <v>12821</v>
      </c>
      <c r="F6875" s="267"/>
    </row>
    <row r="6876" spans="1:6" s="253" customFormat="1">
      <c r="A6876" s="40">
        <v>97037</v>
      </c>
      <c r="B6876" s="40">
        <v>0</v>
      </c>
      <c r="C6876" s="40" t="s">
        <v>11126</v>
      </c>
      <c r="D6876" s="40" t="s">
        <v>7723</v>
      </c>
      <c r="E6876" s="42" t="s">
        <v>11059</v>
      </c>
      <c r="F6876" s="267"/>
    </row>
    <row r="6877" spans="1:6" s="253" customFormat="1">
      <c r="A6877" s="40">
        <v>97038</v>
      </c>
      <c r="B6877" s="40">
        <v>0</v>
      </c>
      <c r="C6877" s="40" t="s">
        <v>11133</v>
      </c>
      <c r="D6877" s="40" t="s">
        <v>7724</v>
      </c>
      <c r="E6877" s="42" t="s">
        <v>11066</v>
      </c>
      <c r="F6877" s="267"/>
    </row>
    <row r="6878" spans="1:6" s="253" customFormat="1">
      <c r="A6878" s="40">
        <v>97039</v>
      </c>
      <c r="B6878" s="40">
        <v>0</v>
      </c>
      <c r="C6878" s="40" t="s">
        <v>12890</v>
      </c>
      <c r="D6878" s="40" t="s">
        <v>7725</v>
      </c>
      <c r="E6878" s="42" t="s">
        <v>12822</v>
      </c>
      <c r="F6878" s="267"/>
    </row>
    <row r="6879" spans="1:6" s="253" customFormat="1">
      <c r="A6879" s="40">
        <v>97040</v>
      </c>
      <c r="B6879" s="40">
        <v>0</v>
      </c>
      <c r="C6879" s="40" t="s">
        <v>11126</v>
      </c>
      <c r="D6879" s="40" t="s">
        <v>7726</v>
      </c>
      <c r="E6879" s="42" t="s">
        <v>11059</v>
      </c>
      <c r="F6879" s="267"/>
    </row>
    <row r="6880" spans="1:6" s="253" customFormat="1">
      <c r="A6880" s="40">
        <v>97041</v>
      </c>
      <c r="B6880" s="40">
        <v>0</v>
      </c>
      <c r="C6880" s="40" t="s">
        <v>11133</v>
      </c>
      <c r="D6880" s="40" t="s">
        <v>7727</v>
      </c>
      <c r="E6880" s="42" t="s">
        <v>11066</v>
      </c>
      <c r="F6880" s="267"/>
    </row>
    <row r="6881" spans="1:6" s="253" customFormat="1">
      <c r="A6881" s="40">
        <v>97042</v>
      </c>
      <c r="B6881" s="40">
        <v>0</v>
      </c>
      <c r="C6881" s="40" t="s">
        <v>12890</v>
      </c>
      <c r="D6881" s="40" t="s">
        <v>7728</v>
      </c>
      <c r="E6881" s="42" t="s">
        <v>12822</v>
      </c>
      <c r="F6881" s="267"/>
    </row>
    <row r="6882" spans="1:6" s="253" customFormat="1">
      <c r="A6882" s="40">
        <v>97043</v>
      </c>
      <c r="B6882" s="40">
        <v>0</v>
      </c>
      <c r="C6882" s="40" t="s">
        <v>11126</v>
      </c>
      <c r="D6882" s="40" t="s">
        <v>7729</v>
      </c>
      <c r="E6882" s="42" t="s">
        <v>11059</v>
      </c>
      <c r="F6882" s="267"/>
    </row>
    <row r="6883" spans="1:6" s="253" customFormat="1">
      <c r="A6883" s="40">
        <v>97044</v>
      </c>
      <c r="B6883" s="40">
        <v>0</v>
      </c>
      <c r="C6883" s="40" t="s">
        <v>11134</v>
      </c>
      <c r="D6883" s="40" t="s">
        <v>7730</v>
      </c>
      <c r="E6883" s="42" t="s">
        <v>11067</v>
      </c>
      <c r="F6883" s="267"/>
    </row>
    <row r="6884" spans="1:6" s="253" customFormat="1">
      <c r="A6884" s="40">
        <v>97045</v>
      </c>
      <c r="B6884" s="40">
        <v>0</v>
      </c>
      <c r="C6884" s="40" t="s">
        <v>12891</v>
      </c>
      <c r="D6884" s="40" t="s">
        <v>7731</v>
      </c>
      <c r="E6884" s="42" t="s">
        <v>12823</v>
      </c>
      <c r="F6884" s="267"/>
    </row>
    <row r="6885" spans="1:6" s="253" customFormat="1">
      <c r="A6885" s="40">
        <v>97046</v>
      </c>
      <c r="B6885" s="40">
        <v>0</v>
      </c>
      <c r="C6885" s="40" t="s">
        <v>11126</v>
      </c>
      <c r="D6885" s="40" t="s">
        <v>7732</v>
      </c>
      <c r="E6885" s="42" t="s">
        <v>11059</v>
      </c>
      <c r="F6885" s="267"/>
    </row>
    <row r="6886" spans="1:6" s="253" customFormat="1">
      <c r="A6886" s="40">
        <v>97047</v>
      </c>
      <c r="B6886" s="40">
        <v>0</v>
      </c>
      <c r="C6886" s="40" t="s">
        <v>11134</v>
      </c>
      <c r="D6886" s="40" t="s">
        <v>7733</v>
      </c>
      <c r="E6886" s="42" t="s">
        <v>11067</v>
      </c>
      <c r="F6886" s="267"/>
    </row>
    <row r="6887" spans="1:6" s="253" customFormat="1">
      <c r="A6887" s="40">
        <v>97048</v>
      </c>
      <c r="B6887" s="40">
        <v>0</v>
      </c>
      <c r="C6887" s="40" t="s">
        <v>12891</v>
      </c>
      <c r="D6887" s="40" t="s">
        <v>7734</v>
      </c>
      <c r="E6887" s="42" t="s">
        <v>12823</v>
      </c>
      <c r="F6887" s="267"/>
    </row>
    <row r="6888" spans="1:6" s="253" customFormat="1">
      <c r="A6888" s="40">
        <v>97049</v>
      </c>
      <c r="B6888" s="40">
        <v>0</v>
      </c>
      <c r="C6888" s="40" t="s">
        <v>11126</v>
      </c>
      <c r="D6888" s="40" t="s">
        <v>7735</v>
      </c>
      <c r="E6888" s="42" t="s">
        <v>11059</v>
      </c>
      <c r="F6888" s="267"/>
    </row>
    <row r="6889" spans="1:6" s="253" customFormat="1">
      <c r="A6889" s="40">
        <v>97050</v>
      </c>
      <c r="B6889" s="40">
        <v>0</v>
      </c>
      <c r="C6889" s="40" t="s">
        <v>11135</v>
      </c>
      <c r="D6889" s="40" t="s">
        <v>7736</v>
      </c>
      <c r="E6889" s="42" t="s">
        <v>11068</v>
      </c>
      <c r="F6889" s="267"/>
    </row>
    <row r="6890" spans="1:6" s="253" customFormat="1">
      <c r="A6890" s="40">
        <v>97051</v>
      </c>
      <c r="B6890" s="40">
        <v>0</v>
      </c>
      <c r="C6890" s="40" t="s">
        <v>12892</v>
      </c>
      <c r="D6890" s="40" t="s">
        <v>7737</v>
      </c>
      <c r="E6890" s="42" t="s">
        <v>12824</v>
      </c>
      <c r="F6890" s="267"/>
    </row>
    <row r="6891" spans="1:6" s="253" customFormat="1">
      <c r="A6891" s="40">
        <v>97052</v>
      </c>
      <c r="B6891" s="40">
        <v>0</v>
      </c>
      <c r="C6891" s="40" t="s">
        <v>11126</v>
      </c>
      <c r="D6891" s="40" t="s">
        <v>7738</v>
      </c>
      <c r="E6891" s="42" t="s">
        <v>11059</v>
      </c>
      <c r="F6891" s="267"/>
    </row>
    <row r="6892" spans="1:6" s="253" customFormat="1">
      <c r="A6892" s="40">
        <v>97053</v>
      </c>
      <c r="B6892" s="40">
        <v>0</v>
      </c>
      <c r="C6892" s="40" t="s">
        <v>11135</v>
      </c>
      <c r="D6892" s="40" t="s">
        <v>7739</v>
      </c>
      <c r="E6892" s="42" t="s">
        <v>11068</v>
      </c>
      <c r="F6892" s="267"/>
    </row>
    <row r="6893" spans="1:6" s="253" customFormat="1">
      <c r="A6893" s="40">
        <v>97054</v>
      </c>
      <c r="B6893" s="40">
        <v>0</v>
      </c>
      <c r="C6893" s="40" t="s">
        <v>12892</v>
      </c>
      <c r="D6893" s="40" t="s">
        <v>7740</v>
      </c>
      <c r="E6893" s="42" t="s">
        <v>12824</v>
      </c>
      <c r="F6893" s="267"/>
    </row>
    <row r="6894" spans="1:6" s="253" customFormat="1">
      <c r="A6894" s="40">
        <v>97055</v>
      </c>
      <c r="B6894" s="40">
        <v>0</v>
      </c>
      <c r="C6894" s="40" t="s">
        <v>11126</v>
      </c>
      <c r="D6894" s="40" t="s">
        <v>7741</v>
      </c>
      <c r="E6894" s="42" t="s">
        <v>11059</v>
      </c>
      <c r="F6894" s="267"/>
    </row>
    <row r="6895" spans="1:6" s="253" customFormat="1">
      <c r="A6895" s="40">
        <v>97056</v>
      </c>
      <c r="B6895" s="40">
        <v>0</v>
      </c>
      <c r="C6895" s="40" t="s">
        <v>11136</v>
      </c>
      <c r="D6895" s="40" t="s">
        <v>7742</v>
      </c>
      <c r="E6895" s="42" t="s">
        <v>11069</v>
      </c>
      <c r="F6895" s="267"/>
    </row>
    <row r="6896" spans="1:6" s="253" customFormat="1">
      <c r="A6896" s="40">
        <v>97057</v>
      </c>
      <c r="B6896" s="40">
        <v>0</v>
      </c>
      <c r="C6896" s="40" t="s">
        <v>12893</v>
      </c>
      <c r="D6896" s="40" t="s">
        <v>7743</v>
      </c>
      <c r="E6896" s="42" t="s">
        <v>12825</v>
      </c>
      <c r="F6896" s="267"/>
    </row>
    <row r="6897" spans="1:6" s="253" customFormat="1">
      <c r="A6897" s="40">
        <v>97058</v>
      </c>
      <c r="B6897" s="40">
        <v>0</v>
      </c>
      <c r="C6897" s="40" t="s">
        <v>11126</v>
      </c>
      <c r="D6897" s="40" t="s">
        <v>7744</v>
      </c>
      <c r="E6897" s="42" t="s">
        <v>11059</v>
      </c>
      <c r="F6897" s="267"/>
    </row>
    <row r="6898" spans="1:6" s="253" customFormat="1">
      <c r="A6898" s="40">
        <v>97059</v>
      </c>
      <c r="B6898" s="40">
        <v>0</v>
      </c>
      <c r="C6898" s="40" t="s">
        <v>11136</v>
      </c>
      <c r="D6898" s="40" t="s">
        <v>7745</v>
      </c>
      <c r="E6898" s="42" t="s">
        <v>11069</v>
      </c>
      <c r="F6898" s="267"/>
    </row>
    <row r="6899" spans="1:6" s="253" customFormat="1">
      <c r="A6899" s="40">
        <v>97060</v>
      </c>
      <c r="B6899" s="40">
        <v>0</v>
      </c>
      <c r="C6899" s="40" t="s">
        <v>12893</v>
      </c>
      <c r="D6899" s="40" t="s">
        <v>7746</v>
      </c>
      <c r="E6899" s="42" t="s">
        <v>12825</v>
      </c>
      <c r="F6899" s="267"/>
    </row>
    <row r="6900" spans="1:6" s="253" customFormat="1">
      <c r="A6900" s="40">
        <v>97061</v>
      </c>
      <c r="B6900" s="40">
        <v>0</v>
      </c>
      <c r="C6900" s="40" t="s">
        <v>11126</v>
      </c>
      <c r="D6900" s="40" t="s">
        <v>7747</v>
      </c>
      <c r="E6900" s="42" t="s">
        <v>11059</v>
      </c>
      <c r="F6900" s="267"/>
    </row>
    <row r="6901" spans="1:6" s="253" customFormat="1">
      <c r="A6901" s="40">
        <v>97062</v>
      </c>
      <c r="B6901" s="40">
        <v>0</v>
      </c>
      <c r="C6901" s="40" t="s">
        <v>11137</v>
      </c>
      <c r="D6901" s="40" t="s">
        <v>7748</v>
      </c>
      <c r="E6901" s="42" t="s">
        <v>11070</v>
      </c>
      <c r="F6901" s="267"/>
    </row>
    <row r="6902" spans="1:6" s="253" customFormat="1">
      <c r="A6902" s="40">
        <v>97063</v>
      </c>
      <c r="B6902" s="40">
        <v>0</v>
      </c>
      <c r="C6902" s="40" t="s">
        <v>12894</v>
      </c>
      <c r="D6902" s="40" t="s">
        <v>7749</v>
      </c>
      <c r="E6902" s="42" t="s">
        <v>12826</v>
      </c>
      <c r="F6902" s="267"/>
    </row>
    <row r="6903" spans="1:6" s="253" customFormat="1">
      <c r="A6903" s="40">
        <v>97064</v>
      </c>
      <c r="B6903" s="40">
        <v>0</v>
      </c>
      <c r="C6903" s="40" t="s">
        <v>11126</v>
      </c>
      <c r="D6903" s="40" t="s">
        <v>7750</v>
      </c>
      <c r="E6903" s="42" t="s">
        <v>11059</v>
      </c>
      <c r="F6903" s="267"/>
    </row>
    <row r="6904" spans="1:6" s="253" customFormat="1">
      <c r="A6904" s="40">
        <v>97065</v>
      </c>
      <c r="B6904" s="40">
        <v>0</v>
      </c>
      <c r="C6904" s="40" t="s">
        <v>11137</v>
      </c>
      <c r="D6904" s="40" t="s">
        <v>7751</v>
      </c>
      <c r="E6904" s="42" t="s">
        <v>11070</v>
      </c>
      <c r="F6904" s="267"/>
    </row>
    <row r="6905" spans="1:6" s="253" customFormat="1">
      <c r="A6905" s="40">
        <v>97066</v>
      </c>
      <c r="B6905" s="40">
        <v>0</v>
      </c>
      <c r="C6905" s="40" t="s">
        <v>12894</v>
      </c>
      <c r="D6905" s="40" t="s">
        <v>7752</v>
      </c>
      <c r="E6905" s="42" t="s">
        <v>12826</v>
      </c>
      <c r="F6905" s="267"/>
    </row>
    <row r="6906" spans="1:6" s="253" customFormat="1">
      <c r="A6906" s="40">
        <v>97067</v>
      </c>
      <c r="B6906" s="40">
        <v>0</v>
      </c>
      <c r="C6906" s="40" t="s">
        <v>11126</v>
      </c>
      <c r="D6906" s="40" t="s">
        <v>7753</v>
      </c>
      <c r="E6906" s="42" t="s">
        <v>11059</v>
      </c>
      <c r="F6906" s="267"/>
    </row>
    <row r="6907" spans="1:6" s="253" customFormat="1">
      <c r="A6907" s="40">
        <v>97068</v>
      </c>
      <c r="B6907" s="40">
        <v>0</v>
      </c>
      <c r="C6907" s="40" t="s">
        <v>11138</v>
      </c>
      <c r="D6907" s="40" t="s">
        <v>7754</v>
      </c>
      <c r="E6907" s="42" t="s">
        <v>11071</v>
      </c>
      <c r="F6907" s="267"/>
    </row>
    <row r="6908" spans="1:6" s="253" customFormat="1">
      <c r="A6908" s="40">
        <v>97069</v>
      </c>
      <c r="B6908" s="40">
        <v>0</v>
      </c>
      <c r="C6908" s="40" t="s">
        <v>12895</v>
      </c>
      <c r="D6908" s="40" t="s">
        <v>7755</v>
      </c>
      <c r="E6908" s="42" t="s">
        <v>12827</v>
      </c>
      <c r="F6908" s="267"/>
    </row>
    <row r="6909" spans="1:6" s="253" customFormat="1">
      <c r="A6909" s="40">
        <v>97070</v>
      </c>
      <c r="B6909" s="40">
        <v>0</v>
      </c>
      <c r="C6909" s="40" t="s">
        <v>11126</v>
      </c>
      <c r="D6909" s="40" t="s">
        <v>7756</v>
      </c>
      <c r="E6909" s="42" t="s">
        <v>11059</v>
      </c>
      <c r="F6909" s="267"/>
    </row>
    <row r="6910" spans="1:6" s="253" customFormat="1">
      <c r="A6910" s="40">
        <v>97071</v>
      </c>
      <c r="B6910" s="40">
        <v>0</v>
      </c>
      <c r="C6910" s="40" t="s">
        <v>11138</v>
      </c>
      <c r="D6910" s="40" t="s">
        <v>7757</v>
      </c>
      <c r="E6910" s="42" t="s">
        <v>11071</v>
      </c>
      <c r="F6910" s="267"/>
    </row>
    <row r="6911" spans="1:6" s="253" customFormat="1">
      <c r="A6911" s="40">
        <v>97072</v>
      </c>
      <c r="B6911" s="40">
        <v>0</v>
      </c>
      <c r="C6911" s="40" t="s">
        <v>12895</v>
      </c>
      <c r="D6911" s="40" t="s">
        <v>7758</v>
      </c>
      <c r="E6911" s="42" t="s">
        <v>12827</v>
      </c>
      <c r="F6911" s="267"/>
    </row>
    <row r="6912" spans="1:6" s="253" customFormat="1">
      <c r="A6912" s="40">
        <v>97073</v>
      </c>
      <c r="B6912" s="40">
        <v>0</v>
      </c>
      <c r="C6912" s="40" t="s">
        <v>11126</v>
      </c>
      <c r="D6912" s="40" t="s">
        <v>7759</v>
      </c>
      <c r="E6912" s="42" t="s">
        <v>11059</v>
      </c>
      <c r="F6912" s="267"/>
    </row>
    <row r="6913" spans="1:6" s="253" customFormat="1">
      <c r="A6913" s="40">
        <v>97074</v>
      </c>
      <c r="B6913" s="40">
        <v>0</v>
      </c>
      <c r="C6913" s="40" t="s">
        <v>11139</v>
      </c>
      <c r="D6913" s="40" t="s">
        <v>7760</v>
      </c>
      <c r="E6913" s="42" t="s">
        <v>11072</v>
      </c>
      <c r="F6913" s="267"/>
    </row>
    <row r="6914" spans="1:6" s="253" customFormat="1">
      <c r="A6914" s="40">
        <v>97075</v>
      </c>
      <c r="B6914" s="40">
        <v>0</v>
      </c>
      <c r="C6914" s="40" t="s">
        <v>12896</v>
      </c>
      <c r="D6914" s="40" t="s">
        <v>7761</v>
      </c>
      <c r="E6914" s="42" t="s">
        <v>12828</v>
      </c>
      <c r="F6914" s="267"/>
    </row>
    <row r="6915" spans="1:6" s="253" customFormat="1">
      <c r="A6915" s="40">
        <v>97076</v>
      </c>
      <c r="B6915" s="40">
        <v>0</v>
      </c>
      <c r="C6915" s="40" t="s">
        <v>11126</v>
      </c>
      <c r="D6915" s="40" t="s">
        <v>7762</v>
      </c>
      <c r="E6915" s="42" t="s">
        <v>11059</v>
      </c>
      <c r="F6915" s="267"/>
    </row>
    <row r="6916" spans="1:6" s="253" customFormat="1">
      <c r="A6916" s="40">
        <v>97077</v>
      </c>
      <c r="B6916" s="40">
        <v>0</v>
      </c>
      <c r="C6916" s="40" t="s">
        <v>11139</v>
      </c>
      <c r="D6916" s="40" t="s">
        <v>7763</v>
      </c>
      <c r="E6916" s="42" t="s">
        <v>11072</v>
      </c>
      <c r="F6916" s="267"/>
    </row>
    <row r="6917" spans="1:6" s="253" customFormat="1">
      <c r="A6917" s="40">
        <v>97078</v>
      </c>
      <c r="B6917" s="40">
        <v>0</v>
      </c>
      <c r="C6917" s="40" t="s">
        <v>12896</v>
      </c>
      <c r="D6917" s="40" t="s">
        <v>7764</v>
      </c>
      <c r="E6917" s="42" t="s">
        <v>12828</v>
      </c>
      <c r="F6917" s="267"/>
    </row>
    <row r="6918" spans="1:6" s="253" customFormat="1">
      <c r="A6918" s="40">
        <v>97079</v>
      </c>
      <c r="B6918" s="40">
        <v>0</v>
      </c>
      <c r="C6918" s="40" t="s">
        <v>11126</v>
      </c>
      <c r="D6918" s="40" t="s">
        <v>7765</v>
      </c>
      <c r="E6918" s="42" t="s">
        <v>11059</v>
      </c>
      <c r="F6918" s="267"/>
    </row>
    <row r="6919" spans="1:6" s="253" customFormat="1">
      <c r="A6919" s="40">
        <v>97080</v>
      </c>
      <c r="B6919" s="40">
        <v>0</v>
      </c>
      <c r="C6919" s="40" t="s">
        <v>11140</v>
      </c>
      <c r="D6919" s="40" t="s">
        <v>7766</v>
      </c>
      <c r="E6919" s="42" t="s">
        <v>11073</v>
      </c>
      <c r="F6919" s="267"/>
    </row>
    <row r="6920" spans="1:6" s="253" customFormat="1">
      <c r="A6920" s="40">
        <v>97081</v>
      </c>
      <c r="B6920" s="40">
        <v>0</v>
      </c>
      <c r="C6920" s="40" t="s">
        <v>12897</v>
      </c>
      <c r="D6920" s="40" t="s">
        <v>7767</v>
      </c>
      <c r="E6920" s="42" t="s">
        <v>12829</v>
      </c>
      <c r="F6920" s="267"/>
    </row>
    <row r="6921" spans="1:6" s="253" customFormat="1">
      <c r="A6921" s="40">
        <v>97082</v>
      </c>
      <c r="B6921" s="40">
        <v>0</v>
      </c>
      <c r="C6921" s="40" t="s">
        <v>11126</v>
      </c>
      <c r="D6921" s="40" t="s">
        <v>7768</v>
      </c>
      <c r="E6921" s="42" t="s">
        <v>11059</v>
      </c>
      <c r="F6921" s="267"/>
    </row>
    <row r="6922" spans="1:6" s="253" customFormat="1">
      <c r="A6922" s="40">
        <v>97083</v>
      </c>
      <c r="B6922" s="40">
        <v>0</v>
      </c>
      <c r="C6922" s="40" t="s">
        <v>11140</v>
      </c>
      <c r="D6922" s="40" t="s">
        <v>7769</v>
      </c>
      <c r="E6922" s="42" t="s">
        <v>11073</v>
      </c>
      <c r="F6922" s="267"/>
    </row>
    <row r="6923" spans="1:6" s="253" customFormat="1">
      <c r="A6923" s="40">
        <v>97084</v>
      </c>
      <c r="B6923" s="40">
        <v>0</v>
      </c>
      <c r="C6923" s="40" t="s">
        <v>12897</v>
      </c>
      <c r="D6923" s="40" t="s">
        <v>7770</v>
      </c>
      <c r="E6923" s="42" t="s">
        <v>12829</v>
      </c>
      <c r="F6923" s="267"/>
    </row>
    <row r="6924" spans="1:6" s="253" customFormat="1">
      <c r="A6924" s="40">
        <v>97085</v>
      </c>
      <c r="B6924" s="40">
        <v>0</v>
      </c>
      <c r="C6924" s="40" t="s">
        <v>11126</v>
      </c>
      <c r="D6924" s="40" t="s">
        <v>7771</v>
      </c>
      <c r="E6924" s="42" t="s">
        <v>11059</v>
      </c>
      <c r="F6924" s="267"/>
    </row>
    <row r="6925" spans="1:6" s="253" customFormat="1">
      <c r="A6925" s="40">
        <v>97086</v>
      </c>
      <c r="B6925" s="40">
        <v>0</v>
      </c>
      <c r="C6925" s="40" t="s">
        <v>11141</v>
      </c>
      <c r="D6925" s="40" t="s">
        <v>7772</v>
      </c>
      <c r="E6925" s="42" t="s">
        <v>11074</v>
      </c>
      <c r="F6925" s="267"/>
    </row>
    <row r="6926" spans="1:6" s="253" customFormat="1">
      <c r="A6926" s="40">
        <v>97087</v>
      </c>
      <c r="B6926" s="40">
        <v>0</v>
      </c>
      <c r="C6926" s="40" t="s">
        <v>12898</v>
      </c>
      <c r="D6926" s="40" t="s">
        <v>7773</v>
      </c>
      <c r="E6926" s="42" t="s">
        <v>12830</v>
      </c>
      <c r="F6926" s="267"/>
    </row>
    <row r="6927" spans="1:6" s="253" customFormat="1">
      <c r="A6927" s="40">
        <v>97088</v>
      </c>
      <c r="B6927" s="40">
        <v>0</v>
      </c>
      <c r="C6927" s="40" t="s">
        <v>11126</v>
      </c>
      <c r="D6927" s="40" t="s">
        <v>7774</v>
      </c>
      <c r="E6927" s="42" t="s">
        <v>11059</v>
      </c>
      <c r="F6927" s="267"/>
    </row>
    <row r="6928" spans="1:6" s="253" customFormat="1">
      <c r="A6928" s="40">
        <v>97089</v>
      </c>
      <c r="B6928" s="40">
        <v>0</v>
      </c>
      <c r="C6928" s="40" t="s">
        <v>11141</v>
      </c>
      <c r="D6928" s="40" t="s">
        <v>7775</v>
      </c>
      <c r="E6928" s="42" t="s">
        <v>11074</v>
      </c>
      <c r="F6928" s="267"/>
    </row>
    <row r="6929" spans="1:6" s="253" customFormat="1">
      <c r="A6929" s="40">
        <v>97090</v>
      </c>
      <c r="B6929" s="40">
        <v>0</v>
      </c>
      <c r="C6929" s="40" t="s">
        <v>12898</v>
      </c>
      <c r="D6929" s="40" t="s">
        <v>7776</v>
      </c>
      <c r="E6929" s="42" t="s">
        <v>12830</v>
      </c>
      <c r="F6929" s="267"/>
    </row>
    <row r="6930" spans="1:6" s="253" customFormat="1">
      <c r="A6930" s="40">
        <v>97091</v>
      </c>
      <c r="B6930" s="40">
        <v>0</v>
      </c>
      <c r="C6930" s="40" t="s">
        <v>11126</v>
      </c>
      <c r="D6930" s="40" t="s">
        <v>7777</v>
      </c>
      <c r="E6930" s="42" t="s">
        <v>11059</v>
      </c>
      <c r="F6930" s="267"/>
    </row>
    <row r="6931" spans="1:6" s="253" customFormat="1">
      <c r="A6931" s="40">
        <v>97092</v>
      </c>
      <c r="B6931" s="40">
        <v>0</v>
      </c>
      <c r="C6931" s="40" t="s">
        <v>11142</v>
      </c>
      <c r="D6931" s="40" t="s">
        <v>7778</v>
      </c>
      <c r="E6931" s="42" t="s">
        <v>11075</v>
      </c>
      <c r="F6931" s="267"/>
    </row>
    <row r="6932" spans="1:6" s="253" customFormat="1">
      <c r="A6932" s="40">
        <v>97093</v>
      </c>
      <c r="B6932" s="40">
        <v>0</v>
      </c>
      <c r="C6932" s="40" t="s">
        <v>12899</v>
      </c>
      <c r="D6932" s="40" t="s">
        <v>7779</v>
      </c>
      <c r="E6932" s="42" t="s">
        <v>12831</v>
      </c>
      <c r="F6932" s="267"/>
    </row>
    <row r="6933" spans="1:6" s="253" customFormat="1">
      <c r="A6933" s="40">
        <v>97094</v>
      </c>
      <c r="B6933" s="40">
        <v>0</v>
      </c>
      <c r="C6933" s="40" t="s">
        <v>11126</v>
      </c>
      <c r="D6933" s="40" t="s">
        <v>7780</v>
      </c>
      <c r="E6933" s="42" t="s">
        <v>11059</v>
      </c>
      <c r="F6933" s="267"/>
    </row>
    <row r="6934" spans="1:6" s="253" customFormat="1">
      <c r="A6934" s="40">
        <v>97095</v>
      </c>
      <c r="B6934" s="40">
        <v>0</v>
      </c>
      <c r="C6934" s="40" t="s">
        <v>11142</v>
      </c>
      <c r="D6934" s="40" t="s">
        <v>7781</v>
      </c>
      <c r="E6934" s="42" t="s">
        <v>11075</v>
      </c>
      <c r="F6934" s="267"/>
    </row>
    <row r="6935" spans="1:6" s="253" customFormat="1">
      <c r="A6935" s="40">
        <v>97096</v>
      </c>
      <c r="B6935" s="40">
        <v>0</v>
      </c>
      <c r="C6935" s="40" t="s">
        <v>12899</v>
      </c>
      <c r="D6935" s="40" t="s">
        <v>7782</v>
      </c>
      <c r="E6935" s="42" t="s">
        <v>12831</v>
      </c>
      <c r="F6935" s="267"/>
    </row>
    <row r="6936" spans="1:6" s="253" customFormat="1">
      <c r="A6936" s="40">
        <v>97097</v>
      </c>
      <c r="B6936" s="40">
        <v>0</v>
      </c>
      <c r="C6936" s="40" t="s">
        <v>11126</v>
      </c>
      <c r="D6936" s="40" t="s">
        <v>7783</v>
      </c>
      <c r="E6936" s="42" t="s">
        <v>11059</v>
      </c>
      <c r="F6936" s="267"/>
    </row>
    <row r="6937" spans="1:6" s="253" customFormat="1">
      <c r="A6937" s="40">
        <v>97098</v>
      </c>
      <c r="B6937" s="40">
        <v>0</v>
      </c>
      <c r="C6937" s="40" t="s">
        <v>11143</v>
      </c>
      <c r="D6937" s="40" t="s">
        <v>7784</v>
      </c>
      <c r="E6937" s="42" t="s">
        <v>11076</v>
      </c>
      <c r="F6937" s="267"/>
    </row>
    <row r="6938" spans="1:6" s="253" customFormat="1">
      <c r="A6938" s="40">
        <v>97099</v>
      </c>
      <c r="B6938" s="40">
        <v>0</v>
      </c>
      <c r="C6938" s="40" t="s">
        <v>12900</v>
      </c>
      <c r="D6938" s="40" t="s">
        <v>7785</v>
      </c>
      <c r="E6938" s="42" t="s">
        <v>12832</v>
      </c>
      <c r="F6938" s="267"/>
    </row>
    <row r="6939" spans="1:6" s="253" customFormat="1">
      <c r="A6939" s="40">
        <v>97100</v>
      </c>
      <c r="B6939" s="40">
        <v>0</v>
      </c>
      <c r="C6939" s="40" t="s">
        <v>11126</v>
      </c>
      <c r="D6939" s="40" t="s">
        <v>7786</v>
      </c>
      <c r="E6939" s="42" t="s">
        <v>11059</v>
      </c>
      <c r="F6939" s="267"/>
    </row>
    <row r="6940" spans="1:6" s="253" customFormat="1">
      <c r="A6940" s="40">
        <v>97101</v>
      </c>
      <c r="B6940" s="40">
        <v>0</v>
      </c>
      <c r="C6940" s="40" t="s">
        <v>11143</v>
      </c>
      <c r="D6940" s="40" t="s">
        <v>7787</v>
      </c>
      <c r="E6940" s="42" t="s">
        <v>11076</v>
      </c>
      <c r="F6940" s="267"/>
    </row>
    <row r="6941" spans="1:6" s="253" customFormat="1">
      <c r="A6941" s="40">
        <v>97102</v>
      </c>
      <c r="B6941" s="40">
        <v>0</v>
      </c>
      <c r="C6941" s="40" t="s">
        <v>12900</v>
      </c>
      <c r="D6941" s="40" t="s">
        <v>7788</v>
      </c>
      <c r="E6941" s="42" t="s">
        <v>12832</v>
      </c>
      <c r="F6941" s="267"/>
    </row>
    <row r="6942" spans="1:6" s="253" customFormat="1">
      <c r="A6942" s="40">
        <v>97103</v>
      </c>
      <c r="B6942" s="40">
        <v>0</v>
      </c>
      <c r="C6942" s="40" t="s">
        <v>11126</v>
      </c>
      <c r="D6942" s="40" t="s">
        <v>7789</v>
      </c>
      <c r="E6942" s="42" t="s">
        <v>11059</v>
      </c>
      <c r="F6942" s="267"/>
    </row>
    <row r="6943" spans="1:6" s="253" customFormat="1">
      <c r="A6943" s="40">
        <v>97104</v>
      </c>
      <c r="B6943" s="40">
        <v>0</v>
      </c>
      <c r="C6943" s="40" t="s">
        <v>11144</v>
      </c>
      <c r="D6943" s="40" t="s">
        <v>7790</v>
      </c>
      <c r="E6943" s="42" t="s">
        <v>11077</v>
      </c>
      <c r="F6943" s="267"/>
    </row>
    <row r="6944" spans="1:6" s="253" customFormat="1">
      <c r="A6944" s="40">
        <v>97105</v>
      </c>
      <c r="B6944" s="40">
        <v>0</v>
      </c>
      <c r="C6944" s="40" t="s">
        <v>12901</v>
      </c>
      <c r="D6944" s="40" t="s">
        <v>7791</v>
      </c>
      <c r="E6944" s="42" t="s">
        <v>12833</v>
      </c>
      <c r="F6944" s="267"/>
    </row>
    <row r="6945" spans="1:6" s="253" customFormat="1">
      <c r="A6945" s="40">
        <v>97106</v>
      </c>
      <c r="B6945" s="40">
        <v>0</v>
      </c>
      <c r="C6945" s="40" t="s">
        <v>11126</v>
      </c>
      <c r="D6945" s="40" t="s">
        <v>7792</v>
      </c>
      <c r="E6945" s="42" t="s">
        <v>11059</v>
      </c>
      <c r="F6945" s="267"/>
    </row>
    <row r="6946" spans="1:6" s="253" customFormat="1">
      <c r="A6946" s="40">
        <v>97107</v>
      </c>
      <c r="B6946" s="40">
        <v>0</v>
      </c>
      <c r="C6946" s="40" t="s">
        <v>11144</v>
      </c>
      <c r="D6946" s="40" t="s">
        <v>7793</v>
      </c>
      <c r="E6946" s="42" t="s">
        <v>11077</v>
      </c>
      <c r="F6946" s="267"/>
    </row>
    <row r="6947" spans="1:6" s="253" customFormat="1">
      <c r="A6947" s="40">
        <v>97108</v>
      </c>
      <c r="B6947" s="40">
        <v>0</v>
      </c>
      <c r="C6947" s="40" t="s">
        <v>12901</v>
      </c>
      <c r="D6947" s="40" t="s">
        <v>7794</v>
      </c>
      <c r="E6947" s="42" t="s">
        <v>12833</v>
      </c>
      <c r="F6947" s="267"/>
    </row>
    <row r="6948" spans="1:6" s="253" customFormat="1">
      <c r="A6948" s="40">
        <v>97109</v>
      </c>
      <c r="B6948" s="40">
        <v>0</v>
      </c>
      <c r="C6948" s="40" t="s">
        <v>11126</v>
      </c>
      <c r="D6948" s="40" t="s">
        <v>7795</v>
      </c>
      <c r="E6948" s="42" t="s">
        <v>11059</v>
      </c>
      <c r="F6948" s="267"/>
    </row>
    <row r="6949" spans="1:6" s="253" customFormat="1">
      <c r="A6949" s="40">
        <v>97110</v>
      </c>
      <c r="B6949" s="40">
        <v>0</v>
      </c>
      <c r="C6949" s="40" t="s">
        <v>11145</v>
      </c>
      <c r="D6949" s="40" t="s">
        <v>7796</v>
      </c>
      <c r="E6949" s="42" t="s">
        <v>11078</v>
      </c>
      <c r="F6949" s="267"/>
    </row>
    <row r="6950" spans="1:6" s="253" customFormat="1">
      <c r="A6950" s="40">
        <v>97111</v>
      </c>
      <c r="B6950" s="40">
        <v>0</v>
      </c>
      <c r="C6950" s="40" t="s">
        <v>12902</v>
      </c>
      <c r="D6950" s="40" t="s">
        <v>7797</v>
      </c>
      <c r="E6950" s="42" t="s">
        <v>12834</v>
      </c>
      <c r="F6950" s="267"/>
    </row>
    <row r="6951" spans="1:6" s="253" customFormat="1">
      <c r="A6951" s="40">
        <v>97112</v>
      </c>
      <c r="B6951" s="40">
        <v>0</v>
      </c>
      <c r="C6951" s="40" t="s">
        <v>11126</v>
      </c>
      <c r="D6951" s="40" t="s">
        <v>7798</v>
      </c>
      <c r="E6951" s="42" t="s">
        <v>11059</v>
      </c>
      <c r="F6951" s="267"/>
    </row>
    <row r="6952" spans="1:6" s="253" customFormat="1">
      <c r="A6952" s="40">
        <v>97113</v>
      </c>
      <c r="B6952" s="40">
        <v>0</v>
      </c>
      <c r="C6952" s="40" t="s">
        <v>11145</v>
      </c>
      <c r="D6952" s="40" t="s">
        <v>7799</v>
      </c>
      <c r="E6952" s="42" t="s">
        <v>11078</v>
      </c>
      <c r="F6952" s="267"/>
    </row>
    <row r="6953" spans="1:6" s="253" customFormat="1">
      <c r="A6953" s="40">
        <v>97114</v>
      </c>
      <c r="B6953" s="40">
        <v>0</v>
      </c>
      <c r="C6953" s="40" t="s">
        <v>12902</v>
      </c>
      <c r="D6953" s="40" t="s">
        <v>7800</v>
      </c>
      <c r="E6953" s="42" t="s">
        <v>12834</v>
      </c>
      <c r="F6953" s="267"/>
    </row>
    <row r="6954" spans="1:6" s="253" customFormat="1">
      <c r="A6954" s="40">
        <v>97115</v>
      </c>
      <c r="B6954" s="40">
        <v>0</v>
      </c>
      <c r="C6954" s="40" t="s">
        <v>11126</v>
      </c>
      <c r="D6954" s="40" t="s">
        <v>7801</v>
      </c>
      <c r="E6954" s="42" t="s">
        <v>11059</v>
      </c>
      <c r="F6954" s="267"/>
    </row>
    <row r="6955" spans="1:6" s="253" customFormat="1">
      <c r="A6955" s="40">
        <v>97116</v>
      </c>
      <c r="B6955" s="40">
        <v>0</v>
      </c>
      <c r="C6955" s="40" t="s">
        <v>11146</v>
      </c>
      <c r="D6955" s="40" t="s">
        <v>7802</v>
      </c>
      <c r="E6955" s="42" t="s">
        <v>11079</v>
      </c>
      <c r="F6955" s="267"/>
    </row>
    <row r="6956" spans="1:6" s="253" customFormat="1">
      <c r="A6956" s="40">
        <v>97117</v>
      </c>
      <c r="B6956" s="40">
        <v>0</v>
      </c>
      <c r="C6956" s="40" t="s">
        <v>12903</v>
      </c>
      <c r="D6956" s="40" t="s">
        <v>7803</v>
      </c>
      <c r="E6956" s="42" t="s">
        <v>12835</v>
      </c>
      <c r="F6956" s="267"/>
    </row>
    <row r="6957" spans="1:6" s="253" customFormat="1">
      <c r="A6957" s="40">
        <v>97118</v>
      </c>
      <c r="B6957" s="40">
        <v>0</v>
      </c>
      <c r="C6957" s="40" t="s">
        <v>11126</v>
      </c>
      <c r="D6957" s="40" t="s">
        <v>7804</v>
      </c>
      <c r="E6957" s="42" t="s">
        <v>11059</v>
      </c>
      <c r="F6957" s="267"/>
    </row>
    <row r="6958" spans="1:6" s="253" customFormat="1">
      <c r="A6958" s="40">
        <v>97119</v>
      </c>
      <c r="B6958" s="40">
        <v>0</v>
      </c>
      <c r="C6958" s="40" t="s">
        <v>11146</v>
      </c>
      <c r="D6958" s="40" t="s">
        <v>7805</v>
      </c>
      <c r="E6958" s="42" t="s">
        <v>11079</v>
      </c>
      <c r="F6958" s="267"/>
    </row>
    <row r="6959" spans="1:6" s="253" customFormat="1">
      <c r="A6959" s="40">
        <v>97120</v>
      </c>
      <c r="B6959" s="40">
        <v>0</v>
      </c>
      <c r="C6959" s="40" t="s">
        <v>12903</v>
      </c>
      <c r="D6959" s="40" t="s">
        <v>7806</v>
      </c>
      <c r="E6959" s="42" t="s">
        <v>12835</v>
      </c>
      <c r="F6959" s="267"/>
    </row>
    <row r="6960" spans="1:6" s="253" customFormat="1">
      <c r="A6960" s="40">
        <v>97121</v>
      </c>
      <c r="B6960" s="40">
        <v>0</v>
      </c>
      <c r="C6960" s="40" t="s">
        <v>11126</v>
      </c>
      <c r="D6960" s="40" t="s">
        <v>7807</v>
      </c>
      <c r="E6960" s="42" t="s">
        <v>11059</v>
      </c>
      <c r="F6960" s="267"/>
    </row>
    <row r="6961" spans="1:6" s="253" customFormat="1">
      <c r="A6961" s="40">
        <v>97122</v>
      </c>
      <c r="B6961" s="40">
        <v>0</v>
      </c>
      <c r="C6961" s="40" t="s">
        <v>11147</v>
      </c>
      <c r="D6961" s="40" t="s">
        <v>7808</v>
      </c>
      <c r="E6961" s="42" t="s">
        <v>11080</v>
      </c>
      <c r="F6961" s="267"/>
    </row>
    <row r="6962" spans="1:6" s="253" customFormat="1">
      <c r="A6962" s="40">
        <v>97123</v>
      </c>
      <c r="B6962" s="40">
        <v>0</v>
      </c>
      <c r="C6962" s="40" t="s">
        <v>12904</v>
      </c>
      <c r="D6962" s="40" t="s">
        <v>7809</v>
      </c>
      <c r="E6962" s="42" t="s">
        <v>12836</v>
      </c>
      <c r="F6962" s="267"/>
    </row>
    <row r="6963" spans="1:6" s="253" customFormat="1">
      <c r="A6963" s="40">
        <v>97124</v>
      </c>
      <c r="B6963" s="40">
        <v>0</v>
      </c>
      <c r="C6963" s="40" t="s">
        <v>11126</v>
      </c>
      <c r="D6963" s="40" t="s">
        <v>7810</v>
      </c>
      <c r="E6963" s="42" t="s">
        <v>11059</v>
      </c>
      <c r="F6963" s="267"/>
    </row>
    <row r="6964" spans="1:6" s="253" customFormat="1">
      <c r="A6964" s="40">
        <v>97125</v>
      </c>
      <c r="B6964" s="40">
        <v>0</v>
      </c>
      <c r="C6964" s="40" t="s">
        <v>11147</v>
      </c>
      <c r="D6964" s="40" t="s">
        <v>7811</v>
      </c>
      <c r="E6964" s="42" t="s">
        <v>11080</v>
      </c>
      <c r="F6964" s="267"/>
    </row>
    <row r="6965" spans="1:6" s="253" customFormat="1">
      <c r="A6965" s="40">
        <v>97126</v>
      </c>
      <c r="B6965" s="40">
        <v>0</v>
      </c>
      <c r="C6965" s="40" t="s">
        <v>12904</v>
      </c>
      <c r="D6965" s="40" t="s">
        <v>7812</v>
      </c>
      <c r="E6965" s="42" t="s">
        <v>12836</v>
      </c>
      <c r="F6965" s="267"/>
    </row>
    <row r="6966" spans="1:6" s="253" customFormat="1">
      <c r="A6966" s="40">
        <v>97127</v>
      </c>
      <c r="B6966" s="40">
        <v>0</v>
      </c>
      <c r="C6966" s="40" t="s">
        <v>11126</v>
      </c>
      <c r="D6966" s="40" t="s">
        <v>7813</v>
      </c>
      <c r="E6966" s="42" t="s">
        <v>11059</v>
      </c>
      <c r="F6966" s="267"/>
    </row>
    <row r="6967" spans="1:6" s="253" customFormat="1">
      <c r="A6967" s="40">
        <v>97128</v>
      </c>
      <c r="B6967" s="40">
        <v>0</v>
      </c>
      <c r="C6967" s="40" t="s">
        <v>11148</v>
      </c>
      <c r="D6967" s="40" t="s">
        <v>7814</v>
      </c>
      <c r="E6967" s="42" t="s">
        <v>11081</v>
      </c>
      <c r="F6967" s="267"/>
    </row>
    <row r="6968" spans="1:6" s="253" customFormat="1">
      <c r="A6968" s="40">
        <v>97129</v>
      </c>
      <c r="B6968" s="40">
        <v>0</v>
      </c>
      <c r="C6968" s="40" t="s">
        <v>12905</v>
      </c>
      <c r="D6968" s="40" t="s">
        <v>7815</v>
      </c>
      <c r="E6968" s="42" t="s">
        <v>12837</v>
      </c>
      <c r="F6968" s="267"/>
    </row>
    <row r="6969" spans="1:6" s="253" customFormat="1">
      <c r="A6969" s="40">
        <v>97130</v>
      </c>
      <c r="B6969" s="40">
        <v>0</v>
      </c>
      <c r="C6969" s="40" t="s">
        <v>11126</v>
      </c>
      <c r="D6969" s="40" t="s">
        <v>7816</v>
      </c>
      <c r="E6969" s="42" t="s">
        <v>11059</v>
      </c>
      <c r="F6969" s="267"/>
    </row>
    <row r="6970" spans="1:6" s="253" customFormat="1">
      <c r="A6970" s="40">
        <v>97131</v>
      </c>
      <c r="B6970" s="40">
        <v>0</v>
      </c>
      <c r="C6970" s="40" t="s">
        <v>11148</v>
      </c>
      <c r="D6970" s="40" t="s">
        <v>7817</v>
      </c>
      <c r="E6970" s="42" t="s">
        <v>11081</v>
      </c>
      <c r="F6970" s="267"/>
    </row>
    <row r="6971" spans="1:6" s="253" customFormat="1">
      <c r="A6971" s="40">
        <v>97132</v>
      </c>
      <c r="B6971" s="40">
        <v>0</v>
      </c>
      <c r="C6971" s="40" t="s">
        <v>12905</v>
      </c>
      <c r="D6971" s="40" t="s">
        <v>7818</v>
      </c>
      <c r="E6971" s="42" t="s">
        <v>12837</v>
      </c>
      <c r="F6971" s="267"/>
    </row>
    <row r="6972" spans="1:6" s="253" customFormat="1">
      <c r="A6972" s="40">
        <v>97133</v>
      </c>
      <c r="B6972" s="40">
        <v>0</v>
      </c>
      <c r="C6972" s="40" t="s">
        <v>11126</v>
      </c>
      <c r="D6972" s="40" t="s">
        <v>7819</v>
      </c>
      <c r="E6972" s="42" t="s">
        <v>11059</v>
      </c>
      <c r="F6972" s="267"/>
    </row>
    <row r="6973" spans="1:6" s="253" customFormat="1">
      <c r="A6973" s="40">
        <v>97134</v>
      </c>
      <c r="B6973" s="40">
        <v>0</v>
      </c>
      <c r="C6973" s="40" t="s">
        <v>11149</v>
      </c>
      <c r="D6973" s="40" t="s">
        <v>7820</v>
      </c>
      <c r="E6973" s="42" t="s">
        <v>11082</v>
      </c>
      <c r="F6973" s="267"/>
    </row>
    <row r="6974" spans="1:6" s="253" customFormat="1">
      <c r="A6974" s="40">
        <v>97135</v>
      </c>
      <c r="B6974" s="40">
        <v>0</v>
      </c>
      <c r="C6974" s="40" t="s">
        <v>12906</v>
      </c>
      <c r="D6974" s="40" t="s">
        <v>7821</v>
      </c>
      <c r="E6974" s="42" t="s">
        <v>12838</v>
      </c>
      <c r="F6974" s="267"/>
    </row>
    <row r="6975" spans="1:6" s="253" customFormat="1">
      <c r="A6975" s="40">
        <v>97136</v>
      </c>
      <c r="B6975" s="40">
        <v>0</v>
      </c>
      <c r="C6975" s="40" t="s">
        <v>11126</v>
      </c>
      <c r="D6975" s="40" t="s">
        <v>7822</v>
      </c>
      <c r="E6975" s="42" t="s">
        <v>11059</v>
      </c>
      <c r="F6975" s="267"/>
    </row>
    <row r="6976" spans="1:6" s="253" customFormat="1">
      <c r="A6976" s="40">
        <v>97137</v>
      </c>
      <c r="B6976" s="40">
        <v>0</v>
      </c>
      <c r="C6976" s="40" t="s">
        <v>11149</v>
      </c>
      <c r="D6976" s="40" t="s">
        <v>7823</v>
      </c>
      <c r="E6976" s="42" t="s">
        <v>11082</v>
      </c>
      <c r="F6976" s="267"/>
    </row>
    <row r="6977" spans="1:6" s="253" customFormat="1">
      <c r="A6977" s="40">
        <v>97138</v>
      </c>
      <c r="B6977" s="40">
        <v>0</v>
      </c>
      <c r="C6977" s="40" t="s">
        <v>12906</v>
      </c>
      <c r="D6977" s="40" t="s">
        <v>7824</v>
      </c>
      <c r="E6977" s="42" t="s">
        <v>12838</v>
      </c>
      <c r="F6977" s="267"/>
    </row>
    <row r="6978" spans="1:6" s="253" customFormat="1">
      <c r="A6978" s="40">
        <v>97139</v>
      </c>
      <c r="B6978" s="40">
        <v>0</v>
      </c>
      <c r="C6978" s="40" t="s">
        <v>11126</v>
      </c>
      <c r="D6978" s="40" t="s">
        <v>7825</v>
      </c>
      <c r="E6978" s="42" t="s">
        <v>11059</v>
      </c>
      <c r="F6978" s="267"/>
    </row>
    <row r="6979" spans="1:6" s="253" customFormat="1">
      <c r="A6979" s="40">
        <v>97140</v>
      </c>
      <c r="B6979" s="40">
        <v>0</v>
      </c>
      <c r="C6979" s="40" t="s">
        <v>11150</v>
      </c>
      <c r="D6979" s="40" t="s">
        <v>7826</v>
      </c>
      <c r="E6979" s="42" t="s">
        <v>11083</v>
      </c>
      <c r="F6979" s="267"/>
    </row>
    <row r="6980" spans="1:6" s="253" customFormat="1">
      <c r="A6980" s="40">
        <v>97141</v>
      </c>
      <c r="B6980" s="40">
        <v>0</v>
      </c>
      <c r="C6980" s="40" t="s">
        <v>12907</v>
      </c>
      <c r="D6980" s="40" t="s">
        <v>7827</v>
      </c>
      <c r="E6980" s="42" t="s">
        <v>12839</v>
      </c>
      <c r="F6980" s="267"/>
    </row>
    <row r="6981" spans="1:6" s="253" customFormat="1">
      <c r="A6981" s="40">
        <v>97142</v>
      </c>
      <c r="B6981" s="40">
        <v>0</v>
      </c>
      <c r="C6981" s="40" t="s">
        <v>11126</v>
      </c>
      <c r="D6981" s="40" t="s">
        <v>7828</v>
      </c>
      <c r="E6981" s="42" t="s">
        <v>11059</v>
      </c>
      <c r="F6981" s="267"/>
    </row>
    <row r="6982" spans="1:6" s="253" customFormat="1">
      <c r="A6982" s="40">
        <v>97143</v>
      </c>
      <c r="B6982" s="40">
        <v>0</v>
      </c>
      <c r="C6982" s="40" t="s">
        <v>11150</v>
      </c>
      <c r="D6982" s="40" t="s">
        <v>7829</v>
      </c>
      <c r="E6982" s="42" t="s">
        <v>11083</v>
      </c>
      <c r="F6982" s="267"/>
    </row>
    <row r="6983" spans="1:6" s="253" customFormat="1">
      <c r="A6983" s="40">
        <v>97144</v>
      </c>
      <c r="B6983" s="40">
        <v>0</v>
      </c>
      <c r="C6983" s="40" t="s">
        <v>12907</v>
      </c>
      <c r="D6983" s="40" t="s">
        <v>7830</v>
      </c>
      <c r="E6983" s="42" t="s">
        <v>12839</v>
      </c>
      <c r="F6983" s="267"/>
    </row>
    <row r="6984" spans="1:6" s="253" customFormat="1">
      <c r="A6984" s="40">
        <v>97145</v>
      </c>
      <c r="B6984" s="40">
        <v>0</v>
      </c>
      <c r="C6984" s="40" t="s">
        <v>11126</v>
      </c>
      <c r="D6984" s="40" t="s">
        <v>7831</v>
      </c>
      <c r="E6984" s="42" t="s">
        <v>11059</v>
      </c>
      <c r="F6984" s="267"/>
    </row>
    <row r="6985" spans="1:6" s="253" customFormat="1">
      <c r="A6985" s="40">
        <v>97146</v>
      </c>
      <c r="B6985" s="40">
        <v>0</v>
      </c>
      <c r="C6985" s="40" t="s">
        <v>11151</v>
      </c>
      <c r="D6985" s="40" t="s">
        <v>7832</v>
      </c>
      <c r="E6985" s="42" t="s">
        <v>11084</v>
      </c>
      <c r="F6985" s="267"/>
    </row>
    <row r="6986" spans="1:6" s="253" customFormat="1">
      <c r="A6986" s="40">
        <v>97147</v>
      </c>
      <c r="B6986" s="40">
        <v>0</v>
      </c>
      <c r="C6986" s="40" t="s">
        <v>12908</v>
      </c>
      <c r="D6986" s="40" t="s">
        <v>7833</v>
      </c>
      <c r="E6986" s="42" t="s">
        <v>12840</v>
      </c>
      <c r="F6986" s="267"/>
    </row>
    <row r="6987" spans="1:6" s="253" customFormat="1">
      <c r="A6987" s="40">
        <v>97148</v>
      </c>
      <c r="B6987" s="40">
        <v>0</v>
      </c>
      <c r="C6987" s="40" t="s">
        <v>11126</v>
      </c>
      <c r="D6987" s="40" t="s">
        <v>7834</v>
      </c>
      <c r="E6987" s="42" t="s">
        <v>11059</v>
      </c>
      <c r="F6987" s="267"/>
    </row>
    <row r="6988" spans="1:6" s="253" customFormat="1">
      <c r="A6988" s="40">
        <v>97149</v>
      </c>
      <c r="B6988" s="40">
        <v>0</v>
      </c>
      <c r="C6988" s="40" t="s">
        <v>11151</v>
      </c>
      <c r="D6988" s="40" t="s">
        <v>7835</v>
      </c>
      <c r="E6988" s="42" t="s">
        <v>11084</v>
      </c>
      <c r="F6988" s="267"/>
    </row>
    <row r="6989" spans="1:6" s="253" customFormat="1">
      <c r="A6989" s="40">
        <v>97150</v>
      </c>
      <c r="B6989" s="40">
        <v>0</v>
      </c>
      <c r="C6989" s="40" t="s">
        <v>12908</v>
      </c>
      <c r="D6989" s="40" t="s">
        <v>7836</v>
      </c>
      <c r="E6989" s="42" t="s">
        <v>12840</v>
      </c>
      <c r="F6989" s="267"/>
    </row>
    <row r="6990" spans="1:6" s="253" customFormat="1">
      <c r="A6990" s="40">
        <v>97151</v>
      </c>
      <c r="B6990" s="40">
        <v>0</v>
      </c>
      <c r="C6990" s="40" t="s">
        <v>11126</v>
      </c>
      <c r="D6990" s="40" t="s">
        <v>7837</v>
      </c>
      <c r="E6990" s="42" t="s">
        <v>11059</v>
      </c>
      <c r="F6990" s="267"/>
    </row>
    <row r="6991" spans="1:6" s="253" customFormat="1">
      <c r="A6991" s="40">
        <v>97152</v>
      </c>
      <c r="B6991" s="40">
        <v>0</v>
      </c>
      <c r="C6991" s="40" t="s">
        <v>11152</v>
      </c>
      <c r="D6991" s="40" t="s">
        <v>7838</v>
      </c>
      <c r="E6991" s="42" t="s">
        <v>11085</v>
      </c>
      <c r="F6991" s="267"/>
    </row>
    <row r="6992" spans="1:6" s="253" customFormat="1">
      <c r="A6992" s="40">
        <v>97153</v>
      </c>
      <c r="B6992" s="40">
        <v>0</v>
      </c>
      <c r="C6992" s="40" t="s">
        <v>12909</v>
      </c>
      <c r="D6992" s="40" t="s">
        <v>7839</v>
      </c>
      <c r="E6992" s="42" t="s">
        <v>12841</v>
      </c>
      <c r="F6992" s="267"/>
    </row>
    <row r="6993" spans="1:6" s="253" customFormat="1">
      <c r="A6993" s="40">
        <v>97154</v>
      </c>
      <c r="B6993" s="40">
        <v>0</v>
      </c>
      <c r="C6993" s="40" t="s">
        <v>11126</v>
      </c>
      <c r="D6993" s="40" t="s">
        <v>7840</v>
      </c>
      <c r="E6993" s="42" t="s">
        <v>11059</v>
      </c>
      <c r="F6993" s="267"/>
    </row>
    <row r="6994" spans="1:6" s="253" customFormat="1">
      <c r="A6994" s="40">
        <v>97155</v>
      </c>
      <c r="B6994" s="40">
        <v>0</v>
      </c>
      <c r="C6994" s="40" t="s">
        <v>11152</v>
      </c>
      <c r="D6994" s="40" t="s">
        <v>7841</v>
      </c>
      <c r="E6994" s="42" t="s">
        <v>11085</v>
      </c>
      <c r="F6994" s="267"/>
    </row>
    <row r="6995" spans="1:6" s="253" customFormat="1">
      <c r="A6995" s="40">
        <v>97156</v>
      </c>
      <c r="B6995" s="40">
        <v>0</v>
      </c>
      <c r="C6995" s="40" t="s">
        <v>12909</v>
      </c>
      <c r="D6995" s="40" t="s">
        <v>7842</v>
      </c>
      <c r="E6995" s="42" t="s">
        <v>12841</v>
      </c>
      <c r="F6995" s="267"/>
    </row>
    <row r="6996" spans="1:6" s="253" customFormat="1">
      <c r="A6996" s="40">
        <v>97157</v>
      </c>
      <c r="B6996" s="40">
        <v>0</v>
      </c>
      <c r="C6996" s="40" t="s">
        <v>11126</v>
      </c>
      <c r="D6996" s="40" t="s">
        <v>7843</v>
      </c>
      <c r="E6996" s="42" t="s">
        <v>11059</v>
      </c>
      <c r="F6996" s="267"/>
    </row>
    <row r="6997" spans="1:6" s="253" customFormat="1">
      <c r="A6997" s="40">
        <v>97158</v>
      </c>
      <c r="B6997" s="40">
        <v>0</v>
      </c>
      <c r="C6997" s="40" t="s">
        <v>11153</v>
      </c>
      <c r="D6997" s="40" t="s">
        <v>7844</v>
      </c>
      <c r="E6997" s="42" t="s">
        <v>11086</v>
      </c>
      <c r="F6997" s="267"/>
    </row>
    <row r="6998" spans="1:6" s="253" customFormat="1">
      <c r="A6998" s="40">
        <v>97159</v>
      </c>
      <c r="B6998" s="40">
        <v>0</v>
      </c>
      <c r="C6998" s="40" t="s">
        <v>12910</v>
      </c>
      <c r="D6998" s="40" t="s">
        <v>7845</v>
      </c>
      <c r="E6998" s="42" t="s">
        <v>12842</v>
      </c>
      <c r="F6998" s="267"/>
    </row>
    <row r="6999" spans="1:6" s="253" customFormat="1">
      <c r="A6999" s="40">
        <v>97160</v>
      </c>
      <c r="B6999" s="40">
        <v>0</v>
      </c>
      <c r="C6999" s="40" t="s">
        <v>11126</v>
      </c>
      <c r="D6999" s="40" t="s">
        <v>7846</v>
      </c>
      <c r="E6999" s="42" t="s">
        <v>11059</v>
      </c>
      <c r="F6999" s="267"/>
    </row>
    <row r="7000" spans="1:6" s="253" customFormat="1">
      <c r="A7000" s="40">
        <v>97161</v>
      </c>
      <c r="B7000" s="40">
        <v>0</v>
      </c>
      <c r="C7000" s="40" t="s">
        <v>11153</v>
      </c>
      <c r="D7000" s="40" t="s">
        <v>7847</v>
      </c>
      <c r="E7000" s="42" t="s">
        <v>11086</v>
      </c>
      <c r="F7000" s="267"/>
    </row>
    <row r="7001" spans="1:6" s="253" customFormat="1">
      <c r="A7001" s="40">
        <v>97162</v>
      </c>
      <c r="B7001" s="40">
        <v>0</v>
      </c>
      <c r="C7001" s="40" t="s">
        <v>12910</v>
      </c>
      <c r="D7001" s="40" t="s">
        <v>7848</v>
      </c>
      <c r="E7001" s="42" t="s">
        <v>12842</v>
      </c>
      <c r="F7001" s="267"/>
    </row>
    <row r="7002" spans="1:6" s="253" customFormat="1">
      <c r="A7002" s="40">
        <v>97163</v>
      </c>
      <c r="B7002" s="40">
        <v>0</v>
      </c>
      <c r="C7002" s="40" t="s">
        <v>11126</v>
      </c>
      <c r="D7002" s="40" t="s">
        <v>7849</v>
      </c>
      <c r="E7002" s="42" t="s">
        <v>11059</v>
      </c>
      <c r="F7002" s="267"/>
    </row>
    <row r="7003" spans="1:6" s="253" customFormat="1">
      <c r="A7003" s="40">
        <v>97164</v>
      </c>
      <c r="B7003" s="40">
        <v>0</v>
      </c>
      <c r="C7003" s="40" t="s">
        <v>11154</v>
      </c>
      <c r="D7003" s="40" t="s">
        <v>7850</v>
      </c>
      <c r="E7003" s="42" t="s">
        <v>11087</v>
      </c>
      <c r="F7003" s="267"/>
    </row>
    <row r="7004" spans="1:6" s="253" customFormat="1">
      <c r="A7004" s="40">
        <v>97165</v>
      </c>
      <c r="B7004" s="40">
        <v>0</v>
      </c>
      <c r="C7004" s="40" t="s">
        <v>12911</v>
      </c>
      <c r="D7004" s="40" t="s">
        <v>7851</v>
      </c>
      <c r="E7004" s="42" t="s">
        <v>12843</v>
      </c>
      <c r="F7004" s="267"/>
    </row>
    <row r="7005" spans="1:6" s="253" customFormat="1">
      <c r="A7005" s="40">
        <v>97166</v>
      </c>
      <c r="B7005" s="40">
        <v>0</v>
      </c>
      <c r="C7005" s="40" t="s">
        <v>11126</v>
      </c>
      <c r="D7005" s="40" t="s">
        <v>7852</v>
      </c>
      <c r="E7005" s="42" t="s">
        <v>11059</v>
      </c>
      <c r="F7005" s="267"/>
    </row>
    <row r="7006" spans="1:6" s="253" customFormat="1">
      <c r="A7006" s="40">
        <v>97167</v>
      </c>
      <c r="B7006" s="40">
        <v>0</v>
      </c>
      <c r="C7006" s="40" t="s">
        <v>11154</v>
      </c>
      <c r="D7006" s="40" t="s">
        <v>7853</v>
      </c>
      <c r="E7006" s="42" t="s">
        <v>11087</v>
      </c>
      <c r="F7006" s="267"/>
    </row>
    <row r="7007" spans="1:6" s="253" customFormat="1">
      <c r="A7007" s="40">
        <v>97168</v>
      </c>
      <c r="B7007" s="40">
        <v>0</v>
      </c>
      <c r="C7007" s="40" t="s">
        <v>12911</v>
      </c>
      <c r="D7007" s="40" t="s">
        <v>7854</v>
      </c>
      <c r="E7007" s="42" t="s">
        <v>12843</v>
      </c>
      <c r="F7007" s="267"/>
    </row>
    <row r="7008" spans="1:6" s="253" customFormat="1">
      <c r="A7008" s="40">
        <v>97169</v>
      </c>
      <c r="B7008" s="40">
        <v>0</v>
      </c>
      <c r="C7008" s="40" t="s">
        <v>11126</v>
      </c>
      <c r="D7008" s="40" t="s">
        <v>7855</v>
      </c>
      <c r="E7008" s="42" t="s">
        <v>11059</v>
      </c>
      <c r="F7008" s="267"/>
    </row>
    <row r="7009" spans="1:6" s="253" customFormat="1">
      <c r="A7009" s="40">
        <v>97170</v>
      </c>
      <c r="B7009" s="40">
        <v>0</v>
      </c>
      <c r="C7009" s="40" t="s">
        <v>11155</v>
      </c>
      <c r="D7009" s="40" t="s">
        <v>7856</v>
      </c>
      <c r="E7009" s="42" t="s">
        <v>11088</v>
      </c>
      <c r="F7009" s="267"/>
    </row>
    <row r="7010" spans="1:6" s="253" customFormat="1">
      <c r="A7010" s="40">
        <v>97171</v>
      </c>
      <c r="B7010" s="40">
        <v>0</v>
      </c>
      <c r="C7010" s="40" t="s">
        <v>12912</v>
      </c>
      <c r="D7010" s="40" t="s">
        <v>7857</v>
      </c>
      <c r="E7010" s="42" t="s">
        <v>12844</v>
      </c>
      <c r="F7010" s="267"/>
    </row>
    <row r="7011" spans="1:6" s="253" customFormat="1">
      <c r="A7011" s="40">
        <v>97172</v>
      </c>
      <c r="B7011" s="40">
        <v>0</v>
      </c>
      <c r="C7011" s="40" t="s">
        <v>11126</v>
      </c>
      <c r="D7011" s="40" t="s">
        <v>7858</v>
      </c>
      <c r="E7011" s="42" t="s">
        <v>11059</v>
      </c>
      <c r="F7011" s="267"/>
    </row>
    <row r="7012" spans="1:6" s="253" customFormat="1">
      <c r="A7012" s="40">
        <v>97173</v>
      </c>
      <c r="B7012" s="40">
        <v>0</v>
      </c>
      <c r="C7012" s="40" t="s">
        <v>11155</v>
      </c>
      <c r="D7012" s="40" t="s">
        <v>7859</v>
      </c>
      <c r="E7012" s="42" t="s">
        <v>11088</v>
      </c>
      <c r="F7012" s="267"/>
    </row>
    <row r="7013" spans="1:6" s="253" customFormat="1">
      <c r="A7013" s="40">
        <v>97174</v>
      </c>
      <c r="B7013" s="40">
        <v>0</v>
      </c>
      <c r="C7013" s="40" t="s">
        <v>12912</v>
      </c>
      <c r="D7013" s="40" t="s">
        <v>7860</v>
      </c>
      <c r="E7013" s="42" t="s">
        <v>12844</v>
      </c>
      <c r="F7013" s="267"/>
    </row>
    <row r="7014" spans="1:6" s="253" customFormat="1">
      <c r="A7014" s="40">
        <v>97175</v>
      </c>
      <c r="B7014" s="40">
        <v>0</v>
      </c>
      <c r="C7014" s="40" t="s">
        <v>11126</v>
      </c>
      <c r="D7014" s="40" t="s">
        <v>7861</v>
      </c>
      <c r="E7014" s="42" t="s">
        <v>11059</v>
      </c>
      <c r="F7014" s="267"/>
    </row>
    <row r="7015" spans="1:6" s="253" customFormat="1">
      <c r="A7015" s="40">
        <v>97176</v>
      </c>
      <c r="B7015" s="40">
        <v>0</v>
      </c>
      <c r="C7015" s="40" t="s">
        <v>11156</v>
      </c>
      <c r="D7015" s="40" t="s">
        <v>7862</v>
      </c>
      <c r="E7015" s="42" t="s">
        <v>11089</v>
      </c>
      <c r="F7015" s="267"/>
    </row>
    <row r="7016" spans="1:6" s="253" customFormat="1">
      <c r="A7016" s="40">
        <v>97177</v>
      </c>
      <c r="B7016" s="40">
        <v>0</v>
      </c>
      <c r="C7016" s="40" t="s">
        <v>12913</v>
      </c>
      <c r="D7016" s="40" t="s">
        <v>7863</v>
      </c>
      <c r="E7016" s="42" t="s">
        <v>12845</v>
      </c>
      <c r="F7016" s="267"/>
    </row>
    <row r="7017" spans="1:6" s="253" customFormat="1">
      <c r="A7017" s="40">
        <v>97178</v>
      </c>
      <c r="B7017" s="40">
        <v>0</v>
      </c>
      <c r="C7017" s="40" t="s">
        <v>11126</v>
      </c>
      <c r="D7017" s="40" t="s">
        <v>7864</v>
      </c>
      <c r="E7017" s="42" t="s">
        <v>11059</v>
      </c>
      <c r="F7017" s="267"/>
    </row>
    <row r="7018" spans="1:6" s="253" customFormat="1">
      <c r="A7018" s="40">
        <v>97179</v>
      </c>
      <c r="B7018" s="40">
        <v>0</v>
      </c>
      <c r="C7018" s="40" t="s">
        <v>11156</v>
      </c>
      <c r="D7018" s="40" t="s">
        <v>7865</v>
      </c>
      <c r="E7018" s="42" t="s">
        <v>11089</v>
      </c>
      <c r="F7018" s="267"/>
    </row>
    <row r="7019" spans="1:6" s="253" customFormat="1">
      <c r="A7019" s="40">
        <v>97180</v>
      </c>
      <c r="B7019" s="40">
        <v>0</v>
      </c>
      <c r="C7019" s="40" t="s">
        <v>12913</v>
      </c>
      <c r="D7019" s="40" t="s">
        <v>7866</v>
      </c>
      <c r="E7019" s="42" t="s">
        <v>12845</v>
      </c>
      <c r="F7019" s="267"/>
    </row>
    <row r="7020" spans="1:6" s="253" customFormat="1">
      <c r="A7020" s="40">
        <v>97181</v>
      </c>
      <c r="B7020" s="40">
        <v>0</v>
      </c>
      <c r="C7020" s="40" t="s">
        <v>11126</v>
      </c>
      <c r="D7020" s="40" t="s">
        <v>7867</v>
      </c>
      <c r="E7020" s="42" t="s">
        <v>11059</v>
      </c>
      <c r="F7020" s="267"/>
    </row>
    <row r="7021" spans="1:6" s="253" customFormat="1">
      <c r="A7021" s="40">
        <v>97182</v>
      </c>
      <c r="B7021" s="40">
        <v>0</v>
      </c>
      <c r="C7021" s="40" t="s">
        <v>11157</v>
      </c>
      <c r="D7021" s="40" t="s">
        <v>7868</v>
      </c>
      <c r="E7021" s="42" t="s">
        <v>11090</v>
      </c>
      <c r="F7021" s="267"/>
    </row>
    <row r="7022" spans="1:6" s="253" customFormat="1">
      <c r="A7022" s="40">
        <v>97183</v>
      </c>
      <c r="B7022" s="40">
        <v>0</v>
      </c>
      <c r="C7022" s="40" t="s">
        <v>12914</v>
      </c>
      <c r="D7022" s="40" t="s">
        <v>7869</v>
      </c>
      <c r="E7022" s="42" t="s">
        <v>12846</v>
      </c>
      <c r="F7022" s="267"/>
    </row>
    <row r="7023" spans="1:6" s="253" customFormat="1">
      <c r="A7023" s="40">
        <v>97184</v>
      </c>
      <c r="B7023" s="40">
        <v>0</v>
      </c>
      <c r="C7023" s="40" t="s">
        <v>11126</v>
      </c>
      <c r="D7023" s="40" t="s">
        <v>7870</v>
      </c>
      <c r="E7023" s="42" t="s">
        <v>11059</v>
      </c>
      <c r="F7023" s="267"/>
    </row>
    <row r="7024" spans="1:6" s="253" customFormat="1">
      <c r="A7024" s="40">
        <v>97185</v>
      </c>
      <c r="B7024" s="40">
        <v>0</v>
      </c>
      <c r="C7024" s="40" t="s">
        <v>11157</v>
      </c>
      <c r="D7024" s="40" t="s">
        <v>7871</v>
      </c>
      <c r="E7024" s="42" t="s">
        <v>11090</v>
      </c>
      <c r="F7024" s="267"/>
    </row>
    <row r="7025" spans="1:6" s="253" customFormat="1">
      <c r="A7025" s="40">
        <v>97186</v>
      </c>
      <c r="B7025" s="40">
        <v>0</v>
      </c>
      <c r="C7025" s="40" t="s">
        <v>12914</v>
      </c>
      <c r="D7025" s="40" t="s">
        <v>7872</v>
      </c>
      <c r="E7025" s="42" t="s">
        <v>12846</v>
      </c>
      <c r="F7025" s="267"/>
    </row>
    <row r="7026" spans="1:6" s="253" customFormat="1">
      <c r="A7026" s="40">
        <v>97187</v>
      </c>
      <c r="B7026" s="40">
        <v>0</v>
      </c>
      <c r="C7026" s="40" t="s">
        <v>11126</v>
      </c>
      <c r="D7026" s="40" t="s">
        <v>7873</v>
      </c>
      <c r="E7026" s="42" t="s">
        <v>11059</v>
      </c>
      <c r="F7026" s="267"/>
    </row>
    <row r="7027" spans="1:6" s="253" customFormat="1">
      <c r="A7027" s="40">
        <v>97188</v>
      </c>
      <c r="B7027" s="40">
        <v>0</v>
      </c>
      <c r="C7027" s="40" t="s">
        <v>11158</v>
      </c>
      <c r="D7027" s="40" t="s">
        <v>7874</v>
      </c>
      <c r="E7027" s="42" t="s">
        <v>11091</v>
      </c>
      <c r="F7027" s="267"/>
    </row>
    <row r="7028" spans="1:6" s="253" customFormat="1">
      <c r="A7028" s="40">
        <v>97189</v>
      </c>
      <c r="B7028" s="40">
        <v>0</v>
      </c>
      <c r="C7028" s="40" t="s">
        <v>12915</v>
      </c>
      <c r="D7028" s="40" t="s">
        <v>7875</v>
      </c>
      <c r="E7028" s="42" t="s">
        <v>12847</v>
      </c>
      <c r="F7028" s="267"/>
    </row>
    <row r="7029" spans="1:6" s="253" customFormat="1">
      <c r="A7029" s="40">
        <v>97190</v>
      </c>
      <c r="B7029" s="40">
        <v>0</v>
      </c>
      <c r="C7029" s="40" t="s">
        <v>11126</v>
      </c>
      <c r="D7029" s="40" t="s">
        <v>7876</v>
      </c>
      <c r="E7029" s="42" t="s">
        <v>11059</v>
      </c>
      <c r="F7029" s="267"/>
    </row>
    <row r="7030" spans="1:6" s="253" customFormat="1">
      <c r="A7030" s="40">
        <v>97191</v>
      </c>
      <c r="B7030" s="40">
        <v>0</v>
      </c>
      <c r="C7030" s="40" t="s">
        <v>11158</v>
      </c>
      <c r="D7030" s="40" t="s">
        <v>7877</v>
      </c>
      <c r="E7030" s="42" t="s">
        <v>11091</v>
      </c>
      <c r="F7030" s="267"/>
    </row>
    <row r="7031" spans="1:6" s="253" customFormat="1">
      <c r="A7031" s="40">
        <v>97192</v>
      </c>
      <c r="B7031" s="40">
        <v>0</v>
      </c>
      <c r="C7031" s="40" t="s">
        <v>12915</v>
      </c>
      <c r="D7031" s="40" t="s">
        <v>7878</v>
      </c>
      <c r="E7031" s="42" t="s">
        <v>12847</v>
      </c>
      <c r="F7031" s="267"/>
    </row>
    <row r="7032" spans="1:6" s="253" customFormat="1">
      <c r="A7032" s="40">
        <v>97193</v>
      </c>
      <c r="B7032" s="40">
        <v>0</v>
      </c>
      <c r="C7032" s="40" t="s">
        <v>11126</v>
      </c>
      <c r="D7032" s="40" t="s">
        <v>7879</v>
      </c>
      <c r="E7032" s="42" t="s">
        <v>11059</v>
      </c>
      <c r="F7032" s="267"/>
    </row>
    <row r="7033" spans="1:6" s="253" customFormat="1">
      <c r="A7033" s="40">
        <v>97194</v>
      </c>
      <c r="B7033" s="40">
        <v>0</v>
      </c>
      <c r="C7033" s="40" t="s">
        <v>11159</v>
      </c>
      <c r="D7033" s="40" t="s">
        <v>7880</v>
      </c>
      <c r="E7033" s="42" t="s">
        <v>11092</v>
      </c>
      <c r="F7033" s="267"/>
    </row>
    <row r="7034" spans="1:6" s="253" customFormat="1">
      <c r="A7034" s="40">
        <v>97195</v>
      </c>
      <c r="B7034" s="40">
        <v>0</v>
      </c>
      <c r="C7034" s="40" t="s">
        <v>12916</v>
      </c>
      <c r="D7034" s="40" t="s">
        <v>7881</v>
      </c>
      <c r="E7034" s="42" t="s">
        <v>12848</v>
      </c>
      <c r="F7034" s="267"/>
    </row>
    <row r="7035" spans="1:6" s="253" customFormat="1">
      <c r="A7035" s="40">
        <v>97196</v>
      </c>
      <c r="B7035" s="40">
        <v>0</v>
      </c>
      <c r="C7035" s="40" t="s">
        <v>11126</v>
      </c>
      <c r="D7035" s="40" t="s">
        <v>7882</v>
      </c>
      <c r="E7035" s="42" t="s">
        <v>11059</v>
      </c>
      <c r="F7035" s="267"/>
    </row>
    <row r="7036" spans="1:6" s="253" customFormat="1">
      <c r="A7036" s="40">
        <v>97197</v>
      </c>
      <c r="B7036" s="40">
        <v>0</v>
      </c>
      <c r="C7036" s="40" t="s">
        <v>11159</v>
      </c>
      <c r="D7036" s="40" t="s">
        <v>7883</v>
      </c>
      <c r="E7036" s="42" t="s">
        <v>11092</v>
      </c>
      <c r="F7036" s="267"/>
    </row>
    <row r="7037" spans="1:6" s="253" customFormat="1">
      <c r="A7037" s="40">
        <v>97198</v>
      </c>
      <c r="B7037" s="40">
        <v>0</v>
      </c>
      <c r="C7037" s="40" t="s">
        <v>12916</v>
      </c>
      <c r="D7037" s="40" t="s">
        <v>7884</v>
      </c>
      <c r="E7037" s="42" t="s">
        <v>12848</v>
      </c>
      <c r="F7037" s="267"/>
    </row>
    <row r="7038" spans="1:6" s="253" customFormat="1">
      <c r="A7038" s="40">
        <v>97199</v>
      </c>
      <c r="B7038" s="40">
        <v>0</v>
      </c>
      <c r="C7038" s="40" t="s">
        <v>11126</v>
      </c>
      <c r="D7038" s="40" t="s">
        <v>7885</v>
      </c>
      <c r="E7038" s="42" t="s">
        <v>11059</v>
      </c>
      <c r="F7038" s="267"/>
    </row>
    <row r="7039" spans="1:6" s="253" customFormat="1">
      <c r="A7039" s="40">
        <v>97200</v>
      </c>
      <c r="B7039" s="40">
        <v>0</v>
      </c>
      <c r="C7039" s="40" t="s">
        <v>11160</v>
      </c>
      <c r="D7039" s="40" t="s">
        <v>7886</v>
      </c>
      <c r="E7039" s="42" t="s">
        <v>11093</v>
      </c>
      <c r="F7039" s="267"/>
    </row>
    <row r="7040" spans="1:6" s="253" customFormat="1">
      <c r="A7040" s="40">
        <v>97201</v>
      </c>
      <c r="B7040" s="40">
        <v>0</v>
      </c>
      <c r="C7040" s="40" t="s">
        <v>12917</v>
      </c>
      <c r="D7040" s="40" t="s">
        <v>7887</v>
      </c>
      <c r="E7040" s="42" t="s">
        <v>12849</v>
      </c>
      <c r="F7040" s="267"/>
    </row>
    <row r="7041" spans="1:6" s="253" customFormat="1">
      <c r="A7041" s="40">
        <v>97202</v>
      </c>
      <c r="B7041" s="40">
        <v>0</v>
      </c>
      <c r="C7041" s="40" t="s">
        <v>11126</v>
      </c>
      <c r="D7041" s="40" t="s">
        <v>7888</v>
      </c>
      <c r="E7041" s="42" t="s">
        <v>11059</v>
      </c>
      <c r="F7041" s="267"/>
    </row>
    <row r="7042" spans="1:6" s="253" customFormat="1">
      <c r="A7042" s="40">
        <v>97203</v>
      </c>
      <c r="B7042" s="40">
        <v>0</v>
      </c>
      <c r="C7042" s="40" t="s">
        <v>11160</v>
      </c>
      <c r="D7042" s="40" t="s">
        <v>7889</v>
      </c>
      <c r="E7042" s="42" t="s">
        <v>11093</v>
      </c>
      <c r="F7042" s="267"/>
    </row>
    <row r="7043" spans="1:6" s="253" customFormat="1">
      <c r="A7043" s="40">
        <v>97204</v>
      </c>
      <c r="B7043" s="40">
        <v>0</v>
      </c>
      <c r="C7043" s="40" t="s">
        <v>12917</v>
      </c>
      <c r="D7043" s="40" t="s">
        <v>7890</v>
      </c>
      <c r="E7043" s="42" t="s">
        <v>12849</v>
      </c>
      <c r="F7043" s="267"/>
    </row>
    <row r="7044" spans="1:6" s="253" customFormat="1">
      <c r="A7044" s="40">
        <v>97205</v>
      </c>
      <c r="B7044" s="40">
        <v>0</v>
      </c>
      <c r="C7044" s="40" t="s">
        <v>11126</v>
      </c>
      <c r="D7044" s="40" t="s">
        <v>7891</v>
      </c>
      <c r="E7044" s="42" t="s">
        <v>11059</v>
      </c>
      <c r="F7044" s="267"/>
    </row>
    <row r="7045" spans="1:6" s="253" customFormat="1">
      <c r="A7045" s="40">
        <v>97206</v>
      </c>
      <c r="B7045" s="40">
        <v>0</v>
      </c>
      <c r="C7045" s="40" t="s">
        <v>11161</v>
      </c>
      <c r="D7045" s="40" t="s">
        <v>7892</v>
      </c>
      <c r="E7045" s="42" t="s">
        <v>11094</v>
      </c>
      <c r="F7045" s="267"/>
    </row>
    <row r="7046" spans="1:6" s="253" customFormat="1">
      <c r="A7046" s="40">
        <v>97207</v>
      </c>
      <c r="B7046" s="40">
        <v>0</v>
      </c>
      <c r="C7046" s="40" t="s">
        <v>12918</v>
      </c>
      <c r="D7046" s="40" t="s">
        <v>7893</v>
      </c>
      <c r="E7046" s="42" t="s">
        <v>12850</v>
      </c>
      <c r="F7046" s="267"/>
    </row>
    <row r="7047" spans="1:6" s="253" customFormat="1">
      <c r="A7047" s="40">
        <v>97208</v>
      </c>
      <c r="B7047" s="40">
        <v>0</v>
      </c>
      <c r="C7047" s="40" t="s">
        <v>11126</v>
      </c>
      <c r="D7047" s="40" t="s">
        <v>7894</v>
      </c>
      <c r="E7047" s="42" t="s">
        <v>11059</v>
      </c>
      <c r="F7047" s="267"/>
    </row>
    <row r="7048" spans="1:6" s="253" customFormat="1">
      <c r="A7048" s="40">
        <v>97209</v>
      </c>
      <c r="B7048" s="40">
        <v>0</v>
      </c>
      <c r="C7048" s="40" t="s">
        <v>11161</v>
      </c>
      <c r="D7048" s="40" t="s">
        <v>7895</v>
      </c>
      <c r="E7048" s="42" t="s">
        <v>11094</v>
      </c>
      <c r="F7048" s="267"/>
    </row>
    <row r="7049" spans="1:6" s="253" customFormat="1">
      <c r="A7049" s="40">
        <v>97210</v>
      </c>
      <c r="B7049" s="40">
        <v>0</v>
      </c>
      <c r="C7049" s="40" t="s">
        <v>12918</v>
      </c>
      <c r="D7049" s="40" t="s">
        <v>7896</v>
      </c>
      <c r="E7049" s="42" t="s">
        <v>12850</v>
      </c>
      <c r="F7049" s="267"/>
    </row>
    <row r="7050" spans="1:6" s="253" customFormat="1">
      <c r="A7050" s="40">
        <v>97211</v>
      </c>
      <c r="B7050" s="40">
        <v>0</v>
      </c>
      <c r="C7050" s="40" t="s">
        <v>11126</v>
      </c>
      <c r="D7050" s="40" t="s">
        <v>7897</v>
      </c>
      <c r="E7050" s="42" t="s">
        <v>11059</v>
      </c>
      <c r="F7050" s="267"/>
    </row>
    <row r="7051" spans="1:6" s="253" customFormat="1">
      <c r="A7051" s="40">
        <v>97212</v>
      </c>
      <c r="B7051" s="40">
        <v>0</v>
      </c>
      <c r="C7051" s="40" t="s">
        <v>11162</v>
      </c>
      <c r="D7051" s="40" t="s">
        <v>7898</v>
      </c>
      <c r="E7051" s="42" t="s">
        <v>11095</v>
      </c>
      <c r="F7051" s="267"/>
    </row>
    <row r="7052" spans="1:6" s="253" customFormat="1">
      <c r="A7052" s="40">
        <v>97213</v>
      </c>
      <c r="B7052" s="40">
        <v>0</v>
      </c>
      <c r="C7052" s="40" t="s">
        <v>12919</v>
      </c>
      <c r="D7052" s="40" t="s">
        <v>7899</v>
      </c>
      <c r="E7052" s="42" t="s">
        <v>12851</v>
      </c>
      <c r="F7052" s="267"/>
    </row>
    <row r="7053" spans="1:6" s="253" customFormat="1">
      <c r="A7053" s="40">
        <v>97214</v>
      </c>
      <c r="B7053" s="40">
        <v>0</v>
      </c>
      <c r="C7053" s="40" t="s">
        <v>11126</v>
      </c>
      <c r="D7053" s="40" t="s">
        <v>7900</v>
      </c>
      <c r="E7053" s="42" t="s">
        <v>11059</v>
      </c>
      <c r="F7053" s="267"/>
    </row>
    <row r="7054" spans="1:6" s="253" customFormat="1">
      <c r="A7054" s="40">
        <v>97215</v>
      </c>
      <c r="B7054" s="40">
        <v>0</v>
      </c>
      <c r="C7054" s="40" t="s">
        <v>11162</v>
      </c>
      <c r="D7054" s="40" t="s">
        <v>7901</v>
      </c>
      <c r="E7054" s="42" t="s">
        <v>11095</v>
      </c>
      <c r="F7054" s="267"/>
    </row>
    <row r="7055" spans="1:6" s="253" customFormat="1">
      <c r="A7055" s="40">
        <v>97216</v>
      </c>
      <c r="B7055" s="40">
        <v>0</v>
      </c>
      <c r="C7055" s="40" t="s">
        <v>12919</v>
      </c>
      <c r="D7055" s="40" t="s">
        <v>7902</v>
      </c>
      <c r="E7055" s="42" t="s">
        <v>12851</v>
      </c>
      <c r="F7055" s="267"/>
    </row>
    <row r="7056" spans="1:6" s="253" customFormat="1">
      <c r="A7056" s="40">
        <v>97217</v>
      </c>
      <c r="B7056" s="40">
        <v>0</v>
      </c>
      <c r="C7056" s="40" t="s">
        <v>11126</v>
      </c>
      <c r="D7056" s="40" t="s">
        <v>7903</v>
      </c>
      <c r="E7056" s="42" t="s">
        <v>11059</v>
      </c>
      <c r="F7056" s="267"/>
    </row>
    <row r="7057" spans="1:6" s="253" customFormat="1">
      <c r="A7057" s="40">
        <v>97218</v>
      </c>
      <c r="B7057" s="40">
        <v>0</v>
      </c>
      <c r="C7057" s="40" t="s">
        <v>11163</v>
      </c>
      <c r="D7057" s="40" t="s">
        <v>7904</v>
      </c>
      <c r="E7057" s="42" t="s">
        <v>11096</v>
      </c>
      <c r="F7057" s="267"/>
    </row>
    <row r="7058" spans="1:6" s="253" customFormat="1">
      <c r="A7058" s="40">
        <v>97219</v>
      </c>
      <c r="B7058" s="40">
        <v>0</v>
      </c>
      <c r="C7058" s="40" t="s">
        <v>12920</v>
      </c>
      <c r="D7058" s="40" t="s">
        <v>7905</v>
      </c>
      <c r="E7058" s="42" t="s">
        <v>12852</v>
      </c>
      <c r="F7058" s="267"/>
    </row>
    <row r="7059" spans="1:6" s="253" customFormat="1">
      <c r="A7059" s="40">
        <v>97220</v>
      </c>
      <c r="B7059" s="40">
        <v>0</v>
      </c>
      <c r="C7059" s="40" t="s">
        <v>11126</v>
      </c>
      <c r="D7059" s="40" t="s">
        <v>7906</v>
      </c>
      <c r="E7059" s="42" t="s">
        <v>11059</v>
      </c>
      <c r="F7059" s="267"/>
    </row>
    <row r="7060" spans="1:6" s="253" customFormat="1">
      <c r="A7060" s="40">
        <v>97221</v>
      </c>
      <c r="B7060" s="40">
        <v>0</v>
      </c>
      <c r="C7060" s="40" t="s">
        <v>11163</v>
      </c>
      <c r="D7060" s="40" t="s">
        <v>7907</v>
      </c>
      <c r="E7060" s="42" t="s">
        <v>11096</v>
      </c>
      <c r="F7060" s="267"/>
    </row>
    <row r="7061" spans="1:6" s="253" customFormat="1">
      <c r="A7061" s="40">
        <v>97222</v>
      </c>
      <c r="B7061" s="40">
        <v>0</v>
      </c>
      <c r="C7061" s="40" t="s">
        <v>12920</v>
      </c>
      <c r="D7061" s="40" t="s">
        <v>7908</v>
      </c>
      <c r="E7061" s="42" t="s">
        <v>12852</v>
      </c>
      <c r="F7061" s="267"/>
    </row>
    <row r="7062" spans="1:6" s="253" customFormat="1">
      <c r="A7062" s="40">
        <v>97223</v>
      </c>
      <c r="B7062" s="40">
        <v>0</v>
      </c>
      <c r="C7062" s="40" t="s">
        <v>11126</v>
      </c>
      <c r="D7062" s="40" t="s">
        <v>7909</v>
      </c>
      <c r="E7062" s="42" t="s">
        <v>11059</v>
      </c>
      <c r="F7062" s="267"/>
    </row>
    <row r="7063" spans="1:6" s="253" customFormat="1">
      <c r="A7063" s="40">
        <v>97224</v>
      </c>
      <c r="B7063" s="40">
        <v>0</v>
      </c>
      <c r="C7063" s="40" t="s">
        <v>11164</v>
      </c>
      <c r="D7063" s="40" t="s">
        <v>7910</v>
      </c>
      <c r="E7063" s="42" t="s">
        <v>11097</v>
      </c>
      <c r="F7063" s="267"/>
    </row>
    <row r="7064" spans="1:6" s="253" customFormat="1">
      <c r="A7064" s="40">
        <v>97225</v>
      </c>
      <c r="B7064" s="40">
        <v>0</v>
      </c>
      <c r="C7064" s="40" t="s">
        <v>12921</v>
      </c>
      <c r="D7064" s="40" t="s">
        <v>7911</v>
      </c>
      <c r="E7064" s="42" t="s">
        <v>12853</v>
      </c>
      <c r="F7064" s="267"/>
    </row>
    <row r="7065" spans="1:6" s="253" customFormat="1">
      <c r="A7065" s="40">
        <v>97226</v>
      </c>
      <c r="B7065" s="40">
        <v>0</v>
      </c>
      <c r="C7065" s="40" t="s">
        <v>11126</v>
      </c>
      <c r="D7065" s="40" t="s">
        <v>7912</v>
      </c>
      <c r="E7065" s="42" t="s">
        <v>11059</v>
      </c>
      <c r="F7065" s="267"/>
    </row>
    <row r="7066" spans="1:6" s="253" customFormat="1">
      <c r="A7066" s="40">
        <v>97227</v>
      </c>
      <c r="B7066" s="40">
        <v>0</v>
      </c>
      <c r="C7066" s="40" t="s">
        <v>11164</v>
      </c>
      <c r="D7066" s="40" t="s">
        <v>7913</v>
      </c>
      <c r="E7066" s="42" t="s">
        <v>11097</v>
      </c>
      <c r="F7066" s="267"/>
    </row>
    <row r="7067" spans="1:6" s="253" customFormat="1">
      <c r="A7067" s="40">
        <v>97228</v>
      </c>
      <c r="B7067" s="40">
        <v>0</v>
      </c>
      <c r="C7067" s="40" t="s">
        <v>12921</v>
      </c>
      <c r="D7067" s="40" t="s">
        <v>7914</v>
      </c>
      <c r="E7067" s="42" t="s">
        <v>12853</v>
      </c>
      <c r="F7067" s="267"/>
    </row>
    <row r="7068" spans="1:6" s="253" customFormat="1">
      <c r="A7068" s="40">
        <v>97229</v>
      </c>
      <c r="B7068" s="40">
        <v>0</v>
      </c>
      <c r="C7068" s="40" t="s">
        <v>11126</v>
      </c>
      <c r="D7068" s="40" t="s">
        <v>7915</v>
      </c>
      <c r="E7068" s="42" t="s">
        <v>11059</v>
      </c>
      <c r="F7068" s="267"/>
    </row>
    <row r="7069" spans="1:6" s="253" customFormat="1">
      <c r="A7069" s="40">
        <v>97230</v>
      </c>
      <c r="B7069" s="40">
        <v>0</v>
      </c>
      <c r="C7069" s="40" t="s">
        <v>11165</v>
      </c>
      <c r="D7069" s="40" t="s">
        <v>7916</v>
      </c>
      <c r="E7069" s="42" t="s">
        <v>11098</v>
      </c>
      <c r="F7069" s="267"/>
    </row>
    <row r="7070" spans="1:6" s="253" customFormat="1">
      <c r="A7070" s="40">
        <v>97231</v>
      </c>
      <c r="B7070" s="40">
        <v>0</v>
      </c>
      <c r="C7070" s="40" t="s">
        <v>12922</v>
      </c>
      <c r="D7070" s="40" t="s">
        <v>7917</v>
      </c>
      <c r="E7070" s="42" t="s">
        <v>12854</v>
      </c>
      <c r="F7070" s="267"/>
    </row>
    <row r="7071" spans="1:6" s="253" customFormat="1">
      <c r="A7071" s="40">
        <v>97232</v>
      </c>
      <c r="B7071" s="40">
        <v>0</v>
      </c>
      <c r="C7071" s="40" t="s">
        <v>11126</v>
      </c>
      <c r="D7071" s="40" t="s">
        <v>7918</v>
      </c>
      <c r="E7071" s="42" t="s">
        <v>11059</v>
      </c>
      <c r="F7071" s="267"/>
    </row>
    <row r="7072" spans="1:6" s="253" customFormat="1">
      <c r="A7072" s="40">
        <v>97233</v>
      </c>
      <c r="B7072" s="40">
        <v>0</v>
      </c>
      <c r="C7072" s="40" t="s">
        <v>11165</v>
      </c>
      <c r="D7072" s="40" t="s">
        <v>7919</v>
      </c>
      <c r="E7072" s="42" t="s">
        <v>11098</v>
      </c>
      <c r="F7072" s="267"/>
    </row>
    <row r="7073" spans="1:6" s="253" customFormat="1">
      <c r="A7073" s="40">
        <v>97234</v>
      </c>
      <c r="B7073" s="40">
        <v>0</v>
      </c>
      <c r="C7073" s="40" t="s">
        <v>12922</v>
      </c>
      <c r="D7073" s="40" t="s">
        <v>7920</v>
      </c>
      <c r="E7073" s="42" t="s">
        <v>12854</v>
      </c>
      <c r="F7073" s="267"/>
    </row>
    <row r="7074" spans="1:6" s="253" customFormat="1">
      <c r="A7074" s="40">
        <v>97235</v>
      </c>
      <c r="B7074" s="40">
        <v>0</v>
      </c>
      <c r="C7074" s="40" t="s">
        <v>11126</v>
      </c>
      <c r="D7074" s="40" t="s">
        <v>7921</v>
      </c>
      <c r="E7074" s="42" t="s">
        <v>11059</v>
      </c>
      <c r="F7074" s="267"/>
    </row>
    <row r="7075" spans="1:6" s="253" customFormat="1">
      <c r="A7075" s="40">
        <v>97236</v>
      </c>
      <c r="B7075" s="40">
        <v>0</v>
      </c>
      <c r="C7075" s="40" t="s">
        <v>11166</v>
      </c>
      <c r="D7075" s="40" t="s">
        <v>7922</v>
      </c>
      <c r="E7075" s="42" t="s">
        <v>11099</v>
      </c>
      <c r="F7075" s="267"/>
    </row>
    <row r="7076" spans="1:6" s="253" customFormat="1">
      <c r="A7076" s="40">
        <v>97237</v>
      </c>
      <c r="B7076" s="40">
        <v>0</v>
      </c>
      <c r="C7076" s="40" t="s">
        <v>12923</v>
      </c>
      <c r="D7076" s="40" t="s">
        <v>7923</v>
      </c>
      <c r="E7076" s="42" t="s">
        <v>12855</v>
      </c>
      <c r="F7076" s="267"/>
    </row>
    <row r="7077" spans="1:6" s="253" customFormat="1">
      <c r="A7077" s="40">
        <v>97238</v>
      </c>
      <c r="B7077" s="40">
        <v>0</v>
      </c>
      <c r="C7077" s="40" t="s">
        <v>11126</v>
      </c>
      <c r="D7077" s="40" t="s">
        <v>7924</v>
      </c>
      <c r="E7077" s="42" t="s">
        <v>11059</v>
      </c>
      <c r="F7077" s="267"/>
    </row>
    <row r="7078" spans="1:6" s="253" customFormat="1">
      <c r="A7078" s="40">
        <v>97239</v>
      </c>
      <c r="B7078" s="40">
        <v>0</v>
      </c>
      <c r="C7078" s="40" t="s">
        <v>11166</v>
      </c>
      <c r="D7078" s="40" t="s">
        <v>7925</v>
      </c>
      <c r="E7078" s="42" t="s">
        <v>11099</v>
      </c>
      <c r="F7078" s="267"/>
    </row>
    <row r="7079" spans="1:6" s="253" customFormat="1">
      <c r="A7079" s="40">
        <v>97240</v>
      </c>
      <c r="B7079" s="40">
        <v>0</v>
      </c>
      <c r="C7079" s="40" t="s">
        <v>12923</v>
      </c>
      <c r="D7079" s="40" t="s">
        <v>7926</v>
      </c>
      <c r="E7079" s="42" t="s">
        <v>12855</v>
      </c>
      <c r="F7079" s="267"/>
    </row>
    <row r="7080" spans="1:6" s="253" customFormat="1">
      <c r="A7080" s="40">
        <v>97241</v>
      </c>
      <c r="B7080" s="40">
        <v>0</v>
      </c>
      <c r="C7080" s="40" t="s">
        <v>11126</v>
      </c>
      <c r="D7080" s="40" t="s">
        <v>7927</v>
      </c>
      <c r="E7080" s="42" t="s">
        <v>11059</v>
      </c>
      <c r="F7080" s="267"/>
    </row>
    <row r="7081" spans="1:6" s="253" customFormat="1">
      <c r="A7081" s="40">
        <v>97242</v>
      </c>
      <c r="B7081" s="40">
        <v>0</v>
      </c>
      <c r="C7081" s="40" t="s">
        <v>11167</v>
      </c>
      <c r="D7081" s="40" t="s">
        <v>7928</v>
      </c>
      <c r="E7081" s="42" t="s">
        <v>11100</v>
      </c>
      <c r="F7081" s="267"/>
    </row>
    <row r="7082" spans="1:6" s="253" customFormat="1">
      <c r="A7082" s="40">
        <v>97243</v>
      </c>
      <c r="B7082" s="40">
        <v>0</v>
      </c>
      <c r="C7082" s="40" t="s">
        <v>12924</v>
      </c>
      <c r="D7082" s="40" t="s">
        <v>7929</v>
      </c>
      <c r="E7082" s="42" t="s">
        <v>12856</v>
      </c>
      <c r="F7082" s="267"/>
    </row>
    <row r="7083" spans="1:6" s="253" customFormat="1">
      <c r="A7083" s="40">
        <v>97244</v>
      </c>
      <c r="B7083" s="40">
        <v>0</v>
      </c>
      <c r="C7083" s="40" t="s">
        <v>11126</v>
      </c>
      <c r="D7083" s="40" t="s">
        <v>7930</v>
      </c>
      <c r="E7083" s="42" t="s">
        <v>11059</v>
      </c>
      <c r="F7083" s="267"/>
    </row>
    <row r="7084" spans="1:6" s="253" customFormat="1">
      <c r="A7084" s="40">
        <v>97245</v>
      </c>
      <c r="B7084" s="40">
        <v>0</v>
      </c>
      <c r="C7084" s="40" t="s">
        <v>11167</v>
      </c>
      <c r="D7084" s="40" t="s">
        <v>7931</v>
      </c>
      <c r="E7084" s="42" t="s">
        <v>11100</v>
      </c>
      <c r="F7084" s="267"/>
    </row>
    <row r="7085" spans="1:6" s="253" customFormat="1">
      <c r="A7085" s="40">
        <v>97246</v>
      </c>
      <c r="B7085" s="40">
        <v>0</v>
      </c>
      <c r="C7085" s="40" t="s">
        <v>12924</v>
      </c>
      <c r="D7085" s="40" t="s">
        <v>7932</v>
      </c>
      <c r="E7085" s="42" t="s">
        <v>12856</v>
      </c>
      <c r="F7085" s="267"/>
    </row>
    <row r="7086" spans="1:6" s="253" customFormat="1">
      <c r="A7086" s="40">
        <v>97247</v>
      </c>
      <c r="B7086" s="40">
        <v>0</v>
      </c>
      <c r="C7086" s="40" t="s">
        <v>11126</v>
      </c>
      <c r="D7086" s="40" t="s">
        <v>7933</v>
      </c>
      <c r="E7086" s="42" t="s">
        <v>11059</v>
      </c>
      <c r="F7086" s="267"/>
    </row>
    <row r="7087" spans="1:6" s="253" customFormat="1">
      <c r="A7087" s="40">
        <v>97248</v>
      </c>
      <c r="B7087" s="40">
        <v>0</v>
      </c>
      <c r="C7087" s="40" t="s">
        <v>11168</v>
      </c>
      <c r="D7087" s="40" t="s">
        <v>7934</v>
      </c>
      <c r="E7087" s="42" t="s">
        <v>11101</v>
      </c>
      <c r="F7087" s="267"/>
    </row>
    <row r="7088" spans="1:6" s="253" customFormat="1">
      <c r="A7088" s="40">
        <v>97249</v>
      </c>
      <c r="B7088" s="40">
        <v>0</v>
      </c>
      <c r="C7088" s="40" t="s">
        <v>12925</v>
      </c>
      <c r="D7088" s="40" t="s">
        <v>7935</v>
      </c>
      <c r="E7088" s="42" t="s">
        <v>12857</v>
      </c>
      <c r="F7088" s="267"/>
    </row>
    <row r="7089" spans="1:6" s="253" customFormat="1">
      <c r="A7089" s="40">
        <v>97250</v>
      </c>
      <c r="B7089" s="40">
        <v>0</v>
      </c>
      <c r="C7089" s="40" t="s">
        <v>11126</v>
      </c>
      <c r="D7089" s="40" t="s">
        <v>7936</v>
      </c>
      <c r="E7089" s="42" t="s">
        <v>11059</v>
      </c>
      <c r="F7089" s="267"/>
    </row>
    <row r="7090" spans="1:6" s="253" customFormat="1">
      <c r="A7090" s="40">
        <v>97251</v>
      </c>
      <c r="B7090" s="40">
        <v>0</v>
      </c>
      <c r="C7090" s="40" t="s">
        <v>11168</v>
      </c>
      <c r="D7090" s="40" t="s">
        <v>7937</v>
      </c>
      <c r="E7090" s="42" t="s">
        <v>11101</v>
      </c>
      <c r="F7090" s="267"/>
    </row>
    <row r="7091" spans="1:6" s="253" customFormat="1">
      <c r="A7091" s="40">
        <v>97252</v>
      </c>
      <c r="B7091" s="40">
        <v>0</v>
      </c>
      <c r="C7091" s="40" t="s">
        <v>12925</v>
      </c>
      <c r="D7091" s="40" t="s">
        <v>7938</v>
      </c>
      <c r="E7091" s="42" t="s">
        <v>12857</v>
      </c>
      <c r="F7091" s="267"/>
    </row>
    <row r="7092" spans="1:6" s="253" customFormat="1">
      <c r="A7092" s="40">
        <v>97253</v>
      </c>
      <c r="B7092" s="40">
        <v>0</v>
      </c>
      <c r="C7092" s="40" t="s">
        <v>11126</v>
      </c>
      <c r="D7092" s="40" t="s">
        <v>7939</v>
      </c>
      <c r="E7092" s="42" t="s">
        <v>11059</v>
      </c>
      <c r="F7092" s="267"/>
    </row>
    <row r="7093" spans="1:6" s="253" customFormat="1">
      <c r="A7093" s="40">
        <v>97254</v>
      </c>
      <c r="B7093" s="40">
        <v>0</v>
      </c>
      <c r="C7093" s="40" t="s">
        <v>11169</v>
      </c>
      <c r="D7093" s="40" t="s">
        <v>7940</v>
      </c>
      <c r="E7093" s="42" t="s">
        <v>11102</v>
      </c>
      <c r="F7093" s="267"/>
    </row>
    <row r="7094" spans="1:6" s="253" customFormat="1">
      <c r="A7094" s="40">
        <v>97255</v>
      </c>
      <c r="B7094" s="40">
        <v>0</v>
      </c>
      <c r="C7094" s="40" t="s">
        <v>12926</v>
      </c>
      <c r="D7094" s="40" t="s">
        <v>7941</v>
      </c>
      <c r="E7094" s="42" t="s">
        <v>12858</v>
      </c>
      <c r="F7094" s="267"/>
    </row>
    <row r="7095" spans="1:6" s="253" customFormat="1">
      <c r="A7095" s="40">
        <v>97256</v>
      </c>
      <c r="B7095" s="40">
        <v>0</v>
      </c>
      <c r="C7095" s="40" t="s">
        <v>11126</v>
      </c>
      <c r="D7095" s="40" t="s">
        <v>7942</v>
      </c>
      <c r="E7095" s="42" t="s">
        <v>11059</v>
      </c>
      <c r="F7095" s="267"/>
    </row>
    <row r="7096" spans="1:6" s="253" customFormat="1">
      <c r="A7096" s="40">
        <v>97257</v>
      </c>
      <c r="B7096" s="40">
        <v>0</v>
      </c>
      <c r="C7096" s="40" t="s">
        <v>11169</v>
      </c>
      <c r="D7096" s="40" t="s">
        <v>7943</v>
      </c>
      <c r="E7096" s="42" t="s">
        <v>11102</v>
      </c>
      <c r="F7096" s="267"/>
    </row>
    <row r="7097" spans="1:6" s="253" customFormat="1">
      <c r="A7097" s="40">
        <v>97258</v>
      </c>
      <c r="B7097" s="40">
        <v>0</v>
      </c>
      <c r="C7097" s="40" t="s">
        <v>12926</v>
      </c>
      <c r="D7097" s="40" t="s">
        <v>7944</v>
      </c>
      <c r="E7097" s="42" t="s">
        <v>12858</v>
      </c>
      <c r="F7097" s="267"/>
    </row>
    <row r="7098" spans="1:6" s="253" customFormat="1">
      <c r="A7098" s="40">
        <v>97259</v>
      </c>
      <c r="B7098" s="40">
        <v>0</v>
      </c>
      <c r="C7098" s="40" t="s">
        <v>11126</v>
      </c>
      <c r="D7098" s="40" t="s">
        <v>7945</v>
      </c>
      <c r="E7098" s="42" t="s">
        <v>11059</v>
      </c>
      <c r="F7098" s="267"/>
    </row>
    <row r="7099" spans="1:6" s="253" customFormat="1">
      <c r="A7099" s="40">
        <v>97260</v>
      </c>
      <c r="B7099" s="40">
        <v>0</v>
      </c>
      <c r="C7099" s="40" t="s">
        <v>11170</v>
      </c>
      <c r="D7099" s="40" t="s">
        <v>7946</v>
      </c>
      <c r="E7099" s="42" t="s">
        <v>11103</v>
      </c>
      <c r="F7099" s="267"/>
    </row>
    <row r="7100" spans="1:6" s="253" customFormat="1">
      <c r="A7100" s="40">
        <v>97261</v>
      </c>
      <c r="B7100" s="40">
        <v>0</v>
      </c>
      <c r="C7100" s="40" t="s">
        <v>12927</v>
      </c>
      <c r="D7100" s="40" t="s">
        <v>7947</v>
      </c>
      <c r="E7100" s="42" t="s">
        <v>12859</v>
      </c>
      <c r="F7100" s="267"/>
    </row>
    <row r="7101" spans="1:6" s="253" customFormat="1">
      <c r="A7101" s="40">
        <v>97262</v>
      </c>
      <c r="B7101" s="40">
        <v>0</v>
      </c>
      <c r="C7101" s="40" t="s">
        <v>11126</v>
      </c>
      <c r="D7101" s="40" t="s">
        <v>7948</v>
      </c>
      <c r="E7101" s="42" t="s">
        <v>11059</v>
      </c>
      <c r="F7101" s="267"/>
    </row>
    <row r="7102" spans="1:6" s="253" customFormat="1">
      <c r="A7102" s="40">
        <v>97263</v>
      </c>
      <c r="B7102" s="40">
        <v>0</v>
      </c>
      <c r="C7102" s="40" t="s">
        <v>11170</v>
      </c>
      <c r="D7102" s="40" t="s">
        <v>7949</v>
      </c>
      <c r="E7102" s="42" t="s">
        <v>11103</v>
      </c>
      <c r="F7102" s="267"/>
    </row>
    <row r="7103" spans="1:6" s="253" customFormat="1">
      <c r="A7103" s="40">
        <v>97264</v>
      </c>
      <c r="B7103" s="40">
        <v>0</v>
      </c>
      <c r="C7103" s="40" t="s">
        <v>12927</v>
      </c>
      <c r="D7103" s="40" t="s">
        <v>7950</v>
      </c>
      <c r="E7103" s="42" t="s">
        <v>12859</v>
      </c>
      <c r="F7103" s="267"/>
    </row>
    <row r="7104" spans="1:6" s="253" customFormat="1">
      <c r="A7104" s="40">
        <v>97265</v>
      </c>
      <c r="B7104" s="40">
        <v>0</v>
      </c>
      <c r="C7104" s="40" t="s">
        <v>11126</v>
      </c>
      <c r="D7104" s="40" t="s">
        <v>7951</v>
      </c>
      <c r="E7104" s="42" t="s">
        <v>11059</v>
      </c>
      <c r="F7104" s="267"/>
    </row>
    <row r="7105" spans="1:6" s="253" customFormat="1">
      <c r="A7105" s="40">
        <v>97266</v>
      </c>
      <c r="B7105" s="40">
        <v>0</v>
      </c>
      <c r="C7105" s="40" t="s">
        <v>11171</v>
      </c>
      <c r="D7105" s="40" t="s">
        <v>7952</v>
      </c>
      <c r="E7105" s="42" t="s">
        <v>11104</v>
      </c>
      <c r="F7105" s="267"/>
    </row>
    <row r="7106" spans="1:6" s="253" customFormat="1">
      <c r="A7106" s="40">
        <v>97267</v>
      </c>
      <c r="B7106" s="40">
        <v>0</v>
      </c>
      <c r="C7106" s="40" t="s">
        <v>12928</v>
      </c>
      <c r="D7106" s="40" t="s">
        <v>7953</v>
      </c>
      <c r="E7106" s="42" t="s">
        <v>12860</v>
      </c>
      <c r="F7106" s="267"/>
    </row>
    <row r="7107" spans="1:6" s="253" customFormat="1">
      <c r="A7107" s="40">
        <v>97268</v>
      </c>
      <c r="B7107" s="40">
        <v>0</v>
      </c>
      <c r="C7107" s="40" t="s">
        <v>11126</v>
      </c>
      <c r="D7107" s="40" t="s">
        <v>7954</v>
      </c>
      <c r="E7107" s="42" t="s">
        <v>11059</v>
      </c>
      <c r="F7107" s="267"/>
    </row>
    <row r="7108" spans="1:6" s="253" customFormat="1">
      <c r="A7108" s="40">
        <v>97269</v>
      </c>
      <c r="B7108" s="40">
        <v>0</v>
      </c>
      <c r="C7108" s="40" t="s">
        <v>11171</v>
      </c>
      <c r="D7108" s="40" t="s">
        <v>7955</v>
      </c>
      <c r="E7108" s="42" t="s">
        <v>11104</v>
      </c>
      <c r="F7108" s="267"/>
    </row>
    <row r="7109" spans="1:6" s="253" customFormat="1">
      <c r="A7109" s="40">
        <v>97270</v>
      </c>
      <c r="B7109" s="40">
        <v>0</v>
      </c>
      <c r="C7109" s="40" t="s">
        <v>12928</v>
      </c>
      <c r="D7109" s="40" t="s">
        <v>7956</v>
      </c>
      <c r="E7109" s="42" t="s">
        <v>12860</v>
      </c>
      <c r="F7109" s="267"/>
    </row>
    <row r="7110" spans="1:6" s="253" customFormat="1">
      <c r="A7110" s="40">
        <v>97271</v>
      </c>
      <c r="B7110" s="40">
        <v>0</v>
      </c>
      <c r="C7110" s="40" t="s">
        <v>11126</v>
      </c>
      <c r="D7110" s="40" t="s">
        <v>7957</v>
      </c>
      <c r="E7110" s="42" t="s">
        <v>11059</v>
      </c>
      <c r="F7110" s="267"/>
    </row>
    <row r="7111" spans="1:6" s="253" customFormat="1">
      <c r="A7111" s="40">
        <v>97272</v>
      </c>
      <c r="B7111" s="40">
        <v>0</v>
      </c>
      <c r="C7111" s="40" t="s">
        <v>11172</v>
      </c>
      <c r="D7111" s="40" t="s">
        <v>7958</v>
      </c>
      <c r="E7111" s="42" t="s">
        <v>11105</v>
      </c>
      <c r="F7111" s="267"/>
    </row>
    <row r="7112" spans="1:6" s="253" customFormat="1">
      <c r="A7112" s="40">
        <v>97273</v>
      </c>
      <c r="B7112" s="40">
        <v>0</v>
      </c>
      <c r="C7112" s="40" t="s">
        <v>12929</v>
      </c>
      <c r="D7112" s="40" t="s">
        <v>7959</v>
      </c>
      <c r="E7112" s="42" t="s">
        <v>12861</v>
      </c>
      <c r="F7112" s="267"/>
    </row>
    <row r="7113" spans="1:6" s="253" customFormat="1">
      <c r="A7113" s="40">
        <v>97274</v>
      </c>
      <c r="B7113" s="40">
        <v>0</v>
      </c>
      <c r="C7113" s="40" t="s">
        <v>11126</v>
      </c>
      <c r="D7113" s="40" t="s">
        <v>7960</v>
      </c>
      <c r="E7113" s="42" t="s">
        <v>11059</v>
      </c>
      <c r="F7113" s="267"/>
    </row>
    <row r="7114" spans="1:6" s="253" customFormat="1">
      <c r="A7114" s="40">
        <v>97275</v>
      </c>
      <c r="B7114" s="40">
        <v>0</v>
      </c>
      <c r="C7114" s="40" t="s">
        <v>11172</v>
      </c>
      <c r="D7114" s="40" t="s">
        <v>7961</v>
      </c>
      <c r="E7114" s="42" t="s">
        <v>11105</v>
      </c>
      <c r="F7114" s="267"/>
    </row>
    <row r="7115" spans="1:6" s="253" customFormat="1">
      <c r="A7115" s="40">
        <v>97276</v>
      </c>
      <c r="B7115" s="40">
        <v>0</v>
      </c>
      <c r="C7115" s="40" t="s">
        <v>12929</v>
      </c>
      <c r="D7115" s="40" t="s">
        <v>7962</v>
      </c>
      <c r="E7115" s="42" t="s">
        <v>12861</v>
      </c>
      <c r="F7115" s="267"/>
    </row>
    <row r="7116" spans="1:6" s="253" customFormat="1">
      <c r="A7116" s="40">
        <v>97277</v>
      </c>
      <c r="B7116" s="40">
        <v>0</v>
      </c>
      <c r="C7116" s="40" t="s">
        <v>11126</v>
      </c>
      <c r="D7116" s="40" t="s">
        <v>7963</v>
      </c>
      <c r="E7116" s="42" t="s">
        <v>11059</v>
      </c>
      <c r="F7116" s="267"/>
    </row>
    <row r="7117" spans="1:6" s="253" customFormat="1">
      <c r="A7117" s="40">
        <v>97278</v>
      </c>
      <c r="B7117" s="40">
        <v>0</v>
      </c>
      <c r="C7117" s="40" t="s">
        <v>11173</v>
      </c>
      <c r="D7117" s="40" t="s">
        <v>7964</v>
      </c>
      <c r="E7117" s="42" t="s">
        <v>11106</v>
      </c>
      <c r="F7117" s="267"/>
    </row>
    <row r="7118" spans="1:6" s="253" customFormat="1">
      <c r="A7118" s="40">
        <v>97279</v>
      </c>
      <c r="B7118" s="40">
        <v>0</v>
      </c>
      <c r="C7118" s="40" t="s">
        <v>12930</v>
      </c>
      <c r="D7118" s="40" t="s">
        <v>7965</v>
      </c>
      <c r="E7118" s="42" t="s">
        <v>12862</v>
      </c>
      <c r="F7118" s="267"/>
    </row>
    <row r="7119" spans="1:6" s="253" customFormat="1">
      <c r="A7119" s="40">
        <v>97280</v>
      </c>
      <c r="B7119" s="40">
        <v>0</v>
      </c>
      <c r="C7119" s="40" t="s">
        <v>11126</v>
      </c>
      <c r="D7119" s="40" t="s">
        <v>7966</v>
      </c>
      <c r="E7119" s="42" t="s">
        <v>11059</v>
      </c>
      <c r="F7119" s="267"/>
    </row>
    <row r="7120" spans="1:6" s="253" customFormat="1">
      <c r="A7120" s="40">
        <v>97281</v>
      </c>
      <c r="B7120" s="40">
        <v>0</v>
      </c>
      <c r="C7120" s="40" t="s">
        <v>11173</v>
      </c>
      <c r="D7120" s="40" t="s">
        <v>7967</v>
      </c>
      <c r="E7120" s="42" t="s">
        <v>11106</v>
      </c>
      <c r="F7120" s="267"/>
    </row>
    <row r="7121" spans="1:6" s="253" customFormat="1">
      <c r="A7121" s="40">
        <v>97282</v>
      </c>
      <c r="B7121" s="40">
        <v>0</v>
      </c>
      <c r="C7121" s="40" t="s">
        <v>12930</v>
      </c>
      <c r="D7121" s="40" t="s">
        <v>7968</v>
      </c>
      <c r="E7121" s="42" t="s">
        <v>12862</v>
      </c>
      <c r="F7121" s="267"/>
    </row>
    <row r="7122" spans="1:6" s="253" customFormat="1">
      <c r="A7122" s="40">
        <v>97283</v>
      </c>
      <c r="B7122" s="40">
        <v>0</v>
      </c>
      <c r="C7122" s="40" t="s">
        <v>11126</v>
      </c>
      <c r="D7122" s="40" t="s">
        <v>7969</v>
      </c>
      <c r="E7122" s="42" t="s">
        <v>11059</v>
      </c>
      <c r="F7122" s="267"/>
    </row>
    <row r="7123" spans="1:6" s="253" customFormat="1">
      <c r="A7123" s="40">
        <v>97284</v>
      </c>
      <c r="B7123" s="40">
        <v>0</v>
      </c>
      <c r="C7123" s="40" t="s">
        <v>11174</v>
      </c>
      <c r="D7123" s="40" t="s">
        <v>7970</v>
      </c>
      <c r="E7123" s="42" t="s">
        <v>11107</v>
      </c>
      <c r="F7123" s="267"/>
    </row>
    <row r="7124" spans="1:6" s="253" customFormat="1">
      <c r="A7124" s="40">
        <v>97285</v>
      </c>
      <c r="B7124" s="40">
        <v>0</v>
      </c>
      <c r="C7124" s="40" t="s">
        <v>12931</v>
      </c>
      <c r="D7124" s="40" t="s">
        <v>7971</v>
      </c>
      <c r="E7124" s="42" t="s">
        <v>12863</v>
      </c>
      <c r="F7124" s="267"/>
    </row>
    <row r="7125" spans="1:6" s="253" customFormat="1">
      <c r="A7125" s="40">
        <v>97286</v>
      </c>
      <c r="B7125" s="40">
        <v>0</v>
      </c>
      <c r="C7125" s="40" t="s">
        <v>11126</v>
      </c>
      <c r="D7125" s="40" t="s">
        <v>7972</v>
      </c>
      <c r="E7125" s="42" t="s">
        <v>11059</v>
      </c>
      <c r="F7125" s="267"/>
    </row>
    <row r="7126" spans="1:6" s="253" customFormat="1">
      <c r="A7126" s="40">
        <v>97287</v>
      </c>
      <c r="B7126" s="40">
        <v>0</v>
      </c>
      <c r="C7126" s="40" t="s">
        <v>11174</v>
      </c>
      <c r="D7126" s="40" t="s">
        <v>7973</v>
      </c>
      <c r="E7126" s="42" t="s">
        <v>11107</v>
      </c>
      <c r="F7126" s="267"/>
    </row>
    <row r="7127" spans="1:6" s="253" customFormat="1">
      <c r="A7127" s="40">
        <v>97288</v>
      </c>
      <c r="B7127" s="40">
        <v>0</v>
      </c>
      <c r="C7127" s="40" t="s">
        <v>12931</v>
      </c>
      <c r="D7127" s="40" t="s">
        <v>7974</v>
      </c>
      <c r="E7127" s="42" t="s">
        <v>12863</v>
      </c>
      <c r="F7127" s="267"/>
    </row>
    <row r="7128" spans="1:6" s="253" customFormat="1">
      <c r="A7128" s="40">
        <v>97289</v>
      </c>
      <c r="B7128" s="40">
        <v>0</v>
      </c>
      <c r="C7128" s="40" t="s">
        <v>11126</v>
      </c>
      <c r="D7128" s="40" t="s">
        <v>7975</v>
      </c>
      <c r="E7128" s="42" t="s">
        <v>11059</v>
      </c>
      <c r="F7128" s="267"/>
    </row>
    <row r="7129" spans="1:6" s="253" customFormat="1">
      <c r="A7129" s="40">
        <v>97290</v>
      </c>
      <c r="B7129" s="40">
        <v>0</v>
      </c>
      <c r="C7129" s="40" t="s">
        <v>11175</v>
      </c>
      <c r="D7129" s="40" t="s">
        <v>7976</v>
      </c>
      <c r="E7129" s="42" t="s">
        <v>11108</v>
      </c>
      <c r="F7129" s="267"/>
    </row>
    <row r="7130" spans="1:6" s="253" customFormat="1">
      <c r="A7130" s="40">
        <v>97291</v>
      </c>
      <c r="B7130" s="40">
        <v>0</v>
      </c>
      <c r="C7130" s="40" t="s">
        <v>12932</v>
      </c>
      <c r="D7130" s="40" t="s">
        <v>7977</v>
      </c>
      <c r="E7130" s="42" t="s">
        <v>12864</v>
      </c>
      <c r="F7130" s="267"/>
    </row>
    <row r="7131" spans="1:6" s="253" customFormat="1">
      <c r="A7131" s="40">
        <v>97292</v>
      </c>
      <c r="B7131" s="40">
        <v>0</v>
      </c>
      <c r="C7131" s="40" t="s">
        <v>11126</v>
      </c>
      <c r="D7131" s="40" t="s">
        <v>7978</v>
      </c>
      <c r="E7131" s="42" t="s">
        <v>11059</v>
      </c>
      <c r="F7131" s="267"/>
    </row>
    <row r="7132" spans="1:6" s="253" customFormat="1">
      <c r="A7132" s="40">
        <v>97293</v>
      </c>
      <c r="B7132" s="40">
        <v>0</v>
      </c>
      <c r="C7132" s="40" t="s">
        <v>11175</v>
      </c>
      <c r="D7132" s="40" t="s">
        <v>7979</v>
      </c>
      <c r="E7132" s="42" t="s">
        <v>11108</v>
      </c>
      <c r="F7132" s="267"/>
    </row>
    <row r="7133" spans="1:6" s="253" customFormat="1">
      <c r="A7133" s="40">
        <v>97294</v>
      </c>
      <c r="B7133" s="40">
        <v>0</v>
      </c>
      <c r="C7133" s="40" t="s">
        <v>12932</v>
      </c>
      <c r="D7133" s="40" t="s">
        <v>7980</v>
      </c>
      <c r="E7133" s="42" t="s">
        <v>12864</v>
      </c>
      <c r="F7133" s="267"/>
    </row>
    <row r="7134" spans="1:6" s="253" customFormat="1">
      <c r="A7134" s="40">
        <v>97295</v>
      </c>
      <c r="B7134" s="40">
        <v>0</v>
      </c>
      <c r="C7134" s="40" t="s">
        <v>11126</v>
      </c>
      <c r="D7134" s="40" t="s">
        <v>7981</v>
      </c>
      <c r="E7134" s="42" t="s">
        <v>11059</v>
      </c>
      <c r="F7134" s="267"/>
    </row>
    <row r="7135" spans="1:6" s="253" customFormat="1">
      <c r="A7135" s="40">
        <v>97296</v>
      </c>
      <c r="B7135" s="40">
        <v>0</v>
      </c>
      <c r="C7135" s="40" t="s">
        <v>11176</v>
      </c>
      <c r="D7135" s="40" t="s">
        <v>7982</v>
      </c>
      <c r="E7135" s="42" t="s">
        <v>11109</v>
      </c>
      <c r="F7135" s="267"/>
    </row>
    <row r="7136" spans="1:6" s="253" customFormat="1">
      <c r="A7136" s="40">
        <v>97297</v>
      </c>
      <c r="B7136" s="40">
        <v>0</v>
      </c>
      <c r="C7136" s="40" t="s">
        <v>12933</v>
      </c>
      <c r="D7136" s="40" t="s">
        <v>7983</v>
      </c>
      <c r="E7136" s="42" t="s">
        <v>12865</v>
      </c>
      <c r="F7136" s="267"/>
    </row>
    <row r="7137" spans="1:6" s="253" customFormat="1">
      <c r="A7137" s="40">
        <v>97298</v>
      </c>
      <c r="B7137" s="40">
        <v>0</v>
      </c>
      <c r="C7137" s="40" t="s">
        <v>11126</v>
      </c>
      <c r="D7137" s="40" t="s">
        <v>7984</v>
      </c>
      <c r="E7137" s="42" t="s">
        <v>11059</v>
      </c>
      <c r="F7137" s="267"/>
    </row>
    <row r="7138" spans="1:6" s="253" customFormat="1">
      <c r="A7138" s="40">
        <v>97299</v>
      </c>
      <c r="B7138" s="40">
        <v>0</v>
      </c>
      <c r="C7138" s="40" t="s">
        <v>11176</v>
      </c>
      <c r="D7138" s="40" t="s">
        <v>7985</v>
      </c>
      <c r="E7138" s="42" t="s">
        <v>11109</v>
      </c>
      <c r="F7138" s="267"/>
    </row>
    <row r="7139" spans="1:6" s="253" customFormat="1">
      <c r="A7139" s="40">
        <v>97300</v>
      </c>
      <c r="B7139" s="40">
        <v>0</v>
      </c>
      <c r="C7139" s="40" t="s">
        <v>12933</v>
      </c>
      <c r="D7139" s="40" t="s">
        <v>7986</v>
      </c>
      <c r="E7139" s="42" t="s">
        <v>12865</v>
      </c>
      <c r="F7139" s="267"/>
    </row>
    <row r="7140" spans="1:6" s="253" customFormat="1">
      <c r="A7140" s="40">
        <v>97301</v>
      </c>
      <c r="B7140" s="40">
        <v>0</v>
      </c>
      <c r="C7140" s="40" t="s">
        <v>11126</v>
      </c>
      <c r="D7140" s="40" t="s">
        <v>7987</v>
      </c>
      <c r="E7140" s="42" t="s">
        <v>11059</v>
      </c>
      <c r="F7140" s="267"/>
    </row>
    <row r="7141" spans="1:6" s="253" customFormat="1">
      <c r="A7141" s="40">
        <v>97302</v>
      </c>
      <c r="B7141" s="40">
        <v>0</v>
      </c>
      <c r="C7141" s="40" t="s">
        <v>11177</v>
      </c>
      <c r="D7141" s="40" t="s">
        <v>7988</v>
      </c>
      <c r="E7141" s="42" t="s">
        <v>11110</v>
      </c>
      <c r="F7141" s="267"/>
    </row>
    <row r="7142" spans="1:6" s="253" customFormat="1">
      <c r="A7142" s="40">
        <v>97303</v>
      </c>
      <c r="B7142" s="40">
        <v>0</v>
      </c>
      <c r="C7142" s="40" t="s">
        <v>12934</v>
      </c>
      <c r="D7142" s="40" t="s">
        <v>7989</v>
      </c>
      <c r="E7142" s="42" t="s">
        <v>12866</v>
      </c>
      <c r="F7142" s="267"/>
    </row>
    <row r="7143" spans="1:6" s="253" customFormat="1">
      <c r="A7143" s="40">
        <v>97304</v>
      </c>
      <c r="B7143" s="40">
        <v>0</v>
      </c>
      <c r="C7143" s="40" t="s">
        <v>11126</v>
      </c>
      <c r="D7143" s="40" t="s">
        <v>7990</v>
      </c>
      <c r="E7143" s="42" t="s">
        <v>11059</v>
      </c>
      <c r="F7143" s="267"/>
    </row>
    <row r="7144" spans="1:6" s="253" customFormat="1">
      <c r="A7144" s="40">
        <v>97305</v>
      </c>
      <c r="B7144" s="40">
        <v>0</v>
      </c>
      <c r="C7144" s="40" t="s">
        <v>11177</v>
      </c>
      <c r="D7144" s="40" t="s">
        <v>7991</v>
      </c>
      <c r="E7144" s="42" t="s">
        <v>11110</v>
      </c>
      <c r="F7144" s="267"/>
    </row>
    <row r="7145" spans="1:6" s="253" customFormat="1">
      <c r="A7145" s="40">
        <v>97306</v>
      </c>
      <c r="B7145" s="40">
        <v>0</v>
      </c>
      <c r="C7145" s="40" t="s">
        <v>12934</v>
      </c>
      <c r="D7145" s="40" t="s">
        <v>7992</v>
      </c>
      <c r="E7145" s="42" t="s">
        <v>12866</v>
      </c>
      <c r="F7145" s="267"/>
    </row>
    <row r="7146" spans="1:6" s="253" customFormat="1">
      <c r="A7146" s="40">
        <v>97307</v>
      </c>
      <c r="B7146" s="40">
        <v>0</v>
      </c>
      <c r="C7146" s="40" t="s">
        <v>11126</v>
      </c>
      <c r="D7146" s="40" t="s">
        <v>7993</v>
      </c>
      <c r="E7146" s="42" t="s">
        <v>11059</v>
      </c>
      <c r="F7146" s="267"/>
    </row>
    <row r="7147" spans="1:6" s="253" customFormat="1">
      <c r="A7147" s="40">
        <v>97308</v>
      </c>
      <c r="B7147" s="40">
        <v>0</v>
      </c>
      <c r="C7147" s="40" t="s">
        <v>11178</v>
      </c>
      <c r="D7147" s="40" t="s">
        <v>7994</v>
      </c>
      <c r="E7147" s="42" t="s">
        <v>11111</v>
      </c>
      <c r="F7147" s="267"/>
    </row>
    <row r="7148" spans="1:6" s="253" customFormat="1">
      <c r="A7148" s="40">
        <v>97309</v>
      </c>
      <c r="B7148" s="40">
        <v>0</v>
      </c>
      <c r="C7148" s="40" t="s">
        <v>12935</v>
      </c>
      <c r="D7148" s="40" t="s">
        <v>7995</v>
      </c>
      <c r="E7148" s="42" t="s">
        <v>12867</v>
      </c>
      <c r="F7148" s="267"/>
    </row>
    <row r="7149" spans="1:6" s="253" customFormat="1">
      <c r="A7149" s="40">
        <v>97310</v>
      </c>
      <c r="B7149" s="40">
        <v>0</v>
      </c>
      <c r="C7149" s="40" t="s">
        <v>11126</v>
      </c>
      <c r="D7149" s="40" t="s">
        <v>7996</v>
      </c>
      <c r="E7149" s="42" t="s">
        <v>11059</v>
      </c>
      <c r="F7149" s="267"/>
    </row>
    <row r="7150" spans="1:6" s="253" customFormat="1">
      <c r="A7150" s="40">
        <v>97311</v>
      </c>
      <c r="B7150" s="40">
        <v>0</v>
      </c>
      <c r="C7150" s="40" t="s">
        <v>11178</v>
      </c>
      <c r="D7150" s="40" t="s">
        <v>7997</v>
      </c>
      <c r="E7150" s="42" t="s">
        <v>11111</v>
      </c>
      <c r="F7150" s="267"/>
    </row>
    <row r="7151" spans="1:6" s="253" customFormat="1">
      <c r="A7151" s="40">
        <v>97312</v>
      </c>
      <c r="B7151" s="40">
        <v>0</v>
      </c>
      <c r="C7151" s="40" t="s">
        <v>12935</v>
      </c>
      <c r="D7151" s="40" t="s">
        <v>7998</v>
      </c>
      <c r="E7151" s="42" t="s">
        <v>12867</v>
      </c>
      <c r="F7151" s="267"/>
    </row>
    <row r="7152" spans="1:6" s="253" customFormat="1">
      <c r="A7152" s="40">
        <v>97313</v>
      </c>
      <c r="B7152" s="40">
        <v>0</v>
      </c>
      <c r="C7152" s="40" t="s">
        <v>11126</v>
      </c>
      <c r="D7152" s="40" t="s">
        <v>7999</v>
      </c>
      <c r="E7152" s="42" t="s">
        <v>11059</v>
      </c>
      <c r="F7152" s="267"/>
    </row>
    <row r="7153" spans="1:6" s="253" customFormat="1">
      <c r="A7153" s="40">
        <v>97314</v>
      </c>
      <c r="B7153" s="40">
        <v>0</v>
      </c>
      <c r="C7153" s="40" t="s">
        <v>11179</v>
      </c>
      <c r="D7153" s="40" t="s">
        <v>8000</v>
      </c>
      <c r="E7153" s="42" t="s">
        <v>11112</v>
      </c>
      <c r="F7153" s="267"/>
    </row>
    <row r="7154" spans="1:6" s="253" customFormat="1">
      <c r="A7154" s="40">
        <v>97315</v>
      </c>
      <c r="B7154" s="40">
        <v>0</v>
      </c>
      <c r="C7154" s="40" t="s">
        <v>12936</v>
      </c>
      <c r="D7154" s="40" t="s">
        <v>8001</v>
      </c>
      <c r="E7154" s="42" t="s">
        <v>12868</v>
      </c>
      <c r="F7154" s="267"/>
    </row>
    <row r="7155" spans="1:6" s="253" customFormat="1">
      <c r="A7155" s="40">
        <v>97316</v>
      </c>
      <c r="B7155" s="40">
        <v>0</v>
      </c>
      <c r="C7155" s="40" t="s">
        <v>11126</v>
      </c>
      <c r="D7155" s="40" t="s">
        <v>8002</v>
      </c>
      <c r="E7155" s="42" t="s">
        <v>11059</v>
      </c>
      <c r="F7155" s="267"/>
    </row>
    <row r="7156" spans="1:6" s="253" customFormat="1">
      <c r="A7156" s="40">
        <v>97317</v>
      </c>
      <c r="B7156" s="40">
        <v>0</v>
      </c>
      <c r="C7156" s="40" t="s">
        <v>11179</v>
      </c>
      <c r="D7156" s="40" t="s">
        <v>8003</v>
      </c>
      <c r="E7156" s="42" t="s">
        <v>11112</v>
      </c>
      <c r="F7156" s="267"/>
    </row>
    <row r="7157" spans="1:6" s="253" customFormat="1">
      <c r="A7157" s="40">
        <v>97318</v>
      </c>
      <c r="B7157" s="40">
        <v>0</v>
      </c>
      <c r="C7157" s="40" t="s">
        <v>12936</v>
      </c>
      <c r="D7157" s="40" t="s">
        <v>8004</v>
      </c>
      <c r="E7157" s="42" t="s">
        <v>12868</v>
      </c>
      <c r="F7157" s="267"/>
    </row>
    <row r="7158" spans="1:6" s="253" customFormat="1">
      <c r="A7158" s="40">
        <v>97319</v>
      </c>
      <c r="B7158" s="40">
        <v>0</v>
      </c>
      <c r="C7158" s="40" t="s">
        <v>11126</v>
      </c>
      <c r="D7158" s="40" t="s">
        <v>8005</v>
      </c>
      <c r="E7158" s="42" t="s">
        <v>11059</v>
      </c>
      <c r="F7158" s="267"/>
    </row>
    <row r="7159" spans="1:6" s="253" customFormat="1">
      <c r="A7159" s="40">
        <v>97320</v>
      </c>
      <c r="B7159" s="40">
        <v>0</v>
      </c>
      <c r="C7159" s="40" t="s">
        <v>11180</v>
      </c>
      <c r="D7159" s="40" t="s">
        <v>8006</v>
      </c>
      <c r="E7159" s="42" t="s">
        <v>11113</v>
      </c>
      <c r="F7159" s="267"/>
    </row>
    <row r="7160" spans="1:6" s="253" customFormat="1">
      <c r="A7160" s="40">
        <v>97321</v>
      </c>
      <c r="B7160" s="40">
        <v>0</v>
      </c>
      <c r="C7160" s="40" t="s">
        <v>12937</v>
      </c>
      <c r="D7160" s="40" t="s">
        <v>8007</v>
      </c>
      <c r="E7160" s="42" t="s">
        <v>12869</v>
      </c>
      <c r="F7160" s="267"/>
    </row>
    <row r="7161" spans="1:6" s="253" customFormat="1">
      <c r="A7161" s="40">
        <v>97322</v>
      </c>
      <c r="B7161" s="40">
        <v>0</v>
      </c>
      <c r="C7161" s="40" t="s">
        <v>11126</v>
      </c>
      <c r="D7161" s="40" t="s">
        <v>8008</v>
      </c>
      <c r="E7161" s="42" t="s">
        <v>11059</v>
      </c>
      <c r="F7161" s="267"/>
    </row>
    <row r="7162" spans="1:6" s="253" customFormat="1">
      <c r="A7162" s="40">
        <v>97323</v>
      </c>
      <c r="B7162" s="40">
        <v>0</v>
      </c>
      <c r="C7162" s="40" t="s">
        <v>11180</v>
      </c>
      <c r="D7162" s="40" t="s">
        <v>8009</v>
      </c>
      <c r="E7162" s="42" t="s">
        <v>11113</v>
      </c>
      <c r="F7162" s="267"/>
    </row>
    <row r="7163" spans="1:6" s="253" customFormat="1">
      <c r="A7163" s="40">
        <v>97324</v>
      </c>
      <c r="B7163" s="40">
        <v>0</v>
      </c>
      <c r="C7163" s="40" t="s">
        <v>12937</v>
      </c>
      <c r="D7163" s="40" t="s">
        <v>8010</v>
      </c>
      <c r="E7163" s="42" t="s">
        <v>12869</v>
      </c>
      <c r="F7163" s="267"/>
    </row>
    <row r="7164" spans="1:6" s="253" customFormat="1">
      <c r="A7164" s="40">
        <v>97325</v>
      </c>
      <c r="B7164" s="40">
        <v>0</v>
      </c>
      <c r="C7164" s="40" t="s">
        <v>11126</v>
      </c>
      <c r="D7164" s="40" t="s">
        <v>8011</v>
      </c>
      <c r="E7164" s="42" t="s">
        <v>11059</v>
      </c>
      <c r="F7164" s="267"/>
    </row>
    <row r="7165" spans="1:6" s="253" customFormat="1">
      <c r="A7165" s="40">
        <v>97326</v>
      </c>
      <c r="B7165" s="40">
        <v>0</v>
      </c>
      <c r="C7165" s="40" t="s">
        <v>11181</v>
      </c>
      <c r="D7165" s="40" t="s">
        <v>8012</v>
      </c>
      <c r="E7165" s="42" t="s">
        <v>11114</v>
      </c>
      <c r="F7165" s="267"/>
    </row>
    <row r="7166" spans="1:6" s="253" customFormat="1">
      <c r="A7166" s="40">
        <v>97327</v>
      </c>
      <c r="B7166" s="40">
        <v>0</v>
      </c>
      <c r="C7166" s="40" t="s">
        <v>12938</v>
      </c>
      <c r="D7166" s="40" t="s">
        <v>8013</v>
      </c>
      <c r="E7166" s="42" t="s">
        <v>12870</v>
      </c>
      <c r="F7166" s="267"/>
    </row>
    <row r="7167" spans="1:6" s="253" customFormat="1">
      <c r="A7167" s="40">
        <v>97328</v>
      </c>
      <c r="B7167" s="40">
        <v>0</v>
      </c>
      <c r="C7167" s="40" t="s">
        <v>11126</v>
      </c>
      <c r="D7167" s="40" t="s">
        <v>8014</v>
      </c>
      <c r="E7167" s="42" t="s">
        <v>11059</v>
      </c>
      <c r="F7167" s="267"/>
    </row>
    <row r="7168" spans="1:6" s="253" customFormat="1">
      <c r="A7168" s="40">
        <v>97329</v>
      </c>
      <c r="B7168" s="40">
        <v>0</v>
      </c>
      <c r="C7168" s="40" t="s">
        <v>11181</v>
      </c>
      <c r="D7168" s="40" t="s">
        <v>8015</v>
      </c>
      <c r="E7168" s="42" t="s">
        <v>11114</v>
      </c>
      <c r="F7168" s="267"/>
    </row>
    <row r="7169" spans="1:6" s="253" customFormat="1">
      <c r="A7169" s="40">
        <v>97330</v>
      </c>
      <c r="B7169" s="40">
        <v>0</v>
      </c>
      <c r="C7169" s="40" t="s">
        <v>12938</v>
      </c>
      <c r="D7169" s="40" t="s">
        <v>8016</v>
      </c>
      <c r="E7169" s="42" t="s">
        <v>12870</v>
      </c>
      <c r="F7169" s="267"/>
    </row>
    <row r="7170" spans="1:6" s="253" customFormat="1">
      <c r="A7170" s="40">
        <v>97331</v>
      </c>
      <c r="B7170" s="40">
        <v>0</v>
      </c>
      <c r="C7170" s="40" t="s">
        <v>11126</v>
      </c>
      <c r="D7170" s="40" t="s">
        <v>8017</v>
      </c>
      <c r="E7170" s="42" t="s">
        <v>11059</v>
      </c>
      <c r="F7170" s="267"/>
    </row>
    <row r="7171" spans="1:6" s="253" customFormat="1">
      <c r="A7171" s="40">
        <v>97332</v>
      </c>
      <c r="B7171" s="40">
        <v>0</v>
      </c>
      <c r="C7171" s="40" t="s">
        <v>11182</v>
      </c>
      <c r="D7171" s="40" t="s">
        <v>8018</v>
      </c>
      <c r="E7171" s="42" t="s">
        <v>11115</v>
      </c>
      <c r="F7171" s="267"/>
    </row>
    <row r="7172" spans="1:6" s="253" customFormat="1">
      <c r="A7172" s="40">
        <v>97333</v>
      </c>
      <c r="B7172" s="40">
        <v>0</v>
      </c>
      <c r="C7172" s="40" t="s">
        <v>12939</v>
      </c>
      <c r="D7172" s="40" t="s">
        <v>8019</v>
      </c>
      <c r="E7172" s="42" t="s">
        <v>12871</v>
      </c>
      <c r="F7172" s="267"/>
    </row>
    <row r="7173" spans="1:6" s="253" customFormat="1">
      <c r="A7173" s="40">
        <v>97334</v>
      </c>
      <c r="B7173" s="40">
        <v>0</v>
      </c>
      <c r="C7173" s="40" t="s">
        <v>11126</v>
      </c>
      <c r="D7173" s="40" t="s">
        <v>8020</v>
      </c>
      <c r="E7173" s="42" t="s">
        <v>11059</v>
      </c>
      <c r="F7173" s="267"/>
    </row>
    <row r="7174" spans="1:6" s="253" customFormat="1">
      <c r="A7174" s="40">
        <v>97335</v>
      </c>
      <c r="B7174" s="40">
        <v>0</v>
      </c>
      <c r="C7174" s="40" t="s">
        <v>11182</v>
      </c>
      <c r="D7174" s="40" t="s">
        <v>8021</v>
      </c>
      <c r="E7174" s="42" t="s">
        <v>11115</v>
      </c>
      <c r="F7174" s="267"/>
    </row>
    <row r="7175" spans="1:6" s="253" customFormat="1">
      <c r="A7175" s="40">
        <v>97336</v>
      </c>
      <c r="B7175" s="40">
        <v>0</v>
      </c>
      <c r="C7175" s="40" t="s">
        <v>12939</v>
      </c>
      <c r="D7175" s="40" t="s">
        <v>8022</v>
      </c>
      <c r="E7175" s="42" t="s">
        <v>12871</v>
      </c>
      <c r="F7175" s="267"/>
    </row>
    <row r="7176" spans="1:6" s="253" customFormat="1">
      <c r="A7176" s="40">
        <v>97337</v>
      </c>
      <c r="B7176" s="40">
        <v>0</v>
      </c>
      <c r="C7176" s="40" t="s">
        <v>11126</v>
      </c>
      <c r="D7176" s="40" t="s">
        <v>8023</v>
      </c>
      <c r="E7176" s="42" t="s">
        <v>11059</v>
      </c>
      <c r="F7176" s="267"/>
    </row>
    <row r="7177" spans="1:6" s="253" customFormat="1">
      <c r="A7177" s="40">
        <v>97338</v>
      </c>
      <c r="B7177" s="40">
        <v>0</v>
      </c>
      <c r="C7177" s="40" t="s">
        <v>11183</v>
      </c>
      <c r="D7177" s="40" t="s">
        <v>8024</v>
      </c>
      <c r="E7177" s="42" t="s">
        <v>11116</v>
      </c>
      <c r="F7177" s="267"/>
    </row>
    <row r="7178" spans="1:6" s="253" customFormat="1">
      <c r="A7178" s="40">
        <v>97339</v>
      </c>
      <c r="B7178" s="40">
        <v>0</v>
      </c>
      <c r="C7178" s="40" t="s">
        <v>12940</v>
      </c>
      <c r="D7178" s="40" t="s">
        <v>8025</v>
      </c>
      <c r="E7178" s="42" t="s">
        <v>12872</v>
      </c>
      <c r="F7178" s="267"/>
    </row>
    <row r="7179" spans="1:6" s="253" customFormat="1">
      <c r="A7179" s="40">
        <v>97340</v>
      </c>
      <c r="B7179" s="40">
        <v>0</v>
      </c>
      <c r="C7179" s="40" t="s">
        <v>11126</v>
      </c>
      <c r="D7179" s="40" t="s">
        <v>8026</v>
      </c>
      <c r="E7179" s="42" t="s">
        <v>11059</v>
      </c>
      <c r="F7179" s="267"/>
    </row>
    <row r="7180" spans="1:6" s="253" customFormat="1">
      <c r="A7180" s="40">
        <v>97341</v>
      </c>
      <c r="B7180" s="40">
        <v>0</v>
      </c>
      <c r="C7180" s="40" t="s">
        <v>11183</v>
      </c>
      <c r="D7180" s="40" t="s">
        <v>8027</v>
      </c>
      <c r="E7180" s="42" t="s">
        <v>11116</v>
      </c>
      <c r="F7180" s="267"/>
    </row>
    <row r="7181" spans="1:6" s="253" customFormat="1">
      <c r="A7181" s="40">
        <v>97342</v>
      </c>
      <c r="B7181" s="40">
        <v>0</v>
      </c>
      <c r="C7181" s="40" t="s">
        <v>12940</v>
      </c>
      <c r="D7181" s="40" t="s">
        <v>8028</v>
      </c>
      <c r="E7181" s="42" t="s">
        <v>12872</v>
      </c>
      <c r="F7181" s="267"/>
    </row>
    <row r="7182" spans="1:6" s="253" customFormat="1">
      <c r="A7182" s="40">
        <v>97343</v>
      </c>
      <c r="B7182" s="40">
        <v>0</v>
      </c>
      <c r="C7182" s="40" t="s">
        <v>11126</v>
      </c>
      <c r="D7182" s="40" t="s">
        <v>8029</v>
      </c>
      <c r="E7182" s="42" t="s">
        <v>11059</v>
      </c>
      <c r="F7182" s="267"/>
    </row>
    <row r="7183" spans="1:6" s="253" customFormat="1">
      <c r="A7183" s="40">
        <v>97344</v>
      </c>
      <c r="B7183" s="40">
        <v>0</v>
      </c>
      <c r="C7183" s="40" t="s">
        <v>11184</v>
      </c>
      <c r="D7183" s="40" t="s">
        <v>8030</v>
      </c>
      <c r="E7183" s="42" t="s">
        <v>11117</v>
      </c>
      <c r="F7183" s="267"/>
    </row>
    <row r="7184" spans="1:6" s="253" customFormat="1">
      <c r="A7184" s="40">
        <v>97345</v>
      </c>
      <c r="B7184" s="40">
        <v>0</v>
      </c>
      <c r="C7184" s="40" t="s">
        <v>12941</v>
      </c>
      <c r="D7184" s="40" t="s">
        <v>8031</v>
      </c>
      <c r="E7184" s="42" t="s">
        <v>12873</v>
      </c>
      <c r="F7184" s="267"/>
    </row>
    <row r="7185" spans="1:6" s="253" customFormat="1">
      <c r="A7185" s="40">
        <v>97346</v>
      </c>
      <c r="B7185" s="40">
        <v>0</v>
      </c>
      <c r="C7185" s="40" t="s">
        <v>11126</v>
      </c>
      <c r="D7185" s="40" t="s">
        <v>8032</v>
      </c>
      <c r="E7185" s="42" t="s">
        <v>11059</v>
      </c>
      <c r="F7185" s="267"/>
    </row>
    <row r="7186" spans="1:6" s="253" customFormat="1">
      <c r="A7186" s="40">
        <v>97347</v>
      </c>
      <c r="B7186" s="40">
        <v>0</v>
      </c>
      <c r="C7186" s="40" t="s">
        <v>11184</v>
      </c>
      <c r="D7186" s="40" t="s">
        <v>8033</v>
      </c>
      <c r="E7186" s="42" t="s">
        <v>11117</v>
      </c>
      <c r="F7186" s="267"/>
    </row>
    <row r="7187" spans="1:6" s="253" customFormat="1">
      <c r="A7187" s="40">
        <v>97348</v>
      </c>
      <c r="B7187" s="40">
        <v>0</v>
      </c>
      <c r="C7187" s="40" t="s">
        <v>12941</v>
      </c>
      <c r="D7187" s="40" t="s">
        <v>8034</v>
      </c>
      <c r="E7187" s="42" t="s">
        <v>12873</v>
      </c>
      <c r="F7187" s="267"/>
    </row>
    <row r="7188" spans="1:6" s="253" customFormat="1">
      <c r="A7188" s="40">
        <v>97349</v>
      </c>
      <c r="B7188" s="40">
        <v>0</v>
      </c>
      <c r="C7188" s="40" t="s">
        <v>11126</v>
      </c>
      <c r="D7188" s="40" t="s">
        <v>8035</v>
      </c>
      <c r="E7188" s="42" t="s">
        <v>11059</v>
      </c>
      <c r="F7188" s="267"/>
    </row>
    <row r="7189" spans="1:6" s="253" customFormat="1">
      <c r="A7189" s="40">
        <v>97350</v>
      </c>
      <c r="B7189" s="40">
        <v>0</v>
      </c>
      <c r="C7189" s="40" t="s">
        <v>11185</v>
      </c>
      <c r="D7189" s="40" t="s">
        <v>8036</v>
      </c>
      <c r="E7189" s="42" t="s">
        <v>11118</v>
      </c>
      <c r="F7189" s="267"/>
    </row>
    <row r="7190" spans="1:6" s="253" customFormat="1">
      <c r="A7190" s="40">
        <v>97351</v>
      </c>
      <c r="B7190" s="40">
        <v>0</v>
      </c>
      <c r="C7190" s="40" t="s">
        <v>12942</v>
      </c>
      <c r="D7190" s="40" t="s">
        <v>8037</v>
      </c>
      <c r="E7190" s="42" t="s">
        <v>12874</v>
      </c>
      <c r="F7190" s="267"/>
    </row>
    <row r="7191" spans="1:6" s="253" customFormat="1">
      <c r="A7191" s="40">
        <v>97352</v>
      </c>
      <c r="B7191" s="40">
        <v>0</v>
      </c>
      <c r="C7191" s="40" t="s">
        <v>11126</v>
      </c>
      <c r="D7191" s="40" t="s">
        <v>8038</v>
      </c>
      <c r="E7191" s="42" t="s">
        <v>11059</v>
      </c>
      <c r="F7191" s="267"/>
    </row>
    <row r="7192" spans="1:6" s="253" customFormat="1">
      <c r="A7192" s="40">
        <v>97353</v>
      </c>
      <c r="B7192" s="40">
        <v>0</v>
      </c>
      <c r="C7192" s="40" t="s">
        <v>11185</v>
      </c>
      <c r="D7192" s="40" t="s">
        <v>8039</v>
      </c>
      <c r="E7192" s="42" t="s">
        <v>11118</v>
      </c>
      <c r="F7192" s="267"/>
    </row>
    <row r="7193" spans="1:6" s="253" customFormat="1">
      <c r="A7193" s="40">
        <v>97354</v>
      </c>
      <c r="B7193" s="40">
        <v>0</v>
      </c>
      <c r="C7193" s="40" t="s">
        <v>12942</v>
      </c>
      <c r="D7193" s="40" t="s">
        <v>8040</v>
      </c>
      <c r="E7193" s="42" t="s">
        <v>12874</v>
      </c>
      <c r="F7193" s="267"/>
    </row>
    <row r="7194" spans="1:6" s="253" customFormat="1">
      <c r="A7194" s="40">
        <v>97355</v>
      </c>
      <c r="B7194" s="40">
        <v>0</v>
      </c>
      <c r="C7194" s="40" t="s">
        <v>11126</v>
      </c>
      <c r="D7194" s="40" t="s">
        <v>8041</v>
      </c>
      <c r="E7194" s="42" t="s">
        <v>11059</v>
      </c>
      <c r="F7194" s="267"/>
    </row>
    <row r="7195" spans="1:6" s="253" customFormat="1">
      <c r="A7195" s="40">
        <v>97356</v>
      </c>
      <c r="B7195" s="40">
        <v>0</v>
      </c>
      <c r="C7195" s="40" t="s">
        <v>11186</v>
      </c>
      <c r="D7195" s="40" t="s">
        <v>8042</v>
      </c>
      <c r="E7195" s="42" t="s">
        <v>11119</v>
      </c>
      <c r="F7195" s="267"/>
    </row>
    <row r="7196" spans="1:6" s="253" customFormat="1">
      <c r="A7196" s="40">
        <v>97357</v>
      </c>
      <c r="B7196" s="40">
        <v>0</v>
      </c>
      <c r="C7196" s="40" t="s">
        <v>12943</v>
      </c>
      <c r="D7196" s="40" t="s">
        <v>8043</v>
      </c>
      <c r="E7196" s="42" t="s">
        <v>12875</v>
      </c>
      <c r="F7196" s="267"/>
    </row>
    <row r="7197" spans="1:6" s="253" customFormat="1">
      <c r="A7197" s="40">
        <v>97358</v>
      </c>
      <c r="B7197" s="40">
        <v>0</v>
      </c>
      <c r="C7197" s="40" t="s">
        <v>11126</v>
      </c>
      <c r="D7197" s="40" t="s">
        <v>8044</v>
      </c>
      <c r="E7197" s="42" t="s">
        <v>11059</v>
      </c>
      <c r="F7197" s="267"/>
    </row>
    <row r="7198" spans="1:6" s="253" customFormat="1">
      <c r="A7198" s="40">
        <v>97359</v>
      </c>
      <c r="B7198" s="40">
        <v>0</v>
      </c>
      <c r="C7198" s="40" t="s">
        <v>11186</v>
      </c>
      <c r="D7198" s="40" t="s">
        <v>8045</v>
      </c>
      <c r="E7198" s="42" t="s">
        <v>11119</v>
      </c>
      <c r="F7198" s="267"/>
    </row>
    <row r="7199" spans="1:6" s="253" customFormat="1">
      <c r="A7199" s="40">
        <v>97360</v>
      </c>
      <c r="B7199" s="40">
        <v>0</v>
      </c>
      <c r="C7199" s="40" t="s">
        <v>12943</v>
      </c>
      <c r="D7199" s="40" t="s">
        <v>8046</v>
      </c>
      <c r="E7199" s="42" t="s">
        <v>12875</v>
      </c>
      <c r="F7199" s="267"/>
    </row>
    <row r="7200" spans="1:6" s="253" customFormat="1">
      <c r="A7200" s="40">
        <v>97361</v>
      </c>
      <c r="B7200" s="40">
        <v>0</v>
      </c>
      <c r="C7200" s="40" t="s">
        <v>11126</v>
      </c>
      <c r="D7200" s="40" t="s">
        <v>8047</v>
      </c>
      <c r="E7200" s="42" t="s">
        <v>11059</v>
      </c>
      <c r="F7200" s="267"/>
    </row>
    <row r="7201" spans="1:6" s="253" customFormat="1">
      <c r="A7201" s="40">
        <v>97362</v>
      </c>
      <c r="B7201" s="40">
        <v>0</v>
      </c>
      <c r="C7201" s="40" t="s">
        <v>11187</v>
      </c>
      <c r="D7201" s="40" t="s">
        <v>8048</v>
      </c>
      <c r="E7201" s="42" t="s">
        <v>11120</v>
      </c>
      <c r="F7201" s="267"/>
    </row>
    <row r="7202" spans="1:6" s="253" customFormat="1">
      <c r="A7202" s="40">
        <v>97363</v>
      </c>
      <c r="B7202" s="40">
        <v>0</v>
      </c>
      <c r="C7202" s="40" t="s">
        <v>12944</v>
      </c>
      <c r="D7202" s="40" t="s">
        <v>8049</v>
      </c>
      <c r="E7202" s="42" t="s">
        <v>12876</v>
      </c>
      <c r="F7202" s="267"/>
    </row>
    <row r="7203" spans="1:6" s="253" customFormat="1">
      <c r="A7203" s="40">
        <v>97364</v>
      </c>
      <c r="B7203" s="40">
        <v>0</v>
      </c>
      <c r="C7203" s="40" t="s">
        <v>11126</v>
      </c>
      <c r="D7203" s="40" t="s">
        <v>8050</v>
      </c>
      <c r="E7203" s="42" t="s">
        <v>11059</v>
      </c>
      <c r="F7203" s="267"/>
    </row>
    <row r="7204" spans="1:6" s="253" customFormat="1">
      <c r="A7204" s="40">
        <v>97365</v>
      </c>
      <c r="B7204" s="40">
        <v>0</v>
      </c>
      <c r="C7204" s="40" t="s">
        <v>11187</v>
      </c>
      <c r="D7204" s="40" t="s">
        <v>8051</v>
      </c>
      <c r="E7204" s="42" t="s">
        <v>11120</v>
      </c>
      <c r="F7204" s="267"/>
    </row>
    <row r="7205" spans="1:6" s="253" customFormat="1">
      <c r="A7205" s="40">
        <v>97366</v>
      </c>
      <c r="B7205" s="40">
        <v>0</v>
      </c>
      <c r="C7205" s="40" t="s">
        <v>12944</v>
      </c>
      <c r="D7205" s="40" t="s">
        <v>8052</v>
      </c>
      <c r="E7205" s="42" t="s">
        <v>12876</v>
      </c>
      <c r="F7205" s="267"/>
    </row>
    <row r="7206" spans="1:6" s="253" customFormat="1">
      <c r="A7206" s="40">
        <v>97367</v>
      </c>
      <c r="B7206" s="40">
        <v>0</v>
      </c>
      <c r="C7206" s="40" t="s">
        <v>11126</v>
      </c>
      <c r="D7206" s="40" t="s">
        <v>8053</v>
      </c>
      <c r="E7206" s="42" t="s">
        <v>11059</v>
      </c>
      <c r="F7206" s="267"/>
    </row>
    <row r="7207" spans="1:6" s="253" customFormat="1">
      <c r="A7207" s="40">
        <v>97368</v>
      </c>
      <c r="B7207" s="40">
        <v>0</v>
      </c>
      <c r="C7207" s="40" t="s">
        <v>11188</v>
      </c>
      <c r="D7207" s="40" t="s">
        <v>8054</v>
      </c>
      <c r="E7207" s="42" t="s">
        <v>11121</v>
      </c>
      <c r="F7207" s="267"/>
    </row>
    <row r="7208" spans="1:6" s="253" customFormat="1">
      <c r="A7208" s="40">
        <v>97369</v>
      </c>
      <c r="B7208" s="40">
        <v>0</v>
      </c>
      <c r="C7208" s="40" t="s">
        <v>12945</v>
      </c>
      <c r="D7208" s="40" t="s">
        <v>8055</v>
      </c>
      <c r="E7208" s="42" t="s">
        <v>12877</v>
      </c>
      <c r="F7208" s="267"/>
    </row>
    <row r="7209" spans="1:6" s="253" customFormat="1">
      <c r="A7209" s="40">
        <v>97370</v>
      </c>
      <c r="B7209" s="40">
        <v>0</v>
      </c>
      <c r="C7209" s="40" t="s">
        <v>11126</v>
      </c>
      <c r="D7209" s="40" t="s">
        <v>8056</v>
      </c>
      <c r="E7209" s="42" t="s">
        <v>11059</v>
      </c>
      <c r="F7209" s="267"/>
    </row>
    <row r="7210" spans="1:6" s="253" customFormat="1">
      <c r="A7210" s="40">
        <v>97371</v>
      </c>
      <c r="B7210" s="40">
        <v>0</v>
      </c>
      <c r="C7210" s="40" t="s">
        <v>11188</v>
      </c>
      <c r="D7210" s="40" t="s">
        <v>8057</v>
      </c>
      <c r="E7210" s="42" t="s">
        <v>11121</v>
      </c>
      <c r="F7210" s="267"/>
    </row>
    <row r="7211" spans="1:6" s="253" customFormat="1">
      <c r="A7211" s="40">
        <v>97372</v>
      </c>
      <c r="B7211" s="40">
        <v>0</v>
      </c>
      <c r="C7211" s="40" t="s">
        <v>12945</v>
      </c>
      <c r="D7211" s="40" t="s">
        <v>8058</v>
      </c>
      <c r="E7211" s="42" t="s">
        <v>12877</v>
      </c>
      <c r="F7211" s="267"/>
    </row>
    <row r="7212" spans="1:6" s="253" customFormat="1">
      <c r="A7212" s="40">
        <v>97373</v>
      </c>
      <c r="B7212" s="40">
        <v>0</v>
      </c>
      <c r="C7212" s="40" t="s">
        <v>11126</v>
      </c>
      <c r="D7212" s="40" t="s">
        <v>8059</v>
      </c>
      <c r="E7212" s="42" t="s">
        <v>11059</v>
      </c>
      <c r="F7212" s="267"/>
    </row>
    <row r="7213" spans="1:6" s="253" customFormat="1">
      <c r="A7213" s="40">
        <v>97374</v>
      </c>
      <c r="B7213" s="40">
        <v>0</v>
      </c>
      <c r="C7213" s="40" t="s">
        <v>11189</v>
      </c>
      <c r="D7213" s="40" t="s">
        <v>8060</v>
      </c>
      <c r="E7213" s="42" t="s">
        <v>11122</v>
      </c>
      <c r="F7213" s="267"/>
    </row>
    <row r="7214" spans="1:6" s="253" customFormat="1">
      <c r="A7214" s="40">
        <v>97375</v>
      </c>
      <c r="B7214" s="40">
        <v>0</v>
      </c>
      <c r="C7214" s="40" t="s">
        <v>12946</v>
      </c>
      <c r="D7214" s="40" t="s">
        <v>8061</v>
      </c>
      <c r="E7214" s="42" t="s">
        <v>12878</v>
      </c>
      <c r="F7214" s="267"/>
    </row>
    <row r="7215" spans="1:6" s="253" customFormat="1">
      <c r="A7215" s="40">
        <v>97376</v>
      </c>
      <c r="B7215" s="40">
        <v>0</v>
      </c>
      <c r="C7215" s="40" t="s">
        <v>11126</v>
      </c>
      <c r="D7215" s="40" t="s">
        <v>8062</v>
      </c>
      <c r="E7215" s="42" t="s">
        <v>11059</v>
      </c>
      <c r="F7215" s="267"/>
    </row>
    <row r="7216" spans="1:6" s="253" customFormat="1">
      <c r="A7216" s="40">
        <v>97377</v>
      </c>
      <c r="B7216" s="40">
        <v>0</v>
      </c>
      <c r="C7216" s="40" t="s">
        <v>11189</v>
      </c>
      <c r="D7216" s="40" t="s">
        <v>8063</v>
      </c>
      <c r="E7216" s="42" t="s">
        <v>11122</v>
      </c>
      <c r="F7216" s="267"/>
    </row>
    <row r="7217" spans="1:6" s="253" customFormat="1">
      <c r="A7217" s="40">
        <v>97378</v>
      </c>
      <c r="B7217" s="40">
        <v>0</v>
      </c>
      <c r="C7217" s="40" t="s">
        <v>12946</v>
      </c>
      <c r="D7217" s="40" t="s">
        <v>8064</v>
      </c>
      <c r="E7217" s="42" t="s">
        <v>12878</v>
      </c>
      <c r="F7217" s="267"/>
    </row>
    <row r="7218" spans="1:6" s="253" customFormat="1">
      <c r="A7218" s="40">
        <v>97379</v>
      </c>
      <c r="B7218" s="40">
        <v>0</v>
      </c>
      <c r="C7218" s="40" t="s">
        <v>11126</v>
      </c>
      <c r="D7218" s="40" t="s">
        <v>8065</v>
      </c>
      <c r="E7218" s="42" t="s">
        <v>11059</v>
      </c>
      <c r="F7218" s="267"/>
    </row>
    <row r="7219" spans="1:6" s="253" customFormat="1">
      <c r="A7219" s="40">
        <v>97380</v>
      </c>
      <c r="B7219" s="40">
        <v>0</v>
      </c>
      <c r="C7219" s="40" t="s">
        <v>11190</v>
      </c>
      <c r="D7219" s="40" t="s">
        <v>8066</v>
      </c>
      <c r="E7219" s="42" t="s">
        <v>11123</v>
      </c>
      <c r="F7219" s="267"/>
    </row>
    <row r="7220" spans="1:6" s="253" customFormat="1">
      <c r="A7220" s="40">
        <v>97381</v>
      </c>
      <c r="B7220" s="40">
        <v>0</v>
      </c>
      <c r="C7220" s="40" t="s">
        <v>12947</v>
      </c>
      <c r="D7220" s="40" t="s">
        <v>8067</v>
      </c>
      <c r="E7220" s="42" t="s">
        <v>12879</v>
      </c>
      <c r="F7220" s="267"/>
    </row>
    <row r="7221" spans="1:6" s="253" customFormat="1">
      <c r="A7221" s="40">
        <v>97382</v>
      </c>
      <c r="B7221" s="40">
        <v>0</v>
      </c>
      <c r="C7221" s="40" t="s">
        <v>11126</v>
      </c>
      <c r="D7221" s="40" t="s">
        <v>8068</v>
      </c>
      <c r="E7221" s="42" t="s">
        <v>11059</v>
      </c>
      <c r="F7221" s="267"/>
    </row>
    <row r="7222" spans="1:6" s="253" customFormat="1">
      <c r="A7222" s="40">
        <v>97383</v>
      </c>
      <c r="B7222" s="40">
        <v>0</v>
      </c>
      <c r="C7222" s="40" t="s">
        <v>11190</v>
      </c>
      <c r="D7222" s="40" t="s">
        <v>8069</v>
      </c>
      <c r="E7222" s="42" t="s">
        <v>11123</v>
      </c>
      <c r="F7222" s="267"/>
    </row>
    <row r="7223" spans="1:6" s="253" customFormat="1">
      <c r="A7223" s="40">
        <v>97384</v>
      </c>
      <c r="B7223" s="40">
        <v>0</v>
      </c>
      <c r="C7223" s="40" t="s">
        <v>12947</v>
      </c>
      <c r="D7223" s="40" t="s">
        <v>8070</v>
      </c>
      <c r="E7223" s="42" t="s">
        <v>12879</v>
      </c>
      <c r="F7223" s="267"/>
    </row>
    <row r="7224" spans="1:6" s="253" customFormat="1">
      <c r="A7224" s="40">
        <v>97385</v>
      </c>
      <c r="B7224" s="40">
        <v>0</v>
      </c>
      <c r="C7224" s="40" t="s">
        <v>11126</v>
      </c>
      <c r="D7224" s="40" t="s">
        <v>8071</v>
      </c>
      <c r="E7224" s="42" t="s">
        <v>11059</v>
      </c>
      <c r="F7224" s="267"/>
    </row>
    <row r="7225" spans="1:6" s="253" customFormat="1">
      <c r="A7225" s="40">
        <v>97386</v>
      </c>
      <c r="B7225" s="40">
        <v>0</v>
      </c>
      <c r="C7225" s="40" t="s">
        <v>11191</v>
      </c>
      <c r="D7225" s="40" t="s">
        <v>8072</v>
      </c>
      <c r="E7225" s="42" t="s">
        <v>11124</v>
      </c>
      <c r="F7225" s="267"/>
    </row>
    <row r="7226" spans="1:6" s="253" customFormat="1">
      <c r="A7226" s="40">
        <v>97387</v>
      </c>
      <c r="B7226" s="40">
        <v>0</v>
      </c>
      <c r="C7226" s="40" t="s">
        <v>12948</v>
      </c>
      <c r="D7226" s="40" t="s">
        <v>8073</v>
      </c>
      <c r="E7226" s="42" t="s">
        <v>12880</v>
      </c>
      <c r="F7226" s="267"/>
    </row>
    <row r="7227" spans="1:6" s="253" customFormat="1">
      <c r="A7227" s="40">
        <v>97388</v>
      </c>
      <c r="B7227" s="40">
        <v>0</v>
      </c>
      <c r="C7227" s="40" t="s">
        <v>11126</v>
      </c>
      <c r="D7227" s="40" t="s">
        <v>8074</v>
      </c>
      <c r="E7227" s="42" t="s">
        <v>11059</v>
      </c>
      <c r="F7227" s="267"/>
    </row>
    <row r="7228" spans="1:6" s="253" customFormat="1">
      <c r="A7228" s="40">
        <v>97389</v>
      </c>
      <c r="B7228" s="40">
        <v>0</v>
      </c>
      <c r="C7228" s="40" t="s">
        <v>11191</v>
      </c>
      <c r="D7228" s="40" t="s">
        <v>8075</v>
      </c>
      <c r="E7228" s="42" t="s">
        <v>11124</v>
      </c>
      <c r="F7228" s="267"/>
    </row>
    <row r="7229" spans="1:6" s="253" customFormat="1">
      <c r="A7229" s="40">
        <v>97390</v>
      </c>
      <c r="B7229" s="40">
        <v>0</v>
      </c>
      <c r="C7229" s="40" t="s">
        <v>12948</v>
      </c>
      <c r="D7229" s="40" t="s">
        <v>8076</v>
      </c>
      <c r="E7229" s="42" t="s">
        <v>12880</v>
      </c>
      <c r="F7229" s="267"/>
    </row>
    <row r="7230" spans="1:6" s="253" customFormat="1">
      <c r="A7230" s="40">
        <v>97391</v>
      </c>
      <c r="B7230" s="40">
        <v>0</v>
      </c>
      <c r="C7230" s="40" t="s">
        <v>11126</v>
      </c>
      <c r="D7230" s="40" t="s">
        <v>8077</v>
      </c>
      <c r="E7230" s="42" t="s">
        <v>11059</v>
      </c>
      <c r="F7230" s="267"/>
    </row>
    <row r="7231" spans="1:6" s="253" customFormat="1">
      <c r="A7231" s="40">
        <v>97392</v>
      </c>
      <c r="B7231" s="40">
        <v>0</v>
      </c>
      <c r="C7231" s="40" t="s">
        <v>11192</v>
      </c>
      <c r="D7231" s="40" t="s">
        <v>8078</v>
      </c>
      <c r="E7231" s="42" t="s">
        <v>11125</v>
      </c>
      <c r="F7231" s="267"/>
    </row>
    <row r="7232" spans="1:6" s="253" customFormat="1">
      <c r="A7232" s="40">
        <v>97393</v>
      </c>
      <c r="B7232" s="40">
        <v>0</v>
      </c>
      <c r="C7232" s="40" t="s">
        <v>12949</v>
      </c>
      <c r="D7232" s="40" t="s">
        <v>8079</v>
      </c>
      <c r="E7232" s="42" t="s">
        <v>12881</v>
      </c>
      <c r="F7232" s="267"/>
    </row>
    <row r="7233" spans="1:6" s="253" customFormat="1">
      <c r="A7233" s="40">
        <v>97394</v>
      </c>
      <c r="B7233" s="40">
        <v>0</v>
      </c>
      <c r="C7233" s="40" t="s">
        <v>11126</v>
      </c>
      <c r="D7233" s="40" t="s">
        <v>8080</v>
      </c>
      <c r="E7233" s="42" t="s">
        <v>11059</v>
      </c>
      <c r="F7233" s="267"/>
    </row>
    <row r="7234" spans="1:6" s="253" customFormat="1">
      <c r="A7234" s="40">
        <v>97395</v>
      </c>
      <c r="B7234" s="40">
        <v>0</v>
      </c>
      <c r="C7234" s="40" t="s">
        <v>11192</v>
      </c>
      <c r="D7234" s="40" t="s">
        <v>8081</v>
      </c>
      <c r="E7234" s="42" t="s">
        <v>11125</v>
      </c>
      <c r="F7234" s="267"/>
    </row>
    <row r="7235" spans="1:6" s="253" customFormat="1">
      <c r="A7235" s="40">
        <v>97396</v>
      </c>
      <c r="B7235" s="40">
        <v>0</v>
      </c>
      <c r="C7235" s="40" t="s">
        <v>12949</v>
      </c>
      <c r="D7235" s="40" t="s">
        <v>8082</v>
      </c>
      <c r="E7235" s="42" t="s">
        <v>12881</v>
      </c>
      <c r="F7235" s="267"/>
    </row>
    <row r="7236" spans="1:6">
      <c r="A7236" s="37">
        <v>99000</v>
      </c>
      <c r="B7236" s="37">
        <v>0</v>
      </c>
      <c r="C7236" s="37" t="s">
        <v>10066</v>
      </c>
      <c r="D7236" s="37" t="s">
        <v>8226</v>
      </c>
      <c r="E7236" s="39" t="s">
        <v>10056</v>
      </c>
    </row>
    <row r="7237" spans="1:6">
      <c r="A7237" s="37">
        <v>99001</v>
      </c>
      <c r="B7237" s="37">
        <v>0</v>
      </c>
      <c r="C7237" s="37" t="s">
        <v>10067</v>
      </c>
      <c r="D7237" s="37" t="s">
        <v>8227</v>
      </c>
      <c r="E7237" s="39" t="s">
        <v>10057</v>
      </c>
    </row>
    <row r="7238" spans="1:6">
      <c r="A7238" s="37">
        <v>99002</v>
      </c>
      <c r="B7238" s="37">
        <v>0</v>
      </c>
      <c r="C7238" s="37" t="s">
        <v>10068</v>
      </c>
      <c r="D7238" s="37" t="s">
        <v>8228</v>
      </c>
      <c r="E7238" s="39" t="s">
        <v>10058</v>
      </c>
    </row>
    <row r="7239" spans="1:6">
      <c r="A7239" s="37">
        <v>99003</v>
      </c>
      <c r="B7239" s="37">
        <v>0</v>
      </c>
      <c r="C7239" s="37" t="s">
        <v>10069</v>
      </c>
      <c r="D7239" s="37" t="s">
        <v>8229</v>
      </c>
      <c r="E7239" s="39" t="s">
        <v>10059</v>
      </c>
    </row>
    <row r="7240" spans="1:6">
      <c r="A7240" s="37">
        <v>99004</v>
      </c>
      <c r="B7240" s="37">
        <v>0</v>
      </c>
      <c r="C7240" s="37" t="s">
        <v>10070</v>
      </c>
      <c r="D7240" s="37" t="s">
        <v>8230</v>
      </c>
      <c r="E7240" s="39" t="s">
        <v>10060</v>
      </c>
    </row>
    <row r="7241" spans="1:6">
      <c r="A7241" s="37">
        <v>99005</v>
      </c>
      <c r="B7241" s="37">
        <v>0</v>
      </c>
      <c r="C7241" s="37" t="s">
        <v>10071</v>
      </c>
      <c r="D7241" s="37" t="s">
        <v>8231</v>
      </c>
      <c r="E7241" s="39" t="s">
        <v>10061</v>
      </c>
    </row>
    <row r="7242" spans="1:6">
      <c r="A7242" s="37">
        <v>99006</v>
      </c>
      <c r="B7242" s="37">
        <v>0</v>
      </c>
      <c r="C7242" s="37" t="s">
        <v>10072</v>
      </c>
      <c r="D7242" s="37" t="s">
        <v>8232</v>
      </c>
      <c r="E7242" s="39" t="s">
        <v>10062</v>
      </c>
    </row>
    <row r="7243" spans="1:6">
      <c r="A7243" s="37">
        <v>99007</v>
      </c>
      <c r="B7243" s="37">
        <v>0</v>
      </c>
      <c r="C7243" s="37" t="s">
        <v>10073</v>
      </c>
      <c r="D7243" s="37" t="s">
        <v>8233</v>
      </c>
      <c r="E7243" s="39" t="s">
        <v>10063</v>
      </c>
    </row>
    <row r="7244" spans="1:6">
      <c r="A7244" s="37">
        <v>99008</v>
      </c>
      <c r="B7244" s="37">
        <v>0</v>
      </c>
      <c r="C7244" s="37" t="s">
        <v>10074</v>
      </c>
      <c r="D7244" s="37" t="s">
        <v>8234</v>
      </c>
      <c r="E7244" s="39" t="s">
        <v>10064</v>
      </c>
    </row>
    <row r="7245" spans="1:6">
      <c r="A7245" s="37">
        <v>99009</v>
      </c>
      <c r="B7245" s="37">
        <v>0</v>
      </c>
      <c r="C7245" s="37" t="s">
        <v>10075</v>
      </c>
      <c r="D7245" s="37" t="s">
        <v>8235</v>
      </c>
      <c r="E7245" s="39" t="s">
        <v>10065</v>
      </c>
    </row>
    <row r="7246" spans="1:6">
      <c r="A7246" s="43">
        <v>99100</v>
      </c>
      <c r="B7246" s="43">
        <v>0</v>
      </c>
      <c r="C7246" s="43" t="s">
        <v>8236</v>
      </c>
      <c r="D7246" s="43" t="s">
        <v>8246</v>
      </c>
      <c r="E7246" s="45" t="s">
        <v>8256</v>
      </c>
    </row>
    <row r="7247" spans="1:6">
      <c r="A7247" s="43">
        <v>99101</v>
      </c>
      <c r="B7247" s="43">
        <v>0</v>
      </c>
      <c r="C7247" s="43" t="s">
        <v>8237</v>
      </c>
      <c r="D7247" s="43" t="s">
        <v>8247</v>
      </c>
      <c r="E7247" s="45" t="s">
        <v>8257</v>
      </c>
    </row>
    <row r="7248" spans="1:6">
      <c r="A7248" s="43">
        <v>99102</v>
      </c>
      <c r="B7248" s="43">
        <v>0</v>
      </c>
      <c r="C7248" s="43" t="s">
        <v>8238</v>
      </c>
      <c r="D7248" s="43" t="s">
        <v>8248</v>
      </c>
      <c r="E7248" s="45" t="s">
        <v>8258</v>
      </c>
    </row>
    <row r="7249" spans="1:5">
      <c r="A7249" s="43">
        <v>99103</v>
      </c>
      <c r="B7249" s="43">
        <v>0</v>
      </c>
      <c r="C7249" s="43" t="s">
        <v>8239</v>
      </c>
      <c r="D7249" s="43" t="s">
        <v>8249</v>
      </c>
      <c r="E7249" s="45" t="s">
        <v>8259</v>
      </c>
    </row>
    <row r="7250" spans="1:5">
      <c r="A7250" s="43">
        <v>99104</v>
      </c>
      <c r="B7250" s="43">
        <v>0</v>
      </c>
      <c r="C7250" s="43" t="s">
        <v>8240</v>
      </c>
      <c r="D7250" s="43" t="s">
        <v>8250</v>
      </c>
      <c r="E7250" s="45" t="s">
        <v>8260</v>
      </c>
    </row>
    <row r="7251" spans="1:5">
      <c r="A7251" s="43">
        <v>99105</v>
      </c>
      <c r="B7251" s="43">
        <v>0</v>
      </c>
      <c r="C7251" s="43" t="s">
        <v>8241</v>
      </c>
      <c r="D7251" s="43" t="s">
        <v>8251</v>
      </c>
      <c r="E7251" s="45" t="s">
        <v>8261</v>
      </c>
    </row>
    <row r="7252" spans="1:5">
      <c r="A7252" s="43">
        <v>99106</v>
      </c>
      <c r="B7252" s="43">
        <v>0</v>
      </c>
      <c r="C7252" s="43" t="s">
        <v>8242</v>
      </c>
      <c r="D7252" s="43" t="s">
        <v>8252</v>
      </c>
      <c r="E7252" s="45" t="s">
        <v>8262</v>
      </c>
    </row>
    <row r="7253" spans="1:5">
      <c r="A7253" s="43">
        <v>99107</v>
      </c>
      <c r="B7253" s="43">
        <v>0</v>
      </c>
      <c r="C7253" s="43" t="s">
        <v>8243</v>
      </c>
      <c r="D7253" s="43" t="s">
        <v>8253</v>
      </c>
      <c r="E7253" s="45" t="s">
        <v>8263</v>
      </c>
    </row>
    <row r="7254" spans="1:5">
      <c r="A7254" s="43">
        <v>99108</v>
      </c>
      <c r="B7254" s="43">
        <v>0</v>
      </c>
      <c r="C7254" s="43" t="s">
        <v>8244</v>
      </c>
      <c r="D7254" s="43" t="s">
        <v>8254</v>
      </c>
      <c r="E7254" s="45" t="s">
        <v>8264</v>
      </c>
    </row>
    <row r="7255" spans="1:5">
      <c r="A7255" s="43">
        <v>99109</v>
      </c>
      <c r="B7255" s="43">
        <v>0</v>
      </c>
      <c r="C7255" s="43" t="s">
        <v>8245</v>
      </c>
      <c r="D7255" s="43" t="s">
        <v>8255</v>
      </c>
      <c r="E7255" s="45" t="s">
        <v>8265</v>
      </c>
    </row>
    <row r="7256" spans="1:5">
      <c r="A7256" s="37">
        <v>99200</v>
      </c>
      <c r="B7256" s="37">
        <v>0</v>
      </c>
      <c r="C7256" s="37" t="s">
        <v>8236</v>
      </c>
      <c r="D7256" s="37" t="s">
        <v>8273</v>
      </c>
      <c r="E7256" s="39" t="s">
        <v>8256</v>
      </c>
    </row>
    <row r="7257" spans="1:5">
      <c r="A7257" s="37">
        <v>99201</v>
      </c>
      <c r="B7257" s="37">
        <v>0</v>
      </c>
      <c r="C7257" s="37" t="s">
        <v>8237</v>
      </c>
      <c r="D7257" s="37" t="s">
        <v>8274</v>
      </c>
      <c r="E7257" s="39" t="s">
        <v>8257</v>
      </c>
    </row>
    <row r="7258" spans="1:5">
      <c r="A7258" s="37">
        <v>99202</v>
      </c>
      <c r="B7258" s="37">
        <v>0</v>
      </c>
      <c r="C7258" s="37" t="s">
        <v>8266</v>
      </c>
      <c r="D7258" s="37" t="s">
        <v>8275</v>
      </c>
      <c r="E7258" s="39" t="s">
        <v>8286</v>
      </c>
    </row>
    <row r="7259" spans="1:5">
      <c r="A7259" s="37">
        <v>99203</v>
      </c>
      <c r="B7259" s="37">
        <v>0</v>
      </c>
      <c r="C7259" s="37" t="s">
        <v>8267</v>
      </c>
      <c r="D7259" s="37" t="s">
        <v>8276</v>
      </c>
      <c r="E7259" s="39" t="s">
        <v>8287</v>
      </c>
    </row>
    <row r="7260" spans="1:5">
      <c r="A7260" s="37">
        <v>99204</v>
      </c>
      <c r="B7260" s="37">
        <v>0</v>
      </c>
      <c r="C7260" s="37" t="s">
        <v>8240</v>
      </c>
      <c r="D7260" s="37" t="s">
        <v>8277</v>
      </c>
      <c r="E7260" s="39" t="s">
        <v>8260</v>
      </c>
    </row>
    <row r="7261" spans="1:5">
      <c r="A7261" s="37">
        <v>99205</v>
      </c>
      <c r="B7261" s="37">
        <v>0</v>
      </c>
      <c r="C7261" s="37" t="s">
        <v>8268</v>
      </c>
      <c r="D7261" s="37" t="s">
        <v>8278</v>
      </c>
      <c r="E7261" s="39" t="s">
        <v>8288</v>
      </c>
    </row>
    <row r="7262" spans="1:5">
      <c r="A7262" s="37">
        <v>99206</v>
      </c>
      <c r="B7262" s="37">
        <v>0</v>
      </c>
      <c r="C7262" s="37" t="s">
        <v>8241</v>
      </c>
      <c r="D7262" s="37" t="s">
        <v>8279</v>
      </c>
      <c r="E7262" s="39" t="s">
        <v>8261</v>
      </c>
    </row>
    <row r="7263" spans="1:5">
      <c r="A7263" s="37">
        <v>99207</v>
      </c>
      <c r="B7263" s="37">
        <v>0</v>
      </c>
      <c r="C7263" s="37" t="s">
        <v>8269</v>
      </c>
      <c r="D7263" s="37" t="s">
        <v>8280</v>
      </c>
      <c r="E7263" s="39" t="s">
        <v>8289</v>
      </c>
    </row>
    <row r="7264" spans="1:5">
      <c r="A7264" s="37">
        <v>99208</v>
      </c>
      <c r="B7264" s="37">
        <v>0</v>
      </c>
      <c r="C7264" s="37" t="s">
        <v>8270</v>
      </c>
      <c r="D7264" s="37" t="s">
        <v>8281</v>
      </c>
      <c r="E7264" s="39" t="s">
        <v>8290</v>
      </c>
    </row>
    <row r="7265" spans="1:5">
      <c r="A7265" s="37">
        <v>99209</v>
      </c>
      <c r="B7265" s="37">
        <v>0</v>
      </c>
      <c r="C7265" s="37" t="s">
        <v>8243</v>
      </c>
      <c r="D7265" s="37" t="s">
        <v>8282</v>
      </c>
      <c r="E7265" s="39" t="s">
        <v>8263</v>
      </c>
    </row>
    <row r="7266" spans="1:5">
      <c r="A7266" s="37">
        <v>99210</v>
      </c>
      <c r="B7266" s="37">
        <v>0</v>
      </c>
      <c r="C7266" s="37" t="s">
        <v>8271</v>
      </c>
      <c r="D7266" s="37" t="s">
        <v>8283</v>
      </c>
      <c r="E7266" s="39" t="s">
        <v>8291</v>
      </c>
    </row>
    <row r="7267" spans="1:5">
      <c r="A7267" s="37">
        <v>99211</v>
      </c>
      <c r="B7267" s="37">
        <v>0</v>
      </c>
      <c r="C7267" s="37" t="s">
        <v>8272</v>
      </c>
      <c r="D7267" s="37" t="s">
        <v>8284</v>
      </c>
      <c r="E7267" s="39" t="s">
        <v>8292</v>
      </c>
    </row>
    <row r="7268" spans="1:5">
      <c r="A7268" s="37">
        <v>99212</v>
      </c>
      <c r="B7268" s="37">
        <v>0</v>
      </c>
      <c r="C7268" s="37" t="s">
        <v>8245</v>
      </c>
      <c r="D7268" s="37" t="s">
        <v>8285</v>
      </c>
      <c r="E7268" s="39" t="s">
        <v>8265</v>
      </c>
    </row>
    <row r="7269" spans="1:5">
      <c r="A7269" s="43">
        <v>99300</v>
      </c>
      <c r="B7269" s="43">
        <v>0</v>
      </c>
      <c r="C7269" s="43" t="s">
        <v>8206</v>
      </c>
      <c r="D7269" s="43" t="s">
        <v>8196</v>
      </c>
      <c r="E7269" s="45" t="s">
        <v>8216</v>
      </c>
    </row>
    <row r="7270" spans="1:5">
      <c r="A7270" s="43">
        <v>99301</v>
      </c>
      <c r="B7270" s="43">
        <v>0</v>
      </c>
      <c r="C7270" s="43" t="s">
        <v>8207</v>
      </c>
      <c r="D7270" s="43" t="s">
        <v>8197</v>
      </c>
      <c r="E7270" s="45" t="s">
        <v>8217</v>
      </c>
    </row>
    <row r="7271" spans="1:5">
      <c r="A7271" s="43">
        <v>99302</v>
      </c>
      <c r="B7271" s="43">
        <v>0</v>
      </c>
      <c r="C7271" s="43" t="s">
        <v>8208</v>
      </c>
      <c r="D7271" s="43" t="s">
        <v>8198</v>
      </c>
      <c r="E7271" s="45" t="s">
        <v>8218</v>
      </c>
    </row>
    <row r="7272" spans="1:5">
      <c r="A7272" s="43">
        <v>99303</v>
      </c>
      <c r="B7272" s="43">
        <v>0</v>
      </c>
      <c r="C7272" s="43" t="s">
        <v>8209</v>
      </c>
      <c r="D7272" s="43" t="s">
        <v>8199</v>
      </c>
      <c r="E7272" s="45" t="s">
        <v>8219</v>
      </c>
    </row>
    <row r="7273" spans="1:5">
      <c r="A7273" s="43">
        <v>99304</v>
      </c>
      <c r="B7273" s="43">
        <v>0</v>
      </c>
      <c r="C7273" s="43" t="s">
        <v>8210</v>
      </c>
      <c r="D7273" s="43" t="s">
        <v>8200</v>
      </c>
      <c r="E7273" s="45" t="s">
        <v>8220</v>
      </c>
    </row>
    <row r="7274" spans="1:5">
      <c r="A7274" s="43">
        <v>99305</v>
      </c>
      <c r="B7274" s="43">
        <v>0</v>
      </c>
      <c r="C7274" s="43" t="s">
        <v>8211</v>
      </c>
      <c r="D7274" s="43" t="s">
        <v>8201</v>
      </c>
      <c r="E7274" s="45" t="s">
        <v>8221</v>
      </c>
    </row>
    <row r="7275" spans="1:5">
      <c r="A7275" s="43">
        <v>99306</v>
      </c>
      <c r="B7275" s="43">
        <v>0</v>
      </c>
      <c r="C7275" s="43" t="s">
        <v>8212</v>
      </c>
      <c r="D7275" s="43" t="s">
        <v>8202</v>
      </c>
      <c r="E7275" s="45" t="s">
        <v>8222</v>
      </c>
    </row>
    <row r="7276" spans="1:5">
      <c r="A7276" s="43">
        <v>99307</v>
      </c>
      <c r="B7276" s="43">
        <v>0</v>
      </c>
      <c r="C7276" s="43" t="s">
        <v>8213</v>
      </c>
      <c r="D7276" s="43" t="s">
        <v>8203</v>
      </c>
      <c r="E7276" s="45" t="s">
        <v>8223</v>
      </c>
    </row>
    <row r="7277" spans="1:5">
      <c r="A7277" s="43">
        <v>99308</v>
      </c>
      <c r="B7277" s="43">
        <v>0</v>
      </c>
      <c r="C7277" s="43" t="s">
        <v>8214</v>
      </c>
      <c r="D7277" s="43" t="s">
        <v>8204</v>
      </c>
      <c r="E7277" s="45" t="s">
        <v>8224</v>
      </c>
    </row>
    <row r="7278" spans="1:5">
      <c r="A7278" s="43">
        <v>99309</v>
      </c>
      <c r="B7278" s="43">
        <v>0</v>
      </c>
      <c r="C7278" s="43" t="s">
        <v>8215</v>
      </c>
      <c r="D7278" s="43" t="s">
        <v>8205</v>
      </c>
      <c r="E7278" s="45" t="s">
        <v>8225</v>
      </c>
    </row>
    <row r="7279" spans="1:5">
      <c r="A7279" s="37">
        <v>99400</v>
      </c>
      <c r="B7279" s="37">
        <v>0</v>
      </c>
      <c r="C7279" s="37" t="s">
        <v>11841</v>
      </c>
      <c r="D7279" s="37" t="s">
        <v>10651</v>
      </c>
      <c r="E7279" s="39" t="s">
        <v>11850</v>
      </c>
    </row>
    <row r="7280" spans="1:5">
      <c r="A7280" s="37">
        <v>99401</v>
      </c>
      <c r="B7280" s="37">
        <v>0</v>
      </c>
      <c r="C7280" s="37" t="s">
        <v>11842</v>
      </c>
      <c r="D7280" s="37" t="s">
        <v>10652</v>
      </c>
      <c r="E7280" s="39" t="s">
        <v>11851</v>
      </c>
    </row>
    <row r="7281" spans="1:6">
      <c r="A7281" s="37">
        <v>99402</v>
      </c>
      <c r="B7281" s="37">
        <v>0</v>
      </c>
      <c r="C7281" s="37" t="s">
        <v>11843</v>
      </c>
      <c r="D7281" s="37" t="s">
        <v>10653</v>
      </c>
      <c r="E7281" s="39" t="s">
        <v>11852</v>
      </c>
    </row>
    <row r="7282" spans="1:6">
      <c r="A7282" s="37">
        <v>99403</v>
      </c>
      <c r="B7282" s="37">
        <v>0</v>
      </c>
      <c r="C7282" s="37" t="s">
        <v>11844</v>
      </c>
      <c r="D7282" s="37" t="s">
        <v>10654</v>
      </c>
      <c r="E7282" s="39" t="s">
        <v>11853</v>
      </c>
    </row>
    <row r="7283" spans="1:6">
      <c r="A7283" s="37">
        <v>99404</v>
      </c>
      <c r="B7283" s="37">
        <v>0</v>
      </c>
      <c r="C7283" s="37" t="s">
        <v>11845</v>
      </c>
      <c r="D7283" s="37" t="s">
        <v>10655</v>
      </c>
      <c r="E7283" s="39" t="s">
        <v>11854</v>
      </c>
    </row>
    <row r="7284" spans="1:6">
      <c r="A7284" s="37">
        <v>99405</v>
      </c>
      <c r="B7284" s="37">
        <v>0</v>
      </c>
      <c r="C7284" s="37" t="s">
        <v>11846</v>
      </c>
      <c r="D7284" s="37" t="s">
        <v>10656</v>
      </c>
      <c r="E7284" s="39" t="s">
        <v>11855</v>
      </c>
    </row>
    <row r="7285" spans="1:6">
      <c r="A7285" s="37">
        <v>99406</v>
      </c>
      <c r="B7285" s="37">
        <v>0</v>
      </c>
      <c r="C7285" s="37" t="s">
        <v>11847</v>
      </c>
      <c r="D7285" s="37" t="s">
        <v>10657</v>
      </c>
      <c r="E7285" s="39" t="s">
        <v>11856</v>
      </c>
    </row>
    <row r="7286" spans="1:6">
      <c r="A7286" s="37">
        <v>99407</v>
      </c>
      <c r="B7286" s="37">
        <v>0</v>
      </c>
      <c r="C7286" s="37" t="s">
        <v>11848</v>
      </c>
      <c r="D7286" s="37" t="s">
        <v>10658</v>
      </c>
      <c r="E7286" s="39" t="s">
        <v>11857</v>
      </c>
    </row>
    <row r="7287" spans="1:6">
      <c r="A7287" s="37">
        <v>99408</v>
      </c>
      <c r="B7287" s="37">
        <v>0</v>
      </c>
      <c r="C7287" s="37" t="s">
        <v>11849</v>
      </c>
      <c r="D7287" s="37" t="s">
        <v>10659</v>
      </c>
      <c r="E7287" s="39" t="s">
        <v>11858</v>
      </c>
    </row>
    <row r="7288" spans="1:6" s="255" customFormat="1">
      <c r="A7288" s="308">
        <v>99409</v>
      </c>
      <c r="B7288" s="308">
        <v>0</v>
      </c>
      <c r="C7288" s="308" t="s">
        <v>11849</v>
      </c>
      <c r="D7288" s="308" t="s">
        <v>10660</v>
      </c>
      <c r="E7288" s="309" t="s">
        <v>11858</v>
      </c>
      <c r="F7288" s="269"/>
    </row>
    <row r="7289" spans="1:6" s="261" customFormat="1">
      <c r="A7289" s="22">
        <v>100001</v>
      </c>
      <c r="B7289" s="22">
        <v>0</v>
      </c>
      <c r="C7289" s="22" t="s">
        <v>3352</v>
      </c>
      <c r="D7289" s="22" t="s">
        <v>10141</v>
      </c>
      <c r="E7289" s="24" t="s">
        <v>713</v>
      </c>
      <c r="F7289" s="274"/>
    </row>
    <row r="7290" spans="1:6" s="261" customFormat="1">
      <c r="A7290" s="22">
        <v>100002</v>
      </c>
      <c r="B7290" s="22">
        <v>0</v>
      </c>
      <c r="C7290" s="22" t="s">
        <v>3352</v>
      </c>
      <c r="D7290" s="22" t="s">
        <v>8293</v>
      </c>
      <c r="E7290" s="24" t="s">
        <v>713</v>
      </c>
      <c r="F7290" s="274"/>
    </row>
    <row r="7291" spans="1:6" s="261" customFormat="1">
      <c r="A7291" s="22">
        <v>100003</v>
      </c>
      <c r="B7291" s="22">
        <v>0</v>
      </c>
      <c r="C7291" s="22" t="s">
        <v>3352</v>
      </c>
      <c r="D7291" s="22" t="s">
        <v>10082</v>
      </c>
      <c r="E7291" s="24" t="s">
        <v>713</v>
      </c>
      <c r="F7291" s="274"/>
    </row>
    <row r="7292" spans="1:6" s="261" customFormat="1">
      <c r="A7292" s="22">
        <v>100004</v>
      </c>
      <c r="B7292" s="22">
        <v>0</v>
      </c>
      <c r="C7292" s="22" t="s">
        <v>3352</v>
      </c>
      <c r="D7292" s="22" t="s">
        <v>8294</v>
      </c>
      <c r="E7292" s="24" t="s">
        <v>713</v>
      </c>
      <c r="F7292" s="274"/>
    </row>
    <row r="7293" spans="1:6" s="261" customFormat="1">
      <c r="A7293" s="22">
        <v>100005</v>
      </c>
      <c r="B7293" s="22">
        <v>0</v>
      </c>
      <c r="C7293" s="22" t="s">
        <v>3352</v>
      </c>
      <c r="D7293" s="22" t="s">
        <v>10083</v>
      </c>
      <c r="E7293" s="24" t="s">
        <v>713</v>
      </c>
      <c r="F7293" s="274"/>
    </row>
    <row r="7294" spans="1:6" s="261" customFormat="1">
      <c r="A7294" s="22">
        <v>100006</v>
      </c>
      <c r="B7294" s="22">
        <v>0</v>
      </c>
      <c r="C7294" s="22" t="s">
        <v>3352</v>
      </c>
      <c r="D7294" s="22" t="s">
        <v>8295</v>
      </c>
      <c r="E7294" s="24" t="s">
        <v>713</v>
      </c>
      <c r="F7294" s="274"/>
    </row>
    <row r="7295" spans="1:6" s="261" customFormat="1">
      <c r="A7295" s="22">
        <v>100007</v>
      </c>
      <c r="B7295" s="22">
        <v>0</v>
      </c>
      <c r="C7295" s="22" t="s">
        <v>3352</v>
      </c>
      <c r="D7295" s="22" t="s">
        <v>10084</v>
      </c>
      <c r="E7295" s="24" t="s">
        <v>713</v>
      </c>
      <c r="F7295" s="274"/>
    </row>
    <row r="7296" spans="1:6" s="261" customFormat="1">
      <c r="A7296" s="22">
        <v>100008</v>
      </c>
      <c r="B7296" s="22">
        <v>0</v>
      </c>
      <c r="C7296" s="22" t="s">
        <v>3352</v>
      </c>
      <c r="D7296" s="22" t="s">
        <v>8296</v>
      </c>
      <c r="E7296" s="24" t="s">
        <v>713</v>
      </c>
      <c r="F7296" s="274"/>
    </row>
    <row r="7297" spans="1:6" s="261" customFormat="1">
      <c r="A7297" s="22">
        <v>100009</v>
      </c>
      <c r="B7297" s="22">
        <v>0</v>
      </c>
      <c r="C7297" s="22" t="s">
        <v>3353</v>
      </c>
      <c r="D7297" s="22" t="s">
        <v>10085</v>
      </c>
      <c r="E7297" s="24" t="s">
        <v>1293</v>
      </c>
      <c r="F7297" s="274"/>
    </row>
    <row r="7298" spans="1:6" s="261" customFormat="1">
      <c r="A7298" s="22">
        <v>100010</v>
      </c>
      <c r="B7298" s="22">
        <v>0</v>
      </c>
      <c r="C7298" s="22" t="s">
        <v>3353</v>
      </c>
      <c r="D7298" s="22" t="s">
        <v>8297</v>
      </c>
      <c r="E7298" s="24" t="s">
        <v>1293</v>
      </c>
      <c r="F7298" s="274"/>
    </row>
    <row r="7299" spans="1:6" s="261" customFormat="1">
      <c r="A7299" s="22">
        <v>100011</v>
      </c>
      <c r="B7299" s="22">
        <v>0</v>
      </c>
      <c r="C7299" s="22" t="s">
        <v>3354</v>
      </c>
      <c r="D7299" s="22" t="s">
        <v>10086</v>
      </c>
      <c r="E7299" s="24" t="s">
        <v>782</v>
      </c>
      <c r="F7299" s="274"/>
    </row>
    <row r="7300" spans="1:6" s="261" customFormat="1">
      <c r="A7300" s="22">
        <v>100012</v>
      </c>
      <c r="B7300" s="22">
        <v>0</v>
      </c>
      <c r="C7300" s="22" t="s">
        <v>3354</v>
      </c>
      <c r="D7300" s="22" t="s">
        <v>8298</v>
      </c>
      <c r="E7300" s="24" t="s">
        <v>782</v>
      </c>
      <c r="F7300" s="274"/>
    </row>
    <row r="7301" spans="1:6" s="261" customFormat="1">
      <c r="A7301" s="22">
        <v>100013</v>
      </c>
      <c r="B7301" s="22">
        <v>0</v>
      </c>
      <c r="C7301" s="22" t="s">
        <v>3355</v>
      </c>
      <c r="D7301" s="22" t="s">
        <v>10087</v>
      </c>
      <c r="E7301" s="24" t="s">
        <v>599</v>
      </c>
      <c r="F7301" s="274"/>
    </row>
    <row r="7302" spans="1:6" s="261" customFormat="1">
      <c r="A7302" s="22">
        <v>100014</v>
      </c>
      <c r="B7302" s="22">
        <v>0</v>
      </c>
      <c r="C7302" s="22" t="s">
        <v>3355</v>
      </c>
      <c r="D7302" s="22" t="s">
        <v>8299</v>
      </c>
      <c r="E7302" s="24" t="s">
        <v>599</v>
      </c>
      <c r="F7302" s="274"/>
    </row>
    <row r="7303" spans="1:6" s="261" customFormat="1">
      <c r="A7303" s="22">
        <v>100015</v>
      </c>
      <c r="B7303" s="22">
        <v>0</v>
      </c>
      <c r="C7303" s="22" t="s">
        <v>3355</v>
      </c>
      <c r="D7303" s="22" t="s">
        <v>10088</v>
      </c>
      <c r="E7303" s="24" t="s">
        <v>599</v>
      </c>
      <c r="F7303" s="274"/>
    </row>
    <row r="7304" spans="1:6" s="261" customFormat="1">
      <c r="A7304" s="22">
        <v>100016</v>
      </c>
      <c r="B7304" s="22">
        <v>0</v>
      </c>
      <c r="C7304" s="22" t="s">
        <v>3355</v>
      </c>
      <c r="D7304" s="22" t="s">
        <v>8300</v>
      </c>
      <c r="E7304" s="24" t="s">
        <v>599</v>
      </c>
      <c r="F7304" s="274"/>
    </row>
    <row r="7305" spans="1:6" s="261" customFormat="1">
      <c r="A7305" s="22">
        <v>100017</v>
      </c>
      <c r="B7305" s="22">
        <v>0</v>
      </c>
      <c r="C7305" s="22" t="s">
        <v>3355</v>
      </c>
      <c r="D7305" s="22" t="s">
        <v>10089</v>
      </c>
      <c r="E7305" s="24" t="s">
        <v>599</v>
      </c>
      <c r="F7305" s="274"/>
    </row>
    <row r="7306" spans="1:6" s="261" customFormat="1">
      <c r="A7306" s="22">
        <v>100018</v>
      </c>
      <c r="B7306" s="22">
        <v>0</v>
      </c>
      <c r="C7306" s="22" t="s">
        <v>3355</v>
      </c>
      <c r="D7306" s="22" t="s">
        <v>8301</v>
      </c>
      <c r="E7306" s="24" t="s">
        <v>599</v>
      </c>
      <c r="F7306" s="274"/>
    </row>
    <row r="7307" spans="1:6" s="261" customFormat="1">
      <c r="A7307" s="22">
        <v>100019</v>
      </c>
      <c r="B7307" s="22">
        <v>0</v>
      </c>
      <c r="C7307" s="22" t="s">
        <v>3355</v>
      </c>
      <c r="D7307" s="22" t="s">
        <v>10090</v>
      </c>
      <c r="E7307" s="24" t="s">
        <v>599</v>
      </c>
      <c r="F7307" s="274"/>
    </row>
    <row r="7308" spans="1:6" s="261" customFormat="1">
      <c r="A7308" s="22">
        <v>100020</v>
      </c>
      <c r="B7308" s="22">
        <v>0</v>
      </c>
      <c r="C7308" s="22" t="s">
        <v>3355</v>
      </c>
      <c r="D7308" s="22" t="s">
        <v>8302</v>
      </c>
      <c r="E7308" s="24" t="s">
        <v>599</v>
      </c>
      <c r="F7308" s="274"/>
    </row>
    <row r="7309" spans="1:6" s="261" customFormat="1">
      <c r="A7309" s="22">
        <v>100021</v>
      </c>
      <c r="B7309" s="22">
        <v>0</v>
      </c>
      <c r="C7309" s="22" t="s">
        <v>3355</v>
      </c>
      <c r="D7309" s="22" t="s">
        <v>10091</v>
      </c>
      <c r="E7309" s="24" t="s">
        <v>599</v>
      </c>
      <c r="F7309" s="274"/>
    </row>
    <row r="7310" spans="1:6" s="261" customFormat="1">
      <c r="A7310" s="22">
        <v>100022</v>
      </c>
      <c r="B7310" s="22">
        <v>0</v>
      </c>
      <c r="C7310" s="22" t="s">
        <v>3355</v>
      </c>
      <c r="D7310" s="22" t="s">
        <v>8303</v>
      </c>
      <c r="E7310" s="24" t="s">
        <v>599</v>
      </c>
      <c r="F7310" s="274"/>
    </row>
    <row r="7311" spans="1:6" s="261" customFormat="1">
      <c r="A7311" s="22">
        <v>100023</v>
      </c>
      <c r="B7311" s="22">
        <v>0</v>
      </c>
      <c r="C7311" s="22" t="s">
        <v>3355</v>
      </c>
      <c r="D7311" s="22" t="s">
        <v>10092</v>
      </c>
      <c r="E7311" s="24" t="s">
        <v>599</v>
      </c>
      <c r="F7311" s="274"/>
    </row>
    <row r="7312" spans="1:6" s="261" customFormat="1">
      <c r="A7312" s="22">
        <v>100024</v>
      </c>
      <c r="B7312" s="22">
        <v>0</v>
      </c>
      <c r="C7312" s="22" t="s">
        <v>3355</v>
      </c>
      <c r="D7312" s="22" t="s">
        <v>8304</v>
      </c>
      <c r="E7312" s="24" t="s">
        <v>599</v>
      </c>
      <c r="F7312" s="274"/>
    </row>
    <row r="7313" spans="1:6" s="261" customFormat="1">
      <c r="A7313" s="22">
        <v>100025</v>
      </c>
      <c r="B7313" s="22">
        <v>0</v>
      </c>
      <c r="C7313" s="22" t="s">
        <v>3355</v>
      </c>
      <c r="D7313" s="22" t="s">
        <v>10093</v>
      </c>
      <c r="E7313" s="24" t="s">
        <v>599</v>
      </c>
      <c r="F7313" s="274"/>
    </row>
    <row r="7314" spans="1:6" s="261" customFormat="1">
      <c r="A7314" s="22">
        <v>100026</v>
      </c>
      <c r="B7314" s="22">
        <v>0</v>
      </c>
      <c r="C7314" s="22" t="s">
        <v>3355</v>
      </c>
      <c r="D7314" s="22" t="s">
        <v>8305</v>
      </c>
      <c r="E7314" s="24" t="s">
        <v>599</v>
      </c>
      <c r="F7314" s="274"/>
    </row>
    <row r="7315" spans="1:6" s="261" customFormat="1">
      <c r="A7315" s="22">
        <v>100027</v>
      </c>
      <c r="B7315" s="22">
        <v>0</v>
      </c>
      <c r="C7315" s="22" t="s">
        <v>3355</v>
      </c>
      <c r="D7315" s="22" t="s">
        <v>10094</v>
      </c>
      <c r="E7315" s="24" t="s">
        <v>599</v>
      </c>
      <c r="F7315" s="274"/>
    </row>
    <row r="7316" spans="1:6" s="261" customFormat="1">
      <c r="A7316" s="22">
        <v>100028</v>
      </c>
      <c r="B7316" s="22">
        <v>0</v>
      </c>
      <c r="C7316" s="22" t="s">
        <v>3355</v>
      </c>
      <c r="D7316" s="22" t="s">
        <v>8306</v>
      </c>
      <c r="E7316" s="24" t="s">
        <v>599</v>
      </c>
      <c r="F7316" s="274"/>
    </row>
    <row r="7317" spans="1:6" s="261" customFormat="1">
      <c r="A7317" s="22">
        <v>100029</v>
      </c>
      <c r="B7317" s="22">
        <v>0</v>
      </c>
      <c r="C7317" s="22" t="s">
        <v>3355</v>
      </c>
      <c r="D7317" s="22" t="s">
        <v>10095</v>
      </c>
      <c r="E7317" s="24" t="s">
        <v>599</v>
      </c>
      <c r="F7317" s="274"/>
    </row>
    <row r="7318" spans="1:6" s="261" customFormat="1">
      <c r="A7318" s="22">
        <v>100030</v>
      </c>
      <c r="B7318" s="22">
        <v>0</v>
      </c>
      <c r="C7318" s="22" t="s">
        <v>3355</v>
      </c>
      <c r="D7318" s="22" t="s">
        <v>8307</v>
      </c>
      <c r="E7318" s="24" t="s">
        <v>599</v>
      </c>
      <c r="F7318" s="274"/>
    </row>
    <row r="7319" spans="1:6" s="261" customFormat="1">
      <c r="A7319" s="22">
        <v>100031</v>
      </c>
      <c r="B7319" s="22">
        <v>0</v>
      </c>
      <c r="C7319" s="22" t="s">
        <v>3355</v>
      </c>
      <c r="D7319" s="22" t="s">
        <v>10096</v>
      </c>
      <c r="E7319" s="24" t="s">
        <v>599</v>
      </c>
      <c r="F7319" s="274"/>
    </row>
    <row r="7320" spans="1:6" s="261" customFormat="1">
      <c r="A7320" s="22">
        <v>100032</v>
      </c>
      <c r="B7320" s="22">
        <v>0</v>
      </c>
      <c r="C7320" s="22" t="s">
        <v>3355</v>
      </c>
      <c r="D7320" s="22" t="s">
        <v>10097</v>
      </c>
      <c r="E7320" s="24" t="s">
        <v>599</v>
      </c>
      <c r="F7320" s="274"/>
    </row>
    <row r="7321" spans="1:6" s="261" customFormat="1">
      <c r="A7321" s="22">
        <v>100033</v>
      </c>
      <c r="B7321" s="22">
        <v>0</v>
      </c>
      <c r="C7321" s="22" t="s">
        <v>3355</v>
      </c>
      <c r="D7321" s="22" t="s">
        <v>10098</v>
      </c>
      <c r="E7321" s="24" t="s">
        <v>599</v>
      </c>
      <c r="F7321" s="274"/>
    </row>
    <row r="7322" spans="1:6" s="261" customFormat="1">
      <c r="A7322" s="22">
        <v>100034</v>
      </c>
      <c r="B7322" s="22">
        <v>0</v>
      </c>
      <c r="C7322" s="22" t="s">
        <v>3355</v>
      </c>
      <c r="D7322" s="22" t="s">
        <v>10099</v>
      </c>
      <c r="E7322" s="24" t="s">
        <v>599</v>
      </c>
      <c r="F7322" s="274"/>
    </row>
    <row r="7323" spans="1:6" s="261" customFormat="1">
      <c r="A7323" s="22">
        <v>100035</v>
      </c>
      <c r="B7323" s="22">
        <v>0</v>
      </c>
      <c r="C7323" s="22" t="s">
        <v>3355</v>
      </c>
      <c r="D7323" s="22" t="s">
        <v>10100</v>
      </c>
      <c r="E7323" s="24" t="s">
        <v>599</v>
      </c>
      <c r="F7323" s="274"/>
    </row>
    <row r="7324" spans="1:6" s="261" customFormat="1">
      <c r="A7324" s="22">
        <v>100036</v>
      </c>
      <c r="B7324" s="22">
        <v>0</v>
      </c>
      <c r="C7324" s="22" t="s">
        <v>3355</v>
      </c>
      <c r="D7324" s="22" t="s">
        <v>10101</v>
      </c>
      <c r="E7324" s="24" t="s">
        <v>599</v>
      </c>
      <c r="F7324" s="274"/>
    </row>
    <row r="7325" spans="1:6" s="261" customFormat="1">
      <c r="A7325" s="22">
        <v>100037</v>
      </c>
      <c r="B7325" s="22">
        <v>0</v>
      </c>
      <c r="C7325" s="22" t="s">
        <v>3355</v>
      </c>
      <c r="D7325" s="22" t="s">
        <v>10102</v>
      </c>
      <c r="E7325" s="24" t="s">
        <v>599</v>
      </c>
      <c r="F7325" s="274"/>
    </row>
    <row r="7326" spans="1:6" s="261" customFormat="1">
      <c r="A7326" s="22">
        <v>100038</v>
      </c>
      <c r="B7326" s="22">
        <v>0</v>
      </c>
      <c r="C7326" s="22" t="s">
        <v>3355</v>
      </c>
      <c r="D7326" s="22" t="s">
        <v>10103</v>
      </c>
      <c r="E7326" s="24" t="s">
        <v>599</v>
      </c>
      <c r="F7326" s="274"/>
    </row>
    <row r="7327" spans="1:6" s="261" customFormat="1">
      <c r="A7327" s="22">
        <v>100039</v>
      </c>
      <c r="B7327" s="22">
        <v>0</v>
      </c>
      <c r="C7327" s="22" t="s">
        <v>3355</v>
      </c>
      <c r="D7327" s="22" t="s">
        <v>10104</v>
      </c>
      <c r="E7327" s="24" t="s">
        <v>599</v>
      </c>
      <c r="F7327" s="274"/>
    </row>
    <row r="7328" spans="1:6" s="261" customFormat="1">
      <c r="A7328" s="22">
        <v>100040</v>
      </c>
      <c r="B7328" s="22">
        <v>0</v>
      </c>
      <c r="C7328" s="22" t="s">
        <v>3355</v>
      </c>
      <c r="D7328" s="22" t="s">
        <v>10105</v>
      </c>
      <c r="E7328" s="24" t="s">
        <v>599</v>
      </c>
      <c r="F7328" s="274"/>
    </row>
    <row r="7329" spans="1:6" s="261" customFormat="1">
      <c r="A7329" s="22">
        <v>100041</v>
      </c>
      <c r="B7329" s="22">
        <v>0</v>
      </c>
      <c r="C7329" s="22" t="s">
        <v>3355</v>
      </c>
      <c r="D7329" s="22" t="s">
        <v>10106</v>
      </c>
      <c r="E7329" s="24" t="s">
        <v>599</v>
      </c>
      <c r="F7329" s="274"/>
    </row>
    <row r="7330" spans="1:6" s="261" customFormat="1">
      <c r="A7330" s="22">
        <v>100042</v>
      </c>
      <c r="B7330" s="22">
        <v>0</v>
      </c>
      <c r="C7330" s="22" t="s">
        <v>3355</v>
      </c>
      <c r="D7330" s="22" t="s">
        <v>10107</v>
      </c>
      <c r="E7330" s="24" t="s">
        <v>599</v>
      </c>
      <c r="F7330" s="274"/>
    </row>
    <row r="7331" spans="1:6" s="261" customFormat="1">
      <c r="A7331" s="22">
        <v>100043</v>
      </c>
      <c r="B7331" s="22">
        <v>0</v>
      </c>
      <c r="C7331" s="22" t="s">
        <v>3355</v>
      </c>
      <c r="D7331" s="22" t="s">
        <v>10108</v>
      </c>
      <c r="E7331" s="24" t="s">
        <v>599</v>
      </c>
      <c r="F7331" s="274"/>
    </row>
    <row r="7332" spans="1:6" s="261" customFormat="1">
      <c r="A7332" s="22">
        <v>100044</v>
      </c>
      <c r="B7332" s="22">
        <v>0</v>
      </c>
      <c r="C7332" s="22" t="s">
        <v>3355</v>
      </c>
      <c r="D7332" s="22" t="s">
        <v>10109</v>
      </c>
      <c r="E7332" s="24" t="s">
        <v>599</v>
      </c>
      <c r="F7332" s="274"/>
    </row>
    <row r="7333" spans="1:6" s="261" customFormat="1">
      <c r="A7333" s="22">
        <v>100045</v>
      </c>
      <c r="B7333" s="22">
        <v>0</v>
      </c>
      <c r="C7333" s="22" t="s">
        <v>3355</v>
      </c>
      <c r="D7333" s="22" t="s">
        <v>10110</v>
      </c>
      <c r="E7333" s="24" t="s">
        <v>599</v>
      </c>
      <c r="F7333" s="274"/>
    </row>
    <row r="7334" spans="1:6" s="261" customFormat="1">
      <c r="A7334" s="22">
        <v>100046</v>
      </c>
      <c r="B7334" s="22">
        <v>0</v>
      </c>
      <c r="C7334" s="22" t="s">
        <v>3355</v>
      </c>
      <c r="D7334" s="22" t="s">
        <v>10111</v>
      </c>
      <c r="E7334" s="24" t="s">
        <v>599</v>
      </c>
      <c r="F7334" s="274"/>
    </row>
    <row r="7335" spans="1:6" s="261" customFormat="1">
      <c r="A7335" s="22">
        <v>100047</v>
      </c>
      <c r="B7335" s="22">
        <v>0</v>
      </c>
      <c r="C7335" s="22" t="s">
        <v>3355</v>
      </c>
      <c r="D7335" s="22" t="s">
        <v>10112</v>
      </c>
      <c r="E7335" s="24" t="s">
        <v>599</v>
      </c>
      <c r="F7335" s="274"/>
    </row>
    <row r="7336" spans="1:6" s="261" customFormat="1">
      <c r="A7336" s="22">
        <v>100048</v>
      </c>
      <c r="B7336" s="22">
        <v>0</v>
      </c>
      <c r="C7336" s="22" t="s">
        <v>3355</v>
      </c>
      <c r="D7336" s="22" t="s">
        <v>10113</v>
      </c>
      <c r="E7336" s="24" t="s">
        <v>599</v>
      </c>
      <c r="F7336" s="274"/>
    </row>
    <row r="7337" spans="1:6" s="261" customFormat="1">
      <c r="A7337" s="22">
        <v>100049</v>
      </c>
      <c r="B7337" s="22">
        <v>0</v>
      </c>
      <c r="C7337" s="22" t="s">
        <v>3355</v>
      </c>
      <c r="D7337" s="22" t="s">
        <v>10114</v>
      </c>
      <c r="E7337" s="24" t="s">
        <v>599</v>
      </c>
      <c r="F7337" s="274"/>
    </row>
    <row r="7338" spans="1:6" s="261" customFormat="1">
      <c r="A7338" s="22">
        <v>100050</v>
      </c>
      <c r="B7338" s="22">
        <v>0</v>
      </c>
      <c r="C7338" s="22" t="s">
        <v>3355</v>
      </c>
      <c r="D7338" s="22" t="s">
        <v>10115</v>
      </c>
      <c r="E7338" s="24" t="s">
        <v>599</v>
      </c>
      <c r="F7338" s="274"/>
    </row>
    <row r="7339" spans="1:6" s="261" customFormat="1">
      <c r="A7339" s="22">
        <v>100051</v>
      </c>
      <c r="B7339" s="22">
        <v>0</v>
      </c>
      <c r="C7339" s="22" t="s">
        <v>3355</v>
      </c>
      <c r="D7339" s="22" t="s">
        <v>10116</v>
      </c>
      <c r="E7339" s="24" t="s">
        <v>599</v>
      </c>
      <c r="F7339" s="274"/>
    </row>
    <row r="7340" spans="1:6" s="261" customFormat="1">
      <c r="A7340" s="22">
        <v>100052</v>
      </c>
      <c r="B7340" s="22">
        <v>0</v>
      </c>
      <c r="C7340" s="22" t="s">
        <v>3355</v>
      </c>
      <c r="D7340" s="22" t="s">
        <v>10117</v>
      </c>
      <c r="E7340" s="24" t="s">
        <v>599</v>
      </c>
      <c r="F7340" s="274"/>
    </row>
    <row r="7341" spans="1:6" s="261" customFormat="1">
      <c r="A7341" s="22">
        <v>100053</v>
      </c>
      <c r="B7341" s="22">
        <v>0</v>
      </c>
      <c r="C7341" s="22" t="s">
        <v>3355</v>
      </c>
      <c r="D7341" s="22" t="s">
        <v>10118</v>
      </c>
      <c r="E7341" s="24" t="s">
        <v>599</v>
      </c>
      <c r="F7341" s="274"/>
    </row>
    <row r="7342" spans="1:6" s="261" customFormat="1">
      <c r="A7342" s="22">
        <v>100054</v>
      </c>
      <c r="B7342" s="22">
        <v>0</v>
      </c>
      <c r="C7342" s="22" t="s">
        <v>3355</v>
      </c>
      <c r="D7342" s="22" t="s">
        <v>10119</v>
      </c>
      <c r="E7342" s="24" t="s">
        <v>599</v>
      </c>
      <c r="F7342" s="274"/>
    </row>
    <row r="7343" spans="1:6" s="261" customFormat="1">
      <c r="A7343" s="22">
        <v>100055</v>
      </c>
      <c r="B7343" s="22">
        <v>0</v>
      </c>
      <c r="C7343" s="22" t="s">
        <v>3355</v>
      </c>
      <c r="D7343" s="22" t="s">
        <v>10120</v>
      </c>
      <c r="E7343" s="24" t="s">
        <v>599</v>
      </c>
      <c r="F7343" s="274"/>
    </row>
    <row r="7344" spans="1:6" s="261" customFormat="1">
      <c r="A7344" s="22">
        <v>100056</v>
      </c>
      <c r="B7344" s="22">
        <v>0</v>
      </c>
      <c r="C7344" s="22" t="s">
        <v>3355</v>
      </c>
      <c r="D7344" s="22" t="s">
        <v>10121</v>
      </c>
      <c r="E7344" s="24" t="s">
        <v>599</v>
      </c>
      <c r="F7344" s="274"/>
    </row>
    <row r="7345" spans="1:6" s="261" customFormat="1">
      <c r="A7345" s="22">
        <v>100057</v>
      </c>
      <c r="B7345" s="22">
        <v>0</v>
      </c>
      <c r="C7345" s="22" t="s">
        <v>3355</v>
      </c>
      <c r="D7345" s="22" t="s">
        <v>10122</v>
      </c>
      <c r="E7345" s="24" t="s">
        <v>599</v>
      </c>
      <c r="F7345" s="274"/>
    </row>
    <row r="7346" spans="1:6" s="261" customFormat="1">
      <c r="A7346" s="22">
        <v>100058</v>
      </c>
      <c r="B7346" s="22">
        <v>0</v>
      </c>
      <c r="C7346" s="22" t="s">
        <v>3355</v>
      </c>
      <c r="D7346" s="22" t="s">
        <v>10123</v>
      </c>
      <c r="E7346" s="24" t="s">
        <v>599</v>
      </c>
      <c r="F7346" s="274"/>
    </row>
    <row r="7347" spans="1:6" s="261" customFormat="1">
      <c r="A7347" s="22">
        <v>100059</v>
      </c>
      <c r="B7347" s="22">
        <v>0</v>
      </c>
      <c r="C7347" s="22" t="s">
        <v>3355</v>
      </c>
      <c r="D7347" s="22" t="s">
        <v>10124</v>
      </c>
      <c r="E7347" s="24" t="s">
        <v>599</v>
      </c>
      <c r="F7347" s="274"/>
    </row>
    <row r="7348" spans="1:6" s="261" customFormat="1">
      <c r="A7348" s="22">
        <v>100060</v>
      </c>
      <c r="B7348" s="22">
        <v>0</v>
      </c>
      <c r="C7348" s="22" t="s">
        <v>3355</v>
      </c>
      <c r="D7348" s="22" t="s">
        <v>10125</v>
      </c>
      <c r="E7348" s="24" t="s">
        <v>599</v>
      </c>
      <c r="F7348" s="274"/>
    </row>
    <row r="7349" spans="1:6" s="261" customFormat="1">
      <c r="A7349" s="22">
        <v>100061</v>
      </c>
      <c r="B7349" s="22">
        <v>0</v>
      </c>
      <c r="C7349" s="22" t="s">
        <v>3355</v>
      </c>
      <c r="D7349" s="22" t="s">
        <v>10126</v>
      </c>
      <c r="E7349" s="24" t="s">
        <v>599</v>
      </c>
      <c r="F7349" s="274"/>
    </row>
    <row r="7350" spans="1:6" s="261" customFormat="1">
      <c r="A7350" s="22">
        <v>100062</v>
      </c>
      <c r="B7350" s="22">
        <v>0</v>
      </c>
      <c r="C7350" s="22" t="s">
        <v>3355</v>
      </c>
      <c r="D7350" s="22" t="s">
        <v>10127</v>
      </c>
      <c r="E7350" s="24" t="s">
        <v>599</v>
      </c>
      <c r="F7350" s="274"/>
    </row>
    <row r="7351" spans="1:6" s="261" customFormat="1">
      <c r="A7351" s="22">
        <v>100063</v>
      </c>
      <c r="B7351" s="22">
        <v>0</v>
      </c>
      <c r="C7351" s="22" t="s">
        <v>3355</v>
      </c>
      <c r="D7351" s="22" t="s">
        <v>10128</v>
      </c>
      <c r="E7351" s="24" t="s">
        <v>599</v>
      </c>
      <c r="F7351" s="274"/>
    </row>
    <row r="7352" spans="1:6" s="261" customFormat="1">
      <c r="A7352" s="22">
        <v>100064</v>
      </c>
      <c r="B7352" s="22">
        <v>0</v>
      </c>
      <c r="C7352" s="22" t="s">
        <v>3355</v>
      </c>
      <c r="D7352" s="22" t="s">
        <v>10129</v>
      </c>
      <c r="E7352" s="24" t="s">
        <v>599</v>
      </c>
      <c r="F7352" s="274"/>
    </row>
    <row r="7353" spans="1:6" s="261" customFormat="1">
      <c r="A7353" s="22">
        <v>100065</v>
      </c>
      <c r="B7353" s="22">
        <v>0</v>
      </c>
      <c r="C7353" s="22" t="s">
        <v>3355</v>
      </c>
      <c r="D7353" s="22" t="s">
        <v>10130</v>
      </c>
      <c r="E7353" s="24" t="s">
        <v>599</v>
      </c>
      <c r="F7353" s="274"/>
    </row>
    <row r="7354" spans="1:6" s="261" customFormat="1">
      <c r="A7354" s="22">
        <v>100066</v>
      </c>
      <c r="B7354" s="22">
        <v>0</v>
      </c>
      <c r="C7354" s="22" t="s">
        <v>3355</v>
      </c>
      <c r="D7354" s="22" t="s">
        <v>10131</v>
      </c>
      <c r="E7354" s="24" t="s">
        <v>599</v>
      </c>
      <c r="F7354" s="274"/>
    </row>
    <row r="7355" spans="1:6" s="261" customFormat="1">
      <c r="A7355" s="22">
        <v>100067</v>
      </c>
      <c r="B7355" s="22">
        <v>0</v>
      </c>
      <c r="C7355" s="22" t="s">
        <v>3355</v>
      </c>
      <c r="D7355" s="22" t="s">
        <v>10132</v>
      </c>
      <c r="E7355" s="24" t="s">
        <v>599</v>
      </c>
      <c r="F7355" s="274"/>
    </row>
    <row r="7356" spans="1:6" s="261" customFormat="1">
      <c r="A7356" s="22">
        <v>100068</v>
      </c>
      <c r="B7356" s="22">
        <v>0</v>
      </c>
      <c r="C7356" s="22" t="s">
        <v>3355</v>
      </c>
      <c r="D7356" s="22" t="s">
        <v>10133</v>
      </c>
      <c r="E7356" s="24" t="s">
        <v>599</v>
      </c>
      <c r="F7356" s="274"/>
    </row>
    <row r="7357" spans="1:6" s="261" customFormat="1">
      <c r="A7357" s="22">
        <v>100069</v>
      </c>
      <c r="B7357" s="22">
        <v>0</v>
      </c>
      <c r="C7357" s="22" t="s">
        <v>3355</v>
      </c>
      <c r="D7357" s="22" t="s">
        <v>10134</v>
      </c>
      <c r="E7357" s="24" t="s">
        <v>599</v>
      </c>
      <c r="F7357" s="274"/>
    </row>
    <row r="7358" spans="1:6" s="261" customFormat="1">
      <c r="A7358" s="22">
        <v>100070</v>
      </c>
      <c r="B7358" s="22">
        <v>0</v>
      </c>
      <c r="C7358" s="22" t="s">
        <v>3355</v>
      </c>
      <c r="D7358" s="22" t="s">
        <v>10135</v>
      </c>
      <c r="E7358" s="24" t="s">
        <v>599</v>
      </c>
      <c r="F7358" s="274"/>
    </row>
    <row r="7359" spans="1:6" s="261" customFormat="1">
      <c r="A7359" s="22">
        <v>100071</v>
      </c>
      <c r="B7359" s="22">
        <v>0</v>
      </c>
      <c r="C7359" s="22" t="s">
        <v>3355</v>
      </c>
      <c r="D7359" s="22" t="s">
        <v>10136</v>
      </c>
      <c r="E7359" s="24" t="s">
        <v>599</v>
      </c>
      <c r="F7359" s="274"/>
    </row>
    <row r="7360" spans="1:6" s="261" customFormat="1">
      <c r="A7360" s="22">
        <v>100072</v>
      </c>
      <c r="B7360" s="22">
        <v>0</v>
      </c>
      <c r="C7360" s="22" t="s">
        <v>3355</v>
      </c>
      <c r="D7360" s="22" t="s">
        <v>10137</v>
      </c>
      <c r="E7360" s="24" t="s">
        <v>599</v>
      </c>
      <c r="F7360" s="274"/>
    </row>
    <row r="7361" spans="1:6" s="261" customFormat="1">
      <c r="A7361" s="22">
        <v>100073</v>
      </c>
      <c r="B7361" s="22">
        <v>0</v>
      </c>
      <c r="C7361" s="22" t="s">
        <v>3355</v>
      </c>
      <c r="D7361" s="22" t="s">
        <v>10138</v>
      </c>
      <c r="E7361" s="24" t="s">
        <v>599</v>
      </c>
      <c r="F7361" s="274"/>
    </row>
    <row r="7362" spans="1:6" s="261" customFormat="1">
      <c r="A7362" s="22">
        <v>100074</v>
      </c>
      <c r="B7362" s="22">
        <v>0</v>
      </c>
      <c r="C7362" s="22" t="s">
        <v>3355</v>
      </c>
      <c r="D7362" s="22" t="s">
        <v>10139</v>
      </c>
      <c r="E7362" s="24" t="s">
        <v>599</v>
      </c>
      <c r="F7362" s="274"/>
    </row>
    <row r="7363" spans="1:6" s="261" customFormat="1">
      <c r="A7363" s="22">
        <v>100075</v>
      </c>
      <c r="B7363" s="22">
        <v>0</v>
      </c>
      <c r="C7363" s="22" t="s">
        <v>3355</v>
      </c>
      <c r="D7363" s="22" t="s">
        <v>10140</v>
      </c>
      <c r="E7363" s="24" t="s">
        <v>599</v>
      </c>
      <c r="F7363" s="274"/>
    </row>
    <row r="7364" spans="1:6" s="261" customFormat="1">
      <c r="A7364" s="66">
        <v>100501</v>
      </c>
      <c r="B7364" s="66">
        <v>0</v>
      </c>
      <c r="C7364" s="66" t="s">
        <v>3352</v>
      </c>
      <c r="D7364" s="66" t="s">
        <v>8308</v>
      </c>
      <c r="E7364" s="68" t="s">
        <v>713</v>
      </c>
      <c r="F7364" s="274"/>
    </row>
    <row r="7365" spans="1:6" s="261" customFormat="1">
      <c r="A7365" s="66">
        <v>100502</v>
      </c>
      <c r="B7365" s="66">
        <v>0</v>
      </c>
      <c r="C7365" s="66" t="s">
        <v>3352</v>
      </c>
      <c r="D7365" s="66" t="s">
        <v>8309</v>
      </c>
      <c r="E7365" s="68" t="s">
        <v>713</v>
      </c>
      <c r="F7365" s="274"/>
    </row>
    <row r="7366" spans="1:6" s="261" customFormat="1">
      <c r="A7366" s="66">
        <v>100503</v>
      </c>
      <c r="B7366" s="66">
        <v>0</v>
      </c>
      <c r="C7366" s="66" t="s">
        <v>3352</v>
      </c>
      <c r="D7366" s="66" t="s">
        <v>8310</v>
      </c>
      <c r="E7366" s="68" t="s">
        <v>713</v>
      </c>
      <c r="F7366" s="274"/>
    </row>
    <row r="7367" spans="1:6" s="261" customFormat="1">
      <c r="A7367" s="66">
        <v>100504</v>
      </c>
      <c r="B7367" s="66">
        <v>0</v>
      </c>
      <c r="C7367" s="66" t="s">
        <v>3352</v>
      </c>
      <c r="D7367" s="66" t="s">
        <v>8311</v>
      </c>
      <c r="E7367" s="68" t="s">
        <v>713</v>
      </c>
      <c r="F7367" s="274"/>
    </row>
    <row r="7368" spans="1:6" s="261" customFormat="1">
      <c r="A7368" s="66">
        <v>100505</v>
      </c>
      <c r="B7368" s="66">
        <v>0</v>
      </c>
      <c r="C7368" s="66" t="s">
        <v>3352</v>
      </c>
      <c r="D7368" s="66" t="s">
        <v>8312</v>
      </c>
      <c r="E7368" s="68" t="s">
        <v>713</v>
      </c>
      <c r="F7368" s="274"/>
    </row>
    <row r="7369" spans="1:6" s="261" customFormat="1">
      <c r="A7369" s="66">
        <v>100506</v>
      </c>
      <c r="B7369" s="66">
        <v>0</v>
      </c>
      <c r="C7369" s="66" t="s">
        <v>3352</v>
      </c>
      <c r="D7369" s="66" t="s">
        <v>6768</v>
      </c>
      <c r="E7369" s="68" t="s">
        <v>713</v>
      </c>
      <c r="F7369" s="274"/>
    </row>
    <row r="7370" spans="1:6" s="261" customFormat="1">
      <c r="A7370" s="66">
        <v>100507</v>
      </c>
      <c r="B7370" s="66">
        <v>0</v>
      </c>
      <c r="C7370" s="66" t="s">
        <v>3352</v>
      </c>
      <c r="D7370" s="66" t="s">
        <v>6769</v>
      </c>
      <c r="E7370" s="68" t="s">
        <v>713</v>
      </c>
      <c r="F7370" s="274"/>
    </row>
    <row r="7371" spans="1:6" s="261" customFormat="1">
      <c r="A7371" s="66">
        <v>100508</v>
      </c>
      <c r="B7371" s="66">
        <v>0</v>
      </c>
      <c r="C7371" s="66" t="s">
        <v>3352</v>
      </c>
      <c r="D7371" s="66" t="s">
        <v>6770</v>
      </c>
      <c r="E7371" s="68" t="s">
        <v>713</v>
      </c>
      <c r="F7371" s="274"/>
    </row>
    <row r="7372" spans="1:6" s="261" customFormat="1">
      <c r="A7372" s="66">
        <v>100509</v>
      </c>
      <c r="B7372" s="66">
        <v>0</v>
      </c>
      <c r="C7372" s="66" t="s">
        <v>3352</v>
      </c>
      <c r="D7372" s="66" t="s">
        <v>6771</v>
      </c>
      <c r="E7372" s="68" t="s">
        <v>713</v>
      </c>
      <c r="F7372" s="274"/>
    </row>
    <row r="7373" spans="1:6" s="261" customFormat="1">
      <c r="A7373" s="66">
        <v>100510</v>
      </c>
      <c r="B7373" s="66">
        <v>0</v>
      </c>
      <c r="C7373" s="66" t="s">
        <v>3352</v>
      </c>
      <c r="D7373" s="66" t="s">
        <v>6772</v>
      </c>
      <c r="E7373" s="68" t="s">
        <v>713</v>
      </c>
      <c r="F7373" s="274"/>
    </row>
    <row r="7374" spans="1:6" s="261" customFormat="1">
      <c r="A7374" s="66">
        <v>100511</v>
      </c>
      <c r="B7374" s="66">
        <v>0</v>
      </c>
      <c r="C7374" s="66" t="s">
        <v>3352</v>
      </c>
      <c r="D7374" s="66" t="s">
        <v>6773</v>
      </c>
      <c r="E7374" s="68" t="s">
        <v>713</v>
      </c>
      <c r="F7374" s="274"/>
    </row>
    <row r="7375" spans="1:6" s="261" customFormat="1">
      <c r="A7375" s="66">
        <v>100512</v>
      </c>
      <c r="B7375" s="66">
        <v>0</v>
      </c>
      <c r="C7375" s="66" t="s">
        <v>3352</v>
      </c>
      <c r="D7375" s="66" t="s">
        <v>6774</v>
      </c>
      <c r="E7375" s="68" t="s">
        <v>713</v>
      </c>
      <c r="F7375" s="274"/>
    </row>
    <row r="7376" spans="1:6" s="261" customFormat="1">
      <c r="A7376" s="66">
        <v>100513</v>
      </c>
      <c r="B7376" s="66">
        <v>0</v>
      </c>
      <c r="C7376" s="66" t="s">
        <v>3352</v>
      </c>
      <c r="D7376" s="66" t="s">
        <v>8313</v>
      </c>
      <c r="E7376" s="68" t="s">
        <v>713</v>
      </c>
      <c r="F7376" s="274"/>
    </row>
    <row r="7377" spans="1:6" s="261" customFormat="1">
      <c r="A7377" s="66">
        <v>100514</v>
      </c>
      <c r="B7377" s="66">
        <v>0</v>
      </c>
      <c r="C7377" s="66" t="s">
        <v>3352</v>
      </c>
      <c r="D7377" s="66" t="s">
        <v>8314</v>
      </c>
      <c r="E7377" s="68" t="s">
        <v>713</v>
      </c>
      <c r="F7377" s="274"/>
    </row>
    <row r="7378" spans="1:6" s="261" customFormat="1">
      <c r="A7378" s="66">
        <v>100515</v>
      </c>
      <c r="B7378" s="66">
        <v>0</v>
      </c>
      <c r="C7378" s="66" t="s">
        <v>3352</v>
      </c>
      <c r="D7378" s="66" t="s">
        <v>8315</v>
      </c>
      <c r="E7378" s="68" t="s">
        <v>713</v>
      </c>
      <c r="F7378" s="274"/>
    </row>
    <row r="7379" spans="1:6" s="261" customFormat="1">
      <c r="A7379" s="66">
        <v>100516</v>
      </c>
      <c r="B7379" s="66">
        <v>0</v>
      </c>
      <c r="C7379" s="66" t="s">
        <v>3352</v>
      </c>
      <c r="D7379" s="66" t="s">
        <v>8316</v>
      </c>
      <c r="E7379" s="68" t="s">
        <v>713</v>
      </c>
      <c r="F7379" s="274"/>
    </row>
    <row r="7380" spans="1:6" s="261" customFormat="1">
      <c r="A7380" s="66">
        <v>100517</v>
      </c>
      <c r="B7380" s="66">
        <v>0</v>
      </c>
      <c r="C7380" s="66" t="s">
        <v>3352</v>
      </c>
      <c r="D7380" s="66" t="s">
        <v>8317</v>
      </c>
      <c r="E7380" s="68" t="s">
        <v>713</v>
      </c>
      <c r="F7380" s="274"/>
    </row>
    <row r="7381" spans="1:6" s="261" customFormat="1">
      <c r="A7381" s="66">
        <v>100518</v>
      </c>
      <c r="B7381" s="66">
        <v>0</v>
      </c>
      <c r="C7381" s="66" t="s">
        <v>3352</v>
      </c>
      <c r="D7381" s="66" t="s">
        <v>8318</v>
      </c>
      <c r="E7381" s="68" t="s">
        <v>713</v>
      </c>
      <c r="F7381" s="274"/>
    </row>
    <row r="7382" spans="1:6" s="261" customFormat="1">
      <c r="A7382" s="66">
        <v>100519</v>
      </c>
      <c r="B7382" s="66">
        <v>0</v>
      </c>
      <c r="C7382" s="66" t="s">
        <v>3352</v>
      </c>
      <c r="D7382" s="66" t="s">
        <v>8319</v>
      </c>
      <c r="E7382" s="68" t="s">
        <v>713</v>
      </c>
      <c r="F7382" s="274"/>
    </row>
    <row r="7383" spans="1:6" s="261" customFormat="1">
      <c r="A7383" s="66">
        <v>100520</v>
      </c>
      <c r="B7383" s="66">
        <v>0</v>
      </c>
      <c r="C7383" s="66" t="s">
        <v>3352</v>
      </c>
      <c r="D7383" s="66" t="s">
        <v>8320</v>
      </c>
      <c r="E7383" s="68" t="s">
        <v>713</v>
      </c>
      <c r="F7383" s="274"/>
    </row>
    <row r="7384" spans="1:6" s="261" customFormat="1">
      <c r="A7384" s="66">
        <v>100521</v>
      </c>
      <c r="B7384" s="66">
        <v>0</v>
      </c>
      <c r="C7384" s="66" t="s">
        <v>3352</v>
      </c>
      <c r="D7384" s="66" t="s">
        <v>8321</v>
      </c>
      <c r="E7384" s="68" t="s">
        <v>713</v>
      </c>
      <c r="F7384" s="274"/>
    </row>
    <row r="7385" spans="1:6" s="261" customFormat="1">
      <c r="A7385" s="66">
        <v>100522</v>
      </c>
      <c r="B7385" s="66">
        <v>0</v>
      </c>
      <c r="C7385" s="66" t="s">
        <v>3352</v>
      </c>
      <c r="D7385" s="66" t="s">
        <v>8322</v>
      </c>
      <c r="E7385" s="68" t="s">
        <v>713</v>
      </c>
      <c r="F7385" s="274"/>
    </row>
    <row r="7386" spans="1:6" s="261" customFormat="1">
      <c r="A7386" s="66">
        <v>100523</v>
      </c>
      <c r="B7386" s="66">
        <v>0</v>
      </c>
      <c r="C7386" s="66" t="s">
        <v>3353</v>
      </c>
      <c r="D7386" s="66" t="s">
        <v>8323</v>
      </c>
      <c r="E7386" s="68" t="s">
        <v>1293</v>
      </c>
      <c r="F7386" s="274"/>
    </row>
    <row r="7387" spans="1:6" s="261" customFormat="1">
      <c r="A7387" s="66">
        <v>100524</v>
      </c>
      <c r="B7387" s="66">
        <v>0</v>
      </c>
      <c r="C7387" s="66" t="s">
        <v>3353</v>
      </c>
      <c r="D7387" s="66" t="s">
        <v>8324</v>
      </c>
      <c r="E7387" s="68" t="s">
        <v>1293</v>
      </c>
      <c r="F7387" s="274"/>
    </row>
    <row r="7388" spans="1:6" s="261" customFormat="1">
      <c r="A7388" s="66">
        <v>100525</v>
      </c>
      <c r="B7388" s="66">
        <v>0</v>
      </c>
      <c r="C7388" s="66" t="s">
        <v>3353</v>
      </c>
      <c r="D7388" s="66" t="s">
        <v>8325</v>
      </c>
      <c r="E7388" s="68" t="s">
        <v>1293</v>
      </c>
      <c r="F7388" s="274"/>
    </row>
    <row r="7389" spans="1:6" s="261" customFormat="1">
      <c r="A7389" s="66">
        <v>100526</v>
      </c>
      <c r="B7389" s="66">
        <v>0</v>
      </c>
      <c r="C7389" s="66" t="s">
        <v>3353</v>
      </c>
      <c r="D7389" s="66" t="s">
        <v>8326</v>
      </c>
      <c r="E7389" s="68" t="s">
        <v>1293</v>
      </c>
      <c r="F7389" s="274"/>
    </row>
    <row r="7390" spans="1:6" s="261" customFormat="1">
      <c r="A7390" s="66">
        <v>100527</v>
      </c>
      <c r="B7390" s="66">
        <v>0</v>
      </c>
      <c r="C7390" s="66" t="s">
        <v>3353</v>
      </c>
      <c r="D7390" s="66" t="s">
        <v>8327</v>
      </c>
      <c r="E7390" s="68" t="s">
        <v>1293</v>
      </c>
      <c r="F7390" s="274"/>
    </row>
    <row r="7391" spans="1:6" s="261" customFormat="1">
      <c r="A7391" s="66">
        <v>100528</v>
      </c>
      <c r="B7391" s="66">
        <v>0</v>
      </c>
      <c r="C7391" s="66" t="s">
        <v>3353</v>
      </c>
      <c r="D7391" s="66" t="s">
        <v>8328</v>
      </c>
      <c r="E7391" s="68" t="s">
        <v>1293</v>
      </c>
      <c r="F7391" s="274"/>
    </row>
    <row r="7392" spans="1:6" s="261" customFormat="1">
      <c r="A7392" s="66">
        <v>100529</v>
      </c>
      <c r="B7392" s="66">
        <v>0</v>
      </c>
      <c r="C7392" s="66" t="s">
        <v>3353</v>
      </c>
      <c r="D7392" s="66" t="s">
        <v>8329</v>
      </c>
      <c r="E7392" s="68" t="s">
        <v>1293</v>
      </c>
      <c r="F7392" s="274"/>
    </row>
    <row r="7393" spans="1:6" s="261" customFormat="1">
      <c r="A7393" s="66">
        <v>100530</v>
      </c>
      <c r="B7393" s="66">
        <v>0</v>
      </c>
      <c r="C7393" s="66" t="s">
        <v>3353</v>
      </c>
      <c r="D7393" s="66" t="s">
        <v>8330</v>
      </c>
      <c r="E7393" s="68" t="s">
        <v>1293</v>
      </c>
      <c r="F7393" s="274"/>
    </row>
    <row r="7394" spans="1:6" s="261" customFormat="1">
      <c r="A7394" s="66">
        <v>100531</v>
      </c>
      <c r="B7394" s="66">
        <v>0</v>
      </c>
      <c r="C7394" s="66" t="s">
        <v>3353</v>
      </c>
      <c r="D7394" s="66" t="s">
        <v>8331</v>
      </c>
      <c r="E7394" s="68" t="s">
        <v>1293</v>
      </c>
      <c r="F7394" s="274"/>
    </row>
    <row r="7395" spans="1:6" s="261" customFormat="1">
      <c r="A7395" s="66">
        <v>100532</v>
      </c>
      <c r="B7395" s="66">
        <v>0</v>
      </c>
      <c r="C7395" s="66" t="s">
        <v>3353</v>
      </c>
      <c r="D7395" s="66" t="s">
        <v>8332</v>
      </c>
      <c r="E7395" s="68" t="s">
        <v>1293</v>
      </c>
      <c r="F7395" s="274"/>
    </row>
    <row r="7396" spans="1:6" s="261" customFormat="1">
      <c r="A7396" s="66">
        <v>100533</v>
      </c>
      <c r="B7396" s="66">
        <v>0</v>
      </c>
      <c r="C7396" s="66" t="s">
        <v>3354</v>
      </c>
      <c r="D7396" s="66" t="s">
        <v>8333</v>
      </c>
      <c r="E7396" s="68" t="s">
        <v>782</v>
      </c>
      <c r="F7396" s="274"/>
    </row>
    <row r="7397" spans="1:6" s="261" customFormat="1">
      <c r="A7397" s="66">
        <v>100534</v>
      </c>
      <c r="B7397" s="66">
        <v>0</v>
      </c>
      <c r="C7397" s="66" t="s">
        <v>3354</v>
      </c>
      <c r="D7397" s="66" t="s">
        <v>8334</v>
      </c>
      <c r="E7397" s="68" t="s">
        <v>782</v>
      </c>
      <c r="F7397" s="274"/>
    </row>
    <row r="7398" spans="1:6" s="261" customFormat="1">
      <c r="A7398" s="66">
        <v>100535</v>
      </c>
      <c r="B7398" s="66">
        <v>0</v>
      </c>
      <c r="C7398" s="66" t="s">
        <v>3354</v>
      </c>
      <c r="D7398" s="66" t="s">
        <v>8335</v>
      </c>
      <c r="E7398" s="68" t="s">
        <v>782</v>
      </c>
      <c r="F7398" s="274"/>
    </row>
    <row r="7399" spans="1:6" s="261" customFormat="1">
      <c r="A7399" s="66">
        <v>100536</v>
      </c>
      <c r="B7399" s="66">
        <v>0</v>
      </c>
      <c r="C7399" s="66" t="s">
        <v>3354</v>
      </c>
      <c r="D7399" s="66" t="s">
        <v>8336</v>
      </c>
      <c r="E7399" s="68" t="s">
        <v>782</v>
      </c>
      <c r="F7399" s="274"/>
    </row>
    <row r="7400" spans="1:6" s="261" customFormat="1">
      <c r="A7400" s="66">
        <v>100537</v>
      </c>
      <c r="B7400" s="66">
        <v>0</v>
      </c>
      <c r="C7400" s="66" t="s">
        <v>3354</v>
      </c>
      <c r="D7400" s="66" t="s">
        <v>8337</v>
      </c>
      <c r="E7400" s="68" t="s">
        <v>782</v>
      </c>
      <c r="F7400" s="274"/>
    </row>
    <row r="7401" spans="1:6" s="261" customFormat="1">
      <c r="A7401" s="66">
        <v>100538</v>
      </c>
      <c r="B7401" s="66">
        <v>0</v>
      </c>
      <c r="C7401" s="66" t="s">
        <v>3354</v>
      </c>
      <c r="D7401" s="66" t="s">
        <v>8338</v>
      </c>
      <c r="E7401" s="68" t="s">
        <v>782</v>
      </c>
      <c r="F7401" s="274"/>
    </row>
    <row r="7402" spans="1:6" s="261" customFormat="1">
      <c r="A7402" s="66">
        <v>100539</v>
      </c>
      <c r="B7402" s="66">
        <v>0</v>
      </c>
      <c r="C7402" s="66" t="s">
        <v>3354</v>
      </c>
      <c r="D7402" s="66" t="s">
        <v>8339</v>
      </c>
      <c r="E7402" s="68" t="s">
        <v>782</v>
      </c>
      <c r="F7402" s="274"/>
    </row>
    <row r="7403" spans="1:6" s="261" customFormat="1">
      <c r="A7403" s="66">
        <v>100540</v>
      </c>
      <c r="B7403" s="66">
        <v>0</v>
      </c>
      <c r="C7403" s="66" t="s">
        <v>3354</v>
      </c>
      <c r="D7403" s="66" t="s">
        <v>8340</v>
      </c>
      <c r="E7403" s="68" t="s">
        <v>782</v>
      </c>
      <c r="F7403" s="274"/>
    </row>
    <row r="7404" spans="1:6" s="261" customFormat="1">
      <c r="A7404" s="66">
        <v>100541</v>
      </c>
      <c r="B7404" s="66">
        <v>0</v>
      </c>
      <c r="C7404" s="66" t="s">
        <v>3354</v>
      </c>
      <c r="D7404" s="66" t="s">
        <v>8341</v>
      </c>
      <c r="E7404" s="68" t="s">
        <v>782</v>
      </c>
      <c r="F7404" s="274"/>
    </row>
    <row r="7405" spans="1:6" s="261" customFormat="1">
      <c r="A7405" s="66">
        <v>100542</v>
      </c>
      <c r="B7405" s="66">
        <v>0</v>
      </c>
      <c r="C7405" s="66" t="s">
        <v>3354</v>
      </c>
      <c r="D7405" s="66" t="s">
        <v>8342</v>
      </c>
      <c r="E7405" s="68" t="s">
        <v>782</v>
      </c>
      <c r="F7405" s="274"/>
    </row>
    <row r="7406" spans="1:6" s="261" customFormat="1">
      <c r="A7406" s="66">
        <v>100543</v>
      </c>
      <c r="B7406" s="66">
        <v>0</v>
      </c>
      <c r="C7406" s="66" t="s">
        <v>3355</v>
      </c>
      <c r="D7406" s="66" t="s">
        <v>8343</v>
      </c>
      <c r="E7406" s="68" t="s">
        <v>599</v>
      </c>
      <c r="F7406" s="274"/>
    </row>
    <row r="7407" spans="1:6" s="261" customFormat="1">
      <c r="A7407" s="66">
        <v>100544</v>
      </c>
      <c r="B7407" s="66">
        <v>0</v>
      </c>
      <c r="C7407" s="66" t="s">
        <v>3355</v>
      </c>
      <c r="D7407" s="66" t="s">
        <v>8344</v>
      </c>
      <c r="E7407" s="68" t="s">
        <v>599</v>
      </c>
      <c r="F7407" s="274"/>
    </row>
    <row r="7408" spans="1:6" s="261" customFormat="1">
      <c r="A7408" s="66">
        <v>100545</v>
      </c>
      <c r="B7408" s="66">
        <v>0</v>
      </c>
      <c r="C7408" s="66" t="s">
        <v>3355</v>
      </c>
      <c r="D7408" s="66" t="s">
        <v>8345</v>
      </c>
      <c r="E7408" s="68" t="s">
        <v>599</v>
      </c>
      <c r="F7408" s="274"/>
    </row>
    <row r="7409" spans="1:6" s="261" customFormat="1">
      <c r="A7409" s="66">
        <v>100546</v>
      </c>
      <c r="B7409" s="66">
        <v>0</v>
      </c>
      <c r="C7409" s="66" t="s">
        <v>3355</v>
      </c>
      <c r="D7409" s="66" t="s">
        <v>8346</v>
      </c>
      <c r="E7409" s="68" t="s">
        <v>599</v>
      </c>
      <c r="F7409" s="274"/>
    </row>
    <row r="7410" spans="1:6" s="261" customFormat="1">
      <c r="A7410" s="66">
        <v>100547</v>
      </c>
      <c r="B7410" s="66">
        <v>0</v>
      </c>
      <c r="C7410" s="66" t="s">
        <v>3355</v>
      </c>
      <c r="D7410" s="66" t="s">
        <v>8347</v>
      </c>
      <c r="E7410" s="68" t="s">
        <v>599</v>
      </c>
      <c r="F7410" s="274"/>
    </row>
    <row r="7411" spans="1:6" s="261" customFormat="1">
      <c r="A7411" s="66">
        <v>100548</v>
      </c>
      <c r="B7411" s="66">
        <v>0</v>
      </c>
      <c r="C7411" s="66" t="s">
        <v>3355</v>
      </c>
      <c r="D7411" s="66" t="s">
        <v>8348</v>
      </c>
      <c r="E7411" s="68" t="s">
        <v>599</v>
      </c>
      <c r="F7411" s="274"/>
    </row>
    <row r="7412" spans="1:6" s="261" customFormat="1">
      <c r="A7412" s="66">
        <v>100549</v>
      </c>
      <c r="B7412" s="66">
        <v>0</v>
      </c>
      <c r="C7412" s="66" t="s">
        <v>3355</v>
      </c>
      <c r="D7412" s="66" t="s">
        <v>8349</v>
      </c>
      <c r="E7412" s="68" t="s">
        <v>599</v>
      </c>
      <c r="F7412" s="274"/>
    </row>
    <row r="7413" spans="1:6" s="261" customFormat="1">
      <c r="A7413" s="66">
        <v>100550</v>
      </c>
      <c r="B7413" s="66">
        <v>0</v>
      </c>
      <c r="C7413" s="66" t="s">
        <v>3355</v>
      </c>
      <c r="D7413" s="66" t="s">
        <v>8350</v>
      </c>
      <c r="E7413" s="68" t="s">
        <v>599</v>
      </c>
      <c r="F7413" s="274"/>
    </row>
    <row r="7414" spans="1:6">
      <c r="A7414" s="66">
        <v>100551</v>
      </c>
      <c r="B7414" s="66">
        <v>0</v>
      </c>
      <c r="C7414" s="66" t="s">
        <v>3355</v>
      </c>
      <c r="D7414" s="66" t="s">
        <v>8351</v>
      </c>
      <c r="E7414" s="68" t="s">
        <v>599</v>
      </c>
    </row>
    <row r="7415" spans="1:6">
      <c r="A7415" s="66">
        <v>100552</v>
      </c>
      <c r="B7415" s="66">
        <v>0</v>
      </c>
      <c r="C7415" s="66" t="s">
        <v>3355</v>
      </c>
      <c r="D7415" s="66" t="s">
        <v>8352</v>
      </c>
      <c r="E7415" s="68" t="s">
        <v>599</v>
      </c>
    </row>
    <row r="7416" spans="1:6">
      <c r="A7416" s="66">
        <v>100553</v>
      </c>
      <c r="B7416" s="66">
        <v>0</v>
      </c>
      <c r="C7416" s="66" t="s">
        <v>3355</v>
      </c>
      <c r="D7416" s="66" t="s">
        <v>8353</v>
      </c>
      <c r="E7416" s="68" t="s">
        <v>599</v>
      </c>
    </row>
    <row r="7417" spans="1:6">
      <c r="A7417" s="66">
        <v>100554</v>
      </c>
      <c r="B7417" s="66">
        <v>0</v>
      </c>
      <c r="C7417" s="66" t="s">
        <v>3355</v>
      </c>
      <c r="D7417" s="66" t="s">
        <v>8354</v>
      </c>
      <c r="E7417" s="68" t="s">
        <v>599</v>
      </c>
    </row>
    <row r="7418" spans="1:6">
      <c r="A7418" s="66">
        <v>100555</v>
      </c>
      <c r="B7418" s="66">
        <v>0</v>
      </c>
      <c r="C7418" s="66" t="s">
        <v>3355</v>
      </c>
      <c r="D7418" s="66" t="s">
        <v>8355</v>
      </c>
      <c r="E7418" s="68" t="s">
        <v>599</v>
      </c>
    </row>
    <row r="7419" spans="1:6">
      <c r="A7419" s="66">
        <v>100556</v>
      </c>
      <c r="B7419" s="66">
        <v>0</v>
      </c>
      <c r="C7419" s="66" t="s">
        <v>3355</v>
      </c>
      <c r="D7419" s="66" t="s">
        <v>8356</v>
      </c>
      <c r="E7419" s="68" t="s">
        <v>599</v>
      </c>
    </row>
    <row r="7420" spans="1:6">
      <c r="A7420" s="66">
        <v>100557</v>
      </c>
      <c r="B7420" s="66">
        <v>0</v>
      </c>
      <c r="C7420" s="66" t="s">
        <v>3355</v>
      </c>
      <c r="D7420" s="66" t="s">
        <v>8357</v>
      </c>
      <c r="E7420" s="68" t="s">
        <v>599</v>
      </c>
    </row>
    <row r="7421" spans="1:6">
      <c r="A7421" s="66">
        <v>100558</v>
      </c>
      <c r="B7421" s="66">
        <v>0</v>
      </c>
      <c r="C7421" s="66" t="s">
        <v>3355</v>
      </c>
      <c r="D7421" s="66" t="s">
        <v>8358</v>
      </c>
      <c r="E7421" s="68" t="s">
        <v>599</v>
      </c>
    </row>
    <row r="7422" spans="1:6">
      <c r="A7422" s="66">
        <v>100559</v>
      </c>
      <c r="B7422" s="66">
        <v>0</v>
      </c>
      <c r="C7422" s="66" t="s">
        <v>3355</v>
      </c>
      <c r="D7422" s="66" t="s">
        <v>8359</v>
      </c>
      <c r="E7422" s="68" t="s">
        <v>599</v>
      </c>
    </row>
    <row r="7423" spans="1:6">
      <c r="A7423" s="66">
        <v>100560</v>
      </c>
      <c r="B7423" s="66">
        <v>0</v>
      </c>
      <c r="C7423" s="66" t="s">
        <v>3355</v>
      </c>
      <c r="D7423" s="66" t="s">
        <v>8360</v>
      </c>
      <c r="E7423" s="68" t="s">
        <v>599</v>
      </c>
    </row>
    <row r="7424" spans="1:6">
      <c r="A7424" s="66">
        <v>100561</v>
      </c>
      <c r="B7424" s="66">
        <v>0</v>
      </c>
      <c r="C7424" s="66" t="s">
        <v>3355</v>
      </c>
      <c r="D7424" s="66" t="s">
        <v>8361</v>
      </c>
      <c r="E7424" s="68" t="s">
        <v>599</v>
      </c>
    </row>
    <row r="7425" spans="1:5">
      <c r="A7425" s="66">
        <v>100562</v>
      </c>
      <c r="B7425" s="66">
        <v>0</v>
      </c>
      <c r="C7425" s="66" t="s">
        <v>3355</v>
      </c>
      <c r="D7425" s="66" t="s">
        <v>8362</v>
      </c>
      <c r="E7425" s="68" t="s">
        <v>599</v>
      </c>
    </row>
    <row r="7426" spans="1:5">
      <c r="A7426" s="66">
        <v>100563</v>
      </c>
      <c r="B7426" s="66">
        <v>0</v>
      </c>
      <c r="C7426" s="66" t="s">
        <v>3355</v>
      </c>
      <c r="D7426" s="66" t="s">
        <v>8363</v>
      </c>
      <c r="E7426" s="68" t="s">
        <v>599</v>
      </c>
    </row>
    <row r="7427" spans="1:5">
      <c r="A7427" s="66">
        <v>100564</v>
      </c>
      <c r="B7427" s="66">
        <v>0</v>
      </c>
      <c r="C7427" s="66" t="s">
        <v>3355</v>
      </c>
      <c r="D7427" s="66" t="s">
        <v>8364</v>
      </c>
      <c r="E7427" s="68" t="s">
        <v>599</v>
      </c>
    </row>
    <row r="7428" spans="1:5">
      <c r="A7428" s="66">
        <v>100565</v>
      </c>
      <c r="B7428" s="66">
        <v>0</v>
      </c>
      <c r="C7428" s="66" t="s">
        <v>3355</v>
      </c>
      <c r="D7428" s="66" t="s">
        <v>8365</v>
      </c>
      <c r="E7428" s="68" t="s">
        <v>599</v>
      </c>
    </row>
    <row r="7429" spans="1:5">
      <c r="A7429" s="66">
        <v>100566</v>
      </c>
      <c r="B7429" s="66">
        <v>0</v>
      </c>
      <c r="C7429" s="66" t="s">
        <v>3355</v>
      </c>
      <c r="D7429" s="66" t="s">
        <v>8366</v>
      </c>
      <c r="E7429" s="68" t="s">
        <v>599</v>
      </c>
    </row>
    <row r="7430" spans="1:5">
      <c r="A7430" s="66">
        <v>100567</v>
      </c>
      <c r="B7430" s="66">
        <v>0</v>
      </c>
      <c r="C7430" s="66" t="s">
        <v>3355</v>
      </c>
      <c r="D7430" s="66" t="s">
        <v>8367</v>
      </c>
      <c r="E7430" s="68" t="s">
        <v>599</v>
      </c>
    </row>
    <row r="7431" spans="1:5">
      <c r="A7431" s="66">
        <v>100568</v>
      </c>
      <c r="B7431" s="66">
        <v>0</v>
      </c>
      <c r="C7431" s="66" t="s">
        <v>3355</v>
      </c>
      <c r="D7431" s="66" t="s">
        <v>8368</v>
      </c>
      <c r="E7431" s="68" t="s">
        <v>599</v>
      </c>
    </row>
    <row r="7432" spans="1:5">
      <c r="A7432" s="66">
        <v>100569</v>
      </c>
      <c r="B7432" s="66">
        <v>0</v>
      </c>
      <c r="C7432" s="66" t="s">
        <v>3355</v>
      </c>
      <c r="D7432" s="66" t="s">
        <v>8369</v>
      </c>
      <c r="E7432" s="68" t="s">
        <v>599</v>
      </c>
    </row>
    <row r="7433" spans="1:5">
      <c r="A7433" s="66">
        <v>100570</v>
      </c>
      <c r="B7433" s="66">
        <v>0</v>
      </c>
      <c r="C7433" s="66" t="s">
        <v>3355</v>
      </c>
      <c r="D7433" s="66" t="s">
        <v>8370</v>
      </c>
      <c r="E7433" s="68" t="s">
        <v>599</v>
      </c>
    </row>
    <row r="7434" spans="1:5">
      <c r="A7434" s="66">
        <v>100571</v>
      </c>
      <c r="B7434" s="66">
        <v>0</v>
      </c>
      <c r="C7434" s="66" t="s">
        <v>3355</v>
      </c>
      <c r="D7434" s="66" t="s">
        <v>8371</v>
      </c>
      <c r="E7434" s="68" t="s">
        <v>599</v>
      </c>
    </row>
    <row r="7435" spans="1:5">
      <c r="A7435" s="66">
        <v>100572</v>
      </c>
      <c r="B7435" s="66">
        <v>0</v>
      </c>
      <c r="C7435" s="66" t="s">
        <v>3355</v>
      </c>
      <c r="D7435" s="66" t="s">
        <v>8372</v>
      </c>
      <c r="E7435" s="68" t="s">
        <v>599</v>
      </c>
    </row>
    <row r="7436" spans="1:5">
      <c r="A7436" s="66">
        <v>100573</v>
      </c>
      <c r="B7436" s="66">
        <v>0</v>
      </c>
      <c r="C7436" s="66" t="s">
        <v>3355</v>
      </c>
      <c r="D7436" s="66" t="s">
        <v>8373</v>
      </c>
      <c r="E7436" s="68" t="s">
        <v>599</v>
      </c>
    </row>
    <row r="7437" spans="1:5">
      <c r="A7437" s="66">
        <v>100574</v>
      </c>
      <c r="B7437" s="66">
        <v>0</v>
      </c>
      <c r="C7437" s="66" t="s">
        <v>3355</v>
      </c>
      <c r="D7437" s="66" t="s">
        <v>8374</v>
      </c>
      <c r="E7437" s="68" t="s">
        <v>599</v>
      </c>
    </row>
    <row r="7438" spans="1:5">
      <c r="A7438" s="66">
        <v>100575</v>
      </c>
      <c r="B7438" s="66">
        <v>0</v>
      </c>
      <c r="C7438" s="66" t="s">
        <v>3355</v>
      </c>
      <c r="D7438" s="66" t="s">
        <v>8375</v>
      </c>
      <c r="E7438" s="68" t="s">
        <v>599</v>
      </c>
    </row>
    <row r="7439" spans="1:5">
      <c r="A7439" s="66">
        <v>100576</v>
      </c>
      <c r="B7439" s="66">
        <v>0</v>
      </c>
      <c r="C7439" s="66" t="s">
        <v>3355</v>
      </c>
      <c r="D7439" s="66" t="s">
        <v>8376</v>
      </c>
      <c r="E7439" s="68" t="s">
        <v>599</v>
      </c>
    </row>
    <row r="7440" spans="1:5">
      <c r="A7440" s="66">
        <v>100577</v>
      </c>
      <c r="B7440" s="66">
        <v>0</v>
      </c>
      <c r="C7440" s="66" t="s">
        <v>3355</v>
      </c>
      <c r="D7440" s="66" t="s">
        <v>8377</v>
      </c>
      <c r="E7440" s="68" t="s">
        <v>599</v>
      </c>
    </row>
    <row r="7441" spans="1:5">
      <c r="A7441" s="66">
        <v>100578</v>
      </c>
      <c r="B7441" s="66">
        <v>0</v>
      </c>
      <c r="C7441" s="66" t="s">
        <v>3355</v>
      </c>
      <c r="D7441" s="66" t="s">
        <v>8378</v>
      </c>
      <c r="E7441" s="68" t="s">
        <v>599</v>
      </c>
    </row>
    <row r="7442" spans="1:5">
      <c r="A7442" s="66">
        <v>100579</v>
      </c>
      <c r="B7442" s="66">
        <v>0</v>
      </c>
      <c r="C7442" s="66" t="s">
        <v>3355</v>
      </c>
      <c r="D7442" s="66" t="s">
        <v>8379</v>
      </c>
      <c r="E7442" s="68" t="s">
        <v>599</v>
      </c>
    </row>
    <row r="7443" spans="1:5">
      <c r="A7443" s="66">
        <v>100580</v>
      </c>
      <c r="B7443" s="66">
        <v>0</v>
      </c>
      <c r="C7443" s="66" t="s">
        <v>3355</v>
      </c>
      <c r="D7443" s="66" t="s">
        <v>8380</v>
      </c>
      <c r="E7443" s="68" t="s">
        <v>599</v>
      </c>
    </row>
    <row r="7444" spans="1:5">
      <c r="A7444" s="66">
        <v>100581</v>
      </c>
      <c r="B7444" s="66">
        <v>0</v>
      </c>
      <c r="C7444" s="66" t="s">
        <v>3355</v>
      </c>
      <c r="D7444" s="66" t="s">
        <v>8381</v>
      </c>
      <c r="E7444" s="68" t="s">
        <v>599</v>
      </c>
    </row>
    <row r="7445" spans="1:5">
      <c r="A7445" s="66">
        <v>100582</v>
      </c>
      <c r="B7445" s="66">
        <v>0</v>
      </c>
      <c r="C7445" s="66" t="s">
        <v>3355</v>
      </c>
      <c r="D7445" s="66" t="s">
        <v>8382</v>
      </c>
      <c r="E7445" s="68" t="s">
        <v>599</v>
      </c>
    </row>
    <row r="7446" spans="1:5">
      <c r="A7446" s="66">
        <v>100583</v>
      </c>
      <c r="B7446" s="66">
        <v>0</v>
      </c>
      <c r="C7446" s="66" t="s">
        <v>3355</v>
      </c>
      <c r="D7446" s="66" t="s">
        <v>8383</v>
      </c>
      <c r="E7446" s="68" t="s">
        <v>599</v>
      </c>
    </row>
    <row r="7447" spans="1:5">
      <c r="A7447" s="66">
        <v>100584</v>
      </c>
      <c r="B7447" s="66">
        <v>0</v>
      </c>
      <c r="C7447" s="66" t="s">
        <v>3355</v>
      </c>
      <c r="D7447" s="66" t="s">
        <v>8384</v>
      </c>
      <c r="E7447" s="68" t="s">
        <v>599</v>
      </c>
    </row>
    <row r="7448" spans="1:5">
      <c r="A7448" s="66">
        <v>100585</v>
      </c>
      <c r="B7448" s="66">
        <v>0</v>
      </c>
      <c r="C7448" s="66" t="s">
        <v>3355</v>
      </c>
      <c r="D7448" s="66" t="s">
        <v>8385</v>
      </c>
      <c r="E7448" s="68" t="s">
        <v>599</v>
      </c>
    </row>
    <row r="7449" spans="1:5">
      <c r="A7449" s="66">
        <v>100586</v>
      </c>
      <c r="B7449" s="66">
        <v>0</v>
      </c>
      <c r="C7449" s="66" t="s">
        <v>3355</v>
      </c>
      <c r="D7449" s="66" t="s">
        <v>8386</v>
      </c>
      <c r="E7449" s="68" t="s">
        <v>599</v>
      </c>
    </row>
    <row r="7450" spans="1:5">
      <c r="A7450" s="66">
        <v>100587</v>
      </c>
      <c r="B7450" s="66">
        <v>0</v>
      </c>
      <c r="C7450" s="66" t="s">
        <v>3355</v>
      </c>
      <c r="D7450" s="66" t="s">
        <v>8387</v>
      </c>
      <c r="E7450" s="68" t="s">
        <v>599</v>
      </c>
    </row>
    <row r="7451" spans="1:5">
      <c r="A7451" s="66">
        <v>100588</v>
      </c>
      <c r="B7451" s="66">
        <v>0</v>
      </c>
      <c r="C7451" s="66" t="s">
        <v>3355</v>
      </c>
      <c r="D7451" s="66" t="s">
        <v>8388</v>
      </c>
      <c r="E7451" s="68" t="s">
        <v>599</v>
      </c>
    </row>
    <row r="7452" spans="1:5">
      <c r="A7452" s="66">
        <v>100589</v>
      </c>
      <c r="B7452" s="66">
        <v>0</v>
      </c>
      <c r="C7452" s="66" t="s">
        <v>3355</v>
      </c>
      <c r="D7452" s="66" t="s">
        <v>8389</v>
      </c>
      <c r="E7452" s="68" t="s">
        <v>599</v>
      </c>
    </row>
    <row r="7453" spans="1:5">
      <c r="A7453" s="66">
        <v>100590</v>
      </c>
      <c r="B7453" s="66">
        <v>0</v>
      </c>
      <c r="C7453" s="66" t="s">
        <v>3355</v>
      </c>
      <c r="D7453" s="66" t="s">
        <v>8390</v>
      </c>
      <c r="E7453" s="68" t="s">
        <v>599</v>
      </c>
    </row>
    <row r="7454" spans="1:5">
      <c r="A7454" s="66">
        <v>100591</v>
      </c>
      <c r="B7454" s="66">
        <v>0</v>
      </c>
      <c r="C7454" s="66" t="s">
        <v>3355</v>
      </c>
      <c r="D7454" s="66" t="s">
        <v>8391</v>
      </c>
      <c r="E7454" s="68" t="s">
        <v>599</v>
      </c>
    </row>
    <row r="7455" spans="1:5">
      <c r="A7455" s="66">
        <v>100592</v>
      </c>
      <c r="B7455" s="66">
        <v>0</v>
      </c>
      <c r="C7455" s="66" t="s">
        <v>3355</v>
      </c>
      <c r="D7455" s="66" t="s">
        <v>8392</v>
      </c>
      <c r="E7455" s="68" t="s">
        <v>599</v>
      </c>
    </row>
    <row r="7456" spans="1:5">
      <c r="A7456" s="66">
        <v>100593</v>
      </c>
      <c r="B7456" s="66">
        <v>0</v>
      </c>
      <c r="C7456" s="66" t="s">
        <v>3355</v>
      </c>
      <c r="D7456" s="66" t="s">
        <v>8393</v>
      </c>
      <c r="E7456" s="68" t="s">
        <v>599</v>
      </c>
    </row>
    <row r="7457" spans="1:6">
      <c r="A7457" s="66">
        <v>100594</v>
      </c>
      <c r="B7457" s="66">
        <v>0</v>
      </c>
      <c r="C7457" s="66" t="s">
        <v>3355</v>
      </c>
      <c r="D7457" s="66" t="s">
        <v>8394</v>
      </c>
      <c r="E7457" s="68" t="s">
        <v>599</v>
      </c>
    </row>
    <row r="7458" spans="1:6">
      <c r="A7458" s="66">
        <v>100595</v>
      </c>
      <c r="B7458" s="66">
        <v>0</v>
      </c>
      <c r="C7458" s="66" t="s">
        <v>3355</v>
      </c>
      <c r="D7458" s="66" t="s">
        <v>8395</v>
      </c>
      <c r="E7458" s="68" t="s">
        <v>599</v>
      </c>
    </row>
    <row r="7459" spans="1:6">
      <c r="A7459" s="66">
        <v>100596</v>
      </c>
      <c r="B7459" s="66">
        <v>0</v>
      </c>
      <c r="C7459" s="66" t="s">
        <v>3355</v>
      </c>
      <c r="D7459" s="66" t="s">
        <v>8396</v>
      </c>
      <c r="E7459" s="68" t="s">
        <v>599</v>
      </c>
    </row>
    <row r="7460" spans="1:6">
      <c r="A7460" s="66">
        <v>100597</v>
      </c>
      <c r="B7460" s="66">
        <v>0</v>
      </c>
      <c r="C7460" s="66" t="s">
        <v>3355</v>
      </c>
      <c r="D7460" s="66" t="s">
        <v>8397</v>
      </c>
      <c r="E7460" s="68" t="s">
        <v>599</v>
      </c>
    </row>
    <row r="7461" spans="1:6">
      <c r="A7461" s="66">
        <v>100598</v>
      </c>
      <c r="B7461" s="66">
        <v>0</v>
      </c>
      <c r="C7461" s="66" t="s">
        <v>3355</v>
      </c>
      <c r="D7461" s="66" t="s">
        <v>8398</v>
      </c>
      <c r="E7461" s="68" t="s">
        <v>599</v>
      </c>
    </row>
    <row r="7462" spans="1:6">
      <c r="A7462" s="66">
        <v>100599</v>
      </c>
      <c r="B7462" s="66">
        <v>0</v>
      </c>
      <c r="C7462" s="66" t="s">
        <v>3355</v>
      </c>
      <c r="D7462" s="66" t="s">
        <v>8399</v>
      </c>
      <c r="E7462" s="68" t="s">
        <v>599</v>
      </c>
    </row>
    <row r="7463" spans="1:6">
      <c r="A7463" s="66">
        <v>100600</v>
      </c>
      <c r="B7463" s="66">
        <v>0</v>
      </c>
      <c r="C7463" s="66" t="s">
        <v>3355</v>
      </c>
      <c r="D7463" s="66" t="s">
        <v>8400</v>
      </c>
      <c r="E7463" s="68" t="s">
        <v>599</v>
      </c>
    </row>
    <row r="7464" spans="1:6" s="261" customFormat="1">
      <c r="A7464" s="22">
        <v>101001</v>
      </c>
      <c r="B7464" s="22">
        <v>0</v>
      </c>
      <c r="C7464" s="22" t="s">
        <v>3366</v>
      </c>
      <c r="D7464" s="22" t="s">
        <v>8401</v>
      </c>
      <c r="E7464" s="24" t="s">
        <v>981</v>
      </c>
      <c r="F7464" s="274"/>
    </row>
    <row r="7465" spans="1:6" s="261" customFormat="1">
      <c r="A7465" s="22">
        <v>101002</v>
      </c>
      <c r="B7465" s="22">
        <v>0</v>
      </c>
      <c r="C7465" s="22" t="s">
        <v>3366</v>
      </c>
      <c r="D7465" s="22" t="s">
        <v>8402</v>
      </c>
      <c r="E7465" s="24" t="s">
        <v>981</v>
      </c>
      <c r="F7465" s="274"/>
    </row>
    <row r="7466" spans="1:6" s="261" customFormat="1">
      <c r="A7466" s="22">
        <v>101003</v>
      </c>
      <c r="B7466" s="22">
        <v>0</v>
      </c>
      <c r="C7466" s="22" t="s">
        <v>3366</v>
      </c>
      <c r="D7466" s="22" t="s">
        <v>8403</v>
      </c>
      <c r="E7466" s="24" t="s">
        <v>981</v>
      </c>
      <c r="F7466" s="274"/>
    </row>
    <row r="7467" spans="1:6" s="261" customFormat="1">
      <c r="A7467" s="22">
        <v>101004</v>
      </c>
      <c r="B7467" s="22">
        <v>0</v>
      </c>
      <c r="C7467" s="22" t="s">
        <v>3368</v>
      </c>
      <c r="D7467" s="22" t="s">
        <v>8404</v>
      </c>
      <c r="E7467" s="24" t="s">
        <v>983</v>
      </c>
      <c r="F7467" s="274"/>
    </row>
    <row r="7468" spans="1:6" s="261" customFormat="1">
      <c r="A7468" s="22">
        <v>101005</v>
      </c>
      <c r="B7468" s="22">
        <v>0</v>
      </c>
      <c r="C7468" s="22" t="s">
        <v>3368</v>
      </c>
      <c r="D7468" s="22" t="s">
        <v>8405</v>
      </c>
      <c r="E7468" s="24" t="s">
        <v>983</v>
      </c>
      <c r="F7468" s="274"/>
    </row>
    <row r="7469" spans="1:6" s="261" customFormat="1">
      <c r="A7469" s="22">
        <v>101006</v>
      </c>
      <c r="B7469" s="22">
        <v>0</v>
      </c>
      <c r="C7469" s="22" t="s">
        <v>3368</v>
      </c>
      <c r="D7469" s="22" t="s">
        <v>8406</v>
      </c>
      <c r="E7469" s="24" t="s">
        <v>983</v>
      </c>
      <c r="F7469" s="274"/>
    </row>
    <row r="7470" spans="1:6" s="261" customFormat="1">
      <c r="A7470" s="22">
        <v>101007</v>
      </c>
      <c r="B7470" s="22">
        <v>0</v>
      </c>
      <c r="C7470" s="22" t="s">
        <v>3368</v>
      </c>
      <c r="D7470" s="22" t="s">
        <v>8407</v>
      </c>
      <c r="E7470" s="24" t="s">
        <v>983</v>
      </c>
      <c r="F7470" s="274"/>
    </row>
    <row r="7471" spans="1:6" s="261" customFormat="1">
      <c r="A7471" s="22">
        <v>101008</v>
      </c>
      <c r="B7471" s="22">
        <v>0</v>
      </c>
      <c r="C7471" s="22" t="s">
        <v>3368</v>
      </c>
      <c r="D7471" s="22" t="s">
        <v>8408</v>
      </c>
      <c r="E7471" s="24" t="s">
        <v>983</v>
      </c>
      <c r="F7471" s="274"/>
    </row>
    <row r="7472" spans="1:6" s="261" customFormat="1">
      <c r="A7472" s="22">
        <v>101009</v>
      </c>
      <c r="B7472" s="22">
        <v>0</v>
      </c>
      <c r="C7472" s="22" t="s">
        <v>3368</v>
      </c>
      <c r="D7472" s="22" t="s">
        <v>8409</v>
      </c>
      <c r="E7472" s="24" t="s">
        <v>983</v>
      </c>
      <c r="F7472" s="274"/>
    </row>
    <row r="7473" spans="1:6" s="261" customFormat="1">
      <c r="A7473" s="22">
        <v>101010</v>
      </c>
      <c r="B7473" s="22">
        <v>0</v>
      </c>
      <c r="C7473" s="22" t="s">
        <v>3368</v>
      </c>
      <c r="D7473" s="22" t="s">
        <v>8410</v>
      </c>
      <c r="E7473" s="24" t="s">
        <v>983</v>
      </c>
      <c r="F7473" s="274"/>
    </row>
    <row r="7474" spans="1:6" s="261" customFormat="1">
      <c r="A7474" s="22">
        <v>101011</v>
      </c>
      <c r="B7474" s="22">
        <v>0</v>
      </c>
      <c r="C7474" s="22" t="s">
        <v>3368</v>
      </c>
      <c r="D7474" s="22" t="s">
        <v>8411</v>
      </c>
      <c r="E7474" s="24" t="s">
        <v>983</v>
      </c>
      <c r="F7474" s="274"/>
    </row>
    <row r="7475" spans="1:6" s="261" customFormat="1">
      <c r="A7475" s="22">
        <v>101012</v>
      </c>
      <c r="B7475" s="22">
        <v>0</v>
      </c>
      <c r="C7475" s="22" t="s">
        <v>3368</v>
      </c>
      <c r="D7475" s="22" t="s">
        <v>8412</v>
      </c>
      <c r="E7475" s="24" t="s">
        <v>983</v>
      </c>
      <c r="F7475" s="274"/>
    </row>
    <row r="7476" spans="1:6" s="261" customFormat="1">
      <c r="A7476" s="22">
        <v>101013</v>
      </c>
      <c r="B7476" s="22">
        <v>0</v>
      </c>
      <c r="C7476" s="22" t="s">
        <v>3368</v>
      </c>
      <c r="D7476" s="22" t="s">
        <v>8413</v>
      </c>
      <c r="E7476" s="24" t="s">
        <v>983</v>
      </c>
      <c r="F7476" s="274"/>
    </row>
    <row r="7477" spans="1:6" s="261" customFormat="1">
      <c r="A7477" s="22">
        <v>101014</v>
      </c>
      <c r="B7477" s="22">
        <v>0</v>
      </c>
      <c r="C7477" s="22" t="s">
        <v>3369</v>
      </c>
      <c r="D7477" s="22" t="s">
        <v>8414</v>
      </c>
      <c r="E7477" s="24" t="s">
        <v>747</v>
      </c>
      <c r="F7477" s="274"/>
    </row>
    <row r="7478" spans="1:6" s="261" customFormat="1">
      <c r="A7478" s="22">
        <v>101015</v>
      </c>
      <c r="B7478" s="22">
        <v>0</v>
      </c>
      <c r="C7478" s="22" t="s">
        <v>3369</v>
      </c>
      <c r="D7478" s="22" t="s">
        <v>8415</v>
      </c>
      <c r="E7478" s="24" t="s">
        <v>747</v>
      </c>
      <c r="F7478" s="274"/>
    </row>
    <row r="7479" spans="1:6" s="261" customFormat="1">
      <c r="A7479" s="22">
        <v>101016</v>
      </c>
      <c r="B7479" s="22">
        <v>0</v>
      </c>
      <c r="C7479" s="22" t="s">
        <v>3369</v>
      </c>
      <c r="D7479" s="22" t="s">
        <v>8416</v>
      </c>
      <c r="E7479" s="24" t="s">
        <v>747</v>
      </c>
      <c r="F7479" s="274"/>
    </row>
    <row r="7480" spans="1:6" s="261" customFormat="1">
      <c r="A7480" s="22">
        <v>101017</v>
      </c>
      <c r="B7480" s="22">
        <v>0</v>
      </c>
      <c r="C7480" s="22" t="s">
        <v>3369</v>
      </c>
      <c r="D7480" s="22" t="s">
        <v>8417</v>
      </c>
      <c r="E7480" s="24" t="s">
        <v>747</v>
      </c>
      <c r="F7480" s="274"/>
    </row>
    <row r="7481" spans="1:6" s="261" customFormat="1">
      <c r="A7481" s="22">
        <v>101018</v>
      </c>
      <c r="B7481" s="22">
        <v>0</v>
      </c>
      <c r="C7481" s="22" t="s">
        <v>3369</v>
      </c>
      <c r="D7481" s="22" t="s">
        <v>8418</v>
      </c>
      <c r="E7481" s="24" t="s">
        <v>747</v>
      </c>
      <c r="F7481" s="274"/>
    </row>
    <row r="7482" spans="1:6" s="261" customFormat="1">
      <c r="A7482" s="22">
        <v>101019</v>
      </c>
      <c r="B7482" s="22">
        <v>0</v>
      </c>
      <c r="C7482" s="22" t="s">
        <v>3369</v>
      </c>
      <c r="D7482" s="22" t="s">
        <v>8419</v>
      </c>
      <c r="E7482" s="24" t="s">
        <v>747</v>
      </c>
      <c r="F7482" s="274"/>
    </row>
    <row r="7483" spans="1:6" s="261" customFormat="1">
      <c r="A7483" s="22">
        <v>101020</v>
      </c>
      <c r="B7483" s="22">
        <v>0</v>
      </c>
      <c r="C7483" s="22" t="s">
        <v>3369</v>
      </c>
      <c r="D7483" s="22" t="s">
        <v>8420</v>
      </c>
      <c r="E7483" s="24" t="s">
        <v>747</v>
      </c>
      <c r="F7483" s="274"/>
    </row>
    <row r="7484" spans="1:6" s="261" customFormat="1">
      <c r="A7484" s="22">
        <v>101021</v>
      </c>
      <c r="B7484" s="22">
        <v>0</v>
      </c>
      <c r="C7484" s="22" t="s">
        <v>3369</v>
      </c>
      <c r="D7484" s="22" t="s">
        <v>8421</v>
      </c>
      <c r="E7484" s="24" t="s">
        <v>747</v>
      </c>
      <c r="F7484" s="274"/>
    </row>
    <row r="7485" spans="1:6" s="261" customFormat="1">
      <c r="A7485" s="22">
        <v>101022</v>
      </c>
      <c r="B7485" s="22">
        <v>0</v>
      </c>
      <c r="C7485" s="22" t="s">
        <v>3369</v>
      </c>
      <c r="D7485" s="22" t="s">
        <v>8422</v>
      </c>
      <c r="E7485" s="24" t="s">
        <v>747</v>
      </c>
      <c r="F7485" s="274"/>
    </row>
    <row r="7486" spans="1:6" s="261" customFormat="1">
      <c r="A7486" s="22">
        <v>101023</v>
      </c>
      <c r="B7486" s="22">
        <v>0</v>
      </c>
      <c r="C7486" s="22" t="s">
        <v>3369</v>
      </c>
      <c r="D7486" s="22" t="s">
        <v>8423</v>
      </c>
      <c r="E7486" s="24" t="s">
        <v>747</v>
      </c>
      <c r="F7486" s="274"/>
    </row>
    <row r="7487" spans="1:6" s="261" customFormat="1">
      <c r="A7487" s="22">
        <v>101024</v>
      </c>
      <c r="B7487" s="22">
        <v>0</v>
      </c>
      <c r="C7487" s="22" t="s">
        <v>3369</v>
      </c>
      <c r="D7487" s="22" t="s">
        <v>8424</v>
      </c>
      <c r="E7487" s="24" t="s">
        <v>747</v>
      </c>
      <c r="F7487" s="274"/>
    </row>
    <row r="7488" spans="1:6" s="261" customFormat="1">
      <c r="A7488" s="22">
        <v>101025</v>
      </c>
      <c r="B7488" s="22">
        <v>0</v>
      </c>
      <c r="C7488" s="22" t="s">
        <v>3369</v>
      </c>
      <c r="D7488" s="22" t="s">
        <v>8425</v>
      </c>
      <c r="E7488" s="24" t="s">
        <v>747</v>
      </c>
      <c r="F7488" s="274"/>
    </row>
    <row r="7489" spans="1:6" s="261" customFormat="1">
      <c r="A7489" s="22">
        <v>101026</v>
      </c>
      <c r="B7489" s="22">
        <v>0</v>
      </c>
      <c r="C7489" s="22" t="s">
        <v>3370</v>
      </c>
      <c r="D7489" s="22" t="s">
        <v>8426</v>
      </c>
      <c r="E7489" s="24" t="s">
        <v>986</v>
      </c>
      <c r="F7489" s="274"/>
    </row>
    <row r="7490" spans="1:6" s="261" customFormat="1">
      <c r="A7490" s="22">
        <v>101027</v>
      </c>
      <c r="B7490" s="22">
        <v>0</v>
      </c>
      <c r="C7490" s="22" t="s">
        <v>3370</v>
      </c>
      <c r="D7490" s="22" t="s">
        <v>8427</v>
      </c>
      <c r="E7490" s="24" t="s">
        <v>986</v>
      </c>
      <c r="F7490" s="274"/>
    </row>
    <row r="7491" spans="1:6" s="261" customFormat="1">
      <c r="A7491" s="22">
        <v>101028</v>
      </c>
      <c r="B7491" s="22">
        <v>0</v>
      </c>
      <c r="C7491" s="22" t="s">
        <v>3370</v>
      </c>
      <c r="D7491" s="22" t="s">
        <v>8428</v>
      </c>
      <c r="E7491" s="24" t="s">
        <v>986</v>
      </c>
      <c r="F7491" s="274"/>
    </row>
    <row r="7492" spans="1:6" s="261" customFormat="1">
      <c r="A7492" s="22">
        <v>101029</v>
      </c>
      <c r="B7492" s="22">
        <v>0</v>
      </c>
      <c r="C7492" s="22" t="s">
        <v>3370</v>
      </c>
      <c r="D7492" s="22" t="s">
        <v>8429</v>
      </c>
      <c r="E7492" s="24" t="s">
        <v>986</v>
      </c>
      <c r="F7492" s="274"/>
    </row>
    <row r="7493" spans="1:6" s="261" customFormat="1">
      <c r="A7493" s="22">
        <v>101030</v>
      </c>
      <c r="B7493" s="22">
        <v>0</v>
      </c>
      <c r="C7493" s="22" t="s">
        <v>3370</v>
      </c>
      <c r="D7493" s="22" t="s">
        <v>8430</v>
      </c>
      <c r="E7493" s="24" t="s">
        <v>986</v>
      </c>
      <c r="F7493" s="274"/>
    </row>
    <row r="7494" spans="1:6" s="261" customFormat="1">
      <c r="A7494" s="22">
        <v>101031</v>
      </c>
      <c r="B7494" s="22">
        <v>0</v>
      </c>
      <c r="C7494" s="22" t="s">
        <v>3370</v>
      </c>
      <c r="D7494" s="22" t="s">
        <v>8431</v>
      </c>
      <c r="E7494" s="24" t="s">
        <v>986</v>
      </c>
      <c r="F7494" s="274"/>
    </row>
    <row r="7495" spans="1:6" s="261" customFormat="1">
      <c r="A7495" s="22">
        <v>101032</v>
      </c>
      <c r="B7495" s="22">
        <v>0</v>
      </c>
      <c r="C7495" s="22" t="s">
        <v>3370</v>
      </c>
      <c r="D7495" s="22" t="s">
        <v>8432</v>
      </c>
      <c r="E7495" s="24" t="s">
        <v>986</v>
      </c>
      <c r="F7495" s="274"/>
    </row>
    <row r="7496" spans="1:6" s="261" customFormat="1">
      <c r="A7496" s="22">
        <v>101033</v>
      </c>
      <c r="B7496" s="22">
        <v>0</v>
      </c>
      <c r="C7496" s="22" t="s">
        <v>3370</v>
      </c>
      <c r="D7496" s="22" t="s">
        <v>8433</v>
      </c>
      <c r="E7496" s="24" t="s">
        <v>986</v>
      </c>
      <c r="F7496" s="274"/>
    </row>
    <row r="7497" spans="1:6" s="261" customFormat="1">
      <c r="A7497" s="22">
        <v>101034</v>
      </c>
      <c r="B7497" s="22">
        <v>0</v>
      </c>
      <c r="C7497" s="22" t="s">
        <v>3370</v>
      </c>
      <c r="D7497" s="22" t="s">
        <v>8434</v>
      </c>
      <c r="E7497" s="24" t="s">
        <v>986</v>
      </c>
      <c r="F7497" s="274"/>
    </row>
    <row r="7498" spans="1:6" s="261" customFormat="1">
      <c r="A7498" s="22">
        <v>101035</v>
      </c>
      <c r="B7498" s="22">
        <v>0</v>
      </c>
      <c r="C7498" s="22" t="s">
        <v>3370</v>
      </c>
      <c r="D7498" s="22" t="s">
        <v>8435</v>
      </c>
      <c r="E7498" s="24" t="s">
        <v>986</v>
      </c>
      <c r="F7498" s="274"/>
    </row>
    <row r="7499" spans="1:6" s="261" customFormat="1">
      <c r="A7499" s="22">
        <v>101036</v>
      </c>
      <c r="B7499" s="22">
        <v>0</v>
      </c>
      <c r="C7499" s="22" t="s">
        <v>3370</v>
      </c>
      <c r="D7499" s="22" t="s">
        <v>8436</v>
      </c>
      <c r="E7499" s="24" t="s">
        <v>986</v>
      </c>
      <c r="F7499" s="274"/>
    </row>
    <row r="7500" spans="1:6" s="261" customFormat="1">
      <c r="A7500" s="22">
        <v>101037</v>
      </c>
      <c r="B7500" s="22">
        <v>0</v>
      </c>
      <c r="C7500" s="22" t="s">
        <v>3370</v>
      </c>
      <c r="D7500" s="22" t="s">
        <v>8437</v>
      </c>
      <c r="E7500" s="24" t="s">
        <v>986</v>
      </c>
      <c r="F7500" s="274"/>
    </row>
    <row r="7501" spans="1:6" s="261" customFormat="1">
      <c r="A7501" s="22">
        <v>101038</v>
      </c>
      <c r="B7501" s="22">
        <v>0</v>
      </c>
      <c r="C7501" s="22" t="s">
        <v>3371</v>
      </c>
      <c r="D7501" s="22" t="s">
        <v>8438</v>
      </c>
      <c r="E7501" s="24" t="s">
        <v>751</v>
      </c>
      <c r="F7501" s="274"/>
    </row>
    <row r="7502" spans="1:6" s="261" customFormat="1">
      <c r="A7502" s="22">
        <v>101039</v>
      </c>
      <c r="B7502" s="22">
        <v>0</v>
      </c>
      <c r="C7502" s="22" t="s">
        <v>3371</v>
      </c>
      <c r="D7502" s="22" t="s">
        <v>8439</v>
      </c>
      <c r="E7502" s="24" t="s">
        <v>751</v>
      </c>
      <c r="F7502" s="274"/>
    </row>
    <row r="7503" spans="1:6" s="261" customFormat="1">
      <c r="A7503" s="22">
        <v>101040</v>
      </c>
      <c r="B7503" s="22">
        <v>0</v>
      </c>
      <c r="C7503" s="22" t="s">
        <v>3371</v>
      </c>
      <c r="D7503" s="22" t="s">
        <v>8440</v>
      </c>
      <c r="E7503" s="24" t="s">
        <v>751</v>
      </c>
      <c r="F7503" s="274"/>
    </row>
    <row r="7504" spans="1:6" s="261" customFormat="1">
      <c r="A7504" s="22">
        <v>101041</v>
      </c>
      <c r="B7504" s="22">
        <v>0</v>
      </c>
      <c r="C7504" s="22" t="s">
        <v>3371</v>
      </c>
      <c r="D7504" s="22" t="s">
        <v>8441</v>
      </c>
      <c r="E7504" s="24" t="s">
        <v>751</v>
      </c>
      <c r="F7504" s="274"/>
    </row>
    <row r="7505" spans="1:6" s="261" customFormat="1">
      <c r="A7505" s="22">
        <v>101042</v>
      </c>
      <c r="B7505" s="22">
        <v>0</v>
      </c>
      <c r="C7505" s="22" t="s">
        <v>3371</v>
      </c>
      <c r="D7505" s="22" t="s">
        <v>8442</v>
      </c>
      <c r="E7505" s="24" t="s">
        <v>751</v>
      </c>
      <c r="F7505" s="274"/>
    </row>
    <row r="7506" spans="1:6" s="261" customFormat="1">
      <c r="A7506" s="22">
        <v>101043</v>
      </c>
      <c r="B7506" s="22">
        <v>0</v>
      </c>
      <c r="C7506" s="22" t="s">
        <v>3371</v>
      </c>
      <c r="D7506" s="22" t="s">
        <v>8443</v>
      </c>
      <c r="E7506" s="24" t="s">
        <v>751</v>
      </c>
      <c r="F7506" s="274"/>
    </row>
    <row r="7507" spans="1:6" s="261" customFormat="1">
      <c r="A7507" s="22">
        <v>101044</v>
      </c>
      <c r="B7507" s="22">
        <v>0</v>
      </c>
      <c r="C7507" s="22" t="s">
        <v>3371</v>
      </c>
      <c r="D7507" s="22" t="s">
        <v>8444</v>
      </c>
      <c r="E7507" s="24" t="s">
        <v>751</v>
      </c>
      <c r="F7507" s="274"/>
    </row>
    <row r="7508" spans="1:6" s="261" customFormat="1">
      <c r="A7508" s="22">
        <v>101045</v>
      </c>
      <c r="B7508" s="22">
        <v>0</v>
      </c>
      <c r="C7508" s="22" t="s">
        <v>3371</v>
      </c>
      <c r="D7508" s="22" t="s">
        <v>8445</v>
      </c>
      <c r="E7508" s="24" t="s">
        <v>751</v>
      </c>
      <c r="F7508" s="274"/>
    </row>
    <row r="7509" spans="1:6" s="261" customFormat="1">
      <c r="A7509" s="22">
        <v>101046</v>
      </c>
      <c r="B7509" s="22">
        <v>0</v>
      </c>
      <c r="C7509" s="22" t="s">
        <v>3371</v>
      </c>
      <c r="D7509" s="22" t="s">
        <v>8446</v>
      </c>
      <c r="E7509" s="24" t="s">
        <v>751</v>
      </c>
      <c r="F7509" s="274"/>
    </row>
    <row r="7510" spans="1:6" s="261" customFormat="1">
      <c r="A7510" s="22">
        <v>101047</v>
      </c>
      <c r="B7510" s="22">
        <v>0</v>
      </c>
      <c r="C7510" s="22" t="s">
        <v>3371</v>
      </c>
      <c r="D7510" s="22" t="s">
        <v>8447</v>
      </c>
      <c r="E7510" s="24" t="s">
        <v>751</v>
      </c>
      <c r="F7510" s="274"/>
    </row>
    <row r="7511" spans="1:6" s="261" customFormat="1">
      <c r="A7511" s="22">
        <v>101048</v>
      </c>
      <c r="B7511" s="22">
        <v>0</v>
      </c>
      <c r="C7511" s="22" t="s">
        <v>3371</v>
      </c>
      <c r="D7511" s="22" t="s">
        <v>8448</v>
      </c>
      <c r="E7511" s="24" t="s">
        <v>751</v>
      </c>
      <c r="F7511" s="274"/>
    </row>
    <row r="7512" spans="1:6" s="261" customFormat="1">
      <c r="A7512" s="22">
        <v>101049</v>
      </c>
      <c r="B7512" s="22">
        <v>0</v>
      </c>
      <c r="C7512" s="22" t="s">
        <v>3371</v>
      </c>
      <c r="D7512" s="22" t="s">
        <v>8449</v>
      </c>
      <c r="E7512" s="24" t="s">
        <v>751</v>
      </c>
      <c r="F7512" s="274"/>
    </row>
    <row r="7513" spans="1:6" s="261" customFormat="1">
      <c r="A7513" s="22">
        <v>101050</v>
      </c>
      <c r="B7513" s="22">
        <v>0</v>
      </c>
      <c r="C7513" s="22" t="s">
        <v>3371</v>
      </c>
      <c r="D7513" s="22" t="s">
        <v>8450</v>
      </c>
      <c r="E7513" s="24" t="s">
        <v>751</v>
      </c>
      <c r="F7513" s="274"/>
    </row>
    <row r="7514" spans="1:6">
      <c r="A7514" s="18">
        <v>101501</v>
      </c>
      <c r="B7514" s="18">
        <v>0</v>
      </c>
      <c r="C7514" s="18" t="s">
        <v>3366</v>
      </c>
      <c r="D7514" s="18" t="s">
        <v>3253</v>
      </c>
      <c r="E7514" s="17" t="s">
        <v>981</v>
      </c>
    </row>
    <row r="7515" spans="1:6">
      <c r="A7515" s="18">
        <v>101502</v>
      </c>
      <c r="B7515" s="18">
        <v>0</v>
      </c>
      <c r="C7515" s="18" t="s">
        <v>3368</v>
      </c>
      <c r="D7515" s="18" t="s">
        <v>3254</v>
      </c>
      <c r="E7515" s="17" t="s">
        <v>983</v>
      </c>
    </row>
    <row r="7516" spans="1:6">
      <c r="A7516" s="18">
        <v>101503</v>
      </c>
      <c r="B7516" s="18">
        <v>0</v>
      </c>
      <c r="C7516" s="18" t="s">
        <v>3368</v>
      </c>
      <c r="D7516" s="18" t="s">
        <v>3255</v>
      </c>
      <c r="E7516" s="17" t="s">
        <v>983</v>
      </c>
    </row>
    <row r="7517" spans="1:6">
      <c r="A7517" s="18">
        <v>101504</v>
      </c>
      <c r="B7517" s="18">
        <v>0</v>
      </c>
      <c r="C7517" s="18" t="s">
        <v>3368</v>
      </c>
      <c r="D7517" s="18" t="s">
        <v>3256</v>
      </c>
      <c r="E7517" s="17" t="s">
        <v>983</v>
      </c>
    </row>
    <row r="7518" spans="1:6">
      <c r="A7518" s="18">
        <v>101505</v>
      </c>
      <c r="B7518" s="18">
        <v>0</v>
      </c>
      <c r="C7518" s="18" t="s">
        <v>3368</v>
      </c>
      <c r="D7518" s="18" t="s">
        <v>3257</v>
      </c>
      <c r="E7518" s="17" t="s">
        <v>983</v>
      </c>
    </row>
    <row r="7519" spans="1:6">
      <c r="A7519" s="18">
        <v>101506</v>
      </c>
      <c r="B7519" s="18">
        <v>0</v>
      </c>
      <c r="C7519" s="18" t="s">
        <v>3368</v>
      </c>
      <c r="D7519" s="18" t="s">
        <v>3258</v>
      </c>
      <c r="E7519" s="17" t="s">
        <v>983</v>
      </c>
    </row>
    <row r="7520" spans="1:6">
      <c r="A7520" s="18">
        <v>101507</v>
      </c>
      <c r="B7520" s="18">
        <v>0</v>
      </c>
      <c r="C7520" s="18" t="s">
        <v>3368</v>
      </c>
      <c r="D7520" s="18" t="s">
        <v>3259</v>
      </c>
      <c r="E7520" s="17" t="s">
        <v>983</v>
      </c>
    </row>
    <row r="7521" spans="1:5">
      <c r="A7521" s="18">
        <v>101508</v>
      </c>
      <c r="B7521" s="18">
        <v>0</v>
      </c>
      <c r="C7521" s="18" t="s">
        <v>3368</v>
      </c>
      <c r="D7521" s="18" t="s">
        <v>3260</v>
      </c>
      <c r="E7521" s="17" t="s">
        <v>983</v>
      </c>
    </row>
    <row r="7522" spans="1:5">
      <c r="A7522" s="18">
        <v>101509</v>
      </c>
      <c r="B7522" s="18">
        <v>0</v>
      </c>
      <c r="C7522" s="18" t="s">
        <v>3368</v>
      </c>
      <c r="D7522" s="18" t="s">
        <v>3261</v>
      </c>
      <c r="E7522" s="17" t="s">
        <v>983</v>
      </c>
    </row>
    <row r="7523" spans="1:5">
      <c r="A7523" s="18">
        <v>101510</v>
      </c>
      <c r="B7523" s="18">
        <v>0</v>
      </c>
      <c r="C7523" s="18" t="s">
        <v>3368</v>
      </c>
      <c r="D7523" s="18" t="s">
        <v>3262</v>
      </c>
      <c r="E7523" s="17" t="s">
        <v>983</v>
      </c>
    </row>
    <row r="7524" spans="1:5">
      <c r="A7524" s="18">
        <v>101511</v>
      </c>
      <c r="B7524" s="18">
        <v>0</v>
      </c>
      <c r="C7524" s="18" t="s">
        <v>3368</v>
      </c>
      <c r="D7524" s="18" t="s">
        <v>8451</v>
      </c>
      <c r="E7524" s="17" t="s">
        <v>983</v>
      </c>
    </row>
    <row r="7525" spans="1:5">
      <c r="A7525" s="18">
        <v>101512</v>
      </c>
      <c r="B7525" s="18">
        <v>0</v>
      </c>
      <c r="C7525" s="18" t="s">
        <v>3369</v>
      </c>
      <c r="D7525" s="18" t="s">
        <v>8452</v>
      </c>
      <c r="E7525" s="17" t="s">
        <v>747</v>
      </c>
    </row>
    <row r="7526" spans="1:5">
      <c r="A7526" s="18">
        <v>101513</v>
      </c>
      <c r="B7526" s="18">
        <v>0</v>
      </c>
      <c r="C7526" s="18" t="s">
        <v>3369</v>
      </c>
      <c r="D7526" s="18" t="s">
        <v>8453</v>
      </c>
      <c r="E7526" s="17" t="s">
        <v>747</v>
      </c>
    </row>
    <row r="7527" spans="1:5">
      <c r="A7527" s="18">
        <v>101514</v>
      </c>
      <c r="B7527" s="18">
        <v>0</v>
      </c>
      <c r="C7527" s="18" t="s">
        <v>3369</v>
      </c>
      <c r="D7527" s="18" t="s">
        <v>8454</v>
      </c>
      <c r="E7527" s="17" t="s">
        <v>747</v>
      </c>
    </row>
    <row r="7528" spans="1:5">
      <c r="A7528" s="18">
        <v>101515</v>
      </c>
      <c r="B7528" s="18">
        <v>0</v>
      </c>
      <c r="C7528" s="18" t="s">
        <v>3369</v>
      </c>
      <c r="D7528" s="18" t="s">
        <v>8455</v>
      </c>
      <c r="E7528" s="17" t="s">
        <v>747</v>
      </c>
    </row>
    <row r="7529" spans="1:5">
      <c r="A7529" s="18">
        <v>101516</v>
      </c>
      <c r="B7529" s="18">
        <v>0</v>
      </c>
      <c r="C7529" s="18" t="s">
        <v>3369</v>
      </c>
      <c r="D7529" s="18" t="s">
        <v>8456</v>
      </c>
      <c r="E7529" s="17" t="s">
        <v>747</v>
      </c>
    </row>
    <row r="7530" spans="1:5">
      <c r="A7530" s="18">
        <v>101517</v>
      </c>
      <c r="B7530" s="18">
        <v>0</v>
      </c>
      <c r="C7530" s="18" t="s">
        <v>3369</v>
      </c>
      <c r="D7530" s="18" t="s">
        <v>8457</v>
      </c>
      <c r="E7530" s="17" t="s">
        <v>747</v>
      </c>
    </row>
    <row r="7531" spans="1:5">
      <c r="A7531" s="18">
        <v>101518</v>
      </c>
      <c r="B7531" s="18">
        <v>0</v>
      </c>
      <c r="C7531" s="18" t="s">
        <v>3369</v>
      </c>
      <c r="D7531" s="18" t="s">
        <v>8458</v>
      </c>
      <c r="E7531" s="17" t="s">
        <v>747</v>
      </c>
    </row>
    <row r="7532" spans="1:5">
      <c r="A7532" s="18">
        <v>101519</v>
      </c>
      <c r="B7532" s="18">
        <v>0</v>
      </c>
      <c r="C7532" s="18" t="s">
        <v>3369</v>
      </c>
      <c r="D7532" s="18" t="s">
        <v>8459</v>
      </c>
      <c r="E7532" s="17" t="s">
        <v>747</v>
      </c>
    </row>
    <row r="7533" spans="1:5">
      <c r="A7533" s="18">
        <v>101520</v>
      </c>
      <c r="B7533" s="18">
        <v>0</v>
      </c>
      <c r="C7533" s="18" t="s">
        <v>3369</v>
      </c>
      <c r="D7533" s="18" t="s">
        <v>8460</v>
      </c>
      <c r="E7533" s="17" t="s">
        <v>747</v>
      </c>
    </row>
    <row r="7534" spans="1:5">
      <c r="A7534" s="18">
        <v>101521</v>
      </c>
      <c r="B7534" s="18">
        <v>0</v>
      </c>
      <c r="C7534" s="18" t="s">
        <v>3369</v>
      </c>
      <c r="D7534" s="18" t="s">
        <v>8461</v>
      </c>
      <c r="E7534" s="17" t="s">
        <v>747</v>
      </c>
    </row>
    <row r="7535" spans="1:5">
      <c r="A7535" s="18">
        <v>101522</v>
      </c>
      <c r="B7535" s="18">
        <v>0</v>
      </c>
      <c r="C7535" s="18" t="s">
        <v>3370</v>
      </c>
      <c r="D7535" s="18" t="s">
        <v>8462</v>
      </c>
      <c r="E7535" s="17" t="s">
        <v>986</v>
      </c>
    </row>
    <row r="7536" spans="1:5">
      <c r="A7536" s="18">
        <v>101523</v>
      </c>
      <c r="B7536" s="18">
        <v>0</v>
      </c>
      <c r="C7536" s="18" t="s">
        <v>3370</v>
      </c>
      <c r="D7536" s="18" t="s">
        <v>8463</v>
      </c>
      <c r="E7536" s="17" t="s">
        <v>986</v>
      </c>
    </row>
    <row r="7537" spans="1:5">
      <c r="A7537" s="18">
        <v>101524</v>
      </c>
      <c r="B7537" s="18">
        <v>0</v>
      </c>
      <c r="C7537" s="18" t="s">
        <v>3370</v>
      </c>
      <c r="D7537" s="18" t="s">
        <v>8464</v>
      </c>
      <c r="E7537" s="17" t="s">
        <v>986</v>
      </c>
    </row>
    <row r="7538" spans="1:5">
      <c r="A7538" s="18">
        <v>101525</v>
      </c>
      <c r="B7538" s="18">
        <v>0</v>
      </c>
      <c r="C7538" s="18" t="s">
        <v>3370</v>
      </c>
      <c r="D7538" s="18" t="s">
        <v>8465</v>
      </c>
      <c r="E7538" s="17" t="s">
        <v>986</v>
      </c>
    </row>
    <row r="7539" spans="1:5">
      <c r="A7539" s="18">
        <v>101526</v>
      </c>
      <c r="B7539" s="18">
        <v>0</v>
      </c>
      <c r="C7539" s="18" t="s">
        <v>3370</v>
      </c>
      <c r="D7539" s="18" t="s">
        <v>8466</v>
      </c>
      <c r="E7539" s="17" t="s">
        <v>986</v>
      </c>
    </row>
    <row r="7540" spans="1:5">
      <c r="A7540" s="18">
        <v>101527</v>
      </c>
      <c r="B7540" s="18">
        <v>0</v>
      </c>
      <c r="C7540" s="18" t="s">
        <v>3370</v>
      </c>
      <c r="D7540" s="18" t="s">
        <v>8467</v>
      </c>
      <c r="E7540" s="17" t="s">
        <v>986</v>
      </c>
    </row>
    <row r="7541" spans="1:5">
      <c r="A7541" s="18">
        <v>101528</v>
      </c>
      <c r="B7541" s="18">
        <v>0</v>
      </c>
      <c r="C7541" s="18" t="s">
        <v>3370</v>
      </c>
      <c r="D7541" s="18" t="s">
        <v>8468</v>
      </c>
      <c r="E7541" s="17" t="s">
        <v>986</v>
      </c>
    </row>
    <row r="7542" spans="1:5">
      <c r="A7542" s="18">
        <v>101529</v>
      </c>
      <c r="B7542" s="18">
        <v>0</v>
      </c>
      <c r="C7542" s="18" t="s">
        <v>3370</v>
      </c>
      <c r="D7542" s="18" t="s">
        <v>8469</v>
      </c>
      <c r="E7542" s="17" t="s">
        <v>986</v>
      </c>
    </row>
    <row r="7543" spans="1:5">
      <c r="A7543" s="18">
        <v>101530</v>
      </c>
      <c r="B7543" s="18">
        <v>0</v>
      </c>
      <c r="C7543" s="18" t="s">
        <v>3370</v>
      </c>
      <c r="D7543" s="18" t="s">
        <v>8470</v>
      </c>
      <c r="E7543" s="17" t="s">
        <v>986</v>
      </c>
    </row>
    <row r="7544" spans="1:5">
      <c r="A7544" s="18">
        <v>101531</v>
      </c>
      <c r="B7544" s="18">
        <v>0</v>
      </c>
      <c r="C7544" s="18" t="s">
        <v>3370</v>
      </c>
      <c r="D7544" s="18" t="s">
        <v>8471</v>
      </c>
      <c r="E7544" s="17" t="s">
        <v>986</v>
      </c>
    </row>
    <row r="7545" spans="1:5">
      <c r="A7545" s="18">
        <v>101532</v>
      </c>
      <c r="B7545" s="18">
        <v>0</v>
      </c>
      <c r="C7545" s="18" t="s">
        <v>3371</v>
      </c>
      <c r="D7545" s="18" t="s">
        <v>8472</v>
      </c>
      <c r="E7545" s="17" t="s">
        <v>751</v>
      </c>
    </row>
    <row r="7546" spans="1:5">
      <c r="A7546" s="18">
        <v>101533</v>
      </c>
      <c r="B7546" s="18">
        <v>0</v>
      </c>
      <c r="C7546" s="18" t="s">
        <v>3371</v>
      </c>
      <c r="D7546" s="18" t="s">
        <v>8473</v>
      </c>
      <c r="E7546" s="17" t="s">
        <v>751</v>
      </c>
    </row>
    <row r="7547" spans="1:5">
      <c r="A7547" s="18">
        <v>101534</v>
      </c>
      <c r="B7547" s="18">
        <v>0</v>
      </c>
      <c r="C7547" s="18" t="s">
        <v>3371</v>
      </c>
      <c r="D7547" s="18" t="s">
        <v>8474</v>
      </c>
      <c r="E7547" s="17" t="s">
        <v>751</v>
      </c>
    </row>
    <row r="7548" spans="1:5">
      <c r="A7548" s="18">
        <v>101535</v>
      </c>
      <c r="B7548" s="18">
        <v>0</v>
      </c>
      <c r="C7548" s="18" t="s">
        <v>3371</v>
      </c>
      <c r="D7548" s="18" t="s">
        <v>8475</v>
      </c>
      <c r="E7548" s="17" t="s">
        <v>751</v>
      </c>
    </row>
    <row r="7549" spans="1:5">
      <c r="A7549" s="18">
        <v>101536</v>
      </c>
      <c r="B7549" s="18">
        <v>0</v>
      </c>
      <c r="C7549" s="18" t="s">
        <v>3371</v>
      </c>
      <c r="D7549" s="18" t="s">
        <v>8476</v>
      </c>
      <c r="E7549" s="17" t="s">
        <v>751</v>
      </c>
    </row>
    <row r="7550" spans="1:5">
      <c r="A7550" s="18">
        <v>101537</v>
      </c>
      <c r="B7550" s="18">
        <v>0</v>
      </c>
      <c r="C7550" s="18" t="s">
        <v>3371</v>
      </c>
      <c r="D7550" s="18" t="s">
        <v>8477</v>
      </c>
      <c r="E7550" s="17" t="s">
        <v>751</v>
      </c>
    </row>
    <row r="7551" spans="1:5">
      <c r="A7551" s="18">
        <v>101538</v>
      </c>
      <c r="B7551" s="18">
        <v>0</v>
      </c>
      <c r="C7551" s="18" t="s">
        <v>3371</v>
      </c>
      <c r="D7551" s="18" t="s">
        <v>8478</v>
      </c>
      <c r="E7551" s="17" t="s">
        <v>751</v>
      </c>
    </row>
    <row r="7552" spans="1:5">
      <c r="A7552" s="18">
        <v>101539</v>
      </c>
      <c r="B7552" s="18">
        <v>0</v>
      </c>
      <c r="C7552" s="18" t="s">
        <v>3371</v>
      </c>
      <c r="D7552" s="18" t="s">
        <v>8479</v>
      </c>
      <c r="E7552" s="17" t="s">
        <v>751</v>
      </c>
    </row>
    <row r="7553" spans="1:5">
      <c r="A7553" s="18">
        <v>101540</v>
      </c>
      <c r="B7553" s="18">
        <v>0</v>
      </c>
      <c r="C7553" s="18" t="s">
        <v>3371</v>
      </c>
      <c r="D7553" s="18" t="s">
        <v>8480</v>
      </c>
      <c r="E7553" s="17" t="s">
        <v>751</v>
      </c>
    </row>
    <row r="7554" spans="1:5">
      <c r="A7554" s="18">
        <v>101541</v>
      </c>
      <c r="B7554" s="18">
        <v>0</v>
      </c>
      <c r="C7554" s="18" t="s">
        <v>3371</v>
      </c>
      <c r="D7554" s="18" t="s">
        <v>8960</v>
      </c>
      <c r="E7554" s="17" t="s">
        <v>751</v>
      </c>
    </row>
    <row r="7555" spans="1:5">
      <c r="A7555" s="18">
        <v>101542</v>
      </c>
      <c r="B7555" s="18">
        <v>0</v>
      </c>
      <c r="C7555" s="18" t="s">
        <v>3372</v>
      </c>
      <c r="D7555" s="18" t="s">
        <v>8961</v>
      </c>
      <c r="E7555" s="17" t="s">
        <v>989</v>
      </c>
    </row>
    <row r="7556" spans="1:5">
      <c r="A7556" s="18">
        <v>101543</v>
      </c>
      <c r="B7556" s="18">
        <v>0</v>
      </c>
      <c r="C7556" s="18" t="s">
        <v>3372</v>
      </c>
      <c r="D7556" s="18" t="s">
        <v>8962</v>
      </c>
      <c r="E7556" s="17" t="s">
        <v>989</v>
      </c>
    </row>
    <row r="7557" spans="1:5">
      <c r="A7557" s="18">
        <v>101544</v>
      </c>
      <c r="B7557" s="18">
        <v>0</v>
      </c>
      <c r="C7557" s="18" t="s">
        <v>3372</v>
      </c>
      <c r="D7557" s="18" t="s">
        <v>8963</v>
      </c>
      <c r="E7557" s="17" t="s">
        <v>989</v>
      </c>
    </row>
    <row r="7558" spans="1:5">
      <c r="A7558" s="18">
        <v>101545</v>
      </c>
      <c r="B7558" s="18">
        <v>0</v>
      </c>
      <c r="C7558" s="18" t="s">
        <v>3372</v>
      </c>
      <c r="D7558" s="18" t="s">
        <v>8964</v>
      </c>
      <c r="E7558" s="17" t="s">
        <v>989</v>
      </c>
    </row>
    <row r="7559" spans="1:5">
      <c r="A7559" s="18">
        <v>101546</v>
      </c>
      <c r="B7559" s="18">
        <v>0</v>
      </c>
      <c r="C7559" s="18" t="s">
        <v>3372</v>
      </c>
      <c r="D7559" s="18" t="s">
        <v>8965</v>
      </c>
      <c r="E7559" s="17" t="s">
        <v>989</v>
      </c>
    </row>
    <row r="7560" spans="1:5">
      <c r="A7560" s="18">
        <v>101547</v>
      </c>
      <c r="B7560" s="18">
        <v>0</v>
      </c>
      <c r="C7560" s="18" t="s">
        <v>3372</v>
      </c>
      <c r="D7560" s="18" t="s">
        <v>8966</v>
      </c>
      <c r="E7560" s="17" t="s">
        <v>989</v>
      </c>
    </row>
    <row r="7561" spans="1:5">
      <c r="A7561" s="18">
        <v>101548</v>
      </c>
      <c r="B7561" s="18">
        <v>0</v>
      </c>
      <c r="C7561" s="18" t="s">
        <v>3372</v>
      </c>
      <c r="D7561" s="18" t="s">
        <v>8967</v>
      </c>
      <c r="E7561" s="17" t="s">
        <v>989</v>
      </c>
    </row>
    <row r="7562" spans="1:5">
      <c r="A7562" s="18">
        <v>101549</v>
      </c>
      <c r="B7562" s="18">
        <v>0</v>
      </c>
      <c r="C7562" s="18" t="s">
        <v>3372</v>
      </c>
      <c r="D7562" s="18" t="s">
        <v>8968</v>
      </c>
      <c r="E7562" s="17" t="s">
        <v>989</v>
      </c>
    </row>
    <row r="7563" spans="1:5">
      <c r="A7563" s="18">
        <v>101550</v>
      </c>
      <c r="B7563" s="18">
        <v>0</v>
      </c>
      <c r="C7563" s="18" t="s">
        <v>3372</v>
      </c>
      <c r="D7563" s="18" t="s">
        <v>8969</v>
      </c>
      <c r="E7563" s="17" t="s">
        <v>989</v>
      </c>
    </row>
    <row r="7564" spans="1:5">
      <c r="A7564" s="18">
        <v>101551</v>
      </c>
      <c r="B7564" s="18">
        <v>0</v>
      </c>
      <c r="C7564" s="18" t="s">
        <v>3372</v>
      </c>
      <c r="D7564" s="18" t="s">
        <v>8970</v>
      </c>
      <c r="E7564" s="17" t="s">
        <v>989</v>
      </c>
    </row>
    <row r="7565" spans="1:5">
      <c r="A7565" s="18">
        <v>101552</v>
      </c>
      <c r="B7565" s="18">
        <v>0</v>
      </c>
      <c r="C7565" s="18" t="s">
        <v>3373</v>
      </c>
      <c r="D7565" s="18" t="s">
        <v>8971</v>
      </c>
      <c r="E7565" s="17" t="s">
        <v>991</v>
      </c>
    </row>
    <row r="7566" spans="1:5">
      <c r="A7566" s="18">
        <v>101553</v>
      </c>
      <c r="B7566" s="18">
        <v>0</v>
      </c>
      <c r="C7566" s="18" t="s">
        <v>3373</v>
      </c>
      <c r="D7566" s="18" t="s">
        <v>8972</v>
      </c>
      <c r="E7566" s="17" t="s">
        <v>991</v>
      </c>
    </row>
    <row r="7567" spans="1:5">
      <c r="A7567" s="18">
        <v>101554</v>
      </c>
      <c r="B7567" s="18">
        <v>0</v>
      </c>
      <c r="C7567" s="18" t="s">
        <v>3373</v>
      </c>
      <c r="D7567" s="18" t="s">
        <v>8973</v>
      </c>
      <c r="E7567" s="17" t="s">
        <v>991</v>
      </c>
    </row>
    <row r="7568" spans="1:5">
      <c r="A7568" s="18">
        <v>101555</v>
      </c>
      <c r="B7568" s="18">
        <v>0</v>
      </c>
      <c r="C7568" s="18" t="s">
        <v>3373</v>
      </c>
      <c r="D7568" s="18" t="s">
        <v>8974</v>
      </c>
      <c r="E7568" s="17" t="s">
        <v>991</v>
      </c>
    </row>
    <row r="7569" spans="1:5">
      <c r="A7569" s="18">
        <v>101556</v>
      </c>
      <c r="B7569" s="18">
        <v>0</v>
      </c>
      <c r="C7569" s="18" t="s">
        <v>3373</v>
      </c>
      <c r="D7569" s="18" t="s">
        <v>8975</v>
      </c>
      <c r="E7569" s="17" t="s">
        <v>991</v>
      </c>
    </row>
    <row r="7570" spans="1:5">
      <c r="A7570" s="18">
        <v>101557</v>
      </c>
      <c r="B7570" s="18">
        <v>0</v>
      </c>
      <c r="C7570" s="18" t="s">
        <v>3373</v>
      </c>
      <c r="D7570" s="18" t="s">
        <v>8976</v>
      </c>
      <c r="E7570" s="17" t="s">
        <v>991</v>
      </c>
    </row>
    <row r="7571" spans="1:5">
      <c r="A7571" s="18">
        <v>101558</v>
      </c>
      <c r="B7571" s="18">
        <v>0</v>
      </c>
      <c r="C7571" s="18" t="s">
        <v>3373</v>
      </c>
      <c r="D7571" s="18" t="s">
        <v>8977</v>
      </c>
      <c r="E7571" s="17" t="s">
        <v>991</v>
      </c>
    </row>
    <row r="7572" spans="1:5">
      <c r="A7572" s="18">
        <v>101559</v>
      </c>
      <c r="B7572" s="18">
        <v>0</v>
      </c>
      <c r="C7572" s="18" t="s">
        <v>3373</v>
      </c>
      <c r="D7572" s="18" t="s">
        <v>8978</v>
      </c>
      <c r="E7572" s="17" t="s">
        <v>991</v>
      </c>
    </row>
    <row r="7573" spans="1:5">
      <c r="A7573" s="18">
        <v>101560</v>
      </c>
      <c r="B7573" s="18">
        <v>0</v>
      </c>
      <c r="C7573" s="18" t="s">
        <v>3373</v>
      </c>
      <c r="D7573" s="18" t="s">
        <v>8979</v>
      </c>
      <c r="E7573" s="17" t="s">
        <v>991</v>
      </c>
    </row>
    <row r="7574" spans="1:5">
      <c r="A7574" s="18">
        <v>101561</v>
      </c>
      <c r="B7574" s="18">
        <v>0</v>
      </c>
      <c r="C7574" s="18" t="s">
        <v>3373</v>
      </c>
      <c r="D7574" s="18" t="s">
        <v>8980</v>
      </c>
      <c r="E7574" s="17" t="s">
        <v>991</v>
      </c>
    </row>
    <row r="7575" spans="1:5">
      <c r="A7575" s="18">
        <v>101562</v>
      </c>
      <c r="B7575" s="18">
        <v>0</v>
      </c>
      <c r="C7575" s="18" t="s">
        <v>3374</v>
      </c>
      <c r="D7575" s="18" t="s">
        <v>8981</v>
      </c>
      <c r="E7575" s="17" t="s">
        <v>993</v>
      </c>
    </row>
    <row r="7576" spans="1:5">
      <c r="A7576" s="18">
        <v>101563</v>
      </c>
      <c r="B7576" s="18">
        <v>0</v>
      </c>
      <c r="C7576" s="18" t="s">
        <v>3374</v>
      </c>
      <c r="D7576" s="18" t="s">
        <v>8982</v>
      </c>
      <c r="E7576" s="17" t="s">
        <v>993</v>
      </c>
    </row>
    <row r="7577" spans="1:5">
      <c r="A7577" s="18">
        <v>101564</v>
      </c>
      <c r="B7577" s="18">
        <v>0</v>
      </c>
      <c r="C7577" s="18" t="s">
        <v>3374</v>
      </c>
      <c r="D7577" s="18" t="s">
        <v>8983</v>
      </c>
      <c r="E7577" s="17" t="s">
        <v>993</v>
      </c>
    </row>
    <row r="7578" spans="1:5">
      <c r="A7578" s="18">
        <v>101565</v>
      </c>
      <c r="B7578" s="18">
        <v>0</v>
      </c>
      <c r="C7578" s="18" t="s">
        <v>3374</v>
      </c>
      <c r="D7578" s="18" t="s">
        <v>8984</v>
      </c>
      <c r="E7578" s="17" t="s">
        <v>993</v>
      </c>
    </row>
    <row r="7579" spans="1:5">
      <c r="A7579" s="18">
        <v>101566</v>
      </c>
      <c r="B7579" s="18">
        <v>0</v>
      </c>
      <c r="C7579" s="18" t="s">
        <v>3374</v>
      </c>
      <c r="D7579" s="18" t="s">
        <v>8985</v>
      </c>
      <c r="E7579" s="17" t="s">
        <v>993</v>
      </c>
    </row>
    <row r="7580" spans="1:5">
      <c r="A7580" s="18">
        <v>101567</v>
      </c>
      <c r="B7580" s="18">
        <v>0</v>
      </c>
      <c r="C7580" s="18" t="s">
        <v>3374</v>
      </c>
      <c r="D7580" s="18" t="s">
        <v>8986</v>
      </c>
      <c r="E7580" s="17" t="s">
        <v>993</v>
      </c>
    </row>
    <row r="7581" spans="1:5">
      <c r="A7581" s="18">
        <v>101568</v>
      </c>
      <c r="B7581" s="18">
        <v>0</v>
      </c>
      <c r="C7581" s="18" t="s">
        <v>3374</v>
      </c>
      <c r="D7581" s="18" t="s">
        <v>8987</v>
      </c>
      <c r="E7581" s="17" t="s">
        <v>993</v>
      </c>
    </row>
    <row r="7582" spans="1:5">
      <c r="A7582" s="18">
        <v>101569</v>
      </c>
      <c r="B7582" s="18">
        <v>0</v>
      </c>
      <c r="C7582" s="18" t="s">
        <v>3374</v>
      </c>
      <c r="D7582" s="18" t="s">
        <v>8988</v>
      </c>
      <c r="E7582" s="17" t="s">
        <v>993</v>
      </c>
    </row>
    <row r="7583" spans="1:5">
      <c r="A7583" s="18">
        <v>101570</v>
      </c>
      <c r="B7583" s="18">
        <v>0</v>
      </c>
      <c r="C7583" s="18" t="s">
        <v>3374</v>
      </c>
      <c r="D7583" s="18" t="s">
        <v>8989</v>
      </c>
      <c r="E7583" s="17" t="s">
        <v>993</v>
      </c>
    </row>
    <row r="7584" spans="1:5">
      <c r="A7584" s="18">
        <v>101571</v>
      </c>
      <c r="B7584" s="18">
        <v>0</v>
      </c>
      <c r="C7584" s="18" t="s">
        <v>3374</v>
      </c>
      <c r="D7584" s="18" t="s">
        <v>8990</v>
      </c>
      <c r="E7584" s="17" t="s">
        <v>993</v>
      </c>
    </row>
    <row r="7585" spans="1:5">
      <c r="A7585" s="18">
        <v>101572</v>
      </c>
      <c r="B7585" s="18">
        <v>0</v>
      </c>
      <c r="C7585" s="18" t="s">
        <v>3374</v>
      </c>
      <c r="D7585" s="18" t="s">
        <v>8991</v>
      </c>
      <c r="E7585" s="17" t="s">
        <v>993</v>
      </c>
    </row>
    <row r="7586" spans="1:5">
      <c r="A7586" s="18">
        <v>101573</v>
      </c>
      <c r="B7586" s="18">
        <v>0</v>
      </c>
      <c r="C7586" s="18" t="s">
        <v>3374</v>
      </c>
      <c r="D7586" s="18" t="s">
        <v>8992</v>
      </c>
      <c r="E7586" s="17" t="s">
        <v>993</v>
      </c>
    </row>
    <row r="7587" spans="1:5">
      <c r="A7587" s="18">
        <v>101574</v>
      </c>
      <c r="B7587" s="18">
        <v>0</v>
      </c>
      <c r="C7587" s="18" t="s">
        <v>3374</v>
      </c>
      <c r="D7587" s="18" t="s">
        <v>8993</v>
      </c>
      <c r="E7587" s="17" t="s">
        <v>993</v>
      </c>
    </row>
    <row r="7588" spans="1:5">
      <c r="A7588" s="18">
        <v>101575</v>
      </c>
      <c r="B7588" s="18">
        <v>0</v>
      </c>
      <c r="C7588" s="18" t="s">
        <v>3374</v>
      </c>
      <c r="D7588" s="18" t="s">
        <v>8994</v>
      </c>
      <c r="E7588" s="17" t="s">
        <v>993</v>
      </c>
    </row>
    <row r="7589" spans="1:5">
      <c r="A7589" s="18">
        <v>101576</v>
      </c>
      <c r="B7589" s="18">
        <v>0</v>
      </c>
      <c r="C7589" s="18" t="s">
        <v>3374</v>
      </c>
      <c r="D7589" s="18" t="s">
        <v>8995</v>
      </c>
      <c r="E7589" s="17" t="s">
        <v>993</v>
      </c>
    </row>
    <row r="7590" spans="1:5">
      <c r="A7590" s="18">
        <v>101577</v>
      </c>
      <c r="B7590" s="18">
        <v>0</v>
      </c>
      <c r="C7590" s="18" t="s">
        <v>3374</v>
      </c>
      <c r="D7590" s="18" t="s">
        <v>8996</v>
      </c>
      <c r="E7590" s="17" t="s">
        <v>993</v>
      </c>
    </row>
    <row r="7591" spans="1:5">
      <c r="A7591" s="18">
        <v>101578</v>
      </c>
      <c r="B7591" s="18">
        <v>0</v>
      </c>
      <c r="C7591" s="18" t="s">
        <v>3374</v>
      </c>
      <c r="D7591" s="18" t="s">
        <v>8997</v>
      </c>
      <c r="E7591" s="17" t="s">
        <v>993</v>
      </c>
    </row>
    <row r="7592" spans="1:5">
      <c r="A7592" s="18">
        <v>101579</v>
      </c>
      <c r="B7592" s="18">
        <v>0</v>
      </c>
      <c r="C7592" s="18" t="s">
        <v>3374</v>
      </c>
      <c r="D7592" s="18" t="s">
        <v>8998</v>
      </c>
      <c r="E7592" s="17" t="s">
        <v>993</v>
      </c>
    </row>
    <row r="7593" spans="1:5">
      <c r="A7593" s="18">
        <v>101580</v>
      </c>
      <c r="B7593" s="18">
        <v>0</v>
      </c>
      <c r="C7593" s="18" t="s">
        <v>3374</v>
      </c>
      <c r="D7593" s="18" t="s">
        <v>8999</v>
      </c>
      <c r="E7593" s="17" t="s">
        <v>993</v>
      </c>
    </row>
    <row r="7594" spans="1:5">
      <c r="A7594" s="18">
        <v>101581</v>
      </c>
      <c r="B7594" s="18">
        <v>0</v>
      </c>
      <c r="C7594" s="18" t="s">
        <v>3374</v>
      </c>
      <c r="D7594" s="18" t="s">
        <v>9000</v>
      </c>
      <c r="E7594" s="17" t="s">
        <v>993</v>
      </c>
    </row>
    <row r="7595" spans="1:5">
      <c r="A7595" s="18">
        <v>101582</v>
      </c>
      <c r="B7595" s="18">
        <v>0</v>
      </c>
      <c r="C7595" s="18" t="s">
        <v>3374</v>
      </c>
      <c r="D7595" s="18" t="s">
        <v>9001</v>
      </c>
      <c r="E7595" s="17" t="s">
        <v>993</v>
      </c>
    </row>
    <row r="7596" spans="1:5">
      <c r="A7596" s="18">
        <v>101583</v>
      </c>
      <c r="B7596" s="18">
        <v>0</v>
      </c>
      <c r="C7596" s="18" t="s">
        <v>3374</v>
      </c>
      <c r="D7596" s="18" t="s">
        <v>9002</v>
      </c>
      <c r="E7596" s="17" t="s">
        <v>993</v>
      </c>
    </row>
    <row r="7597" spans="1:5">
      <c r="A7597" s="18">
        <v>101584</v>
      </c>
      <c r="B7597" s="18">
        <v>0</v>
      </c>
      <c r="C7597" s="18" t="s">
        <v>3374</v>
      </c>
      <c r="D7597" s="18" t="s">
        <v>9003</v>
      </c>
      <c r="E7597" s="17" t="s">
        <v>993</v>
      </c>
    </row>
    <row r="7598" spans="1:5">
      <c r="A7598" s="18">
        <v>101585</v>
      </c>
      <c r="B7598" s="18">
        <v>0</v>
      </c>
      <c r="C7598" s="18" t="s">
        <v>3374</v>
      </c>
      <c r="D7598" s="18" t="s">
        <v>9004</v>
      </c>
      <c r="E7598" s="17" t="s">
        <v>993</v>
      </c>
    </row>
    <row r="7599" spans="1:5">
      <c r="A7599" s="18">
        <v>101586</v>
      </c>
      <c r="B7599" s="18">
        <v>0</v>
      </c>
      <c r="C7599" s="18" t="s">
        <v>3374</v>
      </c>
      <c r="D7599" s="18" t="s">
        <v>9005</v>
      </c>
      <c r="E7599" s="17" t="s">
        <v>993</v>
      </c>
    </row>
    <row r="7600" spans="1:5">
      <c r="A7600" s="18">
        <v>101587</v>
      </c>
      <c r="B7600" s="18">
        <v>0</v>
      </c>
      <c r="C7600" s="18" t="s">
        <v>3374</v>
      </c>
      <c r="D7600" s="18" t="s">
        <v>9006</v>
      </c>
      <c r="E7600" s="17" t="s">
        <v>993</v>
      </c>
    </row>
    <row r="7601" spans="1:5">
      <c r="A7601" s="18">
        <v>101588</v>
      </c>
      <c r="B7601" s="18">
        <v>0</v>
      </c>
      <c r="C7601" s="18" t="s">
        <v>3374</v>
      </c>
      <c r="D7601" s="18" t="s">
        <v>9007</v>
      </c>
      <c r="E7601" s="17" t="s">
        <v>993</v>
      </c>
    </row>
    <row r="7602" spans="1:5">
      <c r="A7602" s="18">
        <v>101589</v>
      </c>
      <c r="B7602" s="18">
        <v>0</v>
      </c>
      <c r="C7602" s="18" t="s">
        <v>3374</v>
      </c>
      <c r="D7602" s="18" t="s">
        <v>9008</v>
      </c>
      <c r="E7602" s="17" t="s">
        <v>993</v>
      </c>
    </row>
    <row r="7603" spans="1:5">
      <c r="A7603" s="18">
        <v>101590</v>
      </c>
      <c r="B7603" s="18">
        <v>0</v>
      </c>
      <c r="C7603" s="18" t="s">
        <v>3374</v>
      </c>
      <c r="D7603" s="18" t="s">
        <v>9009</v>
      </c>
      <c r="E7603" s="17" t="s">
        <v>993</v>
      </c>
    </row>
    <row r="7604" spans="1:5">
      <c r="A7604" s="18">
        <v>101591</v>
      </c>
      <c r="B7604" s="18">
        <v>0</v>
      </c>
      <c r="C7604" s="18" t="s">
        <v>3374</v>
      </c>
      <c r="D7604" s="18" t="s">
        <v>9010</v>
      </c>
      <c r="E7604" s="17" t="s">
        <v>993</v>
      </c>
    </row>
    <row r="7605" spans="1:5">
      <c r="A7605" s="18">
        <v>101592</v>
      </c>
      <c r="B7605" s="18">
        <v>0</v>
      </c>
      <c r="C7605" s="18" t="s">
        <v>3374</v>
      </c>
      <c r="D7605" s="18" t="s">
        <v>9011</v>
      </c>
      <c r="E7605" s="17" t="s">
        <v>993</v>
      </c>
    </row>
    <row r="7606" spans="1:5">
      <c r="A7606" s="18">
        <v>101593</v>
      </c>
      <c r="B7606" s="18">
        <v>0</v>
      </c>
      <c r="C7606" s="18" t="s">
        <v>3374</v>
      </c>
      <c r="D7606" s="18" t="s">
        <v>9012</v>
      </c>
      <c r="E7606" s="17" t="s">
        <v>993</v>
      </c>
    </row>
    <row r="7607" spans="1:5">
      <c r="A7607" s="18">
        <v>101594</v>
      </c>
      <c r="B7607" s="18">
        <v>0</v>
      </c>
      <c r="C7607" s="18" t="s">
        <v>3374</v>
      </c>
      <c r="D7607" s="18" t="s">
        <v>9013</v>
      </c>
      <c r="E7607" s="17" t="s">
        <v>993</v>
      </c>
    </row>
    <row r="7608" spans="1:5">
      <c r="A7608" s="18">
        <v>101595</v>
      </c>
      <c r="B7608" s="18">
        <v>0</v>
      </c>
      <c r="C7608" s="18" t="s">
        <v>3374</v>
      </c>
      <c r="D7608" s="18" t="s">
        <v>9014</v>
      </c>
      <c r="E7608" s="17" t="s">
        <v>993</v>
      </c>
    </row>
    <row r="7609" spans="1:5">
      <c r="A7609" s="18">
        <v>101596</v>
      </c>
      <c r="B7609" s="18">
        <v>0</v>
      </c>
      <c r="C7609" s="18" t="s">
        <v>3374</v>
      </c>
      <c r="D7609" s="18" t="s">
        <v>9015</v>
      </c>
      <c r="E7609" s="17" t="s">
        <v>993</v>
      </c>
    </row>
    <row r="7610" spans="1:5">
      <c r="A7610" s="18">
        <v>101597</v>
      </c>
      <c r="B7610" s="18">
        <v>0</v>
      </c>
      <c r="C7610" s="18" t="s">
        <v>3374</v>
      </c>
      <c r="D7610" s="18" t="s">
        <v>9016</v>
      </c>
      <c r="E7610" s="17" t="s">
        <v>993</v>
      </c>
    </row>
    <row r="7611" spans="1:5">
      <c r="A7611" s="18">
        <v>101598</v>
      </c>
      <c r="B7611" s="18">
        <v>0</v>
      </c>
      <c r="C7611" s="18" t="s">
        <v>3374</v>
      </c>
      <c r="D7611" s="18" t="s">
        <v>9017</v>
      </c>
      <c r="E7611" s="17" t="s">
        <v>993</v>
      </c>
    </row>
    <row r="7612" spans="1:5">
      <c r="A7612" s="18">
        <v>101599</v>
      </c>
      <c r="B7612" s="18">
        <v>0</v>
      </c>
      <c r="C7612" s="18" t="s">
        <v>3374</v>
      </c>
      <c r="D7612" s="18" t="s">
        <v>9018</v>
      </c>
      <c r="E7612" s="17" t="s">
        <v>993</v>
      </c>
    </row>
    <row r="7613" spans="1:5">
      <c r="A7613" s="18">
        <v>101600</v>
      </c>
      <c r="B7613" s="18">
        <v>0</v>
      </c>
      <c r="C7613" s="18" t="s">
        <v>3374</v>
      </c>
      <c r="D7613" s="18" t="s">
        <v>9019</v>
      </c>
      <c r="E7613" s="17" t="s">
        <v>993</v>
      </c>
    </row>
    <row r="7614" spans="1:5">
      <c r="A7614" s="18">
        <v>101601</v>
      </c>
      <c r="B7614" s="18">
        <v>0</v>
      </c>
      <c r="C7614" s="18" t="s">
        <v>3374</v>
      </c>
      <c r="D7614" s="18" t="s">
        <v>9020</v>
      </c>
      <c r="E7614" s="17" t="s">
        <v>993</v>
      </c>
    </row>
    <row r="7615" spans="1:5">
      <c r="A7615" s="18">
        <v>101602</v>
      </c>
      <c r="B7615" s="18">
        <v>0</v>
      </c>
      <c r="C7615" s="18" t="s">
        <v>3374</v>
      </c>
      <c r="D7615" s="18" t="s">
        <v>9021</v>
      </c>
      <c r="E7615" s="17" t="s">
        <v>993</v>
      </c>
    </row>
    <row r="7616" spans="1:5">
      <c r="A7616" s="18">
        <v>101603</v>
      </c>
      <c r="B7616" s="18">
        <v>0</v>
      </c>
      <c r="C7616" s="18" t="s">
        <v>3374</v>
      </c>
      <c r="D7616" s="18" t="s">
        <v>9022</v>
      </c>
      <c r="E7616" s="17" t="s">
        <v>993</v>
      </c>
    </row>
    <row r="7617" spans="1:5">
      <c r="A7617" s="18">
        <v>101604</v>
      </c>
      <c r="B7617" s="18">
        <v>0</v>
      </c>
      <c r="C7617" s="18" t="s">
        <v>3374</v>
      </c>
      <c r="D7617" s="18" t="s">
        <v>9023</v>
      </c>
      <c r="E7617" s="17" t="s">
        <v>993</v>
      </c>
    </row>
    <row r="7618" spans="1:5">
      <c r="A7618" s="18">
        <v>101605</v>
      </c>
      <c r="B7618" s="18">
        <v>0</v>
      </c>
      <c r="C7618" s="18" t="s">
        <v>3374</v>
      </c>
      <c r="D7618" s="18" t="s">
        <v>9024</v>
      </c>
      <c r="E7618" s="17" t="s">
        <v>993</v>
      </c>
    </row>
    <row r="7619" spans="1:5">
      <c r="A7619" s="18">
        <v>101606</v>
      </c>
      <c r="B7619" s="18">
        <v>0</v>
      </c>
      <c r="C7619" s="18" t="s">
        <v>3374</v>
      </c>
      <c r="D7619" s="18" t="s">
        <v>9025</v>
      </c>
      <c r="E7619" s="17" t="s">
        <v>993</v>
      </c>
    </row>
    <row r="7620" spans="1:5">
      <c r="A7620" s="18">
        <v>101607</v>
      </c>
      <c r="B7620" s="18">
        <v>0</v>
      </c>
      <c r="C7620" s="18" t="s">
        <v>3374</v>
      </c>
      <c r="D7620" s="18" t="s">
        <v>9026</v>
      </c>
      <c r="E7620" s="17" t="s">
        <v>993</v>
      </c>
    </row>
    <row r="7621" spans="1:5">
      <c r="A7621" s="18">
        <v>101608</v>
      </c>
      <c r="B7621" s="18">
        <v>0</v>
      </c>
      <c r="C7621" s="18" t="s">
        <v>3374</v>
      </c>
      <c r="D7621" s="18" t="s">
        <v>9027</v>
      </c>
      <c r="E7621" s="17" t="s">
        <v>993</v>
      </c>
    </row>
    <row r="7622" spans="1:5">
      <c r="A7622" s="18">
        <v>101609</v>
      </c>
      <c r="B7622" s="18">
        <v>0</v>
      </c>
      <c r="C7622" s="18" t="s">
        <v>3374</v>
      </c>
      <c r="D7622" s="18" t="s">
        <v>9028</v>
      </c>
      <c r="E7622" s="17" t="s">
        <v>993</v>
      </c>
    </row>
    <row r="7623" spans="1:5">
      <c r="A7623" s="18">
        <v>101610</v>
      </c>
      <c r="B7623" s="18">
        <v>0</v>
      </c>
      <c r="C7623" s="18" t="s">
        <v>3374</v>
      </c>
      <c r="D7623" s="18" t="s">
        <v>9029</v>
      </c>
      <c r="E7623" s="17" t="s">
        <v>993</v>
      </c>
    </row>
    <row r="7624" spans="1:5">
      <c r="A7624" s="18">
        <v>101611</v>
      </c>
      <c r="B7624" s="18">
        <v>0</v>
      </c>
      <c r="C7624" s="18" t="s">
        <v>3374</v>
      </c>
      <c r="D7624" s="18" t="s">
        <v>9030</v>
      </c>
      <c r="E7624" s="17" t="s">
        <v>993</v>
      </c>
    </row>
    <row r="7625" spans="1:5">
      <c r="A7625" s="18">
        <v>101612</v>
      </c>
      <c r="B7625" s="18">
        <v>0</v>
      </c>
      <c r="C7625" s="18" t="s">
        <v>3374</v>
      </c>
      <c r="D7625" s="18" t="s">
        <v>9031</v>
      </c>
      <c r="E7625" s="17" t="s">
        <v>993</v>
      </c>
    </row>
    <row r="7626" spans="1:5">
      <c r="A7626" s="18">
        <v>101613</v>
      </c>
      <c r="B7626" s="18">
        <v>0</v>
      </c>
      <c r="C7626" s="18" t="s">
        <v>3374</v>
      </c>
      <c r="D7626" s="18" t="s">
        <v>9032</v>
      </c>
      <c r="E7626" s="17" t="s">
        <v>993</v>
      </c>
    </row>
    <row r="7627" spans="1:5">
      <c r="A7627" s="18">
        <v>101614</v>
      </c>
      <c r="B7627" s="18">
        <v>0</v>
      </c>
      <c r="C7627" s="18" t="s">
        <v>3374</v>
      </c>
      <c r="D7627" s="18" t="s">
        <v>9033</v>
      </c>
      <c r="E7627" s="17" t="s">
        <v>993</v>
      </c>
    </row>
    <row r="7628" spans="1:5">
      <c r="A7628" s="18">
        <v>101615</v>
      </c>
      <c r="B7628" s="18">
        <v>0</v>
      </c>
      <c r="C7628" s="18" t="s">
        <v>3374</v>
      </c>
      <c r="D7628" s="18" t="s">
        <v>9034</v>
      </c>
      <c r="E7628" s="17" t="s">
        <v>993</v>
      </c>
    </row>
    <row r="7629" spans="1:5">
      <c r="A7629" s="18">
        <v>101616</v>
      </c>
      <c r="B7629" s="18">
        <v>0</v>
      </c>
      <c r="C7629" s="18" t="s">
        <v>3374</v>
      </c>
      <c r="D7629" s="18" t="s">
        <v>9035</v>
      </c>
      <c r="E7629" s="17" t="s">
        <v>993</v>
      </c>
    </row>
    <row r="7630" spans="1:5">
      <c r="A7630" s="18">
        <v>101617</v>
      </c>
      <c r="B7630" s="18">
        <v>0</v>
      </c>
      <c r="C7630" s="18" t="s">
        <v>3374</v>
      </c>
      <c r="D7630" s="18" t="s">
        <v>9036</v>
      </c>
      <c r="E7630" s="17" t="s">
        <v>993</v>
      </c>
    </row>
    <row r="7631" spans="1:5">
      <c r="A7631" s="18">
        <v>101618</v>
      </c>
      <c r="B7631" s="18">
        <v>0</v>
      </c>
      <c r="C7631" s="18" t="s">
        <v>3374</v>
      </c>
      <c r="D7631" s="18" t="s">
        <v>9037</v>
      </c>
      <c r="E7631" s="17" t="s">
        <v>993</v>
      </c>
    </row>
    <row r="7632" spans="1:5">
      <c r="A7632" s="18">
        <v>101619</v>
      </c>
      <c r="B7632" s="18">
        <v>0</v>
      </c>
      <c r="C7632" s="18" t="s">
        <v>3374</v>
      </c>
      <c r="D7632" s="18" t="s">
        <v>9038</v>
      </c>
      <c r="E7632" s="17" t="s">
        <v>993</v>
      </c>
    </row>
    <row r="7633" spans="1:5">
      <c r="A7633" s="18">
        <v>101620</v>
      </c>
      <c r="B7633" s="18">
        <v>0</v>
      </c>
      <c r="C7633" s="18" t="s">
        <v>3374</v>
      </c>
      <c r="D7633" s="18" t="s">
        <v>9039</v>
      </c>
      <c r="E7633" s="17" t="s">
        <v>993</v>
      </c>
    </row>
    <row r="7634" spans="1:5">
      <c r="A7634" s="18">
        <v>101621</v>
      </c>
      <c r="B7634" s="18">
        <v>0</v>
      </c>
      <c r="C7634" s="18" t="s">
        <v>3374</v>
      </c>
      <c r="D7634" s="18" t="s">
        <v>9040</v>
      </c>
      <c r="E7634" s="17" t="s">
        <v>993</v>
      </c>
    </row>
    <row r="7635" spans="1:5">
      <c r="A7635" s="18">
        <v>101622</v>
      </c>
      <c r="B7635" s="18">
        <v>0</v>
      </c>
      <c r="C7635" s="18" t="s">
        <v>3374</v>
      </c>
      <c r="D7635" s="18" t="s">
        <v>9041</v>
      </c>
      <c r="E7635" s="17" t="s">
        <v>993</v>
      </c>
    </row>
    <row r="7636" spans="1:5">
      <c r="A7636" s="18">
        <v>101623</v>
      </c>
      <c r="B7636" s="18">
        <v>0</v>
      </c>
      <c r="C7636" s="18" t="s">
        <v>3374</v>
      </c>
      <c r="D7636" s="18" t="s">
        <v>9042</v>
      </c>
      <c r="E7636" s="17" t="s">
        <v>993</v>
      </c>
    </row>
    <row r="7637" spans="1:5">
      <c r="A7637" s="18">
        <v>101624</v>
      </c>
      <c r="B7637" s="18">
        <v>0</v>
      </c>
      <c r="C7637" s="18" t="s">
        <v>3374</v>
      </c>
      <c r="D7637" s="18" t="s">
        <v>9043</v>
      </c>
      <c r="E7637" s="17" t="s">
        <v>993</v>
      </c>
    </row>
    <row r="7638" spans="1:5">
      <c r="A7638" s="18">
        <v>101625</v>
      </c>
      <c r="B7638" s="18">
        <v>0</v>
      </c>
      <c r="C7638" s="18" t="s">
        <v>3374</v>
      </c>
      <c r="D7638" s="18" t="s">
        <v>9044</v>
      </c>
      <c r="E7638" s="17" t="s">
        <v>993</v>
      </c>
    </row>
    <row r="7639" spans="1:5">
      <c r="A7639" s="18">
        <v>101626</v>
      </c>
      <c r="B7639" s="18">
        <v>0</v>
      </c>
      <c r="C7639" s="18" t="s">
        <v>3374</v>
      </c>
      <c r="D7639" s="18" t="s">
        <v>9045</v>
      </c>
      <c r="E7639" s="17" t="s">
        <v>993</v>
      </c>
    </row>
    <row r="7640" spans="1:5">
      <c r="A7640" s="18">
        <v>101627</v>
      </c>
      <c r="B7640" s="18">
        <v>0</v>
      </c>
      <c r="C7640" s="18" t="s">
        <v>3374</v>
      </c>
      <c r="D7640" s="18" t="s">
        <v>9046</v>
      </c>
      <c r="E7640" s="17" t="s">
        <v>993</v>
      </c>
    </row>
    <row r="7641" spans="1:5">
      <c r="A7641" s="18">
        <v>101628</v>
      </c>
      <c r="B7641" s="18">
        <v>0</v>
      </c>
      <c r="C7641" s="18" t="s">
        <v>3374</v>
      </c>
      <c r="D7641" s="18" t="s">
        <v>9047</v>
      </c>
      <c r="E7641" s="17" t="s">
        <v>993</v>
      </c>
    </row>
    <row r="7642" spans="1:5">
      <c r="A7642" s="18">
        <v>101629</v>
      </c>
      <c r="B7642" s="18">
        <v>0</v>
      </c>
      <c r="C7642" s="18" t="s">
        <v>3374</v>
      </c>
      <c r="D7642" s="18" t="s">
        <v>9048</v>
      </c>
      <c r="E7642" s="17" t="s">
        <v>993</v>
      </c>
    </row>
    <row r="7643" spans="1:5">
      <c r="A7643" s="18">
        <v>101630</v>
      </c>
      <c r="B7643" s="18">
        <v>0</v>
      </c>
      <c r="C7643" s="18" t="s">
        <v>3374</v>
      </c>
      <c r="D7643" s="18" t="s">
        <v>9049</v>
      </c>
      <c r="E7643" s="17" t="s">
        <v>993</v>
      </c>
    </row>
    <row r="7644" spans="1:5">
      <c r="A7644" s="22">
        <v>102001</v>
      </c>
      <c r="B7644" s="22">
        <v>0</v>
      </c>
      <c r="C7644" s="22" t="s">
        <v>3368</v>
      </c>
      <c r="D7644" s="22" t="s">
        <v>8481</v>
      </c>
      <c r="E7644" s="24" t="s">
        <v>983</v>
      </c>
    </row>
    <row r="7645" spans="1:5">
      <c r="A7645" s="22">
        <v>102002</v>
      </c>
      <c r="B7645" s="22">
        <v>0</v>
      </c>
      <c r="C7645" s="22" t="s">
        <v>3368</v>
      </c>
      <c r="D7645" s="22" t="s">
        <v>8482</v>
      </c>
      <c r="E7645" s="24" t="s">
        <v>983</v>
      </c>
    </row>
    <row r="7646" spans="1:5">
      <c r="A7646" s="22">
        <v>102003</v>
      </c>
      <c r="B7646" s="22">
        <v>0</v>
      </c>
      <c r="C7646" s="22" t="s">
        <v>3368</v>
      </c>
      <c r="D7646" s="22" t="s">
        <v>8483</v>
      </c>
      <c r="E7646" s="24" t="s">
        <v>983</v>
      </c>
    </row>
    <row r="7647" spans="1:5">
      <c r="A7647" s="22">
        <v>102004</v>
      </c>
      <c r="B7647" s="22">
        <v>0</v>
      </c>
      <c r="C7647" s="22" t="s">
        <v>3368</v>
      </c>
      <c r="D7647" s="22" t="s">
        <v>8484</v>
      </c>
      <c r="E7647" s="24" t="s">
        <v>983</v>
      </c>
    </row>
    <row r="7648" spans="1:5">
      <c r="A7648" s="22">
        <v>102005</v>
      </c>
      <c r="B7648" s="22">
        <v>0</v>
      </c>
      <c r="C7648" s="22" t="s">
        <v>3368</v>
      </c>
      <c r="D7648" s="22" t="s">
        <v>8485</v>
      </c>
      <c r="E7648" s="24" t="s">
        <v>983</v>
      </c>
    </row>
    <row r="7649" spans="1:5">
      <c r="A7649" s="22">
        <v>102006</v>
      </c>
      <c r="B7649" s="22">
        <v>0</v>
      </c>
      <c r="C7649" s="22" t="s">
        <v>3368</v>
      </c>
      <c r="D7649" s="22" t="s">
        <v>8486</v>
      </c>
      <c r="E7649" s="24" t="s">
        <v>983</v>
      </c>
    </row>
    <row r="7650" spans="1:5">
      <c r="A7650" s="22">
        <v>102007</v>
      </c>
      <c r="B7650" s="22">
        <v>0</v>
      </c>
      <c r="C7650" s="22" t="s">
        <v>3368</v>
      </c>
      <c r="D7650" s="22" t="s">
        <v>8487</v>
      </c>
      <c r="E7650" s="24" t="s">
        <v>983</v>
      </c>
    </row>
    <row r="7651" spans="1:5">
      <c r="A7651" s="22">
        <v>102008</v>
      </c>
      <c r="B7651" s="22">
        <v>0</v>
      </c>
      <c r="C7651" s="22" t="s">
        <v>3368</v>
      </c>
      <c r="D7651" s="22" t="s">
        <v>8488</v>
      </c>
      <c r="E7651" s="24" t="s">
        <v>983</v>
      </c>
    </row>
    <row r="7652" spans="1:5">
      <c r="A7652" s="22">
        <v>102009</v>
      </c>
      <c r="B7652" s="22">
        <v>0</v>
      </c>
      <c r="C7652" s="22" t="s">
        <v>3368</v>
      </c>
      <c r="D7652" s="22" t="s">
        <v>8489</v>
      </c>
      <c r="E7652" s="24" t="s">
        <v>983</v>
      </c>
    </row>
    <row r="7653" spans="1:5">
      <c r="A7653" s="22">
        <v>102010</v>
      </c>
      <c r="B7653" s="22">
        <v>0</v>
      </c>
      <c r="C7653" s="22" t="s">
        <v>3368</v>
      </c>
      <c r="D7653" s="22" t="s">
        <v>8490</v>
      </c>
      <c r="E7653" s="24" t="s">
        <v>983</v>
      </c>
    </row>
    <row r="7654" spans="1:5">
      <c r="A7654" s="22">
        <v>102011</v>
      </c>
      <c r="B7654" s="22">
        <v>0</v>
      </c>
      <c r="C7654" s="22" t="s">
        <v>3369</v>
      </c>
      <c r="D7654" s="22" t="s">
        <v>8491</v>
      </c>
      <c r="E7654" s="24" t="s">
        <v>747</v>
      </c>
    </row>
    <row r="7655" spans="1:5">
      <c r="A7655" s="22">
        <v>102012</v>
      </c>
      <c r="B7655" s="22">
        <v>0</v>
      </c>
      <c r="C7655" s="22" t="s">
        <v>3369</v>
      </c>
      <c r="D7655" s="22" t="s">
        <v>8492</v>
      </c>
      <c r="E7655" s="24" t="s">
        <v>747</v>
      </c>
    </row>
    <row r="7656" spans="1:5">
      <c r="A7656" s="22">
        <v>102013</v>
      </c>
      <c r="B7656" s="22">
        <v>0</v>
      </c>
      <c r="C7656" s="22" t="s">
        <v>3369</v>
      </c>
      <c r="D7656" s="22" t="s">
        <v>8493</v>
      </c>
      <c r="E7656" s="24" t="s">
        <v>747</v>
      </c>
    </row>
    <row r="7657" spans="1:5">
      <c r="A7657" s="22">
        <v>102014</v>
      </c>
      <c r="B7657" s="22">
        <v>0</v>
      </c>
      <c r="C7657" s="22" t="s">
        <v>3369</v>
      </c>
      <c r="D7657" s="22" t="s">
        <v>8494</v>
      </c>
      <c r="E7657" s="24" t="s">
        <v>747</v>
      </c>
    </row>
    <row r="7658" spans="1:5">
      <c r="A7658" s="22">
        <v>102015</v>
      </c>
      <c r="B7658" s="22">
        <v>0</v>
      </c>
      <c r="C7658" s="22" t="s">
        <v>3369</v>
      </c>
      <c r="D7658" s="22" t="s">
        <v>8495</v>
      </c>
      <c r="E7658" s="24" t="s">
        <v>747</v>
      </c>
    </row>
    <row r="7659" spans="1:5">
      <c r="A7659" s="22">
        <v>102016</v>
      </c>
      <c r="B7659" s="22">
        <v>0</v>
      </c>
      <c r="C7659" s="22" t="s">
        <v>3369</v>
      </c>
      <c r="D7659" s="22" t="s">
        <v>8496</v>
      </c>
      <c r="E7659" s="24" t="s">
        <v>747</v>
      </c>
    </row>
    <row r="7660" spans="1:5">
      <c r="A7660" s="22">
        <v>102017</v>
      </c>
      <c r="B7660" s="22">
        <v>0</v>
      </c>
      <c r="C7660" s="22" t="s">
        <v>3369</v>
      </c>
      <c r="D7660" s="22" t="s">
        <v>8497</v>
      </c>
      <c r="E7660" s="24" t="s">
        <v>747</v>
      </c>
    </row>
    <row r="7661" spans="1:5">
      <c r="A7661" s="22">
        <v>102018</v>
      </c>
      <c r="B7661" s="22">
        <v>0</v>
      </c>
      <c r="C7661" s="22" t="s">
        <v>3369</v>
      </c>
      <c r="D7661" s="22" t="s">
        <v>8498</v>
      </c>
      <c r="E7661" s="24" t="s">
        <v>747</v>
      </c>
    </row>
    <row r="7662" spans="1:5">
      <c r="A7662" s="22">
        <v>102019</v>
      </c>
      <c r="B7662" s="22">
        <v>0</v>
      </c>
      <c r="C7662" s="22" t="s">
        <v>3369</v>
      </c>
      <c r="D7662" s="22" t="s">
        <v>8499</v>
      </c>
      <c r="E7662" s="24" t="s">
        <v>747</v>
      </c>
    </row>
    <row r="7663" spans="1:5">
      <c r="A7663" s="22">
        <v>102020</v>
      </c>
      <c r="B7663" s="22">
        <v>0</v>
      </c>
      <c r="C7663" s="22" t="s">
        <v>3369</v>
      </c>
      <c r="D7663" s="22" t="s">
        <v>8500</v>
      </c>
      <c r="E7663" s="24" t="s">
        <v>747</v>
      </c>
    </row>
    <row r="7664" spans="1:5">
      <c r="A7664" s="22">
        <v>102021</v>
      </c>
      <c r="B7664" s="22">
        <v>0</v>
      </c>
      <c r="C7664" s="22" t="s">
        <v>3370</v>
      </c>
      <c r="D7664" s="22" t="s">
        <v>8900</v>
      </c>
      <c r="E7664" s="24" t="s">
        <v>986</v>
      </c>
    </row>
    <row r="7665" spans="1:5">
      <c r="A7665" s="22">
        <v>102022</v>
      </c>
      <c r="B7665" s="22">
        <v>0</v>
      </c>
      <c r="C7665" s="22" t="s">
        <v>3370</v>
      </c>
      <c r="D7665" s="22" t="s">
        <v>8901</v>
      </c>
      <c r="E7665" s="24" t="s">
        <v>986</v>
      </c>
    </row>
    <row r="7666" spans="1:5">
      <c r="A7666" s="22">
        <v>102023</v>
      </c>
      <c r="B7666" s="22">
        <v>0</v>
      </c>
      <c r="C7666" s="22" t="s">
        <v>3370</v>
      </c>
      <c r="D7666" s="22" t="s">
        <v>8902</v>
      </c>
      <c r="E7666" s="24" t="s">
        <v>986</v>
      </c>
    </row>
    <row r="7667" spans="1:5">
      <c r="A7667" s="22">
        <v>102024</v>
      </c>
      <c r="B7667" s="22">
        <v>0</v>
      </c>
      <c r="C7667" s="22" t="s">
        <v>3370</v>
      </c>
      <c r="D7667" s="22" t="s">
        <v>8903</v>
      </c>
      <c r="E7667" s="24" t="s">
        <v>986</v>
      </c>
    </row>
    <row r="7668" spans="1:5">
      <c r="A7668" s="22">
        <v>102025</v>
      </c>
      <c r="B7668" s="22">
        <v>0</v>
      </c>
      <c r="C7668" s="22" t="s">
        <v>3370</v>
      </c>
      <c r="D7668" s="22" t="s">
        <v>8904</v>
      </c>
      <c r="E7668" s="24" t="s">
        <v>986</v>
      </c>
    </row>
    <row r="7669" spans="1:5">
      <c r="A7669" s="22">
        <v>102026</v>
      </c>
      <c r="B7669" s="22">
        <v>0</v>
      </c>
      <c r="C7669" s="22" t="s">
        <v>3370</v>
      </c>
      <c r="D7669" s="22" t="s">
        <v>8905</v>
      </c>
      <c r="E7669" s="24" t="s">
        <v>986</v>
      </c>
    </row>
    <row r="7670" spans="1:5">
      <c r="A7670" s="22">
        <v>102027</v>
      </c>
      <c r="B7670" s="22">
        <v>0</v>
      </c>
      <c r="C7670" s="22" t="s">
        <v>3370</v>
      </c>
      <c r="D7670" s="22" t="s">
        <v>8906</v>
      </c>
      <c r="E7670" s="24" t="s">
        <v>986</v>
      </c>
    </row>
    <row r="7671" spans="1:5">
      <c r="A7671" s="22">
        <v>102028</v>
      </c>
      <c r="B7671" s="22">
        <v>0</v>
      </c>
      <c r="C7671" s="22" t="s">
        <v>3370</v>
      </c>
      <c r="D7671" s="22" t="s">
        <v>8907</v>
      </c>
      <c r="E7671" s="24" t="s">
        <v>986</v>
      </c>
    </row>
    <row r="7672" spans="1:5">
      <c r="A7672" s="22">
        <v>102029</v>
      </c>
      <c r="B7672" s="22">
        <v>0</v>
      </c>
      <c r="C7672" s="22" t="s">
        <v>3370</v>
      </c>
      <c r="D7672" s="22" t="s">
        <v>8908</v>
      </c>
      <c r="E7672" s="24" t="s">
        <v>986</v>
      </c>
    </row>
    <row r="7673" spans="1:5">
      <c r="A7673" s="22">
        <v>102030</v>
      </c>
      <c r="B7673" s="22">
        <v>0</v>
      </c>
      <c r="C7673" s="22" t="s">
        <v>3370</v>
      </c>
      <c r="D7673" s="22" t="s">
        <v>8909</v>
      </c>
      <c r="E7673" s="24" t="s">
        <v>986</v>
      </c>
    </row>
    <row r="7674" spans="1:5">
      <c r="A7674" s="22">
        <v>102031</v>
      </c>
      <c r="B7674" s="22">
        <v>0</v>
      </c>
      <c r="C7674" s="22" t="s">
        <v>3371</v>
      </c>
      <c r="D7674" s="22" t="s">
        <v>8910</v>
      </c>
      <c r="E7674" s="24" t="s">
        <v>751</v>
      </c>
    </row>
    <row r="7675" spans="1:5">
      <c r="A7675" s="22">
        <v>102032</v>
      </c>
      <c r="B7675" s="22">
        <v>0</v>
      </c>
      <c r="C7675" s="22" t="s">
        <v>3371</v>
      </c>
      <c r="D7675" s="22" t="s">
        <v>8911</v>
      </c>
      <c r="E7675" s="24" t="s">
        <v>751</v>
      </c>
    </row>
    <row r="7676" spans="1:5">
      <c r="A7676" s="22">
        <v>102033</v>
      </c>
      <c r="B7676" s="22">
        <v>0</v>
      </c>
      <c r="C7676" s="22" t="s">
        <v>3371</v>
      </c>
      <c r="D7676" s="22" t="s">
        <v>8912</v>
      </c>
      <c r="E7676" s="24" t="s">
        <v>751</v>
      </c>
    </row>
    <row r="7677" spans="1:5">
      <c r="A7677" s="22">
        <v>102034</v>
      </c>
      <c r="B7677" s="22">
        <v>0</v>
      </c>
      <c r="C7677" s="22" t="s">
        <v>3371</v>
      </c>
      <c r="D7677" s="22" t="s">
        <v>8913</v>
      </c>
      <c r="E7677" s="24" t="s">
        <v>751</v>
      </c>
    </row>
    <row r="7678" spans="1:5">
      <c r="A7678" s="22">
        <v>102035</v>
      </c>
      <c r="B7678" s="22">
        <v>0</v>
      </c>
      <c r="C7678" s="22" t="s">
        <v>3371</v>
      </c>
      <c r="D7678" s="22" t="s">
        <v>8914</v>
      </c>
      <c r="E7678" s="24" t="s">
        <v>751</v>
      </c>
    </row>
    <row r="7679" spans="1:5">
      <c r="A7679" s="22">
        <v>102036</v>
      </c>
      <c r="B7679" s="22">
        <v>0</v>
      </c>
      <c r="C7679" s="22" t="s">
        <v>3371</v>
      </c>
      <c r="D7679" s="22" t="s">
        <v>8915</v>
      </c>
      <c r="E7679" s="24" t="s">
        <v>751</v>
      </c>
    </row>
    <row r="7680" spans="1:5">
      <c r="A7680" s="22">
        <v>102037</v>
      </c>
      <c r="B7680" s="22">
        <v>0</v>
      </c>
      <c r="C7680" s="22" t="s">
        <v>3371</v>
      </c>
      <c r="D7680" s="22" t="s">
        <v>8916</v>
      </c>
      <c r="E7680" s="24" t="s">
        <v>751</v>
      </c>
    </row>
    <row r="7681" spans="1:5">
      <c r="A7681" s="22">
        <v>102038</v>
      </c>
      <c r="B7681" s="22">
        <v>0</v>
      </c>
      <c r="C7681" s="22" t="s">
        <v>3371</v>
      </c>
      <c r="D7681" s="22" t="s">
        <v>8917</v>
      </c>
      <c r="E7681" s="24" t="s">
        <v>751</v>
      </c>
    </row>
    <row r="7682" spans="1:5">
      <c r="A7682" s="22">
        <v>102039</v>
      </c>
      <c r="B7682" s="22">
        <v>0</v>
      </c>
      <c r="C7682" s="22" t="s">
        <v>3371</v>
      </c>
      <c r="D7682" s="22" t="s">
        <v>8918</v>
      </c>
      <c r="E7682" s="24" t="s">
        <v>751</v>
      </c>
    </row>
    <row r="7683" spans="1:5">
      <c r="A7683" s="22">
        <v>102040</v>
      </c>
      <c r="B7683" s="22">
        <v>0</v>
      </c>
      <c r="C7683" s="22" t="s">
        <v>3371</v>
      </c>
      <c r="D7683" s="22" t="s">
        <v>8919</v>
      </c>
      <c r="E7683" s="24" t="s">
        <v>751</v>
      </c>
    </row>
    <row r="7684" spans="1:5">
      <c r="A7684" s="22">
        <v>102041</v>
      </c>
      <c r="B7684" s="22">
        <v>0</v>
      </c>
      <c r="C7684" s="22" t="s">
        <v>3372</v>
      </c>
      <c r="D7684" s="22" t="s">
        <v>8920</v>
      </c>
      <c r="E7684" s="24" t="s">
        <v>989</v>
      </c>
    </row>
    <row r="7685" spans="1:5">
      <c r="A7685" s="22">
        <v>102042</v>
      </c>
      <c r="B7685" s="22">
        <v>0</v>
      </c>
      <c r="C7685" s="22" t="s">
        <v>3372</v>
      </c>
      <c r="D7685" s="22" t="s">
        <v>8921</v>
      </c>
      <c r="E7685" s="24" t="s">
        <v>989</v>
      </c>
    </row>
    <row r="7686" spans="1:5">
      <c r="A7686" s="22">
        <v>102043</v>
      </c>
      <c r="B7686" s="22">
        <v>0</v>
      </c>
      <c r="C7686" s="22" t="s">
        <v>3372</v>
      </c>
      <c r="D7686" s="22" t="s">
        <v>8922</v>
      </c>
      <c r="E7686" s="24" t="s">
        <v>989</v>
      </c>
    </row>
    <row r="7687" spans="1:5">
      <c r="A7687" s="22">
        <v>102044</v>
      </c>
      <c r="B7687" s="22">
        <v>0</v>
      </c>
      <c r="C7687" s="22" t="s">
        <v>3372</v>
      </c>
      <c r="D7687" s="22" t="s">
        <v>8923</v>
      </c>
      <c r="E7687" s="24" t="s">
        <v>989</v>
      </c>
    </row>
    <row r="7688" spans="1:5">
      <c r="A7688" s="22">
        <v>102045</v>
      </c>
      <c r="B7688" s="22">
        <v>0</v>
      </c>
      <c r="C7688" s="22" t="s">
        <v>3372</v>
      </c>
      <c r="D7688" s="22" t="s">
        <v>8924</v>
      </c>
      <c r="E7688" s="24" t="s">
        <v>989</v>
      </c>
    </row>
    <row r="7689" spans="1:5">
      <c r="A7689" s="22">
        <v>102046</v>
      </c>
      <c r="B7689" s="22">
        <v>0</v>
      </c>
      <c r="C7689" s="22" t="s">
        <v>3372</v>
      </c>
      <c r="D7689" s="22" t="s">
        <v>8925</v>
      </c>
      <c r="E7689" s="24" t="s">
        <v>989</v>
      </c>
    </row>
    <row r="7690" spans="1:5">
      <c r="A7690" s="22">
        <v>102047</v>
      </c>
      <c r="B7690" s="22">
        <v>0</v>
      </c>
      <c r="C7690" s="22" t="s">
        <v>3372</v>
      </c>
      <c r="D7690" s="22" t="s">
        <v>8926</v>
      </c>
      <c r="E7690" s="24" t="s">
        <v>989</v>
      </c>
    </row>
    <row r="7691" spans="1:5">
      <c r="A7691" s="22">
        <v>102048</v>
      </c>
      <c r="B7691" s="22">
        <v>0</v>
      </c>
      <c r="C7691" s="22" t="s">
        <v>3372</v>
      </c>
      <c r="D7691" s="22" t="s">
        <v>8927</v>
      </c>
      <c r="E7691" s="24" t="s">
        <v>989</v>
      </c>
    </row>
    <row r="7692" spans="1:5">
      <c r="A7692" s="22">
        <v>102049</v>
      </c>
      <c r="B7692" s="22">
        <v>0</v>
      </c>
      <c r="C7692" s="22" t="s">
        <v>3372</v>
      </c>
      <c r="D7692" s="22" t="s">
        <v>8928</v>
      </c>
      <c r="E7692" s="24" t="s">
        <v>989</v>
      </c>
    </row>
    <row r="7693" spans="1:5">
      <c r="A7693" s="22">
        <v>102050</v>
      </c>
      <c r="B7693" s="22">
        <v>0</v>
      </c>
      <c r="C7693" s="22" t="s">
        <v>3372</v>
      </c>
      <c r="D7693" s="22" t="s">
        <v>8929</v>
      </c>
      <c r="E7693" s="24" t="s">
        <v>989</v>
      </c>
    </row>
    <row r="7694" spans="1:5">
      <c r="A7694" s="22">
        <v>102051</v>
      </c>
      <c r="B7694" s="22">
        <v>0</v>
      </c>
      <c r="C7694" s="22" t="s">
        <v>3366</v>
      </c>
      <c r="D7694" s="22" t="s">
        <v>8930</v>
      </c>
      <c r="E7694" s="24" t="s">
        <v>981</v>
      </c>
    </row>
    <row r="7695" spans="1:5">
      <c r="A7695" s="22">
        <v>102052</v>
      </c>
      <c r="B7695" s="22">
        <v>0</v>
      </c>
      <c r="C7695" s="22" t="s">
        <v>3366</v>
      </c>
      <c r="D7695" s="22" t="s">
        <v>8931</v>
      </c>
      <c r="E7695" s="24" t="s">
        <v>981</v>
      </c>
    </row>
    <row r="7696" spans="1:5">
      <c r="A7696" s="22">
        <v>102053</v>
      </c>
      <c r="B7696" s="22">
        <v>0</v>
      </c>
      <c r="C7696" s="22" t="s">
        <v>3366</v>
      </c>
      <c r="D7696" s="22" t="s">
        <v>8932</v>
      </c>
      <c r="E7696" s="24" t="s">
        <v>981</v>
      </c>
    </row>
    <row r="7697" spans="1:5">
      <c r="A7697" s="22">
        <v>102054</v>
      </c>
      <c r="B7697" s="22">
        <v>0</v>
      </c>
      <c r="C7697" s="22" t="s">
        <v>3368</v>
      </c>
      <c r="D7697" s="22" t="s">
        <v>8933</v>
      </c>
      <c r="E7697" s="24" t="s">
        <v>983</v>
      </c>
    </row>
    <row r="7698" spans="1:5">
      <c r="A7698" s="22">
        <v>102055</v>
      </c>
      <c r="B7698" s="22">
        <v>0</v>
      </c>
      <c r="C7698" s="22" t="s">
        <v>3368</v>
      </c>
      <c r="D7698" s="22" t="s">
        <v>8934</v>
      </c>
      <c r="E7698" s="24" t="s">
        <v>983</v>
      </c>
    </row>
    <row r="7699" spans="1:5">
      <c r="A7699" s="22">
        <v>102056</v>
      </c>
      <c r="B7699" s="22">
        <v>0</v>
      </c>
      <c r="C7699" s="22" t="s">
        <v>3368</v>
      </c>
      <c r="D7699" s="22" t="s">
        <v>8935</v>
      </c>
      <c r="E7699" s="24" t="s">
        <v>983</v>
      </c>
    </row>
    <row r="7700" spans="1:5">
      <c r="A7700" s="22">
        <v>102057</v>
      </c>
      <c r="B7700" s="22">
        <v>0</v>
      </c>
      <c r="C7700" s="22" t="s">
        <v>3368</v>
      </c>
      <c r="D7700" s="22" t="s">
        <v>8936</v>
      </c>
      <c r="E7700" s="24" t="s">
        <v>983</v>
      </c>
    </row>
    <row r="7701" spans="1:5">
      <c r="A7701" s="22">
        <v>102058</v>
      </c>
      <c r="B7701" s="22">
        <v>0</v>
      </c>
      <c r="C7701" s="22" t="s">
        <v>3368</v>
      </c>
      <c r="D7701" s="22" t="s">
        <v>8937</v>
      </c>
      <c r="E7701" s="24" t="s">
        <v>983</v>
      </c>
    </row>
    <row r="7702" spans="1:5">
      <c r="A7702" s="22">
        <v>102059</v>
      </c>
      <c r="B7702" s="22">
        <v>0</v>
      </c>
      <c r="C7702" s="22" t="s">
        <v>3368</v>
      </c>
      <c r="D7702" s="22" t="s">
        <v>8938</v>
      </c>
      <c r="E7702" s="24" t="s">
        <v>983</v>
      </c>
    </row>
    <row r="7703" spans="1:5">
      <c r="A7703" s="22">
        <v>102060</v>
      </c>
      <c r="B7703" s="22">
        <v>0</v>
      </c>
      <c r="C7703" s="22" t="s">
        <v>3368</v>
      </c>
      <c r="D7703" s="22" t="s">
        <v>8939</v>
      </c>
      <c r="E7703" s="24" t="s">
        <v>983</v>
      </c>
    </row>
    <row r="7704" spans="1:5">
      <c r="A7704" s="22">
        <v>102061</v>
      </c>
      <c r="B7704" s="22">
        <v>0</v>
      </c>
      <c r="C7704" s="22" t="s">
        <v>3368</v>
      </c>
      <c r="D7704" s="22" t="s">
        <v>8940</v>
      </c>
      <c r="E7704" s="24" t="s">
        <v>983</v>
      </c>
    </row>
    <row r="7705" spans="1:5">
      <c r="A7705" s="22">
        <v>102062</v>
      </c>
      <c r="B7705" s="22">
        <v>0</v>
      </c>
      <c r="C7705" s="22" t="s">
        <v>3368</v>
      </c>
      <c r="D7705" s="22" t="s">
        <v>8941</v>
      </c>
      <c r="E7705" s="24" t="s">
        <v>983</v>
      </c>
    </row>
    <row r="7706" spans="1:5">
      <c r="A7706" s="22">
        <v>102063</v>
      </c>
      <c r="B7706" s="22">
        <v>0</v>
      </c>
      <c r="C7706" s="22" t="s">
        <v>3368</v>
      </c>
      <c r="D7706" s="22" t="s">
        <v>8942</v>
      </c>
      <c r="E7706" s="24" t="s">
        <v>983</v>
      </c>
    </row>
    <row r="7707" spans="1:5">
      <c r="A7707" s="22">
        <v>102064</v>
      </c>
      <c r="B7707" s="22">
        <v>0</v>
      </c>
      <c r="C7707" s="22" t="s">
        <v>3368</v>
      </c>
      <c r="D7707" s="22" t="s">
        <v>8943</v>
      </c>
      <c r="E7707" s="24" t="s">
        <v>983</v>
      </c>
    </row>
    <row r="7708" spans="1:5">
      <c r="A7708" s="22">
        <v>102065</v>
      </c>
      <c r="B7708" s="22">
        <v>0</v>
      </c>
      <c r="C7708" s="22" t="s">
        <v>3368</v>
      </c>
      <c r="D7708" s="22" t="s">
        <v>8944</v>
      </c>
      <c r="E7708" s="24" t="s">
        <v>983</v>
      </c>
    </row>
    <row r="7709" spans="1:5">
      <c r="A7709" s="22">
        <v>102066</v>
      </c>
      <c r="B7709" s="22">
        <v>0</v>
      </c>
      <c r="C7709" s="22" t="s">
        <v>3368</v>
      </c>
      <c r="D7709" s="22" t="s">
        <v>8945</v>
      </c>
      <c r="E7709" s="24" t="s">
        <v>983</v>
      </c>
    </row>
    <row r="7710" spans="1:5">
      <c r="A7710" s="22">
        <v>102067</v>
      </c>
      <c r="B7710" s="22">
        <v>0</v>
      </c>
      <c r="C7710" s="22" t="s">
        <v>3369</v>
      </c>
      <c r="D7710" s="22" t="s">
        <v>8946</v>
      </c>
      <c r="E7710" s="24" t="s">
        <v>747</v>
      </c>
    </row>
    <row r="7711" spans="1:5">
      <c r="A7711" s="22">
        <v>102068</v>
      </c>
      <c r="B7711" s="22">
        <v>0</v>
      </c>
      <c r="C7711" s="22" t="s">
        <v>3369</v>
      </c>
      <c r="D7711" s="22" t="s">
        <v>8947</v>
      </c>
      <c r="E7711" s="24" t="s">
        <v>747</v>
      </c>
    </row>
    <row r="7712" spans="1:5">
      <c r="A7712" s="22">
        <v>102069</v>
      </c>
      <c r="B7712" s="22">
        <v>0</v>
      </c>
      <c r="C7712" s="22" t="s">
        <v>3369</v>
      </c>
      <c r="D7712" s="22" t="s">
        <v>8948</v>
      </c>
      <c r="E7712" s="24" t="s">
        <v>747</v>
      </c>
    </row>
    <row r="7713" spans="1:6">
      <c r="A7713" s="22">
        <v>102070</v>
      </c>
      <c r="B7713" s="22">
        <v>0</v>
      </c>
      <c r="C7713" s="22" t="s">
        <v>3369</v>
      </c>
      <c r="D7713" s="22" t="s">
        <v>8949</v>
      </c>
      <c r="E7713" s="24" t="s">
        <v>747</v>
      </c>
    </row>
    <row r="7714" spans="1:6">
      <c r="A7714" s="22">
        <v>102071</v>
      </c>
      <c r="B7714" s="22">
        <v>0</v>
      </c>
      <c r="C7714" s="22" t="s">
        <v>3369</v>
      </c>
      <c r="D7714" s="22" t="s">
        <v>8950</v>
      </c>
      <c r="E7714" s="24" t="s">
        <v>747</v>
      </c>
    </row>
    <row r="7715" spans="1:6">
      <c r="A7715" s="22">
        <v>102072</v>
      </c>
      <c r="B7715" s="22">
        <v>0</v>
      </c>
      <c r="C7715" s="22" t="s">
        <v>3370</v>
      </c>
      <c r="D7715" s="22" t="s">
        <v>8951</v>
      </c>
      <c r="E7715" s="24" t="s">
        <v>986</v>
      </c>
    </row>
    <row r="7716" spans="1:6">
      <c r="A7716" s="22">
        <v>102073</v>
      </c>
      <c r="B7716" s="22">
        <v>0</v>
      </c>
      <c r="C7716" s="22" t="s">
        <v>3370</v>
      </c>
      <c r="D7716" s="22" t="s">
        <v>8952</v>
      </c>
      <c r="E7716" s="24" t="s">
        <v>986</v>
      </c>
    </row>
    <row r="7717" spans="1:6">
      <c r="A7717" s="22">
        <v>102074</v>
      </c>
      <c r="B7717" s="22">
        <v>0</v>
      </c>
      <c r="C7717" s="22" t="s">
        <v>3370</v>
      </c>
      <c r="D7717" s="22" t="s">
        <v>8953</v>
      </c>
      <c r="E7717" s="24" t="s">
        <v>986</v>
      </c>
    </row>
    <row r="7718" spans="1:6">
      <c r="A7718" s="22">
        <v>102075</v>
      </c>
      <c r="B7718" s="22">
        <v>0</v>
      </c>
      <c r="C7718" s="22" t="s">
        <v>3370</v>
      </c>
      <c r="D7718" s="22" t="s">
        <v>8954</v>
      </c>
      <c r="E7718" s="24" t="s">
        <v>986</v>
      </c>
    </row>
    <row r="7719" spans="1:6">
      <c r="A7719" s="22">
        <v>102076</v>
      </c>
      <c r="B7719" s="22">
        <v>0</v>
      </c>
      <c r="C7719" s="22" t="s">
        <v>3370</v>
      </c>
      <c r="D7719" s="22" t="s">
        <v>8955</v>
      </c>
      <c r="E7719" s="24" t="s">
        <v>986</v>
      </c>
    </row>
    <row r="7720" spans="1:6">
      <c r="A7720" s="22">
        <v>102077</v>
      </c>
      <c r="B7720" s="22">
        <v>0</v>
      </c>
      <c r="C7720" s="22" t="s">
        <v>3370</v>
      </c>
      <c r="D7720" s="22" t="s">
        <v>8956</v>
      </c>
      <c r="E7720" s="24" t="s">
        <v>986</v>
      </c>
    </row>
    <row r="7721" spans="1:6">
      <c r="A7721" s="22">
        <v>102078</v>
      </c>
      <c r="B7721" s="22">
        <v>0</v>
      </c>
      <c r="C7721" s="22" t="s">
        <v>3371</v>
      </c>
      <c r="D7721" s="22" t="s">
        <v>8957</v>
      </c>
      <c r="E7721" s="24" t="s">
        <v>751</v>
      </c>
    </row>
    <row r="7722" spans="1:6">
      <c r="A7722" s="22">
        <v>102079</v>
      </c>
      <c r="B7722" s="22">
        <v>0</v>
      </c>
      <c r="C7722" s="22" t="s">
        <v>3371</v>
      </c>
      <c r="D7722" s="22" t="s">
        <v>8958</v>
      </c>
      <c r="E7722" s="24" t="s">
        <v>751</v>
      </c>
    </row>
    <row r="7723" spans="1:6">
      <c r="A7723" s="22">
        <v>102080</v>
      </c>
      <c r="B7723" s="22">
        <v>0</v>
      </c>
      <c r="C7723" s="22" t="s">
        <v>3371</v>
      </c>
      <c r="D7723" s="22" t="s">
        <v>8959</v>
      </c>
      <c r="E7723" s="24" t="s">
        <v>751</v>
      </c>
    </row>
    <row r="7724" spans="1:6" s="262" customFormat="1">
      <c r="A7724" s="209">
        <v>102501</v>
      </c>
      <c r="B7724" s="209">
        <v>0</v>
      </c>
      <c r="C7724" s="209" t="s">
        <v>3366</v>
      </c>
      <c r="D7724" s="209" t="s">
        <v>8501</v>
      </c>
      <c r="E7724" s="210" t="s">
        <v>981</v>
      </c>
      <c r="F7724" s="275"/>
    </row>
    <row r="7725" spans="1:6" s="262" customFormat="1">
      <c r="A7725" s="209">
        <v>102502</v>
      </c>
      <c r="B7725" s="209">
        <v>0</v>
      </c>
      <c r="C7725" s="209" t="s">
        <v>3366</v>
      </c>
      <c r="D7725" s="209" t="s">
        <v>8502</v>
      </c>
      <c r="E7725" s="210" t="s">
        <v>981</v>
      </c>
      <c r="F7725" s="275"/>
    </row>
    <row r="7726" spans="1:6" s="262" customFormat="1">
      <c r="A7726" s="209">
        <v>102503</v>
      </c>
      <c r="B7726" s="209">
        <v>0</v>
      </c>
      <c r="C7726" s="209" t="s">
        <v>3366</v>
      </c>
      <c r="D7726" s="209" t="s">
        <v>8503</v>
      </c>
      <c r="E7726" s="210" t="s">
        <v>981</v>
      </c>
      <c r="F7726" s="275"/>
    </row>
    <row r="7727" spans="1:6" s="262" customFormat="1">
      <c r="A7727" s="209">
        <v>102504</v>
      </c>
      <c r="B7727" s="209">
        <v>0</v>
      </c>
      <c r="C7727" s="209" t="s">
        <v>3368</v>
      </c>
      <c r="D7727" s="209" t="s">
        <v>8504</v>
      </c>
      <c r="E7727" s="210" t="s">
        <v>983</v>
      </c>
      <c r="F7727" s="275"/>
    </row>
    <row r="7728" spans="1:6" s="262" customFormat="1">
      <c r="A7728" s="209">
        <v>102505</v>
      </c>
      <c r="B7728" s="209">
        <v>0</v>
      </c>
      <c r="C7728" s="209" t="s">
        <v>3368</v>
      </c>
      <c r="D7728" s="209" t="s">
        <v>8505</v>
      </c>
      <c r="E7728" s="210" t="s">
        <v>983</v>
      </c>
      <c r="F7728" s="275"/>
    </row>
    <row r="7729" spans="1:6" s="262" customFormat="1">
      <c r="A7729" s="209">
        <v>102506</v>
      </c>
      <c r="B7729" s="209">
        <v>0</v>
      </c>
      <c r="C7729" s="209" t="s">
        <v>3368</v>
      </c>
      <c r="D7729" s="209" t="s">
        <v>8506</v>
      </c>
      <c r="E7729" s="210" t="s">
        <v>983</v>
      </c>
      <c r="F7729" s="275"/>
    </row>
    <row r="7730" spans="1:6" s="262" customFormat="1">
      <c r="A7730" s="209">
        <v>102507</v>
      </c>
      <c r="B7730" s="209">
        <v>0</v>
      </c>
      <c r="C7730" s="209" t="s">
        <v>3368</v>
      </c>
      <c r="D7730" s="209" t="s">
        <v>8507</v>
      </c>
      <c r="E7730" s="210" t="s">
        <v>983</v>
      </c>
      <c r="F7730" s="275"/>
    </row>
    <row r="7731" spans="1:6" s="262" customFormat="1">
      <c r="A7731" s="209">
        <v>102508</v>
      </c>
      <c r="B7731" s="209">
        <v>0</v>
      </c>
      <c r="C7731" s="209" t="s">
        <v>3368</v>
      </c>
      <c r="D7731" s="209" t="s">
        <v>8508</v>
      </c>
      <c r="E7731" s="210" t="s">
        <v>983</v>
      </c>
      <c r="F7731" s="275"/>
    </row>
    <row r="7732" spans="1:6" s="262" customFormat="1">
      <c r="A7732" s="209">
        <v>102509</v>
      </c>
      <c r="B7732" s="209">
        <v>0</v>
      </c>
      <c r="C7732" s="209" t="s">
        <v>3368</v>
      </c>
      <c r="D7732" s="209" t="s">
        <v>8509</v>
      </c>
      <c r="E7732" s="210" t="s">
        <v>983</v>
      </c>
      <c r="F7732" s="275"/>
    </row>
    <row r="7733" spans="1:6" s="262" customFormat="1">
      <c r="A7733" s="209">
        <v>102510</v>
      </c>
      <c r="B7733" s="209">
        <v>0</v>
      </c>
      <c r="C7733" s="209" t="s">
        <v>3368</v>
      </c>
      <c r="D7733" s="209" t="s">
        <v>8510</v>
      </c>
      <c r="E7733" s="210" t="s">
        <v>983</v>
      </c>
      <c r="F7733" s="275"/>
    </row>
    <row r="7734" spans="1:6" s="262" customFormat="1">
      <c r="A7734" s="209">
        <v>102511</v>
      </c>
      <c r="B7734" s="209">
        <v>0</v>
      </c>
      <c r="C7734" s="209" t="s">
        <v>3368</v>
      </c>
      <c r="D7734" s="209" t="s">
        <v>8511</v>
      </c>
      <c r="E7734" s="210" t="s">
        <v>983</v>
      </c>
      <c r="F7734" s="275"/>
    </row>
    <row r="7735" spans="1:6" s="262" customFormat="1">
      <c r="A7735" s="209">
        <v>102512</v>
      </c>
      <c r="B7735" s="209">
        <v>0</v>
      </c>
      <c r="C7735" s="209" t="s">
        <v>3368</v>
      </c>
      <c r="D7735" s="209" t="s">
        <v>8512</v>
      </c>
      <c r="E7735" s="210" t="s">
        <v>983</v>
      </c>
      <c r="F7735" s="275"/>
    </row>
    <row r="7736" spans="1:6" s="262" customFormat="1">
      <c r="A7736" s="209">
        <v>102513</v>
      </c>
      <c r="B7736" s="209">
        <v>0</v>
      </c>
      <c r="C7736" s="209" t="s">
        <v>3368</v>
      </c>
      <c r="D7736" s="209" t="s">
        <v>8513</v>
      </c>
      <c r="E7736" s="210" t="s">
        <v>983</v>
      </c>
      <c r="F7736" s="275"/>
    </row>
    <row r="7737" spans="1:6" s="262" customFormat="1">
      <c r="A7737" s="209">
        <v>102514</v>
      </c>
      <c r="B7737" s="209">
        <v>0</v>
      </c>
      <c r="C7737" s="209" t="s">
        <v>3368</v>
      </c>
      <c r="D7737" s="209" t="s">
        <v>8514</v>
      </c>
      <c r="E7737" s="210" t="s">
        <v>983</v>
      </c>
      <c r="F7737" s="275"/>
    </row>
    <row r="7738" spans="1:6" s="262" customFormat="1">
      <c r="A7738" s="209">
        <v>102515</v>
      </c>
      <c r="B7738" s="209">
        <v>0</v>
      </c>
      <c r="C7738" s="209" t="s">
        <v>3368</v>
      </c>
      <c r="D7738" s="209" t="s">
        <v>8515</v>
      </c>
      <c r="E7738" s="210" t="s">
        <v>983</v>
      </c>
      <c r="F7738" s="275"/>
    </row>
    <row r="7739" spans="1:6" s="262" customFormat="1">
      <c r="A7739" s="209">
        <v>102516</v>
      </c>
      <c r="B7739" s="209">
        <v>0</v>
      </c>
      <c r="C7739" s="209" t="s">
        <v>3368</v>
      </c>
      <c r="D7739" s="209" t="s">
        <v>8516</v>
      </c>
      <c r="E7739" s="210" t="s">
        <v>983</v>
      </c>
      <c r="F7739" s="275"/>
    </row>
    <row r="7740" spans="1:6" s="262" customFormat="1">
      <c r="A7740" s="209">
        <v>102517</v>
      </c>
      <c r="B7740" s="209">
        <v>0</v>
      </c>
      <c r="C7740" s="209" t="s">
        <v>3369</v>
      </c>
      <c r="D7740" s="209" t="s">
        <v>8517</v>
      </c>
      <c r="E7740" s="210" t="s">
        <v>747</v>
      </c>
      <c r="F7740" s="275"/>
    </row>
    <row r="7741" spans="1:6" s="262" customFormat="1">
      <c r="A7741" s="209">
        <v>102518</v>
      </c>
      <c r="B7741" s="209">
        <v>0</v>
      </c>
      <c r="C7741" s="209" t="s">
        <v>3369</v>
      </c>
      <c r="D7741" s="209" t="s">
        <v>8518</v>
      </c>
      <c r="E7741" s="210" t="s">
        <v>747</v>
      </c>
      <c r="F7741" s="275"/>
    </row>
    <row r="7742" spans="1:6" s="262" customFormat="1">
      <c r="A7742" s="209">
        <v>102519</v>
      </c>
      <c r="B7742" s="209">
        <v>0</v>
      </c>
      <c r="C7742" s="209" t="s">
        <v>3369</v>
      </c>
      <c r="D7742" s="209" t="s">
        <v>8519</v>
      </c>
      <c r="E7742" s="210" t="s">
        <v>747</v>
      </c>
      <c r="F7742" s="275"/>
    </row>
    <row r="7743" spans="1:6" s="262" customFormat="1">
      <c r="A7743" s="209">
        <v>102520</v>
      </c>
      <c r="B7743" s="209">
        <v>0</v>
      </c>
      <c r="C7743" s="209" t="s">
        <v>3369</v>
      </c>
      <c r="D7743" s="209" t="s">
        <v>8520</v>
      </c>
      <c r="E7743" s="210" t="s">
        <v>747</v>
      </c>
      <c r="F7743" s="275"/>
    </row>
    <row r="7744" spans="1:6" s="262" customFormat="1">
      <c r="A7744" s="209">
        <v>102521</v>
      </c>
      <c r="B7744" s="209">
        <v>0</v>
      </c>
      <c r="C7744" s="209" t="s">
        <v>3369</v>
      </c>
      <c r="D7744" s="209" t="s">
        <v>8521</v>
      </c>
      <c r="E7744" s="210" t="s">
        <v>747</v>
      </c>
      <c r="F7744" s="275"/>
    </row>
    <row r="7745" spans="1:6" s="262" customFormat="1">
      <c r="A7745" s="209">
        <v>102522</v>
      </c>
      <c r="B7745" s="209">
        <v>0</v>
      </c>
      <c r="C7745" s="209" t="s">
        <v>3370</v>
      </c>
      <c r="D7745" s="209" t="s">
        <v>8522</v>
      </c>
      <c r="E7745" s="210" t="s">
        <v>986</v>
      </c>
      <c r="F7745" s="275"/>
    </row>
    <row r="7746" spans="1:6" s="262" customFormat="1">
      <c r="A7746" s="209">
        <v>102523</v>
      </c>
      <c r="B7746" s="209">
        <v>0</v>
      </c>
      <c r="C7746" s="209" t="s">
        <v>3370</v>
      </c>
      <c r="D7746" s="209" t="s">
        <v>8523</v>
      </c>
      <c r="E7746" s="210" t="s">
        <v>986</v>
      </c>
      <c r="F7746" s="275"/>
    </row>
    <row r="7747" spans="1:6" s="262" customFormat="1">
      <c r="A7747" s="209">
        <v>102524</v>
      </c>
      <c r="B7747" s="209">
        <v>0</v>
      </c>
      <c r="C7747" s="209" t="s">
        <v>3370</v>
      </c>
      <c r="D7747" s="209" t="s">
        <v>8524</v>
      </c>
      <c r="E7747" s="210" t="s">
        <v>986</v>
      </c>
      <c r="F7747" s="275"/>
    </row>
    <row r="7748" spans="1:6" s="262" customFormat="1">
      <c r="A7748" s="209">
        <v>102525</v>
      </c>
      <c r="B7748" s="209">
        <v>0</v>
      </c>
      <c r="C7748" s="209" t="s">
        <v>3370</v>
      </c>
      <c r="D7748" s="209" t="s">
        <v>8525</v>
      </c>
      <c r="E7748" s="210" t="s">
        <v>986</v>
      </c>
      <c r="F7748" s="275"/>
    </row>
    <row r="7749" spans="1:6" s="262" customFormat="1">
      <c r="A7749" s="209">
        <v>102526</v>
      </c>
      <c r="B7749" s="209">
        <v>0</v>
      </c>
      <c r="C7749" s="209" t="s">
        <v>3370</v>
      </c>
      <c r="D7749" s="209" t="s">
        <v>8526</v>
      </c>
      <c r="E7749" s="210" t="s">
        <v>986</v>
      </c>
      <c r="F7749" s="275"/>
    </row>
    <row r="7750" spans="1:6" s="262" customFormat="1">
      <c r="A7750" s="209">
        <v>102527</v>
      </c>
      <c r="B7750" s="209">
        <v>0</v>
      </c>
      <c r="C7750" s="209" t="s">
        <v>3370</v>
      </c>
      <c r="D7750" s="209" t="s">
        <v>8527</v>
      </c>
      <c r="E7750" s="210" t="s">
        <v>986</v>
      </c>
      <c r="F7750" s="275"/>
    </row>
    <row r="7751" spans="1:6" s="262" customFormat="1">
      <c r="A7751" s="209">
        <v>102528</v>
      </c>
      <c r="B7751" s="209">
        <v>0</v>
      </c>
      <c r="C7751" s="209" t="s">
        <v>3371</v>
      </c>
      <c r="D7751" s="209" t="s">
        <v>8528</v>
      </c>
      <c r="E7751" s="210" t="s">
        <v>751</v>
      </c>
      <c r="F7751" s="275"/>
    </row>
    <row r="7752" spans="1:6" s="262" customFormat="1">
      <c r="A7752" s="209">
        <v>102529</v>
      </c>
      <c r="B7752" s="209">
        <v>0</v>
      </c>
      <c r="C7752" s="209" t="s">
        <v>3371</v>
      </c>
      <c r="D7752" s="209" t="s">
        <v>8529</v>
      </c>
      <c r="E7752" s="210" t="s">
        <v>751</v>
      </c>
      <c r="F7752" s="275"/>
    </row>
    <row r="7753" spans="1:6" s="262" customFormat="1">
      <c r="A7753" s="209">
        <v>102530</v>
      </c>
      <c r="B7753" s="209">
        <v>0</v>
      </c>
      <c r="C7753" s="209" t="s">
        <v>3371</v>
      </c>
      <c r="D7753" s="209" t="s">
        <v>8530</v>
      </c>
      <c r="E7753" s="210" t="s">
        <v>751</v>
      </c>
      <c r="F7753" s="275"/>
    </row>
    <row r="7754" spans="1:6" s="262" customFormat="1">
      <c r="A7754" s="209">
        <v>102531</v>
      </c>
      <c r="B7754" s="209">
        <v>0</v>
      </c>
      <c r="C7754" s="209" t="s">
        <v>3371</v>
      </c>
      <c r="D7754" s="209" t="s">
        <v>8531</v>
      </c>
      <c r="E7754" s="210" t="s">
        <v>751</v>
      </c>
      <c r="F7754" s="275"/>
    </row>
    <row r="7755" spans="1:6" s="262" customFormat="1">
      <c r="A7755" s="209">
        <v>102532</v>
      </c>
      <c r="B7755" s="209">
        <v>0</v>
      </c>
      <c r="C7755" s="209" t="s">
        <v>3371</v>
      </c>
      <c r="D7755" s="209" t="s">
        <v>8532</v>
      </c>
      <c r="E7755" s="210" t="s">
        <v>751</v>
      </c>
      <c r="F7755" s="275"/>
    </row>
    <row r="7756" spans="1:6" s="262" customFormat="1">
      <c r="A7756" s="209">
        <v>102533</v>
      </c>
      <c r="B7756" s="209">
        <v>0</v>
      </c>
      <c r="C7756" s="209" t="s">
        <v>3371</v>
      </c>
      <c r="D7756" s="209" t="s">
        <v>8533</v>
      </c>
      <c r="E7756" s="210" t="s">
        <v>751</v>
      </c>
      <c r="F7756" s="275"/>
    </row>
    <row r="7757" spans="1:6" s="262" customFormat="1">
      <c r="A7757" s="209">
        <v>102534</v>
      </c>
      <c r="B7757" s="209">
        <v>0</v>
      </c>
      <c r="C7757" s="209" t="s">
        <v>3371</v>
      </c>
      <c r="D7757" s="209" t="s">
        <v>8534</v>
      </c>
      <c r="E7757" s="210" t="s">
        <v>751</v>
      </c>
      <c r="F7757" s="275"/>
    </row>
    <row r="7758" spans="1:6" s="262" customFormat="1">
      <c r="A7758" s="209">
        <v>102535</v>
      </c>
      <c r="B7758" s="209">
        <v>0</v>
      </c>
      <c r="C7758" s="209" t="s">
        <v>3371</v>
      </c>
      <c r="D7758" s="209" t="s">
        <v>8535</v>
      </c>
      <c r="E7758" s="210" t="s">
        <v>751</v>
      </c>
      <c r="F7758" s="275"/>
    </row>
    <row r="7759" spans="1:6" s="262" customFormat="1">
      <c r="A7759" s="209">
        <v>102536</v>
      </c>
      <c r="B7759" s="209">
        <v>0</v>
      </c>
      <c r="C7759" s="209" t="s">
        <v>3371</v>
      </c>
      <c r="D7759" s="209" t="s">
        <v>8536</v>
      </c>
      <c r="E7759" s="210" t="s">
        <v>751</v>
      </c>
      <c r="F7759" s="275"/>
    </row>
    <row r="7760" spans="1:6" s="262" customFormat="1">
      <c r="A7760" s="209">
        <v>102537</v>
      </c>
      <c r="B7760" s="209">
        <v>0</v>
      </c>
      <c r="C7760" s="209" t="s">
        <v>3372</v>
      </c>
      <c r="D7760" s="209" t="s">
        <v>8537</v>
      </c>
      <c r="E7760" s="210" t="s">
        <v>989</v>
      </c>
      <c r="F7760" s="275"/>
    </row>
    <row r="7761" spans="1:6" s="262" customFormat="1">
      <c r="A7761" s="209">
        <v>102538</v>
      </c>
      <c r="B7761" s="209">
        <v>0</v>
      </c>
      <c r="C7761" s="209" t="s">
        <v>3372</v>
      </c>
      <c r="D7761" s="209" t="s">
        <v>8538</v>
      </c>
      <c r="E7761" s="210" t="s">
        <v>989</v>
      </c>
      <c r="F7761" s="275"/>
    </row>
    <row r="7762" spans="1:6" s="262" customFormat="1">
      <c r="A7762" s="209">
        <v>102539</v>
      </c>
      <c r="B7762" s="209">
        <v>0</v>
      </c>
      <c r="C7762" s="209" t="s">
        <v>3372</v>
      </c>
      <c r="D7762" s="209" t="s">
        <v>8539</v>
      </c>
      <c r="E7762" s="210" t="s">
        <v>989</v>
      </c>
      <c r="F7762" s="275"/>
    </row>
    <row r="7763" spans="1:6" s="262" customFormat="1">
      <c r="A7763" s="209">
        <v>102540</v>
      </c>
      <c r="B7763" s="209">
        <v>0</v>
      </c>
      <c r="C7763" s="209" t="s">
        <v>3372</v>
      </c>
      <c r="D7763" s="209" t="s">
        <v>8540</v>
      </c>
      <c r="E7763" s="210" t="s">
        <v>989</v>
      </c>
      <c r="F7763" s="275"/>
    </row>
    <row r="7764" spans="1:6" s="262" customFormat="1">
      <c r="A7764" s="209">
        <v>102541</v>
      </c>
      <c r="B7764" s="209">
        <v>0</v>
      </c>
      <c r="C7764" s="209" t="s">
        <v>3372</v>
      </c>
      <c r="D7764" s="209" t="s">
        <v>8541</v>
      </c>
      <c r="E7764" s="210" t="s">
        <v>989</v>
      </c>
      <c r="F7764" s="275"/>
    </row>
    <row r="7765" spans="1:6" s="262" customFormat="1">
      <c r="A7765" s="209">
        <v>102542</v>
      </c>
      <c r="B7765" s="209">
        <v>0</v>
      </c>
      <c r="C7765" s="209" t="s">
        <v>3372</v>
      </c>
      <c r="D7765" s="209" t="s">
        <v>8542</v>
      </c>
      <c r="E7765" s="210" t="s">
        <v>989</v>
      </c>
      <c r="F7765" s="275"/>
    </row>
    <row r="7766" spans="1:6" s="262" customFormat="1">
      <c r="A7766" s="209">
        <v>102543</v>
      </c>
      <c r="B7766" s="209">
        <v>0</v>
      </c>
      <c r="C7766" s="209" t="s">
        <v>3373</v>
      </c>
      <c r="D7766" s="209" t="s">
        <v>8543</v>
      </c>
      <c r="E7766" s="210" t="s">
        <v>991</v>
      </c>
      <c r="F7766" s="275"/>
    </row>
    <row r="7767" spans="1:6" s="262" customFormat="1">
      <c r="A7767" s="209">
        <v>102544</v>
      </c>
      <c r="B7767" s="209">
        <v>0</v>
      </c>
      <c r="C7767" s="209" t="s">
        <v>3373</v>
      </c>
      <c r="D7767" s="209" t="s">
        <v>8544</v>
      </c>
      <c r="E7767" s="210" t="s">
        <v>991</v>
      </c>
      <c r="F7767" s="275"/>
    </row>
    <row r="7768" spans="1:6" s="262" customFormat="1">
      <c r="A7768" s="209">
        <v>102545</v>
      </c>
      <c r="B7768" s="209">
        <v>0</v>
      </c>
      <c r="C7768" s="209" t="s">
        <v>3373</v>
      </c>
      <c r="D7768" s="209" t="s">
        <v>8545</v>
      </c>
      <c r="E7768" s="210" t="s">
        <v>991</v>
      </c>
      <c r="F7768" s="275"/>
    </row>
    <row r="7769" spans="1:6" s="262" customFormat="1">
      <c r="A7769" s="209">
        <v>102546</v>
      </c>
      <c r="B7769" s="209">
        <v>0</v>
      </c>
      <c r="C7769" s="209" t="s">
        <v>3373</v>
      </c>
      <c r="D7769" s="209" t="s">
        <v>8546</v>
      </c>
      <c r="E7769" s="210" t="s">
        <v>991</v>
      </c>
      <c r="F7769" s="275"/>
    </row>
    <row r="7770" spans="1:6" s="262" customFormat="1">
      <c r="A7770" s="209">
        <v>102547</v>
      </c>
      <c r="B7770" s="209">
        <v>0</v>
      </c>
      <c r="C7770" s="209" t="s">
        <v>3373</v>
      </c>
      <c r="D7770" s="209" t="s">
        <v>8547</v>
      </c>
      <c r="E7770" s="210" t="s">
        <v>991</v>
      </c>
      <c r="F7770" s="275"/>
    </row>
    <row r="7771" spans="1:6" s="262" customFormat="1">
      <c r="A7771" s="209">
        <v>102548</v>
      </c>
      <c r="B7771" s="209">
        <v>0</v>
      </c>
      <c r="C7771" s="209" t="s">
        <v>3373</v>
      </c>
      <c r="D7771" s="209" t="s">
        <v>8548</v>
      </c>
      <c r="E7771" s="210" t="s">
        <v>991</v>
      </c>
      <c r="F7771" s="275"/>
    </row>
    <row r="7772" spans="1:6" s="262" customFormat="1">
      <c r="A7772" s="209">
        <v>102549</v>
      </c>
      <c r="B7772" s="209">
        <v>0</v>
      </c>
      <c r="C7772" s="209" t="s">
        <v>3373</v>
      </c>
      <c r="D7772" s="209" t="s">
        <v>8549</v>
      </c>
      <c r="E7772" s="210" t="s">
        <v>991</v>
      </c>
      <c r="F7772" s="275"/>
    </row>
    <row r="7773" spans="1:6" s="262" customFormat="1">
      <c r="A7773" s="209">
        <v>102550</v>
      </c>
      <c r="B7773" s="209">
        <v>0</v>
      </c>
      <c r="C7773" s="209" t="s">
        <v>3373</v>
      </c>
      <c r="D7773" s="209" t="s">
        <v>8550</v>
      </c>
      <c r="E7773" s="210" t="s">
        <v>991</v>
      </c>
      <c r="F7773" s="275"/>
    </row>
    <row r="7774" spans="1:6" s="262" customFormat="1">
      <c r="A7774" s="209">
        <v>102551</v>
      </c>
      <c r="B7774" s="209">
        <v>0</v>
      </c>
      <c r="C7774" s="209" t="s">
        <v>3373</v>
      </c>
      <c r="D7774" s="209" t="s">
        <v>8551</v>
      </c>
      <c r="E7774" s="210" t="s">
        <v>991</v>
      </c>
      <c r="F7774" s="275"/>
    </row>
    <row r="7775" spans="1:6" s="262" customFormat="1">
      <c r="A7775" s="209">
        <v>102552</v>
      </c>
      <c r="B7775" s="209">
        <v>0</v>
      </c>
      <c r="C7775" s="209" t="s">
        <v>3373</v>
      </c>
      <c r="D7775" s="209" t="s">
        <v>8552</v>
      </c>
      <c r="E7775" s="210" t="s">
        <v>991</v>
      </c>
      <c r="F7775" s="275"/>
    </row>
    <row r="7776" spans="1:6" s="262" customFormat="1">
      <c r="A7776" s="209">
        <v>102553</v>
      </c>
      <c r="B7776" s="209">
        <v>0</v>
      </c>
      <c r="C7776" s="209" t="s">
        <v>3374</v>
      </c>
      <c r="D7776" s="209" t="s">
        <v>8553</v>
      </c>
      <c r="E7776" s="210" t="s">
        <v>993</v>
      </c>
      <c r="F7776" s="275"/>
    </row>
    <row r="7777" spans="1:6" s="262" customFormat="1">
      <c r="A7777" s="209">
        <v>102554</v>
      </c>
      <c r="B7777" s="209">
        <v>0</v>
      </c>
      <c r="C7777" s="209" t="s">
        <v>3374</v>
      </c>
      <c r="D7777" s="209" t="s">
        <v>8554</v>
      </c>
      <c r="E7777" s="210" t="s">
        <v>993</v>
      </c>
      <c r="F7777" s="275"/>
    </row>
    <row r="7778" spans="1:6" s="262" customFormat="1">
      <c r="A7778" s="209">
        <v>102555</v>
      </c>
      <c r="B7778" s="209">
        <v>0</v>
      </c>
      <c r="C7778" s="209" t="s">
        <v>3374</v>
      </c>
      <c r="D7778" s="209" t="s">
        <v>8555</v>
      </c>
      <c r="E7778" s="210" t="s">
        <v>993</v>
      </c>
      <c r="F7778" s="275"/>
    </row>
    <row r="7779" spans="1:6" s="262" customFormat="1">
      <c r="A7779" s="209">
        <v>102556</v>
      </c>
      <c r="B7779" s="209">
        <v>0</v>
      </c>
      <c r="C7779" s="209" t="s">
        <v>3374</v>
      </c>
      <c r="D7779" s="209" t="s">
        <v>8556</v>
      </c>
      <c r="E7779" s="210" t="s">
        <v>993</v>
      </c>
      <c r="F7779" s="275"/>
    </row>
    <row r="7780" spans="1:6" s="262" customFormat="1">
      <c r="A7780" s="209">
        <v>102557</v>
      </c>
      <c r="B7780" s="209">
        <v>0</v>
      </c>
      <c r="C7780" s="209" t="s">
        <v>3374</v>
      </c>
      <c r="D7780" s="209" t="s">
        <v>8557</v>
      </c>
      <c r="E7780" s="210" t="s">
        <v>993</v>
      </c>
      <c r="F7780" s="275"/>
    </row>
    <row r="7781" spans="1:6" s="262" customFormat="1">
      <c r="A7781" s="209">
        <v>102558</v>
      </c>
      <c r="B7781" s="209">
        <v>0</v>
      </c>
      <c r="C7781" s="209" t="s">
        <v>3374</v>
      </c>
      <c r="D7781" s="209" t="s">
        <v>8558</v>
      </c>
      <c r="E7781" s="210" t="s">
        <v>993</v>
      </c>
      <c r="F7781" s="275"/>
    </row>
    <row r="7782" spans="1:6" s="262" customFormat="1">
      <c r="A7782" s="209">
        <v>102559</v>
      </c>
      <c r="B7782" s="209">
        <v>0</v>
      </c>
      <c r="C7782" s="209" t="s">
        <v>3374</v>
      </c>
      <c r="D7782" s="209" t="s">
        <v>8559</v>
      </c>
      <c r="E7782" s="210" t="s">
        <v>993</v>
      </c>
      <c r="F7782" s="275"/>
    </row>
    <row r="7783" spans="1:6" s="262" customFormat="1">
      <c r="A7783" s="209">
        <v>102560</v>
      </c>
      <c r="B7783" s="209">
        <v>0</v>
      </c>
      <c r="C7783" s="209" t="s">
        <v>3374</v>
      </c>
      <c r="D7783" s="209" t="s">
        <v>8560</v>
      </c>
      <c r="E7783" s="210" t="s">
        <v>993</v>
      </c>
      <c r="F7783" s="275"/>
    </row>
    <row r="7784" spans="1:6" s="262" customFormat="1">
      <c r="A7784" s="18">
        <v>103001</v>
      </c>
      <c r="B7784" s="18">
        <v>0</v>
      </c>
      <c r="C7784" s="18" t="s">
        <v>3355</v>
      </c>
      <c r="D7784" s="18" t="s">
        <v>8561</v>
      </c>
      <c r="E7784" s="17" t="s">
        <v>599</v>
      </c>
      <c r="F7784" s="275"/>
    </row>
    <row r="7785" spans="1:6" s="262" customFormat="1">
      <c r="A7785" s="18">
        <v>103002</v>
      </c>
      <c r="B7785" s="18">
        <v>0</v>
      </c>
      <c r="C7785" s="18" t="s">
        <v>3355</v>
      </c>
      <c r="D7785" s="18" t="s">
        <v>8562</v>
      </c>
      <c r="E7785" s="17" t="s">
        <v>599</v>
      </c>
      <c r="F7785" s="275"/>
    </row>
    <row r="7786" spans="1:6" s="262" customFormat="1">
      <c r="A7786" s="18">
        <v>103003</v>
      </c>
      <c r="B7786" s="18">
        <v>0</v>
      </c>
      <c r="C7786" s="18" t="s">
        <v>3355</v>
      </c>
      <c r="D7786" s="18" t="s">
        <v>8563</v>
      </c>
      <c r="E7786" s="17" t="s">
        <v>599</v>
      </c>
      <c r="F7786" s="275"/>
    </row>
    <row r="7787" spans="1:6" s="262" customFormat="1">
      <c r="A7787" s="18">
        <v>103004</v>
      </c>
      <c r="B7787" s="18">
        <v>0</v>
      </c>
      <c r="C7787" s="18" t="s">
        <v>3355</v>
      </c>
      <c r="D7787" s="18" t="s">
        <v>8564</v>
      </c>
      <c r="E7787" s="17" t="s">
        <v>599</v>
      </c>
      <c r="F7787" s="275"/>
    </row>
    <row r="7788" spans="1:6" s="262" customFormat="1">
      <c r="A7788" s="18">
        <v>103005</v>
      </c>
      <c r="B7788" s="18">
        <v>0</v>
      </c>
      <c r="C7788" s="18" t="s">
        <v>3355</v>
      </c>
      <c r="D7788" s="18" t="s">
        <v>8565</v>
      </c>
      <c r="E7788" s="17" t="s">
        <v>599</v>
      </c>
      <c r="F7788" s="275"/>
    </row>
    <row r="7789" spans="1:6" s="262" customFormat="1">
      <c r="A7789" s="18">
        <v>103006</v>
      </c>
      <c r="B7789" s="18">
        <v>0</v>
      </c>
      <c r="C7789" s="18" t="s">
        <v>3355</v>
      </c>
      <c r="D7789" s="18" t="s">
        <v>8566</v>
      </c>
      <c r="E7789" s="17" t="s">
        <v>599</v>
      </c>
      <c r="F7789" s="275"/>
    </row>
    <row r="7790" spans="1:6" s="262" customFormat="1">
      <c r="A7790" s="18">
        <v>103007</v>
      </c>
      <c r="B7790" s="18">
        <v>0</v>
      </c>
      <c r="C7790" s="18" t="s">
        <v>3355</v>
      </c>
      <c r="D7790" s="18" t="s">
        <v>8567</v>
      </c>
      <c r="E7790" s="17" t="s">
        <v>599</v>
      </c>
      <c r="F7790" s="275"/>
    </row>
    <row r="7791" spans="1:6" s="262" customFormat="1">
      <c r="A7791" s="18">
        <v>103008</v>
      </c>
      <c r="B7791" s="18">
        <v>0</v>
      </c>
      <c r="C7791" s="18" t="s">
        <v>3355</v>
      </c>
      <c r="D7791" s="18" t="s">
        <v>8568</v>
      </c>
      <c r="E7791" s="17" t="s">
        <v>599</v>
      </c>
      <c r="F7791" s="275"/>
    </row>
    <row r="7792" spans="1:6" s="262" customFormat="1">
      <c r="A7792" s="18">
        <v>103009</v>
      </c>
      <c r="B7792" s="18">
        <v>0</v>
      </c>
      <c r="C7792" s="18" t="s">
        <v>3355</v>
      </c>
      <c r="D7792" s="18" t="s">
        <v>8569</v>
      </c>
      <c r="E7792" s="17" t="s">
        <v>599</v>
      </c>
      <c r="F7792" s="275"/>
    </row>
    <row r="7793" spans="1:6" s="262" customFormat="1">
      <c r="A7793" s="18">
        <v>103010</v>
      </c>
      <c r="B7793" s="18">
        <v>0</v>
      </c>
      <c r="C7793" s="18" t="s">
        <v>3355</v>
      </c>
      <c r="D7793" s="18" t="s">
        <v>8570</v>
      </c>
      <c r="E7793" s="17" t="s">
        <v>599</v>
      </c>
      <c r="F7793" s="275"/>
    </row>
    <row r="7794" spans="1:6" s="262" customFormat="1">
      <c r="A7794" s="18">
        <v>103011</v>
      </c>
      <c r="B7794" s="18">
        <v>0</v>
      </c>
      <c r="C7794" s="18" t="s">
        <v>3355</v>
      </c>
      <c r="D7794" s="18" t="s">
        <v>8571</v>
      </c>
      <c r="E7794" s="17" t="s">
        <v>599</v>
      </c>
      <c r="F7794" s="275"/>
    </row>
    <row r="7795" spans="1:6" s="262" customFormat="1">
      <c r="A7795" s="18">
        <v>103012</v>
      </c>
      <c r="B7795" s="18">
        <v>0</v>
      </c>
      <c r="C7795" s="18" t="s">
        <v>3355</v>
      </c>
      <c r="D7795" s="18" t="s">
        <v>8572</v>
      </c>
      <c r="E7795" s="17" t="s">
        <v>599</v>
      </c>
      <c r="F7795" s="275"/>
    </row>
    <row r="7796" spans="1:6" s="262" customFormat="1">
      <c r="A7796" s="18">
        <v>103013</v>
      </c>
      <c r="B7796" s="18">
        <v>0</v>
      </c>
      <c r="C7796" s="18" t="s">
        <v>3355</v>
      </c>
      <c r="D7796" s="18" t="s">
        <v>8573</v>
      </c>
      <c r="E7796" s="17" t="s">
        <v>599</v>
      </c>
      <c r="F7796" s="275"/>
    </row>
    <row r="7797" spans="1:6" s="262" customFormat="1">
      <c r="A7797" s="18">
        <v>103014</v>
      </c>
      <c r="B7797" s="18">
        <v>0</v>
      </c>
      <c r="C7797" s="18" t="s">
        <v>3355</v>
      </c>
      <c r="D7797" s="18" t="s">
        <v>8574</v>
      </c>
      <c r="E7797" s="17" t="s">
        <v>599</v>
      </c>
      <c r="F7797" s="275"/>
    </row>
    <row r="7798" spans="1:6" s="262" customFormat="1">
      <c r="A7798" s="18">
        <v>103015</v>
      </c>
      <c r="B7798" s="18">
        <v>0</v>
      </c>
      <c r="C7798" s="18" t="s">
        <v>3355</v>
      </c>
      <c r="D7798" s="18" t="s">
        <v>8575</v>
      </c>
      <c r="E7798" s="17" t="s">
        <v>599</v>
      </c>
      <c r="F7798" s="275"/>
    </row>
    <row r="7799" spans="1:6" s="262" customFormat="1">
      <c r="A7799" s="18">
        <v>103016</v>
      </c>
      <c r="B7799" s="18">
        <v>0</v>
      </c>
      <c r="C7799" s="18" t="s">
        <v>3355</v>
      </c>
      <c r="D7799" s="18" t="s">
        <v>8576</v>
      </c>
      <c r="E7799" s="17" t="s">
        <v>599</v>
      </c>
      <c r="F7799" s="275"/>
    </row>
    <row r="7800" spans="1:6" s="262" customFormat="1">
      <c r="A7800" s="18">
        <v>103017</v>
      </c>
      <c r="B7800" s="18">
        <v>0</v>
      </c>
      <c r="C7800" s="18" t="s">
        <v>3355</v>
      </c>
      <c r="D7800" s="18" t="s">
        <v>8577</v>
      </c>
      <c r="E7800" s="17" t="s">
        <v>599</v>
      </c>
      <c r="F7800" s="275"/>
    </row>
    <row r="7801" spans="1:6" s="262" customFormat="1">
      <c r="A7801" s="18">
        <v>103018</v>
      </c>
      <c r="B7801" s="18">
        <v>0</v>
      </c>
      <c r="C7801" s="18" t="s">
        <v>3355</v>
      </c>
      <c r="D7801" s="18" t="s">
        <v>8578</v>
      </c>
      <c r="E7801" s="17" t="s">
        <v>599</v>
      </c>
      <c r="F7801" s="275"/>
    </row>
    <row r="7802" spans="1:6" s="262" customFormat="1">
      <c r="A7802" s="18">
        <v>103019</v>
      </c>
      <c r="B7802" s="18">
        <v>0</v>
      </c>
      <c r="C7802" s="18" t="s">
        <v>3355</v>
      </c>
      <c r="D7802" s="18" t="s">
        <v>8579</v>
      </c>
      <c r="E7802" s="17" t="s">
        <v>599</v>
      </c>
      <c r="F7802" s="275"/>
    </row>
    <row r="7803" spans="1:6" s="262" customFormat="1">
      <c r="A7803" s="18">
        <v>103020</v>
      </c>
      <c r="B7803" s="18">
        <v>0</v>
      </c>
      <c r="C7803" s="18" t="s">
        <v>3355</v>
      </c>
      <c r="D7803" s="18" t="s">
        <v>8580</v>
      </c>
      <c r="E7803" s="17" t="s">
        <v>599</v>
      </c>
      <c r="F7803" s="275"/>
    </row>
    <row r="7804" spans="1:6" s="262" customFormat="1">
      <c r="A7804" s="18">
        <v>103021</v>
      </c>
      <c r="B7804" s="18">
        <v>0</v>
      </c>
      <c r="C7804" s="18" t="s">
        <v>3355</v>
      </c>
      <c r="D7804" s="18" t="s">
        <v>8581</v>
      </c>
      <c r="E7804" s="17" t="s">
        <v>599</v>
      </c>
      <c r="F7804" s="275"/>
    </row>
    <row r="7805" spans="1:6" s="262" customFormat="1">
      <c r="A7805" s="18">
        <v>103022</v>
      </c>
      <c r="B7805" s="18">
        <v>0</v>
      </c>
      <c r="C7805" s="18" t="s">
        <v>3355</v>
      </c>
      <c r="D7805" s="18" t="s">
        <v>8582</v>
      </c>
      <c r="E7805" s="17" t="s">
        <v>599</v>
      </c>
      <c r="F7805" s="275"/>
    </row>
    <row r="7806" spans="1:6" s="262" customFormat="1">
      <c r="A7806" s="18">
        <v>103023</v>
      </c>
      <c r="B7806" s="18">
        <v>0</v>
      </c>
      <c r="C7806" s="18" t="s">
        <v>3355</v>
      </c>
      <c r="D7806" s="18" t="s">
        <v>8583</v>
      </c>
      <c r="E7806" s="17" t="s">
        <v>599</v>
      </c>
      <c r="F7806" s="275"/>
    </row>
    <row r="7807" spans="1:6" s="262" customFormat="1">
      <c r="A7807" s="18">
        <v>103024</v>
      </c>
      <c r="B7807" s="18">
        <v>0</v>
      </c>
      <c r="C7807" s="18" t="s">
        <v>3355</v>
      </c>
      <c r="D7807" s="18" t="s">
        <v>8584</v>
      </c>
      <c r="E7807" s="17" t="s">
        <v>599</v>
      </c>
      <c r="F7807" s="275"/>
    </row>
    <row r="7808" spans="1:6" s="262" customFormat="1">
      <c r="A7808" s="18">
        <v>103025</v>
      </c>
      <c r="B7808" s="18">
        <v>0</v>
      </c>
      <c r="C7808" s="18" t="s">
        <v>3355</v>
      </c>
      <c r="D7808" s="18" t="s">
        <v>8585</v>
      </c>
      <c r="E7808" s="17" t="s">
        <v>599</v>
      </c>
      <c r="F7808" s="275"/>
    </row>
    <row r="7809" spans="1:6" s="262" customFormat="1">
      <c r="A7809" s="18">
        <v>103026</v>
      </c>
      <c r="B7809" s="18">
        <v>0</v>
      </c>
      <c r="C7809" s="18" t="s">
        <v>3355</v>
      </c>
      <c r="D7809" s="18" t="s">
        <v>8586</v>
      </c>
      <c r="E7809" s="17" t="s">
        <v>599</v>
      </c>
      <c r="F7809" s="275"/>
    </row>
    <row r="7810" spans="1:6" s="262" customFormat="1">
      <c r="A7810" s="18">
        <v>103027</v>
      </c>
      <c r="B7810" s="18">
        <v>0</v>
      </c>
      <c r="C7810" s="18" t="s">
        <v>3355</v>
      </c>
      <c r="D7810" s="18" t="s">
        <v>8587</v>
      </c>
      <c r="E7810" s="17" t="s">
        <v>599</v>
      </c>
      <c r="F7810" s="275"/>
    </row>
    <row r="7811" spans="1:6" s="262" customFormat="1">
      <c r="A7811" s="18">
        <v>103028</v>
      </c>
      <c r="B7811" s="18">
        <v>0</v>
      </c>
      <c r="C7811" s="18" t="s">
        <v>3355</v>
      </c>
      <c r="D7811" s="18" t="s">
        <v>8588</v>
      </c>
      <c r="E7811" s="17" t="s">
        <v>599</v>
      </c>
      <c r="F7811" s="275"/>
    </row>
    <row r="7812" spans="1:6" s="262" customFormat="1">
      <c r="A7812" s="18">
        <v>103029</v>
      </c>
      <c r="B7812" s="18">
        <v>0</v>
      </c>
      <c r="C7812" s="18" t="s">
        <v>3355</v>
      </c>
      <c r="D7812" s="18" t="s">
        <v>8589</v>
      </c>
      <c r="E7812" s="17" t="s">
        <v>599</v>
      </c>
      <c r="F7812" s="275"/>
    </row>
    <row r="7813" spans="1:6" s="262" customFormat="1">
      <c r="A7813" s="18">
        <v>103030</v>
      </c>
      <c r="B7813" s="18">
        <v>0</v>
      </c>
      <c r="C7813" s="18" t="s">
        <v>3355</v>
      </c>
      <c r="D7813" s="18" t="s">
        <v>8590</v>
      </c>
      <c r="E7813" s="17" t="s">
        <v>599</v>
      </c>
      <c r="F7813" s="275"/>
    </row>
    <row r="7814" spans="1:6" s="262" customFormat="1">
      <c r="A7814" s="18">
        <v>103031</v>
      </c>
      <c r="B7814" s="18">
        <v>0</v>
      </c>
      <c r="C7814" s="18" t="s">
        <v>3355</v>
      </c>
      <c r="D7814" s="18" t="s">
        <v>8591</v>
      </c>
      <c r="E7814" s="17" t="s">
        <v>599</v>
      </c>
      <c r="F7814" s="275"/>
    </row>
    <row r="7815" spans="1:6" s="262" customFormat="1">
      <c r="A7815" s="18">
        <v>103032</v>
      </c>
      <c r="B7815" s="18">
        <v>0</v>
      </c>
      <c r="C7815" s="18" t="s">
        <v>3355</v>
      </c>
      <c r="D7815" s="18" t="s">
        <v>8592</v>
      </c>
      <c r="E7815" s="17" t="s">
        <v>599</v>
      </c>
      <c r="F7815" s="275"/>
    </row>
    <row r="7816" spans="1:6" s="262" customFormat="1">
      <c r="A7816" s="18">
        <v>103033</v>
      </c>
      <c r="B7816" s="18">
        <v>0</v>
      </c>
      <c r="C7816" s="18" t="s">
        <v>3355</v>
      </c>
      <c r="D7816" s="18" t="s">
        <v>8593</v>
      </c>
      <c r="E7816" s="17" t="s">
        <v>599</v>
      </c>
      <c r="F7816" s="275"/>
    </row>
    <row r="7817" spans="1:6" s="262" customFormat="1">
      <c r="A7817" s="18">
        <v>103034</v>
      </c>
      <c r="B7817" s="18">
        <v>0</v>
      </c>
      <c r="C7817" s="18" t="s">
        <v>3355</v>
      </c>
      <c r="D7817" s="18" t="s">
        <v>8594</v>
      </c>
      <c r="E7817" s="17" t="s">
        <v>599</v>
      </c>
      <c r="F7817" s="275"/>
    </row>
    <row r="7818" spans="1:6" s="262" customFormat="1">
      <c r="A7818" s="18">
        <v>103035</v>
      </c>
      <c r="B7818" s="18">
        <v>0</v>
      </c>
      <c r="C7818" s="18" t="s">
        <v>3355</v>
      </c>
      <c r="D7818" s="18" t="s">
        <v>8595</v>
      </c>
      <c r="E7818" s="17" t="s">
        <v>599</v>
      </c>
      <c r="F7818" s="275"/>
    </row>
    <row r="7819" spans="1:6" s="262" customFormat="1">
      <c r="A7819" s="18">
        <v>103036</v>
      </c>
      <c r="B7819" s="18">
        <v>0</v>
      </c>
      <c r="C7819" s="18" t="s">
        <v>3355</v>
      </c>
      <c r="D7819" s="18" t="s">
        <v>8596</v>
      </c>
      <c r="E7819" s="17" t="s">
        <v>599</v>
      </c>
      <c r="F7819" s="275"/>
    </row>
    <row r="7820" spans="1:6" s="262" customFormat="1">
      <c r="A7820" s="18">
        <v>103037</v>
      </c>
      <c r="B7820" s="18">
        <v>0</v>
      </c>
      <c r="C7820" s="18" t="s">
        <v>3355</v>
      </c>
      <c r="D7820" s="18" t="s">
        <v>8597</v>
      </c>
      <c r="E7820" s="17" t="s">
        <v>599</v>
      </c>
      <c r="F7820" s="275"/>
    </row>
    <row r="7821" spans="1:6" s="262" customFormat="1">
      <c r="A7821" s="18">
        <v>103038</v>
      </c>
      <c r="B7821" s="18">
        <v>0</v>
      </c>
      <c r="C7821" s="18" t="s">
        <v>3355</v>
      </c>
      <c r="D7821" s="18" t="s">
        <v>8598</v>
      </c>
      <c r="E7821" s="17" t="s">
        <v>599</v>
      </c>
      <c r="F7821" s="275"/>
    </row>
    <row r="7822" spans="1:6" s="262" customFormat="1">
      <c r="A7822" s="18">
        <v>103039</v>
      </c>
      <c r="B7822" s="18">
        <v>0</v>
      </c>
      <c r="C7822" s="18" t="s">
        <v>3355</v>
      </c>
      <c r="D7822" s="18" t="s">
        <v>8599</v>
      </c>
      <c r="E7822" s="17" t="s">
        <v>599</v>
      </c>
      <c r="F7822" s="275"/>
    </row>
    <row r="7823" spans="1:6" s="262" customFormat="1">
      <c r="A7823" s="18">
        <v>103040</v>
      </c>
      <c r="B7823" s="18">
        <v>0</v>
      </c>
      <c r="C7823" s="18" t="s">
        <v>3355</v>
      </c>
      <c r="D7823" s="18" t="s">
        <v>8600</v>
      </c>
      <c r="E7823" s="17" t="s">
        <v>599</v>
      </c>
      <c r="F7823" s="275"/>
    </row>
    <row r="7824" spans="1:6" s="262" customFormat="1">
      <c r="A7824" s="18">
        <v>103041</v>
      </c>
      <c r="B7824" s="18">
        <v>0</v>
      </c>
      <c r="C7824" s="18" t="s">
        <v>3355</v>
      </c>
      <c r="D7824" s="18" t="s">
        <v>8601</v>
      </c>
      <c r="E7824" s="17" t="s">
        <v>599</v>
      </c>
      <c r="F7824" s="275"/>
    </row>
    <row r="7825" spans="1:6" s="262" customFormat="1">
      <c r="A7825" s="18">
        <v>103042</v>
      </c>
      <c r="B7825" s="18">
        <v>0</v>
      </c>
      <c r="C7825" s="18" t="s">
        <v>3355</v>
      </c>
      <c r="D7825" s="18" t="s">
        <v>8602</v>
      </c>
      <c r="E7825" s="17" t="s">
        <v>599</v>
      </c>
      <c r="F7825" s="275"/>
    </row>
    <row r="7826" spans="1:6" s="262" customFormat="1">
      <c r="A7826" s="18">
        <v>103043</v>
      </c>
      <c r="B7826" s="18">
        <v>0</v>
      </c>
      <c r="C7826" s="18" t="s">
        <v>3355</v>
      </c>
      <c r="D7826" s="18" t="s">
        <v>8603</v>
      </c>
      <c r="E7826" s="17" t="s">
        <v>599</v>
      </c>
      <c r="F7826" s="275"/>
    </row>
    <row r="7827" spans="1:6" s="262" customFormat="1">
      <c r="A7827" s="18">
        <v>103044</v>
      </c>
      <c r="B7827" s="18">
        <v>0</v>
      </c>
      <c r="C7827" s="18" t="s">
        <v>3355</v>
      </c>
      <c r="D7827" s="18" t="s">
        <v>8604</v>
      </c>
      <c r="E7827" s="17" t="s">
        <v>599</v>
      </c>
      <c r="F7827" s="275"/>
    </row>
    <row r="7828" spans="1:6" s="262" customFormat="1">
      <c r="A7828" s="18">
        <v>103045</v>
      </c>
      <c r="B7828" s="18">
        <v>0</v>
      </c>
      <c r="C7828" s="18" t="s">
        <v>3355</v>
      </c>
      <c r="D7828" s="18" t="s">
        <v>8605</v>
      </c>
      <c r="E7828" s="17" t="s">
        <v>599</v>
      </c>
      <c r="F7828" s="275"/>
    </row>
    <row r="7829" spans="1:6" s="262" customFormat="1">
      <c r="A7829" s="18">
        <v>103046</v>
      </c>
      <c r="B7829" s="18">
        <v>0</v>
      </c>
      <c r="C7829" s="18" t="s">
        <v>3355</v>
      </c>
      <c r="D7829" s="18" t="s">
        <v>8606</v>
      </c>
      <c r="E7829" s="17" t="s">
        <v>599</v>
      </c>
      <c r="F7829" s="275"/>
    </row>
    <row r="7830" spans="1:6" s="262" customFormat="1">
      <c r="A7830" s="18">
        <v>103047</v>
      </c>
      <c r="B7830" s="18">
        <v>0</v>
      </c>
      <c r="C7830" s="18" t="s">
        <v>3355</v>
      </c>
      <c r="D7830" s="18" t="s">
        <v>8607</v>
      </c>
      <c r="E7830" s="17" t="s">
        <v>599</v>
      </c>
      <c r="F7830" s="275"/>
    </row>
    <row r="7831" spans="1:6" s="262" customFormat="1">
      <c r="A7831" s="18">
        <v>103048</v>
      </c>
      <c r="B7831" s="18">
        <v>0</v>
      </c>
      <c r="C7831" s="18" t="s">
        <v>3355</v>
      </c>
      <c r="D7831" s="18" t="s">
        <v>8608</v>
      </c>
      <c r="E7831" s="17" t="s">
        <v>599</v>
      </c>
      <c r="F7831" s="275"/>
    </row>
    <row r="7832" spans="1:6" s="262" customFormat="1">
      <c r="A7832" s="18">
        <v>103049</v>
      </c>
      <c r="B7832" s="18">
        <v>0</v>
      </c>
      <c r="C7832" s="18" t="s">
        <v>3355</v>
      </c>
      <c r="D7832" s="18" t="s">
        <v>8609</v>
      </c>
      <c r="E7832" s="17" t="s">
        <v>599</v>
      </c>
      <c r="F7832" s="275"/>
    </row>
    <row r="7833" spans="1:6" s="262" customFormat="1">
      <c r="A7833" s="18">
        <v>103050</v>
      </c>
      <c r="B7833" s="18">
        <v>0</v>
      </c>
      <c r="C7833" s="18" t="s">
        <v>3355</v>
      </c>
      <c r="D7833" s="18" t="s">
        <v>8610</v>
      </c>
      <c r="E7833" s="17" t="s">
        <v>599</v>
      </c>
      <c r="F7833" s="275"/>
    </row>
    <row r="7834" spans="1:6" s="262" customFormat="1">
      <c r="A7834" s="18">
        <v>103051</v>
      </c>
      <c r="B7834" s="18">
        <v>0</v>
      </c>
      <c r="C7834" s="18" t="s">
        <v>3355</v>
      </c>
      <c r="D7834" s="18" t="s">
        <v>8611</v>
      </c>
      <c r="E7834" s="17" t="s">
        <v>599</v>
      </c>
      <c r="F7834" s="275"/>
    </row>
    <row r="7835" spans="1:6" s="262" customFormat="1">
      <c r="A7835" s="18">
        <v>103052</v>
      </c>
      <c r="B7835" s="18">
        <v>0</v>
      </c>
      <c r="C7835" s="18" t="s">
        <v>3355</v>
      </c>
      <c r="D7835" s="18" t="s">
        <v>8612</v>
      </c>
      <c r="E7835" s="17" t="s">
        <v>599</v>
      </c>
      <c r="F7835" s="275"/>
    </row>
    <row r="7836" spans="1:6" s="262" customFormat="1">
      <c r="A7836" s="18">
        <v>103053</v>
      </c>
      <c r="B7836" s="18">
        <v>0</v>
      </c>
      <c r="C7836" s="18" t="s">
        <v>3355</v>
      </c>
      <c r="D7836" s="18" t="s">
        <v>8613</v>
      </c>
      <c r="E7836" s="17" t="s">
        <v>599</v>
      </c>
      <c r="F7836" s="275"/>
    </row>
    <row r="7837" spans="1:6" s="262" customFormat="1">
      <c r="A7837" s="18">
        <v>103054</v>
      </c>
      <c r="B7837" s="18">
        <v>0</v>
      </c>
      <c r="C7837" s="18" t="s">
        <v>3355</v>
      </c>
      <c r="D7837" s="18" t="s">
        <v>8614</v>
      </c>
      <c r="E7837" s="17" t="s">
        <v>599</v>
      </c>
      <c r="F7837" s="275"/>
    </row>
    <row r="7838" spans="1:6" s="262" customFormat="1">
      <c r="A7838" s="18">
        <v>103055</v>
      </c>
      <c r="B7838" s="18">
        <v>0</v>
      </c>
      <c r="C7838" s="18" t="s">
        <v>3355</v>
      </c>
      <c r="D7838" s="18" t="s">
        <v>8615</v>
      </c>
      <c r="E7838" s="17" t="s">
        <v>599</v>
      </c>
      <c r="F7838" s="275"/>
    </row>
    <row r="7839" spans="1:6" s="262" customFormat="1">
      <c r="A7839" s="18">
        <v>103056</v>
      </c>
      <c r="B7839" s="18">
        <v>0</v>
      </c>
      <c r="C7839" s="18" t="s">
        <v>3355</v>
      </c>
      <c r="D7839" s="18" t="s">
        <v>8616</v>
      </c>
      <c r="E7839" s="17" t="s">
        <v>599</v>
      </c>
      <c r="F7839" s="275"/>
    </row>
    <row r="7840" spans="1:6" s="262" customFormat="1">
      <c r="A7840" s="18">
        <v>103057</v>
      </c>
      <c r="B7840" s="18">
        <v>0</v>
      </c>
      <c r="C7840" s="18" t="s">
        <v>3355</v>
      </c>
      <c r="D7840" s="18" t="s">
        <v>8617</v>
      </c>
      <c r="E7840" s="17" t="s">
        <v>599</v>
      </c>
      <c r="F7840" s="275"/>
    </row>
    <row r="7841" spans="1:6" s="262" customFormat="1">
      <c r="A7841" s="18">
        <v>103058</v>
      </c>
      <c r="B7841" s="18">
        <v>0</v>
      </c>
      <c r="C7841" s="18" t="s">
        <v>3355</v>
      </c>
      <c r="D7841" s="18" t="s">
        <v>8618</v>
      </c>
      <c r="E7841" s="17" t="s">
        <v>599</v>
      </c>
      <c r="F7841" s="275"/>
    </row>
    <row r="7842" spans="1:6" s="262" customFormat="1">
      <c r="A7842" s="18">
        <v>103059</v>
      </c>
      <c r="B7842" s="18">
        <v>0</v>
      </c>
      <c r="C7842" s="18" t="s">
        <v>3355</v>
      </c>
      <c r="D7842" s="18" t="s">
        <v>8619</v>
      </c>
      <c r="E7842" s="17" t="s">
        <v>599</v>
      </c>
      <c r="F7842" s="275"/>
    </row>
    <row r="7843" spans="1:6" s="262" customFormat="1">
      <c r="A7843" s="18">
        <v>103060</v>
      </c>
      <c r="B7843" s="18">
        <v>0</v>
      </c>
      <c r="C7843" s="18" t="s">
        <v>3355</v>
      </c>
      <c r="D7843" s="18" t="s">
        <v>8620</v>
      </c>
      <c r="E7843" s="17" t="s">
        <v>599</v>
      </c>
      <c r="F7843" s="275"/>
    </row>
    <row r="7844" spans="1:6" s="262" customFormat="1">
      <c r="A7844" s="18">
        <v>103061</v>
      </c>
      <c r="B7844" s="18">
        <v>0</v>
      </c>
      <c r="C7844" s="18" t="s">
        <v>3355</v>
      </c>
      <c r="D7844" s="18" t="s">
        <v>8621</v>
      </c>
      <c r="E7844" s="17" t="s">
        <v>599</v>
      </c>
      <c r="F7844" s="275"/>
    </row>
    <row r="7845" spans="1:6" s="262" customFormat="1">
      <c r="A7845" s="18">
        <v>103062</v>
      </c>
      <c r="B7845" s="18">
        <v>0</v>
      </c>
      <c r="C7845" s="18" t="s">
        <v>3355</v>
      </c>
      <c r="D7845" s="18" t="s">
        <v>8622</v>
      </c>
      <c r="E7845" s="17" t="s">
        <v>599</v>
      </c>
      <c r="F7845" s="275"/>
    </row>
    <row r="7846" spans="1:6" s="262" customFormat="1">
      <c r="A7846" s="18">
        <v>103063</v>
      </c>
      <c r="B7846" s="18">
        <v>0</v>
      </c>
      <c r="C7846" s="18" t="s">
        <v>3355</v>
      </c>
      <c r="D7846" s="18" t="s">
        <v>8623</v>
      </c>
      <c r="E7846" s="17" t="s">
        <v>599</v>
      </c>
      <c r="F7846" s="275"/>
    </row>
    <row r="7847" spans="1:6" s="262" customFormat="1">
      <c r="A7847" s="18">
        <v>103064</v>
      </c>
      <c r="B7847" s="18">
        <v>0</v>
      </c>
      <c r="C7847" s="18" t="s">
        <v>3355</v>
      </c>
      <c r="D7847" s="18" t="s">
        <v>8624</v>
      </c>
      <c r="E7847" s="17" t="s">
        <v>599</v>
      </c>
      <c r="F7847" s="275"/>
    </row>
    <row r="7848" spans="1:6" s="262" customFormat="1">
      <c r="A7848" s="18">
        <v>103065</v>
      </c>
      <c r="B7848" s="18">
        <v>0</v>
      </c>
      <c r="C7848" s="18" t="s">
        <v>3355</v>
      </c>
      <c r="D7848" s="18" t="s">
        <v>8625</v>
      </c>
      <c r="E7848" s="17" t="s">
        <v>599</v>
      </c>
      <c r="F7848" s="275"/>
    </row>
    <row r="7849" spans="1:6" s="262" customFormat="1">
      <c r="A7849" s="18">
        <v>103066</v>
      </c>
      <c r="B7849" s="18">
        <v>0</v>
      </c>
      <c r="C7849" s="18" t="s">
        <v>3355</v>
      </c>
      <c r="D7849" s="18" t="s">
        <v>8626</v>
      </c>
      <c r="E7849" s="17" t="s">
        <v>599</v>
      </c>
      <c r="F7849" s="275"/>
    </row>
    <row r="7850" spans="1:6" s="262" customFormat="1">
      <c r="A7850" s="18">
        <v>103067</v>
      </c>
      <c r="B7850" s="18">
        <v>0</v>
      </c>
      <c r="C7850" s="18" t="s">
        <v>3355</v>
      </c>
      <c r="D7850" s="18" t="s">
        <v>8627</v>
      </c>
      <c r="E7850" s="17" t="s">
        <v>599</v>
      </c>
      <c r="F7850" s="275"/>
    </row>
    <row r="7851" spans="1:6" s="262" customFormat="1">
      <c r="A7851" s="18">
        <v>103068</v>
      </c>
      <c r="B7851" s="18">
        <v>0</v>
      </c>
      <c r="C7851" s="18" t="s">
        <v>3355</v>
      </c>
      <c r="D7851" s="18" t="s">
        <v>8628</v>
      </c>
      <c r="E7851" s="17" t="s">
        <v>599</v>
      </c>
      <c r="F7851" s="275"/>
    </row>
    <row r="7852" spans="1:6" s="262" customFormat="1">
      <c r="A7852" s="18">
        <v>103069</v>
      </c>
      <c r="B7852" s="18">
        <v>0</v>
      </c>
      <c r="C7852" s="18" t="s">
        <v>3355</v>
      </c>
      <c r="D7852" s="18" t="s">
        <v>8629</v>
      </c>
      <c r="E7852" s="17" t="s">
        <v>599</v>
      </c>
      <c r="F7852" s="275"/>
    </row>
    <row r="7853" spans="1:6" s="262" customFormat="1">
      <c r="A7853" s="18">
        <v>103070</v>
      </c>
      <c r="B7853" s="18">
        <v>0</v>
      </c>
      <c r="C7853" s="18" t="s">
        <v>3355</v>
      </c>
      <c r="D7853" s="18" t="s">
        <v>8630</v>
      </c>
      <c r="E7853" s="17" t="s">
        <v>599</v>
      </c>
      <c r="F7853" s="275"/>
    </row>
    <row r="7854" spans="1:6" s="262" customFormat="1">
      <c r="A7854" s="18">
        <v>103071</v>
      </c>
      <c r="B7854" s="18">
        <v>0</v>
      </c>
      <c r="C7854" s="18" t="s">
        <v>3355</v>
      </c>
      <c r="D7854" s="18" t="s">
        <v>8631</v>
      </c>
      <c r="E7854" s="17" t="s">
        <v>599</v>
      </c>
      <c r="F7854" s="275"/>
    </row>
    <row r="7855" spans="1:6" s="262" customFormat="1">
      <c r="A7855" s="18">
        <v>103072</v>
      </c>
      <c r="B7855" s="18">
        <v>0</v>
      </c>
      <c r="C7855" s="18" t="s">
        <v>3355</v>
      </c>
      <c r="D7855" s="18" t="s">
        <v>8632</v>
      </c>
      <c r="E7855" s="17" t="s">
        <v>599</v>
      </c>
      <c r="F7855" s="275"/>
    </row>
    <row r="7856" spans="1:6" s="262" customFormat="1">
      <c r="A7856" s="18">
        <v>103073</v>
      </c>
      <c r="B7856" s="18">
        <v>0</v>
      </c>
      <c r="C7856" s="18" t="s">
        <v>3355</v>
      </c>
      <c r="D7856" s="18" t="s">
        <v>8633</v>
      </c>
      <c r="E7856" s="17" t="s">
        <v>599</v>
      </c>
      <c r="F7856" s="275"/>
    </row>
    <row r="7857" spans="1:6" s="262" customFormat="1">
      <c r="A7857" s="18">
        <v>103074</v>
      </c>
      <c r="B7857" s="18">
        <v>0</v>
      </c>
      <c r="C7857" s="18" t="s">
        <v>3355</v>
      </c>
      <c r="D7857" s="18" t="s">
        <v>8634</v>
      </c>
      <c r="E7857" s="17" t="s">
        <v>599</v>
      </c>
      <c r="F7857" s="275"/>
    </row>
    <row r="7858" spans="1:6" s="262" customFormat="1">
      <c r="A7858" s="18">
        <v>103075</v>
      </c>
      <c r="B7858" s="18">
        <v>0</v>
      </c>
      <c r="C7858" s="18" t="s">
        <v>3355</v>
      </c>
      <c r="D7858" s="18" t="s">
        <v>8635</v>
      </c>
      <c r="E7858" s="17" t="s">
        <v>599</v>
      </c>
      <c r="F7858" s="275"/>
    </row>
    <row r="7859" spans="1:6" s="262" customFormat="1">
      <c r="A7859" s="18">
        <v>103076</v>
      </c>
      <c r="B7859" s="18">
        <v>0</v>
      </c>
      <c r="C7859" s="18" t="s">
        <v>3355</v>
      </c>
      <c r="D7859" s="18" t="s">
        <v>8636</v>
      </c>
      <c r="E7859" s="17" t="s">
        <v>599</v>
      </c>
      <c r="F7859" s="275"/>
    </row>
    <row r="7860" spans="1:6" s="262" customFormat="1">
      <c r="A7860" s="18">
        <v>103077</v>
      </c>
      <c r="B7860" s="18">
        <v>0</v>
      </c>
      <c r="C7860" s="18" t="s">
        <v>3355</v>
      </c>
      <c r="D7860" s="18" t="s">
        <v>8637</v>
      </c>
      <c r="E7860" s="17" t="s">
        <v>599</v>
      </c>
      <c r="F7860" s="275"/>
    </row>
    <row r="7861" spans="1:6" s="262" customFormat="1">
      <c r="A7861" s="18">
        <v>103078</v>
      </c>
      <c r="B7861" s="18">
        <v>0</v>
      </c>
      <c r="C7861" s="18" t="s">
        <v>3355</v>
      </c>
      <c r="D7861" s="18" t="s">
        <v>8638</v>
      </c>
      <c r="E7861" s="17" t="s">
        <v>599</v>
      </c>
      <c r="F7861" s="275"/>
    </row>
    <row r="7862" spans="1:6" s="262" customFormat="1">
      <c r="A7862" s="18">
        <v>103079</v>
      </c>
      <c r="B7862" s="18">
        <v>0</v>
      </c>
      <c r="C7862" s="18" t="s">
        <v>3355</v>
      </c>
      <c r="D7862" s="18" t="s">
        <v>8639</v>
      </c>
      <c r="E7862" s="17" t="s">
        <v>599</v>
      </c>
      <c r="F7862" s="275"/>
    </row>
    <row r="7863" spans="1:6" s="262" customFormat="1">
      <c r="A7863" s="18">
        <v>103080</v>
      </c>
      <c r="B7863" s="18">
        <v>0</v>
      </c>
      <c r="C7863" s="18" t="s">
        <v>3355</v>
      </c>
      <c r="D7863" s="18" t="s">
        <v>8640</v>
      </c>
      <c r="E7863" s="17" t="s">
        <v>599</v>
      </c>
      <c r="F7863" s="275"/>
    </row>
    <row r="7864" spans="1:6" s="262" customFormat="1">
      <c r="A7864" s="18">
        <v>103081</v>
      </c>
      <c r="B7864" s="18">
        <v>0</v>
      </c>
      <c r="C7864" s="18" t="s">
        <v>3355</v>
      </c>
      <c r="D7864" s="18" t="s">
        <v>8641</v>
      </c>
      <c r="E7864" s="17" t="s">
        <v>599</v>
      </c>
      <c r="F7864" s="275"/>
    </row>
    <row r="7865" spans="1:6" s="262" customFormat="1">
      <c r="A7865" s="18">
        <v>103082</v>
      </c>
      <c r="B7865" s="18">
        <v>0</v>
      </c>
      <c r="C7865" s="18" t="s">
        <v>3355</v>
      </c>
      <c r="D7865" s="18" t="s">
        <v>8642</v>
      </c>
      <c r="E7865" s="17" t="s">
        <v>599</v>
      </c>
      <c r="F7865" s="275"/>
    </row>
    <row r="7866" spans="1:6" s="262" customFormat="1">
      <c r="A7866" s="18">
        <v>103083</v>
      </c>
      <c r="B7866" s="18">
        <v>0</v>
      </c>
      <c r="C7866" s="18" t="s">
        <v>3355</v>
      </c>
      <c r="D7866" s="18" t="s">
        <v>8643</v>
      </c>
      <c r="E7866" s="17" t="s">
        <v>599</v>
      </c>
      <c r="F7866" s="275"/>
    </row>
    <row r="7867" spans="1:6" s="262" customFormat="1">
      <c r="A7867" s="18">
        <v>103084</v>
      </c>
      <c r="B7867" s="18">
        <v>0</v>
      </c>
      <c r="C7867" s="18" t="s">
        <v>3355</v>
      </c>
      <c r="D7867" s="18" t="s">
        <v>8644</v>
      </c>
      <c r="E7867" s="17" t="s">
        <v>599</v>
      </c>
      <c r="F7867" s="275"/>
    </row>
    <row r="7868" spans="1:6" s="262" customFormat="1">
      <c r="A7868" s="18">
        <v>103085</v>
      </c>
      <c r="B7868" s="18">
        <v>0</v>
      </c>
      <c r="C7868" s="18" t="s">
        <v>3355</v>
      </c>
      <c r="D7868" s="18" t="s">
        <v>8645</v>
      </c>
      <c r="E7868" s="17" t="s">
        <v>599</v>
      </c>
      <c r="F7868" s="275"/>
    </row>
    <row r="7869" spans="1:6" s="262" customFormat="1">
      <c r="A7869" s="18">
        <v>103086</v>
      </c>
      <c r="B7869" s="18">
        <v>0</v>
      </c>
      <c r="C7869" s="18" t="s">
        <v>3355</v>
      </c>
      <c r="D7869" s="18" t="s">
        <v>8646</v>
      </c>
      <c r="E7869" s="17" t="s">
        <v>599</v>
      </c>
      <c r="F7869" s="275"/>
    </row>
    <row r="7870" spans="1:6" s="262" customFormat="1">
      <c r="A7870" s="18">
        <v>103087</v>
      </c>
      <c r="B7870" s="18">
        <v>0</v>
      </c>
      <c r="C7870" s="18" t="s">
        <v>3355</v>
      </c>
      <c r="D7870" s="18" t="s">
        <v>8647</v>
      </c>
      <c r="E7870" s="17" t="s">
        <v>599</v>
      </c>
      <c r="F7870" s="275"/>
    </row>
    <row r="7871" spans="1:6" s="262" customFormat="1">
      <c r="A7871" s="18">
        <v>103088</v>
      </c>
      <c r="B7871" s="18">
        <v>0</v>
      </c>
      <c r="C7871" s="18" t="s">
        <v>3355</v>
      </c>
      <c r="D7871" s="18" t="s">
        <v>8648</v>
      </c>
      <c r="E7871" s="17" t="s">
        <v>599</v>
      </c>
      <c r="F7871" s="275"/>
    </row>
    <row r="7872" spans="1:6" s="262" customFormat="1">
      <c r="A7872" s="18">
        <v>103089</v>
      </c>
      <c r="B7872" s="18">
        <v>0</v>
      </c>
      <c r="C7872" s="18" t="s">
        <v>3355</v>
      </c>
      <c r="D7872" s="18" t="s">
        <v>8649</v>
      </c>
      <c r="E7872" s="17" t="s">
        <v>599</v>
      </c>
      <c r="F7872" s="275"/>
    </row>
    <row r="7873" spans="1:6" s="262" customFormat="1">
      <c r="A7873" s="18">
        <v>103090</v>
      </c>
      <c r="B7873" s="18">
        <v>0</v>
      </c>
      <c r="C7873" s="18" t="s">
        <v>3355</v>
      </c>
      <c r="D7873" s="18" t="s">
        <v>8650</v>
      </c>
      <c r="E7873" s="17" t="s">
        <v>599</v>
      </c>
      <c r="F7873" s="275"/>
    </row>
    <row r="7874" spans="1:6" s="262" customFormat="1">
      <c r="A7874" s="18">
        <v>103091</v>
      </c>
      <c r="B7874" s="18">
        <v>0</v>
      </c>
      <c r="C7874" s="18" t="s">
        <v>3355</v>
      </c>
      <c r="D7874" s="18" t="s">
        <v>8651</v>
      </c>
      <c r="E7874" s="17" t="s">
        <v>599</v>
      </c>
      <c r="F7874" s="275"/>
    </row>
    <row r="7875" spans="1:6" s="262" customFormat="1">
      <c r="A7875" s="18">
        <v>103092</v>
      </c>
      <c r="B7875" s="18">
        <v>0</v>
      </c>
      <c r="C7875" s="18" t="s">
        <v>3355</v>
      </c>
      <c r="D7875" s="18" t="s">
        <v>8652</v>
      </c>
      <c r="E7875" s="17" t="s">
        <v>599</v>
      </c>
      <c r="F7875" s="275"/>
    </row>
    <row r="7876" spans="1:6" s="262" customFormat="1">
      <c r="A7876" s="18">
        <v>103093</v>
      </c>
      <c r="B7876" s="18">
        <v>0</v>
      </c>
      <c r="C7876" s="18" t="s">
        <v>3355</v>
      </c>
      <c r="D7876" s="18" t="s">
        <v>8653</v>
      </c>
      <c r="E7876" s="17" t="s">
        <v>599</v>
      </c>
      <c r="F7876" s="275"/>
    </row>
    <row r="7877" spans="1:6" s="262" customFormat="1">
      <c r="A7877" s="18">
        <v>103094</v>
      </c>
      <c r="B7877" s="18">
        <v>0</v>
      </c>
      <c r="C7877" s="18" t="s">
        <v>3355</v>
      </c>
      <c r="D7877" s="18" t="s">
        <v>8654</v>
      </c>
      <c r="E7877" s="17" t="s">
        <v>599</v>
      </c>
      <c r="F7877" s="275"/>
    </row>
    <row r="7878" spans="1:6" s="262" customFormat="1">
      <c r="A7878" s="18">
        <v>103095</v>
      </c>
      <c r="B7878" s="18">
        <v>0</v>
      </c>
      <c r="C7878" s="18" t="s">
        <v>3355</v>
      </c>
      <c r="D7878" s="18" t="s">
        <v>8655</v>
      </c>
      <c r="E7878" s="17" t="s">
        <v>599</v>
      </c>
      <c r="F7878" s="275"/>
    </row>
    <row r="7879" spans="1:6" s="262" customFormat="1">
      <c r="A7879" s="18">
        <v>103096</v>
      </c>
      <c r="B7879" s="18">
        <v>0</v>
      </c>
      <c r="C7879" s="18" t="s">
        <v>3355</v>
      </c>
      <c r="D7879" s="18" t="s">
        <v>8656</v>
      </c>
      <c r="E7879" s="17" t="s">
        <v>599</v>
      </c>
      <c r="F7879" s="275"/>
    </row>
    <row r="7880" spans="1:6" s="262" customFormat="1">
      <c r="A7880" s="18">
        <v>103097</v>
      </c>
      <c r="B7880" s="18">
        <v>0</v>
      </c>
      <c r="C7880" s="18" t="s">
        <v>3355</v>
      </c>
      <c r="D7880" s="18" t="s">
        <v>8657</v>
      </c>
      <c r="E7880" s="17" t="s">
        <v>599</v>
      </c>
      <c r="F7880" s="275"/>
    </row>
    <row r="7881" spans="1:6" s="262" customFormat="1">
      <c r="A7881" s="18">
        <v>103098</v>
      </c>
      <c r="B7881" s="18">
        <v>0</v>
      </c>
      <c r="C7881" s="18" t="s">
        <v>3355</v>
      </c>
      <c r="D7881" s="18" t="s">
        <v>8658</v>
      </c>
      <c r="E7881" s="17" t="s">
        <v>599</v>
      </c>
      <c r="F7881" s="275"/>
    </row>
    <row r="7882" spans="1:6" s="262" customFormat="1">
      <c r="A7882" s="18">
        <v>103099</v>
      </c>
      <c r="B7882" s="18">
        <v>0</v>
      </c>
      <c r="C7882" s="18" t="s">
        <v>3355</v>
      </c>
      <c r="D7882" s="18" t="s">
        <v>8659</v>
      </c>
      <c r="E7882" s="17" t="s">
        <v>599</v>
      </c>
      <c r="F7882" s="275"/>
    </row>
    <row r="7883" spans="1:6" s="262" customFormat="1">
      <c r="A7883" s="18">
        <v>103100</v>
      </c>
      <c r="B7883" s="18">
        <v>0</v>
      </c>
      <c r="C7883" s="18" t="s">
        <v>3355</v>
      </c>
      <c r="D7883" s="18" t="s">
        <v>8660</v>
      </c>
      <c r="E7883" s="17" t="s">
        <v>599</v>
      </c>
      <c r="F7883" s="275"/>
    </row>
    <row r="7884" spans="1:6" s="262" customFormat="1">
      <c r="A7884" s="18">
        <v>103101</v>
      </c>
      <c r="B7884" s="18">
        <v>0</v>
      </c>
      <c r="C7884" s="18" t="s">
        <v>3355</v>
      </c>
      <c r="D7884" s="18" t="s">
        <v>8661</v>
      </c>
      <c r="E7884" s="17" t="s">
        <v>599</v>
      </c>
      <c r="F7884" s="275"/>
    </row>
    <row r="7885" spans="1:6" s="262" customFormat="1">
      <c r="A7885" s="18">
        <v>103102</v>
      </c>
      <c r="B7885" s="18">
        <v>0</v>
      </c>
      <c r="C7885" s="18" t="s">
        <v>3355</v>
      </c>
      <c r="D7885" s="18" t="s">
        <v>8662</v>
      </c>
      <c r="E7885" s="17" t="s">
        <v>599</v>
      </c>
      <c r="F7885" s="275"/>
    </row>
    <row r="7886" spans="1:6" s="262" customFormat="1">
      <c r="A7886" s="18">
        <v>103103</v>
      </c>
      <c r="B7886" s="18">
        <v>0</v>
      </c>
      <c r="C7886" s="18" t="s">
        <v>3355</v>
      </c>
      <c r="D7886" s="18" t="s">
        <v>8663</v>
      </c>
      <c r="E7886" s="17" t="s">
        <v>599</v>
      </c>
      <c r="F7886" s="275"/>
    </row>
    <row r="7887" spans="1:6" s="262" customFormat="1">
      <c r="A7887" s="18">
        <v>103104</v>
      </c>
      <c r="B7887" s="18">
        <v>0</v>
      </c>
      <c r="C7887" s="18" t="s">
        <v>3355</v>
      </c>
      <c r="D7887" s="18" t="s">
        <v>8664</v>
      </c>
      <c r="E7887" s="17" t="s">
        <v>599</v>
      </c>
      <c r="F7887" s="275"/>
    </row>
    <row r="7888" spans="1:6" s="262" customFormat="1">
      <c r="A7888" s="18">
        <v>103105</v>
      </c>
      <c r="B7888" s="18">
        <v>0</v>
      </c>
      <c r="C7888" s="18" t="s">
        <v>3355</v>
      </c>
      <c r="D7888" s="18" t="s">
        <v>8665</v>
      </c>
      <c r="E7888" s="17" t="s">
        <v>599</v>
      </c>
      <c r="F7888" s="275"/>
    </row>
    <row r="7889" spans="1:6" s="262" customFormat="1">
      <c r="A7889" s="18">
        <v>103106</v>
      </c>
      <c r="B7889" s="18">
        <v>0</v>
      </c>
      <c r="C7889" s="18" t="s">
        <v>3355</v>
      </c>
      <c r="D7889" s="18" t="s">
        <v>8666</v>
      </c>
      <c r="E7889" s="17" t="s">
        <v>599</v>
      </c>
      <c r="F7889" s="275"/>
    </row>
    <row r="7890" spans="1:6" s="262" customFormat="1">
      <c r="A7890" s="18">
        <v>103107</v>
      </c>
      <c r="B7890" s="18">
        <v>0</v>
      </c>
      <c r="C7890" s="18" t="s">
        <v>3355</v>
      </c>
      <c r="D7890" s="18" t="s">
        <v>8667</v>
      </c>
      <c r="E7890" s="17" t="s">
        <v>599</v>
      </c>
      <c r="F7890" s="275"/>
    </row>
    <row r="7891" spans="1:6" s="262" customFormat="1">
      <c r="A7891" s="18">
        <v>103108</v>
      </c>
      <c r="B7891" s="18">
        <v>0</v>
      </c>
      <c r="C7891" s="18" t="s">
        <v>3355</v>
      </c>
      <c r="D7891" s="18" t="s">
        <v>8668</v>
      </c>
      <c r="E7891" s="17" t="s">
        <v>599</v>
      </c>
      <c r="F7891" s="275"/>
    </row>
    <row r="7892" spans="1:6" s="262" customFormat="1">
      <c r="A7892" s="18">
        <v>103109</v>
      </c>
      <c r="B7892" s="18">
        <v>0</v>
      </c>
      <c r="C7892" s="18" t="s">
        <v>3355</v>
      </c>
      <c r="D7892" s="18" t="s">
        <v>8669</v>
      </c>
      <c r="E7892" s="17" t="s">
        <v>599</v>
      </c>
      <c r="F7892" s="275"/>
    </row>
    <row r="7893" spans="1:6" s="262" customFormat="1">
      <c r="A7893" s="18">
        <v>103110</v>
      </c>
      <c r="B7893" s="18">
        <v>0</v>
      </c>
      <c r="C7893" s="18" t="s">
        <v>3355</v>
      </c>
      <c r="D7893" s="18" t="s">
        <v>8670</v>
      </c>
      <c r="E7893" s="17" t="s">
        <v>599</v>
      </c>
      <c r="F7893" s="275"/>
    </row>
    <row r="7894" spans="1:6" s="262" customFormat="1">
      <c r="A7894" s="18">
        <v>103111</v>
      </c>
      <c r="B7894" s="18">
        <v>0</v>
      </c>
      <c r="C7894" s="18" t="s">
        <v>3355</v>
      </c>
      <c r="D7894" s="18" t="s">
        <v>8671</v>
      </c>
      <c r="E7894" s="17" t="s">
        <v>599</v>
      </c>
      <c r="F7894" s="275"/>
    </row>
    <row r="7895" spans="1:6" s="262" customFormat="1">
      <c r="A7895" s="18">
        <v>103112</v>
      </c>
      <c r="B7895" s="18">
        <v>0</v>
      </c>
      <c r="C7895" s="18" t="s">
        <v>3355</v>
      </c>
      <c r="D7895" s="18" t="s">
        <v>8672</v>
      </c>
      <c r="E7895" s="17" t="s">
        <v>599</v>
      </c>
      <c r="F7895" s="275"/>
    </row>
    <row r="7896" spans="1:6" s="262" customFormat="1">
      <c r="A7896" s="18">
        <v>103113</v>
      </c>
      <c r="B7896" s="18">
        <v>0</v>
      </c>
      <c r="C7896" s="18" t="s">
        <v>3355</v>
      </c>
      <c r="D7896" s="18" t="s">
        <v>8673</v>
      </c>
      <c r="E7896" s="17" t="s">
        <v>599</v>
      </c>
      <c r="F7896" s="275"/>
    </row>
    <row r="7897" spans="1:6" s="262" customFormat="1">
      <c r="A7897" s="18">
        <v>103114</v>
      </c>
      <c r="B7897" s="18">
        <v>0</v>
      </c>
      <c r="C7897" s="18" t="s">
        <v>3355</v>
      </c>
      <c r="D7897" s="18" t="s">
        <v>8674</v>
      </c>
      <c r="E7897" s="17" t="s">
        <v>599</v>
      </c>
      <c r="F7897" s="275"/>
    </row>
    <row r="7898" spans="1:6" s="262" customFormat="1">
      <c r="A7898" s="18">
        <v>103115</v>
      </c>
      <c r="B7898" s="18">
        <v>0</v>
      </c>
      <c r="C7898" s="18" t="s">
        <v>3355</v>
      </c>
      <c r="D7898" s="18" t="s">
        <v>8675</v>
      </c>
      <c r="E7898" s="17" t="s">
        <v>599</v>
      </c>
      <c r="F7898" s="275"/>
    </row>
    <row r="7899" spans="1:6" s="262" customFormat="1">
      <c r="A7899" s="18">
        <v>103116</v>
      </c>
      <c r="B7899" s="18">
        <v>0</v>
      </c>
      <c r="C7899" s="18" t="s">
        <v>3355</v>
      </c>
      <c r="D7899" s="18" t="s">
        <v>8676</v>
      </c>
      <c r="E7899" s="17" t="s">
        <v>599</v>
      </c>
      <c r="F7899" s="275"/>
    </row>
    <row r="7900" spans="1:6" s="262" customFormat="1">
      <c r="A7900" s="18">
        <v>103117</v>
      </c>
      <c r="B7900" s="18">
        <v>0</v>
      </c>
      <c r="C7900" s="18" t="s">
        <v>3355</v>
      </c>
      <c r="D7900" s="18" t="s">
        <v>8677</v>
      </c>
      <c r="E7900" s="17" t="s">
        <v>599</v>
      </c>
      <c r="F7900" s="275"/>
    </row>
    <row r="7901" spans="1:6" s="262" customFormat="1">
      <c r="A7901" s="18">
        <v>103118</v>
      </c>
      <c r="B7901" s="18">
        <v>0</v>
      </c>
      <c r="C7901" s="18" t="s">
        <v>3355</v>
      </c>
      <c r="D7901" s="18" t="s">
        <v>8678</v>
      </c>
      <c r="E7901" s="17" t="s">
        <v>599</v>
      </c>
      <c r="F7901" s="275"/>
    </row>
    <row r="7902" spans="1:6" s="262" customFormat="1">
      <c r="A7902" s="18">
        <v>103119</v>
      </c>
      <c r="B7902" s="18">
        <v>0</v>
      </c>
      <c r="C7902" s="18" t="s">
        <v>3355</v>
      </c>
      <c r="D7902" s="18" t="s">
        <v>8679</v>
      </c>
      <c r="E7902" s="17" t="s">
        <v>599</v>
      </c>
      <c r="F7902" s="275"/>
    </row>
    <row r="7903" spans="1:6" s="262" customFormat="1">
      <c r="A7903" s="18">
        <v>103120</v>
      </c>
      <c r="B7903" s="18">
        <v>0</v>
      </c>
      <c r="C7903" s="18" t="s">
        <v>3355</v>
      </c>
      <c r="D7903" s="18" t="s">
        <v>8680</v>
      </c>
      <c r="E7903" s="17" t="s">
        <v>599</v>
      </c>
      <c r="F7903" s="275"/>
    </row>
    <row r="7904" spans="1:6" s="263" customFormat="1">
      <c r="A7904" s="18">
        <v>103121</v>
      </c>
      <c r="B7904" s="18">
        <v>0</v>
      </c>
      <c r="C7904" s="18" t="s">
        <v>3355</v>
      </c>
      <c r="D7904" s="18" t="s">
        <v>8681</v>
      </c>
      <c r="E7904" s="17" t="s">
        <v>599</v>
      </c>
      <c r="F7904" s="276"/>
    </row>
    <row r="7905" spans="1:6" s="263" customFormat="1">
      <c r="A7905" s="18">
        <v>103122</v>
      </c>
      <c r="B7905" s="18">
        <v>0</v>
      </c>
      <c r="C7905" s="18" t="s">
        <v>3355</v>
      </c>
      <c r="D7905" s="18" t="s">
        <v>8682</v>
      </c>
      <c r="E7905" s="17" t="s">
        <v>599</v>
      </c>
      <c r="F7905" s="276"/>
    </row>
    <row r="7906" spans="1:6" s="263" customFormat="1">
      <c r="A7906" s="18">
        <v>103123</v>
      </c>
      <c r="B7906" s="18">
        <v>0</v>
      </c>
      <c r="C7906" s="18" t="s">
        <v>3355</v>
      </c>
      <c r="D7906" s="18" t="s">
        <v>8683</v>
      </c>
      <c r="E7906" s="17" t="s">
        <v>599</v>
      </c>
      <c r="F7906" s="276"/>
    </row>
    <row r="7907" spans="1:6" s="263" customFormat="1">
      <c r="A7907" s="18">
        <v>103124</v>
      </c>
      <c r="B7907" s="18">
        <v>0</v>
      </c>
      <c r="C7907" s="18" t="s">
        <v>3355</v>
      </c>
      <c r="D7907" s="18" t="s">
        <v>8684</v>
      </c>
      <c r="E7907" s="17" t="s">
        <v>599</v>
      </c>
      <c r="F7907" s="276"/>
    </row>
    <row r="7908" spans="1:6" s="263" customFormat="1">
      <c r="A7908" s="18">
        <v>103125</v>
      </c>
      <c r="B7908" s="18">
        <v>0</v>
      </c>
      <c r="C7908" s="18" t="s">
        <v>3355</v>
      </c>
      <c r="D7908" s="18" t="s">
        <v>8685</v>
      </c>
      <c r="E7908" s="17" t="s">
        <v>599</v>
      </c>
      <c r="F7908" s="276"/>
    </row>
    <row r="7909" spans="1:6" s="263" customFormat="1">
      <c r="A7909" s="18">
        <v>103126</v>
      </c>
      <c r="B7909" s="18">
        <v>0</v>
      </c>
      <c r="C7909" s="18" t="s">
        <v>3355</v>
      </c>
      <c r="D7909" s="18" t="s">
        <v>8686</v>
      </c>
      <c r="E7909" s="17" t="s">
        <v>599</v>
      </c>
      <c r="F7909" s="276"/>
    </row>
    <row r="7910" spans="1:6" s="263" customFormat="1">
      <c r="A7910" s="18">
        <v>103127</v>
      </c>
      <c r="B7910" s="18">
        <v>0</v>
      </c>
      <c r="C7910" s="18" t="s">
        <v>3355</v>
      </c>
      <c r="D7910" s="18" t="s">
        <v>8687</v>
      </c>
      <c r="E7910" s="17" t="s">
        <v>599</v>
      </c>
      <c r="F7910" s="276"/>
    </row>
    <row r="7911" spans="1:6" s="263" customFormat="1">
      <c r="A7911" s="18">
        <v>103128</v>
      </c>
      <c r="B7911" s="18">
        <v>0</v>
      </c>
      <c r="C7911" s="18" t="s">
        <v>3355</v>
      </c>
      <c r="D7911" s="18" t="s">
        <v>8688</v>
      </c>
      <c r="E7911" s="17" t="s">
        <v>599</v>
      </c>
      <c r="F7911" s="276"/>
    </row>
    <row r="7912" spans="1:6" s="263" customFormat="1">
      <c r="A7912" s="18">
        <v>103129</v>
      </c>
      <c r="B7912" s="18">
        <v>0</v>
      </c>
      <c r="C7912" s="18" t="s">
        <v>3355</v>
      </c>
      <c r="D7912" s="18" t="s">
        <v>8689</v>
      </c>
      <c r="E7912" s="17" t="s">
        <v>599</v>
      </c>
      <c r="F7912" s="276"/>
    </row>
    <row r="7913" spans="1:6" s="263" customFormat="1">
      <c r="A7913" s="18">
        <v>103130</v>
      </c>
      <c r="B7913" s="18">
        <v>0</v>
      </c>
      <c r="C7913" s="18" t="s">
        <v>3355</v>
      </c>
      <c r="D7913" s="18" t="s">
        <v>8690</v>
      </c>
      <c r="E7913" s="17" t="s">
        <v>599</v>
      </c>
      <c r="F7913" s="276"/>
    </row>
    <row r="7914" spans="1:6" s="263" customFormat="1">
      <c r="A7914" s="18">
        <v>103131</v>
      </c>
      <c r="B7914" s="18">
        <v>0</v>
      </c>
      <c r="C7914" s="18" t="s">
        <v>3355</v>
      </c>
      <c r="D7914" s="18" t="s">
        <v>8691</v>
      </c>
      <c r="E7914" s="17" t="s">
        <v>599</v>
      </c>
      <c r="F7914" s="276"/>
    </row>
    <row r="7915" spans="1:6" s="263" customFormat="1">
      <c r="A7915" s="18">
        <v>103132</v>
      </c>
      <c r="B7915" s="18">
        <v>0</v>
      </c>
      <c r="C7915" s="18" t="s">
        <v>3355</v>
      </c>
      <c r="D7915" s="18" t="s">
        <v>8692</v>
      </c>
      <c r="E7915" s="17" t="s">
        <v>599</v>
      </c>
      <c r="F7915" s="276"/>
    </row>
    <row r="7916" spans="1:6" s="263" customFormat="1">
      <c r="A7916" s="18">
        <v>103133</v>
      </c>
      <c r="B7916" s="18">
        <v>0</v>
      </c>
      <c r="C7916" s="18" t="s">
        <v>3355</v>
      </c>
      <c r="D7916" s="18" t="s">
        <v>8693</v>
      </c>
      <c r="E7916" s="17" t="s">
        <v>599</v>
      </c>
      <c r="F7916" s="276"/>
    </row>
    <row r="7917" spans="1:6" s="263" customFormat="1">
      <c r="A7917" s="18">
        <v>103134</v>
      </c>
      <c r="B7917" s="18">
        <v>0</v>
      </c>
      <c r="C7917" s="18" t="s">
        <v>3355</v>
      </c>
      <c r="D7917" s="18" t="s">
        <v>8694</v>
      </c>
      <c r="E7917" s="17" t="s">
        <v>599</v>
      </c>
      <c r="F7917" s="276"/>
    </row>
    <row r="7918" spans="1:6" s="263" customFormat="1">
      <c r="A7918" s="18">
        <v>103135</v>
      </c>
      <c r="B7918" s="18">
        <v>0</v>
      </c>
      <c r="C7918" s="18" t="s">
        <v>3355</v>
      </c>
      <c r="D7918" s="18" t="s">
        <v>8695</v>
      </c>
      <c r="E7918" s="17" t="s">
        <v>599</v>
      </c>
      <c r="F7918" s="276"/>
    </row>
    <row r="7919" spans="1:6" s="263" customFormat="1">
      <c r="A7919" s="18">
        <v>103136</v>
      </c>
      <c r="B7919" s="18">
        <v>0</v>
      </c>
      <c r="C7919" s="18" t="s">
        <v>3355</v>
      </c>
      <c r="D7919" s="18" t="s">
        <v>8696</v>
      </c>
      <c r="E7919" s="17" t="s">
        <v>599</v>
      </c>
      <c r="F7919" s="276"/>
    </row>
    <row r="7920" spans="1:6" s="263" customFormat="1">
      <c r="A7920" s="18">
        <v>103137</v>
      </c>
      <c r="B7920" s="18">
        <v>0</v>
      </c>
      <c r="C7920" s="18" t="s">
        <v>3355</v>
      </c>
      <c r="D7920" s="18" t="s">
        <v>8697</v>
      </c>
      <c r="E7920" s="17" t="s">
        <v>599</v>
      </c>
      <c r="F7920" s="276"/>
    </row>
    <row r="7921" spans="1:6" s="263" customFormat="1">
      <c r="A7921" s="18">
        <v>103138</v>
      </c>
      <c r="B7921" s="18">
        <v>0</v>
      </c>
      <c r="C7921" s="18" t="s">
        <v>3355</v>
      </c>
      <c r="D7921" s="18" t="s">
        <v>8698</v>
      </c>
      <c r="E7921" s="17" t="s">
        <v>599</v>
      </c>
      <c r="F7921" s="276"/>
    </row>
    <row r="7922" spans="1:6" s="263" customFormat="1">
      <c r="A7922" s="18">
        <v>103139</v>
      </c>
      <c r="B7922" s="18">
        <v>0</v>
      </c>
      <c r="C7922" s="18" t="s">
        <v>3355</v>
      </c>
      <c r="D7922" s="18" t="s">
        <v>8699</v>
      </c>
      <c r="E7922" s="17" t="s">
        <v>599</v>
      </c>
      <c r="F7922" s="276"/>
    </row>
    <row r="7923" spans="1:6" s="263" customFormat="1">
      <c r="A7923" s="18">
        <v>103140</v>
      </c>
      <c r="B7923" s="18">
        <v>0</v>
      </c>
      <c r="C7923" s="18" t="s">
        <v>3355</v>
      </c>
      <c r="D7923" s="18" t="s">
        <v>8700</v>
      </c>
      <c r="E7923" s="17" t="s">
        <v>599</v>
      </c>
      <c r="F7923" s="276"/>
    </row>
    <row r="7924" spans="1:6" s="263" customFormat="1">
      <c r="A7924" s="18">
        <v>103141</v>
      </c>
      <c r="B7924" s="18">
        <v>0</v>
      </c>
      <c r="C7924" s="18" t="s">
        <v>3355</v>
      </c>
      <c r="D7924" s="18" t="s">
        <v>8701</v>
      </c>
      <c r="E7924" s="17" t="s">
        <v>599</v>
      </c>
      <c r="F7924" s="276"/>
    </row>
    <row r="7925" spans="1:6" s="263" customFormat="1">
      <c r="A7925" s="18">
        <v>103142</v>
      </c>
      <c r="B7925" s="18">
        <v>0</v>
      </c>
      <c r="C7925" s="18" t="s">
        <v>3355</v>
      </c>
      <c r="D7925" s="18" t="s">
        <v>8702</v>
      </c>
      <c r="E7925" s="17" t="s">
        <v>599</v>
      </c>
      <c r="F7925" s="276"/>
    </row>
    <row r="7926" spans="1:6" s="263" customFormat="1">
      <c r="A7926" s="18">
        <v>103143</v>
      </c>
      <c r="B7926" s="18">
        <v>0</v>
      </c>
      <c r="C7926" s="18" t="s">
        <v>3355</v>
      </c>
      <c r="D7926" s="18" t="s">
        <v>8703</v>
      </c>
      <c r="E7926" s="17" t="s">
        <v>599</v>
      </c>
      <c r="F7926" s="276"/>
    </row>
    <row r="7927" spans="1:6" s="263" customFormat="1">
      <c r="A7927" s="18">
        <v>103144</v>
      </c>
      <c r="B7927" s="18">
        <v>0</v>
      </c>
      <c r="C7927" s="18" t="s">
        <v>3355</v>
      </c>
      <c r="D7927" s="18" t="s">
        <v>8704</v>
      </c>
      <c r="E7927" s="17" t="s">
        <v>599</v>
      </c>
      <c r="F7927" s="276"/>
    </row>
    <row r="7928" spans="1:6" s="263" customFormat="1">
      <c r="A7928" s="18">
        <v>103145</v>
      </c>
      <c r="B7928" s="18">
        <v>0</v>
      </c>
      <c r="C7928" s="18" t="s">
        <v>3355</v>
      </c>
      <c r="D7928" s="18" t="s">
        <v>8705</v>
      </c>
      <c r="E7928" s="17" t="s">
        <v>599</v>
      </c>
      <c r="F7928" s="276"/>
    </row>
    <row r="7929" spans="1:6" s="263" customFormat="1">
      <c r="A7929" s="18">
        <v>103146</v>
      </c>
      <c r="B7929" s="18">
        <v>0</v>
      </c>
      <c r="C7929" s="18" t="s">
        <v>3355</v>
      </c>
      <c r="D7929" s="18" t="s">
        <v>8706</v>
      </c>
      <c r="E7929" s="17" t="s">
        <v>599</v>
      </c>
      <c r="F7929" s="276"/>
    </row>
    <row r="7930" spans="1:6" s="263" customFormat="1">
      <c r="A7930" s="18">
        <v>103147</v>
      </c>
      <c r="B7930" s="18">
        <v>0</v>
      </c>
      <c r="C7930" s="18" t="s">
        <v>3355</v>
      </c>
      <c r="D7930" s="18" t="s">
        <v>8707</v>
      </c>
      <c r="E7930" s="17" t="s">
        <v>599</v>
      </c>
      <c r="F7930" s="276"/>
    </row>
    <row r="7931" spans="1:6" s="263" customFormat="1">
      <c r="A7931" s="18">
        <v>103148</v>
      </c>
      <c r="B7931" s="18">
        <v>0</v>
      </c>
      <c r="C7931" s="18" t="s">
        <v>3355</v>
      </c>
      <c r="D7931" s="18" t="s">
        <v>8708</v>
      </c>
      <c r="E7931" s="17" t="s">
        <v>599</v>
      </c>
      <c r="F7931" s="276"/>
    </row>
    <row r="7932" spans="1:6" s="263" customFormat="1">
      <c r="A7932" s="18">
        <v>103149</v>
      </c>
      <c r="B7932" s="18">
        <v>0</v>
      </c>
      <c r="C7932" s="18" t="s">
        <v>3355</v>
      </c>
      <c r="D7932" s="18" t="s">
        <v>8709</v>
      </c>
      <c r="E7932" s="17" t="s">
        <v>599</v>
      </c>
      <c r="F7932" s="276"/>
    </row>
    <row r="7933" spans="1:6" s="263" customFormat="1">
      <c r="A7933" s="18">
        <v>103150</v>
      </c>
      <c r="B7933" s="18">
        <v>0</v>
      </c>
      <c r="C7933" s="18" t="s">
        <v>3355</v>
      </c>
      <c r="D7933" s="18" t="s">
        <v>8710</v>
      </c>
      <c r="E7933" s="17" t="s">
        <v>599</v>
      </c>
      <c r="F7933" s="276"/>
    </row>
    <row r="7934" spans="1:6" s="263" customFormat="1">
      <c r="A7934" s="18">
        <v>103151</v>
      </c>
      <c r="B7934" s="18">
        <v>0</v>
      </c>
      <c r="C7934" s="18" t="s">
        <v>3355</v>
      </c>
      <c r="D7934" s="18" t="s">
        <v>8711</v>
      </c>
      <c r="E7934" s="17" t="s">
        <v>599</v>
      </c>
      <c r="F7934" s="276"/>
    </row>
    <row r="7935" spans="1:6" s="263" customFormat="1">
      <c r="A7935" s="18">
        <v>103152</v>
      </c>
      <c r="B7935" s="18">
        <v>0</v>
      </c>
      <c r="C7935" s="18" t="s">
        <v>3355</v>
      </c>
      <c r="D7935" s="18" t="s">
        <v>8712</v>
      </c>
      <c r="E7935" s="17" t="s">
        <v>599</v>
      </c>
      <c r="F7935" s="276"/>
    </row>
    <row r="7936" spans="1:6" s="263" customFormat="1">
      <c r="A7936" s="18">
        <v>103153</v>
      </c>
      <c r="B7936" s="18">
        <v>0</v>
      </c>
      <c r="C7936" s="18" t="s">
        <v>3355</v>
      </c>
      <c r="D7936" s="18" t="s">
        <v>8713</v>
      </c>
      <c r="E7936" s="17" t="s">
        <v>599</v>
      </c>
      <c r="F7936" s="276"/>
    </row>
    <row r="7937" spans="1:6" s="263" customFormat="1">
      <c r="A7937" s="18">
        <v>103154</v>
      </c>
      <c r="B7937" s="18">
        <v>0</v>
      </c>
      <c r="C7937" s="18" t="s">
        <v>3355</v>
      </c>
      <c r="D7937" s="18" t="s">
        <v>8714</v>
      </c>
      <c r="E7937" s="17" t="s">
        <v>599</v>
      </c>
      <c r="F7937" s="276"/>
    </row>
    <row r="7938" spans="1:6" s="263" customFormat="1">
      <c r="A7938" s="18">
        <v>103155</v>
      </c>
      <c r="B7938" s="18">
        <v>0</v>
      </c>
      <c r="C7938" s="18" t="s">
        <v>3355</v>
      </c>
      <c r="D7938" s="18" t="s">
        <v>8715</v>
      </c>
      <c r="E7938" s="17" t="s">
        <v>599</v>
      </c>
      <c r="F7938" s="276"/>
    </row>
    <row r="7939" spans="1:6" s="263" customFormat="1">
      <c r="A7939" s="18">
        <v>103156</v>
      </c>
      <c r="B7939" s="18">
        <v>0</v>
      </c>
      <c r="C7939" s="18" t="s">
        <v>3355</v>
      </c>
      <c r="D7939" s="18" t="s">
        <v>8716</v>
      </c>
      <c r="E7939" s="17" t="s">
        <v>599</v>
      </c>
      <c r="F7939" s="276"/>
    </row>
    <row r="7940" spans="1:6" s="263" customFormat="1">
      <c r="A7940" s="18">
        <v>103157</v>
      </c>
      <c r="B7940" s="18">
        <v>0</v>
      </c>
      <c r="C7940" s="18" t="s">
        <v>3355</v>
      </c>
      <c r="D7940" s="18" t="s">
        <v>8717</v>
      </c>
      <c r="E7940" s="17" t="s">
        <v>599</v>
      </c>
      <c r="F7940" s="276"/>
    </row>
    <row r="7941" spans="1:6" s="263" customFormat="1">
      <c r="A7941" s="18">
        <v>103158</v>
      </c>
      <c r="B7941" s="18">
        <v>0</v>
      </c>
      <c r="C7941" s="18" t="s">
        <v>3355</v>
      </c>
      <c r="D7941" s="18" t="s">
        <v>8718</v>
      </c>
      <c r="E7941" s="17" t="s">
        <v>599</v>
      </c>
      <c r="F7941" s="276"/>
    </row>
    <row r="7942" spans="1:6" s="263" customFormat="1">
      <c r="A7942" s="18">
        <v>103159</v>
      </c>
      <c r="B7942" s="18">
        <v>0</v>
      </c>
      <c r="C7942" s="18" t="s">
        <v>3355</v>
      </c>
      <c r="D7942" s="18" t="s">
        <v>8719</v>
      </c>
      <c r="E7942" s="17" t="s">
        <v>599</v>
      </c>
      <c r="F7942" s="276"/>
    </row>
    <row r="7943" spans="1:6" s="263" customFormat="1">
      <c r="A7943" s="18">
        <v>103160</v>
      </c>
      <c r="B7943" s="18">
        <v>0</v>
      </c>
      <c r="C7943" s="18" t="s">
        <v>3355</v>
      </c>
      <c r="D7943" s="18" t="s">
        <v>8720</v>
      </c>
      <c r="E7943" s="17" t="s">
        <v>599</v>
      </c>
      <c r="F7943" s="276"/>
    </row>
    <row r="7944" spans="1:6" s="263" customFormat="1">
      <c r="A7944" s="18">
        <v>103161</v>
      </c>
      <c r="B7944" s="18">
        <v>0</v>
      </c>
      <c r="C7944" s="18" t="s">
        <v>3355</v>
      </c>
      <c r="D7944" s="18" t="s">
        <v>8721</v>
      </c>
      <c r="E7944" s="17" t="s">
        <v>599</v>
      </c>
      <c r="F7944" s="276"/>
    </row>
    <row r="7945" spans="1:6" s="262" customFormat="1">
      <c r="A7945" s="209">
        <v>103501</v>
      </c>
      <c r="B7945" s="209">
        <v>0</v>
      </c>
      <c r="C7945" s="209" t="s">
        <v>7182</v>
      </c>
      <c r="D7945" s="209" t="s">
        <v>11272</v>
      </c>
      <c r="E7945" s="210" t="s">
        <v>7188</v>
      </c>
      <c r="F7945" s="275"/>
    </row>
    <row r="7946" spans="1:6" s="262" customFormat="1">
      <c r="A7946" s="209">
        <v>103502</v>
      </c>
      <c r="B7946" s="209">
        <v>0</v>
      </c>
      <c r="C7946" s="209" t="s">
        <v>7182</v>
      </c>
      <c r="D7946" s="209" t="s">
        <v>8722</v>
      </c>
      <c r="E7946" s="210" t="s">
        <v>7188</v>
      </c>
      <c r="F7946" s="275"/>
    </row>
    <row r="7947" spans="1:6" s="262" customFormat="1">
      <c r="A7947" s="209">
        <v>103503</v>
      </c>
      <c r="B7947" s="209">
        <v>0</v>
      </c>
      <c r="C7947" s="209" t="s">
        <v>7182</v>
      </c>
      <c r="D7947" s="209" t="s">
        <v>11213</v>
      </c>
      <c r="E7947" s="210" t="s">
        <v>7188</v>
      </c>
      <c r="F7947" s="275"/>
    </row>
    <row r="7948" spans="1:6" s="262" customFormat="1">
      <c r="A7948" s="209">
        <v>103504</v>
      </c>
      <c r="B7948" s="209">
        <v>0</v>
      </c>
      <c r="C7948" s="209" t="s">
        <v>7182</v>
      </c>
      <c r="D7948" s="209" t="s">
        <v>8723</v>
      </c>
      <c r="E7948" s="210" t="s">
        <v>7188</v>
      </c>
      <c r="F7948" s="275"/>
    </row>
    <row r="7949" spans="1:6" s="262" customFormat="1">
      <c r="A7949" s="209">
        <v>103505</v>
      </c>
      <c r="B7949" s="209">
        <v>0</v>
      </c>
      <c r="C7949" s="209" t="s">
        <v>7182</v>
      </c>
      <c r="D7949" s="209" t="s">
        <v>11214</v>
      </c>
      <c r="E7949" s="210" t="s">
        <v>7188</v>
      </c>
      <c r="F7949" s="275"/>
    </row>
    <row r="7950" spans="1:6" s="262" customFormat="1">
      <c r="A7950" s="209">
        <v>103506</v>
      </c>
      <c r="B7950" s="209">
        <v>0</v>
      </c>
      <c r="C7950" s="209" t="s">
        <v>7182</v>
      </c>
      <c r="D7950" s="209" t="s">
        <v>8724</v>
      </c>
      <c r="E7950" s="210" t="s">
        <v>7188</v>
      </c>
      <c r="F7950" s="275"/>
    </row>
    <row r="7951" spans="1:6" s="262" customFormat="1">
      <c r="A7951" s="209">
        <v>103507</v>
      </c>
      <c r="B7951" s="209">
        <v>0</v>
      </c>
      <c r="C7951" s="209" t="s">
        <v>7182</v>
      </c>
      <c r="D7951" s="209" t="s">
        <v>11215</v>
      </c>
      <c r="E7951" s="210" t="s">
        <v>7188</v>
      </c>
      <c r="F7951" s="275"/>
    </row>
    <row r="7952" spans="1:6" s="262" customFormat="1">
      <c r="A7952" s="209">
        <v>103508</v>
      </c>
      <c r="B7952" s="209">
        <v>0</v>
      </c>
      <c r="C7952" s="209" t="s">
        <v>7182</v>
      </c>
      <c r="D7952" s="209" t="s">
        <v>8725</v>
      </c>
      <c r="E7952" s="210" t="s">
        <v>7188</v>
      </c>
      <c r="F7952" s="275"/>
    </row>
    <row r="7953" spans="1:6" s="262" customFormat="1">
      <c r="A7953" s="209">
        <v>103509</v>
      </c>
      <c r="B7953" s="209">
        <v>0</v>
      </c>
      <c r="C7953" s="209" t="s">
        <v>7182</v>
      </c>
      <c r="D7953" s="209" t="s">
        <v>11216</v>
      </c>
      <c r="E7953" s="210" t="s">
        <v>7188</v>
      </c>
      <c r="F7953" s="275"/>
    </row>
    <row r="7954" spans="1:6" s="262" customFormat="1">
      <c r="A7954" s="209">
        <v>103510</v>
      </c>
      <c r="B7954" s="209">
        <v>0</v>
      </c>
      <c r="C7954" s="209" t="s">
        <v>7182</v>
      </c>
      <c r="D7954" s="209" t="s">
        <v>8726</v>
      </c>
      <c r="E7954" s="210" t="s">
        <v>7188</v>
      </c>
      <c r="F7954" s="275"/>
    </row>
    <row r="7955" spans="1:6" s="262" customFormat="1">
      <c r="A7955" s="209">
        <v>103511</v>
      </c>
      <c r="B7955" s="209">
        <v>0</v>
      </c>
      <c r="C7955" s="209" t="s">
        <v>7182</v>
      </c>
      <c r="D7955" s="209" t="s">
        <v>11217</v>
      </c>
      <c r="E7955" s="210" t="s">
        <v>7188</v>
      </c>
      <c r="F7955" s="275"/>
    </row>
    <row r="7956" spans="1:6" s="262" customFormat="1">
      <c r="A7956" s="209">
        <v>103512</v>
      </c>
      <c r="B7956" s="209">
        <v>0</v>
      </c>
      <c r="C7956" s="209" t="s">
        <v>7182</v>
      </c>
      <c r="D7956" s="209" t="s">
        <v>8727</v>
      </c>
      <c r="E7956" s="210" t="s">
        <v>7188</v>
      </c>
      <c r="F7956" s="275"/>
    </row>
    <row r="7957" spans="1:6" s="262" customFormat="1">
      <c r="A7957" s="209">
        <v>103513</v>
      </c>
      <c r="B7957" s="209">
        <v>0</v>
      </c>
      <c r="C7957" s="209" t="s">
        <v>7182</v>
      </c>
      <c r="D7957" s="209" t="s">
        <v>11218</v>
      </c>
      <c r="E7957" s="210" t="s">
        <v>7188</v>
      </c>
      <c r="F7957" s="275"/>
    </row>
    <row r="7958" spans="1:6" s="262" customFormat="1">
      <c r="A7958" s="209">
        <v>103514</v>
      </c>
      <c r="B7958" s="209">
        <v>0</v>
      </c>
      <c r="C7958" s="209" t="s">
        <v>7182</v>
      </c>
      <c r="D7958" s="209" t="s">
        <v>8728</v>
      </c>
      <c r="E7958" s="210" t="s">
        <v>7188</v>
      </c>
      <c r="F7958" s="275"/>
    </row>
    <row r="7959" spans="1:6" s="262" customFormat="1">
      <c r="A7959" s="209">
        <v>103515</v>
      </c>
      <c r="B7959" s="209">
        <v>0</v>
      </c>
      <c r="C7959" s="209" t="s">
        <v>7182</v>
      </c>
      <c r="D7959" s="209" t="s">
        <v>11219</v>
      </c>
      <c r="E7959" s="210" t="s">
        <v>7188</v>
      </c>
      <c r="F7959" s="275"/>
    </row>
    <row r="7960" spans="1:6" s="262" customFormat="1">
      <c r="A7960" s="209">
        <v>103516</v>
      </c>
      <c r="B7960" s="209">
        <v>0</v>
      </c>
      <c r="C7960" s="209" t="s">
        <v>7182</v>
      </c>
      <c r="D7960" s="209" t="s">
        <v>8729</v>
      </c>
      <c r="E7960" s="210" t="s">
        <v>7188</v>
      </c>
      <c r="F7960" s="275"/>
    </row>
    <row r="7961" spans="1:6" s="262" customFormat="1">
      <c r="A7961" s="209">
        <v>103517</v>
      </c>
      <c r="B7961" s="209">
        <v>0</v>
      </c>
      <c r="C7961" s="209" t="s">
        <v>7182</v>
      </c>
      <c r="D7961" s="209" t="s">
        <v>11220</v>
      </c>
      <c r="E7961" s="210" t="s">
        <v>7188</v>
      </c>
      <c r="F7961" s="275"/>
    </row>
    <row r="7962" spans="1:6" s="262" customFormat="1">
      <c r="A7962" s="209">
        <v>103518</v>
      </c>
      <c r="B7962" s="209">
        <v>0</v>
      </c>
      <c r="C7962" s="209" t="s">
        <v>7182</v>
      </c>
      <c r="D7962" s="209" t="s">
        <v>8730</v>
      </c>
      <c r="E7962" s="210" t="s">
        <v>7188</v>
      </c>
      <c r="F7962" s="275"/>
    </row>
    <row r="7963" spans="1:6" s="262" customFormat="1">
      <c r="A7963" s="209">
        <v>103519</v>
      </c>
      <c r="B7963" s="209">
        <v>0</v>
      </c>
      <c r="C7963" s="209" t="s">
        <v>7182</v>
      </c>
      <c r="D7963" s="209" t="s">
        <v>11221</v>
      </c>
      <c r="E7963" s="210" t="s">
        <v>7188</v>
      </c>
      <c r="F7963" s="275"/>
    </row>
    <row r="7964" spans="1:6" s="262" customFormat="1">
      <c r="A7964" s="209">
        <v>103520</v>
      </c>
      <c r="B7964" s="209">
        <v>0</v>
      </c>
      <c r="C7964" s="209" t="s">
        <v>7182</v>
      </c>
      <c r="D7964" s="209" t="s">
        <v>8731</v>
      </c>
      <c r="E7964" s="210" t="s">
        <v>7188</v>
      </c>
      <c r="F7964" s="275"/>
    </row>
    <row r="7965" spans="1:6" s="262" customFormat="1">
      <c r="A7965" s="209">
        <v>103521</v>
      </c>
      <c r="B7965" s="209">
        <v>0</v>
      </c>
      <c r="C7965" s="209" t="s">
        <v>7182</v>
      </c>
      <c r="D7965" s="209" t="s">
        <v>11222</v>
      </c>
      <c r="E7965" s="210" t="s">
        <v>7188</v>
      </c>
      <c r="F7965" s="275"/>
    </row>
    <row r="7966" spans="1:6" s="262" customFormat="1">
      <c r="A7966" s="209">
        <v>103522</v>
      </c>
      <c r="B7966" s="209">
        <v>0</v>
      </c>
      <c r="C7966" s="209" t="s">
        <v>7182</v>
      </c>
      <c r="D7966" s="209" t="s">
        <v>8732</v>
      </c>
      <c r="E7966" s="210" t="s">
        <v>7188</v>
      </c>
      <c r="F7966" s="275"/>
    </row>
    <row r="7967" spans="1:6" s="262" customFormat="1">
      <c r="A7967" s="209">
        <v>103523</v>
      </c>
      <c r="B7967" s="209">
        <v>0</v>
      </c>
      <c r="C7967" s="209" t="s">
        <v>7182</v>
      </c>
      <c r="D7967" s="209" t="s">
        <v>11223</v>
      </c>
      <c r="E7967" s="210" t="s">
        <v>7188</v>
      </c>
      <c r="F7967" s="275"/>
    </row>
    <row r="7968" spans="1:6" s="262" customFormat="1">
      <c r="A7968" s="209">
        <v>103524</v>
      </c>
      <c r="B7968" s="209">
        <v>0</v>
      </c>
      <c r="C7968" s="209" t="s">
        <v>7182</v>
      </c>
      <c r="D7968" s="209" t="s">
        <v>8733</v>
      </c>
      <c r="E7968" s="210" t="s">
        <v>7188</v>
      </c>
      <c r="F7968" s="275"/>
    </row>
    <row r="7969" spans="1:6" s="262" customFormat="1">
      <c r="A7969" s="209">
        <v>103525</v>
      </c>
      <c r="B7969" s="209">
        <v>0</v>
      </c>
      <c r="C7969" s="209" t="s">
        <v>7182</v>
      </c>
      <c r="D7969" s="209" t="s">
        <v>11224</v>
      </c>
      <c r="E7969" s="210" t="s">
        <v>7188</v>
      </c>
      <c r="F7969" s="275"/>
    </row>
    <row r="7970" spans="1:6" s="262" customFormat="1">
      <c r="A7970" s="209">
        <v>103526</v>
      </c>
      <c r="B7970" s="209">
        <v>0</v>
      </c>
      <c r="C7970" s="209" t="s">
        <v>7182</v>
      </c>
      <c r="D7970" s="209" t="s">
        <v>8734</v>
      </c>
      <c r="E7970" s="210" t="s">
        <v>7188</v>
      </c>
      <c r="F7970" s="275"/>
    </row>
    <row r="7971" spans="1:6" s="262" customFormat="1">
      <c r="A7971" s="209">
        <v>103527</v>
      </c>
      <c r="B7971" s="209">
        <v>0</v>
      </c>
      <c r="C7971" s="209" t="s">
        <v>7182</v>
      </c>
      <c r="D7971" s="209" t="s">
        <v>11225</v>
      </c>
      <c r="E7971" s="210" t="s">
        <v>7188</v>
      </c>
      <c r="F7971" s="275"/>
    </row>
    <row r="7972" spans="1:6" s="262" customFormat="1">
      <c r="A7972" s="209">
        <v>103528</v>
      </c>
      <c r="B7972" s="209">
        <v>0</v>
      </c>
      <c r="C7972" s="209" t="s">
        <v>7182</v>
      </c>
      <c r="D7972" s="209" t="s">
        <v>8735</v>
      </c>
      <c r="E7972" s="210" t="s">
        <v>7188</v>
      </c>
      <c r="F7972" s="275"/>
    </row>
    <row r="7973" spans="1:6" s="262" customFormat="1">
      <c r="A7973" s="209">
        <v>103529</v>
      </c>
      <c r="B7973" s="209">
        <v>0</v>
      </c>
      <c r="C7973" s="209" t="s">
        <v>7182</v>
      </c>
      <c r="D7973" s="209" t="s">
        <v>11226</v>
      </c>
      <c r="E7973" s="210" t="s">
        <v>7188</v>
      </c>
      <c r="F7973" s="275"/>
    </row>
    <row r="7974" spans="1:6" s="262" customFormat="1">
      <c r="A7974" s="209">
        <v>103530</v>
      </c>
      <c r="B7974" s="209">
        <v>0</v>
      </c>
      <c r="C7974" s="209" t="s">
        <v>7182</v>
      </c>
      <c r="D7974" s="209" t="s">
        <v>8736</v>
      </c>
      <c r="E7974" s="210" t="s">
        <v>7188</v>
      </c>
      <c r="F7974" s="275"/>
    </row>
    <row r="7975" spans="1:6" s="262" customFormat="1">
      <c r="A7975" s="209">
        <v>103531</v>
      </c>
      <c r="B7975" s="209">
        <v>0</v>
      </c>
      <c r="C7975" s="209" t="s">
        <v>7182</v>
      </c>
      <c r="D7975" s="209" t="s">
        <v>11227</v>
      </c>
      <c r="E7975" s="210" t="s">
        <v>7188</v>
      </c>
      <c r="F7975" s="275"/>
    </row>
    <row r="7976" spans="1:6" s="262" customFormat="1">
      <c r="A7976" s="209">
        <v>103532</v>
      </c>
      <c r="B7976" s="209">
        <v>0</v>
      </c>
      <c r="C7976" s="209" t="s">
        <v>7182</v>
      </c>
      <c r="D7976" s="209" t="s">
        <v>11228</v>
      </c>
      <c r="E7976" s="210" t="s">
        <v>7188</v>
      </c>
      <c r="F7976" s="275"/>
    </row>
    <row r="7977" spans="1:6" s="262" customFormat="1">
      <c r="A7977" s="209">
        <v>103533</v>
      </c>
      <c r="B7977" s="209">
        <v>0</v>
      </c>
      <c r="C7977" s="209" t="s">
        <v>7182</v>
      </c>
      <c r="D7977" s="209" t="s">
        <v>11229</v>
      </c>
      <c r="E7977" s="210" t="s">
        <v>7188</v>
      </c>
      <c r="F7977" s="275"/>
    </row>
    <row r="7978" spans="1:6" s="262" customFormat="1">
      <c r="A7978" s="209">
        <v>103534</v>
      </c>
      <c r="B7978" s="209">
        <v>0</v>
      </c>
      <c r="C7978" s="209" t="s">
        <v>7182</v>
      </c>
      <c r="D7978" s="209" t="s">
        <v>11230</v>
      </c>
      <c r="E7978" s="210" t="s">
        <v>7188</v>
      </c>
      <c r="F7978" s="275"/>
    </row>
    <row r="7979" spans="1:6" s="262" customFormat="1">
      <c r="A7979" s="209">
        <v>103535</v>
      </c>
      <c r="B7979" s="209">
        <v>0</v>
      </c>
      <c r="C7979" s="209" t="s">
        <v>7182</v>
      </c>
      <c r="D7979" s="209" t="s">
        <v>11231</v>
      </c>
      <c r="E7979" s="210" t="s">
        <v>7188</v>
      </c>
      <c r="F7979" s="275"/>
    </row>
    <row r="7980" spans="1:6" s="262" customFormat="1">
      <c r="A7980" s="209">
        <v>103536</v>
      </c>
      <c r="B7980" s="209">
        <v>0</v>
      </c>
      <c r="C7980" s="209" t="s">
        <v>7182</v>
      </c>
      <c r="D7980" s="209" t="s">
        <v>11232</v>
      </c>
      <c r="E7980" s="210" t="s">
        <v>7188</v>
      </c>
      <c r="F7980" s="275"/>
    </row>
    <row r="7981" spans="1:6" s="262" customFormat="1">
      <c r="A7981" s="209">
        <v>103537</v>
      </c>
      <c r="B7981" s="209">
        <v>0</v>
      </c>
      <c r="C7981" s="209" t="s">
        <v>7182</v>
      </c>
      <c r="D7981" s="209" t="s">
        <v>11233</v>
      </c>
      <c r="E7981" s="210" t="s">
        <v>7188</v>
      </c>
      <c r="F7981" s="275"/>
    </row>
    <row r="7982" spans="1:6" s="262" customFormat="1">
      <c r="A7982" s="209">
        <v>103538</v>
      </c>
      <c r="B7982" s="209">
        <v>0</v>
      </c>
      <c r="C7982" s="209" t="s">
        <v>7182</v>
      </c>
      <c r="D7982" s="209" t="s">
        <v>11234</v>
      </c>
      <c r="E7982" s="210" t="s">
        <v>7188</v>
      </c>
      <c r="F7982" s="275"/>
    </row>
    <row r="7983" spans="1:6" s="262" customFormat="1">
      <c r="A7983" s="209">
        <v>103539</v>
      </c>
      <c r="B7983" s="209">
        <v>0</v>
      </c>
      <c r="C7983" s="209" t="s">
        <v>7182</v>
      </c>
      <c r="D7983" s="209" t="s">
        <v>11235</v>
      </c>
      <c r="E7983" s="210" t="s">
        <v>7188</v>
      </c>
      <c r="F7983" s="275"/>
    </row>
    <row r="7984" spans="1:6" s="262" customFormat="1">
      <c r="A7984" s="209">
        <v>103540</v>
      </c>
      <c r="B7984" s="209">
        <v>0</v>
      </c>
      <c r="C7984" s="209" t="s">
        <v>7182</v>
      </c>
      <c r="D7984" s="209" t="s">
        <v>11236</v>
      </c>
      <c r="E7984" s="210" t="s">
        <v>7188</v>
      </c>
      <c r="F7984" s="275"/>
    </row>
    <row r="7985" spans="1:6" s="262" customFormat="1">
      <c r="A7985" s="209">
        <v>103541</v>
      </c>
      <c r="B7985" s="209">
        <v>0</v>
      </c>
      <c r="C7985" s="209" t="s">
        <v>7182</v>
      </c>
      <c r="D7985" s="209" t="s">
        <v>11237</v>
      </c>
      <c r="E7985" s="210" t="s">
        <v>7188</v>
      </c>
      <c r="F7985" s="275"/>
    </row>
    <row r="7986" spans="1:6" s="262" customFormat="1">
      <c r="A7986" s="209">
        <v>103542</v>
      </c>
      <c r="B7986" s="209">
        <v>0</v>
      </c>
      <c r="C7986" s="209" t="s">
        <v>7182</v>
      </c>
      <c r="D7986" s="209" t="s">
        <v>11238</v>
      </c>
      <c r="E7986" s="210" t="s">
        <v>7188</v>
      </c>
      <c r="F7986" s="275"/>
    </row>
    <row r="7987" spans="1:6" s="262" customFormat="1">
      <c r="A7987" s="209">
        <v>103543</v>
      </c>
      <c r="B7987" s="209">
        <v>0</v>
      </c>
      <c r="C7987" s="209" t="s">
        <v>7182</v>
      </c>
      <c r="D7987" s="209" t="s">
        <v>11239</v>
      </c>
      <c r="E7987" s="210" t="s">
        <v>7188</v>
      </c>
      <c r="F7987" s="275"/>
    </row>
    <row r="7988" spans="1:6" s="262" customFormat="1">
      <c r="A7988" s="209">
        <v>103544</v>
      </c>
      <c r="B7988" s="209">
        <v>0</v>
      </c>
      <c r="C7988" s="209" t="s">
        <v>7182</v>
      </c>
      <c r="D7988" s="209" t="s">
        <v>11240</v>
      </c>
      <c r="E7988" s="210" t="s">
        <v>7188</v>
      </c>
      <c r="F7988" s="275"/>
    </row>
    <row r="7989" spans="1:6" s="262" customFormat="1">
      <c r="A7989" s="209">
        <v>103545</v>
      </c>
      <c r="B7989" s="209">
        <v>0</v>
      </c>
      <c r="C7989" s="209" t="s">
        <v>7182</v>
      </c>
      <c r="D7989" s="209" t="s">
        <v>11241</v>
      </c>
      <c r="E7989" s="210" t="s">
        <v>7188</v>
      </c>
      <c r="F7989" s="275"/>
    </row>
    <row r="7990" spans="1:6" s="262" customFormat="1">
      <c r="A7990" s="209">
        <v>103546</v>
      </c>
      <c r="B7990" s="209">
        <v>0</v>
      </c>
      <c r="C7990" s="209" t="s">
        <v>7182</v>
      </c>
      <c r="D7990" s="209" t="s">
        <v>11242</v>
      </c>
      <c r="E7990" s="210" t="s">
        <v>7188</v>
      </c>
      <c r="F7990" s="275"/>
    </row>
    <row r="7991" spans="1:6" s="262" customFormat="1">
      <c r="A7991" s="209">
        <v>103547</v>
      </c>
      <c r="B7991" s="209">
        <v>0</v>
      </c>
      <c r="C7991" s="209" t="s">
        <v>7182</v>
      </c>
      <c r="D7991" s="209" t="s">
        <v>11243</v>
      </c>
      <c r="E7991" s="210" t="s">
        <v>7188</v>
      </c>
      <c r="F7991" s="275"/>
    </row>
    <row r="7992" spans="1:6" s="262" customFormat="1">
      <c r="A7992" s="209">
        <v>103548</v>
      </c>
      <c r="B7992" s="209">
        <v>0</v>
      </c>
      <c r="C7992" s="209" t="s">
        <v>7182</v>
      </c>
      <c r="D7992" s="209" t="s">
        <v>11244</v>
      </c>
      <c r="E7992" s="210" t="s">
        <v>7188</v>
      </c>
      <c r="F7992" s="275"/>
    </row>
    <row r="7993" spans="1:6" s="262" customFormat="1">
      <c r="A7993" s="209">
        <v>103549</v>
      </c>
      <c r="B7993" s="209">
        <v>0</v>
      </c>
      <c r="C7993" s="209" t="s">
        <v>7182</v>
      </c>
      <c r="D7993" s="209" t="s">
        <v>11245</v>
      </c>
      <c r="E7993" s="210" t="s">
        <v>7188</v>
      </c>
      <c r="F7993" s="275"/>
    </row>
    <row r="7994" spans="1:6" s="262" customFormat="1">
      <c r="A7994" s="209">
        <v>103550</v>
      </c>
      <c r="B7994" s="209">
        <v>0</v>
      </c>
      <c r="C7994" s="209" t="s">
        <v>7182</v>
      </c>
      <c r="D7994" s="209" t="s">
        <v>11246</v>
      </c>
      <c r="E7994" s="210" t="s">
        <v>7188</v>
      </c>
      <c r="F7994" s="275"/>
    </row>
    <row r="7995" spans="1:6" s="262" customFormat="1">
      <c r="A7995" s="209">
        <v>103551</v>
      </c>
      <c r="B7995" s="209">
        <v>0</v>
      </c>
      <c r="C7995" s="209" t="s">
        <v>7182</v>
      </c>
      <c r="D7995" s="209" t="s">
        <v>11247</v>
      </c>
      <c r="E7995" s="210" t="s">
        <v>7188</v>
      </c>
      <c r="F7995" s="275"/>
    </row>
    <row r="7996" spans="1:6" s="262" customFormat="1">
      <c r="A7996" s="209">
        <v>103552</v>
      </c>
      <c r="B7996" s="209">
        <v>0</v>
      </c>
      <c r="C7996" s="209" t="s">
        <v>7182</v>
      </c>
      <c r="D7996" s="209" t="s">
        <v>11248</v>
      </c>
      <c r="E7996" s="210" t="s">
        <v>7188</v>
      </c>
      <c r="F7996" s="275"/>
    </row>
    <row r="7997" spans="1:6" s="262" customFormat="1">
      <c r="A7997" s="209">
        <v>103553</v>
      </c>
      <c r="B7997" s="209">
        <v>0</v>
      </c>
      <c r="C7997" s="209" t="s">
        <v>7182</v>
      </c>
      <c r="D7997" s="209" t="s">
        <v>11249</v>
      </c>
      <c r="E7997" s="210" t="s">
        <v>7188</v>
      </c>
      <c r="F7997" s="275"/>
    </row>
    <row r="7998" spans="1:6" s="262" customFormat="1">
      <c r="A7998" s="209">
        <v>103554</v>
      </c>
      <c r="B7998" s="209">
        <v>0</v>
      </c>
      <c r="C7998" s="209" t="s">
        <v>7182</v>
      </c>
      <c r="D7998" s="209" t="s">
        <v>11250</v>
      </c>
      <c r="E7998" s="210" t="s">
        <v>7188</v>
      </c>
      <c r="F7998" s="275"/>
    </row>
    <row r="7999" spans="1:6" s="262" customFormat="1">
      <c r="A7999" s="209">
        <v>103555</v>
      </c>
      <c r="B7999" s="209">
        <v>0</v>
      </c>
      <c r="C7999" s="209" t="s">
        <v>7182</v>
      </c>
      <c r="D7999" s="209" t="s">
        <v>11251</v>
      </c>
      <c r="E7999" s="210" t="s">
        <v>7188</v>
      </c>
      <c r="F7999" s="275"/>
    </row>
    <row r="8000" spans="1:6" s="262" customFormat="1">
      <c r="A8000" s="209">
        <v>103556</v>
      </c>
      <c r="B8000" s="209">
        <v>0</v>
      </c>
      <c r="C8000" s="209" t="s">
        <v>7182</v>
      </c>
      <c r="D8000" s="209" t="s">
        <v>11252</v>
      </c>
      <c r="E8000" s="210" t="s">
        <v>7188</v>
      </c>
      <c r="F8000" s="275"/>
    </row>
    <row r="8001" spans="1:6" s="262" customFormat="1">
      <c r="A8001" s="209">
        <v>103557</v>
      </c>
      <c r="B8001" s="209">
        <v>0</v>
      </c>
      <c r="C8001" s="209" t="s">
        <v>7182</v>
      </c>
      <c r="D8001" s="209" t="s">
        <v>11253</v>
      </c>
      <c r="E8001" s="210" t="s">
        <v>7188</v>
      </c>
      <c r="F8001" s="275"/>
    </row>
    <row r="8002" spans="1:6" s="262" customFormat="1">
      <c r="A8002" s="209">
        <v>103558</v>
      </c>
      <c r="B8002" s="209">
        <v>0</v>
      </c>
      <c r="C8002" s="209" t="s">
        <v>7182</v>
      </c>
      <c r="D8002" s="209" t="s">
        <v>11254</v>
      </c>
      <c r="E8002" s="210" t="s">
        <v>7188</v>
      </c>
      <c r="F8002" s="275"/>
    </row>
    <row r="8003" spans="1:6" s="262" customFormat="1">
      <c r="A8003" s="209">
        <v>103559</v>
      </c>
      <c r="B8003" s="209">
        <v>0</v>
      </c>
      <c r="C8003" s="209" t="s">
        <v>7182</v>
      </c>
      <c r="D8003" s="209" t="s">
        <v>11255</v>
      </c>
      <c r="E8003" s="210" t="s">
        <v>7188</v>
      </c>
      <c r="F8003" s="275"/>
    </row>
    <row r="8004" spans="1:6" s="262" customFormat="1">
      <c r="A8004" s="209">
        <v>103560</v>
      </c>
      <c r="B8004" s="209">
        <v>0</v>
      </c>
      <c r="C8004" s="209" t="s">
        <v>7182</v>
      </c>
      <c r="D8004" s="209" t="s">
        <v>11256</v>
      </c>
      <c r="E8004" s="210" t="s">
        <v>7188</v>
      </c>
      <c r="F8004" s="275"/>
    </row>
    <row r="8005" spans="1:6" s="262" customFormat="1">
      <c r="A8005" s="209">
        <v>103561</v>
      </c>
      <c r="B8005" s="209">
        <v>0</v>
      </c>
      <c r="C8005" s="209" t="s">
        <v>7182</v>
      </c>
      <c r="D8005" s="209" t="s">
        <v>11257</v>
      </c>
      <c r="E8005" s="210" t="s">
        <v>7188</v>
      </c>
      <c r="F8005" s="275"/>
    </row>
    <row r="8006" spans="1:6" s="262" customFormat="1">
      <c r="A8006" s="209">
        <v>103562</v>
      </c>
      <c r="B8006" s="209">
        <v>0</v>
      </c>
      <c r="C8006" s="209" t="s">
        <v>7182</v>
      </c>
      <c r="D8006" s="209" t="s">
        <v>11258</v>
      </c>
      <c r="E8006" s="210" t="s">
        <v>7188</v>
      </c>
      <c r="F8006" s="275"/>
    </row>
    <row r="8007" spans="1:6" s="262" customFormat="1">
      <c r="A8007" s="209">
        <v>103563</v>
      </c>
      <c r="B8007" s="209">
        <v>0</v>
      </c>
      <c r="C8007" s="209" t="s">
        <v>7182</v>
      </c>
      <c r="D8007" s="209" t="s">
        <v>11259</v>
      </c>
      <c r="E8007" s="210" t="s">
        <v>7188</v>
      </c>
      <c r="F8007" s="275"/>
    </row>
    <row r="8008" spans="1:6" s="262" customFormat="1">
      <c r="A8008" s="209">
        <v>103564</v>
      </c>
      <c r="B8008" s="209">
        <v>0</v>
      </c>
      <c r="C8008" s="209" t="s">
        <v>7182</v>
      </c>
      <c r="D8008" s="209" t="s">
        <v>11260</v>
      </c>
      <c r="E8008" s="210" t="s">
        <v>7188</v>
      </c>
      <c r="F8008" s="275"/>
    </row>
    <row r="8009" spans="1:6" s="262" customFormat="1">
      <c r="A8009" s="209">
        <v>103565</v>
      </c>
      <c r="B8009" s="209">
        <v>0</v>
      </c>
      <c r="C8009" s="209" t="s">
        <v>7182</v>
      </c>
      <c r="D8009" s="209" t="s">
        <v>11261</v>
      </c>
      <c r="E8009" s="210" t="s">
        <v>7188</v>
      </c>
      <c r="F8009" s="275"/>
    </row>
    <row r="8010" spans="1:6" s="262" customFormat="1">
      <c r="A8010" s="209">
        <v>103566</v>
      </c>
      <c r="B8010" s="209">
        <v>0</v>
      </c>
      <c r="C8010" s="209" t="s">
        <v>7182</v>
      </c>
      <c r="D8010" s="209" t="s">
        <v>11262</v>
      </c>
      <c r="E8010" s="210" t="s">
        <v>7188</v>
      </c>
      <c r="F8010" s="275"/>
    </row>
    <row r="8011" spans="1:6" s="262" customFormat="1">
      <c r="A8011" s="209">
        <v>103567</v>
      </c>
      <c r="B8011" s="209">
        <v>0</v>
      </c>
      <c r="C8011" s="209" t="s">
        <v>7182</v>
      </c>
      <c r="D8011" s="209" t="s">
        <v>11263</v>
      </c>
      <c r="E8011" s="210" t="s">
        <v>7188</v>
      </c>
      <c r="F8011" s="275"/>
    </row>
    <row r="8012" spans="1:6" s="262" customFormat="1">
      <c r="A8012" s="209">
        <v>103568</v>
      </c>
      <c r="B8012" s="209">
        <v>0</v>
      </c>
      <c r="C8012" s="209" t="s">
        <v>7182</v>
      </c>
      <c r="D8012" s="209" t="s">
        <v>11264</v>
      </c>
      <c r="E8012" s="210" t="s">
        <v>7188</v>
      </c>
      <c r="F8012" s="275"/>
    </row>
    <row r="8013" spans="1:6" s="262" customFormat="1">
      <c r="A8013" s="209">
        <v>103569</v>
      </c>
      <c r="B8013" s="209">
        <v>0</v>
      </c>
      <c r="C8013" s="209" t="s">
        <v>7182</v>
      </c>
      <c r="D8013" s="209" t="s">
        <v>11265</v>
      </c>
      <c r="E8013" s="210" t="s">
        <v>7188</v>
      </c>
      <c r="F8013" s="275"/>
    </row>
    <row r="8014" spans="1:6" s="262" customFormat="1">
      <c r="A8014" s="209">
        <v>103570</v>
      </c>
      <c r="B8014" s="209">
        <v>0</v>
      </c>
      <c r="C8014" s="209" t="s">
        <v>7182</v>
      </c>
      <c r="D8014" s="209" t="s">
        <v>11266</v>
      </c>
      <c r="E8014" s="210" t="s">
        <v>7188</v>
      </c>
      <c r="F8014" s="275"/>
    </row>
    <row r="8015" spans="1:6" s="262" customFormat="1">
      <c r="A8015" s="209">
        <v>103571</v>
      </c>
      <c r="B8015" s="209">
        <v>0</v>
      </c>
      <c r="C8015" s="209" t="s">
        <v>7182</v>
      </c>
      <c r="D8015" s="209" t="s">
        <v>11267</v>
      </c>
      <c r="E8015" s="210" t="s">
        <v>7188</v>
      </c>
      <c r="F8015" s="275"/>
    </row>
    <row r="8016" spans="1:6" s="262" customFormat="1">
      <c r="A8016" s="209">
        <v>103572</v>
      </c>
      <c r="B8016" s="209">
        <v>0</v>
      </c>
      <c r="C8016" s="209" t="s">
        <v>7182</v>
      </c>
      <c r="D8016" s="209" t="s">
        <v>11268</v>
      </c>
      <c r="E8016" s="210" t="s">
        <v>7188</v>
      </c>
      <c r="F8016" s="275"/>
    </row>
    <row r="8017" spans="1:6" s="262" customFormat="1">
      <c r="A8017" s="209">
        <v>103573</v>
      </c>
      <c r="B8017" s="209">
        <v>0</v>
      </c>
      <c r="C8017" s="209" t="s">
        <v>7182</v>
      </c>
      <c r="D8017" s="209" t="s">
        <v>11269</v>
      </c>
      <c r="E8017" s="210" t="s">
        <v>7188</v>
      </c>
      <c r="F8017" s="275"/>
    </row>
    <row r="8018" spans="1:6" s="262" customFormat="1">
      <c r="A8018" s="209">
        <v>103574</v>
      </c>
      <c r="B8018" s="209">
        <v>0</v>
      </c>
      <c r="C8018" s="209" t="s">
        <v>7182</v>
      </c>
      <c r="D8018" s="209" t="s">
        <v>11270</v>
      </c>
      <c r="E8018" s="210" t="s">
        <v>7188</v>
      </c>
      <c r="F8018" s="275"/>
    </row>
    <row r="8019" spans="1:6" s="262" customFormat="1">
      <c r="A8019" s="209">
        <v>103575</v>
      </c>
      <c r="B8019" s="209">
        <v>0</v>
      </c>
      <c r="C8019" s="209" t="s">
        <v>7182</v>
      </c>
      <c r="D8019" s="209" t="s">
        <v>11271</v>
      </c>
      <c r="E8019" s="210" t="s">
        <v>7188</v>
      </c>
      <c r="F8019" s="275"/>
    </row>
    <row r="8020" spans="1:6" s="262" customFormat="1">
      <c r="A8020" s="18">
        <v>104001</v>
      </c>
      <c r="B8020" s="18">
        <v>0</v>
      </c>
      <c r="C8020" s="18" t="s">
        <v>3790</v>
      </c>
      <c r="D8020" s="18" t="s">
        <v>8737</v>
      </c>
      <c r="E8020" s="17" t="s">
        <v>892</v>
      </c>
      <c r="F8020" s="275"/>
    </row>
    <row r="8021" spans="1:6" s="262" customFormat="1">
      <c r="A8021" s="18">
        <v>104002</v>
      </c>
      <c r="B8021" s="18">
        <v>0</v>
      </c>
      <c r="C8021" s="18" t="s">
        <v>3790</v>
      </c>
      <c r="D8021" s="18" t="s">
        <v>8738</v>
      </c>
      <c r="E8021" s="17" t="s">
        <v>892</v>
      </c>
      <c r="F8021" s="275"/>
    </row>
    <row r="8022" spans="1:6" s="262" customFormat="1">
      <c r="A8022" s="18">
        <v>104003</v>
      </c>
      <c r="B8022" s="18">
        <v>0</v>
      </c>
      <c r="C8022" s="18" t="s">
        <v>3790</v>
      </c>
      <c r="D8022" s="18" t="s">
        <v>8739</v>
      </c>
      <c r="E8022" s="17" t="s">
        <v>892</v>
      </c>
      <c r="F8022" s="275"/>
    </row>
    <row r="8023" spans="1:6" s="262" customFormat="1">
      <c r="A8023" s="18">
        <v>104004</v>
      </c>
      <c r="B8023" s="18">
        <v>0</v>
      </c>
      <c r="C8023" s="18" t="s">
        <v>3790</v>
      </c>
      <c r="D8023" s="18" t="s">
        <v>6783</v>
      </c>
      <c r="E8023" s="17" t="s">
        <v>892</v>
      </c>
      <c r="F8023" s="275"/>
    </row>
    <row r="8024" spans="1:6" s="262" customFormat="1">
      <c r="A8024" s="18">
        <v>104005</v>
      </c>
      <c r="B8024" s="18">
        <v>0</v>
      </c>
      <c r="C8024" s="18" t="s">
        <v>3790</v>
      </c>
      <c r="D8024" s="18" t="s">
        <v>6784</v>
      </c>
      <c r="E8024" s="17" t="s">
        <v>892</v>
      </c>
      <c r="F8024" s="275"/>
    </row>
    <row r="8025" spans="1:6" s="262" customFormat="1">
      <c r="A8025" s="18">
        <v>104006</v>
      </c>
      <c r="B8025" s="18">
        <v>0</v>
      </c>
      <c r="C8025" s="18" t="s">
        <v>3790</v>
      </c>
      <c r="D8025" s="18" t="s">
        <v>6785</v>
      </c>
      <c r="E8025" s="17" t="s">
        <v>892</v>
      </c>
      <c r="F8025" s="275"/>
    </row>
    <row r="8026" spans="1:6" s="262" customFormat="1">
      <c r="A8026" s="18">
        <v>104007</v>
      </c>
      <c r="B8026" s="18">
        <v>0</v>
      </c>
      <c r="C8026" s="18" t="s">
        <v>3790</v>
      </c>
      <c r="D8026" s="18" t="s">
        <v>8740</v>
      </c>
      <c r="E8026" s="17" t="s">
        <v>892</v>
      </c>
      <c r="F8026" s="275"/>
    </row>
    <row r="8027" spans="1:6" s="262" customFormat="1">
      <c r="A8027" s="18">
        <v>104008</v>
      </c>
      <c r="B8027" s="18">
        <v>0</v>
      </c>
      <c r="C8027" s="18" t="s">
        <v>3790</v>
      </c>
      <c r="D8027" s="18" t="s">
        <v>8741</v>
      </c>
      <c r="E8027" s="17" t="s">
        <v>892</v>
      </c>
      <c r="F8027" s="275"/>
    </row>
    <row r="8028" spans="1:6" s="262" customFormat="1">
      <c r="A8028" s="18">
        <v>104009</v>
      </c>
      <c r="B8028" s="18">
        <v>0</v>
      </c>
      <c r="C8028" s="18" t="s">
        <v>3790</v>
      </c>
      <c r="D8028" s="18" t="s">
        <v>6811</v>
      </c>
      <c r="E8028" s="17" t="s">
        <v>892</v>
      </c>
      <c r="F8028" s="275"/>
    </row>
    <row r="8029" spans="1:6" s="262" customFormat="1">
      <c r="A8029" s="18">
        <v>104010</v>
      </c>
      <c r="B8029" s="18">
        <v>0</v>
      </c>
      <c r="C8029" s="18" t="s">
        <v>3790</v>
      </c>
      <c r="D8029" s="18" t="s">
        <v>6812</v>
      </c>
      <c r="E8029" s="17" t="s">
        <v>892</v>
      </c>
      <c r="F8029" s="275"/>
    </row>
    <row r="8030" spans="1:6" s="262" customFormat="1">
      <c r="A8030" s="18">
        <v>104011</v>
      </c>
      <c r="B8030" s="18">
        <v>0</v>
      </c>
      <c r="C8030" s="18" t="s">
        <v>3790</v>
      </c>
      <c r="D8030" s="18" t="s">
        <v>6813</v>
      </c>
      <c r="E8030" s="17" t="s">
        <v>892</v>
      </c>
      <c r="F8030" s="275"/>
    </row>
    <row r="8031" spans="1:6" s="262" customFormat="1">
      <c r="A8031" s="18">
        <v>104012</v>
      </c>
      <c r="B8031" s="18">
        <v>0</v>
      </c>
      <c r="C8031" s="18" t="s">
        <v>3790</v>
      </c>
      <c r="D8031" s="18" t="s">
        <v>6814</v>
      </c>
      <c r="E8031" s="17" t="s">
        <v>892</v>
      </c>
      <c r="F8031" s="275"/>
    </row>
    <row r="8032" spans="1:6" s="262" customFormat="1">
      <c r="A8032" s="18">
        <v>104013</v>
      </c>
      <c r="B8032" s="18">
        <v>0</v>
      </c>
      <c r="C8032" s="18" t="s">
        <v>3790</v>
      </c>
      <c r="D8032" s="18" t="s">
        <v>8742</v>
      </c>
      <c r="E8032" s="17" t="s">
        <v>892</v>
      </c>
      <c r="F8032" s="275"/>
    </row>
    <row r="8033" spans="1:6" s="262" customFormat="1">
      <c r="A8033" s="18">
        <v>104014</v>
      </c>
      <c r="B8033" s="18">
        <v>0</v>
      </c>
      <c r="C8033" s="18" t="s">
        <v>3790</v>
      </c>
      <c r="D8033" s="18" t="s">
        <v>8743</v>
      </c>
      <c r="E8033" s="17" t="s">
        <v>892</v>
      </c>
      <c r="F8033" s="275"/>
    </row>
    <row r="8034" spans="1:6" s="262" customFormat="1">
      <c r="A8034" s="18">
        <v>104015</v>
      </c>
      <c r="B8034" s="18">
        <v>0</v>
      </c>
      <c r="C8034" s="18" t="s">
        <v>3790</v>
      </c>
      <c r="D8034" s="18" t="s">
        <v>8744</v>
      </c>
      <c r="E8034" s="17" t="s">
        <v>892</v>
      </c>
      <c r="F8034" s="275"/>
    </row>
    <row r="8035" spans="1:6" s="262" customFormat="1">
      <c r="A8035" s="18">
        <v>104016</v>
      </c>
      <c r="B8035" s="18">
        <v>0</v>
      </c>
      <c r="C8035" s="18" t="s">
        <v>3790</v>
      </c>
      <c r="D8035" s="18" t="s">
        <v>8745</v>
      </c>
      <c r="E8035" s="17" t="s">
        <v>892</v>
      </c>
      <c r="F8035" s="275"/>
    </row>
    <row r="8036" spans="1:6" s="262" customFormat="1">
      <c r="A8036" s="18">
        <v>104017</v>
      </c>
      <c r="B8036" s="18">
        <v>0</v>
      </c>
      <c r="C8036" s="18" t="s">
        <v>3790</v>
      </c>
      <c r="D8036" s="18" t="s">
        <v>8746</v>
      </c>
      <c r="E8036" s="17" t="s">
        <v>892</v>
      </c>
      <c r="F8036" s="275"/>
    </row>
    <row r="8037" spans="1:6" s="262" customFormat="1">
      <c r="A8037" s="18">
        <v>104018</v>
      </c>
      <c r="B8037" s="18">
        <v>0</v>
      </c>
      <c r="C8037" s="18" t="s">
        <v>3790</v>
      </c>
      <c r="D8037" s="18" t="s">
        <v>8747</v>
      </c>
      <c r="E8037" s="17" t="s">
        <v>892</v>
      </c>
      <c r="F8037" s="275"/>
    </row>
    <row r="8038" spans="1:6" s="262" customFormat="1">
      <c r="A8038" s="18">
        <v>104019</v>
      </c>
      <c r="B8038" s="18">
        <v>0</v>
      </c>
      <c r="C8038" s="18" t="s">
        <v>3790</v>
      </c>
      <c r="D8038" s="18" t="s">
        <v>8748</v>
      </c>
      <c r="E8038" s="17" t="s">
        <v>892</v>
      </c>
      <c r="F8038" s="275"/>
    </row>
    <row r="8039" spans="1:6" s="262" customFormat="1">
      <c r="A8039" s="18">
        <v>104020</v>
      </c>
      <c r="B8039" s="18">
        <v>0</v>
      </c>
      <c r="C8039" s="18" t="s">
        <v>3790</v>
      </c>
      <c r="D8039" s="18" t="s">
        <v>8749</v>
      </c>
      <c r="E8039" s="17" t="s">
        <v>892</v>
      </c>
      <c r="F8039" s="275"/>
    </row>
    <row r="8040" spans="1:6" s="262" customFormat="1">
      <c r="A8040" s="66">
        <v>104501</v>
      </c>
      <c r="B8040" s="66">
        <v>0</v>
      </c>
      <c r="C8040" s="66" t="s">
        <v>3352</v>
      </c>
      <c r="D8040" s="66" t="s">
        <v>8750</v>
      </c>
      <c r="E8040" s="68" t="s">
        <v>713</v>
      </c>
      <c r="F8040" s="275"/>
    </row>
    <row r="8041" spans="1:6" s="262" customFormat="1">
      <c r="A8041" s="66">
        <v>104502</v>
      </c>
      <c r="B8041" s="66">
        <v>0</v>
      </c>
      <c r="C8041" s="66" t="s">
        <v>3352</v>
      </c>
      <c r="D8041" s="66" t="s">
        <v>8751</v>
      </c>
      <c r="E8041" s="68" t="s">
        <v>713</v>
      </c>
      <c r="F8041" s="275"/>
    </row>
    <row r="8042" spans="1:6" s="262" customFormat="1">
      <c r="A8042" s="66">
        <v>104503</v>
      </c>
      <c r="B8042" s="66">
        <v>0</v>
      </c>
      <c r="C8042" s="66" t="s">
        <v>3352</v>
      </c>
      <c r="D8042" s="66" t="s">
        <v>8752</v>
      </c>
      <c r="E8042" s="68" t="s">
        <v>713</v>
      </c>
      <c r="F8042" s="275"/>
    </row>
    <row r="8043" spans="1:6" s="262" customFormat="1">
      <c r="A8043" s="66">
        <v>104504</v>
      </c>
      <c r="B8043" s="66">
        <v>0</v>
      </c>
      <c r="C8043" s="66" t="s">
        <v>3352</v>
      </c>
      <c r="D8043" s="66" t="s">
        <v>8753</v>
      </c>
      <c r="E8043" s="68" t="s">
        <v>713</v>
      </c>
      <c r="F8043" s="275"/>
    </row>
    <row r="8044" spans="1:6" s="262" customFormat="1">
      <c r="A8044" s="66">
        <v>104505</v>
      </c>
      <c r="B8044" s="66">
        <v>0</v>
      </c>
      <c r="C8044" s="66" t="s">
        <v>3352</v>
      </c>
      <c r="D8044" s="66" t="s">
        <v>8754</v>
      </c>
      <c r="E8044" s="68" t="s">
        <v>713</v>
      </c>
      <c r="F8044" s="275"/>
    </row>
    <row r="8045" spans="1:6" s="262" customFormat="1">
      <c r="A8045" s="66">
        <v>104506</v>
      </c>
      <c r="B8045" s="66">
        <v>0</v>
      </c>
      <c r="C8045" s="66" t="s">
        <v>3352</v>
      </c>
      <c r="D8045" s="66" t="s">
        <v>8755</v>
      </c>
      <c r="E8045" s="68" t="s">
        <v>713</v>
      </c>
      <c r="F8045" s="275"/>
    </row>
    <row r="8046" spans="1:6" s="262" customFormat="1">
      <c r="A8046" s="66">
        <v>104507</v>
      </c>
      <c r="B8046" s="66">
        <v>0</v>
      </c>
      <c r="C8046" s="66" t="s">
        <v>3352</v>
      </c>
      <c r="D8046" s="66" t="s">
        <v>8756</v>
      </c>
      <c r="E8046" s="68" t="s">
        <v>713</v>
      </c>
      <c r="F8046" s="275"/>
    </row>
    <row r="8047" spans="1:6" s="262" customFormat="1">
      <c r="A8047" s="66">
        <v>104508</v>
      </c>
      <c r="B8047" s="66">
        <v>0</v>
      </c>
      <c r="C8047" s="66" t="s">
        <v>3352</v>
      </c>
      <c r="D8047" s="66" t="s">
        <v>8757</v>
      </c>
      <c r="E8047" s="68" t="s">
        <v>713</v>
      </c>
      <c r="F8047" s="275"/>
    </row>
    <row r="8048" spans="1:6" s="262" customFormat="1">
      <c r="A8048" s="66">
        <v>104509</v>
      </c>
      <c r="B8048" s="66">
        <v>0</v>
      </c>
      <c r="C8048" s="66" t="s">
        <v>3353</v>
      </c>
      <c r="D8048" s="66" t="s">
        <v>8758</v>
      </c>
      <c r="E8048" s="68" t="s">
        <v>1293</v>
      </c>
      <c r="F8048" s="275"/>
    </row>
    <row r="8049" spans="1:6" s="262" customFormat="1">
      <c r="A8049" s="66">
        <v>104510</v>
      </c>
      <c r="B8049" s="66">
        <v>0</v>
      </c>
      <c r="C8049" s="66" t="s">
        <v>3353</v>
      </c>
      <c r="D8049" s="66" t="s">
        <v>8759</v>
      </c>
      <c r="E8049" s="68" t="s">
        <v>1293</v>
      </c>
      <c r="F8049" s="275"/>
    </row>
    <row r="8050" spans="1:6" s="262" customFormat="1">
      <c r="A8050" s="66">
        <v>104511</v>
      </c>
      <c r="B8050" s="66">
        <v>0</v>
      </c>
      <c r="C8050" s="66" t="s">
        <v>3354</v>
      </c>
      <c r="D8050" s="66" t="s">
        <v>8760</v>
      </c>
      <c r="E8050" s="68" t="s">
        <v>782</v>
      </c>
      <c r="F8050" s="275"/>
    </row>
    <row r="8051" spans="1:6" s="262" customFormat="1">
      <c r="A8051" s="66">
        <v>104512</v>
      </c>
      <c r="B8051" s="66">
        <v>0</v>
      </c>
      <c r="C8051" s="66" t="s">
        <v>3354</v>
      </c>
      <c r="D8051" s="66" t="s">
        <v>8761</v>
      </c>
      <c r="E8051" s="68" t="s">
        <v>782</v>
      </c>
      <c r="F8051" s="275"/>
    </row>
    <row r="8052" spans="1:6" s="262" customFormat="1">
      <c r="A8052" s="66">
        <v>104513</v>
      </c>
      <c r="B8052" s="66">
        <v>0</v>
      </c>
      <c r="C8052" s="66" t="s">
        <v>3355</v>
      </c>
      <c r="D8052" s="66" t="s">
        <v>8762</v>
      </c>
      <c r="E8052" s="68" t="s">
        <v>599</v>
      </c>
      <c r="F8052" s="275"/>
    </row>
    <row r="8053" spans="1:6" s="262" customFormat="1">
      <c r="A8053" s="66">
        <v>104514</v>
      </c>
      <c r="B8053" s="66">
        <v>0</v>
      </c>
      <c r="C8053" s="66" t="s">
        <v>3355</v>
      </c>
      <c r="D8053" s="66" t="s">
        <v>8763</v>
      </c>
      <c r="E8053" s="68" t="s">
        <v>599</v>
      </c>
      <c r="F8053" s="275"/>
    </row>
    <row r="8054" spans="1:6" s="262" customFormat="1">
      <c r="A8054" s="66">
        <v>104515</v>
      </c>
      <c r="B8054" s="66">
        <v>0</v>
      </c>
      <c r="C8054" s="66" t="s">
        <v>3355</v>
      </c>
      <c r="D8054" s="66" t="s">
        <v>8764</v>
      </c>
      <c r="E8054" s="68" t="s">
        <v>599</v>
      </c>
      <c r="F8054" s="275"/>
    </row>
    <row r="8055" spans="1:6" s="262" customFormat="1">
      <c r="A8055" s="66">
        <v>104516</v>
      </c>
      <c r="B8055" s="66">
        <v>0</v>
      </c>
      <c r="C8055" s="66" t="s">
        <v>3355</v>
      </c>
      <c r="D8055" s="66" t="s">
        <v>8765</v>
      </c>
      <c r="E8055" s="68" t="s">
        <v>599</v>
      </c>
      <c r="F8055" s="275"/>
    </row>
    <row r="8056" spans="1:6" s="262" customFormat="1">
      <c r="A8056" s="66">
        <v>104517</v>
      </c>
      <c r="B8056" s="66">
        <v>0</v>
      </c>
      <c r="C8056" s="66" t="s">
        <v>3355</v>
      </c>
      <c r="D8056" s="66" t="s">
        <v>8766</v>
      </c>
      <c r="E8056" s="68" t="s">
        <v>599</v>
      </c>
      <c r="F8056" s="275"/>
    </row>
    <row r="8057" spans="1:6" s="262" customFormat="1">
      <c r="A8057" s="66">
        <v>104518</v>
      </c>
      <c r="B8057" s="66">
        <v>0</v>
      </c>
      <c r="C8057" s="66" t="s">
        <v>3355</v>
      </c>
      <c r="D8057" s="66" t="s">
        <v>8767</v>
      </c>
      <c r="E8057" s="68" t="s">
        <v>599</v>
      </c>
      <c r="F8057" s="275"/>
    </row>
    <row r="8058" spans="1:6" s="262" customFormat="1">
      <c r="A8058" s="66">
        <v>104519</v>
      </c>
      <c r="B8058" s="66">
        <v>0</v>
      </c>
      <c r="C8058" s="66" t="s">
        <v>3355</v>
      </c>
      <c r="D8058" s="66" t="s">
        <v>8768</v>
      </c>
      <c r="E8058" s="68" t="s">
        <v>599</v>
      </c>
      <c r="F8058" s="275"/>
    </row>
    <row r="8059" spans="1:6" s="262" customFormat="1">
      <c r="A8059" s="66">
        <v>104520</v>
      </c>
      <c r="B8059" s="66">
        <v>0</v>
      </c>
      <c r="C8059" s="66" t="s">
        <v>3355</v>
      </c>
      <c r="D8059" s="66" t="s">
        <v>8769</v>
      </c>
      <c r="E8059" s="68" t="s">
        <v>599</v>
      </c>
      <c r="F8059" s="275"/>
    </row>
    <row r="8060" spans="1:6" s="262" customFormat="1">
      <c r="A8060" s="66">
        <v>104521</v>
      </c>
      <c r="B8060" s="66">
        <v>0</v>
      </c>
      <c r="C8060" s="66" t="s">
        <v>3355</v>
      </c>
      <c r="D8060" s="66" t="s">
        <v>8770</v>
      </c>
      <c r="E8060" s="68" t="s">
        <v>599</v>
      </c>
      <c r="F8060" s="275"/>
    </row>
    <row r="8061" spans="1:6" s="262" customFormat="1">
      <c r="A8061" s="66">
        <v>104522</v>
      </c>
      <c r="B8061" s="66">
        <v>0</v>
      </c>
      <c r="C8061" s="66" t="s">
        <v>3355</v>
      </c>
      <c r="D8061" s="66" t="s">
        <v>8771</v>
      </c>
      <c r="E8061" s="68" t="s">
        <v>599</v>
      </c>
      <c r="F8061" s="275"/>
    </row>
    <row r="8062" spans="1:6" s="262" customFormat="1">
      <c r="A8062" s="66">
        <v>104523</v>
      </c>
      <c r="B8062" s="66">
        <v>0</v>
      </c>
      <c r="C8062" s="66" t="s">
        <v>3355</v>
      </c>
      <c r="D8062" s="66" t="s">
        <v>8772</v>
      </c>
      <c r="E8062" s="68" t="s">
        <v>599</v>
      </c>
      <c r="F8062" s="275"/>
    </row>
    <row r="8063" spans="1:6" s="262" customFormat="1">
      <c r="A8063" s="66">
        <v>104524</v>
      </c>
      <c r="B8063" s="66">
        <v>0</v>
      </c>
      <c r="C8063" s="66" t="s">
        <v>3355</v>
      </c>
      <c r="D8063" s="66" t="s">
        <v>8773</v>
      </c>
      <c r="E8063" s="68" t="s">
        <v>599</v>
      </c>
      <c r="F8063" s="275"/>
    </row>
    <row r="8064" spans="1:6" s="262" customFormat="1">
      <c r="A8064" s="66">
        <v>104525</v>
      </c>
      <c r="B8064" s="66">
        <v>0</v>
      </c>
      <c r="C8064" s="66" t="s">
        <v>3355</v>
      </c>
      <c r="D8064" s="66" t="s">
        <v>8774</v>
      </c>
      <c r="E8064" s="68" t="s">
        <v>599</v>
      </c>
      <c r="F8064" s="275"/>
    </row>
    <row r="8065" spans="1:6" s="262" customFormat="1">
      <c r="A8065" s="66">
        <v>104526</v>
      </c>
      <c r="B8065" s="66">
        <v>0</v>
      </c>
      <c r="C8065" s="66" t="s">
        <v>3355</v>
      </c>
      <c r="D8065" s="66" t="s">
        <v>8775</v>
      </c>
      <c r="E8065" s="68" t="s">
        <v>599</v>
      </c>
      <c r="F8065" s="275"/>
    </row>
    <row r="8066" spans="1:6" s="262" customFormat="1">
      <c r="A8066" s="66">
        <v>104527</v>
      </c>
      <c r="B8066" s="66">
        <v>0</v>
      </c>
      <c r="C8066" s="66" t="s">
        <v>3355</v>
      </c>
      <c r="D8066" s="66" t="s">
        <v>8776</v>
      </c>
      <c r="E8066" s="68" t="s">
        <v>599</v>
      </c>
      <c r="F8066" s="275"/>
    </row>
    <row r="8067" spans="1:6" s="262" customFormat="1">
      <c r="A8067" s="66">
        <v>104528</v>
      </c>
      <c r="B8067" s="66">
        <v>0</v>
      </c>
      <c r="C8067" s="66" t="s">
        <v>3355</v>
      </c>
      <c r="D8067" s="66" t="s">
        <v>8777</v>
      </c>
      <c r="E8067" s="68" t="s">
        <v>599</v>
      </c>
      <c r="F8067" s="275"/>
    </row>
    <row r="8068" spans="1:6" s="262" customFormat="1">
      <c r="A8068" s="66">
        <v>104529</v>
      </c>
      <c r="B8068" s="66">
        <v>0</v>
      </c>
      <c r="C8068" s="66" t="s">
        <v>3355</v>
      </c>
      <c r="D8068" s="66" t="s">
        <v>8778</v>
      </c>
      <c r="E8068" s="68" t="s">
        <v>599</v>
      </c>
      <c r="F8068" s="275"/>
    </row>
    <row r="8069" spans="1:6" s="262" customFormat="1">
      <c r="A8069" s="66">
        <v>104530</v>
      </c>
      <c r="B8069" s="66">
        <v>0</v>
      </c>
      <c r="C8069" s="66" t="s">
        <v>3355</v>
      </c>
      <c r="D8069" s="66" t="s">
        <v>8779</v>
      </c>
      <c r="E8069" s="68" t="s">
        <v>599</v>
      </c>
      <c r="F8069" s="275"/>
    </row>
    <row r="8070" spans="1:6" s="262" customFormat="1">
      <c r="A8070" s="66">
        <v>104531</v>
      </c>
      <c r="B8070" s="66">
        <v>0</v>
      </c>
      <c r="C8070" s="66" t="s">
        <v>3355</v>
      </c>
      <c r="D8070" s="66" t="s">
        <v>8780</v>
      </c>
      <c r="E8070" s="68" t="s">
        <v>599</v>
      </c>
      <c r="F8070" s="275"/>
    </row>
    <row r="8071" spans="1:6" s="262" customFormat="1">
      <c r="A8071" s="66">
        <v>104532</v>
      </c>
      <c r="B8071" s="66">
        <v>0</v>
      </c>
      <c r="C8071" s="66" t="s">
        <v>3355</v>
      </c>
      <c r="D8071" s="66" t="s">
        <v>8781</v>
      </c>
      <c r="E8071" s="68" t="s">
        <v>599</v>
      </c>
      <c r="F8071" s="275"/>
    </row>
    <row r="8072" spans="1:6" s="262" customFormat="1">
      <c r="A8072" s="66">
        <v>104533</v>
      </c>
      <c r="B8072" s="66">
        <v>0</v>
      </c>
      <c r="C8072" s="66" t="s">
        <v>3355</v>
      </c>
      <c r="D8072" s="66" t="s">
        <v>8782</v>
      </c>
      <c r="E8072" s="68" t="s">
        <v>599</v>
      </c>
      <c r="F8072" s="275"/>
    </row>
    <row r="8073" spans="1:6" s="262" customFormat="1">
      <c r="A8073" s="66">
        <v>104534</v>
      </c>
      <c r="B8073" s="66">
        <v>0</v>
      </c>
      <c r="C8073" s="66" t="s">
        <v>3355</v>
      </c>
      <c r="D8073" s="66" t="s">
        <v>8783</v>
      </c>
      <c r="E8073" s="68" t="s">
        <v>599</v>
      </c>
      <c r="F8073" s="275"/>
    </row>
    <row r="8074" spans="1:6" s="262" customFormat="1">
      <c r="A8074" s="66">
        <v>104535</v>
      </c>
      <c r="B8074" s="66">
        <v>0</v>
      </c>
      <c r="C8074" s="66" t="s">
        <v>3355</v>
      </c>
      <c r="D8074" s="66" t="s">
        <v>8784</v>
      </c>
      <c r="E8074" s="68" t="s">
        <v>599</v>
      </c>
      <c r="F8074" s="275"/>
    </row>
    <row r="8075" spans="1:6" s="262" customFormat="1">
      <c r="A8075" s="66">
        <v>104536</v>
      </c>
      <c r="B8075" s="66">
        <v>0</v>
      </c>
      <c r="C8075" s="66" t="s">
        <v>3355</v>
      </c>
      <c r="D8075" s="66" t="s">
        <v>8785</v>
      </c>
      <c r="E8075" s="68" t="s">
        <v>599</v>
      </c>
      <c r="F8075" s="275"/>
    </row>
    <row r="8076" spans="1:6" s="262" customFormat="1">
      <c r="A8076" s="66">
        <v>104537</v>
      </c>
      <c r="B8076" s="66">
        <v>0</v>
      </c>
      <c r="C8076" s="66" t="s">
        <v>3355</v>
      </c>
      <c r="D8076" s="66" t="s">
        <v>8786</v>
      </c>
      <c r="E8076" s="68" t="s">
        <v>599</v>
      </c>
      <c r="F8076" s="275"/>
    </row>
    <row r="8077" spans="1:6" s="262" customFormat="1">
      <c r="A8077" s="66">
        <v>104538</v>
      </c>
      <c r="B8077" s="66">
        <v>0</v>
      </c>
      <c r="C8077" s="66" t="s">
        <v>3355</v>
      </c>
      <c r="D8077" s="66" t="s">
        <v>8787</v>
      </c>
      <c r="E8077" s="68" t="s">
        <v>599</v>
      </c>
      <c r="F8077" s="275"/>
    </row>
    <row r="8078" spans="1:6" s="262" customFormat="1">
      <c r="A8078" s="66">
        <v>104539</v>
      </c>
      <c r="B8078" s="66">
        <v>0</v>
      </c>
      <c r="C8078" s="66" t="s">
        <v>3355</v>
      </c>
      <c r="D8078" s="66" t="s">
        <v>8788</v>
      </c>
      <c r="E8078" s="68" t="s">
        <v>599</v>
      </c>
      <c r="F8078" s="275"/>
    </row>
    <row r="8079" spans="1:6" s="262" customFormat="1">
      <c r="A8079" s="66">
        <v>104540</v>
      </c>
      <c r="B8079" s="66">
        <v>0</v>
      </c>
      <c r="C8079" s="66" t="s">
        <v>3355</v>
      </c>
      <c r="D8079" s="66" t="s">
        <v>8789</v>
      </c>
      <c r="E8079" s="68" t="s">
        <v>599</v>
      </c>
      <c r="F8079" s="275"/>
    </row>
    <row r="8080" spans="1:6" s="262" customFormat="1">
      <c r="A8080" s="66">
        <v>104541</v>
      </c>
      <c r="B8080" s="66">
        <v>0</v>
      </c>
      <c r="C8080" s="66" t="s">
        <v>3355</v>
      </c>
      <c r="D8080" s="66" t="s">
        <v>8790</v>
      </c>
      <c r="E8080" s="68" t="s">
        <v>599</v>
      </c>
      <c r="F8080" s="275"/>
    </row>
    <row r="8081" spans="1:6" s="262" customFormat="1">
      <c r="A8081" s="66">
        <v>104542</v>
      </c>
      <c r="B8081" s="66">
        <v>0</v>
      </c>
      <c r="C8081" s="66" t="s">
        <v>3355</v>
      </c>
      <c r="D8081" s="66" t="s">
        <v>8791</v>
      </c>
      <c r="E8081" s="68" t="s">
        <v>599</v>
      </c>
      <c r="F8081" s="275"/>
    </row>
    <row r="8082" spans="1:6" s="262" customFormat="1">
      <c r="A8082" s="66">
        <v>104543</v>
      </c>
      <c r="B8082" s="66">
        <v>0</v>
      </c>
      <c r="C8082" s="66" t="s">
        <v>3355</v>
      </c>
      <c r="D8082" s="66" t="s">
        <v>8792</v>
      </c>
      <c r="E8082" s="68" t="s">
        <v>599</v>
      </c>
      <c r="F8082" s="275"/>
    </row>
    <row r="8083" spans="1:6" s="262" customFormat="1">
      <c r="A8083" s="66">
        <v>104544</v>
      </c>
      <c r="B8083" s="66">
        <v>0</v>
      </c>
      <c r="C8083" s="66" t="s">
        <v>3355</v>
      </c>
      <c r="D8083" s="66" t="s">
        <v>8793</v>
      </c>
      <c r="E8083" s="68" t="s">
        <v>599</v>
      </c>
      <c r="F8083" s="275"/>
    </row>
    <row r="8084" spans="1:6" s="262" customFormat="1">
      <c r="A8084" s="66">
        <v>104545</v>
      </c>
      <c r="B8084" s="66">
        <v>0</v>
      </c>
      <c r="C8084" s="66" t="s">
        <v>3355</v>
      </c>
      <c r="D8084" s="66" t="s">
        <v>8794</v>
      </c>
      <c r="E8084" s="68" t="s">
        <v>599</v>
      </c>
      <c r="F8084" s="275"/>
    </row>
    <row r="8085" spans="1:6" s="262" customFormat="1">
      <c r="A8085" s="66">
        <v>104546</v>
      </c>
      <c r="B8085" s="66">
        <v>0</v>
      </c>
      <c r="C8085" s="66" t="s">
        <v>3355</v>
      </c>
      <c r="D8085" s="66" t="s">
        <v>8795</v>
      </c>
      <c r="E8085" s="68" t="s">
        <v>599</v>
      </c>
      <c r="F8085" s="275"/>
    </row>
    <row r="8086" spans="1:6" s="262" customFormat="1">
      <c r="A8086" s="66">
        <v>104547</v>
      </c>
      <c r="B8086" s="66">
        <v>0</v>
      </c>
      <c r="C8086" s="66" t="s">
        <v>3355</v>
      </c>
      <c r="D8086" s="66" t="s">
        <v>8796</v>
      </c>
      <c r="E8086" s="68" t="s">
        <v>599</v>
      </c>
      <c r="F8086" s="275"/>
    </row>
    <row r="8087" spans="1:6" s="262" customFormat="1">
      <c r="A8087" s="66">
        <v>104548</v>
      </c>
      <c r="B8087" s="66">
        <v>0</v>
      </c>
      <c r="C8087" s="66" t="s">
        <v>3355</v>
      </c>
      <c r="D8087" s="66" t="s">
        <v>8797</v>
      </c>
      <c r="E8087" s="68" t="s">
        <v>599</v>
      </c>
      <c r="F8087" s="275"/>
    </row>
    <row r="8088" spans="1:6" s="262" customFormat="1">
      <c r="A8088" s="66">
        <v>104549</v>
      </c>
      <c r="B8088" s="66">
        <v>0</v>
      </c>
      <c r="C8088" s="66" t="s">
        <v>3355</v>
      </c>
      <c r="D8088" s="66" t="s">
        <v>8798</v>
      </c>
      <c r="E8088" s="68" t="s">
        <v>599</v>
      </c>
      <c r="F8088" s="275"/>
    </row>
    <row r="8089" spans="1:6" s="262" customFormat="1">
      <c r="A8089" s="66">
        <v>104550</v>
      </c>
      <c r="B8089" s="66">
        <v>0</v>
      </c>
      <c r="C8089" s="66" t="s">
        <v>3355</v>
      </c>
      <c r="D8089" s="66" t="s">
        <v>8799</v>
      </c>
      <c r="E8089" s="68" t="s">
        <v>599</v>
      </c>
      <c r="F8089" s="275"/>
    </row>
    <row r="8090" spans="1:6" s="262" customFormat="1">
      <c r="A8090" s="66">
        <v>104551</v>
      </c>
      <c r="B8090" s="66">
        <v>0</v>
      </c>
      <c r="C8090" s="66" t="s">
        <v>3355</v>
      </c>
      <c r="D8090" s="66" t="s">
        <v>8800</v>
      </c>
      <c r="E8090" s="68" t="s">
        <v>599</v>
      </c>
      <c r="F8090" s="275"/>
    </row>
    <row r="8091" spans="1:6" s="262" customFormat="1">
      <c r="A8091" s="66">
        <v>104552</v>
      </c>
      <c r="B8091" s="66">
        <v>0</v>
      </c>
      <c r="C8091" s="66" t="s">
        <v>3355</v>
      </c>
      <c r="D8091" s="66" t="s">
        <v>8801</v>
      </c>
      <c r="E8091" s="68" t="s">
        <v>599</v>
      </c>
      <c r="F8091" s="275"/>
    </row>
    <row r="8092" spans="1:6" s="262" customFormat="1">
      <c r="A8092" s="66">
        <v>104553</v>
      </c>
      <c r="B8092" s="66">
        <v>0</v>
      </c>
      <c r="C8092" s="66" t="s">
        <v>3355</v>
      </c>
      <c r="D8092" s="66" t="s">
        <v>8802</v>
      </c>
      <c r="E8092" s="68" t="s">
        <v>599</v>
      </c>
      <c r="F8092" s="275"/>
    </row>
    <row r="8093" spans="1:6" s="262" customFormat="1">
      <c r="A8093" s="66">
        <v>104554</v>
      </c>
      <c r="B8093" s="66">
        <v>0</v>
      </c>
      <c r="C8093" s="66" t="s">
        <v>3355</v>
      </c>
      <c r="D8093" s="66" t="s">
        <v>8803</v>
      </c>
      <c r="E8093" s="68" t="s">
        <v>599</v>
      </c>
      <c r="F8093" s="275"/>
    </row>
    <row r="8094" spans="1:6" s="262" customFormat="1">
      <c r="A8094" s="66">
        <v>104555</v>
      </c>
      <c r="B8094" s="66">
        <v>0</v>
      </c>
      <c r="C8094" s="66" t="s">
        <v>3355</v>
      </c>
      <c r="D8094" s="66" t="s">
        <v>8804</v>
      </c>
      <c r="E8094" s="68" t="s">
        <v>599</v>
      </c>
      <c r="F8094" s="275"/>
    </row>
    <row r="8095" spans="1:6" s="262" customFormat="1">
      <c r="A8095" s="66">
        <v>104556</v>
      </c>
      <c r="B8095" s="66">
        <v>0</v>
      </c>
      <c r="C8095" s="66" t="s">
        <v>3355</v>
      </c>
      <c r="D8095" s="66" t="s">
        <v>8805</v>
      </c>
      <c r="E8095" s="68" t="s">
        <v>599</v>
      </c>
      <c r="F8095" s="275"/>
    </row>
    <row r="8096" spans="1:6" s="262" customFormat="1">
      <c r="A8096" s="66">
        <v>104557</v>
      </c>
      <c r="B8096" s="66">
        <v>0</v>
      </c>
      <c r="C8096" s="66" t="s">
        <v>3355</v>
      </c>
      <c r="D8096" s="66" t="s">
        <v>8806</v>
      </c>
      <c r="E8096" s="68" t="s">
        <v>599</v>
      </c>
      <c r="F8096" s="275"/>
    </row>
    <row r="8097" spans="1:6" s="262" customFormat="1">
      <c r="A8097" s="66">
        <v>104558</v>
      </c>
      <c r="B8097" s="66">
        <v>0</v>
      </c>
      <c r="C8097" s="66" t="s">
        <v>3355</v>
      </c>
      <c r="D8097" s="66" t="s">
        <v>8807</v>
      </c>
      <c r="E8097" s="68" t="s">
        <v>599</v>
      </c>
      <c r="F8097" s="275"/>
    </row>
    <row r="8098" spans="1:6" s="262" customFormat="1">
      <c r="A8098" s="66">
        <v>104559</v>
      </c>
      <c r="B8098" s="66">
        <v>0</v>
      </c>
      <c r="C8098" s="66" t="s">
        <v>3355</v>
      </c>
      <c r="D8098" s="66" t="s">
        <v>8808</v>
      </c>
      <c r="E8098" s="68" t="s">
        <v>599</v>
      </c>
      <c r="F8098" s="275"/>
    </row>
    <row r="8099" spans="1:6" s="262" customFormat="1">
      <c r="A8099" s="66">
        <v>104560</v>
      </c>
      <c r="B8099" s="66">
        <v>0</v>
      </c>
      <c r="C8099" s="66" t="s">
        <v>3355</v>
      </c>
      <c r="D8099" s="66" t="s">
        <v>8809</v>
      </c>
      <c r="E8099" s="68" t="s">
        <v>599</v>
      </c>
      <c r="F8099" s="275"/>
    </row>
    <row r="8100" spans="1:6" s="262" customFormat="1">
      <c r="A8100" s="66">
        <v>104561</v>
      </c>
      <c r="B8100" s="66">
        <v>0</v>
      </c>
      <c r="C8100" s="66" t="s">
        <v>3355</v>
      </c>
      <c r="D8100" s="66" t="s">
        <v>8810</v>
      </c>
      <c r="E8100" s="68" t="s">
        <v>599</v>
      </c>
      <c r="F8100" s="275"/>
    </row>
    <row r="8101" spans="1:6" s="262" customFormat="1">
      <c r="A8101" s="66">
        <v>104562</v>
      </c>
      <c r="B8101" s="66">
        <v>0</v>
      </c>
      <c r="C8101" s="66" t="s">
        <v>3355</v>
      </c>
      <c r="D8101" s="66" t="s">
        <v>8811</v>
      </c>
      <c r="E8101" s="68" t="s">
        <v>599</v>
      </c>
      <c r="F8101" s="275"/>
    </row>
    <row r="8102" spans="1:6" s="262" customFormat="1">
      <c r="A8102" s="66">
        <v>104563</v>
      </c>
      <c r="B8102" s="66">
        <v>0</v>
      </c>
      <c r="C8102" s="66" t="s">
        <v>3355</v>
      </c>
      <c r="D8102" s="66" t="s">
        <v>8812</v>
      </c>
      <c r="E8102" s="68" t="s">
        <v>599</v>
      </c>
      <c r="F8102" s="275"/>
    </row>
    <row r="8103" spans="1:6" s="262" customFormat="1">
      <c r="A8103" s="66">
        <v>104564</v>
      </c>
      <c r="B8103" s="66">
        <v>0</v>
      </c>
      <c r="C8103" s="66" t="s">
        <v>3355</v>
      </c>
      <c r="D8103" s="66" t="s">
        <v>8813</v>
      </c>
      <c r="E8103" s="68" t="s">
        <v>599</v>
      </c>
      <c r="F8103" s="275"/>
    </row>
    <row r="8104" spans="1:6" s="262" customFormat="1">
      <c r="A8104" s="66">
        <v>104565</v>
      </c>
      <c r="B8104" s="66">
        <v>0</v>
      </c>
      <c r="C8104" s="66" t="s">
        <v>3355</v>
      </c>
      <c r="D8104" s="66" t="s">
        <v>8814</v>
      </c>
      <c r="E8104" s="68" t="s">
        <v>599</v>
      </c>
      <c r="F8104" s="275"/>
    </row>
    <row r="8105" spans="1:6" s="262" customFormat="1">
      <c r="A8105" s="66">
        <v>104566</v>
      </c>
      <c r="B8105" s="66">
        <v>0</v>
      </c>
      <c r="C8105" s="66" t="s">
        <v>3355</v>
      </c>
      <c r="D8105" s="66" t="s">
        <v>8815</v>
      </c>
      <c r="E8105" s="68" t="s">
        <v>599</v>
      </c>
      <c r="F8105" s="275"/>
    </row>
    <row r="8106" spans="1:6" s="262" customFormat="1">
      <c r="A8106" s="66">
        <v>104567</v>
      </c>
      <c r="B8106" s="66">
        <v>0</v>
      </c>
      <c r="C8106" s="66" t="s">
        <v>3355</v>
      </c>
      <c r="D8106" s="66" t="s">
        <v>8816</v>
      </c>
      <c r="E8106" s="68" t="s">
        <v>599</v>
      </c>
      <c r="F8106" s="275"/>
    </row>
    <row r="8107" spans="1:6" s="262" customFormat="1">
      <c r="A8107" s="66">
        <v>104568</v>
      </c>
      <c r="B8107" s="66">
        <v>0</v>
      </c>
      <c r="C8107" s="66" t="s">
        <v>3355</v>
      </c>
      <c r="D8107" s="66" t="s">
        <v>8817</v>
      </c>
      <c r="E8107" s="68" t="s">
        <v>599</v>
      </c>
      <c r="F8107" s="275"/>
    </row>
    <row r="8108" spans="1:6" s="262" customFormat="1">
      <c r="A8108" s="66">
        <v>104569</v>
      </c>
      <c r="B8108" s="66">
        <v>0</v>
      </c>
      <c r="C8108" s="66" t="s">
        <v>3355</v>
      </c>
      <c r="D8108" s="66" t="s">
        <v>8818</v>
      </c>
      <c r="E8108" s="68" t="s">
        <v>599</v>
      </c>
      <c r="F8108" s="275"/>
    </row>
    <row r="8109" spans="1:6" s="262" customFormat="1">
      <c r="A8109" s="66">
        <v>104570</v>
      </c>
      <c r="B8109" s="66">
        <v>0</v>
      </c>
      <c r="C8109" s="66" t="s">
        <v>3355</v>
      </c>
      <c r="D8109" s="66" t="s">
        <v>8819</v>
      </c>
      <c r="E8109" s="68" t="s">
        <v>599</v>
      </c>
      <c r="F8109" s="275"/>
    </row>
    <row r="8110" spans="1:6" s="262" customFormat="1">
      <c r="A8110" s="66">
        <v>104571</v>
      </c>
      <c r="B8110" s="66">
        <v>0</v>
      </c>
      <c r="C8110" s="66" t="s">
        <v>3355</v>
      </c>
      <c r="D8110" s="66" t="s">
        <v>8820</v>
      </c>
      <c r="E8110" s="68" t="s">
        <v>599</v>
      </c>
      <c r="F8110" s="275"/>
    </row>
    <row r="8111" spans="1:6" s="262" customFormat="1">
      <c r="A8111" s="66">
        <v>104572</v>
      </c>
      <c r="B8111" s="66">
        <v>0</v>
      </c>
      <c r="C8111" s="66" t="s">
        <v>3355</v>
      </c>
      <c r="D8111" s="66" t="s">
        <v>8821</v>
      </c>
      <c r="E8111" s="68" t="s">
        <v>599</v>
      </c>
      <c r="F8111" s="275"/>
    </row>
    <row r="8112" spans="1:6" s="262" customFormat="1">
      <c r="A8112" s="66">
        <v>104573</v>
      </c>
      <c r="B8112" s="66">
        <v>0</v>
      </c>
      <c r="C8112" s="66" t="s">
        <v>3355</v>
      </c>
      <c r="D8112" s="66" t="s">
        <v>8822</v>
      </c>
      <c r="E8112" s="68" t="s">
        <v>599</v>
      </c>
      <c r="F8112" s="275"/>
    </row>
    <row r="8113" spans="1:6" s="262" customFormat="1">
      <c r="A8113" s="66">
        <v>104574</v>
      </c>
      <c r="B8113" s="66">
        <v>0</v>
      </c>
      <c r="C8113" s="66" t="s">
        <v>3355</v>
      </c>
      <c r="D8113" s="66" t="s">
        <v>8823</v>
      </c>
      <c r="E8113" s="68" t="s">
        <v>599</v>
      </c>
      <c r="F8113" s="275"/>
    </row>
    <row r="8114" spans="1:6" s="262" customFormat="1">
      <c r="A8114" s="66">
        <v>104575</v>
      </c>
      <c r="B8114" s="66">
        <v>0</v>
      </c>
      <c r="C8114" s="66" t="s">
        <v>3355</v>
      </c>
      <c r="D8114" s="66" t="s">
        <v>8824</v>
      </c>
      <c r="E8114" s="68" t="s">
        <v>599</v>
      </c>
      <c r="F8114" s="275"/>
    </row>
    <row r="8115" spans="1:6" s="262" customFormat="1">
      <c r="A8115" s="66">
        <v>104576</v>
      </c>
      <c r="B8115" s="66">
        <v>0</v>
      </c>
      <c r="C8115" s="66" t="s">
        <v>3355</v>
      </c>
      <c r="D8115" s="66" t="s">
        <v>8825</v>
      </c>
      <c r="E8115" s="68" t="s">
        <v>599</v>
      </c>
      <c r="F8115" s="275"/>
    </row>
    <row r="8116" spans="1:6" s="262" customFormat="1">
      <c r="A8116" s="66">
        <v>104577</v>
      </c>
      <c r="B8116" s="66">
        <v>0</v>
      </c>
      <c r="C8116" s="66" t="s">
        <v>3355</v>
      </c>
      <c r="D8116" s="66" t="s">
        <v>8826</v>
      </c>
      <c r="E8116" s="68" t="s">
        <v>599</v>
      </c>
      <c r="F8116" s="275"/>
    </row>
    <row r="8117" spans="1:6" s="262" customFormat="1">
      <c r="A8117" s="66">
        <v>104578</v>
      </c>
      <c r="B8117" s="66">
        <v>0</v>
      </c>
      <c r="C8117" s="66" t="s">
        <v>3355</v>
      </c>
      <c r="D8117" s="66" t="s">
        <v>8827</v>
      </c>
      <c r="E8117" s="68" t="s">
        <v>599</v>
      </c>
      <c r="F8117" s="275"/>
    </row>
    <row r="8118" spans="1:6" s="262" customFormat="1">
      <c r="A8118" s="66">
        <v>104579</v>
      </c>
      <c r="B8118" s="66">
        <v>0</v>
      </c>
      <c r="C8118" s="66" t="s">
        <v>3355</v>
      </c>
      <c r="D8118" s="66" t="s">
        <v>8828</v>
      </c>
      <c r="E8118" s="68" t="s">
        <v>599</v>
      </c>
      <c r="F8118" s="275"/>
    </row>
    <row r="8119" spans="1:6" s="262" customFormat="1">
      <c r="A8119" s="66">
        <v>104580</v>
      </c>
      <c r="B8119" s="66">
        <v>0</v>
      </c>
      <c r="C8119" s="66" t="s">
        <v>3355</v>
      </c>
      <c r="D8119" s="66" t="s">
        <v>8829</v>
      </c>
      <c r="E8119" s="68" t="s">
        <v>599</v>
      </c>
      <c r="F8119" s="275"/>
    </row>
    <row r="8120" spans="1:6" s="262" customFormat="1">
      <c r="A8120" s="66">
        <v>104581</v>
      </c>
      <c r="B8120" s="66">
        <v>0</v>
      </c>
      <c r="C8120" s="66" t="s">
        <v>3355</v>
      </c>
      <c r="D8120" s="66" t="s">
        <v>8830</v>
      </c>
      <c r="E8120" s="68" t="s">
        <v>599</v>
      </c>
      <c r="F8120" s="275"/>
    </row>
    <row r="8121" spans="1:6" s="262" customFormat="1">
      <c r="A8121" s="66">
        <v>104582</v>
      </c>
      <c r="B8121" s="66">
        <v>0</v>
      </c>
      <c r="C8121" s="66" t="s">
        <v>3355</v>
      </c>
      <c r="D8121" s="66" t="s">
        <v>8831</v>
      </c>
      <c r="E8121" s="68" t="s">
        <v>599</v>
      </c>
      <c r="F8121" s="275"/>
    </row>
    <row r="8122" spans="1:6" s="262" customFormat="1">
      <c r="A8122" s="66">
        <v>104583</v>
      </c>
      <c r="B8122" s="66">
        <v>0</v>
      </c>
      <c r="C8122" s="66" t="s">
        <v>3355</v>
      </c>
      <c r="D8122" s="66" t="s">
        <v>8832</v>
      </c>
      <c r="E8122" s="68" t="s">
        <v>599</v>
      </c>
      <c r="F8122" s="275"/>
    </row>
    <row r="8123" spans="1:6" s="262" customFormat="1">
      <c r="A8123" s="66">
        <v>104584</v>
      </c>
      <c r="B8123" s="66">
        <v>0</v>
      </c>
      <c r="C8123" s="66" t="s">
        <v>3355</v>
      </c>
      <c r="D8123" s="66" t="s">
        <v>8833</v>
      </c>
      <c r="E8123" s="68" t="s">
        <v>599</v>
      </c>
      <c r="F8123" s="275"/>
    </row>
    <row r="8124" spans="1:6" s="262" customFormat="1">
      <c r="A8124" s="66">
        <v>104585</v>
      </c>
      <c r="B8124" s="66">
        <v>0</v>
      </c>
      <c r="C8124" s="66" t="s">
        <v>3355</v>
      </c>
      <c r="D8124" s="66" t="s">
        <v>8834</v>
      </c>
      <c r="E8124" s="68" t="s">
        <v>599</v>
      </c>
      <c r="F8124" s="275"/>
    </row>
    <row r="8125" spans="1:6" s="262" customFormat="1">
      <c r="A8125" s="66">
        <v>104586</v>
      </c>
      <c r="B8125" s="66">
        <v>0</v>
      </c>
      <c r="C8125" s="66" t="s">
        <v>3355</v>
      </c>
      <c r="D8125" s="66" t="s">
        <v>8835</v>
      </c>
      <c r="E8125" s="68" t="s">
        <v>599</v>
      </c>
      <c r="F8125" s="275"/>
    </row>
    <row r="8126" spans="1:6" s="262" customFormat="1">
      <c r="A8126" s="66">
        <v>104587</v>
      </c>
      <c r="B8126" s="66">
        <v>0</v>
      </c>
      <c r="C8126" s="66" t="s">
        <v>3355</v>
      </c>
      <c r="D8126" s="66" t="s">
        <v>8836</v>
      </c>
      <c r="E8126" s="68" t="s">
        <v>599</v>
      </c>
      <c r="F8126" s="275"/>
    </row>
    <row r="8127" spans="1:6" s="262" customFormat="1">
      <c r="A8127" s="66">
        <v>104588</v>
      </c>
      <c r="B8127" s="66">
        <v>0</v>
      </c>
      <c r="C8127" s="66" t="s">
        <v>3355</v>
      </c>
      <c r="D8127" s="66" t="s">
        <v>8837</v>
      </c>
      <c r="E8127" s="68" t="s">
        <v>599</v>
      </c>
      <c r="F8127" s="275"/>
    </row>
    <row r="8128" spans="1:6" s="262" customFormat="1">
      <c r="A8128" s="66">
        <v>104589</v>
      </c>
      <c r="B8128" s="66">
        <v>0</v>
      </c>
      <c r="C8128" s="66" t="s">
        <v>3355</v>
      </c>
      <c r="D8128" s="66" t="s">
        <v>8838</v>
      </c>
      <c r="E8128" s="68" t="s">
        <v>599</v>
      </c>
      <c r="F8128" s="275"/>
    </row>
    <row r="8129" spans="1:6" s="262" customFormat="1">
      <c r="A8129" s="66">
        <v>104590</v>
      </c>
      <c r="B8129" s="66">
        <v>0</v>
      </c>
      <c r="C8129" s="66" t="s">
        <v>3355</v>
      </c>
      <c r="D8129" s="66" t="s">
        <v>8839</v>
      </c>
      <c r="E8129" s="68" t="s">
        <v>599</v>
      </c>
      <c r="F8129" s="275"/>
    </row>
    <row r="8130" spans="1:6" s="262" customFormat="1">
      <c r="A8130" s="66">
        <v>104591</v>
      </c>
      <c r="B8130" s="66">
        <v>0</v>
      </c>
      <c r="C8130" s="66" t="s">
        <v>3355</v>
      </c>
      <c r="D8130" s="66" t="s">
        <v>8840</v>
      </c>
      <c r="E8130" s="68" t="s">
        <v>599</v>
      </c>
      <c r="F8130" s="275"/>
    </row>
    <row r="8131" spans="1:6" s="262" customFormat="1">
      <c r="A8131" s="66">
        <v>104592</v>
      </c>
      <c r="B8131" s="66">
        <v>0</v>
      </c>
      <c r="C8131" s="66" t="s">
        <v>3355</v>
      </c>
      <c r="D8131" s="66" t="s">
        <v>8841</v>
      </c>
      <c r="E8131" s="68" t="s">
        <v>599</v>
      </c>
      <c r="F8131" s="275"/>
    </row>
    <row r="8132" spans="1:6" s="262" customFormat="1">
      <c r="A8132" s="66">
        <v>104593</v>
      </c>
      <c r="B8132" s="66">
        <v>0</v>
      </c>
      <c r="C8132" s="66" t="s">
        <v>3355</v>
      </c>
      <c r="D8132" s="66" t="s">
        <v>8842</v>
      </c>
      <c r="E8132" s="68" t="s">
        <v>599</v>
      </c>
      <c r="F8132" s="275"/>
    </row>
    <row r="8133" spans="1:6" s="262" customFormat="1">
      <c r="A8133" s="66">
        <v>104594</v>
      </c>
      <c r="B8133" s="66">
        <v>0</v>
      </c>
      <c r="C8133" s="66" t="s">
        <v>3355</v>
      </c>
      <c r="D8133" s="66" t="s">
        <v>8843</v>
      </c>
      <c r="E8133" s="68" t="s">
        <v>599</v>
      </c>
      <c r="F8133" s="275"/>
    </row>
    <row r="8134" spans="1:6" s="262" customFormat="1">
      <c r="A8134" s="66">
        <v>104595</v>
      </c>
      <c r="B8134" s="66">
        <v>0</v>
      </c>
      <c r="C8134" s="66" t="s">
        <v>3355</v>
      </c>
      <c r="D8134" s="66" t="s">
        <v>8844</v>
      </c>
      <c r="E8134" s="68" t="s">
        <v>599</v>
      </c>
      <c r="F8134" s="275"/>
    </row>
    <row r="8135" spans="1:6" s="262" customFormat="1">
      <c r="A8135" s="66">
        <v>104596</v>
      </c>
      <c r="B8135" s="66">
        <v>0</v>
      </c>
      <c r="C8135" s="66" t="s">
        <v>3355</v>
      </c>
      <c r="D8135" s="66" t="s">
        <v>8845</v>
      </c>
      <c r="E8135" s="68" t="s">
        <v>599</v>
      </c>
      <c r="F8135" s="275"/>
    </row>
    <row r="8136" spans="1:6" s="262" customFormat="1">
      <c r="A8136" s="66">
        <v>104597</v>
      </c>
      <c r="B8136" s="66">
        <v>0</v>
      </c>
      <c r="C8136" s="66" t="s">
        <v>3355</v>
      </c>
      <c r="D8136" s="66" t="s">
        <v>8846</v>
      </c>
      <c r="E8136" s="68" t="s">
        <v>599</v>
      </c>
      <c r="F8136" s="275"/>
    </row>
    <row r="8137" spans="1:6" s="262" customFormat="1">
      <c r="A8137" s="66">
        <v>104598</v>
      </c>
      <c r="B8137" s="66">
        <v>0</v>
      </c>
      <c r="C8137" s="66" t="s">
        <v>3355</v>
      </c>
      <c r="D8137" s="66" t="s">
        <v>8847</v>
      </c>
      <c r="E8137" s="68" t="s">
        <v>599</v>
      </c>
      <c r="F8137" s="275"/>
    </row>
    <row r="8138" spans="1:6" s="262" customFormat="1">
      <c r="A8138" s="66">
        <v>104599</v>
      </c>
      <c r="B8138" s="66">
        <v>0</v>
      </c>
      <c r="C8138" s="66" t="s">
        <v>3355</v>
      </c>
      <c r="D8138" s="66" t="s">
        <v>8848</v>
      </c>
      <c r="E8138" s="68" t="s">
        <v>599</v>
      </c>
      <c r="F8138" s="275"/>
    </row>
    <row r="8139" spans="1:6" s="262" customFormat="1">
      <c r="A8139" s="66">
        <v>104600</v>
      </c>
      <c r="B8139" s="66">
        <v>0</v>
      </c>
      <c r="C8139" s="66" t="s">
        <v>3355</v>
      </c>
      <c r="D8139" s="66" t="s">
        <v>8849</v>
      </c>
      <c r="E8139" s="68" t="s">
        <v>599</v>
      </c>
      <c r="F8139" s="275"/>
    </row>
    <row r="8140" spans="1:6" s="262" customFormat="1">
      <c r="A8140" s="66">
        <v>104601</v>
      </c>
      <c r="B8140" s="66">
        <v>0</v>
      </c>
      <c r="C8140" s="66" t="s">
        <v>3355</v>
      </c>
      <c r="D8140" s="66" t="s">
        <v>8850</v>
      </c>
      <c r="E8140" s="68" t="s">
        <v>599</v>
      </c>
      <c r="F8140" s="275"/>
    </row>
    <row r="8141" spans="1:6" s="262" customFormat="1">
      <c r="A8141" s="66">
        <v>104602</v>
      </c>
      <c r="B8141" s="66">
        <v>0</v>
      </c>
      <c r="C8141" s="66" t="s">
        <v>3355</v>
      </c>
      <c r="D8141" s="66" t="s">
        <v>8851</v>
      </c>
      <c r="E8141" s="68" t="s">
        <v>599</v>
      </c>
      <c r="F8141" s="275"/>
    </row>
    <row r="8142" spans="1:6" s="262" customFormat="1">
      <c r="A8142" s="66">
        <v>104603</v>
      </c>
      <c r="B8142" s="66">
        <v>0</v>
      </c>
      <c r="C8142" s="66" t="s">
        <v>3355</v>
      </c>
      <c r="D8142" s="66" t="s">
        <v>8852</v>
      </c>
      <c r="E8142" s="68" t="s">
        <v>599</v>
      </c>
      <c r="F8142" s="275"/>
    </row>
    <row r="8143" spans="1:6" s="262" customFormat="1">
      <c r="A8143" s="66">
        <v>104604</v>
      </c>
      <c r="B8143" s="66">
        <v>0</v>
      </c>
      <c r="C8143" s="66" t="s">
        <v>3355</v>
      </c>
      <c r="D8143" s="66" t="s">
        <v>8853</v>
      </c>
      <c r="E8143" s="68" t="s">
        <v>599</v>
      </c>
      <c r="F8143" s="275"/>
    </row>
    <row r="8144" spans="1:6" s="262" customFormat="1">
      <c r="A8144" s="66">
        <v>104605</v>
      </c>
      <c r="B8144" s="66">
        <v>0</v>
      </c>
      <c r="C8144" s="66" t="s">
        <v>3355</v>
      </c>
      <c r="D8144" s="66" t="s">
        <v>8854</v>
      </c>
      <c r="E8144" s="68" t="s">
        <v>599</v>
      </c>
      <c r="F8144" s="275"/>
    </row>
    <row r="8145" spans="1:6" s="262" customFormat="1">
      <c r="A8145" s="66">
        <v>104606</v>
      </c>
      <c r="B8145" s="66">
        <v>0</v>
      </c>
      <c r="C8145" s="66" t="s">
        <v>3355</v>
      </c>
      <c r="D8145" s="66" t="s">
        <v>8855</v>
      </c>
      <c r="E8145" s="68" t="s">
        <v>599</v>
      </c>
      <c r="F8145" s="275"/>
    </row>
    <row r="8146" spans="1:6" s="262" customFormat="1">
      <c r="A8146" s="66">
        <v>104607</v>
      </c>
      <c r="B8146" s="66">
        <v>0</v>
      </c>
      <c r="C8146" s="66" t="s">
        <v>3355</v>
      </c>
      <c r="D8146" s="66" t="s">
        <v>8856</v>
      </c>
      <c r="E8146" s="68" t="s">
        <v>599</v>
      </c>
      <c r="F8146" s="275"/>
    </row>
    <row r="8147" spans="1:6" s="262" customFormat="1">
      <c r="A8147" s="66">
        <v>104608</v>
      </c>
      <c r="B8147" s="66">
        <v>0</v>
      </c>
      <c r="C8147" s="66" t="s">
        <v>3355</v>
      </c>
      <c r="D8147" s="66" t="s">
        <v>8857</v>
      </c>
      <c r="E8147" s="68" t="s">
        <v>599</v>
      </c>
      <c r="F8147" s="275"/>
    </row>
    <row r="8148" spans="1:6" s="262" customFormat="1">
      <c r="A8148" s="66">
        <v>104609</v>
      </c>
      <c r="B8148" s="66">
        <v>0</v>
      </c>
      <c r="C8148" s="66" t="s">
        <v>3355</v>
      </c>
      <c r="D8148" s="66" t="s">
        <v>8858</v>
      </c>
      <c r="E8148" s="68" t="s">
        <v>599</v>
      </c>
      <c r="F8148" s="275"/>
    </row>
    <row r="8149" spans="1:6" s="262" customFormat="1">
      <c r="A8149" s="66">
        <v>104610</v>
      </c>
      <c r="B8149" s="66">
        <v>0</v>
      </c>
      <c r="C8149" s="66" t="s">
        <v>3355</v>
      </c>
      <c r="D8149" s="66" t="s">
        <v>8859</v>
      </c>
      <c r="E8149" s="68" t="s">
        <v>599</v>
      </c>
      <c r="F8149" s="275"/>
    </row>
    <row r="8150" spans="1:6" s="262" customFormat="1">
      <c r="A8150" s="66">
        <v>104611</v>
      </c>
      <c r="B8150" s="66">
        <v>0</v>
      </c>
      <c r="C8150" s="66" t="s">
        <v>3355</v>
      </c>
      <c r="D8150" s="66" t="s">
        <v>8860</v>
      </c>
      <c r="E8150" s="68" t="s">
        <v>599</v>
      </c>
      <c r="F8150" s="275"/>
    </row>
    <row r="8151" spans="1:6" s="262" customFormat="1">
      <c r="A8151" s="66">
        <v>104612</v>
      </c>
      <c r="B8151" s="66">
        <v>0</v>
      </c>
      <c r="C8151" s="66" t="s">
        <v>3355</v>
      </c>
      <c r="D8151" s="66" t="s">
        <v>8861</v>
      </c>
      <c r="E8151" s="68" t="s">
        <v>599</v>
      </c>
      <c r="F8151" s="275"/>
    </row>
    <row r="8152" spans="1:6" s="262" customFormat="1">
      <c r="A8152" s="66">
        <v>104613</v>
      </c>
      <c r="B8152" s="66">
        <v>0</v>
      </c>
      <c r="C8152" s="66" t="s">
        <v>3355</v>
      </c>
      <c r="D8152" s="66" t="s">
        <v>8862</v>
      </c>
      <c r="E8152" s="68" t="s">
        <v>599</v>
      </c>
      <c r="F8152" s="275"/>
    </row>
    <row r="8153" spans="1:6" s="262" customFormat="1">
      <c r="A8153" s="66">
        <v>104614</v>
      </c>
      <c r="B8153" s="66">
        <v>0</v>
      </c>
      <c r="C8153" s="66" t="s">
        <v>3355</v>
      </c>
      <c r="D8153" s="66" t="s">
        <v>8863</v>
      </c>
      <c r="E8153" s="68" t="s">
        <v>599</v>
      </c>
      <c r="F8153" s="275"/>
    </row>
    <row r="8154" spans="1:6" s="262" customFormat="1">
      <c r="A8154" s="66">
        <v>104615</v>
      </c>
      <c r="B8154" s="66">
        <v>0</v>
      </c>
      <c r="C8154" s="66" t="s">
        <v>3355</v>
      </c>
      <c r="D8154" s="66" t="s">
        <v>8864</v>
      </c>
      <c r="E8154" s="68" t="s">
        <v>599</v>
      </c>
      <c r="F8154" s="275"/>
    </row>
    <row r="8155" spans="1:6" s="262" customFormat="1">
      <c r="A8155" s="66">
        <v>104616</v>
      </c>
      <c r="B8155" s="66">
        <v>0</v>
      </c>
      <c r="C8155" s="66" t="s">
        <v>3355</v>
      </c>
      <c r="D8155" s="66" t="s">
        <v>8865</v>
      </c>
      <c r="E8155" s="68" t="s">
        <v>599</v>
      </c>
      <c r="F8155" s="275"/>
    </row>
    <row r="8156" spans="1:6" s="262" customFormat="1">
      <c r="A8156" s="66">
        <v>104617</v>
      </c>
      <c r="B8156" s="66">
        <v>0</v>
      </c>
      <c r="C8156" s="66" t="s">
        <v>3355</v>
      </c>
      <c r="D8156" s="66" t="s">
        <v>8866</v>
      </c>
      <c r="E8156" s="68" t="s">
        <v>599</v>
      </c>
      <c r="F8156" s="275"/>
    </row>
    <row r="8157" spans="1:6" s="262" customFormat="1">
      <c r="A8157" s="66">
        <v>104618</v>
      </c>
      <c r="B8157" s="66">
        <v>0</v>
      </c>
      <c r="C8157" s="66" t="s">
        <v>3355</v>
      </c>
      <c r="D8157" s="66" t="s">
        <v>8867</v>
      </c>
      <c r="E8157" s="68" t="s">
        <v>599</v>
      </c>
      <c r="F8157" s="275"/>
    </row>
    <row r="8158" spans="1:6" s="262" customFormat="1">
      <c r="A8158" s="66">
        <v>104619</v>
      </c>
      <c r="B8158" s="66">
        <v>0</v>
      </c>
      <c r="C8158" s="66" t="s">
        <v>3355</v>
      </c>
      <c r="D8158" s="66" t="s">
        <v>8868</v>
      </c>
      <c r="E8158" s="68" t="s">
        <v>599</v>
      </c>
      <c r="F8158" s="275"/>
    </row>
    <row r="8159" spans="1:6" s="262" customFormat="1">
      <c r="A8159" s="66">
        <v>104620</v>
      </c>
      <c r="B8159" s="66">
        <v>0</v>
      </c>
      <c r="C8159" s="66" t="s">
        <v>3355</v>
      </c>
      <c r="D8159" s="66" t="s">
        <v>8869</v>
      </c>
      <c r="E8159" s="68" t="s">
        <v>599</v>
      </c>
      <c r="F8159" s="275"/>
    </row>
    <row r="8160" spans="1:6" s="262" customFormat="1">
      <c r="A8160" s="66">
        <v>104621</v>
      </c>
      <c r="B8160" s="66">
        <v>0</v>
      </c>
      <c r="C8160" s="66" t="s">
        <v>3355</v>
      </c>
      <c r="D8160" s="66" t="s">
        <v>8870</v>
      </c>
      <c r="E8160" s="68" t="s">
        <v>599</v>
      </c>
      <c r="F8160" s="275"/>
    </row>
    <row r="8161" spans="1:6" s="262" customFormat="1">
      <c r="A8161" s="66">
        <v>104622</v>
      </c>
      <c r="B8161" s="66">
        <v>0</v>
      </c>
      <c r="C8161" s="66" t="s">
        <v>3355</v>
      </c>
      <c r="D8161" s="66" t="s">
        <v>8871</v>
      </c>
      <c r="E8161" s="68" t="s">
        <v>599</v>
      </c>
      <c r="F8161" s="275"/>
    </row>
    <row r="8162" spans="1:6" s="262" customFormat="1">
      <c r="A8162" s="66">
        <v>104623</v>
      </c>
      <c r="B8162" s="66">
        <v>0</v>
      </c>
      <c r="C8162" s="66" t="s">
        <v>3355</v>
      </c>
      <c r="D8162" s="66" t="s">
        <v>8872</v>
      </c>
      <c r="E8162" s="68" t="s">
        <v>599</v>
      </c>
      <c r="F8162" s="275"/>
    </row>
    <row r="8163" spans="1:6" s="262" customFormat="1">
      <c r="A8163" s="66">
        <v>104624</v>
      </c>
      <c r="B8163" s="66">
        <v>0</v>
      </c>
      <c r="C8163" s="66" t="s">
        <v>3355</v>
      </c>
      <c r="D8163" s="66" t="s">
        <v>8873</v>
      </c>
      <c r="E8163" s="68" t="s">
        <v>599</v>
      </c>
      <c r="F8163" s="275"/>
    </row>
    <row r="8164" spans="1:6" s="262" customFormat="1">
      <c r="A8164" s="66">
        <v>104625</v>
      </c>
      <c r="B8164" s="66">
        <v>0</v>
      </c>
      <c r="C8164" s="66" t="s">
        <v>3355</v>
      </c>
      <c r="D8164" s="66" t="s">
        <v>8874</v>
      </c>
      <c r="E8164" s="68" t="s">
        <v>599</v>
      </c>
      <c r="F8164" s="275"/>
    </row>
    <row r="8165" spans="1:6" s="262" customFormat="1">
      <c r="A8165" s="66">
        <v>104626</v>
      </c>
      <c r="B8165" s="66">
        <v>0</v>
      </c>
      <c r="C8165" s="66" t="s">
        <v>3355</v>
      </c>
      <c r="D8165" s="66" t="s">
        <v>8875</v>
      </c>
      <c r="E8165" s="68" t="s">
        <v>599</v>
      </c>
      <c r="F8165" s="275"/>
    </row>
    <row r="8166" spans="1:6" s="262" customFormat="1">
      <c r="A8166" s="66">
        <v>104627</v>
      </c>
      <c r="B8166" s="66">
        <v>0</v>
      </c>
      <c r="C8166" s="66" t="s">
        <v>3355</v>
      </c>
      <c r="D8166" s="66" t="s">
        <v>8876</v>
      </c>
      <c r="E8166" s="68" t="s">
        <v>599</v>
      </c>
      <c r="F8166" s="275"/>
    </row>
    <row r="8167" spans="1:6" s="262" customFormat="1">
      <c r="A8167" s="66">
        <v>104628</v>
      </c>
      <c r="B8167" s="66">
        <v>0</v>
      </c>
      <c r="C8167" s="66" t="s">
        <v>3355</v>
      </c>
      <c r="D8167" s="66" t="s">
        <v>8877</v>
      </c>
      <c r="E8167" s="68" t="s">
        <v>599</v>
      </c>
      <c r="F8167" s="275"/>
    </row>
    <row r="8168" spans="1:6" s="262" customFormat="1">
      <c r="A8168" s="66">
        <v>104629</v>
      </c>
      <c r="B8168" s="66">
        <v>0</v>
      </c>
      <c r="C8168" s="66" t="s">
        <v>3355</v>
      </c>
      <c r="D8168" s="66" t="s">
        <v>8878</v>
      </c>
      <c r="E8168" s="68" t="s">
        <v>599</v>
      </c>
      <c r="F8168" s="275"/>
    </row>
    <row r="8169" spans="1:6" s="262" customFormat="1">
      <c r="A8169" s="66">
        <v>104630</v>
      </c>
      <c r="B8169" s="66">
        <v>0</v>
      </c>
      <c r="C8169" s="66" t="s">
        <v>3355</v>
      </c>
      <c r="D8169" s="66" t="s">
        <v>8879</v>
      </c>
      <c r="E8169" s="68" t="s">
        <v>599</v>
      </c>
      <c r="F8169" s="275"/>
    </row>
    <row r="8170" spans="1:6" s="262" customFormat="1">
      <c r="A8170" s="66">
        <v>104631</v>
      </c>
      <c r="B8170" s="66">
        <v>0</v>
      </c>
      <c r="C8170" s="66" t="s">
        <v>3355</v>
      </c>
      <c r="D8170" s="66" t="s">
        <v>8880</v>
      </c>
      <c r="E8170" s="68" t="s">
        <v>599</v>
      </c>
      <c r="F8170" s="275"/>
    </row>
    <row r="8171" spans="1:6" s="262" customFormat="1">
      <c r="A8171" s="66">
        <v>104632</v>
      </c>
      <c r="B8171" s="66">
        <v>0</v>
      </c>
      <c r="C8171" s="66" t="s">
        <v>3355</v>
      </c>
      <c r="D8171" s="66" t="s">
        <v>8881</v>
      </c>
      <c r="E8171" s="68" t="s">
        <v>599</v>
      </c>
      <c r="F8171" s="275"/>
    </row>
    <row r="8172" spans="1:6" s="262" customFormat="1">
      <c r="A8172" s="66">
        <v>104633</v>
      </c>
      <c r="B8172" s="66">
        <v>0</v>
      </c>
      <c r="C8172" s="66" t="s">
        <v>3355</v>
      </c>
      <c r="D8172" s="66" t="s">
        <v>8882</v>
      </c>
      <c r="E8172" s="68" t="s">
        <v>599</v>
      </c>
      <c r="F8172" s="275"/>
    </row>
    <row r="8173" spans="1:6" s="262" customFormat="1">
      <c r="A8173" s="66">
        <v>104634</v>
      </c>
      <c r="B8173" s="66">
        <v>0</v>
      </c>
      <c r="C8173" s="66" t="s">
        <v>3355</v>
      </c>
      <c r="D8173" s="66" t="s">
        <v>8883</v>
      </c>
      <c r="E8173" s="68" t="s">
        <v>599</v>
      </c>
      <c r="F8173" s="275"/>
    </row>
    <row r="8174" spans="1:6" s="262" customFormat="1">
      <c r="A8174" s="66">
        <v>104635</v>
      </c>
      <c r="B8174" s="66">
        <v>0</v>
      </c>
      <c r="C8174" s="66" t="s">
        <v>3355</v>
      </c>
      <c r="D8174" s="66" t="s">
        <v>8884</v>
      </c>
      <c r="E8174" s="68" t="s">
        <v>599</v>
      </c>
      <c r="F8174" s="275"/>
    </row>
    <row r="8175" spans="1:6" s="262" customFormat="1">
      <c r="A8175" s="66">
        <v>104636</v>
      </c>
      <c r="B8175" s="66">
        <v>0</v>
      </c>
      <c r="C8175" s="66" t="s">
        <v>3355</v>
      </c>
      <c r="D8175" s="66" t="s">
        <v>8885</v>
      </c>
      <c r="E8175" s="68" t="s">
        <v>599</v>
      </c>
      <c r="F8175" s="275"/>
    </row>
    <row r="8176" spans="1:6" s="262" customFormat="1">
      <c r="A8176" s="66">
        <v>104637</v>
      </c>
      <c r="B8176" s="66">
        <v>0</v>
      </c>
      <c r="C8176" s="66" t="s">
        <v>3355</v>
      </c>
      <c r="D8176" s="66" t="s">
        <v>8886</v>
      </c>
      <c r="E8176" s="68" t="s">
        <v>599</v>
      </c>
      <c r="F8176" s="275"/>
    </row>
    <row r="8177" spans="1:6" s="262" customFormat="1">
      <c r="A8177" s="66">
        <v>104638</v>
      </c>
      <c r="B8177" s="66">
        <v>0</v>
      </c>
      <c r="C8177" s="66" t="s">
        <v>3355</v>
      </c>
      <c r="D8177" s="66" t="s">
        <v>8887</v>
      </c>
      <c r="E8177" s="68" t="s">
        <v>599</v>
      </c>
      <c r="F8177" s="275"/>
    </row>
    <row r="8178" spans="1:6" s="262" customFormat="1">
      <c r="A8178" s="66">
        <v>104639</v>
      </c>
      <c r="B8178" s="66">
        <v>0</v>
      </c>
      <c r="C8178" s="66" t="s">
        <v>3355</v>
      </c>
      <c r="D8178" s="66" t="s">
        <v>8888</v>
      </c>
      <c r="E8178" s="68" t="s">
        <v>599</v>
      </c>
      <c r="F8178" s="275"/>
    </row>
    <row r="8179" spans="1:6" s="262" customFormat="1">
      <c r="A8179" s="66">
        <v>104640</v>
      </c>
      <c r="B8179" s="66">
        <v>0</v>
      </c>
      <c r="C8179" s="66" t="s">
        <v>3355</v>
      </c>
      <c r="D8179" s="66" t="s">
        <v>8889</v>
      </c>
      <c r="E8179" s="68" t="s">
        <v>599</v>
      </c>
      <c r="F8179" s="275"/>
    </row>
    <row r="8180" spans="1:6" s="262" customFormat="1">
      <c r="A8180" s="66">
        <v>104641</v>
      </c>
      <c r="B8180" s="66">
        <v>0</v>
      </c>
      <c r="C8180" s="66" t="s">
        <v>3355</v>
      </c>
      <c r="D8180" s="66" t="s">
        <v>8890</v>
      </c>
      <c r="E8180" s="68" t="s">
        <v>599</v>
      </c>
      <c r="F8180" s="275"/>
    </row>
    <row r="8181" spans="1:6" s="262" customFormat="1">
      <c r="A8181" s="66">
        <v>104642</v>
      </c>
      <c r="B8181" s="66">
        <v>0</v>
      </c>
      <c r="C8181" s="66" t="s">
        <v>3355</v>
      </c>
      <c r="D8181" s="66" t="s">
        <v>8891</v>
      </c>
      <c r="E8181" s="68" t="s">
        <v>599</v>
      </c>
      <c r="F8181" s="275"/>
    </row>
    <row r="8182" spans="1:6" s="262" customFormat="1">
      <c r="A8182" s="66">
        <v>104643</v>
      </c>
      <c r="B8182" s="66">
        <v>0</v>
      </c>
      <c r="C8182" s="66" t="s">
        <v>3355</v>
      </c>
      <c r="D8182" s="66" t="s">
        <v>8892</v>
      </c>
      <c r="E8182" s="68" t="s">
        <v>599</v>
      </c>
      <c r="F8182" s="275"/>
    </row>
    <row r="8183" spans="1:6" s="262" customFormat="1">
      <c r="A8183" s="66">
        <v>104644</v>
      </c>
      <c r="B8183" s="66">
        <v>0</v>
      </c>
      <c r="C8183" s="66" t="s">
        <v>3355</v>
      </c>
      <c r="D8183" s="66" t="s">
        <v>8893</v>
      </c>
      <c r="E8183" s="68" t="s">
        <v>599</v>
      </c>
      <c r="F8183" s="275"/>
    </row>
    <row r="8184" spans="1:6" s="262" customFormat="1">
      <c r="A8184" s="66">
        <v>104645</v>
      </c>
      <c r="B8184" s="66">
        <v>0</v>
      </c>
      <c r="C8184" s="66" t="s">
        <v>3355</v>
      </c>
      <c r="D8184" s="66" t="s">
        <v>8894</v>
      </c>
      <c r="E8184" s="68" t="s">
        <v>599</v>
      </c>
      <c r="F8184" s="275"/>
    </row>
    <row r="8185" spans="1:6" s="262" customFormat="1">
      <c r="A8185" s="66">
        <v>104646</v>
      </c>
      <c r="B8185" s="66">
        <v>0</v>
      </c>
      <c r="C8185" s="66" t="s">
        <v>3355</v>
      </c>
      <c r="D8185" s="66" t="s">
        <v>8895</v>
      </c>
      <c r="E8185" s="68" t="s">
        <v>599</v>
      </c>
      <c r="F8185" s="275"/>
    </row>
    <row r="8186" spans="1:6" s="262" customFormat="1">
      <c r="A8186" s="66">
        <v>104647</v>
      </c>
      <c r="B8186" s="66">
        <v>0</v>
      </c>
      <c r="C8186" s="66" t="s">
        <v>3355</v>
      </c>
      <c r="D8186" s="66" t="s">
        <v>8896</v>
      </c>
      <c r="E8186" s="68" t="s">
        <v>599</v>
      </c>
      <c r="F8186" s="275"/>
    </row>
    <row r="8187" spans="1:6" s="262" customFormat="1">
      <c r="A8187" s="66">
        <v>104648</v>
      </c>
      <c r="B8187" s="66">
        <v>0</v>
      </c>
      <c r="C8187" s="66" t="s">
        <v>3355</v>
      </c>
      <c r="D8187" s="66" t="s">
        <v>8897</v>
      </c>
      <c r="E8187" s="68" t="s">
        <v>599</v>
      </c>
      <c r="F8187" s="275"/>
    </row>
    <row r="8188" spans="1:6" s="262" customFormat="1">
      <c r="A8188" s="66">
        <v>104649</v>
      </c>
      <c r="B8188" s="66">
        <v>0</v>
      </c>
      <c r="C8188" s="66" t="s">
        <v>3355</v>
      </c>
      <c r="D8188" s="66" t="s">
        <v>8898</v>
      </c>
      <c r="E8188" s="68" t="s">
        <v>599</v>
      </c>
      <c r="F8188" s="275"/>
    </row>
    <row r="8189" spans="1:6" s="262" customFormat="1">
      <c r="A8189" s="66">
        <v>104650</v>
      </c>
      <c r="B8189" s="66">
        <v>0</v>
      </c>
      <c r="C8189" s="66" t="s">
        <v>3355</v>
      </c>
      <c r="D8189" s="66" t="s">
        <v>8899</v>
      </c>
      <c r="E8189" s="68" t="s">
        <v>599</v>
      </c>
      <c r="F8189" s="275"/>
    </row>
    <row r="8190" spans="1:6" s="263" customFormat="1">
      <c r="A8190" s="18">
        <v>110101</v>
      </c>
      <c r="B8190" s="18">
        <v>0</v>
      </c>
      <c r="C8190" s="18" t="s">
        <v>9123</v>
      </c>
      <c r="D8190" s="18" t="s">
        <v>8083</v>
      </c>
      <c r="E8190" s="17" t="s">
        <v>9125</v>
      </c>
      <c r="F8190" s="276"/>
    </row>
    <row r="8191" spans="1:6" s="263" customFormat="1">
      <c r="A8191" s="18">
        <v>110102</v>
      </c>
      <c r="B8191" s="18">
        <v>0</v>
      </c>
      <c r="C8191" s="18" t="s">
        <v>3695</v>
      </c>
      <c r="D8191" s="18" t="s">
        <v>8084</v>
      </c>
      <c r="E8191" s="17" t="s">
        <v>686</v>
      </c>
      <c r="F8191" s="276"/>
    </row>
    <row r="8192" spans="1:6" s="263" customFormat="1">
      <c r="A8192" s="18">
        <v>110103</v>
      </c>
      <c r="B8192" s="18">
        <v>0</v>
      </c>
      <c r="C8192" s="18" t="s">
        <v>3366</v>
      </c>
      <c r="D8192" s="18" t="s">
        <v>8085</v>
      </c>
      <c r="E8192" s="17" t="s">
        <v>981</v>
      </c>
      <c r="F8192" s="276"/>
    </row>
    <row r="8193" spans="1:6" s="263" customFormat="1">
      <c r="A8193" s="18">
        <v>110201</v>
      </c>
      <c r="B8193" s="18">
        <v>0</v>
      </c>
      <c r="C8193" s="18" t="s">
        <v>9123</v>
      </c>
      <c r="D8193" s="18" t="s">
        <v>8086</v>
      </c>
      <c r="E8193" s="17" t="s">
        <v>9125</v>
      </c>
      <c r="F8193" s="276"/>
    </row>
    <row r="8194" spans="1:6" s="263" customFormat="1">
      <c r="A8194" s="18">
        <v>110202</v>
      </c>
      <c r="B8194" s="18">
        <v>0</v>
      </c>
      <c r="C8194" s="18" t="s">
        <v>3695</v>
      </c>
      <c r="D8194" s="18" t="s">
        <v>8087</v>
      </c>
      <c r="E8194" s="17" t="s">
        <v>686</v>
      </c>
      <c r="F8194" s="276"/>
    </row>
    <row r="8195" spans="1:6" s="263" customFormat="1">
      <c r="A8195" s="18">
        <v>110203</v>
      </c>
      <c r="B8195" s="18">
        <v>0</v>
      </c>
      <c r="C8195" s="18" t="s">
        <v>3366</v>
      </c>
      <c r="D8195" s="18" t="s">
        <v>8088</v>
      </c>
      <c r="E8195" s="17" t="s">
        <v>981</v>
      </c>
      <c r="F8195" s="276"/>
    </row>
    <row r="8196" spans="1:6" s="263" customFormat="1">
      <c r="A8196" s="18">
        <v>110301</v>
      </c>
      <c r="B8196" s="18">
        <v>0</v>
      </c>
      <c r="C8196" s="18" t="s">
        <v>4123</v>
      </c>
      <c r="D8196" s="18" t="s">
        <v>8089</v>
      </c>
      <c r="E8196" s="17" t="s">
        <v>1737</v>
      </c>
      <c r="F8196" s="276"/>
    </row>
    <row r="8197" spans="1:6" s="263" customFormat="1">
      <c r="A8197" s="18">
        <v>110302</v>
      </c>
      <c r="B8197" s="18">
        <v>0</v>
      </c>
      <c r="C8197" s="18" t="s">
        <v>3695</v>
      </c>
      <c r="D8197" s="18" t="s">
        <v>8090</v>
      </c>
      <c r="E8197" s="17" t="s">
        <v>686</v>
      </c>
      <c r="F8197" s="276"/>
    </row>
    <row r="8198" spans="1:6" s="263" customFormat="1">
      <c r="A8198" s="18">
        <v>110303</v>
      </c>
      <c r="B8198" s="18">
        <v>0</v>
      </c>
      <c r="C8198" s="18" t="s">
        <v>3366</v>
      </c>
      <c r="D8198" s="18" t="s">
        <v>8091</v>
      </c>
      <c r="E8198" s="17" t="s">
        <v>981</v>
      </c>
      <c r="F8198" s="276"/>
    </row>
    <row r="8199" spans="1:6" s="263" customFormat="1">
      <c r="A8199" s="18">
        <v>110401</v>
      </c>
      <c r="B8199" s="18">
        <v>0</v>
      </c>
      <c r="C8199" s="18" t="s">
        <v>4123</v>
      </c>
      <c r="D8199" s="18" t="s">
        <v>8092</v>
      </c>
      <c r="E8199" s="17" t="s">
        <v>1737</v>
      </c>
      <c r="F8199" s="276"/>
    </row>
    <row r="8200" spans="1:6" s="263" customFormat="1">
      <c r="A8200" s="18">
        <v>110402</v>
      </c>
      <c r="B8200" s="18">
        <v>0</v>
      </c>
      <c r="C8200" s="18" t="s">
        <v>3695</v>
      </c>
      <c r="D8200" s="18" t="s">
        <v>8093</v>
      </c>
      <c r="E8200" s="17" t="s">
        <v>686</v>
      </c>
      <c r="F8200" s="276"/>
    </row>
    <row r="8201" spans="1:6" s="263" customFormat="1">
      <c r="A8201" s="18">
        <v>110403</v>
      </c>
      <c r="B8201" s="18">
        <v>0</v>
      </c>
      <c r="C8201" s="18" t="s">
        <v>3366</v>
      </c>
      <c r="D8201" s="18" t="s">
        <v>8094</v>
      </c>
      <c r="E8201" s="17" t="s">
        <v>981</v>
      </c>
      <c r="F8201" s="276"/>
    </row>
    <row r="8202" spans="1:6" s="263" customFormat="1">
      <c r="A8202" s="18">
        <v>110501</v>
      </c>
      <c r="B8202" s="18">
        <v>0</v>
      </c>
      <c r="C8202" s="18" t="s">
        <v>4123</v>
      </c>
      <c r="D8202" s="18" t="s">
        <v>8095</v>
      </c>
      <c r="E8202" s="17" t="s">
        <v>1737</v>
      </c>
      <c r="F8202" s="276"/>
    </row>
    <row r="8203" spans="1:6" s="263" customFormat="1">
      <c r="A8203" s="18">
        <v>110502</v>
      </c>
      <c r="B8203" s="18">
        <v>0</v>
      </c>
      <c r="C8203" s="18" t="s">
        <v>3695</v>
      </c>
      <c r="D8203" s="18" t="s">
        <v>8096</v>
      </c>
      <c r="E8203" s="17" t="s">
        <v>686</v>
      </c>
      <c r="F8203" s="276"/>
    </row>
    <row r="8204" spans="1:6" s="263" customFormat="1">
      <c r="A8204" s="18">
        <v>110503</v>
      </c>
      <c r="B8204" s="18">
        <v>0</v>
      </c>
      <c r="C8204" s="18" t="s">
        <v>3366</v>
      </c>
      <c r="D8204" s="18" t="s">
        <v>8097</v>
      </c>
      <c r="E8204" s="17" t="s">
        <v>981</v>
      </c>
      <c r="F8204" s="276"/>
    </row>
    <row r="8205" spans="1:6" s="263" customFormat="1">
      <c r="A8205" s="18">
        <v>110601</v>
      </c>
      <c r="B8205" s="18">
        <v>0</v>
      </c>
      <c r="C8205" s="18" t="s">
        <v>4123</v>
      </c>
      <c r="D8205" s="18" t="s">
        <v>8098</v>
      </c>
      <c r="E8205" s="17" t="s">
        <v>1737</v>
      </c>
      <c r="F8205" s="276"/>
    </row>
    <row r="8206" spans="1:6" s="263" customFormat="1">
      <c r="A8206" s="18">
        <v>110602</v>
      </c>
      <c r="B8206" s="18">
        <v>0</v>
      </c>
      <c r="C8206" s="18" t="s">
        <v>3695</v>
      </c>
      <c r="D8206" s="18" t="s">
        <v>8099</v>
      </c>
      <c r="E8206" s="17" t="s">
        <v>686</v>
      </c>
      <c r="F8206" s="276"/>
    </row>
    <row r="8207" spans="1:6" s="263" customFormat="1">
      <c r="A8207" s="18">
        <v>110603</v>
      </c>
      <c r="B8207" s="18">
        <v>0</v>
      </c>
      <c r="C8207" s="18" t="s">
        <v>3366</v>
      </c>
      <c r="D8207" s="18" t="s">
        <v>8100</v>
      </c>
      <c r="E8207" s="17" t="s">
        <v>981</v>
      </c>
      <c r="F8207" s="276"/>
    </row>
    <row r="8208" spans="1:6" s="263" customFormat="1">
      <c r="A8208" s="18">
        <v>110701</v>
      </c>
      <c r="B8208" s="18">
        <v>0</v>
      </c>
      <c r="C8208" s="18" t="s">
        <v>3709</v>
      </c>
      <c r="D8208" s="18" t="s">
        <v>8101</v>
      </c>
      <c r="E8208" s="17" t="s">
        <v>612</v>
      </c>
      <c r="F8208" s="276"/>
    </row>
    <row r="8209" spans="1:6" s="263" customFormat="1">
      <c r="A8209" s="18">
        <v>110702</v>
      </c>
      <c r="B8209" s="18">
        <v>0</v>
      </c>
      <c r="C8209" s="18" t="s">
        <v>3695</v>
      </c>
      <c r="D8209" s="18" t="s">
        <v>8102</v>
      </c>
      <c r="E8209" s="17" t="s">
        <v>686</v>
      </c>
      <c r="F8209" s="276"/>
    </row>
    <row r="8210" spans="1:6" s="263" customFormat="1">
      <c r="A8210" s="18">
        <v>110703</v>
      </c>
      <c r="B8210" s="18">
        <v>0</v>
      </c>
      <c r="C8210" s="18" t="s">
        <v>3366</v>
      </c>
      <c r="D8210" s="18" t="s">
        <v>8103</v>
      </c>
      <c r="E8210" s="17" t="s">
        <v>981</v>
      </c>
      <c r="F8210" s="276"/>
    </row>
    <row r="8211" spans="1:6" s="263" customFormat="1">
      <c r="A8211" s="18">
        <v>110801</v>
      </c>
      <c r="B8211" s="18">
        <v>0</v>
      </c>
      <c r="C8211" s="18" t="s">
        <v>3709</v>
      </c>
      <c r="D8211" s="18" t="s">
        <v>8104</v>
      </c>
      <c r="E8211" s="17" t="s">
        <v>612</v>
      </c>
      <c r="F8211" s="276"/>
    </row>
    <row r="8212" spans="1:6" s="263" customFormat="1">
      <c r="A8212" s="18">
        <v>110802</v>
      </c>
      <c r="B8212" s="18">
        <v>0</v>
      </c>
      <c r="C8212" s="18" t="s">
        <v>3695</v>
      </c>
      <c r="D8212" s="18" t="s">
        <v>8105</v>
      </c>
      <c r="E8212" s="17" t="s">
        <v>686</v>
      </c>
      <c r="F8212" s="276"/>
    </row>
    <row r="8213" spans="1:6" s="263" customFormat="1">
      <c r="A8213" s="18">
        <v>110803</v>
      </c>
      <c r="B8213" s="18">
        <v>0</v>
      </c>
      <c r="C8213" s="18" t="s">
        <v>3366</v>
      </c>
      <c r="D8213" s="18" t="s">
        <v>8106</v>
      </c>
      <c r="E8213" s="17" t="s">
        <v>981</v>
      </c>
      <c r="F8213" s="276"/>
    </row>
    <row r="8214" spans="1:6" s="263" customFormat="1">
      <c r="A8214" s="18">
        <v>110901</v>
      </c>
      <c r="B8214" s="18">
        <v>0</v>
      </c>
      <c r="C8214" s="18" t="s">
        <v>3709</v>
      </c>
      <c r="D8214" s="18" t="s">
        <v>8107</v>
      </c>
      <c r="E8214" s="17" t="s">
        <v>612</v>
      </c>
      <c r="F8214" s="276"/>
    </row>
    <row r="8215" spans="1:6" s="263" customFormat="1">
      <c r="A8215" s="18">
        <v>110902</v>
      </c>
      <c r="B8215" s="18">
        <v>0</v>
      </c>
      <c r="C8215" s="18" t="s">
        <v>3695</v>
      </c>
      <c r="D8215" s="18" t="s">
        <v>8108</v>
      </c>
      <c r="E8215" s="17" t="s">
        <v>686</v>
      </c>
      <c r="F8215" s="276"/>
    </row>
    <row r="8216" spans="1:6" s="263" customFormat="1">
      <c r="A8216" s="18">
        <v>110903</v>
      </c>
      <c r="B8216" s="18">
        <v>0</v>
      </c>
      <c r="C8216" s="18" t="s">
        <v>3366</v>
      </c>
      <c r="D8216" s="18" t="s">
        <v>8109</v>
      </c>
      <c r="E8216" s="17" t="s">
        <v>981</v>
      </c>
      <c r="F8216" s="276"/>
    </row>
    <row r="8217" spans="1:6" s="263" customFormat="1">
      <c r="A8217" s="18">
        <v>111001</v>
      </c>
      <c r="B8217" s="18">
        <v>0</v>
      </c>
      <c r="C8217" s="18" t="s">
        <v>3709</v>
      </c>
      <c r="D8217" s="18" t="s">
        <v>8110</v>
      </c>
      <c r="E8217" s="17" t="s">
        <v>612</v>
      </c>
      <c r="F8217" s="276"/>
    </row>
    <row r="8218" spans="1:6" s="263" customFormat="1">
      <c r="A8218" s="18">
        <v>111002</v>
      </c>
      <c r="B8218" s="18">
        <v>0</v>
      </c>
      <c r="C8218" s="18" t="s">
        <v>3695</v>
      </c>
      <c r="D8218" s="18" t="s">
        <v>8111</v>
      </c>
      <c r="E8218" s="17" t="s">
        <v>686</v>
      </c>
      <c r="F8218" s="276"/>
    </row>
    <row r="8219" spans="1:6" s="263" customFormat="1">
      <c r="A8219" s="18">
        <v>111003</v>
      </c>
      <c r="B8219" s="18">
        <v>0</v>
      </c>
      <c r="C8219" s="18" t="s">
        <v>3366</v>
      </c>
      <c r="D8219" s="18" t="s">
        <v>8112</v>
      </c>
      <c r="E8219" s="17" t="s">
        <v>981</v>
      </c>
      <c r="F8219" s="276"/>
    </row>
    <row r="8220" spans="1:6" s="263" customFormat="1">
      <c r="A8220" s="18">
        <v>111101</v>
      </c>
      <c r="B8220" s="18">
        <v>0</v>
      </c>
      <c r="C8220" s="18" t="s">
        <v>3709</v>
      </c>
      <c r="D8220" s="18" t="s">
        <v>8113</v>
      </c>
      <c r="E8220" s="17" t="s">
        <v>612</v>
      </c>
      <c r="F8220" s="276"/>
    </row>
    <row r="8221" spans="1:6" s="263" customFormat="1">
      <c r="A8221" s="18">
        <v>111102</v>
      </c>
      <c r="B8221" s="18">
        <v>0</v>
      </c>
      <c r="C8221" s="18" t="s">
        <v>3695</v>
      </c>
      <c r="D8221" s="18" t="s">
        <v>8114</v>
      </c>
      <c r="E8221" s="17" t="s">
        <v>686</v>
      </c>
      <c r="F8221" s="276"/>
    </row>
    <row r="8222" spans="1:6" s="263" customFormat="1">
      <c r="A8222" s="18">
        <v>111103</v>
      </c>
      <c r="B8222" s="18">
        <v>0</v>
      </c>
      <c r="C8222" s="18" t="s">
        <v>3366</v>
      </c>
      <c r="D8222" s="18" t="s">
        <v>8115</v>
      </c>
      <c r="E8222" s="17" t="s">
        <v>981</v>
      </c>
      <c r="F8222" s="276"/>
    </row>
    <row r="8223" spans="1:6" s="263" customFormat="1">
      <c r="A8223" s="18">
        <v>111201</v>
      </c>
      <c r="B8223" s="18">
        <v>0</v>
      </c>
      <c r="C8223" s="18" t="s">
        <v>3709</v>
      </c>
      <c r="D8223" s="18" t="s">
        <v>8116</v>
      </c>
      <c r="E8223" s="17" t="s">
        <v>612</v>
      </c>
      <c r="F8223" s="276"/>
    </row>
    <row r="8224" spans="1:6" s="263" customFormat="1">
      <c r="A8224" s="18">
        <v>111202</v>
      </c>
      <c r="B8224" s="18">
        <v>0</v>
      </c>
      <c r="C8224" s="18" t="s">
        <v>3695</v>
      </c>
      <c r="D8224" s="18" t="s">
        <v>8117</v>
      </c>
      <c r="E8224" s="17" t="s">
        <v>686</v>
      </c>
      <c r="F8224" s="276"/>
    </row>
    <row r="8225" spans="1:6" s="263" customFormat="1">
      <c r="A8225" s="18">
        <v>111203</v>
      </c>
      <c r="B8225" s="18">
        <v>0</v>
      </c>
      <c r="C8225" s="18" t="s">
        <v>3366</v>
      </c>
      <c r="D8225" s="18" t="s">
        <v>8118</v>
      </c>
      <c r="E8225" s="17" t="s">
        <v>981</v>
      </c>
      <c r="F8225" s="276"/>
    </row>
    <row r="8226" spans="1:6" s="263" customFormat="1">
      <c r="A8226" s="18">
        <v>111301</v>
      </c>
      <c r="B8226" s="18">
        <v>0</v>
      </c>
      <c r="C8226" s="18" t="s">
        <v>9124</v>
      </c>
      <c r="D8226" s="18" t="s">
        <v>8119</v>
      </c>
      <c r="E8226" s="17" t="s">
        <v>9126</v>
      </c>
      <c r="F8226" s="276"/>
    </row>
    <row r="8227" spans="1:6" s="263" customFormat="1">
      <c r="A8227" s="18">
        <v>111302</v>
      </c>
      <c r="B8227" s="18">
        <v>0</v>
      </c>
      <c r="C8227" s="18" t="s">
        <v>3695</v>
      </c>
      <c r="D8227" s="18" t="s">
        <v>8120</v>
      </c>
      <c r="E8227" s="17" t="s">
        <v>686</v>
      </c>
      <c r="F8227" s="276"/>
    </row>
    <row r="8228" spans="1:6" s="263" customFormat="1">
      <c r="A8228" s="18">
        <v>111303</v>
      </c>
      <c r="B8228" s="18">
        <v>0</v>
      </c>
      <c r="C8228" s="18" t="s">
        <v>3366</v>
      </c>
      <c r="D8228" s="18" t="s">
        <v>8121</v>
      </c>
      <c r="E8228" s="17" t="s">
        <v>981</v>
      </c>
      <c r="F8228" s="276"/>
    </row>
    <row r="8229" spans="1:6" s="263" customFormat="1">
      <c r="A8229" s="18">
        <v>111401</v>
      </c>
      <c r="B8229" s="18">
        <v>0</v>
      </c>
      <c r="C8229" s="18" t="s">
        <v>9124</v>
      </c>
      <c r="D8229" s="18" t="s">
        <v>8122</v>
      </c>
      <c r="E8229" s="17" t="s">
        <v>9126</v>
      </c>
      <c r="F8229" s="276"/>
    </row>
    <row r="8230" spans="1:6" s="263" customFormat="1">
      <c r="A8230" s="18">
        <v>111402</v>
      </c>
      <c r="B8230" s="18">
        <v>0</v>
      </c>
      <c r="C8230" s="18" t="s">
        <v>3695</v>
      </c>
      <c r="D8230" s="18" t="s">
        <v>8123</v>
      </c>
      <c r="E8230" s="17" t="s">
        <v>686</v>
      </c>
      <c r="F8230" s="276"/>
    </row>
    <row r="8231" spans="1:6" s="263" customFormat="1">
      <c r="A8231" s="18">
        <v>111403</v>
      </c>
      <c r="B8231" s="18">
        <v>0</v>
      </c>
      <c r="C8231" s="18" t="s">
        <v>3366</v>
      </c>
      <c r="D8231" s="18" t="s">
        <v>8124</v>
      </c>
      <c r="E8231" s="17" t="s">
        <v>981</v>
      </c>
      <c r="F8231" s="276"/>
    </row>
    <row r="8232" spans="1:6" s="263" customFormat="1">
      <c r="A8232" s="18">
        <v>111501</v>
      </c>
      <c r="B8232" s="18">
        <v>0</v>
      </c>
      <c r="C8232" s="18" t="s">
        <v>9124</v>
      </c>
      <c r="D8232" s="18" t="s">
        <v>8125</v>
      </c>
      <c r="E8232" s="17" t="s">
        <v>9126</v>
      </c>
      <c r="F8232" s="276"/>
    </row>
    <row r="8233" spans="1:6" s="263" customFormat="1">
      <c r="A8233" s="18">
        <v>111502</v>
      </c>
      <c r="B8233" s="18">
        <v>0</v>
      </c>
      <c r="C8233" s="18" t="s">
        <v>3695</v>
      </c>
      <c r="D8233" s="18" t="s">
        <v>8126</v>
      </c>
      <c r="E8233" s="17" t="s">
        <v>686</v>
      </c>
      <c r="F8233" s="276"/>
    </row>
    <row r="8234" spans="1:6" s="263" customFormat="1">
      <c r="A8234" s="18">
        <v>111503</v>
      </c>
      <c r="B8234" s="18">
        <v>0</v>
      </c>
      <c r="C8234" s="18" t="s">
        <v>3366</v>
      </c>
      <c r="D8234" s="18" t="s">
        <v>8127</v>
      </c>
      <c r="E8234" s="17" t="s">
        <v>981</v>
      </c>
      <c r="F8234" s="276"/>
    </row>
    <row r="8235" spans="1:6" s="263" customFormat="1">
      <c r="A8235" s="18">
        <v>111601</v>
      </c>
      <c r="B8235" s="18">
        <v>0</v>
      </c>
      <c r="C8235" s="18" t="s">
        <v>9124</v>
      </c>
      <c r="D8235" s="18" t="s">
        <v>8128</v>
      </c>
      <c r="E8235" s="17" t="s">
        <v>9126</v>
      </c>
      <c r="F8235" s="276"/>
    </row>
    <row r="8236" spans="1:6" s="263" customFormat="1">
      <c r="A8236" s="18">
        <v>111602</v>
      </c>
      <c r="B8236" s="18">
        <v>0</v>
      </c>
      <c r="C8236" s="18" t="s">
        <v>3695</v>
      </c>
      <c r="D8236" s="18" t="s">
        <v>8129</v>
      </c>
      <c r="E8236" s="17" t="s">
        <v>686</v>
      </c>
      <c r="F8236" s="276"/>
    </row>
    <row r="8237" spans="1:6" s="263" customFormat="1">
      <c r="A8237" s="18">
        <v>111603</v>
      </c>
      <c r="B8237" s="18">
        <v>0</v>
      </c>
      <c r="C8237" s="18" t="s">
        <v>3366</v>
      </c>
      <c r="D8237" s="18" t="s">
        <v>8130</v>
      </c>
      <c r="E8237" s="17" t="s">
        <v>981</v>
      </c>
      <c r="F8237" s="276"/>
    </row>
    <row r="8238" spans="1:6" s="263" customFormat="1">
      <c r="A8238" s="18">
        <v>111701</v>
      </c>
      <c r="B8238" s="18">
        <v>0</v>
      </c>
      <c r="C8238" s="18" t="s">
        <v>9124</v>
      </c>
      <c r="D8238" s="18" t="s">
        <v>8131</v>
      </c>
      <c r="E8238" s="17" t="s">
        <v>9126</v>
      </c>
      <c r="F8238" s="276"/>
    </row>
    <row r="8239" spans="1:6" s="263" customFormat="1">
      <c r="A8239" s="18">
        <v>111702</v>
      </c>
      <c r="B8239" s="18">
        <v>0</v>
      </c>
      <c r="C8239" s="18" t="s">
        <v>3695</v>
      </c>
      <c r="D8239" s="18" t="s">
        <v>8132</v>
      </c>
      <c r="E8239" s="17" t="s">
        <v>686</v>
      </c>
      <c r="F8239" s="276"/>
    </row>
    <row r="8240" spans="1:6" s="263" customFormat="1">
      <c r="A8240" s="18">
        <v>111703</v>
      </c>
      <c r="B8240" s="18">
        <v>0</v>
      </c>
      <c r="C8240" s="18" t="s">
        <v>3366</v>
      </c>
      <c r="D8240" s="18" t="s">
        <v>8133</v>
      </c>
      <c r="E8240" s="17" t="s">
        <v>981</v>
      </c>
      <c r="F8240" s="276"/>
    </row>
    <row r="8241" spans="1:6" s="263" customFormat="1">
      <c r="A8241" s="18">
        <v>111801</v>
      </c>
      <c r="B8241" s="18">
        <v>0</v>
      </c>
      <c r="C8241" s="18" t="s">
        <v>9124</v>
      </c>
      <c r="D8241" s="18" t="s">
        <v>8134</v>
      </c>
      <c r="E8241" s="17" t="s">
        <v>9126</v>
      </c>
      <c r="F8241" s="276"/>
    </row>
    <row r="8242" spans="1:6" s="263" customFormat="1">
      <c r="A8242" s="18">
        <v>111802</v>
      </c>
      <c r="B8242" s="18">
        <v>0</v>
      </c>
      <c r="C8242" s="18" t="s">
        <v>3695</v>
      </c>
      <c r="D8242" s="18" t="s">
        <v>8135</v>
      </c>
      <c r="E8242" s="17" t="s">
        <v>686</v>
      </c>
      <c r="F8242" s="276"/>
    </row>
    <row r="8243" spans="1:6" s="263" customFormat="1">
      <c r="A8243" s="18">
        <v>111803</v>
      </c>
      <c r="B8243" s="18">
        <v>0</v>
      </c>
      <c r="C8243" s="18" t="s">
        <v>3366</v>
      </c>
      <c r="D8243" s="18" t="s">
        <v>8136</v>
      </c>
      <c r="E8243" s="17" t="s">
        <v>981</v>
      </c>
      <c r="F8243" s="276"/>
    </row>
    <row r="8244" spans="1:6" s="263" customFormat="1">
      <c r="A8244" s="18">
        <v>111901</v>
      </c>
      <c r="B8244" s="18">
        <v>0</v>
      </c>
      <c r="C8244" s="18" t="s">
        <v>9124</v>
      </c>
      <c r="D8244" s="18" t="s">
        <v>8137</v>
      </c>
      <c r="E8244" s="17" t="s">
        <v>9126</v>
      </c>
      <c r="F8244" s="276"/>
    </row>
    <row r="8245" spans="1:6" s="263" customFormat="1">
      <c r="A8245" s="18">
        <v>111902</v>
      </c>
      <c r="B8245" s="18">
        <v>0</v>
      </c>
      <c r="C8245" s="18" t="s">
        <v>3695</v>
      </c>
      <c r="D8245" s="18" t="s">
        <v>8138</v>
      </c>
      <c r="E8245" s="17" t="s">
        <v>686</v>
      </c>
      <c r="F8245" s="276"/>
    </row>
    <row r="8246" spans="1:6" s="263" customFormat="1">
      <c r="A8246" s="18">
        <v>111903</v>
      </c>
      <c r="B8246" s="18">
        <v>0</v>
      </c>
      <c r="C8246" s="18" t="s">
        <v>3366</v>
      </c>
      <c r="D8246" s="18" t="s">
        <v>8139</v>
      </c>
      <c r="E8246" s="17" t="s">
        <v>981</v>
      </c>
      <c r="F8246" s="276"/>
    </row>
    <row r="8247" spans="1:6" s="263" customFormat="1">
      <c r="A8247" s="18">
        <v>112001</v>
      </c>
      <c r="B8247" s="18">
        <v>0</v>
      </c>
      <c r="C8247" s="18" t="s">
        <v>9124</v>
      </c>
      <c r="D8247" s="18" t="s">
        <v>8140</v>
      </c>
      <c r="E8247" s="17" t="s">
        <v>9126</v>
      </c>
      <c r="F8247" s="276"/>
    </row>
    <row r="8248" spans="1:6" s="263" customFormat="1">
      <c r="A8248" s="18">
        <v>112002</v>
      </c>
      <c r="B8248" s="18">
        <v>0</v>
      </c>
      <c r="C8248" s="18" t="s">
        <v>3695</v>
      </c>
      <c r="D8248" s="18" t="s">
        <v>8141</v>
      </c>
      <c r="E8248" s="17" t="s">
        <v>686</v>
      </c>
      <c r="F8248" s="276"/>
    </row>
    <row r="8249" spans="1:6" s="263" customFormat="1">
      <c r="A8249" s="18">
        <v>112003</v>
      </c>
      <c r="B8249" s="18">
        <v>0</v>
      </c>
      <c r="C8249" s="18" t="s">
        <v>3366</v>
      </c>
      <c r="D8249" s="18" t="s">
        <v>8142</v>
      </c>
      <c r="E8249" s="17" t="s">
        <v>981</v>
      </c>
      <c r="F8249" s="276"/>
    </row>
    <row r="8250" spans="1:6" s="263" customFormat="1">
      <c r="A8250" s="18">
        <v>112101</v>
      </c>
      <c r="B8250" s="18">
        <v>0</v>
      </c>
      <c r="C8250" s="18" t="s">
        <v>9124</v>
      </c>
      <c r="D8250" s="18" t="s">
        <v>8143</v>
      </c>
      <c r="E8250" s="17" t="s">
        <v>9126</v>
      </c>
      <c r="F8250" s="276"/>
    </row>
    <row r="8251" spans="1:6" s="263" customFormat="1">
      <c r="A8251" s="18">
        <v>112102</v>
      </c>
      <c r="B8251" s="18">
        <v>0</v>
      </c>
      <c r="C8251" s="18" t="s">
        <v>3695</v>
      </c>
      <c r="D8251" s="18" t="s">
        <v>8144</v>
      </c>
      <c r="E8251" s="17" t="s">
        <v>686</v>
      </c>
      <c r="F8251" s="276"/>
    </row>
    <row r="8252" spans="1:6" s="263" customFormat="1">
      <c r="A8252" s="18">
        <v>112103</v>
      </c>
      <c r="B8252" s="18">
        <v>0</v>
      </c>
      <c r="C8252" s="18" t="s">
        <v>3366</v>
      </c>
      <c r="D8252" s="18" t="s">
        <v>8145</v>
      </c>
      <c r="E8252" s="17" t="s">
        <v>981</v>
      </c>
      <c r="F8252" s="276"/>
    </row>
    <row r="8253" spans="1:6" s="263" customFormat="1">
      <c r="A8253" s="18">
        <v>112201</v>
      </c>
      <c r="B8253" s="18">
        <v>0</v>
      </c>
      <c r="C8253" s="18" t="s">
        <v>9124</v>
      </c>
      <c r="D8253" s="18" t="s">
        <v>8146</v>
      </c>
      <c r="E8253" s="17" t="s">
        <v>9126</v>
      </c>
      <c r="F8253" s="276"/>
    </row>
    <row r="8254" spans="1:6" s="263" customFormat="1">
      <c r="A8254" s="18">
        <v>112202</v>
      </c>
      <c r="B8254" s="18">
        <v>0</v>
      </c>
      <c r="C8254" s="18" t="s">
        <v>3695</v>
      </c>
      <c r="D8254" s="18" t="s">
        <v>8147</v>
      </c>
      <c r="E8254" s="17" t="s">
        <v>686</v>
      </c>
      <c r="F8254" s="276"/>
    </row>
    <row r="8255" spans="1:6" s="263" customFormat="1">
      <c r="A8255" s="18">
        <v>112203</v>
      </c>
      <c r="B8255" s="18">
        <v>0</v>
      </c>
      <c r="C8255" s="18" t="s">
        <v>3366</v>
      </c>
      <c r="D8255" s="18" t="s">
        <v>8148</v>
      </c>
      <c r="E8255" s="17" t="s">
        <v>981</v>
      </c>
      <c r="F8255" s="276"/>
    </row>
    <row r="8256" spans="1:6" s="263" customFormat="1">
      <c r="A8256" s="18">
        <v>112301</v>
      </c>
      <c r="B8256" s="18">
        <v>0</v>
      </c>
      <c r="C8256" s="18" t="s">
        <v>4125</v>
      </c>
      <c r="D8256" s="18" t="s">
        <v>8149</v>
      </c>
      <c r="E8256" s="17" t="s">
        <v>1741</v>
      </c>
      <c r="F8256" s="276"/>
    </row>
    <row r="8257" spans="1:6" s="263" customFormat="1">
      <c r="A8257" s="18">
        <v>112302</v>
      </c>
      <c r="B8257" s="18">
        <v>0</v>
      </c>
      <c r="C8257" s="18" t="s">
        <v>3695</v>
      </c>
      <c r="D8257" s="18" t="s">
        <v>8150</v>
      </c>
      <c r="E8257" s="17" t="s">
        <v>686</v>
      </c>
      <c r="F8257" s="276"/>
    </row>
    <row r="8258" spans="1:6" s="263" customFormat="1">
      <c r="A8258" s="18">
        <v>112303</v>
      </c>
      <c r="B8258" s="18">
        <v>0</v>
      </c>
      <c r="C8258" s="18" t="s">
        <v>3366</v>
      </c>
      <c r="D8258" s="18" t="s">
        <v>8151</v>
      </c>
      <c r="E8258" s="17" t="s">
        <v>981</v>
      </c>
      <c r="F8258" s="276"/>
    </row>
    <row r="8259" spans="1:6" s="263" customFormat="1">
      <c r="A8259" s="18">
        <v>112401</v>
      </c>
      <c r="B8259" s="18">
        <v>0</v>
      </c>
      <c r="C8259" s="18" t="s">
        <v>4125</v>
      </c>
      <c r="D8259" s="18" t="s">
        <v>8152</v>
      </c>
      <c r="E8259" s="17" t="s">
        <v>1741</v>
      </c>
      <c r="F8259" s="276"/>
    </row>
    <row r="8260" spans="1:6" s="263" customFormat="1">
      <c r="A8260" s="18">
        <v>112402</v>
      </c>
      <c r="B8260" s="18">
        <v>0</v>
      </c>
      <c r="C8260" s="18" t="s">
        <v>3695</v>
      </c>
      <c r="D8260" s="18" t="s">
        <v>8153</v>
      </c>
      <c r="E8260" s="17" t="s">
        <v>686</v>
      </c>
      <c r="F8260" s="276"/>
    </row>
    <row r="8261" spans="1:6" s="263" customFormat="1">
      <c r="A8261" s="18">
        <v>112403</v>
      </c>
      <c r="B8261" s="18">
        <v>0</v>
      </c>
      <c r="C8261" s="18" t="s">
        <v>3366</v>
      </c>
      <c r="D8261" s="18" t="s">
        <v>8154</v>
      </c>
      <c r="E8261" s="17" t="s">
        <v>981</v>
      </c>
      <c r="F8261" s="276"/>
    </row>
    <row r="8262" spans="1:6" s="263" customFormat="1">
      <c r="A8262" s="18">
        <v>112501</v>
      </c>
      <c r="B8262" s="18">
        <v>0</v>
      </c>
      <c r="C8262" s="18" t="s">
        <v>4125</v>
      </c>
      <c r="D8262" s="18" t="s">
        <v>8155</v>
      </c>
      <c r="E8262" s="17" t="s">
        <v>1741</v>
      </c>
      <c r="F8262" s="276"/>
    </row>
    <row r="8263" spans="1:6" s="263" customFormat="1">
      <c r="A8263" s="18">
        <v>112502</v>
      </c>
      <c r="B8263" s="18">
        <v>0</v>
      </c>
      <c r="C8263" s="18" t="s">
        <v>3695</v>
      </c>
      <c r="D8263" s="18" t="s">
        <v>8156</v>
      </c>
      <c r="E8263" s="17" t="s">
        <v>686</v>
      </c>
      <c r="F8263" s="276"/>
    </row>
    <row r="8264" spans="1:6" s="263" customFormat="1">
      <c r="A8264" s="18">
        <v>112503</v>
      </c>
      <c r="B8264" s="18">
        <v>0</v>
      </c>
      <c r="C8264" s="18" t="s">
        <v>3366</v>
      </c>
      <c r="D8264" s="18" t="s">
        <v>8157</v>
      </c>
      <c r="E8264" s="17" t="s">
        <v>981</v>
      </c>
      <c r="F8264" s="276"/>
    </row>
    <row r="8265" spans="1:6">
      <c r="A8265" s="129">
        <v>1000001</v>
      </c>
      <c r="B8265" s="129">
        <v>0</v>
      </c>
      <c r="C8265" s="129" t="s">
        <v>3366</v>
      </c>
      <c r="D8265" s="129" t="s">
        <v>3395</v>
      </c>
      <c r="E8265" s="131" t="s">
        <v>981</v>
      </c>
    </row>
    <row r="8266" spans="1:6">
      <c r="A8266" s="129">
        <v>1000002</v>
      </c>
      <c r="B8266" s="129">
        <v>0</v>
      </c>
      <c r="C8266" s="129" t="s">
        <v>3369</v>
      </c>
      <c r="D8266" s="129" t="s">
        <v>3396</v>
      </c>
      <c r="E8266" s="131" t="s">
        <v>747</v>
      </c>
    </row>
    <row r="8267" spans="1:6">
      <c r="A8267" s="129">
        <v>1000003</v>
      </c>
      <c r="B8267" s="129">
        <v>0</v>
      </c>
      <c r="C8267" s="129" t="s">
        <v>3371</v>
      </c>
      <c r="D8267" s="129" t="s">
        <v>3397</v>
      </c>
      <c r="E8267" s="131" t="s">
        <v>751</v>
      </c>
    </row>
    <row r="8268" spans="1:6">
      <c r="A8268" s="129">
        <v>1000004</v>
      </c>
      <c r="B8268" s="129">
        <v>0</v>
      </c>
      <c r="C8268" s="129" t="s">
        <v>3373</v>
      </c>
      <c r="D8268" s="129" t="s">
        <v>3398</v>
      </c>
      <c r="E8268" s="131" t="s">
        <v>991</v>
      </c>
    </row>
    <row r="8269" spans="1:6">
      <c r="A8269" s="129">
        <v>1000005</v>
      </c>
      <c r="B8269" s="129">
        <v>0</v>
      </c>
      <c r="C8269" s="129" t="s">
        <v>3375</v>
      </c>
      <c r="D8269" s="129" t="s">
        <v>3399</v>
      </c>
      <c r="E8269" s="131" t="s">
        <v>787</v>
      </c>
    </row>
    <row r="8270" spans="1:6">
      <c r="A8270" s="129">
        <v>1000006</v>
      </c>
      <c r="B8270" s="129">
        <v>0</v>
      </c>
      <c r="C8270" s="129" t="s">
        <v>3382</v>
      </c>
      <c r="D8270" s="129" t="s">
        <v>3400</v>
      </c>
      <c r="E8270" s="131" t="s">
        <v>769</v>
      </c>
    </row>
    <row r="8271" spans="1:6">
      <c r="A8271" s="129">
        <v>1000007</v>
      </c>
      <c r="B8271" s="129">
        <v>0</v>
      </c>
      <c r="C8271" s="129" t="s">
        <v>3382</v>
      </c>
      <c r="D8271" s="129" t="s">
        <v>3401</v>
      </c>
      <c r="E8271" s="131" t="s">
        <v>769</v>
      </c>
    </row>
    <row r="8272" spans="1:6">
      <c r="A8272" s="129">
        <v>1000008</v>
      </c>
      <c r="B8272" s="129">
        <v>0</v>
      </c>
      <c r="C8272" s="129" t="s">
        <v>3382</v>
      </c>
      <c r="D8272" s="129" t="s">
        <v>3402</v>
      </c>
      <c r="E8272" s="131" t="s">
        <v>769</v>
      </c>
    </row>
    <row r="8273" spans="1:5">
      <c r="A8273" s="142">
        <v>1001000</v>
      </c>
      <c r="B8273" s="142">
        <v>0</v>
      </c>
      <c r="C8273" s="142" t="s">
        <v>6156</v>
      </c>
      <c r="D8273" s="142" t="s">
        <v>4690</v>
      </c>
      <c r="E8273" s="144" t="s">
        <v>4689</v>
      </c>
    </row>
    <row r="8274" spans="1:5">
      <c r="A8274" s="66">
        <v>1001001</v>
      </c>
      <c r="B8274" s="66">
        <v>1</v>
      </c>
      <c r="C8274" s="66" t="s">
        <v>6157</v>
      </c>
      <c r="D8274" s="66" t="s">
        <v>4659</v>
      </c>
      <c r="E8274" s="68" t="s">
        <v>10474</v>
      </c>
    </row>
    <row r="8275" spans="1:5">
      <c r="A8275" s="66">
        <v>1001002</v>
      </c>
      <c r="B8275" s="66">
        <v>1</v>
      </c>
      <c r="C8275" s="66" t="s">
        <v>4678</v>
      </c>
      <c r="D8275" s="66" t="s">
        <v>4660</v>
      </c>
      <c r="E8275" s="68" t="s">
        <v>10475</v>
      </c>
    </row>
    <row r="8276" spans="1:5">
      <c r="A8276" s="66">
        <v>1001003</v>
      </c>
      <c r="B8276" s="66">
        <v>1</v>
      </c>
      <c r="C8276" s="66" t="s">
        <v>4678</v>
      </c>
      <c r="D8276" s="66" t="s">
        <v>4661</v>
      </c>
      <c r="E8276" s="68" t="s">
        <v>10476</v>
      </c>
    </row>
    <row r="8277" spans="1:5">
      <c r="A8277" s="66">
        <v>1001004</v>
      </c>
      <c r="B8277" s="66">
        <v>1</v>
      </c>
      <c r="C8277" s="66" t="s">
        <v>4678</v>
      </c>
      <c r="D8277" s="66" t="s">
        <v>4662</v>
      </c>
      <c r="E8277" s="68" t="s">
        <v>10477</v>
      </c>
    </row>
    <row r="8278" spans="1:5">
      <c r="A8278" s="66">
        <v>1001005</v>
      </c>
      <c r="B8278" s="66">
        <v>1</v>
      </c>
      <c r="C8278" s="66" t="s">
        <v>4678</v>
      </c>
      <c r="D8278" s="66" t="s">
        <v>4663</v>
      </c>
      <c r="E8278" s="68" t="s">
        <v>10478</v>
      </c>
    </row>
    <row r="8279" spans="1:5">
      <c r="A8279" s="137">
        <v>1001101</v>
      </c>
      <c r="B8279" s="137">
        <v>1</v>
      </c>
      <c r="C8279" s="137" t="s">
        <v>10407</v>
      </c>
      <c r="D8279" s="137" t="s">
        <v>4664</v>
      </c>
      <c r="E8279" s="140" t="s">
        <v>10479</v>
      </c>
    </row>
    <row r="8280" spans="1:5">
      <c r="A8280" s="137">
        <v>1001102</v>
      </c>
      <c r="B8280" s="137">
        <v>1</v>
      </c>
      <c r="C8280" s="137" t="s">
        <v>10408</v>
      </c>
      <c r="D8280" s="137" t="s">
        <v>4666</v>
      </c>
      <c r="E8280" s="140" t="s">
        <v>667</v>
      </c>
    </row>
    <row r="8281" spans="1:5">
      <c r="A8281" s="137">
        <v>1001103</v>
      </c>
      <c r="B8281" s="137">
        <v>1</v>
      </c>
      <c r="C8281" s="137" t="s">
        <v>10407</v>
      </c>
      <c r="D8281" s="137" t="s">
        <v>4667</v>
      </c>
      <c r="E8281" s="140" t="s">
        <v>10479</v>
      </c>
    </row>
    <row r="8282" spans="1:5">
      <c r="A8282" s="137">
        <v>1001104</v>
      </c>
      <c r="B8282" s="137">
        <v>1</v>
      </c>
      <c r="C8282" s="137" t="s">
        <v>10408</v>
      </c>
      <c r="D8282" s="137" t="s">
        <v>4665</v>
      </c>
      <c r="E8282" s="140" t="s">
        <v>667</v>
      </c>
    </row>
    <row r="8283" spans="1:5">
      <c r="A8283" s="137">
        <v>1001105</v>
      </c>
      <c r="B8283" s="137">
        <v>1</v>
      </c>
      <c r="C8283" s="137" t="s">
        <v>10407</v>
      </c>
      <c r="D8283" s="137" t="s">
        <v>4668</v>
      </c>
      <c r="E8283" s="140" t="s">
        <v>10479</v>
      </c>
    </row>
    <row r="8284" spans="1:5">
      <c r="A8284" s="137">
        <v>1001106</v>
      </c>
      <c r="B8284" s="137">
        <v>1</v>
      </c>
      <c r="C8284" s="137" t="s">
        <v>10408</v>
      </c>
      <c r="D8284" s="137" t="s">
        <v>4669</v>
      </c>
      <c r="E8284" s="140" t="s">
        <v>667</v>
      </c>
    </row>
    <row r="8285" spans="1:5">
      <c r="A8285" s="137">
        <v>1001107</v>
      </c>
      <c r="B8285" s="137">
        <v>1</v>
      </c>
      <c r="C8285" s="137" t="s">
        <v>10407</v>
      </c>
      <c r="D8285" s="137" t="s">
        <v>4670</v>
      </c>
      <c r="E8285" s="140" t="s">
        <v>10479</v>
      </c>
    </row>
    <row r="8286" spans="1:5">
      <c r="A8286" s="137">
        <v>1001108</v>
      </c>
      <c r="B8286" s="137">
        <v>1</v>
      </c>
      <c r="C8286" s="137" t="s">
        <v>10408</v>
      </c>
      <c r="D8286" s="137" t="s">
        <v>4671</v>
      </c>
      <c r="E8286" s="140" t="s">
        <v>667</v>
      </c>
    </row>
    <row r="8287" spans="1:5">
      <c r="A8287" s="137">
        <v>1001109</v>
      </c>
      <c r="B8287" s="137">
        <v>1</v>
      </c>
      <c r="C8287" s="137" t="s">
        <v>10407</v>
      </c>
      <c r="D8287" s="137" t="s">
        <v>4672</v>
      </c>
      <c r="E8287" s="140" t="s">
        <v>10479</v>
      </c>
    </row>
    <row r="8288" spans="1:5">
      <c r="A8288" s="137">
        <v>1001110</v>
      </c>
      <c r="B8288" s="137">
        <v>1</v>
      </c>
      <c r="C8288" s="137" t="s">
        <v>10408</v>
      </c>
      <c r="D8288" s="137" t="s">
        <v>4673</v>
      </c>
      <c r="E8288" s="140" t="s">
        <v>667</v>
      </c>
    </row>
    <row r="8289" spans="1:5">
      <c r="A8289" s="40">
        <v>55397</v>
      </c>
      <c r="B8289" s="18">
        <v>3</v>
      </c>
      <c r="C8289" s="18" t="s">
        <v>11325</v>
      </c>
      <c r="D8289" s="240" t="s">
        <v>9217</v>
      </c>
      <c r="E8289" s="18" t="s">
        <v>11326</v>
      </c>
    </row>
    <row r="8290" spans="1:5">
      <c r="A8290" s="40">
        <v>55398</v>
      </c>
      <c r="B8290" s="18">
        <v>3</v>
      </c>
      <c r="C8290" s="18" t="s">
        <v>11327</v>
      </c>
      <c r="D8290" s="240" t="s">
        <v>9218</v>
      </c>
      <c r="E8290" s="18" t="s">
        <v>11333</v>
      </c>
    </row>
    <row r="8291" spans="1:5">
      <c r="A8291" s="40">
        <v>55399</v>
      </c>
      <c r="B8291" s="18">
        <v>3</v>
      </c>
      <c r="C8291" s="18" t="s">
        <v>11332</v>
      </c>
      <c r="D8291" s="240" t="s">
        <v>9219</v>
      </c>
      <c r="E8291" s="18" t="s">
        <v>11331</v>
      </c>
    </row>
    <row r="8292" spans="1:5">
      <c r="A8292" s="40">
        <v>55400</v>
      </c>
      <c r="B8292" s="18">
        <v>1</v>
      </c>
      <c r="C8292" s="18" t="s">
        <v>11335</v>
      </c>
      <c r="D8292" s="240" t="s">
        <v>9220</v>
      </c>
      <c r="E8292" s="18" t="s">
        <v>11334</v>
      </c>
    </row>
    <row r="8293" spans="1:5">
      <c r="A8293" s="40">
        <v>55401</v>
      </c>
      <c r="B8293" s="18">
        <v>3</v>
      </c>
      <c r="C8293" s="18" t="s">
        <v>11336</v>
      </c>
      <c r="D8293" s="240" t="s">
        <v>9221</v>
      </c>
      <c r="E8293" s="18" t="s">
        <v>11340</v>
      </c>
    </row>
    <row r="8294" spans="1:5">
      <c r="A8294" s="40">
        <v>55402</v>
      </c>
      <c r="B8294" s="18">
        <v>3</v>
      </c>
      <c r="C8294" s="18" t="s">
        <v>11337</v>
      </c>
      <c r="D8294" s="240" t="s">
        <v>9222</v>
      </c>
      <c r="E8294" s="18" t="s">
        <v>11341</v>
      </c>
    </row>
    <row r="8295" spans="1:5">
      <c r="A8295" s="40">
        <v>55403</v>
      </c>
      <c r="B8295" s="18">
        <v>3</v>
      </c>
      <c r="C8295" s="18" t="s">
        <v>11771</v>
      </c>
      <c r="D8295" s="240" t="s">
        <v>9223</v>
      </c>
      <c r="E8295" s="18" t="s">
        <v>11342</v>
      </c>
    </row>
    <row r="8296" spans="1:5">
      <c r="A8296" s="40">
        <v>55404</v>
      </c>
      <c r="B8296" s="18">
        <v>3</v>
      </c>
      <c r="C8296" s="18" t="s">
        <v>11339</v>
      </c>
      <c r="D8296" s="240" t="s">
        <v>9224</v>
      </c>
      <c r="E8296" s="18" t="s">
        <v>11338</v>
      </c>
    </row>
    <row r="8297" spans="1:5">
      <c r="A8297" s="40">
        <v>55405</v>
      </c>
      <c r="B8297" s="18">
        <v>1</v>
      </c>
      <c r="C8297" s="18" t="s">
        <v>11335</v>
      </c>
      <c r="D8297" s="240" t="s">
        <v>9225</v>
      </c>
      <c r="E8297" s="18" t="s">
        <v>11343</v>
      </c>
    </row>
    <row r="8298" spans="1:5">
      <c r="A8298" s="40">
        <v>55406</v>
      </c>
      <c r="B8298" s="1">
        <v>1</v>
      </c>
      <c r="C8298" s="1" t="s">
        <v>11335</v>
      </c>
      <c r="D8298" s="240" t="s">
        <v>11351</v>
      </c>
      <c r="E8298" s="1" t="s">
        <v>11350</v>
      </c>
    </row>
    <row r="8299" spans="1:5">
      <c r="A8299" s="40">
        <v>55407</v>
      </c>
      <c r="B8299" s="1">
        <v>3</v>
      </c>
      <c r="C8299" s="1" t="s">
        <v>11345</v>
      </c>
      <c r="D8299" s="240" t="s">
        <v>11346</v>
      </c>
      <c r="E8299" s="1" t="s">
        <v>11344</v>
      </c>
    </row>
    <row r="8300" spans="1:5">
      <c r="A8300" s="40">
        <v>55408</v>
      </c>
      <c r="B8300" s="1">
        <v>3</v>
      </c>
      <c r="C8300" s="1" t="s">
        <v>9380</v>
      </c>
      <c r="D8300" s="240" t="s">
        <v>9226</v>
      </c>
      <c r="E8300" s="1" t="s">
        <v>10480</v>
      </c>
    </row>
    <row r="8301" spans="1:5">
      <c r="A8301" s="40">
        <v>55409</v>
      </c>
      <c r="B8301" s="1">
        <v>3</v>
      </c>
      <c r="C8301" s="1" t="s">
        <v>9381</v>
      </c>
      <c r="D8301" s="240" t="s">
        <v>9227</v>
      </c>
      <c r="E8301" s="1" t="s">
        <v>10481</v>
      </c>
    </row>
    <row r="8302" spans="1:5">
      <c r="A8302" s="40">
        <v>55410</v>
      </c>
      <c r="B8302" s="1">
        <v>3</v>
      </c>
      <c r="C8302" s="1" t="s">
        <v>9382</v>
      </c>
      <c r="D8302" s="240" t="s">
        <v>9228</v>
      </c>
      <c r="E8302" s="1" t="s">
        <v>10482</v>
      </c>
    </row>
    <row r="8303" spans="1:5">
      <c r="A8303" s="40">
        <v>55411</v>
      </c>
      <c r="B8303" s="1">
        <v>1</v>
      </c>
      <c r="C8303" s="1" t="s">
        <v>11352</v>
      </c>
      <c r="D8303" s="240" t="s">
        <v>11353</v>
      </c>
      <c r="E8303" s="1" t="s">
        <v>11358</v>
      </c>
    </row>
    <row r="8304" spans="1:5">
      <c r="A8304" s="40">
        <v>55412</v>
      </c>
      <c r="B8304" s="1">
        <v>3</v>
      </c>
      <c r="C8304" s="1" t="s">
        <v>9383</v>
      </c>
      <c r="D8304" s="240" t="s">
        <v>9229</v>
      </c>
      <c r="E8304" s="1" t="s">
        <v>10483</v>
      </c>
    </row>
    <row r="8305" spans="1:6">
      <c r="A8305" s="40">
        <v>55413</v>
      </c>
      <c r="B8305" s="1">
        <v>3</v>
      </c>
      <c r="C8305" s="1" t="s">
        <v>9384</v>
      </c>
      <c r="D8305" s="240" t="s">
        <v>9230</v>
      </c>
      <c r="E8305" s="1" t="s">
        <v>10484</v>
      </c>
    </row>
    <row r="8306" spans="1:6">
      <c r="A8306" s="40">
        <v>55414</v>
      </c>
      <c r="B8306" s="1">
        <v>3</v>
      </c>
      <c r="C8306" s="1" t="s">
        <v>9385</v>
      </c>
      <c r="D8306" s="240" t="s">
        <v>9231</v>
      </c>
      <c r="E8306" s="1" t="s">
        <v>10485</v>
      </c>
    </row>
    <row r="8307" spans="1:6">
      <c r="A8307" s="40">
        <v>55415</v>
      </c>
      <c r="B8307" s="1">
        <v>0</v>
      </c>
      <c r="C8307" s="1" t="s">
        <v>11352</v>
      </c>
      <c r="D8307" s="240" t="s">
        <v>9232</v>
      </c>
      <c r="E8307" s="1" t="s">
        <v>10486</v>
      </c>
    </row>
    <row r="8308" spans="1:6">
      <c r="A8308" s="40">
        <v>55416</v>
      </c>
      <c r="B8308" s="1">
        <v>0</v>
      </c>
      <c r="C8308" s="1" t="s">
        <v>11352</v>
      </c>
      <c r="D8308" s="240" t="s">
        <v>9233</v>
      </c>
      <c r="E8308" s="1" t="s">
        <v>10487</v>
      </c>
    </row>
    <row r="8309" spans="1:6">
      <c r="A8309" s="40">
        <v>55417</v>
      </c>
      <c r="B8309" s="1">
        <v>3</v>
      </c>
      <c r="C8309" s="240" t="s">
        <v>9403</v>
      </c>
      <c r="D8309" s="240" t="s">
        <v>9234</v>
      </c>
      <c r="E8309" s="240" t="s">
        <v>10488</v>
      </c>
    </row>
    <row r="8310" spans="1:6" s="250" customFormat="1">
      <c r="A8310" s="203">
        <v>55418</v>
      </c>
      <c r="B8310" s="203">
        <v>3</v>
      </c>
      <c r="C8310" s="313" t="s">
        <v>12633</v>
      </c>
      <c r="D8310" s="313" t="s">
        <v>12632</v>
      </c>
      <c r="E8310" s="313" t="s">
        <v>12634</v>
      </c>
      <c r="F8310" s="264"/>
    </row>
    <row r="8311" spans="1:6" s="251" customFormat="1">
      <c r="A8311" s="286">
        <v>55419</v>
      </c>
      <c r="B8311" s="286">
        <v>0</v>
      </c>
      <c r="C8311" s="314" t="s">
        <v>10357</v>
      </c>
      <c r="D8311" s="314" t="s">
        <v>10358</v>
      </c>
      <c r="E8311" s="314" t="s">
        <v>10359</v>
      </c>
      <c r="F8311" s="265"/>
    </row>
    <row r="8312" spans="1:6" s="251" customFormat="1">
      <c r="A8312" s="286">
        <v>55420</v>
      </c>
      <c r="B8312" s="286">
        <v>0</v>
      </c>
      <c r="C8312" s="314" t="s">
        <v>10360</v>
      </c>
      <c r="D8312" s="314" t="s">
        <v>10361</v>
      </c>
      <c r="E8312" s="314" t="s">
        <v>10362</v>
      </c>
      <c r="F8312" s="265"/>
    </row>
    <row r="8313" spans="1:6" s="251" customFormat="1">
      <c r="A8313" s="286">
        <v>55421</v>
      </c>
      <c r="B8313" s="286">
        <v>0</v>
      </c>
      <c r="C8313" s="314" t="s">
        <v>10363</v>
      </c>
      <c r="D8313" s="314" t="s">
        <v>10364</v>
      </c>
      <c r="E8313" s="314" t="s">
        <v>10365</v>
      </c>
      <c r="F8313" s="265"/>
    </row>
    <row r="8314" spans="1:6" s="251" customFormat="1">
      <c r="A8314" s="286">
        <v>55422</v>
      </c>
      <c r="B8314" s="286">
        <v>0</v>
      </c>
      <c r="C8314" s="314" t="s">
        <v>10366</v>
      </c>
      <c r="D8314" s="314" t="s">
        <v>10367</v>
      </c>
      <c r="E8314" s="314" t="s">
        <v>10368</v>
      </c>
      <c r="F8314" s="265"/>
    </row>
    <row r="8315" spans="1:6" s="251" customFormat="1">
      <c r="A8315" s="286">
        <v>55423</v>
      </c>
      <c r="B8315" s="286">
        <v>0</v>
      </c>
      <c r="C8315" s="314" t="s">
        <v>10369</v>
      </c>
      <c r="D8315" s="314" t="s">
        <v>10370</v>
      </c>
      <c r="E8315" s="314" t="s">
        <v>10371</v>
      </c>
      <c r="F8315" s="265"/>
    </row>
    <row r="8316" spans="1:6" s="251" customFormat="1">
      <c r="A8316" s="286">
        <v>55424</v>
      </c>
      <c r="B8316" s="286">
        <v>0</v>
      </c>
      <c r="C8316" s="314" t="s">
        <v>10372</v>
      </c>
      <c r="D8316" s="314" t="s">
        <v>10373</v>
      </c>
      <c r="E8316" s="314" t="s">
        <v>10374</v>
      </c>
      <c r="F8316" s="265"/>
    </row>
    <row r="8317" spans="1:6" s="251" customFormat="1">
      <c r="A8317" s="286">
        <v>55425</v>
      </c>
      <c r="B8317" s="286">
        <v>0</v>
      </c>
      <c r="C8317" s="314" t="s">
        <v>10375</v>
      </c>
      <c r="D8317" s="314" t="s">
        <v>10376</v>
      </c>
      <c r="E8317" s="314" t="s">
        <v>10377</v>
      </c>
      <c r="F8317" s="265"/>
    </row>
    <row r="8318" spans="1:6" s="251" customFormat="1">
      <c r="A8318" s="286">
        <v>55426</v>
      </c>
      <c r="B8318" s="286">
        <v>0</v>
      </c>
      <c r="C8318" s="314" t="s">
        <v>10378</v>
      </c>
      <c r="D8318" s="314" t="s">
        <v>10379</v>
      </c>
      <c r="E8318" s="314" t="s">
        <v>10380</v>
      </c>
      <c r="F8318" s="265"/>
    </row>
    <row r="8319" spans="1:6" s="251" customFormat="1">
      <c r="A8319" s="286">
        <v>55427</v>
      </c>
      <c r="B8319" s="286">
        <v>0</v>
      </c>
      <c r="C8319" s="314" t="s">
        <v>10381</v>
      </c>
      <c r="D8319" s="314" t="s">
        <v>10382</v>
      </c>
      <c r="E8319" s="314" t="s">
        <v>10383</v>
      </c>
      <c r="F8319" s="265"/>
    </row>
    <row r="8320" spans="1:6" s="251" customFormat="1">
      <c r="A8320" s="286">
        <v>55428</v>
      </c>
      <c r="B8320" s="286">
        <v>0</v>
      </c>
      <c r="C8320" s="314" t="s">
        <v>10384</v>
      </c>
      <c r="D8320" s="314" t="s">
        <v>10385</v>
      </c>
      <c r="E8320" s="314" t="s">
        <v>10386</v>
      </c>
      <c r="F8320" s="265"/>
    </row>
    <row r="8321" spans="1:6" s="251" customFormat="1">
      <c r="A8321" s="286">
        <v>55429</v>
      </c>
      <c r="B8321" s="286">
        <v>0</v>
      </c>
      <c r="C8321" s="314" t="s">
        <v>10387</v>
      </c>
      <c r="D8321" s="314" t="s">
        <v>10388</v>
      </c>
      <c r="E8321" s="314" t="s">
        <v>10389</v>
      </c>
      <c r="F8321" s="265"/>
    </row>
    <row r="8322" spans="1:6" s="251" customFormat="1">
      <c r="A8322" s="286">
        <v>55430</v>
      </c>
      <c r="B8322" s="286">
        <v>0</v>
      </c>
      <c r="C8322" s="314" t="s">
        <v>10390</v>
      </c>
      <c r="D8322" s="314" t="s">
        <v>10391</v>
      </c>
      <c r="E8322" s="314" t="s">
        <v>10392</v>
      </c>
      <c r="F8322" s="265"/>
    </row>
    <row r="8323" spans="1:6" s="251" customFormat="1">
      <c r="A8323" s="286">
        <v>55431</v>
      </c>
      <c r="B8323" s="286">
        <v>0</v>
      </c>
      <c r="C8323" s="314" t="s">
        <v>10393</v>
      </c>
      <c r="D8323" s="314" t="s">
        <v>10394</v>
      </c>
      <c r="E8323" s="314" t="s">
        <v>10395</v>
      </c>
      <c r="F8323" s="265"/>
    </row>
    <row r="8324" spans="1:6" s="251" customFormat="1">
      <c r="A8324" s="286">
        <v>55432</v>
      </c>
      <c r="B8324" s="286">
        <v>1</v>
      </c>
      <c r="C8324" s="314" t="s">
        <v>9403</v>
      </c>
      <c r="D8324" s="314" t="s">
        <v>10396</v>
      </c>
      <c r="E8324" s="314" t="s">
        <v>10488</v>
      </c>
      <c r="F8324" s="265"/>
    </row>
    <row r="8325" spans="1:6" s="251" customFormat="1">
      <c r="A8325" s="286">
        <v>55433</v>
      </c>
      <c r="B8325" s="286">
        <v>1</v>
      </c>
      <c r="C8325" s="314" t="s">
        <v>10397</v>
      </c>
      <c r="D8325" s="314" t="s">
        <v>10398</v>
      </c>
      <c r="E8325" s="314" t="s">
        <v>10399</v>
      </c>
      <c r="F8325" s="265"/>
    </row>
    <row r="8326" spans="1:6" s="251" customFormat="1">
      <c r="A8326" s="286">
        <v>55434</v>
      </c>
      <c r="B8326" s="286">
        <v>3</v>
      </c>
      <c r="C8326" s="314" t="s">
        <v>10409</v>
      </c>
      <c r="D8326" s="314" t="s">
        <v>10400</v>
      </c>
      <c r="E8326" s="314" t="s">
        <v>10489</v>
      </c>
      <c r="F8326" s="265"/>
    </row>
    <row r="8327" spans="1:6" s="251" customFormat="1">
      <c r="A8327" s="286">
        <v>55435</v>
      </c>
      <c r="B8327" s="286">
        <v>3</v>
      </c>
      <c r="C8327" s="314" t="s">
        <v>11563</v>
      </c>
      <c r="D8327" s="314" t="s">
        <v>11562</v>
      </c>
      <c r="E8327" s="314" t="s">
        <v>11564</v>
      </c>
      <c r="F8327" s="265"/>
    </row>
    <row r="8328" spans="1:6" s="251" customFormat="1">
      <c r="A8328" s="286">
        <v>55436</v>
      </c>
      <c r="B8328" s="286">
        <v>3</v>
      </c>
      <c r="C8328" s="314" t="s">
        <v>10490</v>
      </c>
      <c r="D8328" s="314" t="s">
        <v>10612</v>
      </c>
      <c r="E8328" s="314" t="s">
        <v>10491</v>
      </c>
      <c r="F8328" s="265"/>
    </row>
    <row r="8329" spans="1:6" s="251" customFormat="1">
      <c r="A8329" s="111">
        <v>55437</v>
      </c>
      <c r="B8329" s="111">
        <v>3</v>
      </c>
      <c r="C8329" s="315" t="s">
        <v>11859</v>
      </c>
      <c r="D8329" s="315" t="s">
        <v>10613</v>
      </c>
      <c r="E8329" s="315" t="s">
        <v>11860</v>
      </c>
      <c r="F8329" s="265"/>
    </row>
    <row r="8330" spans="1:6" s="251" customFormat="1">
      <c r="A8330" s="286">
        <v>55438</v>
      </c>
      <c r="B8330" s="286">
        <v>1</v>
      </c>
      <c r="C8330" s="314" t="s">
        <v>10617</v>
      </c>
      <c r="D8330" s="283" t="s">
        <v>10615</v>
      </c>
      <c r="E8330" s="314" t="s">
        <v>10616</v>
      </c>
      <c r="F8330" s="265"/>
    </row>
    <row r="8331" spans="1:6" s="251" customFormat="1">
      <c r="A8331" s="286">
        <v>55439</v>
      </c>
      <c r="B8331" s="286">
        <v>1</v>
      </c>
      <c r="C8331" s="314" t="s">
        <v>11212</v>
      </c>
      <c r="D8331" s="314" t="s">
        <v>11273</v>
      </c>
      <c r="E8331" s="314" t="s">
        <v>11211</v>
      </c>
      <c r="F8331" s="265"/>
    </row>
    <row r="8332" spans="1:6" s="251" customFormat="1">
      <c r="A8332" s="248">
        <v>55440</v>
      </c>
      <c r="B8332" s="75">
        <v>3</v>
      </c>
      <c r="C8332" s="316" t="s">
        <v>11330</v>
      </c>
      <c r="D8332" s="316" t="s">
        <v>11328</v>
      </c>
      <c r="E8332" s="316" t="s">
        <v>11329</v>
      </c>
      <c r="F8332" s="265"/>
    </row>
    <row r="8333" spans="1:6" s="251" customFormat="1">
      <c r="A8333" s="248">
        <v>55441</v>
      </c>
      <c r="B8333" s="75">
        <v>1</v>
      </c>
      <c r="C8333" s="316" t="s">
        <v>11335</v>
      </c>
      <c r="D8333" s="316" t="s">
        <v>11347</v>
      </c>
      <c r="E8333" s="1" t="s">
        <v>11344</v>
      </c>
      <c r="F8333" s="265"/>
    </row>
    <row r="8334" spans="1:6" s="251" customFormat="1">
      <c r="A8334" s="248">
        <v>55442</v>
      </c>
      <c r="B8334" s="75">
        <v>1</v>
      </c>
      <c r="C8334" s="316" t="s">
        <v>11335</v>
      </c>
      <c r="D8334" s="316" t="s">
        <v>11348</v>
      </c>
      <c r="E8334" s="1" t="s">
        <v>11349</v>
      </c>
      <c r="F8334" s="265"/>
    </row>
    <row r="8335" spans="1:6" s="251" customFormat="1">
      <c r="A8335" s="248">
        <v>55443</v>
      </c>
      <c r="B8335" s="75">
        <v>1</v>
      </c>
      <c r="C8335" s="316" t="s">
        <v>11335</v>
      </c>
      <c r="D8335" s="316" t="s">
        <v>11355</v>
      </c>
      <c r="E8335" s="1" t="s">
        <v>11356</v>
      </c>
      <c r="F8335" s="265"/>
    </row>
    <row r="8336" spans="1:6" s="251" customFormat="1">
      <c r="A8336" s="248">
        <v>55444</v>
      </c>
      <c r="B8336" s="75">
        <v>1</v>
      </c>
      <c r="C8336" s="316" t="s">
        <v>11335</v>
      </c>
      <c r="D8336" s="316" t="s">
        <v>11354</v>
      </c>
      <c r="E8336" s="1" t="s">
        <v>11357</v>
      </c>
      <c r="F8336" s="265"/>
    </row>
    <row r="8337" spans="1:6" s="251" customFormat="1">
      <c r="A8337" s="248">
        <v>55445</v>
      </c>
      <c r="B8337" s="75">
        <v>3</v>
      </c>
      <c r="C8337" s="316" t="s">
        <v>11360</v>
      </c>
      <c r="D8337" s="287" t="s">
        <v>11518</v>
      </c>
      <c r="E8337" s="316" t="s">
        <v>11370</v>
      </c>
      <c r="F8337" s="265"/>
    </row>
    <row r="8338" spans="1:6" s="251" customFormat="1">
      <c r="A8338" s="248">
        <v>55446</v>
      </c>
      <c r="B8338" s="75">
        <v>3</v>
      </c>
      <c r="C8338" s="316" t="s">
        <v>11359</v>
      </c>
      <c r="D8338" s="287" t="s">
        <v>11519</v>
      </c>
      <c r="E8338" s="316" t="s">
        <v>11362</v>
      </c>
      <c r="F8338" s="265"/>
    </row>
    <row r="8339" spans="1:6" s="251" customFormat="1">
      <c r="A8339" s="248">
        <v>55447</v>
      </c>
      <c r="B8339" s="75">
        <v>3</v>
      </c>
      <c r="C8339" s="316" t="s">
        <v>11361</v>
      </c>
      <c r="D8339" s="287" t="s">
        <v>11520</v>
      </c>
      <c r="E8339" s="316" t="s">
        <v>11364</v>
      </c>
      <c r="F8339" s="265"/>
    </row>
    <row r="8340" spans="1:6" s="251" customFormat="1">
      <c r="A8340" s="248">
        <v>55448</v>
      </c>
      <c r="B8340" s="75">
        <v>3</v>
      </c>
      <c r="C8340" s="316" t="s">
        <v>11371</v>
      </c>
      <c r="D8340" s="288" t="s">
        <v>11521</v>
      </c>
      <c r="E8340" s="316" t="s">
        <v>11365</v>
      </c>
      <c r="F8340" s="265"/>
    </row>
    <row r="8341" spans="1:6" s="251" customFormat="1">
      <c r="A8341" s="248">
        <v>55449</v>
      </c>
      <c r="B8341" s="75">
        <v>1</v>
      </c>
      <c r="C8341" s="316" t="s">
        <v>11363</v>
      </c>
      <c r="D8341" s="288" t="s">
        <v>11522</v>
      </c>
      <c r="E8341" s="316" t="s">
        <v>11365</v>
      </c>
      <c r="F8341" s="265"/>
    </row>
    <row r="8342" spans="1:6" s="251" customFormat="1">
      <c r="A8342" s="248">
        <v>55450</v>
      </c>
      <c r="B8342" s="75">
        <v>3</v>
      </c>
      <c r="C8342" s="316" t="s">
        <v>11367</v>
      </c>
      <c r="D8342" s="287" t="s">
        <v>11523</v>
      </c>
      <c r="E8342" s="316" t="s">
        <v>11369</v>
      </c>
      <c r="F8342" s="265"/>
    </row>
    <row r="8343" spans="1:6" s="251" customFormat="1">
      <c r="A8343" s="248">
        <v>55451</v>
      </c>
      <c r="B8343" s="75">
        <v>3</v>
      </c>
      <c r="C8343" s="316" t="s">
        <v>11366</v>
      </c>
      <c r="D8343" s="287" t="s">
        <v>11524</v>
      </c>
      <c r="E8343" s="316" t="s">
        <v>11372</v>
      </c>
      <c r="F8343" s="265"/>
    </row>
    <row r="8344" spans="1:6" s="251" customFormat="1">
      <c r="A8344" s="248">
        <v>55452</v>
      </c>
      <c r="B8344" s="75">
        <v>3</v>
      </c>
      <c r="C8344" s="316" t="s">
        <v>11368</v>
      </c>
      <c r="D8344" s="287" t="s">
        <v>11525</v>
      </c>
      <c r="E8344" s="316" t="s">
        <v>11373</v>
      </c>
      <c r="F8344" s="265"/>
    </row>
    <row r="8345" spans="1:6" s="251" customFormat="1">
      <c r="A8345" s="248">
        <v>55453</v>
      </c>
      <c r="B8345" s="75">
        <v>3</v>
      </c>
      <c r="C8345" s="316" t="s">
        <v>11375</v>
      </c>
      <c r="D8345" s="288" t="s">
        <v>11526</v>
      </c>
      <c r="E8345" s="316" t="s">
        <v>11374</v>
      </c>
      <c r="F8345" s="265"/>
    </row>
    <row r="8346" spans="1:6" s="251" customFormat="1">
      <c r="A8346" s="248">
        <v>55454</v>
      </c>
      <c r="B8346" s="75">
        <v>1</v>
      </c>
      <c r="C8346" s="316" t="s">
        <v>11363</v>
      </c>
      <c r="D8346" s="288" t="s">
        <v>11527</v>
      </c>
      <c r="E8346" s="316" t="s">
        <v>11374</v>
      </c>
      <c r="F8346" s="265"/>
    </row>
    <row r="8347" spans="1:6" s="251" customFormat="1">
      <c r="A8347" s="248">
        <v>55455</v>
      </c>
      <c r="B8347" s="75">
        <v>3</v>
      </c>
      <c r="C8347" s="316" t="s">
        <v>11482</v>
      </c>
      <c r="D8347" s="287" t="s">
        <v>11528</v>
      </c>
      <c r="E8347" s="316" t="s">
        <v>11483</v>
      </c>
      <c r="F8347" s="265"/>
    </row>
    <row r="8348" spans="1:6" s="251" customFormat="1">
      <c r="A8348" s="248">
        <v>55456</v>
      </c>
      <c r="B8348" s="75">
        <v>3</v>
      </c>
      <c r="C8348" s="316" t="s">
        <v>11481</v>
      </c>
      <c r="D8348" s="287" t="s">
        <v>11529</v>
      </c>
      <c r="E8348" s="316" t="s">
        <v>11484</v>
      </c>
      <c r="F8348" s="265"/>
    </row>
    <row r="8349" spans="1:6" s="251" customFormat="1">
      <c r="A8349" s="248">
        <v>55457</v>
      </c>
      <c r="B8349" s="75">
        <v>3</v>
      </c>
      <c r="C8349" s="316" t="s">
        <v>11479</v>
      </c>
      <c r="D8349" s="288" t="s">
        <v>11521</v>
      </c>
      <c r="E8349" s="316" t="s">
        <v>11480</v>
      </c>
      <c r="F8349" s="265"/>
    </row>
    <row r="8350" spans="1:6" s="251" customFormat="1">
      <c r="A8350" s="248">
        <v>55458</v>
      </c>
      <c r="B8350" s="75">
        <v>3</v>
      </c>
      <c r="C8350" s="316" t="s">
        <v>11539</v>
      </c>
      <c r="D8350" s="288" t="s">
        <v>11536</v>
      </c>
      <c r="E8350" s="316" t="s">
        <v>11547</v>
      </c>
      <c r="F8350" s="265"/>
    </row>
    <row r="8351" spans="1:6" s="251" customFormat="1">
      <c r="A8351" s="248">
        <v>55459</v>
      </c>
      <c r="B8351" s="75">
        <v>3</v>
      </c>
      <c r="C8351" s="316" t="s">
        <v>11550</v>
      </c>
      <c r="D8351" s="212" t="s">
        <v>11537</v>
      </c>
      <c r="E8351" s="316" t="s">
        <v>11548</v>
      </c>
      <c r="F8351" s="265"/>
    </row>
    <row r="8352" spans="1:6" s="251" customFormat="1">
      <c r="A8352" s="248">
        <v>55460</v>
      </c>
      <c r="B8352" s="75">
        <v>3</v>
      </c>
      <c r="C8352" s="316" t="s">
        <v>11551</v>
      </c>
      <c r="D8352" s="306" t="s">
        <v>11538</v>
      </c>
      <c r="E8352" s="316" t="s">
        <v>11549</v>
      </c>
      <c r="F8352" s="265"/>
    </row>
    <row r="8353" spans="1:8" s="251" customFormat="1">
      <c r="A8353" s="248">
        <v>55461</v>
      </c>
      <c r="B8353" s="75">
        <v>3</v>
      </c>
      <c r="C8353" s="316" t="s">
        <v>11541</v>
      </c>
      <c r="D8353" s="212" t="s">
        <v>11530</v>
      </c>
      <c r="E8353" s="316" t="s">
        <v>11558</v>
      </c>
      <c r="F8353" s="265"/>
    </row>
    <row r="8354" spans="1:8" s="251" customFormat="1">
      <c r="A8354" s="248">
        <v>55462</v>
      </c>
      <c r="B8354" s="75">
        <v>3</v>
      </c>
      <c r="C8354" s="316" t="s">
        <v>11540</v>
      </c>
      <c r="D8354" s="212" t="s">
        <v>11531</v>
      </c>
      <c r="E8354" s="316" t="s">
        <v>11559</v>
      </c>
      <c r="F8354" s="265"/>
    </row>
    <row r="8355" spans="1:8" s="251" customFormat="1">
      <c r="A8355" s="248">
        <v>55463</v>
      </c>
      <c r="B8355" s="75">
        <v>3</v>
      </c>
      <c r="C8355" s="316" t="s">
        <v>11542</v>
      </c>
      <c r="D8355" s="212" t="s">
        <v>11532</v>
      </c>
      <c r="E8355" s="316" t="s">
        <v>11560</v>
      </c>
      <c r="F8355" s="265"/>
    </row>
    <row r="8356" spans="1:8" s="251" customFormat="1">
      <c r="A8356" s="248">
        <v>55464</v>
      </c>
      <c r="B8356" s="75">
        <v>3</v>
      </c>
      <c r="C8356" s="316" t="s">
        <v>11544</v>
      </c>
      <c r="D8356" s="307" t="s">
        <v>11533</v>
      </c>
      <c r="E8356" s="316" t="s">
        <v>11556</v>
      </c>
      <c r="F8356" s="265"/>
    </row>
    <row r="8357" spans="1:8" s="251" customFormat="1">
      <c r="A8357" s="248">
        <v>55465</v>
      </c>
      <c r="B8357" s="75">
        <v>3</v>
      </c>
      <c r="C8357" s="316" t="s">
        <v>11543</v>
      </c>
      <c r="D8357" s="307" t="s">
        <v>11534</v>
      </c>
      <c r="E8357" s="316" t="s">
        <v>11861</v>
      </c>
      <c r="F8357" s="265"/>
    </row>
    <row r="8358" spans="1:8" s="251" customFormat="1">
      <c r="A8358" s="248">
        <v>55466</v>
      </c>
      <c r="B8358" s="75">
        <v>3</v>
      </c>
      <c r="C8358" s="316" t="s">
        <v>11545</v>
      </c>
      <c r="D8358" s="307" t="s">
        <v>11535</v>
      </c>
      <c r="E8358" s="316" t="s">
        <v>11546</v>
      </c>
      <c r="F8358" s="265"/>
    </row>
    <row r="8359" spans="1:8" s="251" customFormat="1">
      <c r="A8359" s="248">
        <v>55467</v>
      </c>
      <c r="B8359" s="75">
        <v>1</v>
      </c>
      <c r="C8359" s="316" t="s">
        <v>11555</v>
      </c>
      <c r="D8359" s="288" t="s">
        <v>11552</v>
      </c>
      <c r="E8359" s="316" t="s">
        <v>11547</v>
      </c>
      <c r="F8359" s="265"/>
    </row>
    <row r="8360" spans="1:8" s="251" customFormat="1">
      <c r="A8360" s="248">
        <v>55468</v>
      </c>
      <c r="B8360" s="75">
        <v>1</v>
      </c>
      <c r="C8360" s="316" t="s">
        <v>11555</v>
      </c>
      <c r="D8360" s="212" t="s">
        <v>11553</v>
      </c>
      <c r="E8360" s="316" t="s">
        <v>11561</v>
      </c>
      <c r="F8360" s="265"/>
    </row>
    <row r="8361" spans="1:8" s="251" customFormat="1">
      <c r="A8361" s="248">
        <v>55469</v>
      </c>
      <c r="B8361" s="75">
        <v>1</v>
      </c>
      <c r="C8361" s="316" t="s">
        <v>11555</v>
      </c>
      <c r="D8361" s="306" t="s">
        <v>11554</v>
      </c>
      <c r="E8361" s="316" t="s">
        <v>11557</v>
      </c>
      <c r="F8361" s="265"/>
    </row>
    <row r="8362" spans="1:8" s="251" customFormat="1">
      <c r="A8362" s="248">
        <v>55470</v>
      </c>
      <c r="B8362" s="75">
        <v>3</v>
      </c>
      <c r="C8362" s="316" t="s">
        <v>11838</v>
      </c>
      <c r="D8362" s="288" t="s">
        <v>11835</v>
      </c>
      <c r="E8362" s="316" t="s">
        <v>11837</v>
      </c>
      <c r="F8362" s="265"/>
    </row>
    <row r="8363" spans="1:8" s="251" customFormat="1">
      <c r="A8363" s="248">
        <v>55471</v>
      </c>
      <c r="B8363" s="75">
        <v>3</v>
      </c>
      <c r="C8363" s="316" t="s">
        <v>11839</v>
      </c>
      <c r="D8363" s="288" t="s">
        <v>11836</v>
      </c>
      <c r="E8363" s="316" t="s">
        <v>11840</v>
      </c>
      <c r="F8363" s="265"/>
    </row>
    <row r="8364" spans="1:8" s="251" customFormat="1">
      <c r="A8364" s="248">
        <v>55472</v>
      </c>
      <c r="B8364" s="75">
        <v>3</v>
      </c>
      <c r="C8364" s="316" t="s">
        <v>12623</v>
      </c>
      <c r="D8364" s="312" t="s">
        <v>12619</v>
      </c>
      <c r="E8364" s="316" t="s">
        <v>12624</v>
      </c>
      <c r="F8364" s="265"/>
    </row>
    <row r="8365" spans="1:8" s="251" customFormat="1">
      <c r="A8365" s="248">
        <v>55473</v>
      </c>
      <c r="B8365" s="75">
        <v>3</v>
      </c>
      <c r="C8365" s="316" t="s">
        <v>12625</v>
      </c>
      <c r="D8365" s="312" t="s">
        <v>12620</v>
      </c>
      <c r="E8365" s="316" t="s">
        <v>12626</v>
      </c>
      <c r="F8365" s="265"/>
    </row>
    <row r="8366" spans="1:8" s="251" customFormat="1">
      <c r="A8366" s="248">
        <v>55474</v>
      </c>
      <c r="B8366" s="75">
        <v>3</v>
      </c>
      <c r="C8366" s="316" t="s">
        <v>12627</v>
      </c>
      <c r="D8366" s="312" t="s">
        <v>12621</v>
      </c>
      <c r="E8366" s="316" t="s">
        <v>12628</v>
      </c>
      <c r="F8366" s="265"/>
    </row>
    <row r="8367" spans="1:8" s="251" customFormat="1">
      <c r="A8367" s="248">
        <v>55475</v>
      </c>
      <c r="B8367" s="75">
        <v>3</v>
      </c>
      <c r="C8367" s="316" t="s">
        <v>12629</v>
      </c>
      <c r="D8367" s="312" t="s">
        <v>12622</v>
      </c>
      <c r="E8367" s="316" t="s">
        <v>12630</v>
      </c>
      <c r="F8367" s="265"/>
    </row>
    <row r="8368" spans="1:8">
      <c r="A8368" s="1">
        <v>10000000</v>
      </c>
      <c r="B8368" s="1">
        <v>0</v>
      </c>
      <c r="C8368" s="13" t="s">
        <v>11687</v>
      </c>
      <c r="D8368" s="203" t="s">
        <v>10325</v>
      </c>
      <c r="E8368" s="13" t="s">
        <v>11696</v>
      </c>
      <c r="F8368" s="265"/>
      <c r="G8368" s="251"/>
      <c r="H8368" s="251"/>
    </row>
    <row r="8369" spans="1:8">
      <c r="A8369" s="1">
        <v>10000001</v>
      </c>
      <c r="B8369" s="1">
        <v>0</v>
      </c>
      <c r="C8369" s="13" t="s">
        <v>11688</v>
      </c>
      <c r="D8369" s="203" t="s">
        <v>10326</v>
      </c>
      <c r="E8369" s="13" t="s">
        <v>11697</v>
      </c>
      <c r="F8369" s="265"/>
      <c r="G8369" s="251"/>
      <c r="H8369" s="251"/>
    </row>
    <row r="8370" spans="1:8">
      <c r="A8370" s="1">
        <v>10000002</v>
      </c>
      <c r="B8370" s="1">
        <v>0</v>
      </c>
      <c r="C8370" s="13" t="s">
        <v>11689</v>
      </c>
      <c r="D8370" s="203" t="s">
        <v>6760</v>
      </c>
      <c r="E8370" s="13" t="s">
        <v>11698</v>
      </c>
      <c r="F8370" s="265"/>
      <c r="G8370" s="251"/>
      <c r="H8370" s="251"/>
    </row>
    <row r="8371" spans="1:8">
      <c r="A8371" s="1">
        <v>10000003</v>
      </c>
      <c r="B8371" s="1">
        <v>0</v>
      </c>
      <c r="C8371" s="13" t="s">
        <v>11690</v>
      </c>
      <c r="D8371" s="203" t="s">
        <v>11565</v>
      </c>
      <c r="E8371" s="13" t="s">
        <v>11699</v>
      </c>
      <c r="F8371" s="265"/>
      <c r="G8371" s="251"/>
      <c r="H8371" s="251"/>
    </row>
    <row r="8372" spans="1:8">
      <c r="A8372" s="1">
        <v>10000004</v>
      </c>
      <c r="B8372" s="1">
        <v>0</v>
      </c>
      <c r="C8372" s="13" t="s">
        <v>3373</v>
      </c>
      <c r="D8372" s="203" t="s">
        <v>11566</v>
      </c>
      <c r="E8372" s="13" t="s">
        <v>991</v>
      </c>
      <c r="F8372" s="265"/>
      <c r="G8372" s="251"/>
      <c r="H8372" s="251"/>
    </row>
    <row r="8373" spans="1:8">
      <c r="A8373" s="1">
        <v>10000005</v>
      </c>
      <c r="B8373" s="1">
        <v>0</v>
      </c>
      <c r="C8373" s="13" t="s">
        <v>3373</v>
      </c>
      <c r="D8373" s="203" t="s">
        <v>11567</v>
      </c>
      <c r="E8373" s="13" t="s">
        <v>991</v>
      </c>
    </row>
    <row r="8374" spans="1:8">
      <c r="A8374" s="1">
        <v>10000006</v>
      </c>
      <c r="B8374" s="1">
        <v>0</v>
      </c>
      <c r="C8374" s="13" t="s">
        <v>11773</v>
      </c>
      <c r="D8374" s="203" t="s">
        <v>3121</v>
      </c>
      <c r="E8374" s="13" t="s">
        <v>11772</v>
      </c>
    </row>
    <row r="8375" spans="1:8">
      <c r="A8375" s="1">
        <v>10000007</v>
      </c>
      <c r="B8375" s="1">
        <v>0</v>
      </c>
      <c r="C8375" s="13" t="s">
        <v>3324</v>
      </c>
      <c r="D8375" s="203" t="s">
        <v>3123</v>
      </c>
      <c r="E8375" s="13" t="s">
        <v>1377</v>
      </c>
    </row>
    <row r="8376" spans="1:8">
      <c r="A8376" s="1">
        <v>10000008</v>
      </c>
      <c r="B8376" s="1">
        <v>0</v>
      </c>
      <c r="C8376" s="13" t="s">
        <v>3699</v>
      </c>
      <c r="D8376" s="203" t="s">
        <v>3125</v>
      </c>
      <c r="E8376" s="13" t="s">
        <v>628</v>
      </c>
    </row>
    <row r="8377" spans="1:8">
      <c r="A8377" s="1">
        <v>10000009</v>
      </c>
      <c r="B8377" s="1">
        <v>0</v>
      </c>
      <c r="C8377" s="13" t="s">
        <v>3355</v>
      </c>
      <c r="D8377" s="203" t="s">
        <v>3127</v>
      </c>
      <c r="E8377" s="13" t="s">
        <v>599</v>
      </c>
    </row>
    <row r="8378" spans="1:8">
      <c r="A8378" s="1">
        <v>10000010</v>
      </c>
      <c r="B8378" s="1">
        <v>0</v>
      </c>
      <c r="C8378" s="13" t="s">
        <v>3729</v>
      </c>
      <c r="D8378" s="203" t="s">
        <v>11568</v>
      </c>
      <c r="E8378" s="13" t="s">
        <v>653</v>
      </c>
    </row>
    <row r="8379" spans="1:8">
      <c r="A8379" s="1">
        <v>10000011</v>
      </c>
      <c r="B8379" s="1">
        <v>0</v>
      </c>
      <c r="C8379" s="13" t="s">
        <v>3824</v>
      </c>
      <c r="D8379" s="203" t="s">
        <v>11569</v>
      </c>
      <c r="E8379" s="13" t="s">
        <v>1042</v>
      </c>
    </row>
    <row r="8380" spans="1:8">
      <c r="A8380" s="1">
        <v>10000012</v>
      </c>
      <c r="B8380" s="1">
        <v>0</v>
      </c>
      <c r="C8380" s="13" t="s">
        <v>3360</v>
      </c>
      <c r="D8380" s="203" t="s">
        <v>11570</v>
      </c>
      <c r="E8380" s="13" t="s">
        <v>604</v>
      </c>
    </row>
    <row r="8381" spans="1:8">
      <c r="A8381" s="1">
        <v>10000013</v>
      </c>
      <c r="B8381" s="1">
        <v>0</v>
      </c>
      <c r="C8381" s="13" t="s">
        <v>3825</v>
      </c>
      <c r="D8381" s="203" t="s">
        <v>11571</v>
      </c>
      <c r="E8381" s="13" t="s">
        <v>1046</v>
      </c>
    </row>
    <row r="8382" spans="1:8">
      <c r="A8382" s="1">
        <v>10000014</v>
      </c>
      <c r="B8382" s="1">
        <v>0</v>
      </c>
      <c r="C8382" s="13" t="s">
        <v>3350</v>
      </c>
      <c r="D8382" s="203" t="s">
        <v>11572</v>
      </c>
      <c r="E8382" s="13" t="s">
        <v>616</v>
      </c>
    </row>
    <row r="8383" spans="1:8">
      <c r="A8383" s="1">
        <v>10000015</v>
      </c>
      <c r="B8383" s="1">
        <v>0</v>
      </c>
      <c r="C8383" s="13" t="s">
        <v>3350</v>
      </c>
      <c r="D8383" s="203" t="s">
        <v>11573</v>
      </c>
      <c r="E8383" s="13" t="s">
        <v>616</v>
      </c>
    </row>
    <row r="8384" spans="1:8">
      <c r="A8384" s="1">
        <v>10000016</v>
      </c>
      <c r="B8384" s="1">
        <v>0</v>
      </c>
      <c r="C8384" s="13" t="s">
        <v>3350</v>
      </c>
      <c r="D8384" s="203" t="s">
        <v>11574</v>
      </c>
      <c r="E8384" s="13" t="s">
        <v>616</v>
      </c>
    </row>
    <row r="8385" spans="1:5">
      <c r="A8385" s="1">
        <v>10000017</v>
      </c>
      <c r="B8385" s="1">
        <v>0</v>
      </c>
      <c r="C8385" s="13" t="s">
        <v>3699</v>
      </c>
      <c r="D8385" s="203" t="s">
        <v>11575</v>
      </c>
      <c r="E8385" s="13" t="s">
        <v>628</v>
      </c>
    </row>
    <row r="8386" spans="1:5">
      <c r="A8386" s="1">
        <v>10000018</v>
      </c>
      <c r="B8386" s="1">
        <v>0</v>
      </c>
      <c r="C8386" s="13" t="s">
        <v>3699</v>
      </c>
      <c r="D8386" s="203" t="s">
        <v>11576</v>
      </c>
      <c r="E8386" s="13" t="s">
        <v>628</v>
      </c>
    </row>
    <row r="8387" spans="1:5">
      <c r="A8387" s="1">
        <v>10000019</v>
      </c>
      <c r="B8387" s="1">
        <v>0</v>
      </c>
      <c r="C8387" s="13" t="s">
        <v>3825</v>
      </c>
      <c r="D8387" s="203" t="s">
        <v>11577</v>
      </c>
      <c r="E8387" s="13" t="s">
        <v>1046</v>
      </c>
    </row>
    <row r="8388" spans="1:5">
      <c r="A8388" s="1">
        <v>10000020</v>
      </c>
      <c r="B8388" s="1">
        <v>0</v>
      </c>
      <c r="C8388" s="13" t="s">
        <v>11691</v>
      </c>
      <c r="D8388" s="203" t="s">
        <v>11578</v>
      </c>
      <c r="E8388" s="13" t="s">
        <v>11700</v>
      </c>
    </row>
    <row r="8389" spans="1:5">
      <c r="A8389" s="1">
        <v>10000021</v>
      </c>
      <c r="B8389" s="1">
        <v>0</v>
      </c>
      <c r="C8389" s="13" t="s">
        <v>4268</v>
      </c>
      <c r="D8389" s="203" t="s">
        <v>11579</v>
      </c>
      <c r="E8389" s="13" t="s">
        <v>2151</v>
      </c>
    </row>
    <row r="8390" spans="1:5">
      <c r="A8390" s="1">
        <v>10000022</v>
      </c>
      <c r="B8390" s="1">
        <v>0</v>
      </c>
      <c r="C8390" s="13" t="s">
        <v>4268</v>
      </c>
      <c r="D8390" s="75" t="s">
        <v>11580</v>
      </c>
      <c r="E8390" s="13" t="s">
        <v>2151</v>
      </c>
    </row>
    <row r="8391" spans="1:5">
      <c r="A8391" s="1">
        <v>10000023</v>
      </c>
      <c r="B8391" s="1">
        <v>0</v>
      </c>
      <c r="C8391" s="13" t="s">
        <v>11692</v>
      </c>
      <c r="D8391" s="75" t="s">
        <v>11581</v>
      </c>
      <c r="E8391" s="13" t="s">
        <v>11701</v>
      </c>
    </row>
    <row r="8392" spans="1:5">
      <c r="A8392" s="1">
        <v>10000024</v>
      </c>
      <c r="B8392" s="1">
        <v>0</v>
      </c>
      <c r="C8392" s="13" t="s">
        <v>11692</v>
      </c>
      <c r="D8392" s="75" t="s">
        <v>11582</v>
      </c>
      <c r="E8392" s="13" t="s">
        <v>11701</v>
      </c>
    </row>
    <row r="8393" spans="1:5">
      <c r="A8393" s="1">
        <v>10000025</v>
      </c>
      <c r="B8393" s="1">
        <v>0</v>
      </c>
      <c r="C8393" s="13" t="s">
        <v>11693</v>
      </c>
      <c r="D8393" s="75" t="s">
        <v>11583</v>
      </c>
      <c r="E8393" s="13" t="s">
        <v>11702</v>
      </c>
    </row>
    <row r="8394" spans="1:5">
      <c r="A8394" s="1">
        <v>10000026</v>
      </c>
      <c r="B8394" s="1">
        <v>0</v>
      </c>
      <c r="C8394" s="13" t="s">
        <v>11694</v>
      </c>
      <c r="D8394" s="75" t="s">
        <v>11584</v>
      </c>
      <c r="E8394" s="13" t="s">
        <v>11703</v>
      </c>
    </row>
    <row r="8395" spans="1:5">
      <c r="A8395" s="1">
        <v>10000027</v>
      </c>
      <c r="B8395" s="1">
        <v>0</v>
      </c>
      <c r="C8395" s="13" t="s">
        <v>11695</v>
      </c>
      <c r="D8395" s="75" t="s">
        <v>11585</v>
      </c>
      <c r="E8395" s="13" t="s">
        <v>11704</v>
      </c>
    </row>
    <row r="8396" spans="1:5">
      <c r="A8396" s="1">
        <v>10000028</v>
      </c>
      <c r="B8396" s="1">
        <v>0</v>
      </c>
      <c r="C8396" s="13" t="s">
        <v>11705</v>
      </c>
      <c r="D8396" s="203" t="s">
        <v>10327</v>
      </c>
      <c r="E8396" s="13" t="s">
        <v>11709</v>
      </c>
    </row>
    <row r="8397" spans="1:5">
      <c r="A8397" s="1">
        <v>10000029</v>
      </c>
      <c r="B8397" s="1">
        <v>0</v>
      </c>
      <c r="C8397" s="13" t="s">
        <v>11706</v>
      </c>
      <c r="D8397" s="203" t="s">
        <v>10328</v>
      </c>
      <c r="E8397" s="13" t="s">
        <v>11710</v>
      </c>
    </row>
    <row r="8398" spans="1:5">
      <c r="A8398" s="1">
        <v>10000030</v>
      </c>
      <c r="B8398" s="1">
        <v>0</v>
      </c>
      <c r="C8398" s="13" t="s">
        <v>11707</v>
      </c>
      <c r="D8398" s="203" t="s">
        <v>6760</v>
      </c>
      <c r="E8398" s="13" t="s">
        <v>11711</v>
      </c>
    </row>
    <row r="8399" spans="1:5">
      <c r="A8399" s="1">
        <v>10000031</v>
      </c>
      <c r="B8399" s="1">
        <v>0</v>
      </c>
      <c r="C8399" s="13" t="s">
        <v>3375</v>
      </c>
      <c r="D8399" s="203" t="s">
        <v>11586</v>
      </c>
      <c r="E8399" s="13" t="s">
        <v>787</v>
      </c>
    </row>
    <row r="8400" spans="1:5">
      <c r="A8400" s="1">
        <v>10000032</v>
      </c>
      <c r="B8400" s="1">
        <v>0</v>
      </c>
      <c r="C8400" s="13" t="s">
        <v>3375</v>
      </c>
      <c r="D8400" s="203" t="s">
        <v>11587</v>
      </c>
      <c r="E8400" s="13" t="s">
        <v>787</v>
      </c>
    </row>
    <row r="8401" spans="1:5">
      <c r="A8401" s="1">
        <v>10000033</v>
      </c>
      <c r="B8401" s="1">
        <v>0</v>
      </c>
      <c r="C8401" s="13" t="s">
        <v>4265</v>
      </c>
      <c r="D8401" s="203" t="s">
        <v>11588</v>
      </c>
      <c r="E8401" s="13" t="s">
        <v>2135</v>
      </c>
    </row>
    <row r="8402" spans="1:5">
      <c r="A8402" s="1">
        <v>10000034</v>
      </c>
      <c r="B8402" s="1">
        <v>0</v>
      </c>
      <c r="C8402" s="13" t="s">
        <v>10355</v>
      </c>
      <c r="D8402" s="203" t="s">
        <v>11589</v>
      </c>
      <c r="E8402" s="13" t="s">
        <v>10356</v>
      </c>
    </row>
    <row r="8403" spans="1:5">
      <c r="A8403" s="1">
        <v>10000035</v>
      </c>
      <c r="B8403" s="1">
        <v>0</v>
      </c>
      <c r="C8403" s="13" t="s">
        <v>4257</v>
      </c>
      <c r="D8403" s="203" t="s">
        <v>11590</v>
      </c>
      <c r="E8403" s="13" t="s">
        <v>2113</v>
      </c>
    </row>
    <row r="8404" spans="1:5">
      <c r="A8404" s="1">
        <v>10000036</v>
      </c>
      <c r="B8404" s="1">
        <v>0</v>
      </c>
      <c r="C8404" s="13" t="s">
        <v>11708</v>
      </c>
      <c r="D8404" s="203" t="s">
        <v>11591</v>
      </c>
      <c r="E8404" s="13" t="s">
        <v>11712</v>
      </c>
    </row>
    <row r="8405" spans="1:5">
      <c r="A8405" s="1">
        <v>10000037</v>
      </c>
      <c r="B8405" s="1">
        <v>0</v>
      </c>
      <c r="C8405" s="13" t="s">
        <v>4250</v>
      </c>
      <c r="D8405" s="203" t="s">
        <v>11592</v>
      </c>
      <c r="E8405" s="13" t="s">
        <v>2092</v>
      </c>
    </row>
    <row r="8406" spans="1:5">
      <c r="A8406" s="1">
        <v>10000038</v>
      </c>
      <c r="B8406" s="1">
        <v>0</v>
      </c>
      <c r="C8406" s="13" t="s">
        <v>4316</v>
      </c>
      <c r="D8406" s="203" t="s">
        <v>11593</v>
      </c>
      <c r="E8406" s="13" t="s">
        <v>2264</v>
      </c>
    </row>
    <row r="8407" spans="1:5">
      <c r="A8407" s="1">
        <v>10000039</v>
      </c>
      <c r="B8407" s="1">
        <v>0</v>
      </c>
      <c r="C8407" s="13" t="s">
        <v>4315</v>
      </c>
      <c r="D8407" s="203" t="s">
        <v>11594</v>
      </c>
      <c r="E8407" s="13" t="s">
        <v>2262</v>
      </c>
    </row>
    <row r="8408" spans="1:5">
      <c r="A8408" s="1">
        <v>10000040</v>
      </c>
      <c r="B8408" s="1">
        <v>0</v>
      </c>
      <c r="C8408" s="13" t="s">
        <v>4314</v>
      </c>
      <c r="D8408" s="203" t="s">
        <v>11595</v>
      </c>
      <c r="E8408" s="13" t="s">
        <v>2260</v>
      </c>
    </row>
    <row r="8409" spans="1:5">
      <c r="A8409" s="1">
        <v>10000041</v>
      </c>
      <c r="B8409" s="1">
        <v>0</v>
      </c>
      <c r="C8409" s="13" t="s">
        <v>3720</v>
      </c>
      <c r="D8409" s="203" t="s">
        <v>11596</v>
      </c>
      <c r="E8409" s="13" t="s">
        <v>635</v>
      </c>
    </row>
    <row r="8410" spans="1:5">
      <c r="A8410" s="1">
        <v>10000042</v>
      </c>
      <c r="B8410" s="1">
        <v>0</v>
      </c>
      <c r="C8410" s="13" t="s">
        <v>3727</v>
      </c>
      <c r="D8410" s="203" t="s">
        <v>11597</v>
      </c>
      <c r="E8410" s="13" t="s">
        <v>647</v>
      </c>
    </row>
    <row r="8411" spans="1:5">
      <c r="A8411" s="1">
        <v>10000043</v>
      </c>
      <c r="B8411" s="1">
        <v>0</v>
      </c>
      <c r="C8411" s="13" t="s">
        <v>3923</v>
      </c>
      <c r="D8411" s="203" t="s">
        <v>11598</v>
      </c>
      <c r="E8411" s="13" t="s">
        <v>1372</v>
      </c>
    </row>
    <row r="8412" spans="1:5">
      <c r="A8412" s="1">
        <v>10000044</v>
      </c>
      <c r="B8412" s="1">
        <v>0</v>
      </c>
      <c r="C8412" s="13" t="s">
        <v>3841</v>
      </c>
      <c r="D8412" s="203" t="s">
        <v>11599</v>
      </c>
      <c r="E8412" s="13" t="s">
        <v>1138</v>
      </c>
    </row>
    <row r="8413" spans="1:5">
      <c r="A8413" s="1">
        <v>10000045</v>
      </c>
      <c r="B8413" s="1">
        <v>0</v>
      </c>
      <c r="C8413" s="13" t="s">
        <v>3812</v>
      </c>
      <c r="D8413" s="203" t="s">
        <v>11600</v>
      </c>
      <c r="E8413" s="13" t="s">
        <v>999</v>
      </c>
    </row>
    <row r="8414" spans="1:5">
      <c r="A8414" s="1">
        <v>10000046</v>
      </c>
      <c r="B8414" s="1">
        <v>0</v>
      </c>
      <c r="C8414" s="13" t="s">
        <v>3843</v>
      </c>
      <c r="D8414" s="203" t="s">
        <v>11601</v>
      </c>
      <c r="E8414" s="13" t="s">
        <v>1140</v>
      </c>
    </row>
    <row r="8415" spans="1:5">
      <c r="A8415" s="1">
        <v>10000047</v>
      </c>
      <c r="B8415" s="1">
        <v>0</v>
      </c>
      <c r="C8415" s="13" t="s">
        <v>4270</v>
      </c>
      <c r="D8415" s="203" t="s">
        <v>11602</v>
      </c>
      <c r="E8415" s="13" t="s">
        <v>2154</v>
      </c>
    </row>
    <row r="8416" spans="1:5">
      <c r="A8416" s="1">
        <v>10000048</v>
      </c>
      <c r="B8416" s="1">
        <v>0</v>
      </c>
      <c r="C8416" s="13" t="s">
        <v>3844</v>
      </c>
      <c r="D8416" s="203" t="s">
        <v>11603</v>
      </c>
      <c r="E8416" s="13" t="s">
        <v>1141</v>
      </c>
    </row>
    <row r="8417" spans="1:5">
      <c r="A8417" s="1">
        <v>10000049</v>
      </c>
      <c r="B8417" s="1">
        <v>0</v>
      </c>
      <c r="C8417" s="13" t="s">
        <v>11717</v>
      </c>
      <c r="D8417" s="203" t="s">
        <v>10329</v>
      </c>
      <c r="E8417" s="13" t="s">
        <v>11713</v>
      </c>
    </row>
    <row r="8418" spans="1:5">
      <c r="A8418" s="1">
        <v>10000050</v>
      </c>
      <c r="B8418" s="1">
        <v>0</v>
      </c>
      <c r="C8418" s="13" t="s">
        <v>11718</v>
      </c>
      <c r="D8418" s="203" t="s">
        <v>10336</v>
      </c>
      <c r="E8418" s="13" t="s">
        <v>11714</v>
      </c>
    </row>
    <row r="8419" spans="1:5">
      <c r="A8419" s="1">
        <v>10000051</v>
      </c>
      <c r="B8419" s="1">
        <v>0</v>
      </c>
      <c r="C8419" s="13" t="s">
        <v>11719</v>
      </c>
      <c r="D8419" s="203" t="s">
        <v>6760</v>
      </c>
      <c r="E8419" s="13" t="s">
        <v>11715</v>
      </c>
    </row>
    <row r="8420" spans="1:5">
      <c r="A8420" s="1">
        <v>10000052</v>
      </c>
      <c r="B8420" s="1">
        <v>0</v>
      </c>
      <c r="C8420" s="13" t="s">
        <v>3378</v>
      </c>
      <c r="D8420" s="203" t="s">
        <v>11604</v>
      </c>
      <c r="E8420" s="13" t="s">
        <v>795</v>
      </c>
    </row>
    <row r="8421" spans="1:5">
      <c r="A8421" s="1">
        <v>10000053</v>
      </c>
      <c r="B8421" s="1">
        <v>0</v>
      </c>
      <c r="C8421" s="13" t="s">
        <v>3378</v>
      </c>
      <c r="D8421" s="203" t="s">
        <v>11605</v>
      </c>
      <c r="E8421" s="13" t="s">
        <v>795</v>
      </c>
    </row>
    <row r="8422" spans="1:5">
      <c r="A8422" s="1">
        <v>10000054</v>
      </c>
      <c r="B8422" s="1">
        <v>0</v>
      </c>
      <c r="C8422" s="13" t="s">
        <v>4947</v>
      </c>
      <c r="D8422" s="203" t="s">
        <v>10330</v>
      </c>
      <c r="E8422" s="13" t="s">
        <v>4946</v>
      </c>
    </row>
    <row r="8423" spans="1:5">
      <c r="A8423" s="1">
        <v>10000055</v>
      </c>
      <c r="B8423" s="1">
        <v>0</v>
      </c>
      <c r="C8423" s="13" t="s">
        <v>4947</v>
      </c>
      <c r="D8423" s="203" t="s">
        <v>10331</v>
      </c>
      <c r="E8423" s="13" t="s">
        <v>4946</v>
      </c>
    </row>
    <row r="8424" spans="1:5">
      <c r="A8424" s="1">
        <v>10000056</v>
      </c>
      <c r="B8424" s="1">
        <v>0</v>
      </c>
      <c r="C8424" s="13" t="s">
        <v>11385</v>
      </c>
      <c r="D8424" s="203" t="s">
        <v>10332</v>
      </c>
      <c r="E8424" s="13" t="s">
        <v>11387</v>
      </c>
    </row>
    <row r="8425" spans="1:5">
      <c r="A8425" s="1">
        <v>10000057</v>
      </c>
      <c r="B8425" s="1">
        <v>0</v>
      </c>
      <c r="C8425" s="13" t="s">
        <v>11385</v>
      </c>
      <c r="D8425" s="203" t="s">
        <v>10333</v>
      </c>
      <c r="E8425" s="13" t="s">
        <v>11387</v>
      </c>
    </row>
    <row r="8426" spans="1:5">
      <c r="A8426" s="1">
        <v>10000058</v>
      </c>
      <c r="B8426" s="1">
        <v>0</v>
      </c>
      <c r="C8426" s="13" t="s">
        <v>11720</v>
      </c>
      <c r="D8426" s="203" t="s">
        <v>10353</v>
      </c>
      <c r="E8426" s="13" t="s">
        <v>11716</v>
      </c>
    </row>
    <row r="8427" spans="1:5">
      <c r="A8427" s="1">
        <v>10000059</v>
      </c>
      <c r="B8427" s="1">
        <v>0</v>
      </c>
      <c r="C8427" s="13" t="s">
        <v>4605</v>
      </c>
      <c r="D8427" s="203" t="s">
        <v>10341</v>
      </c>
      <c r="E8427" s="13" t="s">
        <v>3205</v>
      </c>
    </row>
    <row r="8428" spans="1:5">
      <c r="A8428" s="1">
        <v>10000060</v>
      </c>
      <c r="B8428" s="1">
        <v>0</v>
      </c>
      <c r="C8428" s="13" t="s">
        <v>6921</v>
      </c>
      <c r="D8428" s="203" t="s">
        <v>10342</v>
      </c>
      <c r="E8428" s="13" t="s">
        <v>6981</v>
      </c>
    </row>
    <row r="8429" spans="1:5">
      <c r="A8429" s="1">
        <v>10000061</v>
      </c>
      <c r="B8429" s="1">
        <v>0</v>
      </c>
      <c r="C8429" s="13" t="s">
        <v>6922</v>
      </c>
      <c r="D8429" s="203" t="s">
        <v>11606</v>
      </c>
      <c r="E8429" s="13" t="s">
        <v>6982</v>
      </c>
    </row>
    <row r="8430" spans="1:5">
      <c r="A8430" s="1">
        <v>10000062</v>
      </c>
      <c r="B8430" s="1">
        <v>0</v>
      </c>
      <c r="C8430" s="13" t="s">
        <v>4438</v>
      </c>
      <c r="D8430" s="203" t="s">
        <v>11607</v>
      </c>
      <c r="E8430" s="13" t="s">
        <v>2685</v>
      </c>
    </row>
    <row r="8431" spans="1:5">
      <c r="A8431" s="1">
        <v>10000063</v>
      </c>
      <c r="B8431" s="1">
        <v>0</v>
      </c>
      <c r="C8431" s="13" t="s">
        <v>3345</v>
      </c>
      <c r="D8431" s="203" t="s">
        <v>11608</v>
      </c>
      <c r="E8431" s="13" t="s">
        <v>2689</v>
      </c>
    </row>
    <row r="8432" spans="1:5">
      <c r="A8432" s="1">
        <v>10000064</v>
      </c>
      <c r="B8432" s="1">
        <v>0</v>
      </c>
      <c r="C8432" s="13" t="s">
        <v>3808</v>
      </c>
      <c r="D8432" s="203" t="s">
        <v>11609</v>
      </c>
      <c r="E8432" s="13" t="s">
        <v>942</v>
      </c>
    </row>
    <row r="8433" spans="1:5">
      <c r="A8433" s="1">
        <v>10000065</v>
      </c>
      <c r="B8433" s="1">
        <v>0</v>
      </c>
      <c r="C8433" s="13" t="s">
        <v>6922</v>
      </c>
      <c r="D8433" s="203" t="s">
        <v>11610</v>
      </c>
      <c r="E8433" s="13" t="s">
        <v>6982</v>
      </c>
    </row>
    <row r="8434" spans="1:5">
      <c r="A8434" s="1">
        <v>10000066</v>
      </c>
      <c r="B8434" s="1">
        <v>0</v>
      </c>
      <c r="C8434" s="13" t="s">
        <v>4438</v>
      </c>
      <c r="D8434" s="203" t="s">
        <v>11611</v>
      </c>
      <c r="E8434" s="13" t="s">
        <v>2685</v>
      </c>
    </row>
    <row r="8435" spans="1:5">
      <c r="A8435" s="1">
        <v>10000067</v>
      </c>
      <c r="B8435" s="1">
        <v>0</v>
      </c>
      <c r="C8435" s="13" t="s">
        <v>3808</v>
      </c>
      <c r="D8435" s="203" t="s">
        <v>11612</v>
      </c>
      <c r="E8435" s="13" t="s">
        <v>942</v>
      </c>
    </row>
    <row r="8436" spans="1:5">
      <c r="A8436" s="1">
        <v>10000068</v>
      </c>
      <c r="B8436" s="1">
        <v>0</v>
      </c>
      <c r="C8436" s="13" t="s">
        <v>4446</v>
      </c>
      <c r="D8436" s="203" t="s">
        <v>11613</v>
      </c>
      <c r="E8436" s="13" t="s">
        <v>2704</v>
      </c>
    </row>
    <row r="8437" spans="1:5">
      <c r="A8437" s="1">
        <v>10000069</v>
      </c>
      <c r="B8437" s="1">
        <v>0</v>
      </c>
      <c r="C8437" s="13" t="s">
        <v>11780</v>
      </c>
      <c r="D8437" s="203" t="s">
        <v>10337</v>
      </c>
      <c r="E8437" s="13" t="s">
        <v>11782</v>
      </c>
    </row>
    <row r="8438" spans="1:5">
      <c r="A8438" s="1">
        <v>10000070</v>
      </c>
      <c r="B8438" s="1">
        <v>0</v>
      </c>
      <c r="C8438" s="13" t="s">
        <v>11781</v>
      </c>
      <c r="D8438" s="203" t="s">
        <v>10343</v>
      </c>
      <c r="E8438" s="13" t="s">
        <v>11783</v>
      </c>
    </row>
    <row r="8439" spans="1:5">
      <c r="A8439" s="1">
        <v>10000071</v>
      </c>
      <c r="B8439" s="1">
        <v>0</v>
      </c>
      <c r="C8439" s="13" t="s">
        <v>11721</v>
      </c>
      <c r="D8439" s="203" t="s">
        <v>6760</v>
      </c>
      <c r="E8439" s="13" t="s">
        <v>11724</v>
      </c>
    </row>
    <row r="8440" spans="1:5">
      <c r="A8440" s="1">
        <v>10000072</v>
      </c>
      <c r="B8440" s="1">
        <v>0</v>
      </c>
      <c r="C8440" s="13" t="s">
        <v>3765</v>
      </c>
      <c r="D8440" s="203" t="s">
        <v>11614</v>
      </c>
      <c r="E8440" s="13" t="s">
        <v>803</v>
      </c>
    </row>
    <row r="8441" spans="1:5">
      <c r="A8441" s="1">
        <v>10000073</v>
      </c>
      <c r="B8441" s="1">
        <v>0</v>
      </c>
      <c r="C8441" s="13" t="s">
        <v>3765</v>
      </c>
      <c r="D8441" s="203" t="s">
        <v>11615</v>
      </c>
      <c r="E8441" s="13" t="s">
        <v>803</v>
      </c>
    </row>
    <row r="8442" spans="1:5">
      <c r="A8442" s="1">
        <v>10000074</v>
      </c>
      <c r="B8442" s="1">
        <v>0</v>
      </c>
      <c r="C8442" s="13" t="s">
        <v>6944</v>
      </c>
      <c r="D8442" s="203" t="s">
        <v>11616</v>
      </c>
      <c r="E8442" s="13" t="s">
        <v>7004</v>
      </c>
    </row>
    <row r="8443" spans="1:5">
      <c r="A8443" s="1">
        <v>10000075</v>
      </c>
      <c r="B8443" s="1">
        <v>0</v>
      </c>
      <c r="C8443" s="13" t="s">
        <v>7159</v>
      </c>
      <c r="D8443" s="203" t="s">
        <v>11617</v>
      </c>
      <c r="E8443" s="13" t="s">
        <v>7167</v>
      </c>
    </row>
    <row r="8444" spans="1:5">
      <c r="A8444" s="1">
        <v>10000076</v>
      </c>
      <c r="B8444" s="1">
        <v>0</v>
      </c>
      <c r="C8444" s="13" t="s">
        <v>11722</v>
      </c>
      <c r="D8444" s="203" t="s">
        <v>11618</v>
      </c>
      <c r="E8444" s="13" t="s">
        <v>11725</v>
      </c>
    </row>
    <row r="8445" spans="1:5">
      <c r="A8445" s="1">
        <v>10000077</v>
      </c>
      <c r="B8445" s="1">
        <v>0</v>
      </c>
      <c r="C8445" s="13" t="s">
        <v>11722</v>
      </c>
      <c r="D8445" s="203" t="s">
        <v>11619</v>
      </c>
      <c r="E8445" s="13" t="s">
        <v>11725</v>
      </c>
    </row>
    <row r="8446" spans="1:5">
      <c r="A8446" s="1">
        <v>10000078</v>
      </c>
      <c r="B8446" s="1">
        <v>0</v>
      </c>
      <c r="C8446" s="13" t="s">
        <v>10334</v>
      </c>
      <c r="D8446" s="203" t="s">
        <v>11620</v>
      </c>
      <c r="E8446" s="13" t="s">
        <v>10335</v>
      </c>
    </row>
    <row r="8447" spans="1:5">
      <c r="A8447" s="1">
        <v>10000079</v>
      </c>
      <c r="B8447" s="1">
        <v>0</v>
      </c>
      <c r="C8447" s="13" t="s">
        <v>6927</v>
      </c>
      <c r="D8447" s="203" t="s">
        <v>11621</v>
      </c>
      <c r="E8447" s="13" t="s">
        <v>6987</v>
      </c>
    </row>
    <row r="8448" spans="1:5">
      <c r="A8448" s="1">
        <v>10000080</v>
      </c>
      <c r="B8448" s="1">
        <v>0</v>
      </c>
      <c r="C8448" s="13" t="s">
        <v>6944</v>
      </c>
      <c r="D8448" s="203" t="s">
        <v>11622</v>
      </c>
      <c r="E8448" s="13" t="s">
        <v>7004</v>
      </c>
    </row>
    <row r="8449" spans="1:5">
      <c r="A8449" s="1">
        <v>10000081</v>
      </c>
      <c r="B8449" s="1">
        <v>0</v>
      </c>
      <c r="C8449" s="13" t="s">
        <v>6944</v>
      </c>
      <c r="D8449" s="203" t="s">
        <v>11623</v>
      </c>
      <c r="E8449" s="13" t="s">
        <v>7004</v>
      </c>
    </row>
    <row r="8450" spans="1:5">
      <c r="A8450" s="1">
        <v>10000082</v>
      </c>
      <c r="B8450" s="1">
        <v>0</v>
      </c>
      <c r="C8450" s="13" t="s">
        <v>11722</v>
      </c>
      <c r="D8450" s="203" t="s">
        <v>11624</v>
      </c>
      <c r="E8450" s="13" t="s">
        <v>11725</v>
      </c>
    </row>
    <row r="8451" spans="1:5">
      <c r="A8451" s="1">
        <v>10000083</v>
      </c>
      <c r="B8451" s="1">
        <v>0</v>
      </c>
      <c r="C8451" s="13" t="s">
        <v>11723</v>
      </c>
      <c r="D8451" s="203" t="s">
        <v>11625</v>
      </c>
      <c r="E8451" s="13" t="s">
        <v>11726</v>
      </c>
    </row>
    <row r="8452" spans="1:5">
      <c r="A8452" s="1">
        <v>10000084</v>
      </c>
      <c r="B8452" s="1">
        <v>0</v>
      </c>
      <c r="C8452" s="13" t="s">
        <v>9135</v>
      </c>
      <c r="D8452" s="203" t="s">
        <v>11626</v>
      </c>
      <c r="E8452" s="13" t="s">
        <v>9136</v>
      </c>
    </row>
    <row r="8453" spans="1:5">
      <c r="A8453" s="1">
        <v>10000085</v>
      </c>
      <c r="B8453" s="1">
        <v>0</v>
      </c>
      <c r="C8453" s="13" t="s">
        <v>11288</v>
      </c>
      <c r="D8453" s="203" t="s">
        <v>11627</v>
      </c>
      <c r="E8453" s="13" t="s">
        <v>11295</v>
      </c>
    </row>
    <row r="8454" spans="1:5">
      <c r="A8454" s="1">
        <v>10000086</v>
      </c>
      <c r="B8454" s="1">
        <v>0</v>
      </c>
      <c r="C8454" s="13" t="s">
        <v>6924</v>
      </c>
      <c r="D8454" s="203" t="s">
        <v>11628</v>
      </c>
      <c r="E8454" s="13" t="s">
        <v>6984</v>
      </c>
    </row>
    <row r="8455" spans="1:5">
      <c r="A8455" s="1">
        <v>10000087</v>
      </c>
      <c r="B8455" s="1">
        <v>0</v>
      </c>
      <c r="C8455" s="13" t="s">
        <v>6925</v>
      </c>
      <c r="D8455" s="203" t="s">
        <v>11629</v>
      </c>
      <c r="E8455" s="13" t="s">
        <v>6985</v>
      </c>
    </row>
    <row r="8456" spans="1:5">
      <c r="A8456" s="1">
        <v>10000088</v>
      </c>
      <c r="B8456" s="1">
        <v>0</v>
      </c>
      <c r="C8456" s="13" t="s">
        <v>6926</v>
      </c>
      <c r="D8456" s="203" t="s">
        <v>11630</v>
      </c>
      <c r="E8456" s="13" t="s">
        <v>6986</v>
      </c>
    </row>
    <row r="8457" spans="1:5">
      <c r="A8457" s="1">
        <v>10000089</v>
      </c>
      <c r="B8457" s="1">
        <v>0</v>
      </c>
      <c r="C8457" s="13" t="s">
        <v>6927</v>
      </c>
      <c r="D8457" s="203" t="s">
        <v>11631</v>
      </c>
      <c r="E8457" s="13" t="s">
        <v>6987</v>
      </c>
    </row>
    <row r="8458" spans="1:5">
      <c r="A8458" s="1">
        <v>10000090</v>
      </c>
      <c r="B8458" s="1">
        <v>0</v>
      </c>
      <c r="C8458" s="13" t="s">
        <v>6940</v>
      </c>
      <c r="D8458" s="203" t="s">
        <v>11632</v>
      </c>
      <c r="E8458" s="13" t="s">
        <v>7000</v>
      </c>
    </row>
    <row r="8459" spans="1:5">
      <c r="A8459" s="1">
        <v>10000091</v>
      </c>
      <c r="B8459" s="1">
        <v>0</v>
      </c>
      <c r="C8459" s="13" t="s">
        <v>7137</v>
      </c>
      <c r="D8459" s="203" t="s">
        <v>11633</v>
      </c>
      <c r="E8459" s="13" t="s">
        <v>7140</v>
      </c>
    </row>
    <row r="8460" spans="1:5">
      <c r="A8460" s="1">
        <v>10000092</v>
      </c>
      <c r="B8460" s="1">
        <v>0</v>
      </c>
      <c r="C8460" s="13" t="s">
        <v>11288</v>
      </c>
      <c r="D8460" s="203" t="s">
        <v>11634</v>
      </c>
      <c r="E8460" s="13" t="s">
        <v>11295</v>
      </c>
    </row>
    <row r="8461" spans="1:5">
      <c r="A8461" s="1">
        <v>10000093</v>
      </c>
      <c r="B8461" s="1">
        <v>0</v>
      </c>
      <c r="C8461" s="13" t="s">
        <v>6924</v>
      </c>
      <c r="D8461" s="203" t="s">
        <v>11635</v>
      </c>
      <c r="E8461" s="13" t="s">
        <v>6984</v>
      </c>
    </row>
    <row r="8462" spans="1:5">
      <c r="A8462" s="1">
        <v>10000094</v>
      </c>
      <c r="B8462" s="1">
        <v>0</v>
      </c>
      <c r="C8462" s="13" t="s">
        <v>6925</v>
      </c>
      <c r="D8462" s="203" t="s">
        <v>11636</v>
      </c>
      <c r="E8462" s="13" t="s">
        <v>6985</v>
      </c>
    </row>
    <row r="8463" spans="1:5">
      <c r="A8463" s="1">
        <v>10000095</v>
      </c>
      <c r="B8463" s="1">
        <v>0</v>
      </c>
      <c r="C8463" s="13" t="s">
        <v>6926</v>
      </c>
      <c r="D8463" s="203" t="s">
        <v>11637</v>
      </c>
      <c r="E8463" s="13" t="s">
        <v>6986</v>
      </c>
    </row>
    <row r="8464" spans="1:5">
      <c r="A8464" s="1">
        <v>10000096</v>
      </c>
      <c r="B8464" s="1">
        <v>0</v>
      </c>
      <c r="C8464" s="13" t="s">
        <v>11727</v>
      </c>
      <c r="D8464" s="203" t="s">
        <v>10344</v>
      </c>
      <c r="E8464" s="13" t="s">
        <v>11731</v>
      </c>
    </row>
    <row r="8465" spans="1:5">
      <c r="A8465" s="1">
        <v>10000097</v>
      </c>
      <c r="B8465" s="1">
        <v>0</v>
      </c>
      <c r="C8465" s="13" t="s">
        <v>11728</v>
      </c>
      <c r="D8465" s="203" t="s">
        <v>11638</v>
      </c>
      <c r="E8465" s="13" t="s">
        <v>11732</v>
      </c>
    </row>
    <row r="8466" spans="1:5">
      <c r="A8466" s="1">
        <v>10000098</v>
      </c>
      <c r="B8466" s="1">
        <v>0</v>
      </c>
      <c r="C8466" s="13" t="s">
        <v>11729</v>
      </c>
      <c r="D8466" s="203" t="s">
        <v>6760</v>
      </c>
      <c r="E8466" s="13" t="s">
        <v>11733</v>
      </c>
    </row>
    <row r="8467" spans="1:5">
      <c r="A8467" s="1">
        <v>10000099</v>
      </c>
      <c r="B8467" s="1">
        <v>0</v>
      </c>
      <c r="C8467" s="13" t="s">
        <v>3380</v>
      </c>
      <c r="D8467" s="203" t="s">
        <v>11639</v>
      </c>
      <c r="E8467" s="13" t="s">
        <v>811</v>
      </c>
    </row>
    <row r="8468" spans="1:5">
      <c r="A8468" s="1">
        <v>10000100</v>
      </c>
      <c r="B8468" s="1">
        <v>0</v>
      </c>
      <c r="C8468" s="13" t="s">
        <v>3380</v>
      </c>
      <c r="D8468" s="203" t="s">
        <v>11640</v>
      </c>
      <c r="E8468" s="13" t="s">
        <v>811</v>
      </c>
    </row>
    <row r="8469" spans="1:5">
      <c r="A8469" s="1">
        <v>10000101</v>
      </c>
      <c r="B8469" s="1">
        <v>0</v>
      </c>
      <c r="C8469" s="13" t="s">
        <v>6915</v>
      </c>
      <c r="D8469" s="203" t="s">
        <v>10338</v>
      </c>
      <c r="E8469" s="13" t="s">
        <v>6975</v>
      </c>
    </row>
    <row r="8470" spans="1:5">
      <c r="A8470" s="1">
        <v>10000102</v>
      </c>
      <c r="B8470" s="1">
        <v>0</v>
      </c>
      <c r="C8470" s="13" t="s">
        <v>6964</v>
      </c>
      <c r="D8470" s="203" t="s">
        <v>10339</v>
      </c>
      <c r="E8470" s="13" t="s">
        <v>7024</v>
      </c>
    </row>
    <row r="8471" spans="1:5">
      <c r="A8471" s="1">
        <v>10000103</v>
      </c>
      <c r="B8471" s="1">
        <v>0</v>
      </c>
      <c r="C8471" s="13" t="s">
        <v>6963</v>
      </c>
      <c r="D8471" s="203" t="s">
        <v>11641</v>
      </c>
      <c r="E8471" s="13" t="s">
        <v>7023</v>
      </c>
    </row>
    <row r="8472" spans="1:5">
      <c r="A8472" s="1">
        <v>10000104</v>
      </c>
      <c r="B8472" s="1">
        <v>0</v>
      </c>
      <c r="C8472" s="13" t="s">
        <v>11730</v>
      </c>
      <c r="D8472" s="203" t="s">
        <v>11642</v>
      </c>
      <c r="E8472" s="13" t="s">
        <v>11734</v>
      </c>
    </row>
    <row r="8473" spans="1:5">
      <c r="A8473" s="1">
        <v>10000105</v>
      </c>
      <c r="B8473" s="1">
        <v>0</v>
      </c>
      <c r="C8473" s="13" t="s">
        <v>7160</v>
      </c>
      <c r="D8473" s="203" t="s">
        <v>11643</v>
      </c>
      <c r="E8473" s="13" t="s">
        <v>7168</v>
      </c>
    </row>
    <row r="8474" spans="1:5">
      <c r="A8474" s="1">
        <v>10000106</v>
      </c>
      <c r="B8474" s="1">
        <v>0</v>
      </c>
      <c r="C8474" s="13" t="s">
        <v>6945</v>
      </c>
      <c r="D8474" s="203" t="s">
        <v>11644</v>
      </c>
      <c r="E8474" s="13" t="s">
        <v>7005</v>
      </c>
    </row>
    <row r="8475" spans="1:5">
      <c r="A8475" s="1">
        <v>10000107</v>
      </c>
      <c r="B8475" s="1">
        <v>0</v>
      </c>
      <c r="C8475" s="13" t="s">
        <v>4247</v>
      </c>
      <c r="D8475" s="203" t="s">
        <v>11645</v>
      </c>
      <c r="E8475" s="13" t="s">
        <v>2084</v>
      </c>
    </row>
    <row r="8476" spans="1:5">
      <c r="A8476" s="1">
        <v>10000108</v>
      </c>
      <c r="B8476" s="1">
        <v>0</v>
      </c>
      <c r="C8476" s="13" t="s">
        <v>6946</v>
      </c>
      <c r="D8476" s="203" t="s">
        <v>11646</v>
      </c>
      <c r="E8476" s="13" t="s">
        <v>7006</v>
      </c>
    </row>
    <row r="8477" spans="1:5">
      <c r="A8477" s="1">
        <v>10000109</v>
      </c>
      <c r="B8477" s="1">
        <v>0</v>
      </c>
      <c r="C8477" s="13" t="s">
        <v>4249</v>
      </c>
      <c r="D8477" s="203" t="s">
        <v>11647</v>
      </c>
      <c r="E8477" s="13" t="s">
        <v>2090</v>
      </c>
    </row>
    <row r="8478" spans="1:5">
      <c r="A8478" s="1">
        <v>10000110</v>
      </c>
      <c r="B8478" s="1">
        <v>0</v>
      </c>
      <c r="C8478" s="13" t="s">
        <v>6947</v>
      </c>
      <c r="D8478" s="203" t="s">
        <v>11648</v>
      </c>
      <c r="E8478" s="13" t="s">
        <v>7007</v>
      </c>
    </row>
    <row r="8479" spans="1:5">
      <c r="A8479" s="1">
        <v>10000111</v>
      </c>
      <c r="B8479" s="1">
        <v>0</v>
      </c>
      <c r="C8479" s="13" t="s">
        <v>6947</v>
      </c>
      <c r="D8479" s="203" t="s">
        <v>11649</v>
      </c>
      <c r="E8479" s="13" t="s">
        <v>7007</v>
      </c>
    </row>
    <row r="8480" spans="1:5">
      <c r="A8480" s="1">
        <v>10000112</v>
      </c>
      <c r="B8480" s="1">
        <v>0</v>
      </c>
      <c r="C8480" s="13" t="s">
        <v>6947</v>
      </c>
      <c r="D8480" s="203" t="s">
        <v>11650</v>
      </c>
      <c r="E8480" s="13" t="s">
        <v>7007</v>
      </c>
    </row>
    <row r="8481" spans="1:5">
      <c r="A8481" s="1">
        <v>10000113</v>
      </c>
      <c r="B8481" s="1">
        <v>0</v>
      </c>
      <c r="C8481" s="13" t="s">
        <v>3748</v>
      </c>
      <c r="D8481" s="203" t="s">
        <v>11651</v>
      </c>
      <c r="E8481" s="13" t="s">
        <v>727</v>
      </c>
    </row>
    <row r="8482" spans="1:5">
      <c r="A8482" s="1">
        <v>10000114</v>
      </c>
      <c r="B8482" s="1">
        <v>0</v>
      </c>
      <c r="C8482" s="13" t="s">
        <v>3752</v>
      </c>
      <c r="D8482" s="203" t="s">
        <v>11652</v>
      </c>
      <c r="E8482" s="13" t="s">
        <v>737</v>
      </c>
    </row>
    <row r="8483" spans="1:5">
      <c r="A8483" s="1">
        <v>10000115</v>
      </c>
      <c r="B8483" s="1">
        <v>0</v>
      </c>
      <c r="C8483" s="13" t="s">
        <v>4248</v>
      </c>
      <c r="D8483" s="203" t="s">
        <v>11653</v>
      </c>
      <c r="E8483" s="13" t="s">
        <v>2086</v>
      </c>
    </row>
    <row r="8484" spans="1:5">
      <c r="A8484" s="1">
        <v>10000116</v>
      </c>
      <c r="B8484" s="1">
        <v>0</v>
      </c>
      <c r="C8484" s="13" t="s">
        <v>4281</v>
      </c>
      <c r="D8484" s="203" t="s">
        <v>11654</v>
      </c>
      <c r="E8484" s="13" t="s">
        <v>2169</v>
      </c>
    </row>
    <row r="8485" spans="1:5">
      <c r="A8485" s="1">
        <v>10000117</v>
      </c>
      <c r="B8485" s="1">
        <v>0</v>
      </c>
      <c r="C8485" s="13" t="s">
        <v>4252</v>
      </c>
      <c r="D8485" s="203" t="s">
        <v>11655</v>
      </c>
      <c r="E8485" s="13" t="s">
        <v>2098</v>
      </c>
    </row>
    <row r="8486" spans="1:5">
      <c r="A8486" s="1">
        <v>10000118</v>
      </c>
      <c r="B8486" s="1">
        <v>0</v>
      </c>
      <c r="C8486" s="13" t="s">
        <v>4252</v>
      </c>
      <c r="D8486" s="203" t="s">
        <v>11656</v>
      </c>
      <c r="E8486" s="13" t="s">
        <v>2098</v>
      </c>
    </row>
    <row r="8487" spans="1:5">
      <c r="A8487" s="1">
        <v>10000119</v>
      </c>
      <c r="B8487" s="1">
        <v>0</v>
      </c>
      <c r="C8487" s="13" t="s">
        <v>11735</v>
      </c>
      <c r="D8487" s="203" t="s">
        <v>10354</v>
      </c>
      <c r="E8487" s="13" t="s">
        <v>11745</v>
      </c>
    </row>
    <row r="8488" spans="1:5">
      <c r="A8488" s="1">
        <v>10000120</v>
      </c>
      <c r="B8488" s="1">
        <v>0</v>
      </c>
      <c r="C8488" s="13" t="s">
        <v>11736</v>
      </c>
      <c r="D8488" s="203" t="s">
        <v>11657</v>
      </c>
      <c r="E8488" s="13" t="s">
        <v>11746</v>
      </c>
    </row>
    <row r="8489" spans="1:5">
      <c r="A8489" s="1">
        <v>10000121</v>
      </c>
      <c r="B8489" s="1">
        <v>0</v>
      </c>
      <c r="C8489" s="13" t="s">
        <v>11737</v>
      </c>
      <c r="D8489" s="203" t="s">
        <v>6760</v>
      </c>
      <c r="E8489" s="13" t="s">
        <v>11747</v>
      </c>
    </row>
    <row r="8490" spans="1:5">
      <c r="A8490" s="1">
        <v>10000122</v>
      </c>
      <c r="B8490" s="1">
        <v>0</v>
      </c>
      <c r="C8490" s="13" t="s">
        <v>3770</v>
      </c>
      <c r="D8490" s="203" t="s">
        <v>11658</v>
      </c>
      <c r="E8490" s="13" t="s">
        <v>817</v>
      </c>
    </row>
    <row r="8491" spans="1:5">
      <c r="A8491" s="1">
        <v>10000123</v>
      </c>
      <c r="B8491" s="1">
        <v>0</v>
      </c>
      <c r="C8491" s="13" t="s">
        <v>3770</v>
      </c>
      <c r="D8491" s="203" t="s">
        <v>11659</v>
      </c>
      <c r="E8491" s="13" t="s">
        <v>817</v>
      </c>
    </row>
    <row r="8492" spans="1:5">
      <c r="A8492" s="1">
        <v>10000124</v>
      </c>
      <c r="B8492" s="1">
        <v>0</v>
      </c>
      <c r="C8492" s="13" t="s">
        <v>4947</v>
      </c>
      <c r="D8492" s="203" t="s">
        <v>10345</v>
      </c>
      <c r="E8492" s="13" t="s">
        <v>4946</v>
      </c>
    </row>
    <row r="8493" spans="1:5">
      <c r="A8493" s="1">
        <v>10000125</v>
      </c>
      <c r="B8493" s="1">
        <v>0</v>
      </c>
      <c r="C8493" s="13" t="s">
        <v>11385</v>
      </c>
      <c r="D8493" s="203" t="s">
        <v>10346</v>
      </c>
      <c r="E8493" s="13" t="s">
        <v>11387</v>
      </c>
    </row>
    <row r="8494" spans="1:5">
      <c r="A8494" s="1">
        <v>10000126</v>
      </c>
      <c r="B8494" s="1">
        <v>0</v>
      </c>
      <c r="C8494" s="13" t="s">
        <v>11385</v>
      </c>
      <c r="D8494" s="203" t="s">
        <v>10347</v>
      </c>
      <c r="E8494" s="13" t="s">
        <v>11387</v>
      </c>
    </row>
    <row r="8495" spans="1:5">
      <c r="A8495" s="1">
        <v>10000127</v>
      </c>
      <c r="B8495" s="1">
        <v>0</v>
      </c>
      <c r="C8495" s="13" t="s">
        <v>11385</v>
      </c>
      <c r="D8495" s="203" t="s">
        <v>10348</v>
      </c>
      <c r="E8495" s="13" t="s">
        <v>11387</v>
      </c>
    </row>
    <row r="8496" spans="1:5">
      <c r="A8496" s="1">
        <v>10000128</v>
      </c>
      <c r="B8496" s="1">
        <v>0</v>
      </c>
      <c r="C8496" s="13" t="s">
        <v>11720</v>
      </c>
      <c r="D8496" s="203" t="s">
        <v>10349</v>
      </c>
      <c r="E8496" s="13" t="s">
        <v>11716</v>
      </c>
    </row>
    <row r="8497" spans="1:5">
      <c r="A8497" s="1">
        <v>10000129</v>
      </c>
      <c r="B8497" s="1">
        <v>0</v>
      </c>
      <c r="C8497" s="13" t="s">
        <v>11738</v>
      </c>
      <c r="D8497" s="203" t="s">
        <v>10350</v>
      </c>
      <c r="E8497" s="13" t="s">
        <v>11748</v>
      </c>
    </row>
    <row r="8498" spans="1:5">
      <c r="A8498" s="1">
        <v>10000130</v>
      </c>
      <c r="B8498" s="1">
        <v>0</v>
      </c>
      <c r="C8498" s="13" t="s">
        <v>7139</v>
      </c>
      <c r="D8498" s="203" t="s">
        <v>11660</v>
      </c>
      <c r="E8498" s="13" t="s">
        <v>7142</v>
      </c>
    </row>
    <row r="8499" spans="1:5">
      <c r="A8499" s="1">
        <v>10000131</v>
      </c>
      <c r="B8499" s="1">
        <v>0</v>
      </c>
      <c r="C8499" s="13" t="s">
        <v>11739</v>
      </c>
      <c r="D8499" s="203" t="s">
        <v>11661</v>
      </c>
      <c r="E8499" s="13" t="s">
        <v>11749</v>
      </c>
    </row>
    <row r="8500" spans="1:5">
      <c r="A8500" s="1">
        <v>10000132</v>
      </c>
      <c r="B8500" s="1">
        <v>0</v>
      </c>
      <c r="C8500" s="13" t="s">
        <v>11740</v>
      </c>
      <c r="D8500" s="203" t="s">
        <v>11662</v>
      </c>
      <c r="E8500" s="13" t="s">
        <v>11750</v>
      </c>
    </row>
    <row r="8501" spans="1:5">
      <c r="A8501" s="1">
        <v>10000133</v>
      </c>
      <c r="B8501" s="1">
        <v>0</v>
      </c>
      <c r="C8501" s="13" t="s">
        <v>11741</v>
      </c>
      <c r="D8501" s="203" t="s">
        <v>11663</v>
      </c>
      <c r="E8501" s="13" t="s">
        <v>11751</v>
      </c>
    </row>
    <row r="8502" spans="1:5">
      <c r="A8502" s="1">
        <v>10000134</v>
      </c>
      <c r="B8502" s="1">
        <v>0</v>
      </c>
      <c r="C8502" s="13" t="s">
        <v>11742</v>
      </c>
      <c r="D8502" s="203" t="s">
        <v>11664</v>
      </c>
      <c r="E8502" s="13" t="s">
        <v>11752</v>
      </c>
    </row>
    <row r="8503" spans="1:5">
      <c r="A8503" s="1">
        <v>10000135</v>
      </c>
      <c r="B8503" s="1">
        <v>0</v>
      </c>
      <c r="C8503" s="13" t="s">
        <v>11743</v>
      </c>
      <c r="D8503" s="203" t="s">
        <v>11665</v>
      </c>
      <c r="E8503" s="13" t="s">
        <v>11753</v>
      </c>
    </row>
    <row r="8504" spans="1:5">
      <c r="A8504" s="1">
        <v>10000136</v>
      </c>
      <c r="B8504" s="1">
        <v>0</v>
      </c>
      <c r="C8504" s="13" t="s">
        <v>11744</v>
      </c>
      <c r="D8504" s="203" t="s">
        <v>11666</v>
      </c>
      <c r="E8504" s="13" t="s">
        <v>11754</v>
      </c>
    </row>
    <row r="8505" spans="1:5">
      <c r="A8505" s="1">
        <v>10000137</v>
      </c>
      <c r="B8505" s="1">
        <v>0</v>
      </c>
      <c r="C8505" s="13" t="s">
        <v>11755</v>
      </c>
      <c r="D8505" s="203" t="s">
        <v>11667</v>
      </c>
      <c r="E8505" s="13" t="s">
        <v>11763</v>
      </c>
    </row>
    <row r="8506" spans="1:5">
      <c r="A8506" s="1">
        <v>10000138</v>
      </c>
      <c r="B8506" s="1">
        <v>0</v>
      </c>
      <c r="C8506" s="13" t="s">
        <v>11756</v>
      </c>
      <c r="D8506" s="203" t="s">
        <v>11668</v>
      </c>
      <c r="E8506" s="13" t="s">
        <v>11764</v>
      </c>
    </row>
    <row r="8507" spans="1:5">
      <c r="A8507" s="1">
        <v>10000139</v>
      </c>
      <c r="B8507" s="1">
        <v>0</v>
      </c>
      <c r="C8507" s="13" t="s">
        <v>11757</v>
      </c>
      <c r="D8507" s="203" t="s">
        <v>6760</v>
      </c>
      <c r="E8507" s="13" t="s">
        <v>11765</v>
      </c>
    </row>
    <row r="8508" spans="1:5">
      <c r="A8508" s="1">
        <v>10000140</v>
      </c>
      <c r="B8508" s="1">
        <v>0</v>
      </c>
      <c r="C8508" s="13" t="s">
        <v>11758</v>
      </c>
      <c r="D8508" s="203" t="s">
        <v>11669</v>
      </c>
      <c r="E8508" s="13" t="s">
        <v>11766</v>
      </c>
    </row>
    <row r="8509" spans="1:5">
      <c r="A8509" s="1">
        <v>10000141</v>
      </c>
      <c r="B8509" s="1">
        <v>0</v>
      </c>
      <c r="C8509" s="13" t="s">
        <v>3382</v>
      </c>
      <c r="D8509" s="203" t="s">
        <v>11670</v>
      </c>
      <c r="E8509" s="13" t="s">
        <v>769</v>
      </c>
    </row>
    <row r="8510" spans="1:5">
      <c r="A8510" s="1">
        <v>10000142</v>
      </c>
      <c r="B8510" s="1">
        <v>0</v>
      </c>
      <c r="C8510" s="13" t="s">
        <v>3382</v>
      </c>
      <c r="D8510" s="203" t="s">
        <v>11671</v>
      </c>
      <c r="E8510" s="13" t="s">
        <v>769</v>
      </c>
    </row>
    <row r="8511" spans="1:5">
      <c r="A8511" s="1">
        <v>10000143</v>
      </c>
      <c r="B8511" s="1">
        <v>0</v>
      </c>
      <c r="C8511" s="13" t="s">
        <v>11759</v>
      </c>
      <c r="D8511" s="203" t="s">
        <v>11672</v>
      </c>
      <c r="E8511" s="13" t="s">
        <v>11767</v>
      </c>
    </row>
    <row r="8512" spans="1:5">
      <c r="A8512" s="1">
        <v>10000144</v>
      </c>
      <c r="B8512" s="1">
        <v>0</v>
      </c>
      <c r="C8512" s="13" t="s">
        <v>4312</v>
      </c>
      <c r="D8512" s="203" t="s">
        <v>11673</v>
      </c>
      <c r="E8512" s="13" t="s">
        <v>2256</v>
      </c>
    </row>
    <row r="8513" spans="1:5">
      <c r="A8513" s="1">
        <v>10000145</v>
      </c>
      <c r="B8513" s="1">
        <v>0</v>
      </c>
      <c r="C8513" s="13" t="s">
        <v>4307</v>
      </c>
      <c r="D8513" s="203" t="s">
        <v>11674</v>
      </c>
      <c r="E8513" s="13" t="s">
        <v>2237</v>
      </c>
    </row>
    <row r="8514" spans="1:5">
      <c r="A8514" s="1">
        <v>10000146</v>
      </c>
      <c r="B8514" s="1">
        <v>0</v>
      </c>
      <c r="C8514" s="13" t="s">
        <v>4308</v>
      </c>
      <c r="D8514" s="203" t="s">
        <v>11675</v>
      </c>
      <c r="E8514" s="13" t="s">
        <v>2238</v>
      </c>
    </row>
    <row r="8515" spans="1:5">
      <c r="A8515" s="1">
        <v>10000147</v>
      </c>
      <c r="B8515" s="1">
        <v>0</v>
      </c>
      <c r="C8515" s="13" t="s">
        <v>11287</v>
      </c>
      <c r="D8515" s="203" t="s">
        <v>11676</v>
      </c>
      <c r="E8515" s="13" t="s">
        <v>11294</v>
      </c>
    </row>
    <row r="8516" spans="1:5">
      <c r="A8516" s="1">
        <v>10000148</v>
      </c>
      <c r="B8516" s="1">
        <v>0</v>
      </c>
      <c r="C8516" s="13" t="s">
        <v>11289</v>
      </c>
      <c r="D8516" s="203" t="s">
        <v>11677</v>
      </c>
      <c r="E8516" s="13" t="s">
        <v>11296</v>
      </c>
    </row>
    <row r="8517" spans="1:5">
      <c r="A8517" s="1">
        <v>10000149</v>
      </c>
      <c r="B8517" s="1">
        <v>0</v>
      </c>
      <c r="C8517" s="13" t="s">
        <v>3752</v>
      </c>
      <c r="D8517" s="203" t="s">
        <v>11678</v>
      </c>
      <c r="E8517" s="13" t="s">
        <v>737</v>
      </c>
    </row>
    <row r="8518" spans="1:5">
      <c r="A8518" s="1">
        <v>10000150</v>
      </c>
      <c r="B8518" s="1">
        <v>0</v>
      </c>
      <c r="C8518" s="13" t="s">
        <v>4248</v>
      </c>
      <c r="D8518" s="203" t="s">
        <v>11679</v>
      </c>
      <c r="E8518" s="13" t="s">
        <v>2086</v>
      </c>
    </row>
    <row r="8519" spans="1:5">
      <c r="A8519" s="1">
        <v>10000151</v>
      </c>
      <c r="B8519" s="1">
        <v>0</v>
      </c>
      <c r="C8519" s="13" t="s">
        <v>11760</v>
      </c>
      <c r="D8519" s="203" t="s">
        <v>11680</v>
      </c>
      <c r="E8519" s="13" t="s">
        <v>11768</v>
      </c>
    </row>
    <row r="8520" spans="1:5">
      <c r="A8520" s="1">
        <v>10000152</v>
      </c>
      <c r="B8520" s="1">
        <v>0</v>
      </c>
      <c r="C8520" s="13" t="s">
        <v>11761</v>
      </c>
      <c r="D8520" s="203" t="s">
        <v>11681</v>
      </c>
      <c r="E8520" s="13" t="s">
        <v>11769</v>
      </c>
    </row>
    <row r="8521" spans="1:5">
      <c r="A8521" s="1">
        <v>10000153</v>
      </c>
      <c r="B8521" s="1">
        <v>0</v>
      </c>
      <c r="C8521" s="13" t="s">
        <v>3369</v>
      </c>
      <c r="D8521" s="203" t="s">
        <v>11682</v>
      </c>
      <c r="E8521" s="13" t="s">
        <v>747</v>
      </c>
    </row>
    <row r="8522" spans="1:5">
      <c r="A8522" s="1">
        <v>10000154</v>
      </c>
      <c r="B8522" s="1">
        <v>0</v>
      </c>
      <c r="C8522" s="13" t="s">
        <v>3371</v>
      </c>
      <c r="D8522" s="203" t="s">
        <v>11683</v>
      </c>
      <c r="E8522" s="13" t="s">
        <v>751</v>
      </c>
    </row>
    <row r="8523" spans="1:5">
      <c r="A8523" s="1">
        <v>10000155</v>
      </c>
      <c r="B8523" s="1">
        <v>0</v>
      </c>
      <c r="C8523" s="13" t="s">
        <v>3365</v>
      </c>
      <c r="D8523" s="203" t="s">
        <v>11684</v>
      </c>
      <c r="E8523" s="13" t="s">
        <v>793</v>
      </c>
    </row>
    <row r="8524" spans="1:5">
      <c r="A8524" s="1">
        <v>10000156</v>
      </c>
      <c r="B8524" s="1">
        <v>0</v>
      </c>
      <c r="C8524" s="13" t="s">
        <v>3825</v>
      </c>
      <c r="D8524" s="203" t="s">
        <v>11685</v>
      </c>
      <c r="E8524" s="13" t="s">
        <v>1046</v>
      </c>
    </row>
    <row r="8525" spans="1:5">
      <c r="A8525" s="1">
        <v>10000157</v>
      </c>
      <c r="B8525" s="1">
        <v>0</v>
      </c>
      <c r="C8525" s="13" t="s">
        <v>11762</v>
      </c>
      <c r="D8525" s="203" t="s">
        <v>11686</v>
      </c>
      <c r="E8525" s="13" t="s">
        <v>11770</v>
      </c>
    </row>
    <row r="8526" spans="1:5">
      <c r="A8526" s="1">
        <v>10000158</v>
      </c>
      <c r="B8526" s="1">
        <v>0</v>
      </c>
      <c r="C8526" s="13" t="s">
        <v>3365</v>
      </c>
      <c r="D8526" s="203" t="s">
        <v>10350</v>
      </c>
      <c r="E8526" s="13" t="s">
        <v>793</v>
      </c>
    </row>
    <row r="8527" spans="1:5">
      <c r="A8527" s="1">
        <v>10000159</v>
      </c>
      <c r="B8527" s="1">
        <v>0</v>
      </c>
      <c r="C8527" s="13" t="s">
        <v>3825</v>
      </c>
      <c r="D8527" s="203" t="s">
        <v>10351</v>
      </c>
      <c r="E8527" s="13" t="s">
        <v>1046</v>
      </c>
    </row>
    <row r="8528" spans="1:5">
      <c r="A8528" s="1">
        <v>10000160</v>
      </c>
      <c r="B8528" s="1">
        <v>0</v>
      </c>
      <c r="C8528" s="13" t="s">
        <v>11762</v>
      </c>
      <c r="D8528" s="203" t="s">
        <v>10352</v>
      </c>
      <c r="E8528" s="13" t="s">
        <v>11770</v>
      </c>
    </row>
    <row r="8529" spans="1:6">
      <c r="A8529" s="22">
        <v>20000001</v>
      </c>
      <c r="B8529" s="22">
        <v>0</v>
      </c>
      <c r="C8529" s="220" t="s">
        <v>11274</v>
      </c>
      <c r="D8529" s="111" t="s">
        <v>10619</v>
      </c>
      <c r="E8529" s="24" t="s">
        <v>11279</v>
      </c>
    </row>
    <row r="8530" spans="1:6">
      <c r="A8530" s="22">
        <v>20000002</v>
      </c>
      <c r="B8530" s="22">
        <v>0</v>
      </c>
      <c r="C8530" s="220" t="s">
        <v>11275</v>
      </c>
      <c r="D8530" s="111" t="s">
        <v>10620</v>
      </c>
      <c r="E8530" s="24" t="s">
        <v>11280</v>
      </c>
    </row>
    <row r="8531" spans="1:6">
      <c r="A8531" s="22">
        <v>20000003</v>
      </c>
      <c r="B8531" s="22">
        <v>0</v>
      </c>
      <c r="C8531" s="220" t="s">
        <v>11276</v>
      </c>
      <c r="D8531" s="111" t="s">
        <v>10621</v>
      </c>
      <c r="E8531" s="24" t="s">
        <v>11281</v>
      </c>
    </row>
    <row r="8532" spans="1:6">
      <c r="A8532" s="22">
        <v>20000004</v>
      </c>
      <c r="B8532" s="22">
        <v>0</v>
      </c>
      <c r="C8532" s="220" t="s">
        <v>11277</v>
      </c>
      <c r="D8532" s="111" t="s">
        <v>10622</v>
      </c>
      <c r="E8532" s="24" t="s">
        <v>11282</v>
      </c>
    </row>
    <row r="8533" spans="1:6">
      <c r="A8533" s="22">
        <v>20000005</v>
      </c>
      <c r="B8533" s="22">
        <v>0</v>
      </c>
      <c r="C8533" s="220" t="s">
        <v>11278</v>
      </c>
      <c r="D8533" s="111" t="s">
        <v>10623</v>
      </c>
      <c r="E8533" s="24" t="s">
        <v>11283</v>
      </c>
    </row>
    <row r="8534" spans="1:6">
      <c r="A8534" s="22">
        <v>20000006</v>
      </c>
      <c r="B8534" s="22">
        <v>0</v>
      </c>
      <c r="C8534" s="220" t="s">
        <v>10626</v>
      </c>
      <c r="D8534" s="111" t="s">
        <v>10624</v>
      </c>
      <c r="E8534" s="24" t="s">
        <v>10628</v>
      </c>
    </row>
    <row r="8535" spans="1:6">
      <c r="A8535" s="22">
        <v>20000007</v>
      </c>
      <c r="B8535" s="22">
        <v>0</v>
      </c>
      <c r="C8535" s="220" t="s">
        <v>10627</v>
      </c>
      <c r="D8535" s="111" t="s">
        <v>10625</v>
      </c>
      <c r="E8535" s="24" t="s">
        <v>10629</v>
      </c>
    </row>
    <row r="8536" spans="1:6" s="253" customFormat="1">
      <c r="A8536" s="40">
        <v>21000001</v>
      </c>
      <c r="B8536" s="40">
        <v>0</v>
      </c>
      <c r="C8536" s="317" t="s">
        <v>10631</v>
      </c>
      <c r="D8536" s="248" t="s">
        <v>10630</v>
      </c>
      <c r="E8536" s="42" t="s">
        <v>10639</v>
      </c>
      <c r="F8536" s="267"/>
    </row>
    <row r="8537" spans="1:6" s="253" customFormat="1">
      <c r="A8537" s="40">
        <v>21000002</v>
      </c>
      <c r="B8537" s="40">
        <v>0</v>
      </c>
      <c r="C8537" s="317" t="s">
        <v>10632</v>
      </c>
      <c r="D8537" s="248" t="s">
        <v>8561</v>
      </c>
      <c r="E8537" s="42" t="s">
        <v>10640</v>
      </c>
      <c r="F8537" s="267"/>
    </row>
    <row r="8538" spans="1:6" s="253" customFormat="1">
      <c r="A8538" s="40">
        <v>21000003</v>
      </c>
      <c r="B8538" s="40">
        <v>0</v>
      </c>
      <c r="C8538" s="317" t="s">
        <v>10633</v>
      </c>
      <c r="D8538" s="248" t="s">
        <v>8562</v>
      </c>
      <c r="E8538" s="42" t="s">
        <v>10641</v>
      </c>
      <c r="F8538" s="267"/>
    </row>
    <row r="8539" spans="1:6" s="253" customFormat="1">
      <c r="A8539" s="40">
        <v>21000004</v>
      </c>
      <c r="B8539" s="40">
        <v>0</v>
      </c>
      <c r="C8539" s="317" t="s">
        <v>10634</v>
      </c>
      <c r="D8539" s="248" t="s">
        <v>8563</v>
      </c>
      <c r="E8539" s="42" t="s">
        <v>10642</v>
      </c>
      <c r="F8539" s="267"/>
    </row>
    <row r="8540" spans="1:6" s="253" customFormat="1">
      <c r="A8540" s="40">
        <v>21000005</v>
      </c>
      <c r="B8540" s="40">
        <v>0</v>
      </c>
      <c r="C8540" s="317" t="s">
        <v>10635</v>
      </c>
      <c r="D8540" s="248" t="s">
        <v>8564</v>
      </c>
      <c r="E8540" s="42" t="s">
        <v>10643</v>
      </c>
      <c r="F8540" s="267"/>
    </row>
    <row r="8541" spans="1:6" s="253" customFormat="1">
      <c r="A8541" s="40">
        <v>21000006</v>
      </c>
      <c r="B8541" s="40">
        <v>0</v>
      </c>
      <c r="C8541" s="317" t="s">
        <v>10636</v>
      </c>
      <c r="D8541" s="248" t="s">
        <v>8565</v>
      </c>
      <c r="E8541" s="42" t="s">
        <v>10644</v>
      </c>
      <c r="F8541" s="267"/>
    </row>
    <row r="8542" spans="1:6" s="253" customFormat="1">
      <c r="A8542" s="40">
        <v>21000007</v>
      </c>
      <c r="B8542" s="40">
        <v>0</v>
      </c>
      <c r="C8542" s="317" t="s">
        <v>10637</v>
      </c>
      <c r="D8542" s="248" t="s">
        <v>8566</v>
      </c>
      <c r="E8542" s="42" t="s">
        <v>10645</v>
      </c>
      <c r="F8542" s="267"/>
    </row>
    <row r="8543" spans="1:6" s="253" customFormat="1">
      <c r="A8543" s="40">
        <v>21000008</v>
      </c>
      <c r="B8543" s="40">
        <v>0</v>
      </c>
      <c r="C8543" s="317" t="s">
        <v>10638</v>
      </c>
      <c r="D8543" s="248" t="s">
        <v>8567</v>
      </c>
      <c r="E8543" s="42" t="s">
        <v>10646</v>
      </c>
      <c r="F8543" s="267"/>
    </row>
    <row r="8544" spans="1:6">
      <c r="A8544" s="248">
        <v>55476</v>
      </c>
      <c r="B8544" s="246">
        <v>1</v>
      </c>
      <c r="C8544" t="s">
        <v>16421</v>
      </c>
      <c r="D8544" s="246" t="s">
        <v>16406</v>
      </c>
      <c r="E8544" t="s">
        <v>16436</v>
      </c>
    </row>
    <row r="8545" spans="1:5">
      <c r="A8545" s="248">
        <v>55477</v>
      </c>
      <c r="B8545" s="246">
        <v>1</v>
      </c>
      <c r="C8545" t="s">
        <v>16422</v>
      </c>
      <c r="D8545" s="246" t="s">
        <v>16407</v>
      </c>
      <c r="E8545" t="s">
        <v>16437</v>
      </c>
    </row>
    <row r="8546" spans="1:5">
      <c r="A8546" s="248">
        <v>55478</v>
      </c>
      <c r="B8546" s="246">
        <v>1</v>
      </c>
      <c r="C8546" t="s">
        <v>16423</v>
      </c>
      <c r="D8546" s="246" t="s">
        <v>16408</v>
      </c>
      <c r="E8546" t="s">
        <v>16438</v>
      </c>
    </row>
    <row r="8547" spans="1:5">
      <c r="A8547" s="248">
        <v>55479</v>
      </c>
      <c r="B8547" s="246">
        <v>1</v>
      </c>
      <c r="C8547" t="s">
        <v>16424</v>
      </c>
      <c r="D8547" s="246" t="s">
        <v>16409</v>
      </c>
      <c r="E8547" t="s">
        <v>16439</v>
      </c>
    </row>
    <row r="8548" spans="1:5">
      <c r="A8548" s="248">
        <v>55480</v>
      </c>
      <c r="B8548" s="246">
        <v>1</v>
      </c>
      <c r="C8548" t="s">
        <v>16425</v>
      </c>
      <c r="D8548" s="246" t="s">
        <v>16410</v>
      </c>
      <c r="E8548" t="s">
        <v>16440</v>
      </c>
    </row>
    <row r="8549" spans="1:5">
      <c r="A8549" s="248">
        <v>55481</v>
      </c>
      <c r="B8549" s="246">
        <v>1</v>
      </c>
      <c r="C8549" t="s">
        <v>16426</v>
      </c>
      <c r="D8549" s="246" t="s">
        <v>16411</v>
      </c>
      <c r="E8549" t="s">
        <v>16441</v>
      </c>
    </row>
    <row r="8550" spans="1:5">
      <c r="A8550" s="248">
        <v>55482</v>
      </c>
      <c r="B8550" s="246">
        <v>1</v>
      </c>
      <c r="C8550" t="s">
        <v>16427</v>
      </c>
      <c r="D8550" s="246" t="s">
        <v>16412</v>
      </c>
      <c r="E8550" t="s">
        <v>16442</v>
      </c>
    </row>
    <row r="8551" spans="1:5">
      <c r="A8551" s="248">
        <v>55483</v>
      </c>
      <c r="B8551" s="246">
        <v>1</v>
      </c>
      <c r="C8551" t="s">
        <v>16428</v>
      </c>
      <c r="D8551" s="246" t="s">
        <v>16413</v>
      </c>
      <c r="E8551" t="s">
        <v>16443</v>
      </c>
    </row>
    <row r="8552" spans="1:5">
      <c r="A8552" s="248">
        <v>55484</v>
      </c>
      <c r="B8552" s="246">
        <v>1</v>
      </c>
      <c r="C8552" t="s">
        <v>16429</v>
      </c>
      <c r="D8552" s="246" t="s">
        <v>16414</v>
      </c>
      <c r="E8552" t="s">
        <v>16444</v>
      </c>
    </row>
    <row r="8553" spans="1:5">
      <c r="A8553" s="248">
        <v>55485</v>
      </c>
      <c r="B8553" s="246">
        <v>1</v>
      </c>
      <c r="C8553" t="s">
        <v>16430</v>
      </c>
      <c r="D8553" s="246" t="s">
        <v>16415</v>
      </c>
      <c r="E8553" t="s">
        <v>16445</v>
      </c>
    </row>
    <row r="8554" spans="1:5">
      <c r="A8554" s="248">
        <v>55486</v>
      </c>
      <c r="B8554" s="246">
        <v>1</v>
      </c>
      <c r="C8554" t="s">
        <v>16431</v>
      </c>
      <c r="D8554" s="246" t="s">
        <v>16416</v>
      </c>
      <c r="E8554" t="s">
        <v>16446</v>
      </c>
    </row>
    <row r="8555" spans="1:5">
      <c r="A8555" s="248">
        <v>55487</v>
      </c>
      <c r="B8555" s="246">
        <v>1</v>
      </c>
      <c r="C8555" t="s">
        <v>16432</v>
      </c>
      <c r="D8555" s="246" t="s">
        <v>16417</v>
      </c>
      <c r="E8555" t="s">
        <v>16447</v>
      </c>
    </row>
    <row r="8556" spans="1:5">
      <c r="A8556" s="248">
        <v>55488</v>
      </c>
      <c r="B8556" s="246">
        <v>1</v>
      </c>
      <c r="C8556" t="s">
        <v>16433</v>
      </c>
      <c r="D8556" s="246" t="s">
        <v>16418</v>
      </c>
      <c r="E8556" t="s">
        <v>16448</v>
      </c>
    </row>
    <row r="8557" spans="1:5">
      <c r="A8557" s="248">
        <v>55489</v>
      </c>
      <c r="B8557" s="246">
        <v>1</v>
      </c>
      <c r="C8557" t="s">
        <v>16434</v>
      </c>
      <c r="D8557" s="246" t="s">
        <v>16419</v>
      </c>
      <c r="E8557" t="s">
        <v>16449</v>
      </c>
    </row>
    <row r="8558" spans="1:5">
      <c r="A8558" s="248">
        <v>55490</v>
      </c>
      <c r="B8558" s="246">
        <v>1</v>
      </c>
      <c r="C8558" t="s">
        <v>16435</v>
      </c>
      <c r="D8558" s="246" t="s">
        <v>16420</v>
      </c>
      <c r="E8558" t="s">
        <v>16450</v>
      </c>
    </row>
    <row r="8559" spans="1:5">
      <c r="E8559"/>
    </row>
  </sheetData>
  <phoneticPr fontId="21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E3004"/>
  <sheetViews>
    <sheetView topLeftCell="A22" workbookViewId="0">
      <selection activeCell="B36" sqref="B36:D41"/>
    </sheetView>
  </sheetViews>
  <sheetFormatPr defaultRowHeight="16.5"/>
  <cols>
    <col min="1" max="1" width="29.75" style="1" customWidth="1"/>
    <col min="2" max="2" width="34.25" style="1" customWidth="1"/>
    <col min="3" max="3" width="46.625" style="1" bestFit="1" customWidth="1"/>
    <col min="4" max="4" width="37.5" style="2" bestFit="1" customWidth="1"/>
    <col min="5" max="5" width="87.875" style="3" customWidth="1"/>
  </cols>
  <sheetData>
    <row r="1" spans="1:5" ht="280.5">
      <c r="A1" s="4" t="s">
        <v>0</v>
      </c>
      <c r="B1" s="4" t="s">
        <v>4636</v>
      </c>
      <c r="C1" s="4" t="s">
        <v>4742</v>
      </c>
      <c r="D1" s="5" t="s">
        <v>1</v>
      </c>
      <c r="E1" s="145" t="s">
        <v>4741</v>
      </c>
    </row>
    <row r="2" spans="1:5">
      <c r="A2" s="6"/>
      <c r="B2" s="6"/>
      <c r="C2" s="6"/>
      <c r="D2" s="7"/>
      <c r="E2" s="8"/>
    </row>
    <row r="3" spans="1:5">
      <c r="A3" s="9"/>
      <c r="B3" s="9"/>
      <c r="C3" s="10"/>
      <c r="D3" s="11"/>
      <c r="E3" s="12"/>
    </row>
    <row r="4" spans="1:5">
      <c r="A4" s="13">
        <v>10001</v>
      </c>
      <c r="B4" s="13">
        <v>1</v>
      </c>
      <c r="C4" s="14" t="s">
        <v>3407</v>
      </c>
      <c r="D4" s="15" t="s">
        <v>8</v>
      </c>
      <c r="E4" s="146" t="s">
        <v>9</v>
      </c>
    </row>
    <row r="5" spans="1:5">
      <c r="A5" s="13">
        <v>10002</v>
      </c>
      <c r="B5" s="13">
        <v>1</v>
      </c>
      <c r="C5" s="14" t="s">
        <v>3408</v>
      </c>
      <c r="D5" s="15" t="s">
        <v>10</v>
      </c>
      <c r="E5" s="146" t="s">
        <v>11</v>
      </c>
    </row>
    <row r="6" spans="1:5">
      <c r="A6" s="13">
        <v>10003</v>
      </c>
      <c r="B6" s="13">
        <v>1</v>
      </c>
      <c r="C6" s="14" t="s">
        <v>3409</v>
      </c>
      <c r="D6" s="15" t="s">
        <v>12</v>
      </c>
      <c r="E6" s="146" t="s">
        <v>13</v>
      </c>
    </row>
    <row r="7" spans="1:5">
      <c r="A7" s="13">
        <v>10004</v>
      </c>
      <c r="B7" s="13">
        <v>1</v>
      </c>
      <c r="C7" s="14" t="s">
        <v>3410</v>
      </c>
      <c r="D7" s="15" t="s">
        <v>14</v>
      </c>
      <c r="E7" s="146" t="s">
        <v>15</v>
      </c>
    </row>
    <row r="8" spans="1:5">
      <c r="A8" s="13">
        <v>10005</v>
      </c>
      <c r="B8" s="13">
        <v>1</v>
      </c>
      <c r="C8" s="14" t="s">
        <v>3411</v>
      </c>
      <c r="D8" s="16" t="s">
        <v>16</v>
      </c>
      <c r="E8" s="17" t="s">
        <v>17</v>
      </c>
    </row>
    <row r="9" spans="1:5">
      <c r="A9" s="13">
        <v>10006</v>
      </c>
      <c r="B9" s="13">
        <v>1</v>
      </c>
      <c r="C9" s="14" t="s">
        <v>3412</v>
      </c>
      <c r="D9" s="15" t="s">
        <v>18</v>
      </c>
      <c r="E9" s="146" t="s">
        <v>19</v>
      </c>
    </row>
    <row r="10" spans="1:5">
      <c r="A10" s="13">
        <v>10007</v>
      </c>
      <c r="B10" s="13">
        <v>1</v>
      </c>
      <c r="C10" s="14" t="s">
        <v>3413</v>
      </c>
      <c r="D10" s="15" t="s">
        <v>20</v>
      </c>
      <c r="E10" s="146" t="s">
        <v>21</v>
      </c>
    </row>
    <row r="11" spans="1:5">
      <c r="A11" s="13">
        <v>10008</v>
      </c>
      <c r="B11" s="13">
        <v>1</v>
      </c>
      <c r="C11" s="14" t="s">
        <v>3414</v>
      </c>
      <c r="D11" s="15" t="s">
        <v>22</v>
      </c>
      <c r="E11" s="146" t="s">
        <v>23</v>
      </c>
    </row>
    <row r="12" spans="1:5">
      <c r="A12" s="13">
        <v>10009</v>
      </c>
      <c r="B12" s="13">
        <v>1</v>
      </c>
      <c r="C12" s="14" t="s">
        <v>3415</v>
      </c>
      <c r="D12" s="15" t="s">
        <v>24</v>
      </c>
      <c r="E12" s="146" t="s">
        <v>25</v>
      </c>
    </row>
    <row r="13" spans="1:5">
      <c r="A13" s="13">
        <v>10010</v>
      </c>
      <c r="B13" s="13">
        <v>1</v>
      </c>
      <c r="C13" s="14" t="s">
        <v>3416</v>
      </c>
      <c r="D13" s="15" t="s">
        <v>26</v>
      </c>
      <c r="E13" s="146" t="s">
        <v>27</v>
      </c>
    </row>
    <row r="14" spans="1:5">
      <c r="A14" s="13">
        <v>10011</v>
      </c>
      <c r="B14" s="13">
        <v>1</v>
      </c>
      <c r="C14" s="14" t="s">
        <v>3417</v>
      </c>
      <c r="D14" s="15" t="s">
        <v>28</v>
      </c>
      <c r="E14" s="146" t="s">
        <v>29</v>
      </c>
    </row>
    <row r="15" spans="1:5">
      <c r="A15" s="13">
        <v>10012</v>
      </c>
      <c r="B15" s="13">
        <v>1</v>
      </c>
      <c r="C15" s="14" t="s">
        <v>3418</v>
      </c>
      <c r="D15" s="16" t="s">
        <v>30</v>
      </c>
      <c r="E15" s="17" t="s">
        <v>31</v>
      </c>
    </row>
    <row r="16" spans="1:5">
      <c r="A16" s="13">
        <v>10013</v>
      </c>
      <c r="B16" s="13">
        <v>1</v>
      </c>
      <c r="C16" s="14" t="s">
        <v>3419</v>
      </c>
      <c r="D16" s="16" t="s">
        <v>32</v>
      </c>
      <c r="E16" s="17" t="s">
        <v>33</v>
      </c>
    </row>
    <row r="17" spans="1:5">
      <c r="A17" s="13">
        <v>10014</v>
      </c>
      <c r="B17" s="13">
        <v>1</v>
      </c>
      <c r="C17" s="14" t="s">
        <v>3420</v>
      </c>
      <c r="D17" s="16" t="s">
        <v>34</v>
      </c>
      <c r="E17" s="17" t="s">
        <v>35</v>
      </c>
    </row>
    <row r="18" spans="1:5">
      <c r="A18" s="13">
        <v>10015</v>
      </c>
      <c r="B18" s="13">
        <v>1</v>
      </c>
      <c r="C18" s="14" t="s">
        <v>3421</v>
      </c>
      <c r="D18" s="16" t="s">
        <v>36</v>
      </c>
      <c r="E18" s="17" t="s">
        <v>37</v>
      </c>
    </row>
    <row r="19" spans="1:5">
      <c r="A19" s="13">
        <v>10016</v>
      </c>
      <c r="B19" s="13">
        <v>1</v>
      </c>
      <c r="C19" s="14" t="s">
        <v>3422</v>
      </c>
      <c r="D19" s="16" t="s">
        <v>38</v>
      </c>
      <c r="E19" s="17" t="s">
        <v>39</v>
      </c>
    </row>
    <row r="20" spans="1:5">
      <c r="A20" s="13">
        <v>10017</v>
      </c>
      <c r="B20" s="13">
        <v>1</v>
      </c>
      <c r="C20" s="14" t="s">
        <v>3423</v>
      </c>
      <c r="D20" s="16" t="s">
        <v>40</v>
      </c>
      <c r="E20" s="17" t="s">
        <v>41</v>
      </c>
    </row>
    <row r="21" spans="1:5">
      <c r="A21" s="13">
        <v>10018</v>
      </c>
      <c r="B21" s="13">
        <v>1</v>
      </c>
      <c r="C21" s="14" t="s">
        <v>3424</v>
      </c>
      <c r="D21" s="16" t="s">
        <v>42</v>
      </c>
      <c r="E21" s="17" t="s">
        <v>43</v>
      </c>
    </row>
    <row r="22" spans="1:5">
      <c r="A22" s="13">
        <v>10019</v>
      </c>
      <c r="B22" s="13">
        <v>1</v>
      </c>
      <c r="C22" s="14" t="s">
        <v>3425</v>
      </c>
      <c r="D22" s="16" t="s">
        <v>44</v>
      </c>
      <c r="E22" s="17" t="s">
        <v>45</v>
      </c>
    </row>
    <row r="23" spans="1:5">
      <c r="A23" s="13">
        <v>10020</v>
      </c>
      <c r="B23" s="13">
        <v>1</v>
      </c>
      <c r="C23" s="14" t="s">
        <v>3426</v>
      </c>
      <c r="D23" s="16" t="s">
        <v>46</v>
      </c>
      <c r="E23" s="17" t="s">
        <v>47</v>
      </c>
    </row>
    <row r="24" spans="1:5">
      <c r="A24" s="13">
        <v>10021</v>
      </c>
      <c r="B24" s="13">
        <v>1</v>
      </c>
      <c r="C24" s="14" t="s">
        <v>3427</v>
      </c>
      <c r="D24" s="16" t="s">
        <v>48</v>
      </c>
      <c r="E24" s="17" t="s">
        <v>49</v>
      </c>
    </row>
    <row r="25" spans="1:5">
      <c r="A25" s="13">
        <v>10022</v>
      </c>
      <c r="B25" s="13">
        <v>1</v>
      </c>
      <c r="C25" s="14" t="s">
        <v>3428</v>
      </c>
      <c r="D25" s="16" t="s">
        <v>50</v>
      </c>
      <c r="E25" s="17" t="s">
        <v>51</v>
      </c>
    </row>
    <row r="26" spans="1:5">
      <c r="A26" s="13">
        <v>10023</v>
      </c>
      <c r="B26" s="13">
        <v>1</v>
      </c>
      <c r="C26" s="14" t="s">
        <v>3429</v>
      </c>
      <c r="D26" s="16" t="s">
        <v>52</v>
      </c>
      <c r="E26" s="17" t="s">
        <v>53</v>
      </c>
    </row>
    <row r="27" spans="1:5">
      <c r="A27" s="13">
        <v>10024</v>
      </c>
      <c r="B27" s="13">
        <v>1</v>
      </c>
      <c r="C27" s="14" t="s">
        <v>3430</v>
      </c>
      <c r="D27" s="16" t="s">
        <v>54</v>
      </c>
      <c r="E27" s="17" t="s">
        <v>55</v>
      </c>
    </row>
    <row r="28" spans="1:5">
      <c r="A28" s="13">
        <v>10025</v>
      </c>
      <c r="B28" s="13">
        <v>1</v>
      </c>
      <c r="C28" s="14" t="s">
        <v>3431</v>
      </c>
      <c r="D28" s="16" t="s">
        <v>56</v>
      </c>
      <c r="E28" s="17" t="s">
        <v>57</v>
      </c>
    </row>
    <row r="29" spans="1:5">
      <c r="A29" s="13">
        <v>10026</v>
      </c>
      <c r="B29" s="13">
        <v>1</v>
      </c>
      <c r="C29" s="14" t="s">
        <v>3432</v>
      </c>
      <c r="D29" s="16" t="s">
        <v>58</v>
      </c>
      <c r="E29" s="17" t="s">
        <v>59</v>
      </c>
    </row>
    <row r="30" spans="1:5">
      <c r="A30" s="13">
        <v>10027</v>
      </c>
      <c r="B30" s="13">
        <v>1</v>
      </c>
      <c r="C30" s="14" t="s">
        <v>3433</v>
      </c>
      <c r="D30" s="15" t="s">
        <v>60</v>
      </c>
      <c r="E30" s="17" t="s">
        <v>61</v>
      </c>
    </row>
    <row r="31" spans="1:5">
      <c r="A31" s="13">
        <v>10028</v>
      </c>
      <c r="B31" s="13">
        <v>1</v>
      </c>
      <c r="C31" s="14" t="s">
        <v>3434</v>
      </c>
      <c r="D31" s="15" t="s">
        <v>62</v>
      </c>
      <c r="E31" s="17" t="s">
        <v>63</v>
      </c>
    </row>
    <row r="32" spans="1:5">
      <c r="A32" s="13">
        <v>10030</v>
      </c>
      <c r="B32" s="13">
        <v>1</v>
      </c>
      <c r="C32" s="14" t="s">
        <v>3435</v>
      </c>
      <c r="D32" s="15" t="s">
        <v>64</v>
      </c>
      <c r="E32" s="17" t="s">
        <v>65</v>
      </c>
    </row>
    <row r="33" spans="1:5">
      <c r="A33" s="13">
        <v>10031</v>
      </c>
      <c r="B33" s="13">
        <v>1</v>
      </c>
      <c r="C33" s="14" t="s">
        <v>3436</v>
      </c>
      <c r="D33" s="15" t="s">
        <v>66</v>
      </c>
      <c r="E33" s="17" t="s">
        <v>67</v>
      </c>
    </row>
    <row r="34" spans="1:5">
      <c r="A34" s="13">
        <v>10032</v>
      </c>
      <c r="B34" s="13">
        <v>1</v>
      </c>
      <c r="C34" s="14" t="s">
        <v>3437</v>
      </c>
      <c r="D34" s="15" t="s">
        <v>68</v>
      </c>
      <c r="E34" s="17" t="s">
        <v>69</v>
      </c>
    </row>
    <row r="35" spans="1:5">
      <c r="A35" s="13">
        <v>10033</v>
      </c>
      <c r="B35" s="13">
        <v>1</v>
      </c>
      <c r="C35" s="14" t="s">
        <v>3438</v>
      </c>
      <c r="D35" s="15" t="s">
        <v>70</v>
      </c>
      <c r="E35" s="17" t="s">
        <v>71</v>
      </c>
    </row>
    <row r="36" spans="1:5">
      <c r="A36" s="13">
        <v>10034</v>
      </c>
      <c r="B36" s="13">
        <v>1</v>
      </c>
      <c r="C36" s="14" t="s">
        <v>3438</v>
      </c>
      <c r="D36" s="15" t="s">
        <v>70</v>
      </c>
      <c r="E36" s="17" t="s">
        <v>71</v>
      </c>
    </row>
    <row r="37" spans="1:5">
      <c r="A37" s="13">
        <v>10035</v>
      </c>
      <c r="B37" s="13">
        <v>1</v>
      </c>
      <c r="C37" s="14" t="s">
        <v>3439</v>
      </c>
      <c r="D37" s="15" t="s">
        <v>72</v>
      </c>
      <c r="E37" s="17" t="s">
        <v>73</v>
      </c>
    </row>
    <row r="38" spans="1:5">
      <c r="A38" s="13">
        <v>10036</v>
      </c>
      <c r="B38" s="13">
        <v>1</v>
      </c>
      <c r="C38" s="14" t="s">
        <v>3440</v>
      </c>
      <c r="D38" s="15" t="s">
        <v>74</v>
      </c>
      <c r="E38" s="17" t="s">
        <v>75</v>
      </c>
    </row>
    <row r="39" spans="1:5">
      <c r="A39" s="13">
        <v>10037</v>
      </c>
      <c r="B39" s="13">
        <v>1</v>
      </c>
      <c r="C39" s="14" t="s">
        <v>3441</v>
      </c>
      <c r="D39" s="15" t="s">
        <v>76</v>
      </c>
      <c r="E39" s="17" t="s">
        <v>77</v>
      </c>
    </row>
    <row r="40" spans="1:5">
      <c r="A40" s="13">
        <v>10038</v>
      </c>
      <c r="B40" s="13">
        <v>1</v>
      </c>
      <c r="C40" s="14" t="s">
        <v>3442</v>
      </c>
      <c r="D40" s="15" t="s">
        <v>78</v>
      </c>
      <c r="E40" s="17" t="s">
        <v>79</v>
      </c>
    </row>
    <row r="41" spans="1:5">
      <c r="A41" s="13">
        <v>10039</v>
      </c>
      <c r="B41" s="13">
        <v>1</v>
      </c>
      <c r="C41" s="14" t="s">
        <v>3443</v>
      </c>
      <c r="D41" s="15" t="s">
        <v>80</v>
      </c>
      <c r="E41" s="17" t="s">
        <v>81</v>
      </c>
    </row>
    <row r="42" spans="1:5">
      <c r="A42" s="13">
        <v>10040</v>
      </c>
      <c r="B42" s="13">
        <v>1</v>
      </c>
      <c r="C42" s="14" t="s">
        <v>3444</v>
      </c>
      <c r="D42" s="15" t="s">
        <v>82</v>
      </c>
      <c r="E42" s="17" t="s">
        <v>83</v>
      </c>
    </row>
    <row r="43" spans="1:5">
      <c r="A43" s="13">
        <v>10041</v>
      </c>
      <c r="B43" s="13">
        <v>1</v>
      </c>
      <c r="C43" s="14" t="s">
        <v>3445</v>
      </c>
      <c r="D43" s="15" t="s">
        <v>84</v>
      </c>
      <c r="E43" s="17" t="s">
        <v>85</v>
      </c>
    </row>
    <row r="44" spans="1:5">
      <c r="A44" s="13">
        <v>10042</v>
      </c>
      <c r="B44" s="13">
        <v>1</v>
      </c>
      <c r="C44" s="14" t="s">
        <v>3446</v>
      </c>
      <c r="D44" s="15" t="s">
        <v>86</v>
      </c>
      <c r="E44" s="17" t="s">
        <v>87</v>
      </c>
    </row>
    <row r="45" spans="1:5">
      <c r="A45" s="13">
        <v>10043</v>
      </c>
      <c r="B45" s="13">
        <v>1</v>
      </c>
      <c r="C45" s="14" t="s">
        <v>3447</v>
      </c>
      <c r="D45" s="15" t="s">
        <v>88</v>
      </c>
      <c r="E45" s="17" t="s">
        <v>89</v>
      </c>
    </row>
    <row r="46" spans="1:5">
      <c r="A46" s="13">
        <v>10046</v>
      </c>
      <c r="B46" s="13">
        <v>1</v>
      </c>
      <c r="C46" s="14" t="s">
        <v>3448</v>
      </c>
      <c r="D46" s="15" t="s">
        <v>90</v>
      </c>
      <c r="E46" s="17" t="s">
        <v>91</v>
      </c>
    </row>
    <row r="47" spans="1:5">
      <c r="A47" s="13">
        <v>10047</v>
      </c>
      <c r="B47" s="13">
        <v>1</v>
      </c>
      <c r="C47" s="14" t="s">
        <v>3449</v>
      </c>
      <c r="D47" s="15" t="s">
        <v>92</v>
      </c>
      <c r="E47" s="17" t="s">
        <v>93</v>
      </c>
    </row>
    <row r="48" spans="1:5">
      <c r="A48" s="13">
        <v>10048</v>
      </c>
      <c r="B48" s="13">
        <v>1</v>
      </c>
      <c r="C48" s="14" t="s">
        <v>3450</v>
      </c>
      <c r="D48" s="15" t="s">
        <v>94</v>
      </c>
      <c r="E48" s="17" t="s">
        <v>95</v>
      </c>
    </row>
    <row r="49" spans="1:5">
      <c r="A49" s="13">
        <v>10052</v>
      </c>
      <c r="B49" s="13">
        <v>1</v>
      </c>
      <c r="C49" s="14" t="s">
        <v>3451</v>
      </c>
      <c r="D49" s="15" t="s">
        <v>96</v>
      </c>
      <c r="E49" s="17" t="s">
        <v>97</v>
      </c>
    </row>
    <row r="50" spans="1:5">
      <c r="A50" s="13">
        <v>10053</v>
      </c>
      <c r="B50" s="13">
        <v>1</v>
      </c>
      <c r="C50" s="14" t="s">
        <v>3452</v>
      </c>
      <c r="D50" s="15" t="s">
        <v>98</v>
      </c>
      <c r="E50" s="17" t="s">
        <v>99</v>
      </c>
    </row>
    <row r="51" spans="1:5">
      <c r="A51" s="13">
        <v>10054</v>
      </c>
      <c r="B51" s="13">
        <v>1</v>
      </c>
      <c r="C51" s="14" t="s">
        <v>3453</v>
      </c>
      <c r="D51" s="15" t="s">
        <v>100</v>
      </c>
      <c r="E51" s="17" t="s">
        <v>101</v>
      </c>
    </row>
    <row r="52" spans="1:5">
      <c r="A52" s="13">
        <v>10055</v>
      </c>
      <c r="B52" s="13">
        <v>1</v>
      </c>
      <c r="C52" s="14" t="s">
        <v>3454</v>
      </c>
      <c r="D52" s="15" t="s">
        <v>102</v>
      </c>
      <c r="E52" s="17" t="s">
        <v>103</v>
      </c>
    </row>
    <row r="53" spans="1:5">
      <c r="A53" s="13">
        <v>10056</v>
      </c>
      <c r="B53" s="13">
        <v>1</v>
      </c>
      <c r="C53" s="14" t="s">
        <v>3455</v>
      </c>
      <c r="D53" s="15" t="s">
        <v>104</v>
      </c>
      <c r="E53" s="17" t="s">
        <v>105</v>
      </c>
    </row>
    <row r="54" spans="1:5">
      <c r="A54" s="13">
        <v>10057</v>
      </c>
      <c r="B54" s="13">
        <v>1</v>
      </c>
      <c r="C54" s="14" t="s">
        <v>3456</v>
      </c>
      <c r="D54" s="15" t="s">
        <v>106</v>
      </c>
      <c r="E54" s="17" t="s">
        <v>107</v>
      </c>
    </row>
    <row r="55" spans="1:5">
      <c r="A55" s="13">
        <v>10058</v>
      </c>
      <c r="B55" s="13">
        <v>1</v>
      </c>
      <c r="C55" s="14" t="s">
        <v>3457</v>
      </c>
      <c r="D55" s="15" t="s">
        <v>108</v>
      </c>
      <c r="E55" s="17" t="s">
        <v>109</v>
      </c>
    </row>
    <row r="56" spans="1:5">
      <c r="A56" s="13">
        <v>10059</v>
      </c>
      <c r="B56" s="13">
        <v>1</v>
      </c>
      <c r="C56" s="14" t="s">
        <v>3458</v>
      </c>
      <c r="D56" s="15" t="s">
        <v>110</v>
      </c>
      <c r="E56" s="17" t="s">
        <v>111</v>
      </c>
    </row>
    <row r="57" spans="1:5">
      <c r="A57" s="13">
        <v>10062</v>
      </c>
      <c r="B57" s="13">
        <v>1</v>
      </c>
      <c r="C57" s="14" t="s">
        <v>3459</v>
      </c>
      <c r="D57" s="15" t="s">
        <v>112</v>
      </c>
      <c r="E57" s="17" t="s">
        <v>113</v>
      </c>
    </row>
    <row r="58" spans="1:5">
      <c r="A58" s="13">
        <v>10063</v>
      </c>
      <c r="B58" s="13">
        <v>1</v>
      </c>
      <c r="C58" s="14" t="s">
        <v>3460</v>
      </c>
      <c r="D58" s="15" t="s">
        <v>114</v>
      </c>
      <c r="E58" s="17" t="s">
        <v>115</v>
      </c>
    </row>
    <row r="59" spans="1:5">
      <c r="A59" s="13">
        <v>10064</v>
      </c>
      <c r="B59" s="13">
        <v>1</v>
      </c>
      <c r="C59" s="14" t="s">
        <v>3461</v>
      </c>
      <c r="D59" s="15" t="s">
        <v>116</v>
      </c>
      <c r="E59" s="17" t="s">
        <v>117</v>
      </c>
    </row>
    <row r="60" spans="1:5">
      <c r="A60" s="13">
        <v>10065</v>
      </c>
      <c r="B60" s="13">
        <v>1</v>
      </c>
      <c r="C60" s="14" t="s">
        <v>3462</v>
      </c>
      <c r="D60" s="15" t="s">
        <v>118</v>
      </c>
      <c r="E60" s="17" t="s">
        <v>119</v>
      </c>
    </row>
    <row r="61" spans="1:5">
      <c r="A61" s="13">
        <v>10066</v>
      </c>
      <c r="B61" s="13">
        <v>1</v>
      </c>
      <c r="C61" s="14" t="s">
        <v>3463</v>
      </c>
      <c r="D61" s="15" t="s">
        <v>120</v>
      </c>
      <c r="E61" s="17" t="s">
        <v>121</v>
      </c>
    </row>
    <row r="62" spans="1:5">
      <c r="A62" s="13">
        <v>10067</v>
      </c>
      <c r="B62" s="13">
        <v>1</v>
      </c>
      <c r="C62" s="14" t="s">
        <v>3464</v>
      </c>
      <c r="D62" s="15" t="s">
        <v>122</v>
      </c>
      <c r="E62" s="17" t="s">
        <v>123</v>
      </c>
    </row>
    <row r="63" spans="1:5">
      <c r="A63" s="13">
        <v>10068</v>
      </c>
      <c r="B63" s="13">
        <v>1</v>
      </c>
      <c r="C63" s="14" t="s">
        <v>3465</v>
      </c>
      <c r="D63" s="15" t="s">
        <v>124</v>
      </c>
      <c r="E63" s="17" t="s">
        <v>125</v>
      </c>
    </row>
    <row r="64" spans="1:5">
      <c r="A64" s="13">
        <v>10069</v>
      </c>
      <c r="B64" s="13">
        <v>1</v>
      </c>
      <c r="C64" s="14" t="s">
        <v>3466</v>
      </c>
      <c r="D64" s="15" t="s">
        <v>126</v>
      </c>
      <c r="E64" s="17" t="s">
        <v>127</v>
      </c>
    </row>
    <row r="65" spans="1:5">
      <c r="A65" s="13">
        <v>10070</v>
      </c>
      <c r="B65" s="13">
        <v>1</v>
      </c>
      <c r="C65" s="14" t="s">
        <v>3467</v>
      </c>
      <c r="D65" s="15" t="s">
        <v>128</v>
      </c>
      <c r="E65" s="17" t="s">
        <v>129</v>
      </c>
    </row>
    <row r="66" spans="1:5">
      <c r="A66" s="13">
        <v>10071</v>
      </c>
      <c r="B66" s="13">
        <v>1</v>
      </c>
      <c r="C66" s="14" t="s">
        <v>3468</v>
      </c>
      <c r="D66" s="15" t="s">
        <v>130</v>
      </c>
      <c r="E66" s="17" t="s">
        <v>131</v>
      </c>
    </row>
    <row r="67" spans="1:5">
      <c r="A67" s="13">
        <v>10076</v>
      </c>
      <c r="B67" s="13">
        <v>1</v>
      </c>
      <c r="C67" s="14" t="s">
        <v>3469</v>
      </c>
      <c r="D67" s="15" t="s">
        <v>132</v>
      </c>
      <c r="E67" s="17" t="s">
        <v>133</v>
      </c>
    </row>
    <row r="68" spans="1:5">
      <c r="A68" s="13">
        <v>10077</v>
      </c>
      <c r="B68" s="13">
        <v>1</v>
      </c>
      <c r="C68" s="14" t="s">
        <v>3470</v>
      </c>
      <c r="D68" s="15" t="s">
        <v>134</v>
      </c>
      <c r="E68" s="17" t="s">
        <v>135</v>
      </c>
    </row>
    <row r="69" spans="1:5">
      <c r="A69" s="13">
        <v>10078</v>
      </c>
      <c r="B69" s="13">
        <v>1</v>
      </c>
      <c r="C69" s="14" t="s">
        <v>3471</v>
      </c>
      <c r="D69" s="15" t="s">
        <v>136</v>
      </c>
      <c r="E69" s="17" t="s">
        <v>137</v>
      </c>
    </row>
    <row r="70" spans="1:5">
      <c r="A70" s="13">
        <v>10079</v>
      </c>
      <c r="B70" s="13">
        <v>1</v>
      </c>
      <c r="C70" s="14" t="s">
        <v>3472</v>
      </c>
      <c r="D70" s="15" t="s">
        <v>138</v>
      </c>
      <c r="E70" s="17" t="s">
        <v>139</v>
      </c>
    </row>
    <row r="71" spans="1:5">
      <c r="A71" s="13">
        <v>10080</v>
      </c>
      <c r="B71" s="13">
        <v>1</v>
      </c>
      <c r="C71" s="14" t="s">
        <v>3473</v>
      </c>
      <c r="D71" s="15" t="s">
        <v>140</v>
      </c>
      <c r="E71" s="17" t="s">
        <v>141</v>
      </c>
    </row>
    <row r="72" spans="1:5">
      <c r="A72" s="13">
        <v>10081</v>
      </c>
      <c r="B72" s="13">
        <v>1</v>
      </c>
      <c r="C72" s="14" t="s">
        <v>3474</v>
      </c>
      <c r="D72" s="15" t="s">
        <v>142</v>
      </c>
      <c r="E72" s="17" t="s">
        <v>143</v>
      </c>
    </row>
    <row r="73" spans="1:5">
      <c r="A73" s="13">
        <v>10082</v>
      </c>
      <c r="B73" s="13">
        <v>1</v>
      </c>
      <c r="C73" s="14" t="s">
        <v>3475</v>
      </c>
      <c r="D73" s="15" t="s">
        <v>144</v>
      </c>
      <c r="E73" s="17" t="s">
        <v>145</v>
      </c>
    </row>
    <row r="74" spans="1:5">
      <c r="A74" s="13">
        <v>10085</v>
      </c>
      <c r="B74" s="13">
        <v>1</v>
      </c>
      <c r="C74" s="14" t="s">
        <v>3476</v>
      </c>
      <c r="D74" s="15" t="s">
        <v>146</v>
      </c>
      <c r="E74" s="17" t="s">
        <v>147</v>
      </c>
    </row>
    <row r="75" spans="1:5">
      <c r="A75" s="13">
        <v>10086</v>
      </c>
      <c r="B75" s="13">
        <v>1</v>
      </c>
      <c r="C75" s="14" t="s">
        <v>3477</v>
      </c>
      <c r="D75" s="15" t="s">
        <v>148</v>
      </c>
      <c r="E75" s="17" t="s">
        <v>149</v>
      </c>
    </row>
    <row r="76" spans="1:5">
      <c r="A76" s="13">
        <v>10087</v>
      </c>
      <c r="B76" s="13">
        <v>1</v>
      </c>
      <c r="C76" s="14" t="s">
        <v>3478</v>
      </c>
      <c r="D76" s="15" t="s">
        <v>150</v>
      </c>
      <c r="E76" s="17" t="s">
        <v>151</v>
      </c>
    </row>
    <row r="77" spans="1:5">
      <c r="A77" s="13">
        <v>10088</v>
      </c>
      <c r="B77" s="13">
        <v>1</v>
      </c>
      <c r="C77" s="14" t="s">
        <v>3479</v>
      </c>
      <c r="D77" s="15" t="s">
        <v>152</v>
      </c>
      <c r="E77" s="17" t="s">
        <v>153</v>
      </c>
    </row>
    <row r="78" spans="1:5">
      <c r="A78" s="13">
        <v>10089</v>
      </c>
      <c r="B78" s="13">
        <v>1</v>
      </c>
      <c r="C78" s="14" t="s">
        <v>3479</v>
      </c>
      <c r="D78" s="15" t="s">
        <v>150</v>
      </c>
      <c r="E78" s="17" t="s">
        <v>153</v>
      </c>
    </row>
    <row r="79" spans="1:5">
      <c r="A79" s="13">
        <v>10090</v>
      </c>
      <c r="B79" s="13">
        <v>1</v>
      </c>
      <c r="C79" s="14" t="s">
        <v>3479</v>
      </c>
      <c r="D79" s="15" t="s">
        <v>152</v>
      </c>
      <c r="E79" s="17" t="s">
        <v>153</v>
      </c>
    </row>
    <row r="80" spans="1:5">
      <c r="A80" s="13">
        <v>12501</v>
      </c>
      <c r="B80" s="13">
        <v>1</v>
      </c>
      <c r="C80" s="14" t="s">
        <v>3480</v>
      </c>
      <c r="D80" s="15" t="s">
        <v>154</v>
      </c>
      <c r="E80" s="17" t="s">
        <v>155</v>
      </c>
    </row>
    <row r="81" spans="1:5">
      <c r="A81" s="13">
        <v>12502</v>
      </c>
      <c r="B81" s="13">
        <v>1</v>
      </c>
      <c r="C81" s="14" t="s">
        <v>3481</v>
      </c>
      <c r="D81" s="15" t="s">
        <v>156</v>
      </c>
      <c r="E81" s="17" t="s">
        <v>157</v>
      </c>
    </row>
    <row r="82" spans="1:5">
      <c r="A82" s="13">
        <v>12503</v>
      </c>
      <c r="B82" s="13">
        <v>1</v>
      </c>
      <c r="C82" s="14" t="s">
        <v>3482</v>
      </c>
      <c r="D82" s="15" t="s">
        <v>158</v>
      </c>
      <c r="E82" s="17" t="s">
        <v>159</v>
      </c>
    </row>
    <row r="83" spans="1:5">
      <c r="A83" s="13">
        <v>12504</v>
      </c>
      <c r="B83" s="13">
        <v>1</v>
      </c>
      <c r="C83" s="14" t="s">
        <v>3483</v>
      </c>
      <c r="D83" s="15" t="s">
        <v>160</v>
      </c>
      <c r="E83" s="17" t="s">
        <v>161</v>
      </c>
    </row>
    <row r="84" spans="1:5">
      <c r="A84" s="13">
        <v>12505</v>
      </c>
      <c r="B84" s="13">
        <v>1</v>
      </c>
      <c r="C84" s="14" t="s">
        <v>3484</v>
      </c>
      <c r="D84" s="15" t="s">
        <v>162</v>
      </c>
      <c r="E84" s="17" t="s">
        <v>163</v>
      </c>
    </row>
    <row r="85" spans="1:5">
      <c r="A85" s="13">
        <v>12506</v>
      </c>
      <c r="B85" s="13">
        <v>1</v>
      </c>
      <c r="C85" s="14" t="s">
        <v>3485</v>
      </c>
      <c r="D85" s="15" t="s">
        <v>164</v>
      </c>
      <c r="E85" s="17" t="s">
        <v>165</v>
      </c>
    </row>
    <row r="86" spans="1:5">
      <c r="A86" s="13">
        <v>12507</v>
      </c>
      <c r="B86" s="13">
        <v>1</v>
      </c>
      <c r="C86" s="14" t="s">
        <v>3486</v>
      </c>
      <c r="D86" s="15" t="s">
        <v>166</v>
      </c>
      <c r="E86" s="17" t="s">
        <v>167</v>
      </c>
    </row>
    <row r="87" spans="1:5">
      <c r="A87" s="13">
        <v>12508</v>
      </c>
      <c r="B87" s="13">
        <v>1</v>
      </c>
      <c r="C87" s="14" t="s">
        <v>3487</v>
      </c>
      <c r="D87" s="15" t="s">
        <v>168</v>
      </c>
      <c r="E87" s="17" t="s">
        <v>169</v>
      </c>
    </row>
    <row r="88" spans="1:5">
      <c r="A88" s="13">
        <v>12509</v>
      </c>
      <c r="B88" s="13">
        <v>1</v>
      </c>
      <c r="C88" s="14" t="s">
        <v>3488</v>
      </c>
      <c r="D88" s="15" t="s">
        <v>170</v>
      </c>
      <c r="E88" s="17" t="s">
        <v>171</v>
      </c>
    </row>
    <row r="89" spans="1:5">
      <c r="A89" s="13">
        <v>12510</v>
      </c>
      <c r="B89" s="13">
        <v>1</v>
      </c>
      <c r="C89" s="14" t="s">
        <v>3489</v>
      </c>
      <c r="D89" s="15" t="s">
        <v>172</v>
      </c>
      <c r="E89" s="17" t="s">
        <v>173</v>
      </c>
    </row>
    <row r="90" spans="1:5">
      <c r="A90" s="13">
        <v>12511</v>
      </c>
      <c r="B90" s="13">
        <v>1</v>
      </c>
      <c r="C90" s="14" t="s">
        <v>3490</v>
      </c>
      <c r="D90" s="15" t="s">
        <v>174</v>
      </c>
      <c r="E90" s="17" t="s">
        <v>175</v>
      </c>
    </row>
    <row r="91" spans="1:5">
      <c r="A91" s="13">
        <v>12512</v>
      </c>
      <c r="B91" s="13">
        <v>1</v>
      </c>
      <c r="C91" s="14" t="s">
        <v>3491</v>
      </c>
      <c r="D91" s="15" t="s">
        <v>176</v>
      </c>
      <c r="E91" s="17" t="s">
        <v>177</v>
      </c>
    </row>
    <row r="92" spans="1:5">
      <c r="A92" s="13">
        <v>12513</v>
      </c>
      <c r="B92" s="13">
        <v>1</v>
      </c>
      <c r="C92" s="14" t="s">
        <v>3492</v>
      </c>
      <c r="D92" s="15" t="s">
        <v>178</v>
      </c>
      <c r="E92" s="17" t="s">
        <v>179</v>
      </c>
    </row>
    <row r="93" spans="1:5">
      <c r="A93" s="13">
        <v>12514</v>
      </c>
      <c r="B93" s="13">
        <v>1</v>
      </c>
      <c r="C93" s="14" t="s">
        <v>3493</v>
      </c>
      <c r="D93" s="15" t="s">
        <v>180</v>
      </c>
      <c r="E93" s="17" t="s">
        <v>181</v>
      </c>
    </row>
    <row r="94" spans="1:5">
      <c r="A94" s="13">
        <v>12515</v>
      </c>
      <c r="B94" s="13">
        <v>1</v>
      </c>
      <c r="C94" s="14" t="s">
        <v>3494</v>
      </c>
      <c r="D94" s="15" t="s">
        <v>182</v>
      </c>
      <c r="E94" s="17" t="s">
        <v>183</v>
      </c>
    </row>
    <row r="95" spans="1:5">
      <c r="A95" s="13">
        <v>12516</v>
      </c>
      <c r="B95" s="13">
        <v>1</v>
      </c>
      <c r="C95" s="14" t="s">
        <v>3495</v>
      </c>
      <c r="D95" s="15" t="s">
        <v>184</v>
      </c>
      <c r="E95" s="17" t="s">
        <v>185</v>
      </c>
    </row>
    <row r="96" spans="1:5">
      <c r="A96" s="13">
        <v>12517</v>
      </c>
      <c r="B96" s="13">
        <v>1</v>
      </c>
      <c r="C96" s="14" t="s">
        <v>3496</v>
      </c>
      <c r="D96" s="15" t="s">
        <v>186</v>
      </c>
      <c r="E96" s="17" t="s">
        <v>187</v>
      </c>
    </row>
    <row r="97" spans="1:5">
      <c r="A97" s="13">
        <v>12518</v>
      </c>
      <c r="B97" s="13">
        <v>1</v>
      </c>
      <c r="C97" s="14" t="s">
        <v>3497</v>
      </c>
      <c r="D97" s="15" t="s">
        <v>188</v>
      </c>
      <c r="E97" s="17" t="s">
        <v>189</v>
      </c>
    </row>
    <row r="98" spans="1:5">
      <c r="A98" s="13">
        <v>12519</v>
      </c>
      <c r="B98" s="13">
        <v>1</v>
      </c>
      <c r="C98" s="14" t="s">
        <v>3498</v>
      </c>
      <c r="D98" s="15" t="s">
        <v>190</v>
      </c>
      <c r="E98" s="17" t="s">
        <v>191</v>
      </c>
    </row>
    <row r="99" spans="1:5">
      <c r="A99" s="13">
        <v>12520</v>
      </c>
      <c r="B99" s="13">
        <v>1</v>
      </c>
      <c r="C99" s="14" t="s">
        <v>3499</v>
      </c>
      <c r="D99" s="15" t="s">
        <v>192</v>
      </c>
      <c r="E99" s="17" t="s">
        <v>193</v>
      </c>
    </row>
    <row r="100" spans="1:5">
      <c r="A100" s="13">
        <v>12521</v>
      </c>
      <c r="B100" s="13">
        <v>1</v>
      </c>
      <c r="C100" s="14" t="s">
        <v>3500</v>
      </c>
      <c r="D100" s="15" t="s">
        <v>194</v>
      </c>
      <c r="E100" s="17" t="s">
        <v>195</v>
      </c>
    </row>
    <row r="101" spans="1:5">
      <c r="A101" s="13">
        <v>12522</v>
      </c>
      <c r="B101" s="13">
        <v>1</v>
      </c>
      <c r="C101" s="14" t="s">
        <v>3501</v>
      </c>
      <c r="D101" s="15" t="s">
        <v>196</v>
      </c>
      <c r="E101" s="17" t="s">
        <v>197</v>
      </c>
    </row>
    <row r="102" spans="1:5">
      <c r="A102" s="13">
        <v>12523</v>
      </c>
      <c r="B102" s="13">
        <v>1</v>
      </c>
      <c r="C102" s="14" t="s">
        <v>3502</v>
      </c>
      <c r="D102" s="15" t="s">
        <v>198</v>
      </c>
      <c r="E102" s="17" t="s">
        <v>199</v>
      </c>
    </row>
    <row r="103" spans="1:5">
      <c r="A103" s="13">
        <v>12524</v>
      </c>
      <c r="B103" s="13">
        <v>1</v>
      </c>
      <c r="C103" s="14" t="s">
        <v>3503</v>
      </c>
      <c r="D103" s="15" t="s">
        <v>200</v>
      </c>
      <c r="E103" s="17" t="s">
        <v>201</v>
      </c>
    </row>
    <row r="104" spans="1:5">
      <c r="A104" s="13">
        <v>12525</v>
      </c>
      <c r="B104" s="13">
        <v>1</v>
      </c>
      <c r="C104" s="14" t="s">
        <v>3504</v>
      </c>
      <c r="D104" s="15" t="s">
        <v>202</v>
      </c>
      <c r="E104" s="17" t="s">
        <v>203</v>
      </c>
    </row>
    <row r="105" spans="1:5">
      <c r="A105" s="13">
        <v>12526</v>
      </c>
      <c r="B105" s="13">
        <v>1</v>
      </c>
      <c r="C105" s="14" t="s">
        <v>3505</v>
      </c>
      <c r="D105" s="15" t="s">
        <v>204</v>
      </c>
      <c r="E105" s="17" t="s">
        <v>205</v>
      </c>
    </row>
    <row r="106" spans="1:5">
      <c r="A106" s="13">
        <v>12527</v>
      </c>
      <c r="B106" s="13">
        <v>1</v>
      </c>
      <c r="C106" s="14" t="s">
        <v>3506</v>
      </c>
      <c r="D106" s="15" t="s">
        <v>206</v>
      </c>
      <c r="E106" s="17" t="s">
        <v>207</v>
      </c>
    </row>
    <row r="107" spans="1:5">
      <c r="A107" s="13">
        <v>12528</v>
      </c>
      <c r="B107" s="13">
        <v>1</v>
      </c>
      <c r="C107" s="14" t="s">
        <v>3507</v>
      </c>
      <c r="D107" s="15" t="s">
        <v>208</v>
      </c>
      <c r="E107" s="17" t="s">
        <v>209</v>
      </c>
    </row>
    <row r="108" spans="1:5">
      <c r="A108" s="13">
        <v>12529</v>
      </c>
      <c r="B108" s="13">
        <v>1</v>
      </c>
      <c r="C108" s="14" t="s">
        <v>3508</v>
      </c>
      <c r="D108" s="15" t="s">
        <v>210</v>
      </c>
      <c r="E108" s="17" t="s">
        <v>211</v>
      </c>
    </row>
    <row r="109" spans="1:5">
      <c r="A109" s="13">
        <v>12530</v>
      </c>
      <c r="B109" s="13">
        <v>1</v>
      </c>
      <c r="C109" s="14" t="s">
        <v>3509</v>
      </c>
      <c r="D109" s="15" t="s">
        <v>212</v>
      </c>
      <c r="E109" s="17" t="s">
        <v>213</v>
      </c>
    </row>
    <row r="110" spans="1:5">
      <c r="A110" s="13">
        <v>12531</v>
      </c>
      <c r="B110" s="13">
        <v>1</v>
      </c>
      <c r="C110" s="14" t="s">
        <v>3510</v>
      </c>
      <c r="D110" s="15" t="s">
        <v>214</v>
      </c>
      <c r="E110" s="17" t="s">
        <v>215</v>
      </c>
    </row>
    <row r="111" spans="1:5">
      <c r="A111" s="13">
        <v>12532</v>
      </c>
      <c r="B111" s="13">
        <v>1</v>
      </c>
      <c r="C111" s="14" t="s">
        <v>3511</v>
      </c>
      <c r="D111" s="15" t="s">
        <v>216</v>
      </c>
      <c r="E111" s="17" t="s">
        <v>217</v>
      </c>
    </row>
    <row r="112" spans="1:5">
      <c r="A112" s="13">
        <v>12533</v>
      </c>
      <c r="B112" s="13">
        <v>1</v>
      </c>
      <c r="C112" s="14" t="s">
        <v>3512</v>
      </c>
      <c r="D112" s="15" t="s">
        <v>218</v>
      </c>
      <c r="E112" s="17" t="s">
        <v>219</v>
      </c>
    </row>
    <row r="113" spans="1:5">
      <c r="A113" s="13">
        <v>12534</v>
      </c>
      <c r="B113" s="13">
        <v>1</v>
      </c>
      <c r="C113" s="14" t="s">
        <v>3513</v>
      </c>
      <c r="D113" s="15" t="s">
        <v>220</v>
      </c>
      <c r="E113" s="17" t="s">
        <v>221</v>
      </c>
    </row>
    <row r="114" spans="1:5">
      <c r="A114" s="13">
        <v>12535</v>
      </c>
      <c r="B114" s="13">
        <v>1</v>
      </c>
      <c r="C114" s="14" t="s">
        <v>3514</v>
      </c>
      <c r="D114" s="15" t="s">
        <v>222</v>
      </c>
      <c r="E114" s="17" t="s">
        <v>223</v>
      </c>
    </row>
    <row r="115" spans="1:5">
      <c r="A115" s="13">
        <v>12536</v>
      </c>
      <c r="B115" s="13">
        <v>1</v>
      </c>
      <c r="C115" s="14" t="s">
        <v>3515</v>
      </c>
      <c r="D115" s="15" t="s">
        <v>224</v>
      </c>
      <c r="E115" s="17" t="s">
        <v>225</v>
      </c>
    </row>
    <row r="116" spans="1:5">
      <c r="A116" s="13">
        <v>12537</v>
      </c>
      <c r="B116" s="13">
        <v>1</v>
      </c>
      <c r="C116" s="14" t="s">
        <v>3516</v>
      </c>
      <c r="D116" s="15" t="s">
        <v>226</v>
      </c>
      <c r="E116" s="17" t="s">
        <v>227</v>
      </c>
    </row>
    <row r="117" spans="1:5">
      <c r="A117" s="13">
        <v>12538</v>
      </c>
      <c r="B117" s="13">
        <v>1</v>
      </c>
      <c r="C117" s="14" t="s">
        <v>3517</v>
      </c>
      <c r="D117" s="15" t="s">
        <v>228</v>
      </c>
      <c r="E117" s="17" t="s">
        <v>229</v>
      </c>
    </row>
    <row r="118" spans="1:5">
      <c r="A118" s="13">
        <v>12539</v>
      </c>
      <c r="B118" s="13">
        <v>1</v>
      </c>
      <c r="C118" s="14" t="s">
        <v>3518</v>
      </c>
      <c r="D118" s="15" t="s">
        <v>230</v>
      </c>
      <c r="E118" s="17" t="s">
        <v>231</v>
      </c>
    </row>
    <row r="119" spans="1:5">
      <c r="A119" s="13">
        <v>12540</v>
      </c>
      <c r="B119" s="13">
        <v>1</v>
      </c>
      <c r="C119" s="14" t="s">
        <v>3519</v>
      </c>
      <c r="D119" s="15" t="s">
        <v>232</v>
      </c>
      <c r="E119" s="17" t="s">
        <v>233</v>
      </c>
    </row>
    <row r="120" spans="1:5">
      <c r="A120" s="13">
        <v>12541</v>
      </c>
      <c r="B120" s="13">
        <v>1</v>
      </c>
      <c r="C120" s="14" t="s">
        <v>3520</v>
      </c>
      <c r="D120" s="15" t="s">
        <v>234</v>
      </c>
      <c r="E120" s="17" t="s">
        <v>235</v>
      </c>
    </row>
    <row r="121" spans="1:5">
      <c r="A121" s="13">
        <v>12542</v>
      </c>
      <c r="B121" s="13">
        <v>1</v>
      </c>
      <c r="C121" s="14" t="s">
        <v>3521</v>
      </c>
      <c r="D121" s="15" t="s">
        <v>236</v>
      </c>
      <c r="E121" s="17" t="s">
        <v>237</v>
      </c>
    </row>
    <row r="122" spans="1:5">
      <c r="A122" s="13">
        <v>12543</v>
      </c>
      <c r="B122" s="13">
        <v>1</v>
      </c>
      <c r="C122" s="14" t="s">
        <v>3522</v>
      </c>
      <c r="D122" s="15" t="s">
        <v>238</v>
      </c>
      <c r="E122" s="17" t="s">
        <v>239</v>
      </c>
    </row>
    <row r="123" spans="1:5">
      <c r="A123" s="13">
        <v>12546</v>
      </c>
      <c r="B123" s="13">
        <v>1</v>
      </c>
      <c r="C123" s="14" t="s">
        <v>3523</v>
      </c>
      <c r="D123" s="15" t="s">
        <v>240</v>
      </c>
      <c r="E123" s="17" t="s">
        <v>241</v>
      </c>
    </row>
    <row r="124" spans="1:5">
      <c r="A124" s="13">
        <v>12547</v>
      </c>
      <c r="B124" s="13">
        <v>1</v>
      </c>
      <c r="C124" s="14" t="s">
        <v>3524</v>
      </c>
      <c r="D124" s="15" t="s">
        <v>242</v>
      </c>
      <c r="E124" s="17" t="s">
        <v>243</v>
      </c>
    </row>
    <row r="125" spans="1:5">
      <c r="A125" s="13">
        <v>12548</v>
      </c>
      <c r="B125" s="13">
        <v>1</v>
      </c>
      <c r="C125" s="14" t="s">
        <v>3525</v>
      </c>
      <c r="D125" s="15" t="s">
        <v>244</v>
      </c>
      <c r="E125" s="17" t="s">
        <v>245</v>
      </c>
    </row>
    <row r="126" spans="1:5">
      <c r="A126" s="13">
        <v>12552</v>
      </c>
      <c r="B126" s="13">
        <v>1</v>
      </c>
      <c r="C126" s="14" t="s">
        <v>3526</v>
      </c>
      <c r="D126" s="15" t="s">
        <v>246</v>
      </c>
      <c r="E126" s="17" t="s">
        <v>247</v>
      </c>
    </row>
    <row r="127" spans="1:5">
      <c r="A127" s="13">
        <v>12553</v>
      </c>
      <c r="B127" s="13">
        <v>1</v>
      </c>
      <c r="C127" s="14" t="s">
        <v>3527</v>
      </c>
      <c r="D127" s="15" t="s">
        <v>248</v>
      </c>
      <c r="E127" s="17" t="s">
        <v>249</v>
      </c>
    </row>
    <row r="128" spans="1:5">
      <c r="A128" s="13">
        <v>12554</v>
      </c>
      <c r="B128" s="13">
        <v>1</v>
      </c>
      <c r="C128" s="14" t="s">
        <v>3528</v>
      </c>
      <c r="D128" s="15" t="s">
        <v>250</v>
      </c>
      <c r="E128" s="17" t="s">
        <v>251</v>
      </c>
    </row>
    <row r="129" spans="1:5">
      <c r="A129" s="13">
        <v>12555</v>
      </c>
      <c r="B129" s="13">
        <v>1</v>
      </c>
      <c r="C129" s="14" t="s">
        <v>3529</v>
      </c>
      <c r="D129" s="15" t="s">
        <v>252</v>
      </c>
      <c r="E129" s="17" t="s">
        <v>253</v>
      </c>
    </row>
    <row r="130" spans="1:5">
      <c r="A130" s="13">
        <v>12556</v>
      </c>
      <c r="B130" s="13">
        <v>1</v>
      </c>
      <c r="C130" s="14" t="s">
        <v>3530</v>
      </c>
      <c r="D130" s="15" t="s">
        <v>254</v>
      </c>
      <c r="E130" s="17" t="s">
        <v>255</v>
      </c>
    </row>
    <row r="131" spans="1:5">
      <c r="A131" s="13">
        <v>12557</v>
      </c>
      <c r="B131" s="13">
        <v>1</v>
      </c>
      <c r="C131" s="14" t="s">
        <v>3531</v>
      </c>
      <c r="D131" s="15" t="s">
        <v>256</v>
      </c>
      <c r="E131" s="17" t="s">
        <v>257</v>
      </c>
    </row>
    <row r="132" spans="1:5">
      <c r="A132" s="13">
        <v>12558</v>
      </c>
      <c r="B132" s="13">
        <v>1</v>
      </c>
      <c r="C132" s="14" t="s">
        <v>3532</v>
      </c>
      <c r="D132" s="15" t="s">
        <v>258</v>
      </c>
      <c r="E132" s="17" t="s">
        <v>259</v>
      </c>
    </row>
    <row r="133" spans="1:5">
      <c r="A133" s="13">
        <v>12559</v>
      </c>
      <c r="B133" s="13">
        <v>1</v>
      </c>
      <c r="C133" s="14" t="s">
        <v>3533</v>
      </c>
      <c r="D133" s="15" t="s">
        <v>260</v>
      </c>
      <c r="E133" s="17" t="s">
        <v>261</v>
      </c>
    </row>
    <row r="134" spans="1:5">
      <c r="A134" s="13">
        <v>12562</v>
      </c>
      <c r="B134" s="13">
        <v>1</v>
      </c>
      <c r="C134" s="14" t="s">
        <v>3534</v>
      </c>
      <c r="D134" s="15" t="s">
        <v>262</v>
      </c>
      <c r="E134" s="17" t="s">
        <v>263</v>
      </c>
    </row>
    <row r="135" spans="1:5">
      <c r="A135" s="13">
        <v>12563</v>
      </c>
      <c r="B135" s="13">
        <v>1</v>
      </c>
      <c r="C135" s="14" t="s">
        <v>3535</v>
      </c>
      <c r="D135" s="15" t="s">
        <v>264</v>
      </c>
      <c r="E135" s="17" t="s">
        <v>265</v>
      </c>
    </row>
    <row r="136" spans="1:5">
      <c r="A136" s="132">
        <v>12600</v>
      </c>
      <c r="B136" s="132">
        <v>0</v>
      </c>
      <c r="C136" s="133" t="s">
        <v>4640</v>
      </c>
      <c r="D136" s="134" t="s">
        <v>4639</v>
      </c>
      <c r="E136" s="135" t="s">
        <v>4641</v>
      </c>
    </row>
    <row r="137" spans="1:5">
      <c r="A137" s="13">
        <v>15001</v>
      </c>
      <c r="B137" s="13">
        <v>1</v>
      </c>
      <c r="C137" s="14" t="s">
        <v>3536</v>
      </c>
      <c r="D137" s="15" t="s">
        <v>266</v>
      </c>
      <c r="E137" s="17" t="s">
        <v>267</v>
      </c>
    </row>
    <row r="138" spans="1:5">
      <c r="A138" s="13">
        <v>15002</v>
      </c>
      <c r="B138" s="13">
        <v>1</v>
      </c>
      <c r="C138" s="14" t="s">
        <v>3537</v>
      </c>
      <c r="D138" s="15" t="s">
        <v>268</v>
      </c>
      <c r="E138" s="17" t="s">
        <v>269</v>
      </c>
    </row>
    <row r="139" spans="1:5">
      <c r="A139" s="13">
        <v>15003</v>
      </c>
      <c r="B139" s="13">
        <v>1</v>
      </c>
      <c r="C139" s="14" t="s">
        <v>3538</v>
      </c>
      <c r="D139" s="15" t="s">
        <v>270</v>
      </c>
      <c r="E139" s="17" t="s">
        <v>271</v>
      </c>
    </row>
    <row r="140" spans="1:5">
      <c r="A140" s="13">
        <v>15004</v>
      </c>
      <c r="B140" s="13">
        <v>1</v>
      </c>
      <c r="C140" s="14" t="s">
        <v>3539</v>
      </c>
      <c r="D140" s="15" t="s">
        <v>272</v>
      </c>
      <c r="E140" s="17" t="s">
        <v>273</v>
      </c>
    </row>
    <row r="141" spans="1:5">
      <c r="A141" s="13">
        <v>15005</v>
      </c>
      <c r="B141" s="13">
        <v>1</v>
      </c>
      <c r="C141" s="14" t="s">
        <v>3540</v>
      </c>
      <c r="D141" s="15" t="s">
        <v>274</v>
      </c>
      <c r="E141" s="17" t="s">
        <v>275</v>
      </c>
    </row>
    <row r="142" spans="1:5">
      <c r="A142" s="13">
        <v>15006</v>
      </c>
      <c r="B142" s="13">
        <v>1</v>
      </c>
      <c r="C142" s="14" t="s">
        <v>3541</v>
      </c>
      <c r="D142" s="15" t="s">
        <v>276</v>
      </c>
      <c r="E142" s="17" t="s">
        <v>277</v>
      </c>
    </row>
    <row r="143" spans="1:5">
      <c r="A143" s="13">
        <v>15007</v>
      </c>
      <c r="B143" s="13">
        <v>1</v>
      </c>
      <c r="C143" s="14" t="s">
        <v>3542</v>
      </c>
      <c r="D143" s="15" t="s">
        <v>278</v>
      </c>
      <c r="E143" s="17" t="s">
        <v>279</v>
      </c>
    </row>
    <row r="144" spans="1:5">
      <c r="A144" s="13">
        <v>15008</v>
      </c>
      <c r="B144" s="13">
        <v>1</v>
      </c>
      <c r="C144" s="14" t="s">
        <v>3543</v>
      </c>
      <c r="D144" s="15" t="s">
        <v>280</v>
      </c>
      <c r="E144" s="17" t="s">
        <v>281</v>
      </c>
    </row>
    <row r="145" spans="1:5">
      <c r="A145" s="13">
        <v>15009</v>
      </c>
      <c r="B145" s="13">
        <v>1</v>
      </c>
      <c r="C145" s="14" t="s">
        <v>3544</v>
      </c>
      <c r="D145" s="15" t="s">
        <v>282</v>
      </c>
      <c r="E145" s="17" t="s">
        <v>283</v>
      </c>
    </row>
    <row r="146" spans="1:5">
      <c r="A146" s="13">
        <v>15010</v>
      </c>
      <c r="B146" s="13">
        <v>1</v>
      </c>
      <c r="C146" s="14" t="s">
        <v>3545</v>
      </c>
      <c r="D146" s="15" t="s">
        <v>284</v>
      </c>
      <c r="E146" s="17" t="s">
        <v>285</v>
      </c>
    </row>
    <row r="147" spans="1:5">
      <c r="A147" s="13">
        <v>15011</v>
      </c>
      <c r="B147" s="13">
        <v>1</v>
      </c>
      <c r="C147" s="14" t="s">
        <v>3546</v>
      </c>
      <c r="D147" s="15" t="s">
        <v>286</v>
      </c>
      <c r="E147" s="17" t="s">
        <v>287</v>
      </c>
    </row>
    <row r="148" spans="1:5">
      <c r="A148" s="13">
        <v>15012</v>
      </c>
      <c r="B148" s="13">
        <v>1</v>
      </c>
      <c r="C148" s="14" t="s">
        <v>3547</v>
      </c>
      <c r="D148" s="15" t="s">
        <v>288</v>
      </c>
      <c r="E148" s="17" t="s">
        <v>289</v>
      </c>
    </row>
    <row r="149" spans="1:5">
      <c r="A149" s="13">
        <v>15013</v>
      </c>
      <c r="B149" s="13">
        <v>1</v>
      </c>
      <c r="C149" s="14" t="s">
        <v>3548</v>
      </c>
      <c r="D149" s="15" t="s">
        <v>290</v>
      </c>
      <c r="E149" s="17" t="s">
        <v>291</v>
      </c>
    </row>
    <row r="150" spans="1:5">
      <c r="A150" s="13">
        <v>15014</v>
      </c>
      <c r="B150" s="13">
        <v>1</v>
      </c>
      <c r="C150" s="14" t="s">
        <v>3549</v>
      </c>
      <c r="D150" s="15" t="s">
        <v>292</v>
      </c>
      <c r="E150" s="17" t="s">
        <v>293</v>
      </c>
    </row>
    <row r="151" spans="1:5">
      <c r="A151" s="13">
        <v>15015</v>
      </c>
      <c r="B151" s="13">
        <v>1</v>
      </c>
      <c r="C151" s="14" t="s">
        <v>3550</v>
      </c>
      <c r="D151" s="15" t="s">
        <v>294</v>
      </c>
      <c r="E151" s="17" t="s">
        <v>295</v>
      </c>
    </row>
    <row r="152" spans="1:5">
      <c r="A152" s="13">
        <v>15016</v>
      </c>
      <c r="B152" s="13">
        <v>1</v>
      </c>
      <c r="C152" s="14" t="s">
        <v>3551</v>
      </c>
      <c r="D152" s="15" t="s">
        <v>296</v>
      </c>
      <c r="E152" s="17" t="s">
        <v>297</v>
      </c>
    </row>
    <row r="153" spans="1:5">
      <c r="A153" s="13">
        <v>15017</v>
      </c>
      <c r="B153" s="13">
        <v>1</v>
      </c>
      <c r="C153" s="14" t="s">
        <v>3552</v>
      </c>
      <c r="D153" s="15" t="s">
        <v>298</v>
      </c>
      <c r="E153" s="17" t="s">
        <v>299</v>
      </c>
    </row>
    <row r="154" spans="1:5">
      <c r="A154" s="13">
        <v>15018</v>
      </c>
      <c r="B154" s="13">
        <v>1</v>
      </c>
      <c r="C154" s="14" t="s">
        <v>3553</v>
      </c>
      <c r="D154" s="15" t="s">
        <v>300</v>
      </c>
      <c r="E154" s="17" t="s">
        <v>301</v>
      </c>
    </row>
    <row r="155" spans="1:5">
      <c r="A155" s="13">
        <v>15019</v>
      </c>
      <c r="B155" s="13">
        <v>1</v>
      </c>
      <c r="C155" s="14" t="s">
        <v>3554</v>
      </c>
      <c r="D155" s="15" t="s">
        <v>302</v>
      </c>
      <c r="E155" s="17" t="s">
        <v>303</v>
      </c>
    </row>
    <row r="156" spans="1:5">
      <c r="A156" s="13">
        <v>15020</v>
      </c>
      <c r="B156" s="13">
        <v>1</v>
      </c>
      <c r="C156" s="14" t="s">
        <v>3555</v>
      </c>
      <c r="D156" s="15" t="s">
        <v>304</v>
      </c>
      <c r="E156" s="17" t="s">
        <v>305</v>
      </c>
    </row>
    <row r="157" spans="1:5">
      <c r="A157" s="13">
        <v>15021</v>
      </c>
      <c r="B157" s="13">
        <v>1</v>
      </c>
      <c r="C157" s="14" t="s">
        <v>3556</v>
      </c>
      <c r="D157" s="15" t="s">
        <v>306</v>
      </c>
      <c r="E157" s="17" t="s">
        <v>307</v>
      </c>
    </row>
    <row r="158" spans="1:5">
      <c r="A158" s="13">
        <v>15022</v>
      </c>
      <c r="B158" s="13">
        <v>1</v>
      </c>
      <c r="C158" s="14" t="s">
        <v>3557</v>
      </c>
      <c r="D158" s="15" t="s">
        <v>308</v>
      </c>
      <c r="E158" s="17" t="s">
        <v>309</v>
      </c>
    </row>
    <row r="159" spans="1:5">
      <c r="A159" s="13">
        <v>15023</v>
      </c>
      <c r="B159" s="13">
        <v>1</v>
      </c>
      <c r="C159" s="14" t="s">
        <v>3558</v>
      </c>
      <c r="D159" s="15" t="s">
        <v>310</v>
      </c>
      <c r="E159" s="17" t="s">
        <v>311</v>
      </c>
    </row>
    <row r="160" spans="1:5">
      <c r="A160" s="13">
        <v>15024</v>
      </c>
      <c r="B160" s="13">
        <v>1</v>
      </c>
      <c r="C160" s="14" t="s">
        <v>3559</v>
      </c>
      <c r="D160" s="15" t="s">
        <v>312</v>
      </c>
      <c r="E160" s="17" t="s">
        <v>313</v>
      </c>
    </row>
    <row r="161" spans="1:5">
      <c r="A161" s="13">
        <v>15025</v>
      </c>
      <c r="B161" s="13">
        <v>1</v>
      </c>
      <c r="C161" s="14" t="s">
        <v>3560</v>
      </c>
      <c r="D161" s="15" t="s">
        <v>314</v>
      </c>
      <c r="E161" s="17" t="s">
        <v>315</v>
      </c>
    </row>
    <row r="162" spans="1:5">
      <c r="A162" s="13">
        <v>15026</v>
      </c>
      <c r="B162" s="13">
        <v>1</v>
      </c>
      <c r="C162" s="14" t="s">
        <v>3561</v>
      </c>
      <c r="D162" s="15" t="s">
        <v>316</v>
      </c>
      <c r="E162" s="17" t="s">
        <v>317</v>
      </c>
    </row>
    <row r="163" spans="1:5">
      <c r="A163" s="13">
        <v>15027</v>
      </c>
      <c r="B163" s="13">
        <v>1</v>
      </c>
      <c r="C163" s="14" t="s">
        <v>3562</v>
      </c>
      <c r="D163" s="15" t="s">
        <v>318</v>
      </c>
      <c r="E163" s="17" t="s">
        <v>319</v>
      </c>
    </row>
    <row r="164" spans="1:5">
      <c r="A164" s="13">
        <v>15028</v>
      </c>
      <c r="B164" s="13">
        <v>1</v>
      </c>
      <c r="C164" s="14" t="s">
        <v>3563</v>
      </c>
      <c r="D164" s="15" t="s">
        <v>320</v>
      </c>
      <c r="E164" s="17" t="s">
        <v>321</v>
      </c>
    </row>
    <row r="165" spans="1:5">
      <c r="A165" s="13">
        <v>15029</v>
      </c>
      <c r="B165" s="13">
        <v>1</v>
      </c>
      <c r="C165" s="14" t="s">
        <v>3564</v>
      </c>
      <c r="D165" s="15" t="s">
        <v>322</v>
      </c>
      <c r="E165" s="17" t="s">
        <v>323</v>
      </c>
    </row>
    <row r="166" spans="1:5">
      <c r="A166" s="13">
        <v>15030</v>
      </c>
      <c r="B166" s="13">
        <v>1</v>
      </c>
      <c r="C166" s="14" t="s">
        <v>3565</v>
      </c>
      <c r="D166" s="15" t="s">
        <v>324</v>
      </c>
      <c r="E166" s="17" t="s">
        <v>325</v>
      </c>
    </row>
    <row r="167" spans="1:5">
      <c r="A167" s="13">
        <v>15031</v>
      </c>
      <c r="B167" s="13">
        <v>1</v>
      </c>
      <c r="C167" s="14" t="s">
        <v>3566</v>
      </c>
      <c r="D167" s="15" t="s">
        <v>326</v>
      </c>
      <c r="E167" s="17" t="s">
        <v>327</v>
      </c>
    </row>
    <row r="168" spans="1:5">
      <c r="A168" s="13">
        <v>15032</v>
      </c>
      <c r="B168" s="13">
        <v>1</v>
      </c>
      <c r="C168" s="14" t="s">
        <v>3567</v>
      </c>
      <c r="D168" s="15" t="s">
        <v>328</v>
      </c>
      <c r="E168" s="17" t="s">
        <v>329</v>
      </c>
    </row>
    <row r="169" spans="1:5">
      <c r="A169" s="13">
        <v>17501</v>
      </c>
      <c r="B169" s="13">
        <v>1</v>
      </c>
      <c r="C169" s="14" t="s">
        <v>3568</v>
      </c>
      <c r="D169" s="15" t="s">
        <v>330</v>
      </c>
      <c r="E169" s="17" t="s">
        <v>331</v>
      </c>
    </row>
    <row r="170" spans="1:5">
      <c r="A170" s="13">
        <v>17502</v>
      </c>
      <c r="B170" s="13">
        <v>1</v>
      </c>
      <c r="C170" s="14" t="s">
        <v>3569</v>
      </c>
      <c r="D170" s="15" t="s">
        <v>332</v>
      </c>
      <c r="E170" s="17" t="s">
        <v>333</v>
      </c>
    </row>
    <row r="171" spans="1:5">
      <c r="A171" s="13">
        <v>17503</v>
      </c>
      <c r="B171" s="13">
        <v>1</v>
      </c>
      <c r="C171" s="14" t="s">
        <v>3570</v>
      </c>
      <c r="D171" s="15" t="s">
        <v>334</v>
      </c>
      <c r="E171" s="17" t="s">
        <v>335</v>
      </c>
    </row>
    <row r="172" spans="1:5">
      <c r="A172" s="13">
        <v>17504</v>
      </c>
      <c r="B172" s="13">
        <v>1</v>
      </c>
      <c r="C172" s="14" t="s">
        <v>3571</v>
      </c>
      <c r="D172" s="15" t="s">
        <v>336</v>
      </c>
      <c r="E172" s="17" t="s">
        <v>337</v>
      </c>
    </row>
    <row r="173" spans="1:5">
      <c r="A173" s="18">
        <v>17505</v>
      </c>
      <c r="B173" s="18">
        <v>1</v>
      </c>
      <c r="C173" s="14" t="s">
        <v>3572</v>
      </c>
      <c r="D173" s="15" t="s">
        <v>338</v>
      </c>
      <c r="E173" s="17" t="s">
        <v>339</v>
      </c>
    </row>
    <row r="174" spans="1:5">
      <c r="A174" s="18">
        <v>17506</v>
      </c>
      <c r="B174" s="18">
        <v>1</v>
      </c>
      <c r="C174" s="14" t="s">
        <v>3573</v>
      </c>
      <c r="D174" s="15" t="s">
        <v>340</v>
      </c>
      <c r="E174" s="17" t="s">
        <v>341</v>
      </c>
    </row>
    <row r="175" spans="1:5">
      <c r="A175" s="18">
        <v>17507</v>
      </c>
      <c r="B175" s="18">
        <v>1</v>
      </c>
      <c r="C175" s="14" t="s">
        <v>3574</v>
      </c>
      <c r="D175" s="15" t="s">
        <v>342</v>
      </c>
      <c r="E175" s="17" t="s">
        <v>343</v>
      </c>
    </row>
    <row r="176" spans="1:5">
      <c r="A176" s="18">
        <v>17508</v>
      </c>
      <c r="B176" s="18">
        <v>1</v>
      </c>
      <c r="C176" s="14" t="s">
        <v>3575</v>
      </c>
      <c r="D176" s="15" t="s">
        <v>344</v>
      </c>
      <c r="E176" s="17" t="s">
        <v>345</v>
      </c>
    </row>
    <row r="177" spans="1:5">
      <c r="A177" s="18">
        <v>17509</v>
      </c>
      <c r="B177" s="18">
        <v>1</v>
      </c>
      <c r="C177" s="14" t="s">
        <v>3576</v>
      </c>
      <c r="D177" s="15" t="s">
        <v>346</v>
      </c>
      <c r="E177" s="17" t="s">
        <v>347</v>
      </c>
    </row>
    <row r="178" spans="1:5">
      <c r="A178" s="18">
        <v>17510</v>
      </c>
      <c r="B178" s="18">
        <v>1</v>
      </c>
      <c r="C178" s="14" t="s">
        <v>3577</v>
      </c>
      <c r="D178" s="15" t="s">
        <v>348</v>
      </c>
      <c r="E178" s="17" t="s">
        <v>349</v>
      </c>
    </row>
    <row r="179" spans="1:5">
      <c r="A179" s="18">
        <v>17511</v>
      </c>
      <c r="B179" s="18">
        <v>1</v>
      </c>
      <c r="C179" s="14" t="s">
        <v>3578</v>
      </c>
      <c r="D179" s="15" t="s">
        <v>350</v>
      </c>
      <c r="E179" s="17" t="s">
        <v>351</v>
      </c>
    </row>
    <row r="180" spans="1:5">
      <c r="A180" s="18">
        <v>17512</v>
      </c>
      <c r="B180" s="18">
        <v>1</v>
      </c>
      <c r="C180" s="14" t="s">
        <v>3579</v>
      </c>
      <c r="D180" s="15" t="s">
        <v>352</v>
      </c>
      <c r="E180" s="17" t="s">
        <v>353</v>
      </c>
    </row>
    <row r="181" spans="1:5">
      <c r="A181" s="18">
        <v>17513</v>
      </c>
      <c r="B181" s="18">
        <v>1</v>
      </c>
      <c r="C181" s="14" t="s">
        <v>3580</v>
      </c>
      <c r="D181" s="15" t="s">
        <v>354</v>
      </c>
      <c r="E181" s="17" t="s">
        <v>355</v>
      </c>
    </row>
    <row r="182" spans="1:5">
      <c r="A182" s="18">
        <v>17514</v>
      </c>
      <c r="B182" s="18">
        <v>1</v>
      </c>
      <c r="C182" s="14" t="s">
        <v>3581</v>
      </c>
      <c r="D182" s="15" t="s">
        <v>356</v>
      </c>
      <c r="E182" s="17" t="s">
        <v>357</v>
      </c>
    </row>
    <row r="183" spans="1:5">
      <c r="A183" s="18">
        <v>17515</v>
      </c>
      <c r="B183" s="18">
        <v>1</v>
      </c>
      <c r="C183" s="14" t="s">
        <v>3582</v>
      </c>
      <c r="D183" s="15" t="s">
        <v>358</v>
      </c>
      <c r="E183" s="17" t="s">
        <v>359</v>
      </c>
    </row>
    <row r="184" spans="1:5">
      <c r="A184" s="18">
        <v>17516</v>
      </c>
      <c r="B184" s="18">
        <v>1</v>
      </c>
      <c r="C184" s="14" t="s">
        <v>3583</v>
      </c>
      <c r="D184" s="15" t="s">
        <v>360</v>
      </c>
      <c r="E184" s="17" t="s">
        <v>361</v>
      </c>
    </row>
    <row r="185" spans="1:5">
      <c r="A185" s="18">
        <v>17517</v>
      </c>
      <c r="B185" s="18">
        <v>1</v>
      </c>
      <c r="C185" s="14" t="s">
        <v>3584</v>
      </c>
      <c r="D185" s="15" t="s">
        <v>362</v>
      </c>
      <c r="E185" s="17" t="s">
        <v>363</v>
      </c>
    </row>
    <row r="186" spans="1:5">
      <c r="A186" s="18">
        <v>17518</v>
      </c>
      <c r="B186" s="18">
        <v>1</v>
      </c>
      <c r="C186" s="14" t="s">
        <v>3585</v>
      </c>
      <c r="D186" s="15" t="s">
        <v>364</v>
      </c>
      <c r="E186" s="17" t="s">
        <v>365</v>
      </c>
    </row>
    <row r="187" spans="1:5">
      <c r="A187" s="18">
        <v>17519</v>
      </c>
      <c r="B187" s="18">
        <v>1</v>
      </c>
      <c r="C187" s="14" t="s">
        <v>3586</v>
      </c>
      <c r="D187" s="15" t="s">
        <v>366</v>
      </c>
      <c r="E187" s="17" t="s">
        <v>367</v>
      </c>
    </row>
    <row r="188" spans="1:5">
      <c r="A188" s="18">
        <v>17520</v>
      </c>
      <c r="B188" s="18">
        <v>1</v>
      </c>
      <c r="C188" s="14" t="s">
        <v>3587</v>
      </c>
      <c r="D188" s="15" t="s">
        <v>368</v>
      </c>
      <c r="E188" s="17" t="s">
        <v>369</v>
      </c>
    </row>
    <row r="189" spans="1:5">
      <c r="A189" s="18">
        <v>17521</v>
      </c>
      <c r="B189" s="18">
        <v>1</v>
      </c>
      <c r="C189" s="14" t="s">
        <v>3588</v>
      </c>
      <c r="D189" s="15" t="s">
        <v>370</v>
      </c>
      <c r="E189" s="17" t="s">
        <v>371</v>
      </c>
    </row>
    <row r="190" spans="1:5">
      <c r="A190" s="18">
        <v>17522</v>
      </c>
      <c r="B190" s="18">
        <v>1</v>
      </c>
      <c r="C190" s="14" t="s">
        <v>3589</v>
      </c>
      <c r="D190" s="15" t="s">
        <v>372</v>
      </c>
      <c r="E190" s="17" t="s">
        <v>373</v>
      </c>
    </row>
    <row r="191" spans="1:5">
      <c r="A191" s="18">
        <v>17523</v>
      </c>
      <c r="B191" s="18">
        <v>1</v>
      </c>
      <c r="C191" s="14" t="s">
        <v>3590</v>
      </c>
      <c r="D191" s="15" t="s">
        <v>374</v>
      </c>
      <c r="E191" s="17" t="s">
        <v>375</v>
      </c>
    </row>
    <row r="192" spans="1:5">
      <c r="A192" s="18">
        <v>17524</v>
      </c>
      <c r="B192" s="18">
        <v>1</v>
      </c>
      <c r="C192" s="14" t="s">
        <v>3591</v>
      </c>
      <c r="D192" s="15" t="s">
        <v>376</v>
      </c>
      <c r="E192" s="17" t="s">
        <v>377</v>
      </c>
    </row>
    <row r="193" spans="1:5">
      <c r="A193" s="18">
        <v>17525</v>
      </c>
      <c r="B193" s="18">
        <v>1</v>
      </c>
      <c r="C193" s="14" t="s">
        <v>3592</v>
      </c>
      <c r="D193" s="15" t="s">
        <v>378</v>
      </c>
      <c r="E193" s="17" t="s">
        <v>379</v>
      </c>
    </row>
    <row r="194" spans="1:5">
      <c r="A194" s="18">
        <v>17526</v>
      </c>
      <c r="B194" s="18">
        <v>1</v>
      </c>
      <c r="C194" s="14" t="s">
        <v>3593</v>
      </c>
      <c r="D194" s="15" t="s">
        <v>380</v>
      </c>
      <c r="E194" s="17" t="s">
        <v>381</v>
      </c>
    </row>
    <row r="195" spans="1:5">
      <c r="A195" s="18">
        <v>17527</v>
      </c>
      <c r="B195" s="18">
        <v>1</v>
      </c>
      <c r="C195" s="14" t="s">
        <v>3594</v>
      </c>
      <c r="D195" s="15" t="s">
        <v>382</v>
      </c>
      <c r="E195" s="17" t="s">
        <v>383</v>
      </c>
    </row>
    <row r="196" spans="1:5">
      <c r="A196" s="18">
        <v>17528</v>
      </c>
      <c r="B196" s="18">
        <v>1</v>
      </c>
      <c r="C196" s="14" t="s">
        <v>3595</v>
      </c>
      <c r="D196" s="15" t="s">
        <v>384</v>
      </c>
      <c r="E196" s="17" t="s">
        <v>385</v>
      </c>
    </row>
    <row r="197" spans="1:5">
      <c r="A197" s="18">
        <v>20001</v>
      </c>
      <c r="B197" s="18">
        <v>1</v>
      </c>
      <c r="C197" s="14" t="s">
        <v>3596</v>
      </c>
      <c r="D197" s="15" t="s">
        <v>386</v>
      </c>
      <c r="E197" s="17" t="s">
        <v>387</v>
      </c>
    </row>
    <row r="198" spans="1:5">
      <c r="A198" s="18">
        <v>20002</v>
      </c>
      <c r="B198" s="18">
        <v>1</v>
      </c>
      <c r="C198" s="14" t="s">
        <v>3597</v>
      </c>
      <c r="D198" s="15" t="s">
        <v>388</v>
      </c>
      <c r="E198" s="17" t="s">
        <v>389</v>
      </c>
    </row>
    <row r="199" spans="1:5">
      <c r="A199" s="18">
        <v>20003</v>
      </c>
      <c r="B199" s="18">
        <v>1</v>
      </c>
      <c r="C199" s="14" t="s">
        <v>3598</v>
      </c>
      <c r="D199" s="15" t="s">
        <v>390</v>
      </c>
      <c r="E199" s="17" t="s">
        <v>391</v>
      </c>
    </row>
    <row r="200" spans="1:5">
      <c r="A200" s="18">
        <v>20004</v>
      </c>
      <c r="B200" s="18">
        <v>1</v>
      </c>
      <c r="C200" s="14" t="s">
        <v>3599</v>
      </c>
      <c r="D200" s="15" t="s">
        <v>392</v>
      </c>
      <c r="E200" s="17" t="s">
        <v>393</v>
      </c>
    </row>
    <row r="201" spans="1:5">
      <c r="A201" s="18">
        <v>20005</v>
      </c>
      <c r="B201" s="18">
        <v>1</v>
      </c>
      <c r="C201" s="14" t="s">
        <v>3600</v>
      </c>
      <c r="D201" s="15" t="s">
        <v>394</v>
      </c>
      <c r="E201" s="17" t="s">
        <v>395</v>
      </c>
    </row>
    <row r="202" spans="1:5">
      <c r="A202" s="18">
        <v>20006</v>
      </c>
      <c r="B202" s="18">
        <v>1</v>
      </c>
      <c r="C202" s="14" t="s">
        <v>3601</v>
      </c>
      <c r="D202" s="15" t="s">
        <v>396</v>
      </c>
      <c r="E202" s="17" t="s">
        <v>397</v>
      </c>
    </row>
    <row r="203" spans="1:5">
      <c r="A203" s="18">
        <v>20007</v>
      </c>
      <c r="B203" s="18">
        <v>1</v>
      </c>
      <c r="C203" s="14" t="s">
        <v>3602</v>
      </c>
      <c r="D203" s="15" t="s">
        <v>398</v>
      </c>
      <c r="E203" s="17" t="s">
        <v>399</v>
      </c>
    </row>
    <row r="204" spans="1:5">
      <c r="A204" s="18">
        <v>20008</v>
      </c>
      <c r="B204" s="18">
        <v>1</v>
      </c>
      <c r="C204" s="14" t="s">
        <v>3603</v>
      </c>
      <c r="D204" s="15" t="s">
        <v>400</v>
      </c>
      <c r="E204" s="17" t="s">
        <v>401</v>
      </c>
    </row>
    <row r="205" spans="1:5">
      <c r="A205" s="19">
        <v>20009</v>
      </c>
      <c r="B205" s="19">
        <v>1</v>
      </c>
      <c r="C205" s="14" t="s">
        <v>3604</v>
      </c>
      <c r="D205" s="20" t="s">
        <v>402</v>
      </c>
      <c r="E205" s="21" t="s">
        <v>403</v>
      </c>
    </row>
    <row r="206" spans="1:5">
      <c r="A206" s="19">
        <v>20010</v>
      </c>
      <c r="B206" s="19">
        <v>1</v>
      </c>
      <c r="C206" s="14" t="s">
        <v>3605</v>
      </c>
      <c r="D206" s="20" t="s">
        <v>404</v>
      </c>
      <c r="E206" s="21" t="s">
        <v>405</v>
      </c>
    </row>
    <row r="207" spans="1:5">
      <c r="A207" s="18">
        <v>20011</v>
      </c>
      <c r="B207" s="18">
        <v>1</v>
      </c>
      <c r="C207" s="14" t="s">
        <v>3606</v>
      </c>
      <c r="D207" s="15" t="s">
        <v>406</v>
      </c>
      <c r="E207" s="17" t="s">
        <v>407</v>
      </c>
    </row>
    <row r="208" spans="1:5">
      <c r="A208" s="18">
        <v>20012</v>
      </c>
      <c r="B208" s="18">
        <v>1</v>
      </c>
      <c r="C208" s="14" t="s">
        <v>3607</v>
      </c>
      <c r="D208" s="15" t="s">
        <v>408</v>
      </c>
      <c r="E208" s="17" t="s">
        <v>409</v>
      </c>
    </row>
    <row r="209" spans="1:5">
      <c r="A209" s="18">
        <v>20013</v>
      </c>
      <c r="B209" s="18">
        <v>1</v>
      </c>
      <c r="C209" s="14" t="s">
        <v>3608</v>
      </c>
      <c r="D209" s="15" t="s">
        <v>410</v>
      </c>
      <c r="E209" s="17" t="s">
        <v>411</v>
      </c>
    </row>
    <row r="210" spans="1:5">
      <c r="A210" s="18">
        <v>20014</v>
      </c>
      <c r="B210" s="18">
        <v>1</v>
      </c>
      <c r="C210" s="14" t="s">
        <v>3609</v>
      </c>
      <c r="D210" s="15" t="s">
        <v>412</v>
      </c>
      <c r="E210" s="17" t="s">
        <v>413</v>
      </c>
    </row>
    <row r="211" spans="1:5">
      <c r="A211" s="19">
        <v>20015</v>
      </c>
      <c r="B211" s="19">
        <v>1</v>
      </c>
      <c r="C211" s="14" t="s">
        <v>3610</v>
      </c>
      <c r="D211" s="20" t="s">
        <v>414</v>
      </c>
      <c r="E211" s="21" t="s">
        <v>415</v>
      </c>
    </row>
    <row r="212" spans="1:5">
      <c r="A212" s="19">
        <v>20016</v>
      </c>
      <c r="B212" s="19">
        <v>1</v>
      </c>
      <c r="C212" s="14" t="s">
        <v>3611</v>
      </c>
      <c r="D212" s="20" t="s">
        <v>416</v>
      </c>
      <c r="E212" s="21" t="s">
        <v>417</v>
      </c>
    </row>
    <row r="213" spans="1:5">
      <c r="A213" s="18">
        <v>21001</v>
      </c>
      <c r="B213" s="18">
        <v>1</v>
      </c>
      <c r="C213" s="14" t="s">
        <v>3612</v>
      </c>
      <c r="D213" s="15" t="s">
        <v>418</v>
      </c>
      <c r="E213" s="17" t="s">
        <v>419</v>
      </c>
    </row>
    <row r="214" spans="1:5">
      <c r="A214" s="18">
        <v>21002</v>
      </c>
      <c r="B214" s="18">
        <v>1</v>
      </c>
      <c r="C214" s="14" t="s">
        <v>3613</v>
      </c>
      <c r="D214" s="15" t="s">
        <v>420</v>
      </c>
      <c r="E214" s="17" t="s">
        <v>421</v>
      </c>
    </row>
    <row r="215" spans="1:5">
      <c r="A215" s="18">
        <v>21003</v>
      </c>
      <c r="B215" s="18">
        <v>1</v>
      </c>
      <c r="C215" s="14" t="s">
        <v>3614</v>
      </c>
      <c r="D215" s="15" t="s">
        <v>422</v>
      </c>
      <c r="E215" s="17" t="s">
        <v>423</v>
      </c>
    </row>
    <row r="216" spans="1:5">
      <c r="A216" s="18">
        <v>22501</v>
      </c>
      <c r="B216" s="18">
        <v>1</v>
      </c>
      <c r="C216" s="14" t="s">
        <v>3615</v>
      </c>
      <c r="D216" s="15" t="s">
        <v>424</v>
      </c>
      <c r="E216" s="17" t="s">
        <v>425</v>
      </c>
    </row>
    <row r="217" spans="1:5">
      <c r="A217" s="18">
        <v>22502</v>
      </c>
      <c r="B217" s="18">
        <v>1</v>
      </c>
      <c r="C217" s="14" t="s">
        <v>3616</v>
      </c>
      <c r="D217" s="15" t="s">
        <v>426</v>
      </c>
      <c r="E217" s="17" t="s">
        <v>427</v>
      </c>
    </row>
    <row r="218" spans="1:5">
      <c r="A218" s="18">
        <v>22503</v>
      </c>
      <c r="B218" s="18">
        <v>1</v>
      </c>
      <c r="C218" s="14" t="s">
        <v>3617</v>
      </c>
      <c r="D218" s="15" t="s">
        <v>428</v>
      </c>
      <c r="E218" s="17" t="s">
        <v>429</v>
      </c>
    </row>
    <row r="219" spans="1:5">
      <c r="A219" s="18">
        <v>22504</v>
      </c>
      <c r="B219" s="18">
        <v>1</v>
      </c>
      <c r="C219" s="14" t="s">
        <v>3618</v>
      </c>
      <c r="D219" s="15" t="s">
        <v>430</v>
      </c>
      <c r="E219" s="17" t="s">
        <v>431</v>
      </c>
    </row>
    <row r="220" spans="1:5">
      <c r="A220" s="18">
        <v>22505</v>
      </c>
      <c r="B220" s="18">
        <v>1</v>
      </c>
      <c r="C220" s="14" t="s">
        <v>3619</v>
      </c>
      <c r="D220" s="15" t="s">
        <v>432</v>
      </c>
      <c r="E220" s="17" t="s">
        <v>433</v>
      </c>
    </row>
    <row r="221" spans="1:5">
      <c r="A221" s="18">
        <v>22506</v>
      </c>
      <c r="B221" s="18">
        <v>1</v>
      </c>
      <c r="C221" s="14" t="s">
        <v>3620</v>
      </c>
      <c r="D221" s="15" t="s">
        <v>434</v>
      </c>
      <c r="E221" s="17" t="s">
        <v>435</v>
      </c>
    </row>
    <row r="222" spans="1:5">
      <c r="A222" s="18">
        <v>22507</v>
      </c>
      <c r="B222" s="18">
        <v>1</v>
      </c>
      <c r="C222" s="14" t="s">
        <v>3621</v>
      </c>
      <c r="D222" s="15" t="s">
        <v>436</v>
      </c>
      <c r="E222" s="17" t="s">
        <v>437</v>
      </c>
    </row>
    <row r="223" spans="1:5">
      <c r="A223" s="18">
        <v>22508</v>
      </c>
      <c r="B223" s="18">
        <v>1</v>
      </c>
      <c r="C223" s="14" t="s">
        <v>3622</v>
      </c>
      <c r="D223" s="15" t="s">
        <v>438</v>
      </c>
      <c r="E223" s="17" t="s">
        <v>439</v>
      </c>
    </row>
    <row r="224" spans="1:5">
      <c r="A224" s="18">
        <v>22509</v>
      </c>
      <c r="B224" s="18">
        <v>1</v>
      </c>
      <c r="C224" s="14" t="s">
        <v>3623</v>
      </c>
      <c r="D224" s="15" t="s">
        <v>440</v>
      </c>
      <c r="E224" s="17" t="s">
        <v>441</v>
      </c>
    </row>
    <row r="225" spans="1:5">
      <c r="A225" s="18">
        <v>22510</v>
      </c>
      <c r="B225" s="18">
        <v>1</v>
      </c>
      <c r="C225" s="14" t="s">
        <v>3624</v>
      </c>
      <c r="D225" s="15" t="s">
        <v>442</v>
      </c>
      <c r="E225" s="17" t="s">
        <v>443</v>
      </c>
    </row>
    <row r="226" spans="1:5">
      <c r="A226" s="18">
        <v>22511</v>
      </c>
      <c r="B226" s="18">
        <v>1</v>
      </c>
      <c r="C226" s="14" t="s">
        <v>3625</v>
      </c>
      <c r="D226" s="15" t="s">
        <v>444</v>
      </c>
      <c r="E226" s="17" t="s">
        <v>445</v>
      </c>
    </row>
    <row r="227" spans="1:5">
      <c r="A227" s="18">
        <v>22512</v>
      </c>
      <c r="B227" s="18">
        <v>1</v>
      </c>
      <c r="C227" s="14" t="s">
        <v>3626</v>
      </c>
      <c r="D227" s="15" t="s">
        <v>446</v>
      </c>
      <c r="E227" s="17" t="s">
        <v>447</v>
      </c>
    </row>
    <row r="228" spans="1:5">
      <c r="A228" s="18">
        <v>22513</v>
      </c>
      <c r="B228" s="18">
        <v>1</v>
      </c>
      <c r="C228" s="14" t="s">
        <v>3627</v>
      </c>
      <c r="D228" s="15" t="s">
        <v>448</v>
      </c>
      <c r="E228" s="17" t="s">
        <v>449</v>
      </c>
    </row>
    <row r="229" spans="1:5">
      <c r="A229" s="18">
        <v>22514</v>
      </c>
      <c r="B229" s="18">
        <v>1</v>
      </c>
      <c r="C229" s="14" t="s">
        <v>3628</v>
      </c>
      <c r="D229" s="15" t="s">
        <v>450</v>
      </c>
      <c r="E229" s="17" t="s">
        <v>451</v>
      </c>
    </row>
    <row r="230" spans="1:5">
      <c r="A230" s="18">
        <v>22515</v>
      </c>
      <c r="B230" s="18">
        <v>1</v>
      </c>
      <c r="C230" s="14" t="s">
        <v>3629</v>
      </c>
      <c r="D230" s="15" t="s">
        <v>452</v>
      </c>
      <c r="E230" s="17" t="s">
        <v>453</v>
      </c>
    </row>
    <row r="231" spans="1:5">
      <c r="A231" s="18">
        <v>22516</v>
      </c>
      <c r="B231" s="18">
        <v>1</v>
      </c>
      <c r="C231" s="14" t="s">
        <v>3630</v>
      </c>
      <c r="D231" s="15" t="s">
        <v>454</v>
      </c>
      <c r="E231" s="17" t="s">
        <v>455</v>
      </c>
    </row>
    <row r="232" spans="1:5">
      <c r="A232" s="18">
        <v>22517</v>
      </c>
      <c r="B232" s="18">
        <v>1</v>
      </c>
      <c r="C232" s="14" t="s">
        <v>3631</v>
      </c>
      <c r="D232" s="15" t="s">
        <v>456</v>
      </c>
      <c r="E232" s="17" t="s">
        <v>457</v>
      </c>
    </row>
    <row r="233" spans="1:5">
      <c r="A233" s="18">
        <v>22518</v>
      </c>
      <c r="B233" s="18">
        <v>1</v>
      </c>
      <c r="C233" s="14" t="s">
        <v>3632</v>
      </c>
      <c r="D233" s="15" t="s">
        <v>458</v>
      </c>
      <c r="E233" s="17" t="s">
        <v>459</v>
      </c>
    </row>
    <row r="234" spans="1:5">
      <c r="A234" s="18">
        <v>22519</v>
      </c>
      <c r="B234" s="18">
        <v>1</v>
      </c>
      <c r="C234" s="14" t="s">
        <v>3633</v>
      </c>
      <c r="D234" s="15" t="s">
        <v>460</v>
      </c>
      <c r="E234" s="17" t="s">
        <v>461</v>
      </c>
    </row>
    <row r="235" spans="1:5">
      <c r="A235" s="18">
        <v>22520</v>
      </c>
      <c r="B235" s="18">
        <v>1</v>
      </c>
      <c r="C235" s="14" t="s">
        <v>3634</v>
      </c>
      <c r="D235" s="15" t="s">
        <v>462</v>
      </c>
      <c r="E235" s="17" t="s">
        <v>463</v>
      </c>
    </row>
    <row r="236" spans="1:5">
      <c r="A236" s="18">
        <v>22521</v>
      </c>
      <c r="B236" s="18">
        <v>1</v>
      </c>
      <c r="C236" s="14" t="s">
        <v>3635</v>
      </c>
      <c r="D236" s="15" t="s">
        <v>464</v>
      </c>
      <c r="E236" s="17" t="s">
        <v>465</v>
      </c>
    </row>
    <row r="237" spans="1:5">
      <c r="A237" s="18">
        <v>22522</v>
      </c>
      <c r="B237" s="18">
        <v>1</v>
      </c>
      <c r="C237" s="14" t="s">
        <v>3636</v>
      </c>
      <c r="D237" s="15" t="s">
        <v>466</v>
      </c>
      <c r="E237" s="17" t="s">
        <v>467</v>
      </c>
    </row>
    <row r="238" spans="1:5">
      <c r="A238" s="18">
        <v>22523</v>
      </c>
      <c r="B238" s="18">
        <v>1</v>
      </c>
      <c r="C238" s="14" t="s">
        <v>3637</v>
      </c>
      <c r="D238" s="15" t="s">
        <v>468</v>
      </c>
      <c r="E238" s="17" t="s">
        <v>469</v>
      </c>
    </row>
    <row r="239" spans="1:5">
      <c r="A239" s="18">
        <v>22524</v>
      </c>
      <c r="B239" s="18">
        <v>1</v>
      </c>
      <c r="C239" s="14" t="s">
        <v>3638</v>
      </c>
      <c r="D239" s="15" t="s">
        <v>470</v>
      </c>
      <c r="E239" s="17" t="s">
        <v>471</v>
      </c>
    </row>
    <row r="240" spans="1:5">
      <c r="A240" s="18">
        <v>22525</v>
      </c>
      <c r="B240" s="18">
        <v>1</v>
      </c>
      <c r="C240" s="14" t="s">
        <v>3639</v>
      </c>
      <c r="D240" s="15" t="s">
        <v>472</v>
      </c>
      <c r="E240" s="17" t="s">
        <v>473</v>
      </c>
    </row>
    <row r="241" spans="1:5">
      <c r="A241" s="18">
        <v>22526</v>
      </c>
      <c r="B241" s="18">
        <v>1</v>
      </c>
      <c r="C241" s="14" t="s">
        <v>3640</v>
      </c>
      <c r="D241" s="15" t="s">
        <v>474</v>
      </c>
      <c r="E241" s="17" t="s">
        <v>475</v>
      </c>
    </row>
    <row r="242" spans="1:5">
      <c r="A242" s="18">
        <v>22527</v>
      </c>
      <c r="B242" s="18">
        <v>1</v>
      </c>
      <c r="C242" s="14" t="s">
        <v>3641</v>
      </c>
      <c r="D242" s="15" t="s">
        <v>476</v>
      </c>
      <c r="E242" s="17" t="s">
        <v>477</v>
      </c>
    </row>
    <row r="243" spans="1:5">
      <c r="A243" s="18">
        <v>22528</v>
      </c>
      <c r="B243" s="18">
        <v>1</v>
      </c>
      <c r="C243" s="14" t="s">
        <v>3642</v>
      </c>
      <c r="D243" s="15" t="s">
        <v>478</v>
      </c>
      <c r="E243" s="17" t="s">
        <v>479</v>
      </c>
    </row>
    <row r="244" spans="1:5">
      <c r="A244" s="19">
        <v>22529</v>
      </c>
      <c r="B244" s="19">
        <v>1</v>
      </c>
      <c r="C244" s="14" t="s">
        <v>3643</v>
      </c>
      <c r="D244" s="20" t="s">
        <v>480</v>
      </c>
      <c r="E244" s="21" t="s">
        <v>481</v>
      </c>
    </row>
    <row r="245" spans="1:5">
      <c r="A245" s="19">
        <v>22530</v>
      </c>
      <c r="B245" s="19">
        <v>1</v>
      </c>
      <c r="C245" s="14" t="s">
        <v>3644</v>
      </c>
      <c r="D245" s="20" t="s">
        <v>482</v>
      </c>
      <c r="E245" s="21" t="s">
        <v>483</v>
      </c>
    </row>
    <row r="246" spans="1:5">
      <c r="A246" s="19">
        <v>22531</v>
      </c>
      <c r="B246" s="19">
        <v>1</v>
      </c>
      <c r="C246" s="14" t="s">
        <v>3645</v>
      </c>
      <c r="D246" s="20" t="s">
        <v>484</v>
      </c>
      <c r="E246" s="21" t="s">
        <v>485</v>
      </c>
    </row>
    <row r="247" spans="1:5">
      <c r="A247" s="19">
        <v>22532</v>
      </c>
      <c r="B247" s="19">
        <v>1</v>
      </c>
      <c r="C247" s="14" t="s">
        <v>3646</v>
      </c>
      <c r="D247" s="20" t="s">
        <v>486</v>
      </c>
      <c r="E247" s="21" t="s">
        <v>487</v>
      </c>
    </row>
    <row r="248" spans="1:5">
      <c r="A248" s="19">
        <v>22533</v>
      </c>
      <c r="B248" s="19">
        <v>1</v>
      </c>
      <c r="C248" s="14" t="s">
        <v>3647</v>
      </c>
      <c r="D248" s="20" t="s">
        <v>488</v>
      </c>
      <c r="E248" s="21" t="s">
        <v>489</v>
      </c>
    </row>
    <row r="249" spans="1:5">
      <c r="A249" s="19">
        <v>22534</v>
      </c>
      <c r="B249" s="19">
        <v>1</v>
      </c>
      <c r="C249" s="14" t="s">
        <v>3648</v>
      </c>
      <c r="D249" s="20" t="s">
        <v>490</v>
      </c>
      <c r="E249" s="21" t="s">
        <v>491</v>
      </c>
    </row>
    <row r="250" spans="1:5">
      <c r="A250" s="19">
        <v>22535</v>
      </c>
      <c r="B250" s="19">
        <v>1</v>
      </c>
      <c r="C250" s="14" t="s">
        <v>3649</v>
      </c>
      <c r="D250" s="20" t="s">
        <v>492</v>
      </c>
      <c r="E250" s="21" t="s">
        <v>493</v>
      </c>
    </row>
    <row r="251" spans="1:5">
      <c r="A251" s="19">
        <v>22536</v>
      </c>
      <c r="B251" s="19">
        <v>1</v>
      </c>
      <c r="C251" s="14" t="s">
        <v>3650</v>
      </c>
      <c r="D251" s="20" t="s">
        <v>494</v>
      </c>
      <c r="E251" s="21" t="s">
        <v>495</v>
      </c>
    </row>
    <row r="252" spans="1:5">
      <c r="A252" s="18">
        <v>22537</v>
      </c>
      <c r="B252" s="18">
        <v>1</v>
      </c>
      <c r="C252" s="14" t="s">
        <v>3651</v>
      </c>
      <c r="D252" s="15" t="s">
        <v>496</v>
      </c>
      <c r="E252" s="17" t="s">
        <v>497</v>
      </c>
    </row>
    <row r="253" spans="1:5">
      <c r="A253" s="18">
        <v>22538</v>
      </c>
      <c r="B253" s="18">
        <v>1</v>
      </c>
      <c r="C253" s="14" t="s">
        <v>3652</v>
      </c>
      <c r="D253" s="15" t="s">
        <v>498</v>
      </c>
      <c r="E253" s="17" t="s">
        <v>499</v>
      </c>
    </row>
    <row r="254" spans="1:5">
      <c r="A254" s="18">
        <v>22539</v>
      </c>
      <c r="B254" s="18">
        <v>1</v>
      </c>
      <c r="C254" s="14" t="s">
        <v>3653</v>
      </c>
      <c r="D254" s="15" t="s">
        <v>500</v>
      </c>
      <c r="E254" s="17" t="s">
        <v>501</v>
      </c>
    </row>
    <row r="255" spans="1:5">
      <c r="A255" s="18">
        <v>22540</v>
      </c>
      <c r="B255" s="18">
        <v>1</v>
      </c>
      <c r="C255" s="14" t="s">
        <v>3654</v>
      </c>
      <c r="D255" s="15" t="s">
        <v>502</v>
      </c>
      <c r="E255" s="17" t="s">
        <v>503</v>
      </c>
    </row>
    <row r="256" spans="1:5">
      <c r="A256" s="18">
        <v>22541</v>
      </c>
      <c r="B256" s="18">
        <v>1</v>
      </c>
      <c r="C256" s="14" t="s">
        <v>3655</v>
      </c>
      <c r="D256" s="15" t="s">
        <v>504</v>
      </c>
      <c r="E256" s="17" t="s">
        <v>505</v>
      </c>
    </row>
    <row r="257" spans="1:5">
      <c r="A257" s="18">
        <v>22542</v>
      </c>
      <c r="B257" s="18">
        <v>1</v>
      </c>
      <c r="C257" s="14" t="s">
        <v>3656</v>
      </c>
      <c r="D257" s="15" t="s">
        <v>506</v>
      </c>
      <c r="E257" s="17" t="s">
        <v>507</v>
      </c>
    </row>
    <row r="258" spans="1:5">
      <c r="A258" s="18">
        <v>22543</v>
      </c>
      <c r="B258" s="18">
        <v>1</v>
      </c>
      <c r="C258" s="14" t="s">
        <v>3657</v>
      </c>
      <c r="D258" s="15" t="s">
        <v>508</v>
      </c>
      <c r="E258" s="17" t="s">
        <v>509</v>
      </c>
    </row>
    <row r="259" spans="1:5">
      <c r="A259" s="18">
        <v>22544</v>
      </c>
      <c r="B259" s="18">
        <v>1</v>
      </c>
      <c r="C259" s="14" t="s">
        <v>3658</v>
      </c>
      <c r="D259" s="15" t="s">
        <v>510</v>
      </c>
      <c r="E259" s="17" t="s">
        <v>511</v>
      </c>
    </row>
    <row r="260" spans="1:5">
      <c r="A260" s="18">
        <v>22545</v>
      </c>
      <c r="B260" s="18">
        <v>1</v>
      </c>
      <c r="C260" s="14" t="s">
        <v>3659</v>
      </c>
      <c r="D260" s="15" t="s">
        <v>512</v>
      </c>
      <c r="E260" s="17" t="s">
        <v>513</v>
      </c>
    </row>
    <row r="261" spans="1:5">
      <c r="A261" s="18">
        <v>22546</v>
      </c>
      <c r="B261" s="18">
        <v>1</v>
      </c>
      <c r="C261" s="14" t="s">
        <v>3660</v>
      </c>
      <c r="D261" s="15" t="s">
        <v>514</v>
      </c>
      <c r="E261" s="17" t="s">
        <v>515</v>
      </c>
    </row>
    <row r="262" spans="1:5">
      <c r="A262" s="18">
        <v>22547</v>
      </c>
      <c r="B262" s="18">
        <v>1</v>
      </c>
      <c r="C262" s="14" t="s">
        <v>3661</v>
      </c>
      <c r="D262" s="15" t="s">
        <v>516</v>
      </c>
      <c r="E262" s="17" t="s">
        <v>517</v>
      </c>
    </row>
    <row r="263" spans="1:5">
      <c r="A263" s="18">
        <v>22548</v>
      </c>
      <c r="B263" s="18">
        <v>1</v>
      </c>
      <c r="C263" s="14" t="s">
        <v>3662</v>
      </c>
      <c r="D263" s="15" t="s">
        <v>518</v>
      </c>
      <c r="E263" s="17" t="s">
        <v>519</v>
      </c>
    </row>
    <row r="264" spans="1:5">
      <c r="A264" s="18">
        <v>22549</v>
      </c>
      <c r="B264" s="18">
        <v>1</v>
      </c>
      <c r="C264" s="14" t="s">
        <v>3663</v>
      </c>
      <c r="D264" s="15" t="s">
        <v>520</v>
      </c>
      <c r="E264" s="17" t="s">
        <v>521</v>
      </c>
    </row>
    <row r="265" spans="1:5">
      <c r="A265" s="18">
        <v>22550</v>
      </c>
      <c r="B265" s="18">
        <v>1</v>
      </c>
      <c r="C265" s="14" t="s">
        <v>3664</v>
      </c>
      <c r="D265" s="15" t="s">
        <v>522</v>
      </c>
      <c r="E265" s="17" t="s">
        <v>523</v>
      </c>
    </row>
    <row r="266" spans="1:5">
      <c r="A266" s="18">
        <v>22551</v>
      </c>
      <c r="B266" s="18">
        <v>1</v>
      </c>
      <c r="C266" s="14" t="s">
        <v>3665</v>
      </c>
      <c r="D266" s="15" t="s">
        <v>524</v>
      </c>
      <c r="E266" s="17" t="s">
        <v>525</v>
      </c>
    </row>
    <row r="267" spans="1:5">
      <c r="A267" s="18">
        <v>22552</v>
      </c>
      <c r="B267" s="18">
        <v>1</v>
      </c>
      <c r="C267" s="14" t="s">
        <v>3666</v>
      </c>
      <c r="D267" s="15" t="s">
        <v>526</v>
      </c>
      <c r="E267" s="17" t="s">
        <v>527</v>
      </c>
    </row>
    <row r="268" spans="1:5">
      <c r="A268" s="18">
        <v>22553</v>
      </c>
      <c r="B268" s="18">
        <v>1</v>
      </c>
      <c r="C268" s="14" t="s">
        <v>3667</v>
      </c>
      <c r="D268" s="15" t="s">
        <v>528</v>
      </c>
      <c r="E268" s="17" t="s">
        <v>529</v>
      </c>
    </row>
    <row r="269" spans="1:5">
      <c r="A269" s="18">
        <v>22554</v>
      </c>
      <c r="B269" s="18">
        <v>1</v>
      </c>
      <c r="C269" s="14" t="s">
        <v>3668</v>
      </c>
      <c r="D269" s="15" t="s">
        <v>530</v>
      </c>
      <c r="E269" s="17" t="s">
        <v>531</v>
      </c>
    </row>
    <row r="270" spans="1:5">
      <c r="A270" s="18">
        <v>22555</v>
      </c>
      <c r="B270" s="18">
        <v>1</v>
      </c>
      <c r="C270" s="14" t="s">
        <v>3669</v>
      </c>
      <c r="D270" s="15" t="s">
        <v>532</v>
      </c>
      <c r="E270" s="17" t="s">
        <v>533</v>
      </c>
    </row>
    <row r="271" spans="1:5">
      <c r="A271" s="18">
        <v>22556</v>
      </c>
      <c r="B271" s="18">
        <v>1</v>
      </c>
      <c r="C271" s="14" t="s">
        <v>3670</v>
      </c>
      <c r="D271" s="15" t="s">
        <v>534</v>
      </c>
      <c r="E271" s="17" t="s">
        <v>535</v>
      </c>
    </row>
    <row r="272" spans="1:5">
      <c r="A272" s="19">
        <v>22557</v>
      </c>
      <c r="B272" s="19">
        <v>1</v>
      </c>
      <c r="C272" s="14" t="s">
        <v>3671</v>
      </c>
      <c r="D272" s="20" t="s">
        <v>536</v>
      </c>
      <c r="E272" s="21" t="s">
        <v>537</v>
      </c>
    </row>
    <row r="273" spans="1:5">
      <c r="A273" s="19">
        <v>22558</v>
      </c>
      <c r="B273" s="19">
        <v>1</v>
      </c>
      <c r="C273" s="14" t="s">
        <v>3672</v>
      </c>
      <c r="D273" s="20" t="s">
        <v>538</v>
      </c>
      <c r="E273" s="21" t="s">
        <v>539</v>
      </c>
    </row>
    <row r="274" spans="1:5">
      <c r="A274" s="19">
        <v>22559</v>
      </c>
      <c r="B274" s="19">
        <v>1</v>
      </c>
      <c r="C274" s="14" t="s">
        <v>3673</v>
      </c>
      <c r="D274" s="20" t="s">
        <v>540</v>
      </c>
      <c r="E274" s="21" t="s">
        <v>541</v>
      </c>
    </row>
    <row r="275" spans="1:5">
      <c r="A275" s="19">
        <v>22560</v>
      </c>
      <c r="B275" s="19">
        <v>1</v>
      </c>
      <c r="C275" s="14" t="s">
        <v>3674</v>
      </c>
      <c r="D275" s="20" t="s">
        <v>542</v>
      </c>
      <c r="E275" s="21" t="s">
        <v>543</v>
      </c>
    </row>
    <row r="276" spans="1:5">
      <c r="A276" s="19">
        <v>22561</v>
      </c>
      <c r="B276" s="19">
        <v>1</v>
      </c>
      <c r="C276" s="14" t="s">
        <v>3675</v>
      </c>
      <c r="D276" s="20" t="s">
        <v>544</v>
      </c>
      <c r="E276" s="21" t="s">
        <v>545</v>
      </c>
    </row>
    <row r="277" spans="1:5">
      <c r="A277" s="19">
        <v>22562</v>
      </c>
      <c r="B277" s="19">
        <v>1</v>
      </c>
      <c r="C277" s="14" t="s">
        <v>3676</v>
      </c>
      <c r="D277" s="20" t="s">
        <v>546</v>
      </c>
      <c r="E277" s="21" t="s">
        <v>547</v>
      </c>
    </row>
    <row r="278" spans="1:5">
      <c r="A278" s="19">
        <v>22563</v>
      </c>
      <c r="B278" s="19">
        <v>1</v>
      </c>
      <c r="C278" s="14" t="s">
        <v>3677</v>
      </c>
      <c r="D278" s="20" t="s">
        <v>548</v>
      </c>
      <c r="E278" s="21" t="s">
        <v>549</v>
      </c>
    </row>
    <row r="279" spans="1:5">
      <c r="A279" s="19">
        <v>22564</v>
      </c>
      <c r="B279" s="19">
        <v>1</v>
      </c>
      <c r="C279" s="14" t="s">
        <v>3678</v>
      </c>
      <c r="D279" s="20" t="s">
        <v>550</v>
      </c>
      <c r="E279" s="21" t="s">
        <v>551</v>
      </c>
    </row>
    <row r="280" spans="1:5">
      <c r="A280" s="19">
        <v>22565</v>
      </c>
      <c r="B280" s="19">
        <v>1</v>
      </c>
      <c r="C280" s="14" t="s">
        <v>3679</v>
      </c>
      <c r="D280" s="20" t="s">
        <v>552</v>
      </c>
      <c r="E280" s="21" t="s">
        <v>553</v>
      </c>
    </row>
    <row r="281" spans="1:5">
      <c r="A281" s="19">
        <v>22566</v>
      </c>
      <c r="B281" s="19">
        <v>1</v>
      </c>
      <c r="C281" s="14" t="s">
        <v>3680</v>
      </c>
      <c r="D281" s="20" t="s">
        <v>554</v>
      </c>
      <c r="E281" s="21" t="s">
        <v>555</v>
      </c>
    </row>
    <row r="282" spans="1:5">
      <c r="A282" s="18">
        <v>22567</v>
      </c>
      <c r="B282" s="18">
        <v>1</v>
      </c>
      <c r="C282" s="14" t="s">
        <v>3681</v>
      </c>
      <c r="D282" s="15" t="s">
        <v>556</v>
      </c>
      <c r="E282" s="17" t="s">
        <v>557</v>
      </c>
    </row>
    <row r="283" spans="1:5">
      <c r="A283" s="18">
        <v>22568</v>
      </c>
      <c r="B283" s="18">
        <v>1</v>
      </c>
      <c r="C283" s="14" t="s">
        <v>3682</v>
      </c>
      <c r="D283" s="15" t="s">
        <v>558</v>
      </c>
      <c r="E283" s="17" t="s">
        <v>559</v>
      </c>
    </row>
    <row r="284" spans="1:5">
      <c r="A284" s="18">
        <v>22569</v>
      </c>
      <c r="B284" s="18">
        <v>1</v>
      </c>
      <c r="C284" s="14" t="s">
        <v>3683</v>
      </c>
      <c r="D284" s="15" t="s">
        <v>560</v>
      </c>
      <c r="E284" s="17" t="s">
        <v>561</v>
      </c>
    </row>
    <row r="285" spans="1:5">
      <c r="A285" s="18">
        <v>22570</v>
      </c>
      <c r="B285" s="18">
        <v>1</v>
      </c>
      <c r="C285" s="14" t="s">
        <v>3684</v>
      </c>
      <c r="D285" s="15" t="s">
        <v>562</v>
      </c>
      <c r="E285" s="17" t="s">
        <v>563</v>
      </c>
    </row>
    <row r="286" spans="1:5">
      <c r="A286" s="18">
        <v>22571</v>
      </c>
      <c r="B286" s="18">
        <v>1</v>
      </c>
      <c r="C286" s="14" t="s">
        <v>3685</v>
      </c>
      <c r="D286" s="15" t="s">
        <v>564</v>
      </c>
      <c r="E286" s="17" t="s">
        <v>565</v>
      </c>
    </row>
    <row r="287" spans="1:5">
      <c r="A287" s="18">
        <v>22572</v>
      </c>
      <c r="B287" s="18">
        <v>1</v>
      </c>
      <c r="C287" s="14" t="s">
        <v>3686</v>
      </c>
      <c r="D287" s="15" t="s">
        <v>566</v>
      </c>
      <c r="E287" s="17" t="s">
        <v>567</v>
      </c>
    </row>
    <row r="288" spans="1:5">
      <c r="A288" s="18">
        <v>22573</v>
      </c>
      <c r="B288" s="18">
        <v>1</v>
      </c>
      <c r="C288" s="14" t="s">
        <v>3687</v>
      </c>
      <c r="D288" s="15" t="s">
        <v>568</v>
      </c>
      <c r="E288" s="17" t="s">
        <v>569</v>
      </c>
    </row>
    <row r="289" spans="1:5">
      <c r="A289" s="18">
        <v>22574</v>
      </c>
      <c r="B289" s="18">
        <v>1</v>
      </c>
      <c r="C289" s="14" t="s">
        <v>3688</v>
      </c>
      <c r="D289" s="15" t="s">
        <v>570</v>
      </c>
      <c r="E289" s="17" t="s">
        <v>571</v>
      </c>
    </row>
    <row r="290" spans="1:5">
      <c r="A290" s="18">
        <v>22575</v>
      </c>
      <c r="B290" s="18">
        <v>1</v>
      </c>
      <c r="C290" s="14" t="s">
        <v>3689</v>
      </c>
      <c r="D290" s="15" t="s">
        <v>572</v>
      </c>
      <c r="E290" s="17" t="s">
        <v>573</v>
      </c>
    </row>
    <row r="291" spans="1:5">
      <c r="A291" s="18">
        <v>22576</v>
      </c>
      <c r="B291" s="18">
        <v>1</v>
      </c>
      <c r="C291" s="14" t="s">
        <v>3690</v>
      </c>
      <c r="D291" s="15" t="s">
        <v>574</v>
      </c>
      <c r="E291" s="17" t="s">
        <v>575</v>
      </c>
    </row>
    <row r="292" spans="1:5">
      <c r="A292" s="18">
        <v>22577</v>
      </c>
      <c r="B292" s="18">
        <v>1</v>
      </c>
      <c r="C292" s="14" t="s">
        <v>3691</v>
      </c>
      <c r="D292" s="15" t="s">
        <v>576</v>
      </c>
      <c r="E292" s="17" t="s">
        <v>577</v>
      </c>
    </row>
    <row r="293" spans="1:5">
      <c r="A293" s="18">
        <v>22578</v>
      </c>
      <c r="B293" s="18">
        <v>1</v>
      </c>
      <c r="C293" s="14" t="s">
        <v>3692</v>
      </c>
      <c r="D293" s="15" t="s">
        <v>578</v>
      </c>
      <c r="E293" s="17" t="s">
        <v>579</v>
      </c>
    </row>
    <row r="294" spans="1:5">
      <c r="A294" s="1">
        <v>25001</v>
      </c>
      <c r="B294" s="1">
        <v>1</v>
      </c>
      <c r="C294" s="14" t="s">
        <v>3693</v>
      </c>
      <c r="D294" s="2" t="s">
        <v>580</v>
      </c>
      <c r="E294" s="3" t="s">
        <v>4694</v>
      </c>
    </row>
    <row r="295" spans="1:5">
      <c r="A295" s="1">
        <v>25002</v>
      </c>
      <c r="B295" s="1">
        <v>1</v>
      </c>
      <c r="C295" s="14" t="s">
        <v>3694</v>
      </c>
      <c r="D295" s="2" t="s">
        <v>581</v>
      </c>
      <c r="E295" s="3" t="s">
        <v>4695</v>
      </c>
    </row>
    <row r="296" spans="1:5">
      <c r="A296" s="1">
        <v>25003</v>
      </c>
      <c r="B296" s="1">
        <v>1</v>
      </c>
      <c r="C296" s="14" t="s">
        <v>3695</v>
      </c>
      <c r="D296" s="2" t="s">
        <v>582</v>
      </c>
      <c r="E296" s="3" t="s">
        <v>4696</v>
      </c>
    </row>
    <row r="297" spans="1:5">
      <c r="A297" s="1">
        <v>25004</v>
      </c>
      <c r="B297" s="1">
        <v>1</v>
      </c>
      <c r="C297" s="14" t="s">
        <v>3696</v>
      </c>
      <c r="D297" s="2" t="s">
        <v>583</v>
      </c>
      <c r="E297" s="3" t="s">
        <v>584</v>
      </c>
    </row>
    <row r="298" spans="1:5">
      <c r="A298" s="1">
        <v>25005</v>
      </c>
      <c r="B298" s="1">
        <v>1</v>
      </c>
      <c r="C298" s="14" t="s">
        <v>3697</v>
      </c>
      <c r="D298" s="2" t="s">
        <v>585</v>
      </c>
      <c r="E298" s="3" t="s">
        <v>4697</v>
      </c>
    </row>
    <row r="299" spans="1:5">
      <c r="A299" s="1">
        <v>25006</v>
      </c>
      <c r="B299" s="1">
        <v>1</v>
      </c>
      <c r="C299" s="14" t="s">
        <v>3698</v>
      </c>
      <c r="D299" s="2" t="s">
        <v>586</v>
      </c>
      <c r="E299" s="3" t="s">
        <v>4698</v>
      </c>
    </row>
    <row r="300" spans="1:5">
      <c r="A300" s="1">
        <v>25007</v>
      </c>
      <c r="B300" s="1">
        <v>1</v>
      </c>
      <c r="C300" s="14" t="s">
        <v>3699</v>
      </c>
      <c r="D300" s="2" t="s">
        <v>587</v>
      </c>
      <c r="E300" s="3" t="s">
        <v>4699</v>
      </c>
    </row>
    <row r="301" spans="1:5">
      <c r="A301" s="1">
        <v>25008</v>
      </c>
      <c r="B301" s="1">
        <v>1</v>
      </c>
      <c r="C301" s="14" t="s">
        <v>3700</v>
      </c>
      <c r="D301" s="2" t="s">
        <v>588</v>
      </c>
      <c r="E301" s="3" t="s">
        <v>4700</v>
      </c>
    </row>
    <row r="302" spans="1:5">
      <c r="A302" s="1">
        <v>25009</v>
      </c>
      <c r="B302" s="1">
        <v>1</v>
      </c>
      <c r="C302" s="14" t="s">
        <v>3701</v>
      </c>
      <c r="D302" s="2" t="s">
        <v>589</v>
      </c>
      <c r="E302" s="3" t="s">
        <v>590</v>
      </c>
    </row>
    <row r="303" spans="1:5">
      <c r="A303" s="1">
        <v>25010</v>
      </c>
      <c r="B303" s="1">
        <v>1</v>
      </c>
      <c r="C303" s="14" t="s">
        <v>3702</v>
      </c>
      <c r="D303" s="2" t="s">
        <v>591</v>
      </c>
      <c r="E303" s="3" t="s">
        <v>4701</v>
      </c>
    </row>
    <row r="304" spans="1:5">
      <c r="A304" s="1">
        <v>25011</v>
      </c>
      <c r="B304" s="1">
        <v>1</v>
      </c>
      <c r="C304" s="14" t="s">
        <v>3330</v>
      </c>
      <c r="D304" s="2" t="s">
        <v>592</v>
      </c>
      <c r="E304" s="3" t="s">
        <v>4702</v>
      </c>
    </row>
    <row r="305" spans="1:5">
      <c r="A305" s="1">
        <v>25012</v>
      </c>
      <c r="B305" s="1">
        <v>1</v>
      </c>
      <c r="C305" s="14" t="s">
        <v>3703</v>
      </c>
      <c r="D305" s="2" t="s">
        <v>593</v>
      </c>
      <c r="E305" s="3" t="s">
        <v>594</v>
      </c>
    </row>
    <row r="306" spans="1:5">
      <c r="A306" s="1">
        <v>25013</v>
      </c>
      <c r="B306" s="1">
        <v>1</v>
      </c>
      <c r="C306" s="14" t="s">
        <v>3537</v>
      </c>
      <c r="D306" s="2" t="s">
        <v>595</v>
      </c>
      <c r="E306" s="3" t="s">
        <v>269</v>
      </c>
    </row>
    <row r="307" spans="1:5">
      <c r="A307" s="1">
        <v>25014</v>
      </c>
      <c r="B307" s="1">
        <v>1</v>
      </c>
      <c r="C307" s="14" t="s">
        <v>3704</v>
      </c>
      <c r="D307" s="2" t="s">
        <v>596</v>
      </c>
      <c r="E307" s="3" t="s">
        <v>597</v>
      </c>
    </row>
    <row r="308" spans="1:5">
      <c r="A308" s="1">
        <v>25015</v>
      </c>
      <c r="B308" s="1">
        <v>1</v>
      </c>
      <c r="C308" s="14" t="s">
        <v>3355</v>
      </c>
      <c r="D308" s="2" t="s">
        <v>598</v>
      </c>
      <c r="E308" s="3" t="s">
        <v>599</v>
      </c>
    </row>
    <row r="309" spans="1:5">
      <c r="A309" s="1">
        <v>25016</v>
      </c>
      <c r="B309" s="1">
        <v>1</v>
      </c>
      <c r="C309" s="14" t="s">
        <v>3705</v>
      </c>
      <c r="D309" s="2" t="s">
        <v>600</v>
      </c>
      <c r="E309" s="3" t="s">
        <v>601</v>
      </c>
    </row>
    <row r="310" spans="1:5">
      <c r="A310" s="1">
        <v>25017</v>
      </c>
      <c r="B310" s="1">
        <v>1</v>
      </c>
      <c r="C310" s="14" t="s">
        <v>3536</v>
      </c>
      <c r="D310" s="2" t="s">
        <v>602</v>
      </c>
      <c r="E310" s="3" t="s">
        <v>267</v>
      </c>
    </row>
    <row r="311" spans="1:5">
      <c r="A311" s="1">
        <v>25018</v>
      </c>
      <c r="B311" s="1">
        <v>1</v>
      </c>
      <c r="C311" s="14" t="s">
        <v>3360</v>
      </c>
      <c r="D311" s="2" t="s">
        <v>603</v>
      </c>
      <c r="E311" s="3" t="s">
        <v>604</v>
      </c>
    </row>
    <row r="312" spans="1:5">
      <c r="A312" s="1">
        <v>25019</v>
      </c>
      <c r="B312" s="1">
        <v>1</v>
      </c>
      <c r="C312" s="14" t="s">
        <v>3706</v>
      </c>
      <c r="D312" s="2" t="s">
        <v>605</v>
      </c>
      <c r="E312" s="3" t="s">
        <v>606</v>
      </c>
    </row>
    <row r="313" spans="1:5">
      <c r="A313" s="1">
        <v>25020</v>
      </c>
      <c r="B313" s="1">
        <v>1</v>
      </c>
      <c r="C313" s="14" t="s">
        <v>3707</v>
      </c>
      <c r="D313" s="2" t="s">
        <v>607</v>
      </c>
      <c r="E313" s="3" t="s">
        <v>608</v>
      </c>
    </row>
    <row r="314" spans="1:5">
      <c r="A314" s="1">
        <v>25021</v>
      </c>
      <c r="B314" s="1">
        <v>1</v>
      </c>
      <c r="C314" s="14" t="s">
        <v>3708</v>
      </c>
      <c r="D314" s="2" t="s">
        <v>609</v>
      </c>
      <c r="E314" s="3" t="s">
        <v>610</v>
      </c>
    </row>
    <row r="315" spans="1:5">
      <c r="A315" s="1">
        <v>25101</v>
      </c>
      <c r="B315" s="1">
        <v>1</v>
      </c>
      <c r="C315" s="14" t="s">
        <v>3709</v>
      </c>
      <c r="D315" s="2" t="s">
        <v>611</v>
      </c>
      <c r="E315" s="3" t="s">
        <v>612</v>
      </c>
    </row>
    <row r="316" spans="1:5">
      <c r="A316" s="1">
        <v>25102</v>
      </c>
      <c r="B316" s="1">
        <v>1</v>
      </c>
      <c r="C316" s="14" t="s">
        <v>3710</v>
      </c>
      <c r="D316" s="2" t="s">
        <v>613</v>
      </c>
      <c r="E316" s="3" t="s">
        <v>614</v>
      </c>
    </row>
    <row r="317" spans="1:5">
      <c r="A317" s="1">
        <v>25103</v>
      </c>
      <c r="B317" s="1">
        <v>1</v>
      </c>
      <c r="C317" s="14" t="s">
        <v>3350</v>
      </c>
      <c r="D317" s="2" t="s">
        <v>615</v>
      </c>
      <c r="E317" s="3" t="s">
        <v>616</v>
      </c>
    </row>
    <row r="318" spans="1:5">
      <c r="A318" s="1">
        <v>25104</v>
      </c>
      <c r="B318" s="1">
        <v>1</v>
      </c>
      <c r="C318" s="14" t="s">
        <v>3711</v>
      </c>
      <c r="D318" s="2" t="s">
        <v>580</v>
      </c>
      <c r="E318" s="17" t="s">
        <v>617</v>
      </c>
    </row>
    <row r="319" spans="1:5">
      <c r="A319" s="1">
        <v>25105</v>
      </c>
      <c r="B319" s="1">
        <v>1</v>
      </c>
      <c r="C319" s="14" t="s">
        <v>3712</v>
      </c>
      <c r="D319" s="2" t="s">
        <v>618</v>
      </c>
      <c r="E319" s="3" t="s">
        <v>619</v>
      </c>
    </row>
    <row r="320" spans="1:5">
      <c r="A320" s="1">
        <v>25106</v>
      </c>
      <c r="B320" s="1">
        <v>1</v>
      </c>
      <c r="C320" s="14" t="s">
        <v>3713</v>
      </c>
      <c r="D320" s="2" t="s">
        <v>620</v>
      </c>
      <c r="E320" s="3" t="s">
        <v>621</v>
      </c>
    </row>
    <row r="321" spans="1:5">
      <c r="A321" s="1">
        <v>25107</v>
      </c>
      <c r="B321" s="1">
        <v>1</v>
      </c>
      <c r="C321" s="14" t="s">
        <v>3714</v>
      </c>
      <c r="D321" s="2" t="s">
        <v>622</v>
      </c>
      <c r="E321" s="3" t="s">
        <v>623</v>
      </c>
    </row>
    <row r="322" spans="1:5">
      <c r="A322" s="1">
        <v>25108</v>
      </c>
      <c r="B322" s="1">
        <v>1</v>
      </c>
      <c r="C322" s="14" t="s">
        <v>3715</v>
      </c>
      <c r="D322" s="2" t="s">
        <v>624</v>
      </c>
      <c r="E322" s="3" t="s">
        <v>625</v>
      </c>
    </row>
    <row r="323" spans="1:5">
      <c r="A323" s="1">
        <v>25109</v>
      </c>
      <c r="B323" s="1">
        <v>1</v>
      </c>
      <c r="C323" s="14" t="s">
        <v>3716</v>
      </c>
      <c r="D323" s="2" t="s">
        <v>580</v>
      </c>
      <c r="E323" s="17" t="s">
        <v>626</v>
      </c>
    </row>
    <row r="324" spans="1:5">
      <c r="A324" s="1">
        <v>25110</v>
      </c>
      <c r="B324" s="1">
        <v>1</v>
      </c>
      <c r="C324" s="14" t="s">
        <v>3699</v>
      </c>
      <c r="D324" s="2" t="s">
        <v>627</v>
      </c>
      <c r="E324" s="3" t="s">
        <v>628</v>
      </c>
    </row>
    <row r="325" spans="1:5">
      <c r="A325" s="1">
        <v>25111</v>
      </c>
      <c r="B325" s="1">
        <v>1</v>
      </c>
      <c r="C325" s="14" t="s">
        <v>3717</v>
      </c>
      <c r="D325" s="2" t="s">
        <v>629</v>
      </c>
      <c r="E325" s="17" t="s">
        <v>630</v>
      </c>
    </row>
    <row r="326" spans="1:5">
      <c r="A326" s="1">
        <v>25112</v>
      </c>
      <c r="B326" s="1">
        <v>1</v>
      </c>
      <c r="C326" s="14" t="s">
        <v>3718</v>
      </c>
      <c r="D326" s="2" t="s">
        <v>581</v>
      </c>
      <c r="E326" s="17" t="s">
        <v>631</v>
      </c>
    </row>
    <row r="327" spans="1:5">
      <c r="A327" s="1">
        <v>25113</v>
      </c>
      <c r="B327" s="1">
        <v>1</v>
      </c>
      <c r="C327" s="14" t="s">
        <v>3719</v>
      </c>
      <c r="D327" s="2" t="s">
        <v>632</v>
      </c>
      <c r="E327" s="3" t="s">
        <v>633</v>
      </c>
    </row>
    <row r="328" spans="1:5">
      <c r="A328" s="1">
        <v>25114</v>
      </c>
      <c r="B328" s="1">
        <v>1</v>
      </c>
      <c r="C328" s="14" t="s">
        <v>3720</v>
      </c>
      <c r="D328" s="2" t="s">
        <v>634</v>
      </c>
      <c r="E328" s="3" t="s">
        <v>635</v>
      </c>
    </row>
    <row r="329" spans="1:5">
      <c r="A329" s="1">
        <v>25115</v>
      </c>
      <c r="B329" s="1">
        <v>1</v>
      </c>
      <c r="C329" s="14" t="s">
        <v>3721</v>
      </c>
      <c r="D329" s="2" t="s">
        <v>636</v>
      </c>
      <c r="E329" s="17" t="s">
        <v>637</v>
      </c>
    </row>
    <row r="330" spans="1:5">
      <c r="A330" s="1">
        <v>25116</v>
      </c>
      <c r="B330" s="1">
        <v>1</v>
      </c>
      <c r="C330" s="14" t="s">
        <v>3722</v>
      </c>
      <c r="D330" s="2" t="s">
        <v>581</v>
      </c>
      <c r="E330" s="17" t="s">
        <v>638</v>
      </c>
    </row>
    <row r="331" spans="1:5">
      <c r="A331" s="1">
        <v>25117</v>
      </c>
      <c r="B331" s="1">
        <v>1</v>
      </c>
      <c r="C331" s="14" t="s">
        <v>3723</v>
      </c>
      <c r="D331" s="2" t="s">
        <v>639</v>
      </c>
      <c r="E331" s="3" t="s">
        <v>640</v>
      </c>
    </row>
    <row r="332" spans="1:5">
      <c r="A332" s="1">
        <v>25118</v>
      </c>
      <c r="B332" s="1">
        <v>1</v>
      </c>
      <c r="C332" s="14" t="s">
        <v>3724</v>
      </c>
      <c r="D332" s="2" t="s">
        <v>641</v>
      </c>
      <c r="E332" s="3" t="s">
        <v>642</v>
      </c>
    </row>
    <row r="333" spans="1:5">
      <c r="A333" s="1">
        <v>25119</v>
      </c>
      <c r="B333" s="1">
        <v>1</v>
      </c>
      <c r="C333" s="14" t="s">
        <v>3725</v>
      </c>
      <c r="D333" s="2" t="s">
        <v>582</v>
      </c>
      <c r="E333" s="17" t="s">
        <v>643</v>
      </c>
    </row>
    <row r="334" spans="1:5">
      <c r="A334" s="1">
        <v>25120</v>
      </c>
      <c r="B334" s="1">
        <v>1</v>
      </c>
      <c r="C334" s="14" t="s">
        <v>3723</v>
      </c>
      <c r="D334" s="2" t="s">
        <v>639</v>
      </c>
      <c r="E334" s="3" t="s">
        <v>640</v>
      </c>
    </row>
    <row r="335" spans="1:5">
      <c r="A335" s="1">
        <v>25121</v>
      </c>
      <c r="B335" s="1">
        <v>1</v>
      </c>
      <c r="C335" s="14" t="s">
        <v>3726</v>
      </c>
      <c r="D335" s="2" t="s">
        <v>644</v>
      </c>
      <c r="E335" s="3" t="s">
        <v>645</v>
      </c>
    </row>
    <row r="336" spans="1:5">
      <c r="A336" s="1">
        <v>25122</v>
      </c>
      <c r="B336" s="1">
        <v>1</v>
      </c>
      <c r="C336" s="14" t="s">
        <v>3727</v>
      </c>
      <c r="D336" s="2" t="s">
        <v>646</v>
      </c>
      <c r="E336" s="3" t="s">
        <v>647</v>
      </c>
    </row>
    <row r="337" spans="1:5">
      <c r="A337" s="1">
        <v>25123</v>
      </c>
      <c r="B337" s="1">
        <v>1</v>
      </c>
      <c r="C337" s="14" t="s">
        <v>3356</v>
      </c>
      <c r="D337" s="2" t="s">
        <v>648</v>
      </c>
      <c r="E337" s="3" t="s">
        <v>649</v>
      </c>
    </row>
    <row r="338" spans="1:5">
      <c r="A338" s="1">
        <v>25124</v>
      </c>
      <c r="B338" s="1">
        <v>1</v>
      </c>
      <c r="C338" s="14" t="s">
        <v>3728</v>
      </c>
      <c r="D338" s="2" t="s">
        <v>650</v>
      </c>
      <c r="E338" s="3" t="s">
        <v>651</v>
      </c>
    </row>
    <row r="339" spans="1:5">
      <c r="A339" s="1">
        <v>25125</v>
      </c>
      <c r="B339" s="1">
        <v>1</v>
      </c>
      <c r="C339" s="14" t="s">
        <v>3729</v>
      </c>
      <c r="D339" s="2" t="s">
        <v>652</v>
      </c>
      <c r="E339" s="3" t="s">
        <v>653</v>
      </c>
    </row>
    <row r="340" spans="1:5">
      <c r="A340" s="1">
        <v>25126</v>
      </c>
      <c r="B340" s="1">
        <v>1</v>
      </c>
      <c r="C340" s="14" t="s">
        <v>3730</v>
      </c>
      <c r="D340" s="2" t="s">
        <v>654</v>
      </c>
      <c r="E340" s="3" t="s">
        <v>655</v>
      </c>
    </row>
    <row r="341" spans="1:5">
      <c r="A341" s="1">
        <v>25127</v>
      </c>
      <c r="B341" s="1">
        <v>1</v>
      </c>
      <c r="C341" s="14" t="s">
        <v>3731</v>
      </c>
      <c r="D341" s="2" t="s">
        <v>656</v>
      </c>
      <c r="E341" s="3" t="s">
        <v>657</v>
      </c>
    </row>
    <row r="342" spans="1:5">
      <c r="A342" s="1">
        <v>25128</v>
      </c>
      <c r="B342" s="1">
        <v>1</v>
      </c>
      <c r="C342" s="14" t="s">
        <v>3732</v>
      </c>
      <c r="D342" s="2" t="s">
        <v>658</v>
      </c>
      <c r="E342" s="3" t="s">
        <v>659</v>
      </c>
    </row>
    <row r="343" spans="1:5">
      <c r="A343" s="1">
        <v>25129</v>
      </c>
      <c r="B343" s="1">
        <v>1</v>
      </c>
      <c r="C343" s="14" t="s">
        <v>3360</v>
      </c>
      <c r="D343" s="2" t="s">
        <v>660</v>
      </c>
      <c r="E343" s="3" t="s">
        <v>604</v>
      </c>
    </row>
    <row r="344" spans="1:5">
      <c r="A344" s="1">
        <v>25130</v>
      </c>
      <c r="B344" s="1">
        <v>1</v>
      </c>
      <c r="C344" s="14" t="s">
        <v>3733</v>
      </c>
      <c r="D344" s="2" t="s">
        <v>661</v>
      </c>
      <c r="E344" s="3" t="s">
        <v>662</v>
      </c>
    </row>
    <row r="345" spans="1:5">
      <c r="A345" s="1">
        <v>25131</v>
      </c>
      <c r="B345" s="1">
        <v>1</v>
      </c>
      <c r="C345" s="14" t="s">
        <v>3734</v>
      </c>
      <c r="D345" s="2" t="s">
        <v>663</v>
      </c>
      <c r="E345" s="3" t="s">
        <v>664</v>
      </c>
    </row>
    <row r="346" spans="1:5">
      <c r="A346" s="22">
        <v>25999</v>
      </c>
      <c r="B346" s="22">
        <v>1</v>
      </c>
      <c r="C346" s="14" t="s">
        <v>3350</v>
      </c>
      <c r="D346" s="23" t="s">
        <v>665</v>
      </c>
      <c r="E346" s="24" t="s">
        <v>616</v>
      </c>
    </row>
    <row r="347" spans="1:5">
      <c r="A347" s="25">
        <v>26000</v>
      </c>
      <c r="B347" s="25">
        <v>1</v>
      </c>
      <c r="C347" s="14" t="s">
        <v>3735</v>
      </c>
      <c r="D347" s="26" t="s">
        <v>666</v>
      </c>
      <c r="E347" s="27" t="s">
        <v>667</v>
      </c>
    </row>
    <row r="348" spans="1:5">
      <c r="A348" s="28">
        <v>26001</v>
      </c>
      <c r="B348" s="28">
        <v>1</v>
      </c>
      <c r="C348" s="14" t="s">
        <v>3709</v>
      </c>
      <c r="D348" s="29" t="s">
        <v>668</v>
      </c>
      <c r="E348" s="30" t="s">
        <v>612</v>
      </c>
    </row>
    <row r="349" spans="1:5">
      <c r="A349" s="28">
        <v>26002</v>
      </c>
      <c r="B349" s="28">
        <v>1</v>
      </c>
      <c r="C349" s="14" t="s">
        <v>3736</v>
      </c>
      <c r="D349" s="29" t="s">
        <v>669</v>
      </c>
      <c r="E349" s="30" t="s">
        <v>670</v>
      </c>
    </row>
    <row r="350" spans="1:5">
      <c r="A350" s="28">
        <v>26003</v>
      </c>
      <c r="B350" s="28">
        <v>1</v>
      </c>
      <c r="C350" s="14" t="s">
        <v>3737</v>
      </c>
      <c r="D350" s="29" t="s">
        <v>671</v>
      </c>
      <c r="E350" s="30" t="s">
        <v>672</v>
      </c>
    </row>
    <row r="351" spans="1:5">
      <c r="A351" s="28">
        <v>26004</v>
      </c>
      <c r="B351" s="28">
        <v>1</v>
      </c>
      <c r="C351" s="14" t="s">
        <v>3738</v>
      </c>
      <c r="D351" s="29" t="s">
        <v>673</v>
      </c>
      <c r="E351" s="30" t="s">
        <v>674</v>
      </c>
    </row>
    <row r="352" spans="1:5">
      <c r="A352" s="28">
        <v>26005</v>
      </c>
      <c r="B352" s="28">
        <v>1</v>
      </c>
      <c r="C352" s="14" t="s">
        <v>3739</v>
      </c>
      <c r="D352" s="29" t="s">
        <v>675</v>
      </c>
      <c r="E352" s="30" t="s">
        <v>676</v>
      </c>
    </row>
    <row r="353" spans="1:5">
      <c r="A353" s="28">
        <v>26006</v>
      </c>
      <c r="B353" s="28">
        <v>1</v>
      </c>
      <c r="C353" s="14" t="s">
        <v>3698</v>
      </c>
      <c r="D353" s="29" t="s">
        <v>677</v>
      </c>
      <c r="E353" s="30" t="s">
        <v>678</v>
      </c>
    </row>
    <row r="354" spans="1:5">
      <c r="A354" s="28">
        <v>26007</v>
      </c>
      <c r="B354" s="28">
        <v>1</v>
      </c>
      <c r="C354" s="14" t="s">
        <v>3740</v>
      </c>
      <c r="D354" s="29" t="s">
        <v>679</v>
      </c>
      <c r="E354" s="30" t="s">
        <v>680</v>
      </c>
    </row>
    <row r="355" spans="1:5">
      <c r="A355" s="28">
        <v>26008</v>
      </c>
      <c r="B355" s="28">
        <v>1</v>
      </c>
      <c r="C355" s="14" t="s">
        <v>3741</v>
      </c>
      <c r="D355" s="29" t="s">
        <v>681</v>
      </c>
      <c r="E355" s="30" t="s">
        <v>682</v>
      </c>
    </row>
    <row r="356" spans="1:5">
      <c r="A356" s="28">
        <v>26009</v>
      </c>
      <c r="B356" s="28">
        <v>1</v>
      </c>
      <c r="C356" s="14" t="s">
        <v>3742</v>
      </c>
      <c r="D356" s="29" t="s">
        <v>683</v>
      </c>
      <c r="E356" s="30" t="s">
        <v>684</v>
      </c>
    </row>
    <row r="357" spans="1:5">
      <c r="A357" s="28">
        <v>26010</v>
      </c>
      <c r="B357" s="28">
        <v>1</v>
      </c>
      <c r="C357" s="14" t="s">
        <v>3695</v>
      </c>
      <c r="D357" s="29" t="s">
        <v>685</v>
      </c>
      <c r="E357" s="30" t="s">
        <v>686</v>
      </c>
    </row>
    <row r="358" spans="1:5">
      <c r="A358" s="31">
        <v>26020</v>
      </c>
      <c r="B358" s="31">
        <v>1</v>
      </c>
      <c r="C358" s="14" t="s">
        <v>3512</v>
      </c>
      <c r="D358" s="32" t="s">
        <v>687</v>
      </c>
      <c r="E358" s="147" t="s">
        <v>688</v>
      </c>
    </row>
    <row r="359" spans="1:5">
      <c r="A359" s="31">
        <v>26021</v>
      </c>
      <c r="B359" s="31">
        <v>1</v>
      </c>
      <c r="C359" s="14" t="s">
        <v>3483</v>
      </c>
      <c r="D359" s="32" t="s">
        <v>689</v>
      </c>
      <c r="E359" s="147" t="s">
        <v>690</v>
      </c>
    </row>
    <row r="360" spans="1:5">
      <c r="A360" s="31">
        <v>26022</v>
      </c>
      <c r="B360" s="31">
        <v>1</v>
      </c>
      <c r="C360" s="14" t="s">
        <v>3480</v>
      </c>
      <c r="D360" s="32" t="s">
        <v>691</v>
      </c>
      <c r="E360" s="147" t="s">
        <v>692</v>
      </c>
    </row>
    <row r="361" spans="1:5">
      <c r="A361" s="31">
        <v>26023</v>
      </c>
      <c r="B361" s="31">
        <v>1</v>
      </c>
      <c r="C361" s="14" t="s">
        <v>3568</v>
      </c>
      <c r="D361" s="32" t="s">
        <v>693</v>
      </c>
      <c r="E361" s="147" t="s">
        <v>694</v>
      </c>
    </row>
    <row r="362" spans="1:5">
      <c r="A362" s="31">
        <v>26024</v>
      </c>
      <c r="B362" s="31">
        <v>1</v>
      </c>
      <c r="C362" s="14" t="s">
        <v>3580</v>
      </c>
      <c r="D362" s="32" t="s">
        <v>695</v>
      </c>
      <c r="E362" s="147" t="s">
        <v>696</v>
      </c>
    </row>
    <row r="363" spans="1:5">
      <c r="A363" s="31">
        <v>26025</v>
      </c>
      <c r="B363" s="31">
        <v>1</v>
      </c>
      <c r="C363" s="14" t="s">
        <v>3592</v>
      </c>
      <c r="D363" s="32" t="s">
        <v>697</v>
      </c>
      <c r="E363" s="147" t="s">
        <v>698</v>
      </c>
    </row>
    <row r="364" spans="1:5">
      <c r="A364" s="31">
        <v>26026</v>
      </c>
      <c r="B364" s="31">
        <v>1</v>
      </c>
      <c r="C364" s="14" t="s">
        <v>3615</v>
      </c>
      <c r="D364" s="32" t="s">
        <v>699</v>
      </c>
      <c r="E364" s="147" t="s">
        <v>700</v>
      </c>
    </row>
    <row r="365" spans="1:5">
      <c r="A365" s="31">
        <v>26027</v>
      </c>
      <c r="B365" s="31">
        <v>1</v>
      </c>
      <c r="C365" s="14" t="s">
        <v>3627</v>
      </c>
      <c r="D365" s="32" t="s">
        <v>701</v>
      </c>
      <c r="E365" s="147" t="s">
        <v>702</v>
      </c>
    </row>
    <row r="366" spans="1:5">
      <c r="A366" s="31">
        <v>26028</v>
      </c>
      <c r="B366" s="31">
        <v>1</v>
      </c>
      <c r="C366" s="14" t="s">
        <v>3651</v>
      </c>
      <c r="D366" s="32" t="s">
        <v>703</v>
      </c>
      <c r="E366" s="147" t="s">
        <v>704</v>
      </c>
    </row>
    <row r="367" spans="1:5">
      <c r="A367" s="31">
        <v>26029</v>
      </c>
      <c r="B367" s="31">
        <v>1</v>
      </c>
      <c r="C367" s="14" t="s">
        <v>3690</v>
      </c>
      <c r="D367" s="32" t="s">
        <v>705</v>
      </c>
      <c r="E367" s="147" t="s">
        <v>706</v>
      </c>
    </row>
    <row r="368" spans="1:5">
      <c r="A368" s="31">
        <v>26030</v>
      </c>
      <c r="B368" s="31">
        <v>1</v>
      </c>
      <c r="C368" s="14" t="s">
        <v>3686</v>
      </c>
      <c r="D368" s="32" t="s">
        <v>707</v>
      </c>
      <c r="E368" s="147" t="s">
        <v>708</v>
      </c>
    </row>
    <row r="369" spans="1:5">
      <c r="A369" s="31">
        <v>26031</v>
      </c>
      <c r="B369" s="31">
        <v>1</v>
      </c>
      <c r="C369" s="14" t="s">
        <v>3681</v>
      </c>
      <c r="D369" s="32" t="s">
        <v>709</v>
      </c>
      <c r="E369" s="147" t="s">
        <v>710</v>
      </c>
    </row>
    <row r="370" spans="1:5">
      <c r="A370" s="18">
        <v>30001</v>
      </c>
      <c r="B370" s="18">
        <v>1</v>
      </c>
      <c r="C370" s="14" t="s">
        <v>3696</v>
      </c>
      <c r="D370" s="33" t="s">
        <v>711</v>
      </c>
      <c r="E370" s="17" t="s">
        <v>584</v>
      </c>
    </row>
    <row r="371" spans="1:5">
      <c r="A371" s="18">
        <v>30002</v>
      </c>
      <c r="B371" s="18">
        <v>1</v>
      </c>
      <c r="C371" s="14" t="s">
        <v>3352</v>
      </c>
      <c r="D371" s="33" t="s">
        <v>712</v>
      </c>
      <c r="E371" s="17" t="s">
        <v>713</v>
      </c>
    </row>
    <row r="372" spans="1:5">
      <c r="A372" s="18">
        <v>30003</v>
      </c>
      <c r="B372" s="18">
        <v>1</v>
      </c>
      <c r="C372" s="14" t="s">
        <v>3743</v>
      </c>
      <c r="D372" s="33" t="s">
        <v>714</v>
      </c>
      <c r="E372" s="17" t="s">
        <v>715</v>
      </c>
    </row>
    <row r="373" spans="1:5">
      <c r="A373" s="18">
        <v>30004</v>
      </c>
      <c r="B373" s="18">
        <v>1</v>
      </c>
      <c r="C373" s="14" t="s">
        <v>3744</v>
      </c>
      <c r="D373" s="33" t="s">
        <v>716</v>
      </c>
      <c r="E373" s="17" t="s">
        <v>717</v>
      </c>
    </row>
    <row r="374" spans="1:5">
      <c r="A374" s="18">
        <v>30005</v>
      </c>
      <c r="B374" s="18">
        <v>1</v>
      </c>
      <c r="C374" s="14" t="s">
        <v>3614</v>
      </c>
      <c r="D374" s="33" t="s">
        <v>718</v>
      </c>
      <c r="E374" s="17" t="s">
        <v>423</v>
      </c>
    </row>
    <row r="375" spans="1:5">
      <c r="A375" s="18">
        <v>30006</v>
      </c>
      <c r="B375" s="18">
        <v>1</v>
      </c>
      <c r="C375" s="14" t="s">
        <v>3745</v>
      </c>
      <c r="D375" s="33" t="s">
        <v>719</v>
      </c>
      <c r="E375" s="17" t="s">
        <v>720</v>
      </c>
    </row>
    <row r="376" spans="1:5">
      <c r="A376" s="18">
        <v>30007</v>
      </c>
      <c r="B376" s="18">
        <v>1</v>
      </c>
      <c r="C376" s="14" t="s">
        <v>3352</v>
      </c>
      <c r="D376" s="33" t="s">
        <v>721</v>
      </c>
      <c r="E376" s="17" t="s">
        <v>713</v>
      </c>
    </row>
    <row r="377" spans="1:5">
      <c r="A377" s="18">
        <v>30008</v>
      </c>
      <c r="B377" s="18">
        <v>1</v>
      </c>
      <c r="C377" s="14" t="s">
        <v>3746</v>
      </c>
      <c r="D377" s="33" t="s">
        <v>722</v>
      </c>
      <c r="E377" s="17" t="s">
        <v>723</v>
      </c>
    </row>
    <row r="378" spans="1:5">
      <c r="A378" s="18">
        <v>30009</v>
      </c>
      <c r="B378" s="18">
        <v>1</v>
      </c>
      <c r="C378" s="14" t="s">
        <v>3747</v>
      </c>
      <c r="D378" s="33" t="s">
        <v>724</v>
      </c>
      <c r="E378" s="17" t="s">
        <v>725</v>
      </c>
    </row>
    <row r="379" spans="1:5">
      <c r="A379" s="18">
        <v>30010</v>
      </c>
      <c r="B379" s="18">
        <v>1</v>
      </c>
      <c r="C379" s="14" t="s">
        <v>3748</v>
      </c>
      <c r="D379" s="33" t="s">
        <v>726</v>
      </c>
      <c r="E379" s="17" t="s">
        <v>727</v>
      </c>
    </row>
    <row r="380" spans="1:5">
      <c r="A380" s="18">
        <v>30011</v>
      </c>
      <c r="B380" s="18">
        <v>1</v>
      </c>
      <c r="C380" s="14" t="s">
        <v>3749</v>
      </c>
      <c r="D380" s="33" t="s">
        <v>728</v>
      </c>
      <c r="E380" s="17" t="s">
        <v>729</v>
      </c>
    </row>
    <row r="381" spans="1:5">
      <c r="A381" s="1">
        <v>30012</v>
      </c>
      <c r="B381" s="1">
        <v>1</v>
      </c>
      <c r="C381" s="14" t="s">
        <v>3749</v>
      </c>
      <c r="D381" s="33" t="s">
        <v>730</v>
      </c>
      <c r="E381" s="3" t="s">
        <v>729</v>
      </c>
    </row>
    <row r="382" spans="1:5">
      <c r="A382" s="1">
        <v>30013</v>
      </c>
      <c r="B382" s="1">
        <v>1</v>
      </c>
      <c r="C382" s="14" t="s">
        <v>3750</v>
      </c>
      <c r="D382" s="33" t="s">
        <v>731</v>
      </c>
      <c r="E382" s="3" t="s">
        <v>732</v>
      </c>
    </row>
    <row r="383" spans="1:5">
      <c r="A383" s="1">
        <v>30014</v>
      </c>
      <c r="B383" s="1">
        <v>1</v>
      </c>
      <c r="C383" s="14" t="s">
        <v>3751</v>
      </c>
      <c r="D383" s="2" t="s">
        <v>733</v>
      </c>
      <c r="E383" s="3" t="s">
        <v>734</v>
      </c>
    </row>
    <row r="384" spans="1:5">
      <c r="A384" s="1">
        <v>30015</v>
      </c>
      <c r="B384" s="1">
        <v>1</v>
      </c>
      <c r="C384" s="14" t="s">
        <v>3743</v>
      </c>
      <c r="D384" s="2" t="s">
        <v>735</v>
      </c>
      <c r="E384" s="3" t="s">
        <v>715</v>
      </c>
    </row>
    <row r="385" spans="1:5">
      <c r="A385" s="1">
        <v>30016</v>
      </c>
      <c r="B385" s="1">
        <v>1</v>
      </c>
      <c r="C385" s="14" t="s">
        <v>3752</v>
      </c>
      <c r="D385" s="2" t="s">
        <v>736</v>
      </c>
      <c r="E385" s="3" t="s">
        <v>737</v>
      </c>
    </row>
    <row r="386" spans="1:5">
      <c r="A386" s="1">
        <v>30017</v>
      </c>
      <c r="B386" s="1">
        <v>1</v>
      </c>
      <c r="C386" s="14" t="s">
        <v>3753</v>
      </c>
      <c r="D386" s="2" t="s">
        <v>738</v>
      </c>
      <c r="E386" s="3" t="s">
        <v>739</v>
      </c>
    </row>
    <row r="387" spans="1:5">
      <c r="A387" s="1">
        <v>30018</v>
      </c>
      <c r="B387" s="1">
        <v>1</v>
      </c>
      <c r="C387" s="14" t="s">
        <v>3754</v>
      </c>
      <c r="D387" s="2" t="s">
        <v>740</v>
      </c>
      <c r="E387" s="3" t="s">
        <v>741</v>
      </c>
    </row>
    <row r="388" spans="1:5">
      <c r="A388" s="1">
        <v>30019</v>
      </c>
      <c r="B388" s="1">
        <v>1</v>
      </c>
      <c r="C388" s="14" t="s">
        <v>3754</v>
      </c>
      <c r="D388" s="2" t="s">
        <v>742</v>
      </c>
      <c r="E388" s="3" t="s">
        <v>741</v>
      </c>
    </row>
    <row r="389" spans="1:5">
      <c r="A389" s="1">
        <v>30020</v>
      </c>
      <c r="B389" s="1">
        <v>1</v>
      </c>
      <c r="C389" s="14" t="s">
        <v>3601</v>
      </c>
      <c r="D389" s="2" t="s">
        <v>743</v>
      </c>
      <c r="E389" s="3" t="s">
        <v>397</v>
      </c>
    </row>
    <row r="390" spans="1:5">
      <c r="A390" s="1">
        <v>30021</v>
      </c>
      <c r="B390" s="1">
        <v>1</v>
      </c>
      <c r="C390" s="14" t="s">
        <v>3557</v>
      </c>
      <c r="D390" s="2" t="s">
        <v>744</v>
      </c>
      <c r="E390" s="3" t="s">
        <v>309</v>
      </c>
    </row>
    <row r="391" spans="1:5">
      <c r="A391" s="1">
        <v>30022</v>
      </c>
      <c r="B391" s="1">
        <v>1</v>
      </c>
      <c r="C391" s="14" t="s">
        <v>3416</v>
      </c>
      <c r="D391" s="2" t="s">
        <v>745</v>
      </c>
      <c r="E391" s="3" t="s">
        <v>27</v>
      </c>
    </row>
    <row r="392" spans="1:5">
      <c r="A392" s="34">
        <v>31000</v>
      </c>
      <c r="B392" s="34">
        <v>1</v>
      </c>
      <c r="C392" s="14" t="s">
        <v>3369</v>
      </c>
      <c r="D392" s="35" t="s">
        <v>746</v>
      </c>
      <c r="E392" s="36" t="s">
        <v>747</v>
      </c>
    </row>
    <row r="393" spans="1:5">
      <c r="A393" s="34">
        <v>31001</v>
      </c>
      <c r="B393" s="34">
        <v>1</v>
      </c>
      <c r="C393" s="14" t="s">
        <v>3709</v>
      </c>
      <c r="D393" s="35" t="s">
        <v>748</v>
      </c>
      <c r="E393" s="36" t="s">
        <v>612</v>
      </c>
    </row>
    <row r="394" spans="1:5">
      <c r="A394" s="34">
        <v>31002</v>
      </c>
      <c r="B394" s="34">
        <v>1</v>
      </c>
      <c r="C394" s="14" t="s">
        <v>3541</v>
      </c>
      <c r="D394" s="35" t="s">
        <v>749</v>
      </c>
      <c r="E394" s="36" t="s">
        <v>277</v>
      </c>
    </row>
    <row r="395" spans="1:5">
      <c r="A395" s="34">
        <v>31003</v>
      </c>
      <c r="B395" s="34">
        <v>1</v>
      </c>
      <c r="C395" s="14" t="s">
        <v>3371</v>
      </c>
      <c r="D395" s="35" t="s">
        <v>750</v>
      </c>
      <c r="E395" s="36" t="s">
        <v>751</v>
      </c>
    </row>
    <row r="396" spans="1:5">
      <c r="A396" s="34">
        <v>31004</v>
      </c>
      <c r="B396" s="34">
        <v>1</v>
      </c>
      <c r="C396" s="14" t="s">
        <v>3371</v>
      </c>
      <c r="D396" s="35" t="s">
        <v>752</v>
      </c>
      <c r="E396" s="36" t="s">
        <v>751</v>
      </c>
    </row>
    <row r="397" spans="1:5">
      <c r="A397" s="34">
        <v>31005</v>
      </c>
      <c r="B397" s="34">
        <v>1</v>
      </c>
      <c r="C397" s="14" t="s">
        <v>3755</v>
      </c>
      <c r="D397" s="35" t="s">
        <v>753</v>
      </c>
      <c r="E397" s="36" t="s">
        <v>754</v>
      </c>
    </row>
    <row r="398" spans="1:5">
      <c r="A398" s="34">
        <v>31006</v>
      </c>
      <c r="B398" s="34">
        <v>1</v>
      </c>
      <c r="C398" s="14" t="s">
        <v>3756</v>
      </c>
      <c r="D398" s="35" t="s">
        <v>755</v>
      </c>
      <c r="E398" s="36" t="s">
        <v>756</v>
      </c>
    </row>
    <row r="399" spans="1:5">
      <c r="A399" s="34">
        <v>31007</v>
      </c>
      <c r="B399" s="34">
        <v>1</v>
      </c>
      <c r="C399" s="14" t="s">
        <v>3720</v>
      </c>
      <c r="D399" s="35" t="s">
        <v>757</v>
      </c>
      <c r="E399" s="36" t="s">
        <v>635</v>
      </c>
    </row>
    <row r="400" spans="1:5">
      <c r="A400" s="34">
        <v>31008</v>
      </c>
      <c r="B400" s="34">
        <v>1</v>
      </c>
      <c r="C400" s="14" t="s">
        <v>3755</v>
      </c>
      <c r="D400" s="35" t="s">
        <v>758</v>
      </c>
      <c r="E400" s="36" t="s">
        <v>754</v>
      </c>
    </row>
    <row r="401" spans="1:5">
      <c r="A401" s="34">
        <v>31009</v>
      </c>
      <c r="B401" s="34">
        <v>1</v>
      </c>
      <c r="C401" s="14" t="s">
        <v>3757</v>
      </c>
      <c r="D401" s="35" t="s">
        <v>759</v>
      </c>
      <c r="E401" s="36" t="s">
        <v>760</v>
      </c>
    </row>
    <row r="402" spans="1:5">
      <c r="A402" s="34">
        <v>31010</v>
      </c>
      <c r="B402" s="34">
        <v>1</v>
      </c>
      <c r="C402" s="14" t="s">
        <v>3758</v>
      </c>
      <c r="D402" s="35" t="s">
        <v>761</v>
      </c>
      <c r="E402" s="36" t="s">
        <v>762</v>
      </c>
    </row>
    <row r="403" spans="1:5">
      <c r="A403" s="34">
        <v>31011</v>
      </c>
      <c r="B403" s="34">
        <v>1</v>
      </c>
      <c r="C403" s="14" t="s">
        <v>3759</v>
      </c>
      <c r="D403" s="35" t="s">
        <v>763</v>
      </c>
      <c r="E403" s="36" t="s">
        <v>764</v>
      </c>
    </row>
    <row r="404" spans="1:5">
      <c r="A404" s="34">
        <v>31012</v>
      </c>
      <c r="B404" s="34">
        <v>1</v>
      </c>
      <c r="C404" s="14" t="s">
        <v>3759</v>
      </c>
      <c r="D404" s="35" t="s">
        <v>765</v>
      </c>
      <c r="E404" s="36" t="s">
        <v>764</v>
      </c>
    </row>
    <row r="405" spans="1:5">
      <c r="A405" s="34">
        <v>31013</v>
      </c>
      <c r="B405" s="34">
        <v>1</v>
      </c>
      <c r="C405" s="14" t="s">
        <v>3757</v>
      </c>
      <c r="D405" s="35" t="s">
        <v>766</v>
      </c>
      <c r="E405" s="36" t="s">
        <v>760</v>
      </c>
    </row>
    <row r="406" spans="1:5">
      <c r="A406" s="34">
        <v>31014</v>
      </c>
      <c r="B406" s="34">
        <v>1</v>
      </c>
      <c r="C406" s="14" t="s">
        <v>3758</v>
      </c>
      <c r="D406" s="35" t="s">
        <v>767</v>
      </c>
      <c r="E406" s="36" t="s">
        <v>762</v>
      </c>
    </row>
    <row r="407" spans="1:5">
      <c r="A407" s="34">
        <v>31015</v>
      </c>
      <c r="B407" s="34">
        <v>1</v>
      </c>
      <c r="C407" s="14" t="s">
        <v>3382</v>
      </c>
      <c r="D407" s="35" t="s">
        <v>768</v>
      </c>
      <c r="E407" s="36" t="s">
        <v>769</v>
      </c>
    </row>
    <row r="408" spans="1:5">
      <c r="A408" s="34">
        <v>31016</v>
      </c>
      <c r="B408" s="34">
        <v>1</v>
      </c>
      <c r="C408" s="14" t="s">
        <v>3382</v>
      </c>
      <c r="D408" s="35" t="s">
        <v>770</v>
      </c>
      <c r="E408" s="36" t="s">
        <v>769</v>
      </c>
    </row>
    <row r="409" spans="1:5">
      <c r="A409" s="34">
        <v>31017</v>
      </c>
      <c r="B409" s="34">
        <v>1</v>
      </c>
      <c r="C409" s="14" t="s">
        <v>3382</v>
      </c>
      <c r="D409" s="35" t="s">
        <v>771</v>
      </c>
      <c r="E409" s="36" t="s">
        <v>769</v>
      </c>
    </row>
    <row r="410" spans="1:5">
      <c r="A410" s="34">
        <v>31018</v>
      </c>
      <c r="B410" s="34">
        <v>1</v>
      </c>
      <c r="C410" s="14" t="s">
        <v>3382</v>
      </c>
      <c r="D410" s="35" t="s">
        <v>772</v>
      </c>
      <c r="E410" s="36" t="s">
        <v>769</v>
      </c>
    </row>
    <row r="411" spans="1:5">
      <c r="A411" s="34">
        <v>31019</v>
      </c>
      <c r="B411" s="34">
        <v>1</v>
      </c>
      <c r="C411" s="14" t="s">
        <v>3382</v>
      </c>
      <c r="D411" s="35" t="s">
        <v>773</v>
      </c>
      <c r="E411" s="36" t="s">
        <v>769</v>
      </c>
    </row>
    <row r="412" spans="1:5">
      <c r="A412" s="34">
        <v>31020</v>
      </c>
      <c r="B412" s="34">
        <v>1</v>
      </c>
      <c r="C412" s="14" t="s">
        <v>3382</v>
      </c>
      <c r="D412" s="35" t="s">
        <v>774</v>
      </c>
      <c r="E412" s="36" t="s">
        <v>769</v>
      </c>
    </row>
    <row r="413" spans="1:5">
      <c r="A413" s="34">
        <v>31021</v>
      </c>
      <c r="B413" s="34">
        <v>1</v>
      </c>
      <c r="C413" s="14" t="s">
        <v>3382</v>
      </c>
      <c r="D413" s="35" t="s">
        <v>775</v>
      </c>
      <c r="E413" s="36" t="s">
        <v>769</v>
      </c>
    </row>
    <row r="414" spans="1:5">
      <c r="A414" s="34">
        <v>31022</v>
      </c>
      <c r="B414" s="34">
        <v>1</v>
      </c>
      <c r="C414" s="14" t="s">
        <v>3382</v>
      </c>
      <c r="D414" s="35" t="s">
        <v>776</v>
      </c>
      <c r="E414" s="36" t="s">
        <v>769</v>
      </c>
    </row>
    <row r="415" spans="1:5">
      <c r="A415" s="34">
        <v>31023</v>
      </c>
      <c r="B415" s="34">
        <v>1</v>
      </c>
      <c r="C415" s="14" t="s">
        <v>3382</v>
      </c>
      <c r="D415" s="35" t="s">
        <v>777</v>
      </c>
      <c r="E415" s="36" t="s">
        <v>769</v>
      </c>
    </row>
    <row r="416" spans="1:5">
      <c r="A416" s="37">
        <v>31051</v>
      </c>
      <c r="B416" s="37">
        <v>1</v>
      </c>
      <c r="C416" s="14" t="s">
        <v>3709</v>
      </c>
      <c r="D416" s="38" t="s">
        <v>778</v>
      </c>
      <c r="E416" s="39" t="s">
        <v>612</v>
      </c>
    </row>
    <row r="417" spans="1:5">
      <c r="A417" s="37">
        <v>31052</v>
      </c>
      <c r="B417" s="37">
        <v>1</v>
      </c>
      <c r="C417" s="14" t="s">
        <v>3713</v>
      </c>
      <c r="D417" s="38" t="s">
        <v>779</v>
      </c>
      <c r="E417" s="39" t="s">
        <v>621</v>
      </c>
    </row>
    <row r="418" spans="1:5">
      <c r="A418" s="37">
        <v>31053</v>
      </c>
      <c r="B418" s="37">
        <v>1</v>
      </c>
      <c r="C418" s="14" t="s">
        <v>3699</v>
      </c>
      <c r="D418" s="38" t="s">
        <v>780</v>
      </c>
      <c r="E418" s="39" t="s">
        <v>628</v>
      </c>
    </row>
    <row r="419" spans="1:5">
      <c r="A419" s="37">
        <v>31054</v>
      </c>
      <c r="B419" s="37">
        <v>1</v>
      </c>
      <c r="C419" s="14" t="s">
        <v>3354</v>
      </c>
      <c r="D419" s="38" t="s">
        <v>781</v>
      </c>
      <c r="E419" s="39" t="s">
        <v>782</v>
      </c>
    </row>
    <row r="420" spans="1:5">
      <c r="A420" s="37">
        <v>31055</v>
      </c>
      <c r="B420" s="37">
        <v>1</v>
      </c>
      <c r="C420" s="14" t="s">
        <v>3355</v>
      </c>
      <c r="D420" s="38" t="s">
        <v>783</v>
      </c>
      <c r="E420" s="39" t="s">
        <v>599</v>
      </c>
    </row>
    <row r="421" spans="1:5">
      <c r="A421" s="37">
        <v>31056</v>
      </c>
      <c r="B421" s="37">
        <v>1</v>
      </c>
      <c r="C421" s="14" t="s">
        <v>3729</v>
      </c>
      <c r="D421" s="38" t="s">
        <v>784</v>
      </c>
      <c r="E421" s="39" t="s">
        <v>653</v>
      </c>
    </row>
    <row r="422" spans="1:5">
      <c r="A422" s="37">
        <v>31057</v>
      </c>
      <c r="B422" s="37">
        <v>1</v>
      </c>
      <c r="C422" s="14" t="s">
        <v>3360</v>
      </c>
      <c r="D422" s="38" t="s">
        <v>785</v>
      </c>
      <c r="E422" s="39" t="s">
        <v>604</v>
      </c>
    </row>
    <row r="423" spans="1:5">
      <c r="A423" s="37">
        <v>31058</v>
      </c>
      <c r="B423" s="37">
        <v>1</v>
      </c>
      <c r="C423" s="14" t="s">
        <v>3375</v>
      </c>
      <c r="D423" s="38" t="s">
        <v>786</v>
      </c>
      <c r="E423" s="39" t="s">
        <v>787</v>
      </c>
    </row>
    <row r="424" spans="1:5">
      <c r="A424" s="37">
        <v>31059</v>
      </c>
      <c r="B424" s="37">
        <v>1</v>
      </c>
      <c r="C424" s="14" t="s">
        <v>3760</v>
      </c>
      <c r="D424" s="38" t="s">
        <v>788</v>
      </c>
      <c r="E424" s="39" t="s">
        <v>789</v>
      </c>
    </row>
    <row r="425" spans="1:5">
      <c r="A425" s="37">
        <v>31060</v>
      </c>
      <c r="B425" s="37">
        <v>1</v>
      </c>
      <c r="C425" s="14" t="s">
        <v>3761</v>
      </c>
      <c r="D425" s="38" t="s">
        <v>790</v>
      </c>
      <c r="E425" s="39" t="s">
        <v>791</v>
      </c>
    </row>
    <row r="426" spans="1:5">
      <c r="A426" s="37">
        <v>31061</v>
      </c>
      <c r="B426" s="37">
        <v>1</v>
      </c>
      <c r="C426" s="14" t="s">
        <v>3365</v>
      </c>
      <c r="D426" s="38" t="s">
        <v>792</v>
      </c>
      <c r="E426" s="39" t="s">
        <v>793</v>
      </c>
    </row>
    <row r="427" spans="1:5">
      <c r="A427" s="37">
        <v>31062</v>
      </c>
      <c r="B427" s="37">
        <v>1</v>
      </c>
      <c r="C427" s="14" t="s">
        <v>3378</v>
      </c>
      <c r="D427" s="38" t="s">
        <v>794</v>
      </c>
      <c r="E427" s="39" t="s">
        <v>795</v>
      </c>
    </row>
    <row r="428" spans="1:5">
      <c r="A428" s="37">
        <v>31063</v>
      </c>
      <c r="B428" s="37">
        <v>1</v>
      </c>
      <c r="C428" s="14" t="s">
        <v>3762</v>
      </c>
      <c r="D428" s="38" t="s">
        <v>796</v>
      </c>
      <c r="E428" s="39" t="s">
        <v>797</v>
      </c>
    </row>
    <row r="429" spans="1:5">
      <c r="A429" s="37">
        <v>31064</v>
      </c>
      <c r="B429" s="37">
        <v>1</v>
      </c>
      <c r="C429" s="14" t="s">
        <v>3763</v>
      </c>
      <c r="D429" s="38" t="s">
        <v>798</v>
      </c>
      <c r="E429" s="39" t="s">
        <v>799</v>
      </c>
    </row>
    <row r="430" spans="1:5">
      <c r="A430" s="37">
        <v>31065</v>
      </c>
      <c r="B430" s="37">
        <v>1</v>
      </c>
      <c r="C430" s="14" t="s">
        <v>3764</v>
      </c>
      <c r="D430" s="38" t="s">
        <v>800</v>
      </c>
      <c r="E430" s="39" t="s">
        <v>801</v>
      </c>
    </row>
    <row r="431" spans="1:5">
      <c r="A431" s="37">
        <v>31066</v>
      </c>
      <c r="B431" s="37">
        <v>1</v>
      </c>
      <c r="C431" s="14" t="s">
        <v>3765</v>
      </c>
      <c r="D431" s="38" t="s">
        <v>802</v>
      </c>
      <c r="E431" s="39" t="s">
        <v>803</v>
      </c>
    </row>
    <row r="432" spans="1:5">
      <c r="A432" s="37">
        <v>31067</v>
      </c>
      <c r="B432" s="37">
        <v>1</v>
      </c>
      <c r="C432" s="14" t="s">
        <v>3766</v>
      </c>
      <c r="D432" s="38" t="s">
        <v>804</v>
      </c>
      <c r="E432" s="39" t="s">
        <v>805</v>
      </c>
    </row>
    <row r="433" spans="1:5">
      <c r="A433" s="37">
        <v>31068</v>
      </c>
      <c r="B433" s="37">
        <v>1</v>
      </c>
      <c r="C433" s="14" t="s">
        <v>3767</v>
      </c>
      <c r="D433" s="38" t="s">
        <v>806</v>
      </c>
      <c r="E433" s="39" t="s">
        <v>807</v>
      </c>
    </row>
    <row r="434" spans="1:5">
      <c r="A434" s="37">
        <v>31069</v>
      </c>
      <c r="B434" s="37">
        <v>1</v>
      </c>
      <c r="C434" s="14" t="s">
        <v>3768</v>
      </c>
      <c r="D434" s="38" t="s">
        <v>808</v>
      </c>
      <c r="E434" s="39" t="s">
        <v>809</v>
      </c>
    </row>
    <row r="435" spans="1:5">
      <c r="A435" s="37">
        <v>31070</v>
      </c>
      <c r="B435" s="37">
        <v>1</v>
      </c>
      <c r="C435" s="14" t="s">
        <v>3380</v>
      </c>
      <c r="D435" s="38" t="s">
        <v>810</v>
      </c>
      <c r="E435" s="39" t="s">
        <v>811</v>
      </c>
    </row>
    <row r="436" spans="1:5">
      <c r="A436" s="37">
        <v>31071</v>
      </c>
      <c r="B436" s="37">
        <v>1</v>
      </c>
      <c r="C436" s="14" t="s">
        <v>3768</v>
      </c>
      <c r="D436" s="38" t="s">
        <v>812</v>
      </c>
      <c r="E436" s="39" t="s">
        <v>809</v>
      </c>
    </row>
    <row r="437" spans="1:5">
      <c r="A437" s="37">
        <v>31072</v>
      </c>
      <c r="B437" s="37">
        <v>1</v>
      </c>
      <c r="C437" s="14" t="s">
        <v>3769</v>
      </c>
      <c r="D437" s="38" t="s">
        <v>813</v>
      </c>
      <c r="E437" s="39" t="s">
        <v>814</v>
      </c>
    </row>
    <row r="438" spans="1:5">
      <c r="A438" s="37">
        <v>31073</v>
      </c>
      <c r="B438" s="37">
        <v>1</v>
      </c>
      <c r="C438" s="14" t="s">
        <v>3768</v>
      </c>
      <c r="D438" s="38" t="s">
        <v>815</v>
      </c>
      <c r="E438" s="39" t="s">
        <v>809</v>
      </c>
    </row>
    <row r="439" spans="1:5">
      <c r="A439" s="37">
        <v>31074</v>
      </c>
      <c r="B439" s="37">
        <v>1</v>
      </c>
      <c r="C439" s="14" t="s">
        <v>3770</v>
      </c>
      <c r="D439" s="38" t="s">
        <v>816</v>
      </c>
      <c r="E439" s="39" t="s">
        <v>817</v>
      </c>
    </row>
    <row r="440" spans="1:5">
      <c r="A440" s="37">
        <v>31075</v>
      </c>
      <c r="B440" s="37">
        <v>1</v>
      </c>
      <c r="C440" s="14" t="s">
        <v>3768</v>
      </c>
      <c r="D440" s="38" t="s">
        <v>818</v>
      </c>
      <c r="E440" s="39" t="s">
        <v>809</v>
      </c>
    </row>
    <row r="441" spans="1:5">
      <c r="A441" s="37">
        <v>31076</v>
      </c>
      <c r="B441" s="37">
        <v>1</v>
      </c>
      <c r="C441" s="14" t="s">
        <v>3771</v>
      </c>
      <c r="D441" s="38" t="s">
        <v>819</v>
      </c>
      <c r="E441" s="39" t="s">
        <v>820</v>
      </c>
    </row>
    <row r="442" spans="1:5">
      <c r="A442" s="37">
        <v>31077</v>
      </c>
      <c r="B442" s="37">
        <v>1</v>
      </c>
      <c r="C442" s="14" t="s">
        <v>3768</v>
      </c>
      <c r="D442" s="38" t="s">
        <v>821</v>
      </c>
      <c r="E442" s="39" t="s">
        <v>809</v>
      </c>
    </row>
    <row r="443" spans="1:5">
      <c r="A443" s="37">
        <v>31078</v>
      </c>
      <c r="B443" s="37">
        <v>1</v>
      </c>
      <c r="C443" s="14" t="s">
        <v>3382</v>
      </c>
      <c r="D443" s="38" t="s">
        <v>822</v>
      </c>
      <c r="E443" s="39" t="s">
        <v>769</v>
      </c>
    </row>
    <row r="444" spans="1:5">
      <c r="A444" s="37">
        <v>31079</v>
      </c>
      <c r="B444" s="37">
        <v>1</v>
      </c>
      <c r="C444" s="14" t="s">
        <v>3768</v>
      </c>
      <c r="D444" s="38" t="s">
        <v>823</v>
      </c>
      <c r="E444" s="39" t="s">
        <v>809</v>
      </c>
    </row>
    <row r="445" spans="1:5">
      <c r="A445" s="37">
        <v>31080</v>
      </c>
      <c r="B445" s="37">
        <v>1</v>
      </c>
      <c r="C445" s="14" t="s">
        <v>3382</v>
      </c>
      <c r="D445" s="38" t="s">
        <v>824</v>
      </c>
      <c r="E445" s="39" t="s">
        <v>769</v>
      </c>
    </row>
    <row r="446" spans="1:5">
      <c r="A446" s="37">
        <v>31081</v>
      </c>
      <c r="B446" s="37">
        <v>1</v>
      </c>
      <c r="C446" s="14" t="s">
        <v>3768</v>
      </c>
      <c r="D446" s="38" t="s">
        <v>825</v>
      </c>
      <c r="E446" s="39" t="s">
        <v>809</v>
      </c>
    </row>
    <row r="447" spans="1:5">
      <c r="A447" s="37">
        <v>31082</v>
      </c>
      <c r="B447" s="37">
        <v>1</v>
      </c>
      <c r="C447" s="14" t="s">
        <v>3382</v>
      </c>
      <c r="D447" s="38" t="s">
        <v>826</v>
      </c>
      <c r="E447" s="39" t="s">
        <v>769</v>
      </c>
    </row>
    <row r="448" spans="1:5">
      <c r="A448" s="37">
        <v>31083</v>
      </c>
      <c r="B448" s="37">
        <v>1</v>
      </c>
      <c r="C448" s="14" t="s">
        <v>3768</v>
      </c>
      <c r="D448" s="38" t="s">
        <v>827</v>
      </c>
      <c r="E448" s="39" t="s">
        <v>809</v>
      </c>
    </row>
    <row r="449" spans="1:5">
      <c r="A449" s="37">
        <v>31084</v>
      </c>
      <c r="B449" s="37">
        <v>1</v>
      </c>
      <c r="C449" s="14" t="s">
        <v>3772</v>
      </c>
      <c r="D449" s="38" t="s">
        <v>828</v>
      </c>
      <c r="E449" s="39" t="s">
        <v>829</v>
      </c>
    </row>
    <row r="450" spans="1:5">
      <c r="A450" s="37">
        <v>31085</v>
      </c>
      <c r="B450" s="37">
        <v>1</v>
      </c>
      <c r="C450" s="14" t="s">
        <v>3768</v>
      </c>
      <c r="D450" s="38" t="s">
        <v>830</v>
      </c>
      <c r="E450" s="39" t="s">
        <v>809</v>
      </c>
    </row>
    <row r="451" spans="1:5">
      <c r="A451" s="37">
        <v>31086</v>
      </c>
      <c r="B451" s="37">
        <v>1</v>
      </c>
      <c r="C451" s="14" t="s">
        <v>3773</v>
      </c>
      <c r="D451" s="38" t="s">
        <v>831</v>
      </c>
      <c r="E451" s="39" t="s">
        <v>832</v>
      </c>
    </row>
    <row r="452" spans="1:5">
      <c r="A452" s="37">
        <v>31087</v>
      </c>
      <c r="B452" s="37">
        <v>1</v>
      </c>
      <c r="C452" s="14" t="s">
        <v>3768</v>
      </c>
      <c r="D452" s="38" t="s">
        <v>833</v>
      </c>
      <c r="E452" s="39" t="s">
        <v>809</v>
      </c>
    </row>
    <row r="453" spans="1:5">
      <c r="A453" s="37">
        <v>31088</v>
      </c>
      <c r="B453" s="37">
        <v>1</v>
      </c>
      <c r="C453" s="14" t="s">
        <v>3774</v>
      </c>
      <c r="D453" s="38" t="s">
        <v>834</v>
      </c>
      <c r="E453" s="39" t="s">
        <v>835</v>
      </c>
    </row>
    <row r="454" spans="1:5">
      <c r="A454" s="37">
        <v>31089</v>
      </c>
      <c r="B454" s="37">
        <v>1</v>
      </c>
      <c r="C454" s="14" t="s">
        <v>3768</v>
      </c>
      <c r="D454" s="38" t="s">
        <v>836</v>
      </c>
      <c r="E454" s="39" t="s">
        <v>809</v>
      </c>
    </row>
    <row r="455" spans="1:5">
      <c r="A455" s="37">
        <v>31090</v>
      </c>
      <c r="B455" s="37">
        <v>1</v>
      </c>
      <c r="C455" s="14" t="s">
        <v>3384</v>
      </c>
      <c r="D455" s="38" t="s">
        <v>837</v>
      </c>
      <c r="E455" s="39" t="s">
        <v>838</v>
      </c>
    </row>
    <row r="456" spans="1:5">
      <c r="A456" s="37">
        <v>31091</v>
      </c>
      <c r="B456" s="37">
        <v>1</v>
      </c>
      <c r="C456" s="14" t="s">
        <v>3768</v>
      </c>
      <c r="D456" s="38" t="s">
        <v>839</v>
      </c>
      <c r="E456" s="39" t="s">
        <v>809</v>
      </c>
    </row>
    <row r="457" spans="1:5">
      <c r="A457" s="37">
        <v>31092</v>
      </c>
      <c r="B457" s="37">
        <v>1</v>
      </c>
      <c r="C457" s="14" t="s">
        <v>3775</v>
      </c>
      <c r="D457" s="38" t="s">
        <v>840</v>
      </c>
      <c r="E457" s="39" t="s">
        <v>841</v>
      </c>
    </row>
    <row r="458" spans="1:5">
      <c r="A458" s="37">
        <v>31093</v>
      </c>
      <c r="B458" s="37">
        <v>1</v>
      </c>
      <c r="C458" s="14" t="s">
        <v>3768</v>
      </c>
      <c r="D458" s="38" t="s">
        <v>842</v>
      </c>
      <c r="E458" s="39" t="s">
        <v>809</v>
      </c>
    </row>
    <row r="459" spans="1:5">
      <c r="A459" s="1">
        <v>31101</v>
      </c>
      <c r="B459" s="1">
        <v>1</v>
      </c>
      <c r="C459" s="14" t="s">
        <v>3776</v>
      </c>
      <c r="D459" s="2" t="s">
        <v>843</v>
      </c>
      <c r="E459" s="3" t="s">
        <v>844</v>
      </c>
    </row>
    <row r="460" spans="1:5">
      <c r="A460" s="1">
        <v>31102</v>
      </c>
      <c r="B460" s="1">
        <v>1</v>
      </c>
      <c r="C460" s="14" t="s">
        <v>3754</v>
      </c>
      <c r="D460" s="2" t="s">
        <v>845</v>
      </c>
      <c r="E460" s="3" t="s">
        <v>741</v>
      </c>
    </row>
    <row r="461" spans="1:5">
      <c r="A461" s="1">
        <v>31103</v>
      </c>
      <c r="B461" s="1">
        <v>1</v>
      </c>
      <c r="C461" s="14" t="s">
        <v>3777</v>
      </c>
      <c r="D461" s="2" t="s">
        <v>846</v>
      </c>
      <c r="E461" s="3" t="s">
        <v>847</v>
      </c>
    </row>
    <row r="462" spans="1:5">
      <c r="A462" s="1">
        <v>31104</v>
      </c>
      <c r="B462" s="1">
        <v>1</v>
      </c>
      <c r="C462" s="14" t="s">
        <v>3778</v>
      </c>
      <c r="D462" s="2" t="s">
        <v>848</v>
      </c>
      <c r="E462" s="3" t="s">
        <v>849</v>
      </c>
    </row>
    <row r="463" spans="1:5">
      <c r="A463" s="1">
        <v>31105</v>
      </c>
      <c r="B463" s="1">
        <v>1</v>
      </c>
      <c r="C463" s="14" t="s">
        <v>3371</v>
      </c>
      <c r="D463" s="2" t="s">
        <v>850</v>
      </c>
      <c r="E463" s="3" t="s">
        <v>751</v>
      </c>
    </row>
    <row r="464" spans="1:5">
      <c r="A464" s="1">
        <v>31106</v>
      </c>
      <c r="B464" s="1">
        <v>1</v>
      </c>
      <c r="C464" s="14" t="s">
        <v>3779</v>
      </c>
      <c r="D464" s="2" t="s">
        <v>851</v>
      </c>
      <c r="E464" s="3" t="s">
        <v>852</v>
      </c>
    </row>
    <row r="465" spans="1:5">
      <c r="A465" s="1">
        <v>31107</v>
      </c>
      <c r="B465" s="1">
        <v>1</v>
      </c>
      <c r="C465" s="14" t="s">
        <v>3780</v>
      </c>
      <c r="D465" s="2" t="s">
        <v>853</v>
      </c>
      <c r="E465" s="3" t="s">
        <v>854</v>
      </c>
    </row>
    <row r="466" spans="1:5">
      <c r="A466" s="1">
        <v>31108</v>
      </c>
      <c r="B466" s="1">
        <v>1</v>
      </c>
      <c r="C466" s="14" t="s">
        <v>3781</v>
      </c>
      <c r="D466" s="2" t="s">
        <v>855</v>
      </c>
      <c r="E466" s="3" t="s">
        <v>856</v>
      </c>
    </row>
    <row r="467" spans="1:5">
      <c r="A467" s="1">
        <v>31109</v>
      </c>
      <c r="B467" s="1">
        <v>1</v>
      </c>
      <c r="C467" s="14" t="s">
        <v>3782</v>
      </c>
      <c r="D467" s="2" t="s">
        <v>857</v>
      </c>
      <c r="E467" s="3" t="s">
        <v>858</v>
      </c>
    </row>
    <row r="468" spans="1:5">
      <c r="A468" s="1">
        <v>31110</v>
      </c>
      <c r="B468" s="1">
        <v>1</v>
      </c>
      <c r="C468" s="14" t="s">
        <v>3378</v>
      </c>
      <c r="D468" s="2" t="s">
        <v>859</v>
      </c>
      <c r="E468" s="3" t="s">
        <v>795</v>
      </c>
    </row>
    <row r="469" spans="1:5">
      <c r="A469" s="1">
        <v>31111</v>
      </c>
      <c r="B469" s="1">
        <v>1</v>
      </c>
      <c r="C469" s="14" t="s">
        <v>3783</v>
      </c>
      <c r="D469" s="2" t="s">
        <v>860</v>
      </c>
      <c r="E469" s="3" t="s">
        <v>861</v>
      </c>
    </row>
    <row r="470" spans="1:5">
      <c r="A470" s="1">
        <v>31112</v>
      </c>
      <c r="B470" s="1">
        <v>1</v>
      </c>
      <c r="C470" s="14" t="s">
        <v>3784</v>
      </c>
      <c r="D470" s="2" t="s">
        <v>862</v>
      </c>
      <c r="E470" s="3" t="s">
        <v>863</v>
      </c>
    </row>
    <row r="471" spans="1:5">
      <c r="A471" s="1">
        <v>31113</v>
      </c>
      <c r="B471" s="1">
        <v>1</v>
      </c>
      <c r="C471" s="14" t="s">
        <v>3785</v>
      </c>
      <c r="D471" s="2" t="s">
        <v>864</v>
      </c>
      <c r="E471" s="3" t="s">
        <v>865</v>
      </c>
    </row>
    <row r="472" spans="1:5">
      <c r="A472" s="1">
        <v>31114</v>
      </c>
      <c r="B472" s="1">
        <v>1</v>
      </c>
      <c r="C472" s="14" t="s">
        <v>3786</v>
      </c>
      <c r="D472" s="2" t="s">
        <v>866</v>
      </c>
      <c r="E472" s="3" t="s">
        <v>867</v>
      </c>
    </row>
    <row r="473" spans="1:5">
      <c r="A473" s="1">
        <v>31115</v>
      </c>
      <c r="B473" s="1">
        <v>1</v>
      </c>
      <c r="C473" s="14" t="s">
        <v>3770</v>
      </c>
      <c r="D473" s="2" t="s">
        <v>868</v>
      </c>
      <c r="E473" s="3" t="s">
        <v>817</v>
      </c>
    </row>
    <row r="474" spans="1:5">
      <c r="A474" s="1">
        <v>31116</v>
      </c>
      <c r="B474" s="1">
        <v>1</v>
      </c>
      <c r="C474" s="14" t="s">
        <v>3787</v>
      </c>
      <c r="D474" s="2" t="s">
        <v>869</v>
      </c>
      <c r="E474" s="3" t="s">
        <v>870</v>
      </c>
    </row>
    <row r="475" spans="1:5">
      <c r="A475" s="1">
        <v>31117</v>
      </c>
      <c r="B475" s="1">
        <v>1</v>
      </c>
      <c r="C475" s="14" t="s">
        <v>3788</v>
      </c>
      <c r="D475" s="2" t="s">
        <v>871</v>
      </c>
      <c r="E475" s="3" t="s">
        <v>872</v>
      </c>
    </row>
    <row r="476" spans="1:5">
      <c r="A476" s="1">
        <v>31151</v>
      </c>
      <c r="B476" s="1">
        <v>1</v>
      </c>
      <c r="C476" s="14" t="s">
        <v>3776</v>
      </c>
      <c r="D476" s="2" t="s">
        <v>873</v>
      </c>
      <c r="E476" s="3" t="s">
        <v>844</v>
      </c>
    </row>
    <row r="477" spans="1:5">
      <c r="A477" s="1">
        <v>31152</v>
      </c>
      <c r="B477" s="1">
        <v>1</v>
      </c>
      <c r="C477" s="14" t="s">
        <v>3754</v>
      </c>
      <c r="D477" s="2" t="s">
        <v>874</v>
      </c>
      <c r="E477" s="3" t="s">
        <v>741</v>
      </c>
    </row>
    <row r="478" spans="1:5">
      <c r="A478" s="1">
        <v>31153</v>
      </c>
      <c r="B478" s="1">
        <v>1</v>
      </c>
      <c r="C478" s="14" t="s">
        <v>3777</v>
      </c>
      <c r="D478" s="2" t="s">
        <v>875</v>
      </c>
      <c r="E478" s="3" t="s">
        <v>847</v>
      </c>
    </row>
    <row r="479" spans="1:5">
      <c r="A479" s="1">
        <v>31154</v>
      </c>
      <c r="B479" s="1">
        <v>1</v>
      </c>
      <c r="C479" s="14" t="s">
        <v>3778</v>
      </c>
      <c r="D479" s="2" t="s">
        <v>876</v>
      </c>
      <c r="E479" s="3" t="s">
        <v>849</v>
      </c>
    </row>
    <row r="480" spans="1:5">
      <c r="A480" s="1">
        <v>31155</v>
      </c>
      <c r="B480" s="1">
        <v>1</v>
      </c>
      <c r="C480" s="14" t="s">
        <v>3371</v>
      </c>
      <c r="D480" s="2" t="s">
        <v>877</v>
      </c>
      <c r="E480" s="3" t="s">
        <v>751</v>
      </c>
    </row>
    <row r="481" spans="1:5">
      <c r="A481" s="1">
        <v>31156</v>
      </c>
      <c r="B481" s="1">
        <v>1</v>
      </c>
      <c r="C481" s="14" t="s">
        <v>3779</v>
      </c>
      <c r="D481" s="2" t="s">
        <v>878</v>
      </c>
      <c r="E481" s="3" t="s">
        <v>852</v>
      </c>
    </row>
    <row r="482" spans="1:5">
      <c r="A482" s="1">
        <v>31157</v>
      </c>
      <c r="B482" s="1">
        <v>1</v>
      </c>
      <c r="C482" s="14" t="s">
        <v>3780</v>
      </c>
      <c r="D482" s="2" t="s">
        <v>879</v>
      </c>
      <c r="E482" s="3" t="s">
        <v>854</v>
      </c>
    </row>
    <row r="483" spans="1:5">
      <c r="A483" s="1">
        <v>31158</v>
      </c>
      <c r="B483" s="1">
        <v>1</v>
      </c>
      <c r="C483" s="14" t="s">
        <v>3781</v>
      </c>
      <c r="D483" s="2" t="s">
        <v>880</v>
      </c>
      <c r="E483" s="3" t="s">
        <v>856</v>
      </c>
    </row>
    <row r="484" spans="1:5">
      <c r="A484" s="1">
        <v>31159</v>
      </c>
      <c r="B484" s="1">
        <v>1</v>
      </c>
      <c r="C484" s="14" t="s">
        <v>3782</v>
      </c>
      <c r="D484" s="2" t="s">
        <v>881</v>
      </c>
      <c r="E484" s="3" t="s">
        <v>858</v>
      </c>
    </row>
    <row r="485" spans="1:5">
      <c r="A485" s="1">
        <v>31160</v>
      </c>
      <c r="B485" s="1">
        <v>1</v>
      </c>
      <c r="C485" s="14" t="s">
        <v>3378</v>
      </c>
      <c r="D485" s="2" t="s">
        <v>882</v>
      </c>
      <c r="E485" s="3" t="s">
        <v>795</v>
      </c>
    </row>
    <row r="486" spans="1:5">
      <c r="A486" s="1">
        <v>31161</v>
      </c>
      <c r="B486" s="1">
        <v>1</v>
      </c>
      <c r="C486" s="14" t="s">
        <v>3783</v>
      </c>
      <c r="D486" s="2" t="s">
        <v>883</v>
      </c>
      <c r="E486" s="3" t="s">
        <v>861</v>
      </c>
    </row>
    <row r="487" spans="1:5">
      <c r="A487" s="1">
        <v>31162</v>
      </c>
      <c r="B487" s="1">
        <v>1</v>
      </c>
      <c r="C487" s="14" t="s">
        <v>3784</v>
      </c>
      <c r="D487" s="2" t="s">
        <v>884</v>
      </c>
      <c r="E487" s="3" t="s">
        <v>863</v>
      </c>
    </row>
    <row r="488" spans="1:5">
      <c r="A488" s="1">
        <v>31163</v>
      </c>
      <c r="B488" s="1">
        <v>1</v>
      </c>
      <c r="C488" s="14" t="s">
        <v>3785</v>
      </c>
      <c r="D488" s="2" t="s">
        <v>885</v>
      </c>
      <c r="E488" s="3" t="s">
        <v>865</v>
      </c>
    </row>
    <row r="489" spans="1:5">
      <c r="A489" s="1">
        <v>31164</v>
      </c>
      <c r="B489" s="1">
        <v>1</v>
      </c>
      <c r="C489" s="14" t="s">
        <v>3786</v>
      </c>
      <c r="D489" s="2" t="s">
        <v>886</v>
      </c>
      <c r="E489" s="3" t="s">
        <v>867</v>
      </c>
    </row>
    <row r="490" spans="1:5">
      <c r="A490" s="1">
        <v>31165</v>
      </c>
      <c r="B490" s="1">
        <v>1</v>
      </c>
      <c r="C490" s="14" t="s">
        <v>3770</v>
      </c>
      <c r="D490" s="2" t="s">
        <v>887</v>
      </c>
      <c r="E490" s="3" t="s">
        <v>817</v>
      </c>
    </row>
    <row r="491" spans="1:5">
      <c r="A491" s="1">
        <v>31166</v>
      </c>
      <c r="B491" s="1">
        <v>1</v>
      </c>
      <c r="C491" s="14" t="s">
        <v>3787</v>
      </c>
      <c r="D491" s="2" t="s">
        <v>888</v>
      </c>
      <c r="E491" s="3" t="s">
        <v>870</v>
      </c>
    </row>
    <row r="492" spans="1:5">
      <c r="A492" s="40">
        <v>31201</v>
      </c>
      <c r="B492" s="40">
        <v>1</v>
      </c>
      <c r="C492" s="14" t="s">
        <v>3789</v>
      </c>
      <c r="D492" s="41" t="s">
        <v>889</v>
      </c>
      <c r="E492" s="42" t="s">
        <v>890</v>
      </c>
    </row>
    <row r="493" spans="1:5">
      <c r="A493" s="40">
        <v>31202</v>
      </c>
      <c r="B493" s="40">
        <v>1</v>
      </c>
      <c r="C493" s="14" t="s">
        <v>3790</v>
      </c>
      <c r="D493" s="41" t="s">
        <v>891</v>
      </c>
      <c r="E493" s="42" t="s">
        <v>892</v>
      </c>
    </row>
    <row r="494" spans="1:5">
      <c r="A494" s="40">
        <v>31203</v>
      </c>
      <c r="B494" s="40">
        <v>1</v>
      </c>
      <c r="C494" s="14" t="s">
        <v>3791</v>
      </c>
      <c r="D494" s="41" t="s">
        <v>893</v>
      </c>
      <c r="E494" s="42" t="s">
        <v>894</v>
      </c>
    </row>
    <row r="495" spans="1:5">
      <c r="A495" s="40">
        <v>31204</v>
      </c>
      <c r="B495" s="40">
        <v>1</v>
      </c>
      <c r="C495" s="14" t="s">
        <v>3792</v>
      </c>
      <c r="D495" s="41" t="s">
        <v>895</v>
      </c>
      <c r="E495" s="42" t="s">
        <v>896</v>
      </c>
    </row>
    <row r="496" spans="1:5">
      <c r="A496" s="40">
        <v>31205</v>
      </c>
      <c r="B496" s="40">
        <v>1</v>
      </c>
      <c r="C496" s="14" t="s">
        <v>3793</v>
      </c>
      <c r="D496" s="41" t="s">
        <v>897</v>
      </c>
      <c r="E496" s="42" t="s">
        <v>898</v>
      </c>
    </row>
    <row r="497" spans="1:5">
      <c r="A497" s="40">
        <v>31206</v>
      </c>
      <c r="B497" s="40">
        <v>1</v>
      </c>
      <c r="C497" s="14" t="s">
        <v>3794</v>
      </c>
      <c r="D497" s="41" t="s">
        <v>899</v>
      </c>
      <c r="E497" s="42" t="s">
        <v>900</v>
      </c>
    </row>
    <row r="498" spans="1:5">
      <c r="A498" s="40">
        <v>31207</v>
      </c>
      <c r="B498" s="40">
        <v>1</v>
      </c>
      <c r="C498" s="14" t="s">
        <v>3795</v>
      </c>
      <c r="D498" s="41" t="s">
        <v>901</v>
      </c>
      <c r="E498" s="42" t="s">
        <v>902</v>
      </c>
    </row>
    <row r="499" spans="1:5">
      <c r="A499" s="40">
        <v>31208</v>
      </c>
      <c r="B499" s="40">
        <v>1</v>
      </c>
      <c r="C499" s="14" t="s">
        <v>3796</v>
      </c>
      <c r="D499" s="41" t="s">
        <v>903</v>
      </c>
      <c r="E499" s="42" t="s">
        <v>904</v>
      </c>
    </row>
    <row r="500" spans="1:5">
      <c r="A500" s="40">
        <v>31209</v>
      </c>
      <c r="B500" s="40">
        <v>1</v>
      </c>
      <c r="C500" s="14" t="s">
        <v>3797</v>
      </c>
      <c r="D500" s="41" t="s">
        <v>905</v>
      </c>
      <c r="E500" s="42" t="s">
        <v>906</v>
      </c>
    </row>
    <row r="501" spans="1:5">
      <c r="A501" s="40">
        <v>31210</v>
      </c>
      <c r="B501" s="40">
        <v>1</v>
      </c>
      <c r="C501" s="14" t="s">
        <v>3798</v>
      </c>
      <c r="D501" s="41" t="s">
        <v>907</v>
      </c>
      <c r="E501" s="42" t="s">
        <v>908</v>
      </c>
    </row>
    <row r="502" spans="1:5">
      <c r="A502" s="40">
        <v>31211</v>
      </c>
      <c r="B502" s="40">
        <v>1</v>
      </c>
      <c r="C502" s="14" t="s">
        <v>3799</v>
      </c>
      <c r="D502" s="41" t="s">
        <v>909</v>
      </c>
      <c r="E502" s="42" t="s">
        <v>910</v>
      </c>
    </row>
    <row r="503" spans="1:5">
      <c r="A503" s="40">
        <v>31212</v>
      </c>
      <c r="B503" s="40">
        <v>1</v>
      </c>
      <c r="C503" s="14" t="s">
        <v>3800</v>
      </c>
      <c r="D503" s="41" t="s">
        <v>911</v>
      </c>
      <c r="E503" s="42" t="s">
        <v>912</v>
      </c>
    </row>
    <row r="504" spans="1:5">
      <c r="A504" s="40">
        <v>31213</v>
      </c>
      <c r="B504" s="40">
        <v>1</v>
      </c>
      <c r="C504" s="14" t="s">
        <v>3801</v>
      </c>
      <c r="D504" s="41" t="s">
        <v>913</v>
      </c>
      <c r="E504" s="42" t="s">
        <v>914</v>
      </c>
    </row>
    <row r="505" spans="1:5">
      <c r="A505" s="40">
        <v>31214</v>
      </c>
      <c r="B505" s="40">
        <v>1</v>
      </c>
      <c r="C505" s="14" t="s">
        <v>3802</v>
      </c>
      <c r="D505" s="41" t="s">
        <v>915</v>
      </c>
      <c r="E505" s="42" t="s">
        <v>916</v>
      </c>
    </row>
    <row r="506" spans="1:5">
      <c r="A506" s="40">
        <v>31215</v>
      </c>
      <c r="B506" s="40">
        <v>1</v>
      </c>
      <c r="C506" s="14" t="s">
        <v>3803</v>
      </c>
      <c r="D506" s="41" t="s">
        <v>917</v>
      </c>
      <c r="E506" s="42" t="s">
        <v>918</v>
      </c>
    </row>
    <row r="507" spans="1:5">
      <c r="A507" s="40">
        <v>31216</v>
      </c>
      <c r="B507" s="40">
        <v>1</v>
      </c>
      <c r="C507" s="14" t="s">
        <v>3804</v>
      </c>
      <c r="D507" s="41" t="s">
        <v>919</v>
      </c>
      <c r="E507" s="42" t="s">
        <v>920</v>
      </c>
    </row>
    <row r="508" spans="1:5">
      <c r="A508" s="40">
        <v>31217</v>
      </c>
      <c r="B508" s="40">
        <v>1</v>
      </c>
      <c r="C508" s="14" t="s">
        <v>3805</v>
      </c>
      <c r="D508" s="41" t="s">
        <v>921</v>
      </c>
      <c r="E508" s="42" t="s">
        <v>922</v>
      </c>
    </row>
    <row r="509" spans="1:5">
      <c r="A509" s="40">
        <v>31218</v>
      </c>
      <c r="B509" s="40">
        <v>1</v>
      </c>
      <c r="C509" s="14" t="s">
        <v>3806</v>
      </c>
      <c r="D509" s="41" t="s">
        <v>923</v>
      </c>
      <c r="E509" s="42" t="s">
        <v>924</v>
      </c>
    </row>
    <row r="510" spans="1:5">
      <c r="A510" s="40">
        <v>31219</v>
      </c>
      <c r="B510" s="40">
        <v>1</v>
      </c>
      <c r="C510" s="14" t="s">
        <v>3807</v>
      </c>
      <c r="D510" s="41" t="s">
        <v>925</v>
      </c>
      <c r="E510" s="42" t="s">
        <v>4637</v>
      </c>
    </row>
    <row r="511" spans="1:5">
      <c r="A511" s="40">
        <v>31220</v>
      </c>
      <c r="B511" s="40">
        <v>0</v>
      </c>
      <c r="C511" s="14" t="s">
        <v>4634</v>
      </c>
      <c r="D511" s="41" t="s">
        <v>4635</v>
      </c>
      <c r="E511" s="42" t="s">
        <v>4638</v>
      </c>
    </row>
    <row r="512" spans="1:5">
      <c r="A512" s="43">
        <v>31251</v>
      </c>
      <c r="B512" s="43">
        <v>1</v>
      </c>
      <c r="C512" s="14" t="s">
        <v>3350</v>
      </c>
      <c r="D512" s="44" t="s">
        <v>926</v>
      </c>
      <c r="E512" s="45" t="s">
        <v>616</v>
      </c>
    </row>
    <row r="513" spans="1:5">
      <c r="A513" s="43">
        <v>31252</v>
      </c>
      <c r="B513" s="43">
        <v>1</v>
      </c>
      <c r="C513" s="14" t="s">
        <v>3328</v>
      </c>
      <c r="D513" s="44" t="s">
        <v>927</v>
      </c>
      <c r="E513" s="45" t="s">
        <v>928</v>
      </c>
    </row>
    <row r="514" spans="1:5">
      <c r="A514" s="43">
        <v>31253</v>
      </c>
      <c r="B514" s="43">
        <v>1</v>
      </c>
      <c r="C514" s="14" t="s">
        <v>3335</v>
      </c>
      <c r="D514" s="44" t="s">
        <v>929</v>
      </c>
      <c r="E514" s="45" t="s">
        <v>930</v>
      </c>
    </row>
    <row r="515" spans="1:5">
      <c r="A515" s="43">
        <v>31254</v>
      </c>
      <c r="B515" s="43">
        <v>1</v>
      </c>
      <c r="C515" s="14" t="s">
        <v>3720</v>
      </c>
      <c r="D515" s="44" t="s">
        <v>931</v>
      </c>
      <c r="E515" s="45" t="s">
        <v>635</v>
      </c>
    </row>
    <row r="516" spans="1:5">
      <c r="A516" s="43">
        <v>31255</v>
      </c>
      <c r="B516" s="43">
        <v>1</v>
      </c>
      <c r="C516" s="14" t="s">
        <v>3757</v>
      </c>
      <c r="D516" s="44" t="s">
        <v>932</v>
      </c>
      <c r="E516" s="45" t="s">
        <v>760</v>
      </c>
    </row>
    <row r="517" spans="1:5">
      <c r="A517" s="43">
        <v>31256</v>
      </c>
      <c r="B517" s="43">
        <v>1</v>
      </c>
      <c r="C517" s="14" t="s">
        <v>3757</v>
      </c>
      <c r="D517" s="44" t="s">
        <v>933</v>
      </c>
      <c r="E517" s="45" t="s">
        <v>760</v>
      </c>
    </row>
    <row r="518" spans="1:5">
      <c r="A518" s="43">
        <v>31257</v>
      </c>
      <c r="B518" s="43">
        <v>1</v>
      </c>
      <c r="C518" s="14" t="s">
        <v>3702</v>
      </c>
      <c r="D518" s="44" t="s">
        <v>934</v>
      </c>
      <c r="E518" s="45" t="s">
        <v>935</v>
      </c>
    </row>
    <row r="519" spans="1:5">
      <c r="A519" s="43">
        <v>31258</v>
      </c>
      <c r="B519" s="43">
        <v>1</v>
      </c>
      <c r="C519" s="14" t="s">
        <v>3338</v>
      </c>
      <c r="D519" s="44" t="s">
        <v>936</v>
      </c>
      <c r="E519" s="45" t="s">
        <v>937</v>
      </c>
    </row>
    <row r="520" spans="1:5">
      <c r="A520" s="43">
        <v>31259</v>
      </c>
      <c r="B520" s="43">
        <v>1</v>
      </c>
      <c r="C520" s="14" t="s">
        <v>3758</v>
      </c>
      <c r="D520" s="44" t="s">
        <v>938</v>
      </c>
      <c r="E520" s="45" t="s">
        <v>762</v>
      </c>
    </row>
    <row r="521" spans="1:5">
      <c r="A521" s="43">
        <v>31260</v>
      </c>
      <c r="B521" s="43">
        <v>1</v>
      </c>
      <c r="C521" s="14" t="s">
        <v>3720</v>
      </c>
      <c r="D521" s="44" t="s">
        <v>939</v>
      </c>
      <c r="E521" s="45" t="s">
        <v>635</v>
      </c>
    </row>
    <row r="522" spans="1:5">
      <c r="A522" s="43">
        <v>31261</v>
      </c>
      <c r="B522" s="43">
        <v>1</v>
      </c>
      <c r="C522" s="14" t="s">
        <v>3706</v>
      </c>
      <c r="D522" s="44" t="s">
        <v>940</v>
      </c>
      <c r="E522" s="45" t="s">
        <v>606</v>
      </c>
    </row>
    <row r="523" spans="1:5">
      <c r="A523" s="43">
        <v>31262</v>
      </c>
      <c r="B523" s="43">
        <v>1</v>
      </c>
      <c r="C523" s="14" t="s">
        <v>3808</v>
      </c>
      <c r="D523" s="44" t="s">
        <v>941</v>
      </c>
      <c r="E523" s="45" t="s">
        <v>942</v>
      </c>
    </row>
    <row r="524" spans="1:5">
      <c r="A524" s="43">
        <v>31263</v>
      </c>
      <c r="B524" s="43">
        <v>1</v>
      </c>
      <c r="C524" s="14" t="s">
        <v>3809</v>
      </c>
      <c r="D524" s="44" t="s">
        <v>943</v>
      </c>
      <c r="E524" s="45" t="s">
        <v>944</v>
      </c>
    </row>
    <row r="525" spans="1:5">
      <c r="A525" s="43">
        <v>31264</v>
      </c>
      <c r="B525" s="43">
        <v>1</v>
      </c>
      <c r="C525" s="14" t="s">
        <v>3733</v>
      </c>
      <c r="D525" s="44" t="s">
        <v>945</v>
      </c>
      <c r="E525" s="45" t="s">
        <v>662</v>
      </c>
    </row>
    <row r="526" spans="1:5">
      <c r="A526" s="43">
        <v>31265</v>
      </c>
      <c r="B526" s="43">
        <v>1</v>
      </c>
      <c r="C526" s="14" t="s">
        <v>3810</v>
      </c>
      <c r="D526" s="44" t="s">
        <v>946</v>
      </c>
      <c r="E526" s="45" t="s">
        <v>947</v>
      </c>
    </row>
    <row r="527" spans="1:5">
      <c r="A527" s="43">
        <v>31266</v>
      </c>
      <c r="B527" s="43">
        <v>1</v>
      </c>
      <c r="C527" s="14" t="s">
        <v>3348</v>
      </c>
      <c r="D527" s="44" t="s">
        <v>948</v>
      </c>
      <c r="E527" s="45" t="s">
        <v>949</v>
      </c>
    </row>
    <row r="528" spans="1:5">
      <c r="A528" s="43">
        <v>31267</v>
      </c>
      <c r="B528" s="43">
        <v>1</v>
      </c>
      <c r="C528" s="14" t="s">
        <v>3382</v>
      </c>
      <c r="D528" s="44" t="s">
        <v>950</v>
      </c>
      <c r="E528" s="45" t="s">
        <v>769</v>
      </c>
    </row>
    <row r="529" spans="1:5">
      <c r="A529" s="43">
        <v>31268</v>
      </c>
      <c r="B529" s="43">
        <v>1</v>
      </c>
      <c r="C529" s="14" t="s">
        <v>3382</v>
      </c>
      <c r="D529" s="44" t="s">
        <v>951</v>
      </c>
      <c r="E529" s="45" t="s">
        <v>769</v>
      </c>
    </row>
    <row r="530" spans="1:5">
      <c r="A530" s="43">
        <v>31269</v>
      </c>
      <c r="B530" s="43">
        <v>1</v>
      </c>
      <c r="C530" s="14" t="s">
        <v>3382</v>
      </c>
      <c r="D530" s="44" t="s">
        <v>952</v>
      </c>
      <c r="E530" s="45" t="s">
        <v>769</v>
      </c>
    </row>
    <row r="531" spans="1:5">
      <c r="A531" s="43">
        <v>31270</v>
      </c>
      <c r="B531" s="43">
        <v>1</v>
      </c>
      <c r="C531" s="14" t="s">
        <v>3382</v>
      </c>
      <c r="D531" s="44" t="s">
        <v>953</v>
      </c>
      <c r="E531" s="45" t="s">
        <v>769</v>
      </c>
    </row>
    <row r="532" spans="1:5">
      <c r="A532" s="43">
        <v>31271</v>
      </c>
      <c r="B532" s="43">
        <v>1</v>
      </c>
      <c r="C532" s="14" t="s">
        <v>3382</v>
      </c>
      <c r="D532" s="44" t="s">
        <v>954</v>
      </c>
      <c r="E532" s="45" t="s">
        <v>769</v>
      </c>
    </row>
    <row r="533" spans="1:5">
      <c r="A533" s="43">
        <v>31272</v>
      </c>
      <c r="B533" s="43">
        <v>1</v>
      </c>
      <c r="C533" s="14" t="s">
        <v>3382</v>
      </c>
      <c r="D533" s="44" t="s">
        <v>955</v>
      </c>
      <c r="E533" s="45" t="s">
        <v>769</v>
      </c>
    </row>
    <row r="534" spans="1:5">
      <c r="A534" s="43">
        <v>31273</v>
      </c>
      <c r="B534" s="43">
        <v>1</v>
      </c>
      <c r="C534" s="14" t="s">
        <v>3382</v>
      </c>
      <c r="D534" s="44" t="s">
        <v>956</v>
      </c>
      <c r="E534" s="45" t="s">
        <v>769</v>
      </c>
    </row>
    <row r="535" spans="1:5">
      <c r="A535" s="43">
        <v>31274</v>
      </c>
      <c r="B535" s="43">
        <v>1</v>
      </c>
      <c r="C535" s="14" t="s">
        <v>3382</v>
      </c>
      <c r="D535" s="44" t="s">
        <v>957</v>
      </c>
      <c r="E535" s="45" t="s">
        <v>769</v>
      </c>
    </row>
    <row r="536" spans="1:5">
      <c r="A536" s="43">
        <v>31275</v>
      </c>
      <c r="B536" s="43">
        <v>1</v>
      </c>
      <c r="C536" s="14" t="s">
        <v>3382</v>
      </c>
      <c r="D536" s="44" t="s">
        <v>958</v>
      </c>
      <c r="E536" s="45" t="s">
        <v>769</v>
      </c>
    </row>
    <row r="537" spans="1:5">
      <c r="A537" s="43">
        <v>31276</v>
      </c>
      <c r="B537" s="43">
        <v>1</v>
      </c>
      <c r="C537" s="14" t="s">
        <v>3382</v>
      </c>
      <c r="D537" s="44" t="s">
        <v>959</v>
      </c>
      <c r="E537" s="45" t="s">
        <v>769</v>
      </c>
    </row>
    <row r="538" spans="1:5">
      <c r="A538" s="43">
        <v>31277</v>
      </c>
      <c r="B538" s="43">
        <v>1</v>
      </c>
      <c r="C538" s="14" t="s">
        <v>3382</v>
      </c>
      <c r="D538" s="44" t="s">
        <v>960</v>
      </c>
      <c r="E538" s="45" t="s">
        <v>769</v>
      </c>
    </row>
    <row r="539" spans="1:5">
      <c r="A539" s="43">
        <v>31278</v>
      </c>
      <c r="B539" s="43">
        <v>1</v>
      </c>
      <c r="C539" s="14" t="s">
        <v>3382</v>
      </c>
      <c r="D539" s="44" t="s">
        <v>961</v>
      </c>
      <c r="E539" s="45" t="s">
        <v>769</v>
      </c>
    </row>
    <row r="540" spans="1:5">
      <c r="A540" s="43">
        <v>31279</v>
      </c>
      <c r="B540" s="43">
        <v>1</v>
      </c>
      <c r="C540" s="14" t="s">
        <v>3382</v>
      </c>
      <c r="D540" s="44" t="s">
        <v>962</v>
      </c>
      <c r="E540" s="45" t="s">
        <v>769</v>
      </c>
    </row>
    <row r="541" spans="1:5">
      <c r="A541" s="43">
        <v>31280</v>
      </c>
      <c r="B541" s="43">
        <v>1</v>
      </c>
      <c r="C541" s="14" t="s">
        <v>3382</v>
      </c>
      <c r="D541" s="44" t="s">
        <v>963</v>
      </c>
      <c r="E541" s="45" t="s">
        <v>769</v>
      </c>
    </row>
    <row r="542" spans="1:5">
      <c r="A542" s="43">
        <v>31281</v>
      </c>
      <c r="B542" s="43">
        <v>1</v>
      </c>
      <c r="C542" s="14" t="s">
        <v>3382</v>
      </c>
      <c r="D542" s="44" t="s">
        <v>964</v>
      </c>
      <c r="E542" s="45" t="s">
        <v>769</v>
      </c>
    </row>
    <row r="543" spans="1:5">
      <c r="A543" s="43">
        <v>31282</v>
      </c>
      <c r="B543" s="43">
        <v>1</v>
      </c>
      <c r="C543" s="14" t="s">
        <v>3382</v>
      </c>
      <c r="D543" s="44" t="s">
        <v>965</v>
      </c>
      <c r="E543" s="45" t="s">
        <v>769</v>
      </c>
    </row>
    <row r="544" spans="1:5">
      <c r="A544" s="43">
        <v>31283</v>
      </c>
      <c r="B544" s="43">
        <v>1</v>
      </c>
      <c r="C544" s="14" t="s">
        <v>3382</v>
      </c>
      <c r="D544" s="44" t="s">
        <v>966</v>
      </c>
      <c r="E544" s="45" t="s">
        <v>769</v>
      </c>
    </row>
    <row r="545" spans="1:5">
      <c r="A545" s="43">
        <v>31284</v>
      </c>
      <c r="B545" s="43">
        <v>1</v>
      </c>
      <c r="C545" s="14" t="s">
        <v>3382</v>
      </c>
      <c r="D545" s="44" t="s">
        <v>967</v>
      </c>
      <c r="E545" s="45" t="s">
        <v>769</v>
      </c>
    </row>
    <row r="546" spans="1:5">
      <c r="A546" s="43">
        <v>31285</v>
      </c>
      <c r="B546" s="43">
        <v>1</v>
      </c>
      <c r="C546" s="14" t="s">
        <v>3382</v>
      </c>
      <c r="D546" s="44" t="s">
        <v>968</v>
      </c>
      <c r="E546" s="45" t="s">
        <v>769</v>
      </c>
    </row>
    <row r="547" spans="1:5">
      <c r="A547" s="43">
        <v>31286</v>
      </c>
      <c r="B547" s="43">
        <v>1</v>
      </c>
      <c r="C547" s="14" t="s">
        <v>3382</v>
      </c>
      <c r="D547" s="44" t="s">
        <v>969</v>
      </c>
      <c r="E547" s="45" t="s">
        <v>769</v>
      </c>
    </row>
    <row r="548" spans="1:5">
      <c r="A548" s="43">
        <v>31287</v>
      </c>
      <c r="B548" s="43">
        <v>1</v>
      </c>
      <c r="C548" s="14" t="s">
        <v>3382</v>
      </c>
      <c r="D548" s="44" t="s">
        <v>970</v>
      </c>
      <c r="E548" s="45" t="s">
        <v>769</v>
      </c>
    </row>
    <row r="549" spans="1:5">
      <c r="A549" s="43">
        <v>31288</v>
      </c>
      <c r="B549" s="43">
        <v>1</v>
      </c>
      <c r="C549" s="14" t="s">
        <v>3382</v>
      </c>
      <c r="D549" s="44" t="s">
        <v>971</v>
      </c>
      <c r="E549" s="45" t="s">
        <v>769</v>
      </c>
    </row>
    <row r="550" spans="1:5">
      <c r="A550" s="43">
        <v>31289</v>
      </c>
      <c r="B550" s="43">
        <v>1</v>
      </c>
      <c r="C550" s="14" t="s">
        <v>3382</v>
      </c>
      <c r="D550" s="44" t="s">
        <v>972</v>
      </c>
      <c r="E550" s="45" t="s">
        <v>769</v>
      </c>
    </row>
    <row r="551" spans="1:5">
      <c r="A551" s="43">
        <v>31290</v>
      </c>
      <c r="B551" s="43">
        <v>1</v>
      </c>
      <c r="C551" s="14" t="s">
        <v>3382</v>
      </c>
      <c r="D551" s="44" t="s">
        <v>973</v>
      </c>
      <c r="E551" s="45" t="s">
        <v>769</v>
      </c>
    </row>
    <row r="552" spans="1:5">
      <c r="A552" s="43">
        <v>31291</v>
      </c>
      <c r="B552" s="43">
        <v>1</v>
      </c>
      <c r="C552" s="14" t="s">
        <v>3382</v>
      </c>
      <c r="D552" s="44" t="s">
        <v>974</v>
      </c>
      <c r="E552" s="45" t="s">
        <v>769</v>
      </c>
    </row>
    <row r="553" spans="1:5">
      <c r="A553" s="43">
        <v>31292</v>
      </c>
      <c r="B553" s="43">
        <v>1</v>
      </c>
      <c r="C553" s="14" t="s">
        <v>3382</v>
      </c>
      <c r="D553" s="44" t="s">
        <v>975</v>
      </c>
      <c r="E553" s="45" t="s">
        <v>769</v>
      </c>
    </row>
    <row r="554" spans="1:5">
      <c r="A554" s="43">
        <v>31293</v>
      </c>
      <c r="B554" s="43">
        <v>1</v>
      </c>
      <c r="C554" s="14" t="s">
        <v>3382</v>
      </c>
      <c r="D554" s="44" t="s">
        <v>976</v>
      </c>
      <c r="E554" s="45" t="s">
        <v>769</v>
      </c>
    </row>
    <row r="555" spans="1:5">
      <c r="A555" s="43">
        <v>31294</v>
      </c>
      <c r="B555" s="43">
        <v>1</v>
      </c>
      <c r="C555" s="14" t="s">
        <v>3382</v>
      </c>
      <c r="D555" s="44" t="s">
        <v>977</v>
      </c>
      <c r="E555" s="45" t="s">
        <v>769</v>
      </c>
    </row>
    <row r="556" spans="1:5">
      <c r="A556" s="46">
        <v>31301</v>
      </c>
      <c r="B556" s="46">
        <v>1</v>
      </c>
      <c r="C556" s="14" t="s">
        <v>3811</v>
      </c>
      <c r="D556" s="47" t="s">
        <v>978</v>
      </c>
      <c r="E556" s="48" t="s">
        <v>979</v>
      </c>
    </row>
    <row r="557" spans="1:5">
      <c r="A557" s="46">
        <v>31302</v>
      </c>
      <c r="B557" s="46">
        <v>1</v>
      </c>
      <c r="C557" s="14" t="s">
        <v>3366</v>
      </c>
      <c r="D557" s="47" t="s">
        <v>980</v>
      </c>
      <c r="E557" s="48" t="s">
        <v>981</v>
      </c>
    </row>
    <row r="558" spans="1:5">
      <c r="A558" s="46">
        <v>31303</v>
      </c>
      <c r="B558" s="46">
        <v>1</v>
      </c>
      <c r="C558" s="14" t="s">
        <v>3368</v>
      </c>
      <c r="D558" s="47" t="s">
        <v>982</v>
      </c>
      <c r="E558" s="48" t="s">
        <v>983</v>
      </c>
    </row>
    <row r="559" spans="1:5">
      <c r="A559" s="46">
        <v>31304</v>
      </c>
      <c r="B559" s="46">
        <v>1</v>
      </c>
      <c r="C559" s="14" t="s">
        <v>3369</v>
      </c>
      <c r="D559" s="47" t="s">
        <v>984</v>
      </c>
      <c r="E559" s="48" t="s">
        <v>747</v>
      </c>
    </row>
    <row r="560" spans="1:5">
      <c r="A560" s="46">
        <v>31305</v>
      </c>
      <c r="B560" s="46">
        <v>1</v>
      </c>
      <c r="C560" s="14" t="s">
        <v>3370</v>
      </c>
      <c r="D560" s="47" t="s">
        <v>985</v>
      </c>
      <c r="E560" s="48" t="s">
        <v>986</v>
      </c>
    </row>
    <row r="561" spans="1:5">
      <c r="A561" s="46">
        <v>31306</v>
      </c>
      <c r="B561" s="46">
        <v>1</v>
      </c>
      <c r="C561" s="14" t="s">
        <v>3371</v>
      </c>
      <c r="D561" s="47" t="s">
        <v>987</v>
      </c>
      <c r="E561" s="48" t="s">
        <v>751</v>
      </c>
    </row>
    <row r="562" spans="1:5">
      <c r="A562" s="46">
        <v>31307</v>
      </c>
      <c r="B562" s="46">
        <v>1</v>
      </c>
      <c r="C562" s="14" t="s">
        <v>3372</v>
      </c>
      <c r="D562" s="47" t="s">
        <v>988</v>
      </c>
      <c r="E562" s="48" t="s">
        <v>989</v>
      </c>
    </row>
    <row r="563" spans="1:5">
      <c r="A563" s="46">
        <v>31308</v>
      </c>
      <c r="B563" s="46">
        <v>1</v>
      </c>
      <c r="C563" s="14" t="s">
        <v>3373</v>
      </c>
      <c r="D563" s="47" t="s">
        <v>990</v>
      </c>
      <c r="E563" s="48" t="s">
        <v>991</v>
      </c>
    </row>
    <row r="564" spans="1:5">
      <c r="A564" s="46">
        <v>31309</v>
      </c>
      <c r="B564" s="46">
        <v>1</v>
      </c>
      <c r="C564" s="14" t="s">
        <v>3374</v>
      </c>
      <c r="D564" s="47" t="s">
        <v>992</v>
      </c>
      <c r="E564" s="48" t="s">
        <v>993</v>
      </c>
    </row>
    <row r="565" spans="1:5">
      <c r="A565" s="46">
        <v>31310</v>
      </c>
      <c r="B565" s="46">
        <v>1</v>
      </c>
      <c r="C565" s="14" t="s">
        <v>3375</v>
      </c>
      <c r="D565" s="47" t="s">
        <v>994</v>
      </c>
      <c r="E565" s="48" t="s">
        <v>787</v>
      </c>
    </row>
    <row r="566" spans="1:5">
      <c r="A566" s="46">
        <v>31311</v>
      </c>
      <c r="B566" s="46">
        <v>1</v>
      </c>
      <c r="C566" s="14" t="s">
        <v>3761</v>
      </c>
      <c r="D566" s="47" t="s">
        <v>995</v>
      </c>
      <c r="E566" s="48" t="s">
        <v>791</v>
      </c>
    </row>
    <row r="567" spans="1:5">
      <c r="A567" s="46">
        <v>31312</v>
      </c>
      <c r="B567" s="46">
        <v>1</v>
      </c>
      <c r="C567" s="14" t="s">
        <v>3378</v>
      </c>
      <c r="D567" s="47" t="s">
        <v>996</v>
      </c>
      <c r="E567" s="48" t="s">
        <v>795</v>
      </c>
    </row>
    <row r="568" spans="1:5">
      <c r="A568" s="22">
        <v>31351</v>
      </c>
      <c r="B568" s="22">
        <v>1</v>
      </c>
      <c r="C568" s="14" t="s">
        <v>3382</v>
      </c>
      <c r="D568" s="23" t="s">
        <v>997</v>
      </c>
      <c r="E568" s="24" t="s">
        <v>769</v>
      </c>
    </row>
    <row r="569" spans="1:5">
      <c r="A569" s="1">
        <v>31401</v>
      </c>
      <c r="B569" s="1">
        <v>1</v>
      </c>
      <c r="C569" s="14" t="s">
        <v>3812</v>
      </c>
      <c r="D569" s="2" t="s">
        <v>998</v>
      </c>
      <c r="E569" s="3" t="s">
        <v>999</v>
      </c>
    </row>
    <row r="570" spans="1:5">
      <c r="A570" s="1">
        <v>31402</v>
      </c>
      <c r="B570" s="1">
        <v>1</v>
      </c>
      <c r="C570" s="14" t="s">
        <v>3812</v>
      </c>
      <c r="D570" s="2" t="s">
        <v>1000</v>
      </c>
      <c r="E570" s="3" t="s">
        <v>999</v>
      </c>
    </row>
    <row r="571" spans="1:5">
      <c r="A571" s="1">
        <v>31403</v>
      </c>
      <c r="B571" s="1">
        <v>1</v>
      </c>
      <c r="C571" s="14" t="s">
        <v>3812</v>
      </c>
      <c r="D571" s="2" t="s">
        <v>1001</v>
      </c>
      <c r="E571" s="3" t="s">
        <v>999</v>
      </c>
    </row>
    <row r="572" spans="1:5">
      <c r="A572" s="1">
        <v>31404</v>
      </c>
      <c r="B572" s="1">
        <v>1</v>
      </c>
      <c r="C572" s="14" t="s">
        <v>3812</v>
      </c>
      <c r="D572" s="2" t="s">
        <v>1002</v>
      </c>
      <c r="E572" s="3" t="s">
        <v>999</v>
      </c>
    </row>
    <row r="573" spans="1:5">
      <c r="A573" s="1">
        <v>31405</v>
      </c>
      <c r="B573" s="1">
        <v>1</v>
      </c>
      <c r="C573" s="14" t="s">
        <v>3812</v>
      </c>
      <c r="D573" s="2" t="s">
        <v>1003</v>
      </c>
      <c r="E573" s="3" t="s">
        <v>999</v>
      </c>
    </row>
    <row r="574" spans="1:5">
      <c r="A574" s="1">
        <v>31406</v>
      </c>
      <c r="B574" s="1">
        <v>1</v>
      </c>
      <c r="C574" s="14" t="s">
        <v>3812</v>
      </c>
      <c r="D574" s="2" t="s">
        <v>1004</v>
      </c>
      <c r="E574" s="3" t="s">
        <v>999</v>
      </c>
    </row>
    <row r="575" spans="1:5">
      <c r="A575" s="1">
        <v>31407</v>
      </c>
      <c r="B575" s="1">
        <v>1</v>
      </c>
      <c r="C575" s="14" t="s">
        <v>3812</v>
      </c>
      <c r="D575" s="2" t="s">
        <v>1005</v>
      </c>
      <c r="E575" s="3" t="s">
        <v>999</v>
      </c>
    </row>
    <row r="576" spans="1:5">
      <c r="A576" s="1">
        <v>31408</v>
      </c>
      <c r="B576" s="1">
        <v>1</v>
      </c>
      <c r="C576" s="14" t="s">
        <v>3812</v>
      </c>
      <c r="D576" s="2" t="s">
        <v>1006</v>
      </c>
      <c r="E576" s="3" t="s">
        <v>999</v>
      </c>
    </row>
    <row r="577" spans="1:5">
      <c r="A577" s="1">
        <v>31409</v>
      </c>
      <c r="B577" s="1">
        <v>1</v>
      </c>
      <c r="C577" s="14" t="s">
        <v>3812</v>
      </c>
      <c r="D577" s="2" t="s">
        <v>1007</v>
      </c>
      <c r="E577" s="3" t="s">
        <v>999</v>
      </c>
    </row>
    <row r="578" spans="1:5">
      <c r="A578" s="1">
        <v>31410</v>
      </c>
      <c r="B578" s="1">
        <v>1</v>
      </c>
      <c r="C578" s="14" t="s">
        <v>3812</v>
      </c>
      <c r="D578" s="2" t="s">
        <v>1008</v>
      </c>
      <c r="E578" s="3" t="s">
        <v>999</v>
      </c>
    </row>
    <row r="579" spans="1:5">
      <c r="A579" s="1">
        <v>31451</v>
      </c>
      <c r="B579" s="1">
        <v>1</v>
      </c>
      <c r="C579" s="14" t="s">
        <v>3736</v>
      </c>
      <c r="D579" s="2" t="s">
        <v>1009</v>
      </c>
      <c r="E579" s="3" t="s">
        <v>670</v>
      </c>
    </row>
    <row r="580" spans="1:5">
      <c r="A580" s="1">
        <v>31452</v>
      </c>
      <c r="B580" s="1">
        <v>1</v>
      </c>
      <c r="C580" s="14" t="s">
        <v>3736</v>
      </c>
      <c r="D580" s="2" t="s">
        <v>1010</v>
      </c>
      <c r="E580" s="3" t="s">
        <v>670</v>
      </c>
    </row>
    <row r="581" spans="1:5">
      <c r="A581" s="1">
        <v>31453</v>
      </c>
      <c r="B581" s="1">
        <v>1</v>
      </c>
      <c r="C581" s="14" t="s">
        <v>3813</v>
      </c>
      <c r="D581" s="2" t="s">
        <v>1011</v>
      </c>
      <c r="E581" s="3" t="s">
        <v>1012</v>
      </c>
    </row>
    <row r="582" spans="1:5">
      <c r="A582" s="1">
        <v>31454</v>
      </c>
      <c r="B582" s="1">
        <v>1</v>
      </c>
      <c r="C582" s="14" t="s">
        <v>3813</v>
      </c>
      <c r="D582" s="2" t="s">
        <v>1013</v>
      </c>
      <c r="E582" s="3" t="s">
        <v>1012</v>
      </c>
    </row>
    <row r="583" spans="1:5">
      <c r="A583" s="1">
        <v>31455</v>
      </c>
      <c r="B583" s="1">
        <v>1</v>
      </c>
      <c r="C583" s="14" t="s">
        <v>3749</v>
      </c>
      <c r="D583" s="2" t="s">
        <v>1014</v>
      </c>
      <c r="E583" s="3" t="s">
        <v>729</v>
      </c>
    </row>
    <row r="584" spans="1:5">
      <c r="A584" s="1">
        <v>31456</v>
      </c>
      <c r="B584" s="1">
        <v>1</v>
      </c>
      <c r="C584" s="14" t="s">
        <v>3708</v>
      </c>
      <c r="D584" s="2" t="s">
        <v>1015</v>
      </c>
      <c r="E584" s="3" t="s">
        <v>610</v>
      </c>
    </row>
    <row r="585" spans="1:5">
      <c r="A585" s="1">
        <v>31457</v>
      </c>
      <c r="B585" s="1">
        <v>1</v>
      </c>
      <c r="C585" s="14" t="s">
        <v>3776</v>
      </c>
      <c r="D585" s="2" t="s">
        <v>1016</v>
      </c>
      <c r="E585" s="3" t="s">
        <v>844</v>
      </c>
    </row>
    <row r="586" spans="1:5">
      <c r="A586" s="1">
        <v>31458</v>
      </c>
      <c r="B586" s="1">
        <v>1</v>
      </c>
      <c r="C586" s="14" t="s">
        <v>3814</v>
      </c>
      <c r="D586" s="2" t="s">
        <v>1017</v>
      </c>
      <c r="E586" s="3" t="s">
        <v>1018</v>
      </c>
    </row>
    <row r="587" spans="1:5">
      <c r="A587" s="1">
        <v>31459</v>
      </c>
      <c r="B587" s="1">
        <v>1</v>
      </c>
      <c r="C587" s="14" t="s">
        <v>3366</v>
      </c>
      <c r="D587" s="2" t="s">
        <v>1019</v>
      </c>
      <c r="E587" s="3" t="s">
        <v>981</v>
      </c>
    </row>
    <row r="588" spans="1:5">
      <c r="A588" s="1">
        <v>31460</v>
      </c>
      <c r="B588" s="1">
        <v>1</v>
      </c>
      <c r="C588" s="14" t="s">
        <v>3815</v>
      </c>
      <c r="D588" s="2" t="s">
        <v>1020</v>
      </c>
      <c r="E588" s="3" t="s">
        <v>1021</v>
      </c>
    </row>
    <row r="589" spans="1:5">
      <c r="A589" s="1">
        <v>31461</v>
      </c>
      <c r="B589" s="1">
        <v>1</v>
      </c>
      <c r="C589" s="14" t="s">
        <v>3816</v>
      </c>
      <c r="D589" s="2" t="s">
        <v>1022</v>
      </c>
      <c r="E589" s="3" t="s">
        <v>1023</v>
      </c>
    </row>
    <row r="590" spans="1:5">
      <c r="A590" s="1">
        <v>31462</v>
      </c>
      <c r="B590" s="1">
        <v>1</v>
      </c>
      <c r="C590" s="14" t="s">
        <v>3369</v>
      </c>
      <c r="D590" s="2" t="s">
        <v>1024</v>
      </c>
      <c r="E590" s="3" t="s">
        <v>747</v>
      </c>
    </row>
    <row r="591" spans="1:5">
      <c r="A591" s="1">
        <v>31501</v>
      </c>
      <c r="B591" s="1">
        <v>1</v>
      </c>
      <c r="C591" s="14" t="s">
        <v>3330</v>
      </c>
      <c r="D591" s="2" t="s">
        <v>1025</v>
      </c>
      <c r="E591" s="3" t="s">
        <v>1026</v>
      </c>
    </row>
    <row r="592" spans="1:5">
      <c r="A592" s="1">
        <v>31502</v>
      </c>
      <c r="B592" s="1">
        <v>1</v>
      </c>
      <c r="C592" s="14" t="s">
        <v>3817</v>
      </c>
      <c r="D592" s="2" t="s">
        <v>1027</v>
      </c>
      <c r="E592" s="3" t="s">
        <v>1028</v>
      </c>
    </row>
    <row r="593" spans="1:5">
      <c r="A593" s="1">
        <v>31503</v>
      </c>
      <c r="B593" s="1">
        <v>1</v>
      </c>
      <c r="C593" s="14" t="s">
        <v>3818</v>
      </c>
      <c r="D593" s="2" t="s">
        <v>1029</v>
      </c>
      <c r="E593" s="3" t="s">
        <v>1030</v>
      </c>
    </row>
    <row r="594" spans="1:5">
      <c r="A594" s="1">
        <v>31504</v>
      </c>
      <c r="B594" s="1">
        <v>1</v>
      </c>
      <c r="C594" s="14" t="s">
        <v>3819</v>
      </c>
      <c r="D594" s="2" t="s">
        <v>1031</v>
      </c>
      <c r="E594" s="3" t="s">
        <v>1032</v>
      </c>
    </row>
    <row r="595" spans="1:5">
      <c r="A595" s="1">
        <v>31505</v>
      </c>
      <c r="B595" s="1">
        <v>1</v>
      </c>
      <c r="C595" s="14" t="s">
        <v>3820</v>
      </c>
      <c r="D595" s="2" t="s">
        <v>1033</v>
      </c>
      <c r="E595" s="3" t="s">
        <v>1034</v>
      </c>
    </row>
    <row r="596" spans="1:5">
      <c r="A596" s="1">
        <v>31506</v>
      </c>
      <c r="B596" s="1">
        <v>1</v>
      </c>
      <c r="C596" s="14" t="s">
        <v>3821</v>
      </c>
      <c r="D596" s="2" t="s">
        <v>1035</v>
      </c>
      <c r="E596" s="3" t="s">
        <v>1036</v>
      </c>
    </row>
    <row r="597" spans="1:5">
      <c r="A597" s="1">
        <v>31507</v>
      </c>
      <c r="B597" s="1">
        <v>1</v>
      </c>
      <c r="C597" s="14" t="s">
        <v>3822</v>
      </c>
      <c r="D597" s="2" t="s">
        <v>1037</v>
      </c>
      <c r="E597" s="3" t="s">
        <v>1038</v>
      </c>
    </row>
    <row r="598" spans="1:5">
      <c r="A598" s="37">
        <v>31551</v>
      </c>
      <c r="B598" s="37">
        <v>1</v>
      </c>
      <c r="C598" s="14" t="s">
        <v>3823</v>
      </c>
      <c r="D598" s="38" t="s">
        <v>1039</v>
      </c>
      <c r="E598" s="39" t="s">
        <v>1040</v>
      </c>
    </row>
    <row r="599" spans="1:5">
      <c r="A599" s="37">
        <v>31552</v>
      </c>
      <c r="B599" s="37">
        <v>1</v>
      </c>
      <c r="C599" s="14" t="s">
        <v>3824</v>
      </c>
      <c r="D599" s="38" t="s">
        <v>1041</v>
      </c>
      <c r="E599" s="39" t="s">
        <v>1042</v>
      </c>
    </row>
    <row r="600" spans="1:5">
      <c r="A600" s="37">
        <v>31553</v>
      </c>
      <c r="B600" s="37">
        <v>1</v>
      </c>
      <c r="C600" s="14" t="s">
        <v>3824</v>
      </c>
      <c r="D600" s="38" t="s">
        <v>1043</v>
      </c>
      <c r="E600" s="39" t="s">
        <v>1042</v>
      </c>
    </row>
    <row r="601" spans="1:5">
      <c r="A601" s="37">
        <v>31554</v>
      </c>
      <c r="B601" s="37">
        <v>1</v>
      </c>
      <c r="C601" s="14" t="s">
        <v>3824</v>
      </c>
      <c r="D601" s="38" t="s">
        <v>1044</v>
      </c>
      <c r="E601" s="39" t="s">
        <v>1042</v>
      </c>
    </row>
    <row r="602" spans="1:5">
      <c r="A602" s="37">
        <v>31555</v>
      </c>
      <c r="B602" s="37">
        <v>1</v>
      </c>
      <c r="C602" s="14" t="s">
        <v>3825</v>
      </c>
      <c r="D602" s="38" t="s">
        <v>1045</v>
      </c>
      <c r="E602" s="39" t="s">
        <v>1046</v>
      </c>
    </row>
    <row r="603" spans="1:5">
      <c r="A603" s="37">
        <v>31556</v>
      </c>
      <c r="B603" s="37">
        <v>1</v>
      </c>
      <c r="C603" s="14" t="s">
        <v>3825</v>
      </c>
      <c r="D603" s="38" t="s">
        <v>1047</v>
      </c>
      <c r="E603" s="39" t="s">
        <v>1046</v>
      </c>
    </row>
    <row r="604" spans="1:5">
      <c r="A604" s="37">
        <v>31557</v>
      </c>
      <c r="B604" s="37">
        <v>1</v>
      </c>
      <c r="C604" s="14" t="s">
        <v>3825</v>
      </c>
      <c r="D604" s="38" t="s">
        <v>1048</v>
      </c>
      <c r="E604" s="39" t="s">
        <v>1046</v>
      </c>
    </row>
    <row r="605" spans="1:5">
      <c r="A605" s="37">
        <v>31558</v>
      </c>
      <c r="B605" s="37">
        <v>1</v>
      </c>
      <c r="C605" s="14" t="s">
        <v>3825</v>
      </c>
      <c r="D605" s="38" t="s">
        <v>1049</v>
      </c>
      <c r="E605" s="39" t="s">
        <v>1046</v>
      </c>
    </row>
    <row r="606" spans="1:5">
      <c r="A606" s="37">
        <v>31559</v>
      </c>
      <c r="B606" s="37">
        <v>1</v>
      </c>
      <c r="C606" s="14" t="s">
        <v>3825</v>
      </c>
      <c r="D606" s="38" t="s">
        <v>1050</v>
      </c>
      <c r="E606" s="39" t="s">
        <v>1046</v>
      </c>
    </row>
    <row r="607" spans="1:5">
      <c r="A607" s="37">
        <v>31560</v>
      </c>
      <c r="B607" s="37">
        <v>1</v>
      </c>
      <c r="C607" s="14" t="s">
        <v>3825</v>
      </c>
      <c r="D607" s="38" t="s">
        <v>1051</v>
      </c>
      <c r="E607" s="39" t="s">
        <v>1046</v>
      </c>
    </row>
    <row r="608" spans="1:5">
      <c r="A608" s="37">
        <v>31561</v>
      </c>
      <c r="B608" s="37">
        <v>1</v>
      </c>
      <c r="C608" s="14" t="s">
        <v>3825</v>
      </c>
      <c r="D608" s="38" t="s">
        <v>1052</v>
      </c>
      <c r="E608" s="39" t="s">
        <v>1046</v>
      </c>
    </row>
    <row r="609" spans="1:5">
      <c r="A609" s="37">
        <v>31562</v>
      </c>
      <c r="B609" s="37">
        <v>1</v>
      </c>
      <c r="C609" s="14" t="s">
        <v>3825</v>
      </c>
      <c r="D609" s="38" t="s">
        <v>1053</v>
      </c>
      <c r="E609" s="39" t="s">
        <v>1046</v>
      </c>
    </row>
    <row r="610" spans="1:5">
      <c r="A610" s="37">
        <v>31563</v>
      </c>
      <c r="B610" s="37">
        <v>1</v>
      </c>
      <c r="C610" s="14" t="s">
        <v>3825</v>
      </c>
      <c r="D610" s="38" t="s">
        <v>1054</v>
      </c>
      <c r="E610" s="39" t="s">
        <v>1046</v>
      </c>
    </row>
    <row r="611" spans="1:5">
      <c r="A611" s="37">
        <v>31564</v>
      </c>
      <c r="B611" s="37">
        <v>1</v>
      </c>
      <c r="C611" s="14" t="s">
        <v>3825</v>
      </c>
      <c r="D611" s="38" t="s">
        <v>1055</v>
      </c>
      <c r="E611" s="39" t="s">
        <v>1046</v>
      </c>
    </row>
    <row r="612" spans="1:5">
      <c r="A612" s="37">
        <v>31565</v>
      </c>
      <c r="B612" s="37">
        <v>1</v>
      </c>
      <c r="C612" s="14" t="s">
        <v>3825</v>
      </c>
      <c r="D612" s="38" t="s">
        <v>1056</v>
      </c>
      <c r="E612" s="39" t="s">
        <v>1046</v>
      </c>
    </row>
    <row r="613" spans="1:5">
      <c r="A613" s="37">
        <v>31566</v>
      </c>
      <c r="B613" s="37">
        <v>1</v>
      </c>
      <c r="C613" s="14" t="s">
        <v>3825</v>
      </c>
      <c r="D613" s="38" t="s">
        <v>1057</v>
      </c>
      <c r="E613" s="39" t="s">
        <v>1046</v>
      </c>
    </row>
    <row r="614" spans="1:5">
      <c r="A614" s="37">
        <v>31567</v>
      </c>
      <c r="B614" s="37">
        <v>1</v>
      </c>
      <c r="C614" s="14" t="s">
        <v>3825</v>
      </c>
      <c r="D614" s="38" t="s">
        <v>1058</v>
      </c>
      <c r="E614" s="39" t="s">
        <v>1046</v>
      </c>
    </row>
    <row r="615" spans="1:5">
      <c r="A615" s="37">
        <v>31568</v>
      </c>
      <c r="B615" s="37">
        <v>1</v>
      </c>
      <c r="C615" s="14" t="s">
        <v>3825</v>
      </c>
      <c r="D615" s="38" t="s">
        <v>1059</v>
      </c>
      <c r="E615" s="39" t="s">
        <v>1046</v>
      </c>
    </row>
    <row r="616" spans="1:5">
      <c r="A616" s="37">
        <v>31569</v>
      </c>
      <c r="B616" s="37">
        <v>1</v>
      </c>
      <c r="C616" s="14" t="s">
        <v>3825</v>
      </c>
      <c r="D616" s="38" t="s">
        <v>1060</v>
      </c>
      <c r="E616" s="39" t="s">
        <v>1046</v>
      </c>
    </row>
    <row r="617" spans="1:5">
      <c r="A617" s="37">
        <v>31570</v>
      </c>
      <c r="B617" s="37">
        <v>1</v>
      </c>
      <c r="C617" s="14" t="s">
        <v>3382</v>
      </c>
      <c r="D617" s="38" t="s">
        <v>1061</v>
      </c>
      <c r="E617" s="39" t="s">
        <v>769</v>
      </c>
    </row>
    <row r="618" spans="1:5">
      <c r="A618" s="37">
        <v>31571</v>
      </c>
      <c r="B618" s="37">
        <v>1</v>
      </c>
      <c r="C618" s="14" t="s">
        <v>3382</v>
      </c>
      <c r="D618" s="38" t="s">
        <v>1062</v>
      </c>
      <c r="E618" s="39" t="s">
        <v>769</v>
      </c>
    </row>
    <row r="619" spans="1:5">
      <c r="A619" s="37">
        <v>31572</v>
      </c>
      <c r="B619" s="37">
        <v>1</v>
      </c>
      <c r="C619" s="14" t="s">
        <v>3382</v>
      </c>
      <c r="D619" s="38" t="s">
        <v>1063</v>
      </c>
      <c r="E619" s="39" t="s">
        <v>769</v>
      </c>
    </row>
    <row r="620" spans="1:5">
      <c r="A620" s="37">
        <v>31573</v>
      </c>
      <c r="B620" s="37">
        <v>1</v>
      </c>
      <c r="C620" s="14" t="s">
        <v>3382</v>
      </c>
      <c r="D620" s="38" t="s">
        <v>1064</v>
      </c>
      <c r="E620" s="39" t="s">
        <v>769</v>
      </c>
    </row>
    <row r="621" spans="1:5">
      <c r="A621" s="49">
        <v>31601</v>
      </c>
      <c r="B621" s="49">
        <v>1</v>
      </c>
      <c r="C621" s="50" t="s">
        <v>3811</v>
      </c>
      <c r="D621" s="51" t="s">
        <v>1065</v>
      </c>
      <c r="E621" s="52" t="s">
        <v>979</v>
      </c>
    </row>
    <row r="622" spans="1:5">
      <c r="A622" s="49">
        <v>31602</v>
      </c>
      <c r="B622" s="49">
        <v>1</v>
      </c>
      <c r="C622" s="50" t="s">
        <v>3811</v>
      </c>
      <c r="D622" s="51" t="s">
        <v>1066</v>
      </c>
      <c r="E622" s="52" t="s">
        <v>979</v>
      </c>
    </row>
    <row r="623" spans="1:5">
      <c r="A623" s="49">
        <v>31603</v>
      </c>
      <c r="B623" s="49">
        <v>1</v>
      </c>
      <c r="C623" s="50" t="s">
        <v>3811</v>
      </c>
      <c r="D623" s="51" t="s">
        <v>1067</v>
      </c>
      <c r="E623" s="52" t="s">
        <v>979</v>
      </c>
    </row>
    <row r="624" spans="1:5">
      <c r="A624" s="49">
        <v>31604</v>
      </c>
      <c r="B624" s="49">
        <v>1</v>
      </c>
      <c r="C624" s="50" t="s">
        <v>3811</v>
      </c>
      <c r="D624" s="51" t="s">
        <v>1068</v>
      </c>
      <c r="E624" s="52" t="s">
        <v>979</v>
      </c>
    </row>
    <row r="625" spans="1:5">
      <c r="A625" s="49">
        <v>31605</v>
      </c>
      <c r="B625" s="49">
        <v>1</v>
      </c>
      <c r="C625" s="50" t="s">
        <v>3811</v>
      </c>
      <c r="D625" s="51" t="s">
        <v>1069</v>
      </c>
      <c r="E625" s="52" t="s">
        <v>979</v>
      </c>
    </row>
    <row r="626" spans="1:5">
      <c r="A626" s="49">
        <v>31606</v>
      </c>
      <c r="B626" s="49">
        <v>1</v>
      </c>
      <c r="C626" s="50" t="s">
        <v>3811</v>
      </c>
      <c r="D626" s="51" t="s">
        <v>1070</v>
      </c>
      <c r="E626" s="52" t="s">
        <v>979</v>
      </c>
    </row>
    <row r="627" spans="1:5">
      <c r="A627" s="49">
        <v>31607</v>
      </c>
      <c r="B627" s="49">
        <v>1</v>
      </c>
      <c r="C627" s="50" t="s">
        <v>3811</v>
      </c>
      <c r="D627" s="51" t="s">
        <v>1071</v>
      </c>
      <c r="E627" s="52" t="s">
        <v>979</v>
      </c>
    </row>
    <row r="628" spans="1:5">
      <c r="A628" s="49">
        <v>31608</v>
      </c>
      <c r="B628" s="49">
        <v>1</v>
      </c>
      <c r="C628" s="50" t="s">
        <v>3811</v>
      </c>
      <c r="D628" s="51" t="s">
        <v>1072</v>
      </c>
      <c r="E628" s="52" t="s">
        <v>979</v>
      </c>
    </row>
    <row r="629" spans="1:5">
      <c r="A629" s="49">
        <v>31609</v>
      </c>
      <c r="B629" s="49">
        <v>1</v>
      </c>
      <c r="C629" s="50" t="s">
        <v>3811</v>
      </c>
      <c r="D629" s="51" t="s">
        <v>1073</v>
      </c>
      <c r="E629" s="52" t="s">
        <v>979</v>
      </c>
    </row>
    <row r="630" spans="1:5">
      <c r="A630" s="49">
        <v>31610</v>
      </c>
      <c r="B630" s="49">
        <v>1</v>
      </c>
      <c r="C630" s="50" t="s">
        <v>3811</v>
      </c>
      <c r="D630" s="51" t="s">
        <v>1074</v>
      </c>
      <c r="E630" s="52" t="s">
        <v>979</v>
      </c>
    </row>
    <row r="631" spans="1:5">
      <c r="A631" s="49">
        <v>31611</v>
      </c>
      <c r="B631" s="49">
        <v>1</v>
      </c>
      <c r="C631" s="50" t="s">
        <v>3366</v>
      </c>
      <c r="D631" s="51" t="s">
        <v>1075</v>
      </c>
      <c r="E631" s="52" t="s">
        <v>981</v>
      </c>
    </row>
    <row r="632" spans="1:5">
      <c r="A632" s="49">
        <v>31612</v>
      </c>
      <c r="B632" s="49">
        <v>1</v>
      </c>
      <c r="C632" s="50" t="s">
        <v>3366</v>
      </c>
      <c r="D632" s="51" t="s">
        <v>1076</v>
      </c>
      <c r="E632" s="52" t="s">
        <v>981</v>
      </c>
    </row>
    <row r="633" spans="1:5">
      <c r="A633" s="49">
        <v>31613</v>
      </c>
      <c r="B633" s="49">
        <v>1</v>
      </c>
      <c r="C633" s="50" t="s">
        <v>3366</v>
      </c>
      <c r="D633" s="51" t="s">
        <v>1077</v>
      </c>
      <c r="E633" s="52" t="s">
        <v>981</v>
      </c>
    </row>
    <row r="634" spans="1:5">
      <c r="A634" s="49">
        <v>31614</v>
      </c>
      <c r="B634" s="49">
        <v>1</v>
      </c>
      <c r="C634" s="50" t="s">
        <v>3366</v>
      </c>
      <c r="D634" s="51" t="s">
        <v>1078</v>
      </c>
      <c r="E634" s="52" t="s">
        <v>981</v>
      </c>
    </row>
    <row r="635" spans="1:5">
      <c r="A635" s="49">
        <v>31615</v>
      </c>
      <c r="B635" s="49">
        <v>1</v>
      </c>
      <c r="C635" s="50" t="s">
        <v>3366</v>
      </c>
      <c r="D635" s="51" t="s">
        <v>1079</v>
      </c>
      <c r="E635" s="52" t="s">
        <v>981</v>
      </c>
    </row>
    <row r="636" spans="1:5">
      <c r="A636" s="49">
        <v>31616</v>
      </c>
      <c r="B636" s="49">
        <v>1</v>
      </c>
      <c r="C636" s="50" t="s">
        <v>3366</v>
      </c>
      <c r="D636" s="51" t="s">
        <v>1080</v>
      </c>
      <c r="E636" s="52" t="s">
        <v>981</v>
      </c>
    </row>
    <row r="637" spans="1:5">
      <c r="A637" s="49">
        <v>31617</v>
      </c>
      <c r="B637" s="49">
        <v>1</v>
      </c>
      <c r="C637" s="50" t="s">
        <v>3366</v>
      </c>
      <c r="D637" s="51" t="s">
        <v>1081</v>
      </c>
      <c r="E637" s="52" t="s">
        <v>981</v>
      </c>
    </row>
    <row r="638" spans="1:5">
      <c r="A638" s="49">
        <v>31618</v>
      </c>
      <c r="B638" s="49">
        <v>1</v>
      </c>
      <c r="C638" s="50" t="s">
        <v>3366</v>
      </c>
      <c r="D638" s="51" t="s">
        <v>1082</v>
      </c>
      <c r="E638" s="52" t="s">
        <v>981</v>
      </c>
    </row>
    <row r="639" spans="1:5">
      <c r="A639" s="49">
        <v>31619</v>
      </c>
      <c r="B639" s="49">
        <v>1</v>
      </c>
      <c r="C639" s="50" t="s">
        <v>3366</v>
      </c>
      <c r="D639" s="51" t="s">
        <v>1083</v>
      </c>
      <c r="E639" s="52" t="s">
        <v>981</v>
      </c>
    </row>
    <row r="640" spans="1:5">
      <c r="A640" s="49">
        <v>31620</v>
      </c>
      <c r="B640" s="49">
        <v>1</v>
      </c>
      <c r="C640" s="50" t="s">
        <v>3366</v>
      </c>
      <c r="D640" s="51" t="s">
        <v>1084</v>
      </c>
      <c r="E640" s="52" t="s">
        <v>981</v>
      </c>
    </row>
    <row r="641" spans="1:5">
      <c r="A641" s="49">
        <v>31621</v>
      </c>
      <c r="B641" s="49">
        <v>1</v>
      </c>
      <c r="C641" s="50" t="s">
        <v>3368</v>
      </c>
      <c r="D641" s="51" t="s">
        <v>1085</v>
      </c>
      <c r="E641" s="52" t="s">
        <v>983</v>
      </c>
    </row>
    <row r="642" spans="1:5">
      <c r="A642" s="49">
        <v>31622</v>
      </c>
      <c r="B642" s="49">
        <v>1</v>
      </c>
      <c r="C642" s="50" t="s">
        <v>3368</v>
      </c>
      <c r="D642" s="51" t="s">
        <v>1086</v>
      </c>
      <c r="E642" s="52" t="s">
        <v>983</v>
      </c>
    </row>
    <row r="643" spans="1:5">
      <c r="A643" s="49">
        <v>31623</v>
      </c>
      <c r="B643" s="49">
        <v>1</v>
      </c>
      <c r="C643" s="50" t="s">
        <v>3368</v>
      </c>
      <c r="D643" s="51" t="s">
        <v>1087</v>
      </c>
      <c r="E643" s="52" t="s">
        <v>983</v>
      </c>
    </row>
    <row r="644" spans="1:5">
      <c r="A644" s="49">
        <v>31624</v>
      </c>
      <c r="B644" s="49">
        <v>1</v>
      </c>
      <c r="C644" s="50" t="s">
        <v>3368</v>
      </c>
      <c r="D644" s="51" t="s">
        <v>1088</v>
      </c>
      <c r="E644" s="52" t="s">
        <v>983</v>
      </c>
    </row>
    <row r="645" spans="1:5">
      <c r="A645" s="49">
        <v>31625</v>
      </c>
      <c r="B645" s="49">
        <v>1</v>
      </c>
      <c r="C645" s="50" t="s">
        <v>3368</v>
      </c>
      <c r="D645" s="51" t="s">
        <v>1089</v>
      </c>
      <c r="E645" s="52" t="s">
        <v>983</v>
      </c>
    </row>
    <row r="646" spans="1:5">
      <c r="A646" s="49">
        <v>31626</v>
      </c>
      <c r="B646" s="49">
        <v>1</v>
      </c>
      <c r="C646" s="50" t="s">
        <v>3368</v>
      </c>
      <c r="D646" s="51" t="s">
        <v>1090</v>
      </c>
      <c r="E646" s="52" t="s">
        <v>983</v>
      </c>
    </row>
    <row r="647" spans="1:5">
      <c r="A647" s="49">
        <v>31627</v>
      </c>
      <c r="B647" s="49">
        <v>1</v>
      </c>
      <c r="C647" s="50" t="s">
        <v>3368</v>
      </c>
      <c r="D647" s="51" t="s">
        <v>1091</v>
      </c>
      <c r="E647" s="52" t="s">
        <v>983</v>
      </c>
    </row>
    <row r="648" spans="1:5">
      <c r="A648" s="49">
        <v>31628</v>
      </c>
      <c r="B648" s="49">
        <v>1</v>
      </c>
      <c r="C648" s="50" t="s">
        <v>3368</v>
      </c>
      <c r="D648" s="51" t="s">
        <v>1092</v>
      </c>
      <c r="E648" s="52" t="s">
        <v>983</v>
      </c>
    </row>
    <row r="649" spans="1:5">
      <c r="A649" s="49">
        <v>31629</v>
      </c>
      <c r="B649" s="49">
        <v>1</v>
      </c>
      <c r="C649" s="50" t="s">
        <v>3368</v>
      </c>
      <c r="D649" s="51" t="s">
        <v>1093</v>
      </c>
      <c r="E649" s="52" t="s">
        <v>983</v>
      </c>
    </row>
    <row r="650" spans="1:5">
      <c r="A650" s="49">
        <v>31630</v>
      </c>
      <c r="B650" s="49">
        <v>1</v>
      </c>
      <c r="C650" s="50" t="s">
        <v>3368</v>
      </c>
      <c r="D650" s="51" t="s">
        <v>1094</v>
      </c>
      <c r="E650" s="52" t="s">
        <v>983</v>
      </c>
    </row>
    <row r="651" spans="1:5">
      <c r="A651" s="49">
        <v>31631</v>
      </c>
      <c r="B651" s="49">
        <v>1</v>
      </c>
      <c r="C651" s="50" t="s">
        <v>3369</v>
      </c>
      <c r="D651" s="51" t="s">
        <v>1095</v>
      </c>
      <c r="E651" s="52" t="s">
        <v>747</v>
      </c>
    </row>
    <row r="652" spans="1:5">
      <c r="A652" s="49">
        <v>31632</v>
      </c>
      <c r="B652" s="49">
        <v>1</v>
      </c>
      <c r="C652" s="50" t="s">
        <v>3369</v>
      </c>
      <c r="D652" s="51" t="s">
        <v>1096</v>
      </c>
      <c r="E652" s="52" t="s">
        <v>747</v>
      </c>
    </row>
    <row r="653" spans="1:5">
      <c r="A653" s="49">
        <v>31633</v>
      </c>
      <c r="B653" s="49">
        <v>1</v>
      </c>
      <c r="C653" s="50" t="s">
        <v>3369</v>
      </c>
      <c r="D653" s="51" t="s">
        <v>1097</v>
      </c>
      <c r="E653" s="52" t="s">
        <v>747</v>
      </c>
    </row>
    <row r="654" spans="1:5">
      <c r="A654" s="49">
        <v>31634</v>
      </c>
      <c r="B654" s="49">
        <v>1</v>
      </c>
      <c r="C654" s="50" t="s">
        <v>3369</v>
      </c>
      <c r="D654" s="51" t="s">
        <v>1098</v>
      </c>
      <c r="E654" s="52" t="s">
        <v>747</v>
      </c>
    </row>
    <row r="655" spans="1:5">
      <c r="A655" s="49">
        <v>31635</v>
      </c>
      <c r="B655" s="49">
        <v>1</v>
      </c>
      <c r="C655" s="50" t="s">
        <v>3369</v>
      </c>
      <c r="D655" s="51" t="s">
        <v>1099</v>
      </c>
      <c r="E655" s="52" t="s">
        <v>747</v>
      </c>
    </row>
    <row r="656" spans="1:5">
      <c r="A656" s="49">
        <v>31636</v>
      </c>
      <c r="B656" s="49">
        <v>1</v>
      </c>
      <c r="C656" s="50" t="s">
        <v>3369</v>
      </c>
      <c r="D656" s="51" t="s">
        <v>1100</v>
      </c>
      <c r="E656" s="52" t="s">
        <v>747</v>
      </c>
    </row>
    <row r="657" spans="1:5">
      <c r="A657" s="49">
        <v>31637</v>
      </c>
      <c r="B657" s="49">
        <v>1</v>
      </c>
      <c r="C657" s="50" t="s">
        <v>3369</v>
      </c>
      <c r="D657" s="51" t="s">
        <v>1101</v>
      </c>
      <c r="E657" s="52" t="s">
        <v>747</v>
      </c>
    </row>
    <row r="658" spans="1:5">
      <c r="A658" s="49">
        <v>31638</v>
      </c>
      <c r="B658" s="49">
        <v>1</v>
      </c>
      <c r="C658" s="50" t="s">
        <v>3369</v>
      </c>
      <c r="D658" s="51" t="s">
        <v>1102</v>
      </c>
      <c r="E658" s="52" t="s">
        <v>747</v>
      </c>
    </row>
    <row r="659" spans="1:5">
      <c r="A659" s="49">
        <v>31639</v>
      </c>
      <c r="B659" s="49">
        <v>1</v>
      </c>
      <c r="C659" s="50" t="s">
        <v>3371</v>
      </c>
      <c r="D659" s="51" t="s">
        <v>1103</v>
      </c>
      <c r="E659" s="52" t="s">
        <v>751</v>
      </c>
    </row>
    <row r="660" spans="1:5">
      <c r="A660" s="49">
        <v>31640</v>
      </c>
      <c r="B660" s="49">
        <v>1</v>
      </c>
      <c r="C660" s="50" t="s">
        <v>3373</v>
      </c>
      <c r="D660" s="51" t="s">
        <v>1104</v>
      </c>
      <c r="E660" s="52" t="s">
        <v>991</v>
      </c>
    </row>
    <row r="661" spans="1:5">
      <c r="A661" s="49">
        <v>31641</v>
      </c>
      <c r="B661" s="49">
        <v>1</v>
      </c>
      <c r="C661" s="50" t="s">
        <v>3375</v>
      </c>
      <c r="D661" s="51" t="s">
        <v>1105</v>
      </c>
      <c r="E661" s="52" t="s">
        <v>787</v>
      </c>
    </row>
    <row r="662" spans="1:5">
      <c r="A662" s="49">
        <v>31642</v>
      </c>
      <c r="B662" s="49">
        <v>1</v>
      </c>
      <c r="C662" s="50" t="s">
        <v>3378</v>
      </c>
      <c r="D662" s="51" t="s">
        <v>1106</v>
      </c>
      <c r="E662" s="52" t="s">
        <v>795</v>
      </c>
    </row>
    <row r="663" spans="1:5">
      <c r="A663" s="49">
        <v>31643</v>
      </c>
      <c r="B663" s="49">
        <v>1</v>
      </c>
      <c r="C663" s="50" t="s">
        <v>3380</v>
      </c>
      <c r="D663" s="51" t="s">
        <v>1107</v>
      </c>
      <c r="E663" s="52" t="s">
        <v>811</v>
      </c>
    </row>
    <row r="664" spans="1:5">
      <c r="A664" s="1">
        <v>32001</v>
      </c>
      <c r="B664" s="1">
        <v>1</v>
      </c>
      <c r="C664" s="14" t="s">
        <v>3744</v>
      </c>
      <c r="D664" s="53" t="s">
        <v>1108</v>
      </c>
      <c r="E664" s="3" t="s">
        <v>717</v>
      </c>
    </row>
    <row r="665" spans="1:5">
      <c r="A665" s="1">
        <v>32002</v>
      </c>
      <c r="B665" s="1">
        <v>1</v>
      </c>
      <c r="C665" s="14" t="s">
        <v>3826</v>
      </c>
      <c r="D665" s="53" t="s">
        <v>1109</v>
      </c>
      <c r="E665" s="3" t="s">
        <v>1110</v>
      </c>
    </row>
    <row r="666" spans="1:5">
      <c r="A666" s="1">
        <v>32003</v>
      </c>
      <c r="B666" s="1">
        <v>1</v>
      </c>
      <c r="C666" s="14" t="s">
        <v>3827</v>
      </c>
      <c r="D666" s="53" t="s">
        <v>1111</v>
      </c>
      <c r="E666" s="3" t="s">
        <v>1112</v>
      </c>
    </row>
    <row r="667" spans="1:5">
      <c r="A667" s="1">
        <v>32004</v>
      </c>
      <c r="B667" s="1">
        <v>1</v>
      </c>
      <c r="C667" s="14" t="s">
        <v>3330</v>
      </c>
      <c r="D667" s="53" t="s">
        <v>1025</v>
      </c>
      <c r="E667" s="3" t="s">
        <v>1026</v>
      </c>
    </row>
    <row r="668" spans="1:5">
      <c r="A668" s="1">
        <v>32005</v>
      </c>
      <c r="B668" s="1">
        <v>1</v>
      </c>
      <c r="C668" s="14" t="s">
        <v>3335</v>
      </c>
      <c r="D668" s="53" t="s">
        <v>1113</v>
      </c>
      <c r="E668" s="3" t="s">
        <v>930</v>
      </c>
    </row>
    <row r="669" spans="1:5">
      <c r="A669" s="1">
        <v>32006</v>
      </c>
      <c r="B669" s="1">
        <v>1</v>
      </c>
      <c r="C669" s="14" t="s">
        <v>3828</v>
      </c>
      <c r="D669" s="53" t="s">
        <v>1114</v>
      </c>
      <c r="E669" s="3" t="s">
        <v>1115</v>
      </c>
    </row>
    <row r="670" spans="1:5">
      <c r="A670" s="1">
        <v>32007</v>
      </c>
      <c r="B670" s="1">
        <v>1</v>
      </c>
      <c r="C670" s="14" t="s">
        <v>3829</v>
      </c>
      <c r="D670" s="2" t="s">
        <v>596</v>
      </c>
      <c r="E670" s="3" t="s">
        <v>1116</v>
      </c>
    </row>
    <row r="671" spans="1:5">
      <c r="A671" s="1">
        <v>32008</v>
      </c>
      <c r="B671" s="1">
        <v>1</v>
      </c>
      <c r="C671" s="14" t="s">
        <v>3704</v>
      </c>
      <c r="D671" s="2" t="s">
        <v>1117</v>
      </c>
      <c r="E671" s="3" t="s">
        <v>597</v>
      </c>
    </row>
    <row r="672" spans="1:5">
      <c r="A672" s="1">
        <v>32009</v>
      </c>
      <c r="B672" s="1">
        <v>1</v>
      </c>
      <c r="C672" s="14" t="s">
        <v>3830</v>
      </c>
      <c r="D672" s="2" t="s">
        <v>1118</v>
      </c>
      <c r="E672" s="3" t="s">
        <v>1119</v>
      </c>
    </row>
    <row r="673" spans="1:5">
      <c r="A673" s="1">
        <v>32010</v>
      </c>
      <c r="B673" s="1">
        <v>1</v>
      </c>
      <c r="C673" s="14" t="s">
        <v>3831</v>
      </c>
      <c r="D673" s="2" t="s">
        <v>1120</v>
      </c>
      <c r="E673" s="3" t="s">
        <v>1121</v>
      </c>
    </row>
    <row r="674" spans="1:5">
      <c r="A674" s="1">
        <v>32011</v>
      </c>
      <c r="B674" s="1">
        <v>1</v>
      </c>
      <c r="C674" s="14" t="s">
        <v>3832</v>
      </c>
      <c r="D674" s="2" t="s">
        <v>1122</v>
      </c>
      <c r="E674" s="3" t="s">
        <v>1123</v>
      </c>
    </row>
    <row r="675" spans="1:5">
      <c r="A675" s="1">
        <v>32012</v>
      </c>
      <c r="B675" s="1">
        <v>1</v>
      </c>
      <c r="C675" s="14" t="s">
        <v>3833</v>
      </c>
      <c r="D675" s="2" t="s">
        <v>1124</v>
      </c>
      <c r="E675" s="3" t="s">
        <v>1125</v>
      </c>
    </row>
    <row r="676" spans="1:5">
      <c r="A676" s="1">
        <v>32013</v>
      </c>
      <c r="B676" s="1">
        <v>1</v>
      </c>
      <c r="C676" s="14" t="s">
        <v>3834</v>
      </c>
      <c r="D676" s="2" t="s">
        <v>1126</v>
      </c>
      <c r="E676" s="3" t="s">
        <v>1127</v>
      </c>
    </row>
    <row r="677" spans="1:5">
      <c r="A677" s="1">
        <v>32014</v>
      </c>
      <c r="B677" s="1">
        <v>1</v>
      </c>
      <c r="C677" s="14" t="s">
        <v>3835</v>
      </c>
      <c r="D677" s="2" t="s">
        <v>1128</v>
      </c>
      <c r="E677" s="3" t="s">
        <v>1129</v>
      </c>
    </row>
    <row r="678" spans="1:5">
      <c r="A678" s="1">
        <v>32015</v>
      </c>
      <c r="B678" s="1">
        <v>1</v>
      </c>
      <c r="C678" s="14" t="s">
        <v>3836</v>
      </c>
      <c r="D678" s="2" t="s">
        <v>1130</v>
      </c>
      <c r="E678" s="3" t="s">
        <v>1131</v>
      </c>
    </row>
    <row r="679" spans="1:5">
      <c r="A679" s="1">
        <v>32016</v>
      </c>
      <c r="B679" s="1">
        <v>1</v>
      </c>
      <c r="C679" s="14" t="s">
        <v>3837</v>
      </c>
      <c r="D679" s="2" t="s">
        <v>1132</v>
      </c>
      <c r="E679" s="3" t="s">
        <v>1133</v>
      </c>
    </row>
    <row r="680" spans="1:5">
      <c r="A680" s="1">
        <v>32017</v>
      </c>
      <c r="B680" s="1">
        <v>1</v>
      </c>
      <c r="C680" s="14" t="s">
        <v>3838</v>
      </c>
      <c r="D680" s="2" t="s">
        <v>1132</v>
      </c>
      <c r="E680" s="3" t="s">
        <v>1134</v>
      </c>
    </row>
    <row r="681" spans="1:5">
      <c r="A681" s="1">
        <v>32018</v>
      </c>
      <c r="B681" s="1">
        <v>1</v>
      </c>
      <c r="C681" s="14" t="s">
        <v>3839</v>
      </c>
      <c r="D681" s="2" t="s">
        <v>1132</v>
      </c>
      <c r="E681" s="3" t="s">
        <v>1135</v>
      </c>
    </row>
    <row r="682" spans="1:5">
      <c r="A682" s="1">
        <v>32019</v>
      </c>
      <c r="B682" s="1">
        <v>1</v>
      </c>
      <c r="C682" s="14" t="s">
        <v>3840</v>
      </c>
      <c r="D682" s="2" t="s">
        <v>1136</v>
      </c>
      <c r="E682" s="3" t="s">
        <v>1137</v>
      </c>
    </row>
    <row r="683" spans="1:5">
      <c r="A683" s="1">
        <v>32020</v>
      </c>
      <c r="B683" s="1">
        <v>1</v>
      </c>
      <c r="C683" s="14" t="s">
        <v>3841</v>
      </c>
      <c r="D683" s="2" t="s">
        <v>1136</v>
      </c>
      <c r="E683" s="3" t="s">
        <v>1138</v>
      </c>
    </row>
    <row r="684" spans="1:5">
      <c r="A684" s="1">
        <v>32021</v>
      </c>
      <c r="B684" s="1">
        <v>1</v>
      </c>
      <c r="C684" s="14" t="s">
        <v>3842</v>
      </c>
      <c r="D684" s="2" t="s">
        <v>1136</v>
      </c>
      <c r="E684" s="3" t="s">
        <v>1139</v>
      </c>
    </row>
    <row r="685" spans="1:5">
      <c r="A685" s="1">
        <v>32022</v>
      </c>
      <c r="B685" s="1">
        <v>1</v>
      </c>
      <c r="C685" s="14" t="s">
        <v>3843</v>
      </c>
      <c r="D685" s="2" t="s">
        <v>1136</v>
      </c>
      <c r="E685" s="3" t="s">
        <v>1140</v>
      </c>
    </row>
    <row r="686" spans="1:5">
      <c r="A686" s="1">
        <v>32023</v>
      </c>
      <c r="B686" s="1">
        <v>1</v>
      </c>
      <c r="C686" s="14" t="s">
        <v>3844</v>
      </c>
      <c r="D686" s="2" t="s">
        <v>1136</v>
      </c>
      <c r="E686" s="3" t="s">
        <v>1141</v>
      </c>
    </row>
    <row r="687" spans="1:5">
      <c r="A687" s="1">
        <v>32024</v>
      </c>
      <c r="B687" s="1">
        <v>1</v>
      </c>
      <c r="C687" s="14" t="s">
        <v>3845</v>
      </c>
      <c r="D687" s="2" t="s">
        <v>1136</v>
      </c>
      <c r="E687" s="3" t="s">
        <v>1142</v>
      </c>
    </row>
    <row r="688" spans="1:5">
      <c r="A688" s="1">
        <v>32025</v>
      </c>
      <c r="B688" s="1">
        <v>1</v>
      </c>
      <c r="C688" s="14" t="s">
        <v>3811</v>
      </c>
      <c r="D688" s="2" t="s">
        <v>1143</v>
      </c>
      <c r="E688" s="3" t="s">
        <v>979</v>
      </c>
    </row>
    <row r="689" spans="1:5">
      <c r="A689" s="1">
        <v>32026</v>
      </c>
      <c r="B689" s="1">
        <v>1</v>
      </c>
      <c r="C689" s="14" t="s">
        <v>3811</v>
      </c>
      <c r="D689" s="2" t="s">
        <v>1143</v>
      </c>
      <c r="E689" s="3" t="s">
        <v>979</v>
      </c>
    </row>
    <row r="690" spans="1:5">
      <c r="A690" s="1">
        <v>32027</v>
      </c>
      <c r="B690" s="1">
        <v>1</v>
      </c>
      <c r="C690" s="14" t="s">
        <v>3366</v>
      </c>
      <c r="D690" s="2" t="s">
        <v>1143</v>
      </c>
      <c r="E690" s="3" t="s">
        <v>981</v>
      </c>
    </row>
    <row r="691" spans="1:5">
      <c r="A691" s="1">
        <v>32028</v>
      </c>
      <c r="B691" s="1">
        <v>1</v>
      </c>
      <c r="C691" s="14" t="s">
        <v>3366</v>
      </c>
      <c r="D691" s="2" t="s">
        <v>1143</v>
      </c>
      <c r="E691" s="3" t="s">
        <v>981</v>
      </c>
    </row>
    <row r="692" spans="1:5">
      <c r="A692" s="1">
        <v>32029</v>
      </c>
      <c r="B692" s="1">
        <v>1</v>
      </c>
      <c r="C692" s="14" t="s">
        <v>3368</v>
      </c>
      <c r="D692" s="2" t="s">
        <v>1143</v>
      </c>
      <c r="E692" s="3" t="s">
        <v>983</v>
      </c>
    </row>
    <row r="693" spans="1:5">
      <c r="A693" s="1">
        <v>32030</v>
      </c>
      <c r="B693" s="1">
        <v>1</v>
      </c>
      <c r="C693" s="14" t="s">
        <v>3369</v>
      </c>
      <c r="D693" s="2" t="s">
        <v>1143</v>
      </c>
      <c r="E693" s="3" t="s">
        <v>747</v>
      </c>
    </row>
    <row r="694" spans="1:5">
      <c r="A694" s="1">
        <v>32031</v>
      </c>
      <c r="B694" s="1">
        <v>1</v>
      </c>
      <c r="C694" s="14" t="s">
        <v>3699</v>
      </c>
      <c r="D694" s="2" t="s">
        <v>1144</v>
      </c>
      <c r="E694" s="3" t="s">
        <v>628</v>
      </c>
    </row>
    <row r="695" spans="1:5">
      <c r="A695" s="1">
        <v>32032</v>
      </c>
      <c r="B695" s="1">
        <v>1</v>
      </c>
      <c r="C695" s="14" t="s">
        <v>3355</v>
      </c>
      <c r="D695" s="2" t="s">
        <v>1144</v>
      </c>
      <c r="E695" s="3" t="s">
        <v>599</v>
      </c>
    </row>
    <row r="696" spans="1:5">
      <c r="A696" s="1">
        <v>32033</v>
      </c>
      <c r="B696" s="1">
        <v>1</v>
      </c>
      <c r="C696" s="14" t="s">
        <v>3729</v>
      </c>
      <c r="D696" s="2" t="s">
        <v>1144</v>
      </c>
      <c r="E696" s="3" t="s">
        <v>653</v>
      </c>
    </row>
    <row r="697" spans="1:5">
      <c r="A697" s="1">
        <v>32034</v>
      </c>
      <c r="B697" s="1">
        <v>1</v>
      </c>
      <c r="C697" s="14" t="s">
        <v>3360</v>
      </c>
      <c r="D697" s="2" t="s">
        <v>1144</v>
      </c>
      <c r="E697" s="3" t="s">
        <v>604</v>
      </c>
    </row>
    <row r="698" spans="1:5">
      <c r="A698" s="1">
        <v>32035</v>
      </c>
      <c r="B698" s="1">
        <v>1</v>
      </c>
      <c r="C698" s="14" t="s">
        <v>3760</v>
      </c>
      <c r="D698" s="2" t="s">
        <v>1144</v>
      </c>
      <c r="E698" s="3" t="s">
        <v>789</v>
      </c>
    </row>
    <row r="699" spans="1:5">
      <c r="A699" s="1">
        <v>32036</v>
      </c>
      <c r="B699" s="1">
        <v>1</v>
      </c>
      <c r="C699" s="14" t="s">
        <v>3365</v>
      </c>
      <c r="D699" s="2" t="s">
        <v>1144</v>
      </c>
      <c r="E699" s="3" t="s">
        <v>793</v>
      </c>
    </row>
    <row r="700" spans="1:5">
      <c r="A700" s="1">
        <v>32037</v>
      </c>
      <c r="B700" s="1">
        <v>1</v>
      </c>
      <c r="C700" s="14" t="s">
        <v>3370</v>
      </c>
      <c r="D700" s="2" t="s">
        <v>1143</v>
      </c>
      <c r="E700" s="3" t="s">
        <v>986</v>
      </c>
    </row>
    <row r="701" spans="1:5">
      <c r="A701" s="1">
        <v>32038</v>
      </c>
      <c r="B701" s="1">
        <v>1</v>
      </c>
      <c r="C701" s="14" t="s">
        <v>3371</v>
      </c>
      <c r="D701" s="2" t="s">
        <v>1143</v>
      </c>
      <c r="E701" s="3" t="s">
        <v>751</v>
      </c>
    </row>
    <row r="702" spans="1:5">
      <c r="A702" s="1">
        <v>32039</v>
      </c>
      <c r="B702" s="1">
        <v>1</v>
      </c>
      <c r="C702" s="14" t="s">
        <v>3366</v>
      </c>
      <c r="D702" s="2" t="s">
        <v>1143</v>
      </c>
      <c r="E702" s="3" t="s">
        <v>981</v>
      </c>
    </row>
    <row r="703" spans="1:5">
      <c r="A703" s="1">
        <v>32040</v>
      </c>
      <c r="B703" s="1">
        <v>1</v>
      </c>
      <c r="C703" s="14" t="s">
        <v>3366</v>
      </c>
      <c r="D703" s="2" t="s">
        <v>1143</v>
      </c>
      <c r="E703" s="3" t="s">
        <v>981</v>
      </c>
    </row>
    <row r="704" spans="1:5">
      <c r="A704" s="1">
        <v>32041</v>
      </c>
      <c r="B704" s="1">
        <v>1</v>
      </c>
      <c r="C704" s="14" t="s">
        <v>3368</v>
      </c>
      <c r="D704" s="2" t="s">
        <v>1143</v>
      </c>
      <c r="E704" s="3" t="s">
        <v>983</v>
      </c>
    </row>
    <row r="705" spans="1:5">
      <c r="A705" s="1">
        <v>32042</v>
      </c>
      <c r="B705" s="1">
        <v>1</v>
      </c>
      <c r="C705" s="14" t="s">
        <v>3369</v>
      </c>
      <c r="D705" s="2" t="s">
        <v>1143</v>
      </c>
      <c r="E705" s="3" t="s">
        <v>747</v>
      </c>
    </row>
    <row r="706" spans="1:5">
      <c r="A706" s="1">
        <v>32043</v>
      </c>
      <c r="B706" s="1">
        <v>1</v>
      </c>
      <c r="C706" s="14" t="s">
        <v>3846</v>
      </c>
      <c r="D706" s="2" t="s">
        <v>1145</v>
      </c>
      <c r="E706" s="3" t="s">
        <v>1146</v>
      </c>
    </row>
    <row r="707" spans="1:5">
      <c r="A707" s="1">
        <v>32044</v>
      </c>
      <c r="B707" s="1">
        <v>1</v>
      </c>
      <c r="C707" s="14" t="s">
        <v>3847</v>
      </c>
      <c r="D707" s="2" t="s">
        <v>1145</v>
      </c>
      <c r="E707" s="3" t="s">
        <v>1147</v>
      </c>
    </row>
    <row r="708" spans="1:5">
      <c r="A708" s="1">
        <v>32045</v>
      </c>
      <c r="B708" s="1">
        <v>1</v>
      </c>
      <c r="C708" s="14" t="s">
        <v>3848</v>
      </c>
      <c r="D708" s="2" t="s">
        <v>1145</v>
      </c>
      <c r="E708" s="3" t="s">
        <v>1148</v>
      </c>
    </row>
    <row r="709" spans="1:5">
      <c r="A709" s="1">
        <v>32046</v>
      </c>
      <c r="B709" s="1">
        <v>1</v>
      </c>
      <c r="C709" s="14" t="s">
        <v>3849</v>
      </c>
      <c r="D709" s="2" t="s">
        <v>1145</v>
      </c>
      <c r="E709" s="3" t="s">
        <v>1149</v>
      </c>
    </row>
    <row r="710" spans="1:5">
      <c r="A710" s="1">
        <v>32047</v>
      </c>
      <c r="B710" s="1">
        <v>1</v>
      </c>
      <c r="C710" s="14" t="s">
        <v>3850</v>
      </c>
      <c r="D710" s="2" t="s">
        <v>1145</v>
      </c>
      <c r="E710" s="3" t="s">
        <v>1150</v>
      </c>
    </row>
    <row r="711" spans="1:5">
      <c r="A711" s="1">
        <v>32048</v>
      </c>
      <c r="B711" s="1">
        <v>1</v>
      </c>
      <c r="C711" s="14" t="s">
        <v>3851</v>
      </c>
      <c r="D711" s="2" t="s">
        <v>1151</v>
      </c>
      <c r="E711" s="3" t="s">
        <v>1152</v>
      </c>
    </row>
    <row r="712" spans="1:5">
      <c r="A712" s="1">
        <v>32049</v>
      </c>
      <c r="B712" s="1">
        <v>1</v>
      </c>
      <c r="C712" s="14" t="s">
        <v>3852</v>
      </c>
      <c r="D712" s="2" t="s">
        <v>1151</v>
      </c>
      <c r="E712" s="3" t="s">
        <v>1153</v>
      </c>
    </row>
    <row r="713" spans="1:5">
      <c r="A713" s="1">
        <v>32050</v>
      </c>
      <c r="B713" s="1">
        <v>1</v>
      </c>
      <c r="C713" s="14" t="s">
        <v>3853</v>
      </c>
      <c r="D713" s="2" t="s">
        <v>1151</v>
      </c>
      <c r="E713" s="3" t="s">
        <v>1154</v>
      </c>
    </row>
    <row r="714" spans="1:5">
      <c r="A714" s="1">
        <v>32051</v>
      </c>
      <c r="B714" s="1">
        <v>1</v>
      </c>
      <c r="C714" s="14" t="s">
        <v>3854</v>
      </c>
      <c r="D714" s="2" t="s">
        <v>1151</v>
      </c>
      <c r="E714" s="3" t="s">
        <v>1155</v>
      </c>
    </row>
    <row r="715" spans="1:5">
      <c r="A715" s="1">
        <v>32052</v>
      </c>
      <c r="B715" s="1">
        <v>1</v>
      </c>
      <c r="C715" s="14" t="s">
        <v>3855</v>
      </c>
      <c r="D715" s="2" t="s">
        <v>1151</v>
      </c>
      <c r="E715" s="3" t="s">
        <v>1156</v>
      </c>
    </row>
    <row r="716" spans="1:5">
      <c r="A716" s="1">
        <v>32053</v>
      </c>
      <c r="B716" s="1">
        <v>1</v>
      </c>
      <c r="C716" s="14" t="s">
        <v>3856</v>
      </c>
      <c r="D716" s="2" t="s">
        <v>1151</v>
      </c>
      <c r="E716" s="3" t="s">
        <v>1157</v>
      </c>
    </row>
    <row r="717" spans="1:5">
      <c r="A717" s="1">
        <v>32054</v>
      </c>
      <c r="B717" s="1">
        <v>1</v>
      </c>
      <c r="C717" s="14" t="s">
        <v>3857</v>
      </c>
      <c r="D717" s="2" t="s">
        <v>1158</v>
      </c>
      <c r="E717" s="3" t="s">
        <v>1159</v>
      </c>
    </row>
    <row r="718" spans="1:5">
      <c r="A718" s="1">
        <v>32055</v>
      </c>
      <c r="B718" s="1">
        <v>1</v>
      </c>
      <c r="C718" s="14" t="s">
        <v>3858</v>
      </c>
      <c r="D718" s="2" t="s">
        <v>1160</v>
      </c>
      <c r="E718" s="3" t="s">
        <v>1161</v>
      </c>
    </row>
    <row r="719" spans="1:5">
      <c r="A719" s="1">
        <v>32056</v>
      </c>
      <c r="B719" s="1">
        <v>1</v>
      </c>
      <c r="C719" s="14" t="s">
        <v>3859</v>
      </c>
      <c r="D719" s="2" t="s">
        <v>1162</v>
      </c>
      <c r="E719" s="3" t="s">
        <v>1163</v>
      </c>
    </row>
    <row r="720" spans="1:5">
      <c r="A720" s="1">
        <v>32057</v>
      </c>
      <c r="B720" s="1">
        <v>1</v>
      </c>
      <c r="C720" s="14" t="s">
        <v>3860</v>
      </c>
      <c r="D720" s="2" t="s">
        <v>1164</v>
      </c>
      <c r="E720" s="3" t="s">
        <v>1165</v>
      </c>
    </row>
    <row r="721" spans="1:5">
      <c r="A721" s="1">
        <v>32058</v>
      </c>
      <c r="B721" s="1">
        <v>1</v>
      </c>
      <c r="C721" s="14" t="s">
        <v>3861</v>
      </c>
      <c r="D721" s="2" t="s">
        <v>1166</v>
      </c>
      <c r="E721" s="3" t="s">
        <v>1167</v>
      </c>
    </row>
    <row r="722" spans="1:5">
      <c r="A722" s="1">
        <v>32059</v>
      </c>
      <c r="B722" s="1">
        <v>1</v>
      </c>
      <c r="C722" s="14" t="s">
        <v>3862</v>
      </c>
      <c r="D722" s="2" t="s">
        <v>1168</v>
      </c>
      <c r="E722" s="3" t="s">
        <v>1169</v>
      </c>
    </row>
    <row r="723" spans="1:5">
      <c r="A723" s="1">
        <v>32060</v>
      </c>
      <c r="B723" s="1">
        <v>1</v>
      </c>
      <c r="C723" s="14" t="s">
        <v>3366</v>
      </c>
      <c r="D723" s="2" t="s">
        <v>1170</v>
      </c>
      <c r="E723" s="3" t="s">
        <v>981</v>
      </c>
    </row>
    <row r="724" spans="1:5">
      <c r="A724" s="1">
        <v>32061</v>
      </c>
      <c r="B724" s="1">
        <v>1</v>
      </c>
      <c r="C724" s="14" t="s">
        <v>3369</v>
      </c>
      <c r="D724" s="2" t="s">
        <v>1171</v>
      </c>
      <c r="E724" s="3" t="s">
        <v>747</v>
      </c>
    </row>
    <row r="725" spans="1:5">
      <c r="A725" s="1">
        <v>32062</v>
      </c>
      <c r="B725" s="1">
        <v>1</v>
      </c>
      <c r="C725" s="14" t="s">
        <v>3371</v>
      </c>
      <c r="D725" s="2" t="s">
        <v>1172</v>
      </c>
      <c r="E725" s="3" t="s">
        <v>751</v>
      </c>
    </row>
    <row r="726" spans="1:5">
      <c r="A726" s="1">
        <v>32063</v>
      </c>
      <c r="B726" s="1">
        <v>1</v>
      </c>
      <c r="C726" s="14" t="s">
        <v>3375</v>
      </c>
      <c r="D726" s="2" t="s">
        <v>1173</v>
      </c>
      <c r="E726" s="3" t="s">
        <v>787</v>
      </c>
    </row>
    <row r="727" spans="1:5">
      <c r="A727" s="1">
        <v>32064</v>
      </c>
      <c r="B727" s="1">
        <v>1</v>
      </c>
      <c r="C727" s="14" t="s">
        <v>3382</v>
      </c>
      <c r="D727" s="2" t="s">
        <v>1174</v>
      </c>
      <c r="E727" s="3" t="s">
        <v>769</v>
      </c>
    </row>
    <row r="728" spans="1:5">
      <c r="A728" s="1">
        <v>32065</v>
      </c>
      <c r="B728" s="1">
        <v>1</v>
      </c>
      <c r="C728" s="14" t="s">
        <v>3393</v>
      </c>
      <c r="D728" s="2" t="s">
        <v>1175</v>
      </c>
      <c r="E728" s="3" t="s">
        <v>1176</v>
      </c>
    </row>
    <row r="729" spans="1:5">
      <c r="A729" s="1">
        <v>32066</v>
      </c>
      <c r="B729" s="1">
        <v>1</v>
      </c>
      <c r="C729" s="14" t="s">
        <v>3863</v>
      </c>
      <c r="D729" s="2" t="s">
        <v>1177</v>
      </c>
      <c r="E729" s="3" t="s">
        <v>1178</v>
      </c>
    </row>
    <row r="730" spans="1:5">
      <c r="A730" s="54">
        <v>33001</v>
      </c>
      <c r="B730" s="54">
        <v>1</v>
      </c>
      <c r="C730" s="14" t="s">
        <v>3864</v>
      </c>
      <c r="D730" s="55" t="s">
        <v>1179</v>
      </c>
      <c r="E730" s="148" t="s">
        <v>1180</v>
      </c>
    </row>
    <row r="731" spans="1:5">
      <c r="A731" s="22">
        <v>33002</v>
      </c>
      <c r="B731" s="22">
        <v>1</v>
      </c>
      <c r="C731" s="14" t="s">
        <v>3864</v>
      </c>
      <c r="D731" s="23" t="s">
        <v>1181</v>
      </c>
      <c r="E731" s="24" t="s">
        <v>1180</v>
      </c>
    </row>
    <row r="732" spans="1:5">
      <c r="A732" s="22">
        <v>33003</v>
      </c>
      <c r="B732" s="22">
        <v>1</v>
      </c>
      <c r="C732" s="14" t="s">
        <v>3864</v>
      </c>
      <c r="D732" s="23" t="s">
        <v>1182</v>
      </c>
      <c r="E732" s="24" t="s">
        <v>1180</v>
      </c>
    </row>
    <row r="733" spans="1:5">
      <c r="A733" s="22">
        <v>33004</v>
      </c>
      <c r="B733" s="22">
        <v>1</v>
      </c>
      <c r="C733" s="14" t="s">
        <v>3864</v>
      </c>
      <c r="D733" s="23" t="s">
        <v>1183</v>
      </c>
      <c r="E733" s="24" t="s">
        <v>1180</v>
      </c>
    </row>
    <row r="734" spans="1:5">
      <c r="A734" s="22">
        <v>33005</v>
      </c>
      <c r="B734" s="22">
        <v>1</v>
      </c>
      <c r="C734" s="14" t="s">
        <v>3865</v>
      </c>
      <c r="D734" s="23" t="s">
        <v>1184</v>
      </c>
      <c r="E734" s="24" t="s">
        <v>1185</v>
      </c>
    </row>
    <row r="735" spans="1:5">
      <c r="A735" s="22">
        <v>33006</v>
      </c>
      <c r="B735" s="22">
        <v>1</v>
      </c>
      <c r="C735" s="14" t="s">
        <v>3865</v>
      </c>
      <c r="D735" s="23" t="s">
        <v>1186</v>
      </c>
      <c r="E735" s="24" t="s">
        <v>1185</v>
      </c>
    </row>
    <row r="736" spans="1:5">
      <c r="A736" s="22">
        <v>33007</v>
      </c>
      <c r="B736" s="22">
        <v>1</v>
      </c>
      <c r="C736" s="14" t="s">
        <v>3865</v>
      </c>
      <c r="D736" s="23" t="s">
        <v>1187</v>
      </c>
      <c r="E736" s="24" t="s">
        <v>1185</v>
      </c>
    </row>
    <row r="737" spans="1:5">
      <c r="A737" s="22">
        <v>33008</v>
      </c>
      <c r="B737" s="22">
        <v>1</v>
      </c>
      <c r="C737" s="14" t="s">
        <v>3865</v>
      </c>
      <c r="D737" s="23" t="s">
        <v>1188</v>
      </c>
      <c r="E737" s="24" t="s">
        <v>1185</v>
      </c>
    </row>
    <row r="738" spans="1:5">
      <c r="A738" s="22">
        <v>33009</v>
      </c>
      <c r="B738" s="22">
        <v>1</v>
      </c>
      <c r="C738" s="14" t="s">
        <v>3866</v>
      </c>
      <c r="D738" s="23" t="s">
        <v>1189</v>
      </c>
      <c r="E738" s="24" t="s">
        <v>1190</v>
      </c>
    </row>
    <row r="739" spans="1:5">
      <c r="A739" s="22">
        <v>33010</v>
      </c>
      <c r="B739" s="22">
        <v>1</v>
      </c>
      <c r="C739" s="14" t="s">
        <v>3866</v>
      </c>
      <c r="D739" s="23" t="s">
        <v>1191</v>
      </c>
      <c r="E739" s="24" t="s">
        <v>1190</v>
      </c>
    </row>
    <row r="740" spans="1:5">
      <c r="A740" s="22">
        <v>33011</v>
      </c>
      <c r="B740" s="22">
        <v>1</v>
      </c>
      <c r="C740" s="14" t="s">
        <v>3866</v>
      </c>
      <c r="D740" s="23" t="s">
        <v>1192</v>
      </c>
      <c r="E740" s="24" t="s">
        <v>1190</v>
      </c>
    </row>
    <row r="741" spans="1:5">
      <c r="A741" s="22">
        <v>33012</v>
      </c>
      <c r="B741" s="22">
        <v>1</v>
      </c>
      <c r="C741" s="14" t="s">
        <v>3866</v>
      </c>
      <c r="D741" s="23" t="s">
        <v>1193</v>
      </c>
      <c r="E741" s="24" t="s">
        <v>1190</v>
      </c>
    </row>
    <row r="742" spans="1:5">
      <c r="A742" s="22">
        <v>33013</v>
      </c>
      <c r="B742" s="22">
        <v>1</v>
      </c>
      <c r="C742" s="14" t="s">
        <v>3867</v>
      </c>
      <c r="D742" s="23" t="s">
        <v>1194</v>
      </c>
      <c r="E742" s="24" t="s">
        <v>1195</v>
      </c>
    </row>
    <row r="743" spans="1:5">
      <c r="A743" s="22">
        <v>33014</v>
      </c>
      <c r="B743" s="22">
        <v>1</v>
      </c>
      <c r="C743" s="14" t="s">
        <v>3867</v>
      </c>
      <c r="D743" s="23" t="s">
        <v>1196</v>
      </c>
      <c r="E743" s="24" t="s">
        <v>1195</v>
      </c>
    </row>
    <row r="744" spans="1:5">
      <c r="A744" s="22">
        <v>33015</v>
      </c>
      <c r="B744" s="22">
        <v>1</v>
      </c>
      <c r="C744" s="14" t="s">
        <v>3867</v>
      </c>
      <c r="D744" s="23" t="s">
        <v>1197</v>
      </c>
      <c r="E744" s="24" t="s">
        <v>1195</v>
      </c>
    </row>
    <row r="745" spans="1:5">
      <c r="A745" s="22">
        <v>33016</v>
      </c>
      <c r="B745" s="22">
        <v>1</v>
      </c>
      <c r="C745" s="14" t="s">
        <v>3867</v>
      </c>
      <c r="D745" s="23" t="s">
        <v>1198</v>
      </c>
      <c r="E745" s="24" t="s">
        <v>1195</v>
      </c>
    </row>
    <row r="746" spans="1:5">
      <c r="A746" s="22">
        <v>33017</v>
      </c>
      <c r="B746" s="22">
        <v>1</v>
      </c>
      <c r="C746" s="14" t="s">
        <v>3868</v>
      </c>
      <c r="D746" s="23" t="s">
        <v>1199</v>
      </c>
      <c r="E746" s="24" t="s">
        <v>1200</v>
      </c>
    </row>
    <row r="747" spans="1:5">
      <c r="A747" s="22">
        <v>33018</v>
      </c>
      <c r="B747" s="22">
        <v>1</v>
      </c>
      <c r="C747" s="14" t="s">
        <v>3868</v>
      </c>
      <c r="D747" s="23" t="s">
        <v>1201</v>
      </c>
      <c r="E747" s="24" t="s">
        <v>1200</v>
      </c>
    </row>
    <row r="748" spans="1:5">
      <c r="A748" s="22">
        <v>33019</v>
      </c>
      <c r="B748" s="22">
        <v>1</v>
      </c>
      <c r="C748" s="14" t="s">
        <v>3868</v>
      </c>
      <c r="D748" s="23" t="s">
        <v>1202</v>
      </c>
      <c r="E748" s="24" t="s">
        <v>1200</v>
      </c>
    </row>
    <row r="749" spans="1:5">
      <c r="A749" s="22">
        <v>33020</v>
      </c>
      <c r="B749" s="22">
        <v>1</v>
      </c>
      <c r="C749" s="14" t="s">
        <v>3868</v>
      </c>
      <c r="D749" s="23" t="s">
        <v>1203</v>
      </c>
      <c r="E749" s="24" t="s">
        <v>1200</v>
      </c>
    </row>
    <row r="750" spans="1:5">
      <c r="A750" s="22">
        <v>33021</v>
      </c>
      <c r="B750" s="22">
        <v>1</v>
      </c>
      <c r="C750" s="14" t="s">
        <v>3869</v>
      </c>
      <c r="D750" s="23" t="s">
        <v>1204</v>
      </c>
      <c r="E750" s="24" t="s">
        <v>1205</v>
      </c>
    </row>
    <row r="751" spans="1:5">
      <c r="A751" s="22">
        <v>33022</v>
      </c>
      <c r="B751" s="22">
        <v>1</v>
      </c>
      <c r="C751" s="14" t="s">
        <v>3869</v>
      </c>
      <c r="D751" s="23" t="s">
        <v>1206</v>
      </c>
      <c r="E751" s="24" t="s">
        <v>1205</v>
      </c>
    </row>
    <row r="752" spans="1:5">
      <c r="A752" s="22">
        <v>33023</v>
      </c>
      <c r="B752" s="22">
        <v>1</v>
      </c>
      <c r="C752" s="14" t="s">
        <v>3869</v>
      </c>
      <c r="D752" s="23" t="s">
        <v>1207</v>
      </c>
      <c r="E752" s="24" t="s">
        <v>1205</v>
      </c>
    </row>
    <row r="753" spans="1:5">
      <c r="A753" s="22">
        <v>33024</v>
      </c>
      <c r="B753" s="22">
        <v>1</v>
      </c>
      <c r="C753" s="14" t="s">
        <v>3869</v>
      </c>
      <c r="D753" s="23" t="s">
        <v>1208</v>
      </c>
      <c r="E753" s="24" t="s">
        <v>1205</v>
      </c>
    </row>
    <row r="754" spans="1:5">
      <c r="A754" s="22">
        <v>33025</v>
      </c>
      <c r="B754" s="22">
        <v>1</v>
      </c>
      <c r="C754" s="14" t="s">
        <v>3870</v>
      </c>
      <c r="D754" s="23" t="s">
        <v>1209</v>
      </c>
      <c r="E754" s="24" t="s">
        <v>1210</v>
      </c>
    </row>
    <row r="755" spans="1:5">
      <c r="A755" s="22">
        <v>33026</v>
      </c>
      <c r="B755" s="22">
        <v>1</v>
      </c>
      <c r="C755" s="14" t="s">
        <v>3870</v>
      </c>
      <c r="D755" s="23" t="s">
        <v>1211</v>
      </c>
      <c r="E755" s="24" t="s">
        <v>1210</v>
      </c>
    </row>
    <row r="756" spans="1:5">
      <c r="A756" s="22">
        <v>33027</v>
      </c>
      <c r="B756" s="22">
        <v>1</v>
      </c>
      <c r="C756" s="14" t="s">
        <v>3870</v>
      </c>
      <c r="D756" s="23" t="s">
        <v>1212</v>
      </c>
      <c r="E756" s="24" t="s">
        <v>1210</v>
      </c>
    </row>
    <row r="757" spans="1:5">
      <c r="A757" s="22">
        <v>33028</v>
      </c>
      <c r="B757" s="22">
        <v>1</v>
      </c>
      <c r="C757" s="14" t="s">
        <v>3870</v>
      </c>
      <c r="D757" s="23" t="s">
        <v>1213</v>
      </c>
      <c r="E757" s="24" t="s">
        <v>1210</v>
      </c>
    </row>
    <row r="758" spans="1:5">
      <c r="A758" s="22">
        <v>33029</v>
      </c>
      <c r="B758" s="22">
        <v>1</v>
      </c>
      <c r="C758" s="14" t="s">
        <v>3871</v>
      </c>
      <c r="D758" s="23" t="s">
        <v>1214</v>
      </c>
      <c r="E758" s="24" t="s">
        <v>1215</v>
      </c>
    </row>
    <row r="759" spans="1:5">
      <c r="A759" s="22">
        <v>33030</v>
      </c>
      <c r="B759" s="22">
        <v>1</v>
      </c>
      <c r="C759" s="14" t="s">
        <v>3871</v>
      </c>
      <c r="D759" s="23" t="s">
        <v>1216</v>
      </c>
      <c r="E759" s="24" t="s">
        <v>1215</v>
      </c>
    </row>
    <row r="760" spans="1:5">
      <c r="A760" s="22">
        <v>33031</v>
      </c>
      <c r="B760" s="22">
        <v>1</v>
      </c>
      <c r="C760" s="14" t="s">
        <v>3871</v>
      </c>
      <c r="D760" s="23" t="s">
        <v>1217</v>
      </c>
      <c r="E760" s="24" t="s">
        <v>1215</v>
      </c>
    </row>
    <row r="761" spans="1:5">
      <c r="A761" s="22">
        <v>33032</v>
      </c>
      <c r="B761" s="22">
        <v>1</v>
      </c>
      <c r="C761" s="14" t="s">
        <v>3871</v>
      </c>
      <c r="D761" s="23" t="s">
        <v>1218</v>
      </c>
      <c r="E761" s="24" t="s">
        <v>1215</v>
      </c>
    </row>
    <row r="762" spans="1:5">
      <c r="A762" s="22">
        <v>33033</v>
      </c>
      <c r="B762" s="22">
        <v>1</v>
      </c>
      <c r="C762" s="14" t="s">
        <v>3872</v>
      </c>
      <c r="D762" s="23" t="s">
        <v>1219</v>
      </c>
      <c r="E762" s="24" t="s">
        <v>1220</v>
      </c>
    </row>
    <row r="763" spans="1:5">
      <c r="A763" s="22">
        <v>33034</v>
      </c>
      <c r="B763" s="22">
        <v>1</v>
      </c>
      <c r="C763" s="14" t="s">
        <v>3872</v>
      </c>
      <c r="D763" s="23" t="s">
        <v>1221</v>
      </c>
      <c r="E763" s="24" t="s">
        <v>1220</v>
      </c>
    </row>
    <row r="764" spans="1:5">
      <c r="A764" s="22">
        <v>33035</v>
      </c>
      <c r="B764" s="22">
        <v>1</v>
      </c>
      <c r="C764" s="14" t="s">
        <v>3872</v>
      </c>
      <c r="D764" s="23" t="s">
        <v>1222</v>
      </c>
      <c r="E764" s="24" t="s">
        <v>1220</v>
      </c>
    </row>
    <row r="765" spans="1:5">
      <c r="A765" s="22">
        <v>33036</v>
      </c>
      <c r="B765" s="22">
        <v>1</v>
      </c>
      <c r="C765" s="14" t="s">
        <v>3872</v>
      </c>
      <c r="D765" s="23" t="s">
        <v>1223</v>
      </c>
      <c r="E765" s="24" t="s">
        <v>1220</v>
      </c>
    </row>
    <row r="766" spans="1:5">
      <c r="A766" s="22">
        <v>33037</v>
      </c>
      <c r="B766" s="22">
        <v>1</v>
      </c>
      <c r="C766" s="14" t="s">
        <v>3873</v>
      </c>
      <c r="D766" s="23" t="s">
        <v>1224</v>
      </c>
      <c r="E766" s="24" t="s">
        <v>1225</v>
      </c>
    </row>
    <row r="767" spans="1:5">
      <c r="A767" s="22">
        <v>33038</v>
      </c>
      <c r="B767" s="22">
        <v>1</v>
      </c>
      <c r="C767" s="14" t="s">
        <v>3873</v>
      </c>
      <c r="D767" s="23" t="s">
        <v>1226</v>
      </c>
      <c r="E767" s="24" t="s">
        <v>1225</v>
      </c>
    </row>
    <row r="768" spans="1:5">
      <c r="A768" s="22">
        <v>33039</v>
      </c>
      <c r="B768" s="22">
        <v>1</v>
      </c>
      <c r="C768" s="14" t="s">
        <v>3873</v>
      </c>
      <c r="D768" s="23" t="s">
        <v>1227</v>
      </c>
      <c r="E768" s="24" t="s">
        <v>1225</v>
      </c>
    </row>
    <row r="769" spans="1:5">
      <c r="A769" s="22">
        <v>33040</v>
      </c>
      <c r="B769" s="22">
        <v>1</v>
      </c>
      <c r="C769" s="14" t="s">
        <v>3873</v>
      </c>
      <c r="D769" s="23" t="s">
        <v>1228</v>
      </c>
      <c r="E769" s="24" t="s">
        <v>1225</v>
      </c>
    </row>
    <row r="770" spans="1:5">
      <c r="A770" s="22">
        <v>33041</v>
      </c>
      <c r="B770" s="22">
        <v>1</v>
      </c>
      <c r="C770" s="14" t="s">
        <v>3874</v>
      </c>
      <c r="D770" s="23" t="s">
        <v>1229</v>
      </c>
      <c r="E770" s="24" t="s">
        <v>1230</v>
      </c>
    </row>
    <row r="771" spans="1:5">
      <c r="A771" s="22">
        <v>33042</v>
      </c>
      <c r="B771" s="22">
        <v>1</v>
      </c>
      <c r="C771" s="14" t="s">
        <v>3874</v>
      </c>
      <c r="D771" s="23" t="s">
        <v>1231</v>
      </c>
      <c r="E771" s="24" t="s">
        <v>1230</v>
      </c>
    </row>
    <row r="772" spans="1:5">
      <c r="A772" s="22">
        <v>33043</v>
      </c>
      <c r="B772" s="22">
        <v>1</v>
      </c>
      <c r="C772" s="14" t="s">
        <v>3874</v>
      </c>
      <c r="D772" s="23" t="s">
        <v>1232</v>
      </c>
      <c r="E772" s="24" t="s">
        <v>1230</v>
      </c>
    </row>
    <row r="773" spans="1:5">
      <c r="A773" s="22">
        <v>33044</v>
      </c>
      <c r="B773" s="22">
        <v>1</v>
      </c>
      <c r="C773" s="14" t="s">
        <v>3874</v>
      </c>
      <c r="D773" s="23" t="s">
        <v>1233</v>
      </c>
      <c r="E773" s="24" t="s">
        <v>1230</v>
      </c>
    </row>
    <row r="774" spans="1:5">
      <c r="A774" s="22">
        <v>33045</v>
      </c>
      <c r="B774" s="22">
        <v>1</v>
      </c>
      <c r="C774" s="14" t="s">
        <v>3875</v>
      </c>
      <c r="D774" s="23" t="s">
        <v>1234</v>
      </c>
      <c r="E774" s="24" t="s">
        <v>1235</v>
      </c>
    </row>
    <row r="775" spans="1:5">
      <c r="A775" s="22">
        <v>33046</v>
      </c>
      <c r="B775" s="22">
        <v>1</v>
      </c>
      <c r="C775" s="14" t="s">
        <v>3875</v>
      </c>
      <c r="D775" s="23" t="s">
        <v>1236</v>
      </c>
      <c r="E775" s="24" t="s">
        <v>1235</v>
      </c>
    </row>
    <row r="776" spans="1:5">
      <c r="A776" s="22">
        <v>33047</v>
      </c>
      <c r="B776" s="22">
        <v>1</v>
      </c>
      <c r="C776" s="14" t="s">
        <v>3875</v>
      </c>
      <c r="D776" s="23" t="s">
        <v>1237</v>
      </c>
      <c r="E776" s="24" t="s">
        <v>1235</v>
      </c>
    </row>
    <row r="777" spans="1:5">
      <c r="A777" s="22">
        <v>33048</v>
      </c>
      <c r="B777" s="22">
        <v>1</v>
      </c>
      <c r="C777" s="14" t="s">
        <v>3875</v>
      </c>
      <c r="D777" s="23" t="s">
        <v>1238</v>
      </c>
      <c r="E777" s="24" t="s">
        <v>1235</v>
      </c>
    </row>
    <row r="778" spans="1:5">
      <c r="A778" s="22">
        <v>33049</v>
      </c>
      <c r="B778" s="22">
        <v>1</v>
      </c>
      <c r="C778" s="14" t="s">
        <v>3876</v>
      </c>
      <c r="D778" s="23" t="s">
        <v>1239</v>
      </c>
      <c r="E778" s="24" t="s">
        <v>1240</v>
      </c>
    </row>
    <row r="779" spans="1:5">
      <c r="A779" s="22">
        <v>33050</v>
      </c>
      <c r="B779" s="22">
        <v>1</v>
      </c>
      <c r="C779" s="14" t="s">
        <v>3876</v>
      </c>
      <c r="D779" s="23" t="s">
        <v>1241</v>
      </c>
      <c r="E779" s="24" t="s">
        <v>1240</v>
      </c>
    </row>
    <row r="780" spans="1:5">
      <c r="A780" s="22">
        <v>33051</v>
      </c>
      <c r="B780" s="22">
        <v>1</v>
      </c>
      <c r="C780" s="14" t="s">
        <v>3876</v>
      </c>
      <c r="D780" s="23" t="s">
        <v>1242</v>
      </c>
      <c r="E780" s="24" t="s">
        <v>1240</v>
      </c>
    </row>
    <row r="781" spans="1:5">
      <c r="A781" s="22">
        <v>33052</v>
      </c>
      <c r="B781" s="22">
        <v>1</v>
      </c>
      <c r="C781" s="14" t="s">
        <v>3876</v>
      </c>
      <c r="D781" s="23" t="s">
        <v>1243</v>
      </c>
      <c r="E781" s="24" t="s">
        <v>1240</v>
      </c>
    </row>
    <row r="782" spans="1:5">
      <c r="A782" s="22">
        <v>33053</v>
      </c>
      <c r="B782" s="22">
        <v>1</v>
      </c>
      <c r="C782" s="14" t="s">
        <v>3877</v>
      </c>
      <c r="D782" s="23" t="s">
        <v>1244</v>
      </c>
      <c r="E782" s="24" t="s">
        <v>1245</v>
      </c>
    </row>
    <row r="783" spans="1:5">
      <c r="A783" s="22">
        <v>33054</v>
      </c>
      <c r="B783" s="22">
        <v>1</v>
      </c>
      <c r="C783" s="14" t="s">
        <v>3877</v>
      </c>
      <c r="D783" s="23" t="s">
        <v>1246</v>
      </c>
      <c r="E783" s="24" t="s">
        <v>1245</v>
      </c>
    </row>
    <row r="784" spans="1:5">
      <c r="A784" s="22">
        <v>33055</v>
      </c>
      <c r="B784" s="22">
        <v>1</v>
      </c>
      <c r="C784" s="14" t="s">
        <v>3877</v>
      </c>
      <c r="D784" s="23" t="s">
        <v>1247</v>
      </c>
      <c r="E784" s="24" t="s">
        <v>1245</v>
      </c>
    </row>
    <row r="785" spans="1:5">
      <c r="A785" s="22">
        <v>33056</v>
      </c>
      <c r="B785" s="22">
        <v>1</v>
      </c>
      <c r="C785" s="14" t="s">
        <v>3877</v>
      </c>
      <c r="D785" s="23" t="s">
        <v>1248</v>
      </c>
      <c r="E785" s="24" t="s">
        <v>1245</v>
      </c>
    </row>
    <row r="786" spans="1:5">
      <c r="A786" s="22">
        <v>33057</v>
      </c>
      <c r="B786" s="22">
        <v>1</v>
      </c>
      <c r="C786" s="14" t="s">
        <v>3878</v>
      </c>
      <c r="D786" s="23" t="s">
        <v>1249</v>
      </c>
      <c r="E786" s="24" t="s">
        <v>1250</v>
      </c>
    </row>
    <row r="787" spans="1:5">
      <c r="A787" s="22">
        <v>33058</v>
      </c>
      <c r="B787" s="22">
        <v>1</v>
      </c>
      <c r="C787" s="14" t="s">
        <v>3878</v>
      </c>
      <c r="D787" s="23" t="s">
        <v>1251</v>
      </c>
      <c r="E787" s="24" t="s">
        <v>1250</v>
      </c>
    </row>
    <row r="788" spans="1:5">
      <c r="A788" s="22">
        <v>33059</v>
      </c>
      <c r="B788" s="22">
        <v>1</v>
      </c>
      <c r="C788" s="14" t="s">
        <v>3878</v>
      </c>
      <c r="D788" s="23" t="s">
        <v>1252</v>
      </c>
      <c r="E788" s="24" t="s">
        <v>1250</v>
      </c>
    </row>
    <row r="789" spans="1:5">
      <c r="A789" s="22">
        <v>33060</v>
      </c>
      <c r="B789" s="22">
        <v>1</v>
      </c>
      <c r="C789" s="14" t="s">
        <v>3878</v>
      </c>
      <c r="D789" s="23" t="s">
        <v>1253</v>
      </c>
      <c r="E789" s="24" t="s">
        <v>1250</v>
      </c>
    </row>
    <row r="790" spans="1:5">
      <c r="A790" s="22">
        <v>33061</v>
      </c>
      <c r="B790" s="22">
        <v>1</v>
      </c>
      <c r="C790" s="14" t="s">
        <v>3879</v>
      </c>
      <c r="D790" s="23" t="s">
        <v>1254</v>
      </c>
      <c r="E790" s="24" t="s">
        <v>1255</v>
      </c>
    </row>
    <row r="791" spans="1:5">
      <c r="A791" s="22">
        <v>33062</v>
      </c>
      <c r="B791" s="22">
        <v>1</v>
      </c>
      <c r="C791" s="14" t="s">
        <v>3879</v>
      </c>
      <c r="D791" s="23" t="s">
        <v>1234</v>
      </c>
      <c r="E791" s="24" t="s">
        <v>1255</v>
      </c>
    </row>
    <row r="792" spans="1:5">
      <c r="A792" s="22">
        <v>33063</v>
      </c>
      <c r="B792" s="22">
        <v>1</v>
      </c>
      <c r="C792" s="14" t="s">
        <v>3879</v>
      </c>
      <c r="D792" s="23" t="s">
        <v>1236</v>
      </c>
      <c r="E792" s="24" t="s">
        <v>1255</v>
      </c>
    </row>
    <row r="793" spans="1:5">
      <c r="A793" s="22">
        <v>33064</v>
      </c>
      <c r="B793" s="22">
        <v>1</v>
      </c>
      <c r="C793" s="14" t="s">
        <v>3879</v>
      </c>
      <c r="D793" s="23" t="s">
        <v>1237</v>
      </c>
      <c r="E793" s="24" t="s">
        <v>1255</v>
      </c>
    </row>
    <row r="794" spans="1:5">
      <c r="A794" s="22">
        <v>33065</v>
      </c>
      <c r="B794" s="22">
        <v>1</v>
      </c>
      <c r="C794" s="14" t="s">
        <v>3880</v>
      </c>
      <c r="D794" s="23" t="s">
        <v>1238</v>
      </c>
      <c r="E794" s="24" t="s">
        <v>1256</v>
      </c>
    </row>
    <row r="795" spans="1:5">
      <c r="A795" s="22">
        <v>33066</v>
      </c>
      <c r="B795" s="22">
        <v>1</v>
      </c>
      <c r="C795" s="14" t="s">
        <v>3880</v>
      </c>
      <c r="D795" s="23" t="s">
        <v>1239</v>
      </c>
      <c r="E795" s="24" t="s">
        <v>1256</v>
      </c>
    </row>
    <row r="796" spans="1:5">
      <c r="A796" s="22">
        <v>33067</v>
      </c>
      <c r="B796" s="22">
        <v>1</v>
      </c>
      <c r="C796" s="14" t="s">
        <v>3880</v>
      </c>
      <c r="D796" s="23" t="s">
        <v>1241</v>
      </c>
      <c r="E796" s="24" t="s">
        <v>1256</v>
      </c>
    </row>
    <row r="797" spans="1:5">
      <c r="A797" s="22">
        <v>33068</v>
      </c>
      <c r="B797" s="22">
        <v>1</v>
      </c>
      <c r="C797" s="14" t="s">
        <v>3880</v>
      </c>
      <c r="D797" s="23" t="s">
        <v>1242</v>
      </c>
      <c r="E797" s="24" t="s">
        <v>1256</v>
      </c>
    </row>
    <row r="798" spans="1:5">
      <c r="A798" s="22">
        <v>33069</v>
      </c>
      <c r="B798" s="22">
        <v>1</v>
      </c>
      <c r="C798" s="14" t="s">
        <v>3881</v>
      </c>
      <c r="D798" s="23" t="s">
        <v>1243</v>
      </c>
      <c r="E798" s="24" t="s">
        <v>1257</v>
      </c>
    </row>
    <row r="799" spans="1:5">
      <c r="A799" s="22">
        <v>33070</v>
      </c>
      <c r="B799" s="22">
        <v>1</v>
      </c>
      <c r="C799" s="14" t="s">
        <v>3881</v>
      </c>
      <c r="D799" s="23" t="s">
        <v>1244</v>
      </c>
      <c r="E799" s="24" t="s">
        <v>1257</v>
      </c>
    </row>
    <row r="800" spans="1:5">
      <c r="A800" s="22">
        <v>33071</v>
      </c>
      <c r="B800" s="22">
        <v>1</v>
      </c>
      <c r="C800" s="14" t="s">
        <v>3881</v>
      </c>
      <c r="D800" s="23" t="s">
        <v>1246</v>
      </c>
      <c r="E800" s="24" t="s">
        <v>1257</v>
      </c>
    </row>
    <row r="801" spans="1:5">
      <c r="A801" s="22">
        <v>33072</v>
      </c>
      <c r="B801" s="22">
        <v>1</v>
      </c>
      <c r="C801" s="14" t="s">
        <v>3881</v>
      </c>
      <c r="D801" s="23" t="s">
        <v>1247</v>
      </c>
      <c r="E801" s="24" t="s">
        <v>1257</v>
      </c>
    </row>
    <row r="802" spans="1:5">
      <c r="A802" s="22">
        <v>33073</v>
      </c>
      <c r="B802" s="22">
        <v>1</v>
      </c>
      <c r="C802" s="14" t="s">
        <v>3882</v>
      </c>
      <c r="D802" s="23" t="s">
        <v>1248</v>
      </c>
      <c r="E802" s="24" t="s">
        <v>1258</v>
      </c>
    </row>
    <row r="803" spans="1:5">
      <c r="A803" s="22">
        <v>33074</v>
      </c>
      <c r="B803" s="22">
        <v>1</v>
      </c>
      <c r="C803" s="14" t="s">
        <v>3882</v>
      </c>
      <c r="D803" s="23" t="s">
        <v>1249</v>
      </c>
      <c r="E803" s="24" t="s">
        <v>1258</v>
      </c>
    </row>
    <row r="804" spans="1:5">
      <c r="A804" s="22">
        <v>33075</v>
      </c>
      <c r="B804" s="22">
        <v>1</v>
      </c>
      <c r="C804" s="14" t="s">
        <v>3882</v>
      </c>
      <c r="D804" s="23" t="s">
        <v>1251</v>
      </c>
      <c r="E804" s="24" t="s">
        <v>1258</v>
      </c>
    </row>
    <row r="805" spans="1:5">
      <c r="A805" s="56">
        <v>34001</v>
      </c>
      <c r="B805" s="56">
        <v>1</v>
      </c>
      <c r="C805" s="14" t="s">
        <v>3883</v>
      </c>
      <c r="D805" s="57" t="s">
        <v>1259</v>
      </c>
      <c r="E805" s="58" t="s">
        <v>1260</v>
      </c>
    </row>
    <row r="806" spans="1:5">
      <c r="A806" s="56">
        <v>34002</v>
      </c>
      <c r="B806" s="56">
        <v>1</v>
      </c>
      <c r="C806" s="14" t="s">
        <v>3884</v>
      </c>
      <c r="D806" s="57" t="s">
        <v>1261</v>
      </c>
      <c r="E806" s="58" t="s">
        <v>1262</v>
      </c>
    </row>
    <row r="807" spans="1:5">
      <c r="A807" s="56">
        <v>34003</v>
      </c>
      <c r="B807" s="56">
        <v>1</v>
      </c>
      <c r="C807" s="14" t="s">
        <v>3885</v>
      </c>
      <c r="D807" s="59" t="s">
        <v>1263</v>
      </c>
      <c r="E807" s="58" t="s">
        <v>1264</v>
      </c>
    </row>
    <row r="808" spans="1:5">
      <c r="A808" s="56">
        <v>34004</v>
      </c>
      <c r="B808" s="56">
        <v>1</v>
      </c>
      <c r="C808" s="14" t="s">
        <v>3886</v>
      </c>
      <c r="D808" s="59" t="s">
        <v>1265</v>
      </c>
      <c r="E808" s="58" t="s">
        <v>1266</v>
      </c>
    </row>
    <row r="809" spans="1:5">
      <c r="A809" s="60">
        <v>34005</v>
      </c>
      <c r="B809" s="60">
        <v>1</v>
      </c>
      <c r="C809" s="14" t="s">
        <v>3887</v>
      </c>
      <c r="D809" s="61" t="s">
        <v>1267</v>
      </c>
      <c r="E809" s="62" t="s">
        <v>1268</v>
      </c>
    </row>
    <row r="810" spans="1:5">
      <c r="A810" s="60">
        <v>34006</v>
      </c>
      <c r="B810" s="60">
        <v>1</v>
      </c>
      <c r="C810" s="14" t="s">
        <v>3888</v>
      </c>
      <c r="D810" s="61" t="s">
        <v>1269</v>
      </c>
      <c r="E810" s="62" t="s">
        <v>1270</v>
      </c>
    </row>
    <row r="811" spans="1:5">
      <c r="A811" s="60">
        <v>34007</v>
      </c>
      <c r="B811" s="60">
        <v>1</v>
      </c>
      <c r="C811" s="14" t="s">
        <v>3889</v>
      </c>
      <c r="D811" s="61" t="s">
        <v>1271</v>
      </c>
      <c r="E811" s="62" t="s">
        <v>1272</v>
      </c>
    </row>
    <row r="812" spans="1:5">
      <c r="A812" s="63">
        <v>34100</v>
      </c>
      <c r="B812" s="63">
        <v>1</v>
      </c>
      <c r="C812" s="14" t="s">
        <v>3890</v>
      </c>
      <c r="D812" s="64" t="s">
        <v>1273</v>
      </c>
      <c r="E812" s="65" t="s">
        <v>1274</v>
      </c>
    </row>
    <row r="813" spans="1:5">
      <c r="A813" s="63">
        <v>34101</v>
      </c>
      <c r="B813" s="63">
        <v>1</v>
      </c>
      <c r="C813" s="14" t="s">
        <v>3891</v>
      </c>
      <c r="D813" s="64" t="s">
        <v>1275</v>
      </c>
      <c r="E813" s="65" t="s">
        <v>1276</v>
      </c>
    </row>
    <row r="814" spans="1:5">
      <c r="A814" s="63">
        <v>34102</v>
      </c>
      <c r="B814" s="63">
        <v>1</v>
      </c>
      <c r="C814" s="14" t="s">
        <v>3709</v>
      </c>
      <c r="D814" s="64" t="s">
        <v>1277</v>
      </c>
      <c r="E814" s="65" t="s">
        <v>612</v>
      </c>
    </row>
    <row r="815" spans="1:5">
      <c r="A815" s="63">
        <v>34103</v>
      </c>
      <c r="B815" s="63">
        <v>1</v>
      </c>
      <c r="C815" s="14" t="s">
        <v>3892</v>
      </c>
      <c r="D815" s="64" t="s">
        <v>1278</v>
      </c>
      <c r="E815" s="65" t="s">
        <v>1279</v>
      </c>
    </row>
    <row r="816" spans="1:5">
      <c r="A816" s="63">
        <v>34104</v>
      </c>
      <c r="B816" s="63">
        <v>1</v>
      </c>
      <c r="C816" s="14" t="s">
        <v>3350</v>
      </c>
      <c r="D816" s="64" t="s">
        <v>1280</v>
      </c>
      <c r="E816" s="65" t="s">
        <v>616</v>
      </c>
    </row>
    <row r="817" spans="1:5">
      <c r="A817" s="63">
        <v>34105</v>
      </c>
      <c r="B817" s="63">
        <v>1</v>
      </c>
      <c r="C817" s="14" t="s">
        <v>3893</v>
      </c>
      <c r="D817" s="64" t="s">
        <v>1281</v>
      </c>
      <c r="E817" s="65" t="s">
        <v>1282</v>
      </c>
    </row>
    <row r="818" spans="1:5">
      <c r="A818" s="63">
        <v>34106</v>
      </c>
      <c r="B818" s="63">
        <v>1</v>
      </c>
      <c r="C818" s="14" t="s">
        <v>3713</v>
      </c>
      <c r="D818" s="64" t="s">
        <v>1283</v>
      </c>
      <c r="E818" s="65" t="s">
        <v>621</v>
      </c>
    </row>
    <row r="819" spans="1:5">
      <c r="A819" s="63">
        <v>34107</v>
      </c>
      <c r="B819" s="63">
        <v>1</v>
      </c>
      <c r="C819" s="14" t="s">
        <v>3894</v>
      </c>
      <c r="D819" s="64" t="s">
        <v>1284</v>
      </c>
      <c r="E819" s="65" t="s">
        <v>1285</v>
      </c>
    </row>
    <row r="820" spans="1:5">
      <c r="A820" s="63">
        <v>34108</v>
      </c>
      <c r="B820" s="63">
        <v>1</v>
      </c>
      <c r="C820" s="14" t="s">
        <v>3352</v>
      </c>
      <c r="D820" s="64" t="s">
        <v>1286</v>
      </c>
      <c r="E820" s="65" t="s">
        <v>713</v>
      </c>
    </row>
    <row r="821" spans="1:5">
      <c r="A821" s="63">
        <v>34109</v>
      </c>
      <c r="B821" s="63">
        <v>1</v>
      </c>
      <c r="C821" s="14" t="s">
        <v>3895</v>
      </c>
      <c r="D821" s="64" t="s">
        <v>1287</v>
      </c>
      <c r="E821" s="65" t="s">
        <v>1288</v>
      </c>
    </row>
    <row r="822" spans="1:5">
      <c r="A822" s="63">
        <v>34110</v>
      </c>
      <c r="B822" s="63">
        <v>1</v>
      </c>
      <c r="C822" s="14" t="s">
        <v>3699</v>
      </c>
      <c r="D822" s="64" t="s">
        <v>1289</v>
      </c>
      <c r="E822" s="65" t="s">
        <v>628</v>
      </c>
    </row>
    <row r="823" spans="1:5">
      <c r="A823" s="63">
        <v>34111</v>
      </c>
      <c r="B823" s="63">
        <v>1</v>
      </c>
      <c r="C823" s="14" t="s">
        <v>3896</v>
      </c>
      <c r="D823" s="64" t="s">
        <v>1290</v>
      </c>
      <c r="E823" s="65" t="s">
        <v>1291</v>
      </c>
    </row>
    <row r="824" spans="1:5">
      <c r="A824" s="63">
        <v>34112</v>
      </c>
      <c r="B824" s="63">
        <v>1</v>
      </c>
      <c r="C824" s="14" t="s">
        <v>3353</v>
      </c>
      <c r="D824" s="64" t="s">
        <v>1292</v>
      </c>
      <c r="E824" s="65" t="s">
        <v>1293</v>
      </c>
    </row>
    <row r="825" spans="1:5">
      <c r="A825" s="63">
        <v>34113</v>
      </c>
      <c r="B825" s="63">
        <v>1</v>
      </c>
      <c r="C825" s="14" t="s">
        <v>3897</v>
      </c>
      <c r="D825" s="64" t="s">
        <v>1294</v>
      </c>
      <c r="E825" s="65" t="s">
        <v>1295</v>
      </c>
    </row>
    <row r="826" spans="1:5">
      <c r="A826" s="63">
        <v>34114</v>
      </c>
      <c r="B826" s="63">
        <v>1</v>
      </c>
      <c r="C826" s="14" t="s">
        <v>3724</v>
      </c>
      <c r="D826" s="64" t="s">
        <v>1296</v>
      </c>
      <c r="E826" s="65" t="s">
        <v>642</v>
      </c>
    </row>
    <row r="827" spans="1:5">
      <c r="A827" s="63">
        <v>34115</v>
      </c>
      <c r="B827" s="63">
        <v>1</v>
      </c>
      <c r="C827" s="14" t="s">
        <v>3898</v>
      </c>
      <c r="D827" s="64" t="s">
        <v>1297</v>
      </c>
      <c r="E827" s="65" t="s">
        <v>1298</v>
      </c>
    </row>
    <row r="828" spans="1:5">
      <c r="A828" s="63">
        <v>34116</v>
      </c>
      <c r="B828" s="63">
        <v>1</v>
      </c>
      <c r="C828" s="14" t="s">
        <v>3354</v>
      </c>
      <c r="D828" s="64" t="s">
        <v>1299</v>
      </c>
      <c r="E828" s="65" t="s">
        <v>782</v>
      </c>
    </row>
    <row r="829" spans="1:5">
      <c r="A829" s="63">
        <v>34117</v>
      </c>
      <c r="B829" s="63">
        <v>1</v>
      </c>
      <c r="C829" s="14" t="s">
        <v>3899</v>
      </c>
      <c r="D829" s="64" t="s">
        <v>1300</v>
      </c>
      <c r="E829" s="65" t="s">
        <v>1301</v>
      </c>
    </row>
    <row r="830" spans="1:5">
      <c r="A830" s="63">
        <v>34118</v>
      </c>
      <c r="B830" s="63">
        <v>1</v>
      </c>
      <c r="C830" s="14" t="s">
        <v>3726</v>
      </c>
      <c r="D830" s="64" t="s">
        <v>1302</v>
      </c>
      <c r="E830" s="65" t="s">
        <v>645</v>
      </c>
    </row>
    <row r="831" spans="1:5">
      <c r="A831" s="63">
        <v>34119</v>
      </c>
      <c r="B831" s="63">
        <v>1</v>
      </c>
      <c r="C831" s="14" t="s">
        <v>3900</v>
      </c>
      <c r="D831" s="64" t="s">
        <v>1303</v>
      </c>
      <c r="E831" s="65" t="s">
        <v>1304</v>
      </c>
    </row>
    <row r="832" spans="1:5">
      <c r="A832" s="63">
        <v>34120</v>
      </c>
      <c r="B832" s="63">
        <v>1</v>
      </c>
      <c r="C832" s="14" t="s">
        <v>3355</v>
      </c>
      <c r="D832" s="64" t="s">
        <v>1305</v>
      </c>
      <c r="E832" s="65" t="s">
        <v>599</v>
      </c>
    </row>
    <row r="833" spans="1:5">
      <c r="A833" s="63">
        <v>34121</v>
      </c>
      <c r="B833" s="63">
        <v>1</v>
      </c>
      <c r="C833" s="14" t="s">
        <v>3901</v>
      </c>
      <c r="D833" s="64" t="s">
        <v>1306</v>
      </c>
      <c r="E833" s="65" t="s">
        <v>1307</v>
      </c>
    </row>
    <row r="834" spans="1:5">
      <c r="A834" s="63">
        <v>34122</v>
      </c>
      <c r="B834" s="63">
        <v>1</v>
      </c>
      <c r="C834" s="14" t="s">
        <v>3902</v>
      </c>
      <c r="D834" s="64" t="s">
        <v>1308</v>
      </c>
      <c r="E834" s="65" t="s">
        <v>1309</v>
      </c>
    </row>
    <row r="835" spans="1:5">
      <c r="A835" s="63">
        <v>34123</v>
      </c>
      <c r="B835" s="63">
        <v>1</v>
      </c>
      <c r="C835" s="14" t="s">
        <v>3903</v>
      </c>
      <c r="D835" s="64" t="s">
        <v>1310</v>
      </c>
      <c r="E835" s="65" t="s">
        <v>1311</v>
      </c>
    </row>
    <row r="836" spans="1:5">
      <c r="A836" s="63">
        <v>34124</v>
      </c>
      <c r="B836" s="63">
        <v>1</v>
      </c>
      <c r="C836" s="14" t="s">
        <v>3356</v>
      </c>
      <c r="D836" s="64" t="s">
        <v>1312</v>
      </c>
      <c r="E836" s="65" t="s">
        <v>649</v>
      </c>
    </row>
    <row r="837" spans="1:5">
      <c r="A837" s="63">
        <v>34125</v>
      </c>
      <c r="B837" s="63">
        <v>1</v>
      </c>
      <c r="C837" s="14" t="s">
        <v>3904</v>
      </c>
      <c r="D837" s="64" t="s">
        <v>1313</v>
      </c>
      <c r="E837" s="65" t="s">
        <v>1314</v>
      </c>
    </row>
    <row r="838" spans="1:5">
      <c r="A838" s="63">
        <v>34126</v>
      </c>
      <c r="B838" s="63">
        <v>1</v>
      </c>
      <c r="C838" s="14" t="s">
        <v>3905</v>
      </c>
      <c r="D838" s="64" t="s">
        <v>1315</v>
      </c>
      <c r="E838" s="65" t="s">
        <v>1316</v>
      </c>
    </row>
    <row r="839" spans="1:5">
      <c r="A839" s="63">
        <v>34127</v>
      </c>
      <c r="B839" s="63">
        <v>1</v>
      </c>
      <c r="C839" s="14" t="s">
        <v>3906</v>
      </c>
      <c r="D839" s="64" t="s">
        <v>1317</v>
      </c>
      <c r="E839" s="65" t="s">
        <v>1318</v>
      </c>
    </row>
    <row r="840" spans="1:5">
      <c r="A840" s="63">
        <v>34128</v>
      </c>
      <c r="B840" s="63">
        <v>1</v>
      </c>
      <c r="C840" s="14" t="s">
        <v>3357</v>
      </c>
      <c r="D840" s="64" t="s">
        <v>1319</v>
      </c>
      <c r="E840" s="65" t="s">
        <v>1320</v>
      </c>
    </row>
    <row r="841" spans="1:5">
      <c r="A841" s="63">
        <v>34129</v>
      </c>
      <c r="B841" s="63">
        <v>1</v>
      </c>
      <c r="C841" s="14" t="s">
        <v>3907</v>
      </c>
      <c r="D841" s="64" t="s">
        <v>1321</v>
      </c>
      <c r="E841" s="65" t="s">
        <v>1322</v>
      </c>
    </row>
    <row r="842" spans="1:5">
      <c r="A842" s="63">
        <v>34130</v>
      </c>
      <c r="B842" s="63">
        <v>1</v>
      </c>
      <c r="C842" s="14" t="s">
        <v>3729</v>
      </c>
      <c r="D842" s="64" t="s">
        <v>1323</v>
      </c>
      <c r="E842" s="65" t="s">
        <v>653</v>
      </c>
    </row>
    <row r="843" spans="1:5">
      <c r="A843" s="63">
        <v>34131</v>
      </c>
      <c r="B843" s="63">
        <v>1</v>
      </c>
      <c r="C843" s="14" t="s">
        <v>3908</v>
      </c>
      <c r="D843" s="64" t="s">
        <v>1324</v>
      </c>
      <c r="E843" s="65" t="s">
        <v>1325</v>
      </c>
    </row>
    <row r="844" spans="1:5">
      <c r="A844" s="63">
        <v>34132</v>
      </c>
      <c r="B844" s="63">
        <v>1</v>
      </c>
      <c r="C844" s="14" t="s">
        <v>3358</v>
      </c>
      <c r="D844" s="64" t="s">
        <v>1326</v>
      </c>
      <c r="E844" s="65" t="s">
        <v>1327</v>
      </c>
    </row>
    <row r="845" spans="1:5">
      <c r="A845" s="63">
        <v>34133</v>
      </c>
      <c r="B845" s="63">
        <v>1</v>
      </c>
      <c r="C845" s="14" t="s">
        <v>3909</v>
      </c>
      <c r="D845" s="64" t="s">
        <v>1328</v>
      </c>
      <c r="E845" s="65" t="s">
        <v>1329</v>
      </c>
    </row>
    <row r="846" spans="1:5">
      <c r="A846" s="63">
        <v>34134</v>
      </c>
      <c r="B846" s="63">
        <v>1</v>
      </c>
      <c r="C846" s="14" t="s">
        <v>3731</v>
      </c>
      <c r="D846" s="64" t="s">
        <v>1330</v>
      </c>
      <c r="E846" s="65" t="s">
        <v>657</v>
      </c>
    </row>
    <row r="847" spans="1:5">
      <c r="A847" s="63">
        <v>34135</v>
      </c>
      <c r="B847" s="63">
        <v>1</v>
      </c>
      <c r="C847" s="14" t="s">
        <v>3910</v>
      </c>
      <c r="D847" s="64" t="s">
        <v>1331</v>
      </c>
      <c r="E847" s="65" t="s">
        <v>1332</v>
      </c>
    </row>
    <row r="848" spans="1:5">
      <c r="A848" s="63">
        <v>34136</v>
      </c>
      <c r="B848" s="63">
        <v>1</v>
      </c>
      <c r="C848" s="14" t="s">
        <v>3359</v>
      </c>
      <c r="D848" s="64" t="s">
        <v>1333</v>
      </c>
      <c r="E848" s="65" t="s">
        <v>1334</v>
      </c>
    </row>
    <row r="849" spans="1:5">
      <c r="A849" s="63">
        <v>34137</v>
      </c>
      <c r="B849" s="63">
        <v>1</v>
      </c>
      <c r="C849" s="14" t="s">
        <v>3911</v>
      </c>
      <c r="D849" s="64" t="s">
        <v>1335</v>
      </c>
      <c r="E849" s="65" t="s">
        <v>1336</v>
      </c>
    </row>
    <row r="850" spans="1:5">
      <c r="A850" s="63">
        <v>34138</v>
      </c>
      <c r="B850" s="63">
        <v>1</v>
      </c>
      <c r="C850" s="14" t="s">
        <v>3912</v>
      </c>
      <c r="D850" s="64" t="s">
        <v>1337</v>
      </c>
      <c r="E850" s="65" t="s">
        <v>1338</v>
      </c>
    </row>
    <row r="851" spans="1:5">
      <c r="A851" s="63">
        <v>34139</v>
      </c>
      <c r="B851" s="63">
        <v>1</v>
      </c>
      <c r="C851" s="14" t="s">
        <v>3913</v>
      </c>
      <c r="D851" s="64" t="s">
        <v>1339</v>
      </c>
      <c r="E851" s="65" t="s">
        <v>1340</v>
      </c>
    </row>
    <row r="852" spans="1:5">
      <c r="A852" s="63">
        <v>34140</v>
      </c>
      <c r="B852" s="63">
        <v>1</v>
      </c>
      <c r="C852" s="14" t="s">
        <v>3360</v>
      </c>
      <c r="D852" s="64" t="s">
        <v>1341</v>
      </c>
      <c r="E852" s="65" t="s">
        <v>604</v>
      </c>
    </row>
    <row r="853" spans="1:5">
      <c r="A853" s="63">
        <v>34141</v>
      </c>
      <c r="B853" s="63">
        <v>1</v>
      </c>
      <c r="C853" s="14" t="s">
        <v>3914</v>
      </c>
      <c r="D853" s="64" t="s">
        <v>1342</v>
      </c>
      <c r="E853" s="65" t="s">
        <v>1343</v>
      </c>
    </row>
    <row r="854" spans="1:5">
      <c r="A854" s="63">
        <v>34142</v>
      </c>
      <c r="B854" s="63">
        <v>1</v>
      </c>
      <c r="C854" s="14" t="s">
        <v>3915</v>
      </c>
      <c r="D854" s="64" t="s">
        <v>1344</v>
      </c>
      <c r="E854" s="65" t="s">
        <v>1345</v>
      </c>
    </row>
    <row r="855" spans="1:5">
      <c r="A855" s="63">
        <v>34143</v>
      </c>
      <c r="B855" s="63">
        <v>1</v>
      </c>
      <c r="C855" s="14" t="s">
        <v>3916</v>
      </c>
      <c r="D855" s="64" t="s">
        <v>1346</v>
      </c>
      <c r="E855" s="65" t="s">
        <v>1347</v>
      </c>
    </row>
    <row r="856" spans="1:5">
      <c r="A856" s="63">
        <v>34144</v>
      </c>
      <c r="B856" s="63">
        <v>1</v>
      </c>
      <c r="C856" s="14" t="s">
        <v>3361</v>
      </c>
      <c r="D856" s="64" t="s">
        <v>1348</v>
      </c>
      <c r="E856" s="65" t="s">
        <v>1349</v>
      </c>
    </row>
    <row r="857" spans="1:5">
      <c r="A857" s="63">
        <v>34145</v>
      </c>
      <c r="B857" s="63">
        <v>1</v>
      </c>
      <c r="C857" s="14" t="s">
        <v>3917</v>
      </c>
      <c r="D857" s="64" t="s">
        <v>1350</v>
      </c>
      <c r="E857" s="65" t="s">
        <v>1351</v>
      </c>
    </row>
    <row r="858" spans="1:5">
      <c r="A858" s="63">
        <v>34146</v>
      </c>
      <c r="B858" s="63">
        <v>1</v>
      </c>
      <c r="C858" s="14" t="s">
        <v>3918</v>
      </c>
      <c r="D858" s="64" t="s">
        <v>1352</v>
      </c>
      <c r="E858" s="65" t="s">
        <v>1353</v>
      </c>
    </row>
    <row r="859" spans="1:5">
      <c r="A859" s="63">
        <v>34147</v>
      </c>
      <c r="B859" s="63">
        <v>1</v>
      </c>
      <c r="C859" s="14" t="s">
        <v>3919</v>
      </c>
      <c r="D859" s="64" t="s">
        <v>1354</v>
      </c>
      <c r="E859" s="65" t="s">
        <v>1355</v>
      </c>
    </row>
    <row r="860" spans="1:5">
      <c r="A860" s="63">
        <v>34148</v>
      </c>
      <c r="B860" s="63">
        <v>1</v>
      </c>
      <c r="C860" s="14" t="s">
        <v>3362</v>
      </c>
      <c r="D860" s="64" t="s">
        <v>1356</v>
      </c>
      <c r="E860" s="65" t="s">
        <v>1357</v>
      </c>
    </row>
    <row r="861" spans="1:5">
      <c r="A861" s="63">
        <v>34149</v>
      </c>
      <c r="B861" s="63">
        <v>1</v>
      </c>
      <c r="C861" s="14" t="s">
        <v>3920</v>
      </c>
      <c r="D861" s="64" t="s">
        <v>1358</v>
      </c>
      <c r="E861" s="65" t="s">
        <v>1359</v>
      </c>
    </row>
    <row r="862" spans="1:5">
      <c r="A862" s="63">
        <v>34150</v>
      </c>
      <c r="B862" s="63">
        <v>1</v>
      </c>
      <c r="C862" s="14" t="s">
        <v>3760</v>
      </c>
      <c r="D862" s="64" t="s">
        <v>1360</v>
      </c>
      <c r="E862" s="65" t="s">
        <v>789</v>
      </c>
    </row>
    <row r="863" spans="1:5">
      <c r="A863" s="46">
        <v>35001</v>
      </c>
      <c r="B863" s="46">
        <v>1</v>
      </c>
      <c r="C863" s="14" t="s">
        <v>3699</v>
      </c>
      <c r="D863" s="47" t="s">
        <v>1361</v>
      </c>
      <c r="E863" s="48" t="s">
        <v>628</v>
      </c>
    </row>
    <row r="864" spans="1:5">
      <c r="A864" s="46">
        <v>35002</v>
      </c>
      <c r="B864" s="46">
        <v>1</v>
      </c>
      <c r="C864" s="14" t="s">
        <v>3811</v>
      </c>
      <c r="D864" s="47" t="s">
        <v>1362</v>
      </c>
      <c r="E864" s="48" t="s">
        <v>979</v>
      </c>
    </row>
    <row r="865" spans="1:5">
      <c r="A865" s="46">
        <v>35003</v>
      </c>
      <c r="B865" s="46">
        <v>1</v>
      </c>
      <c r="C865" s="14" t="s">
        <v>3921</v>
      </c>
      <c r="D865" s="47" t="s">
        <v>1363</v>
      </c>
      <c r="E865" s="48" t="s">
        <v>1364</v>
      </c>
    </row>
    <row r="866" spans="1:5">
      <c r="A866" s="46">
        <v>35004</v>
      </c>
      <c r="B866" s="46">
        <v>1</v>
      </c>
      <c r="C866" s="14" t="s">
        <v>3696</v>
      </c>
      <c r="D866" s="47" t="s">
        <v>1365</v>
      </c>
      <c r="E866" s="48" t="s">
        <v>584</v>
      </c>
    </row>
    <row r="867" spans="1:5">
      <c r="A867" s="66">
        <v>35005</v>
      </c>
      <c r="B867" s="66">
        <v>1</v>
      </c>
      <c r="C867" s="14" t="s">
        <v>3355</v>
      </c>
      <c r="D867" s="67" t="s">
        <v>1366</v>
      </c>
      <c r="E867" s="68" t="s">
        <v>599</v>
      </c>
    </row>
    <row r="868" spans="1:5">
      <c r="A868" s="66">
        <v>35006</v>
      </c>
      <c r="B868" s="66">
        <v>1</v>
      </c>
      <c r="C868" s="14" t="s">
        <v>3366</v>
      </c>
      <c r="D868" s="67" t="s">
        <v>1367</v>
      </c>
      <c r="E868" s="68" t="s">
        <v>981</v>
      </c>
    </row>
    <row r="869" spans="1:5">
      <c r="A869" s="66">
        <v>35007</v>
      </c>
      <c r="B869" s="66">
        <v>1</v>
      </c>
      <c r="C869" s="14" t="s">
        <v>3922</v>
      </c>
      <c r="D869" s="67" t="s">
        <v>1368</v>
      </c>
      <c r="E869" s="68" t="s">
        <v>1369</v>
      </c>
    </row>
    <row r="870" spans="1:5">
      <c r="A870" s="66">
        <v>35008</v>
      </c>
      <c r="B870" s="66">
        <v>1</v>
      </c>
      <c r="C870" s="14" t="s">
        <v>3696</v>
      </c>
      <c r="D870" s="67" t="s">
        <v>1370</v>
      </c>
      <c r="E870" s="68" t="s">
        <v>584</v>
      </c>
    </row>
    <row r="871" spans="1:5">
      <c r="A871" s="46">
        <v>35009</v>
      </c>
      <c r="B871" s="46">
        <v>1</v>
      </c>
      <c r="C871" s="14" t="s">
        <v>3923</v>
      </c>
      <c r="D871" s="47" t="s">
        <v>1371</v>
      </c>
      <c r="E871" s="48" t="s">
        <v>1372</v>
      </c>
    </row>
    <row r="872" spans="1:5">
      <c r="A872" s="46">
        <v>35010</v>
      </c>
      <c r="B872" s="46">
        <v>1</v>
      </c>
      <c r="C872" s="14" t="s">
        <v>3368</v>
      </c>
      <c r="D872" s="47" t="s">
        <v>1373</v>
      </c>
      <c r="E872" s="48" t="s">
        <v>983</v>
      </c>
    </row>
    <row r="873" spans="1:5">
      <c r="A873" s="46">
        <v>35011</v>
      </c>
      <c r="B873" s="46">
        <v>1</v>
      </c>
      <c r="C873" s="14" t="s">
        <v>3924</v>
      </c>
      <c r="D873" s="47" t="s">
        <v>1374</v>
      </c>
      <c r="E873" s="48" t="s">
        <v>1375</v>
      </c>
    </row>
    <row r="874" spans="1:5">
      <c r="A874" s="46">
        <v>35012</v>
      </c>
      <c r="B874" s="46">
        <v>1</v>
      </c>
      <c r="C874" s="14" t="s">
        <v>3324</v>
      </c>
      <c r="D874" s="47" t="s">
        <v>1376</v>
      </c>
      <c r="E874" s="48" t="s">
        <v>1377</v>
      </c>
    </row>
    <row r="875" spans="1:5">
      <c r="A875" s="66">
        <v>35013</v>
      </c>
      <c r="B875" s="66">
        <v>1</v>
      </c>
      <c r="C875" s="14" t="s">
        <v>3925</v>
      </c>
      <c r="D875" s="67" t="s">
        <v>1378</v>
      </c>
      <c r="E875" s="68" t="s">
        <v>1379</v>
      </c>
    </row>
    <row r="876" spans="1:5">
      <c r="A876" s="66">
        <v>35014</v>
      </c>
      <c r="B876" s="66">
        <v>1</v>
      </c>
      <c r="C876" s="14" t="s">
        <v>3369</v>
      </c>
      <c r="D876" s="67" t="s">
        <v>1380</v>
      </c>
      <c r="E876" s="68" t="s">
        <v>747</v>
      </c>
    </row>
    <row r="877" spans="1:5">
      <c r="A877" s="66">
        <v>35015</v>
      </c>
      <c r="B877" s="66">
        <v>1</v>
      </c>
      <c r="C877" s="14" t="s">
        <v>3926</v>
      </c>
      <c r="D877" s="67" t="s">
        <v>1381</v>
      </c>
      <c r="E877" s="68" t="s">
        <v>1382</v>
      </c>
    </row>
    <row r="878" spans="1:5">
      <c r="A878" s="66">
        <v>35016</v>
      </c>
      <c r="B878" s="66">
        <v>1</v>
      </c>
      <c r="C878" s="14" t="s">
        <v>3324</v>
      </c>
      <c r="D878" s="67" t="s">
        <v>1383</v>
      </c>
      <c r="E878" s="68" t="s">
        <v>1377</v>
      </c>
    </row>
    <row r="879" spans="1:5">
      <c r="A879" s="1">
        <v>40001</v>
      </c>
      <c r="B879" s="1">
        <v>1</v>
      </c>
      <c r="C879" s="14" t="s">
        <v>3698</v>
      </c>
      <c r="D879" s="2" t="s">
        <v>1384</v>
      </c>
      <c r="E879" s="3" t="s">
        <v>1385</v>
      </c>
    </row>
    <row r="880" spans="1:5">
      <c r="A880" s="69">
        <v>40002</v>
      </c>
      <c r="B880" s="69">
        <v>1</v>
      </c>
      <c r="C880" s="14" t="s">
        <v>3927</v>
      </c>
      <c r="D880" s="70" t="s">
        <v>1386</v>
      </c>
      <c r="E880" s="71" t="s">
        <v>1387</v>
      </c>
    </row>
    <row r="881" spans="1:5">
      <c r="A881" s="72">
        <v>40003</v>
      </c>
      <c r="B881" s="72">
        <v>1</v>
      </c>
      <c r="C881" s="14" t="s">
        <v>3928</v>
      </c>
      <c r="D881" s="73" t="s">
        <v>1388</v>
      </c>
      <c r="E881" s="74" t="s">
        <v>4703</v>
      </c>
    </row>
    <row r="882" spans="1:5">
      <c r="A882" s="72">
        <v>40004</v>
      </c>
      <c r="B882" s="72">
        <v>1</v>
      </c>
      <c r="C882" s="14" t="s">
        <v>3929</v>
      </c>
      <c r="D882" s="73" t="s">
        <v>1389</v>
      </c>
      <c r="E882" s="74" t="s">
        <v>4704</v>
      </c>
    </row>
    <row r="883" spans="1:5">
      <c r="A883" s="69">
        <v>40051</v>
      </c>
      <c r="B883" s="69">
        <v>1</v>
      </c>
      <c r="C883" s="14" t="s">
        <v>3930</v>
      </c>
      <c r="D883" s="70" t="s">
        <v>1390</v>
      </c>
      <c r="E883" s="71" t="s">
        <v>4705</v>
      </c>
    </row>
    <row r="884" spans="1:5">
      <c r="A884" s="69">
        <v>40052</v>
      </c>
      <c r="B884" s="69">
        <v>1</v>
      </c>
      <c r="C884" s="14" t="s">
        <v>3931</v>
      </c>
      <c r="D884" s="70" t="s">
        <v>1391</v>
      </c>
      <c r="E884" s="71" t="s">
        <v>4706</v>
      </c>
    </row>
    <row r="885" spans="1:5">
      <c r="A885" s="69">
        <v>40053</v>
      </c>
      <c r="B885" s="69">
        <v>1</v>
      </c>
      <c r="C885" s="14" t="s">
        <v>3932</v>
      </c>
      <c r="D885" s="70" t="s">
        <v>1392</v>
      </c>
      <c r="E885" s="71" t="s">
        <v>4707</v>
      </c>
    </row>
    <row r="886" spans="1:5">
      <c r="A886" s="69">
        <v>40054</v>
      </c>
      <c r="B886" s="69">
        <v>1</v>
      </c>
      <c r="C886" s="14" t="s">
        <v>3933</v>
      </c>
      <c r="D886" s="70" t="s">
        <v>1393</v>
      </c>
      <c r="E886" s="71" t="s">
        <v>4708</v>
      </c>
    </row>
    <row r="887" spans="1:5">
      <c r="A887" s="69">
        <v>40055</v>
      </c>
      <c r="B887" s="69">
        <v>1</v>
      </c>
      <c r="C887" s="14" t="s">
        <v>3934</v>
      </c>
      <c r="D887" s="70" t="s">
        <v>1394</v>
      </c>
      <c r="E887" s="71" t="s">
        <v>4709</v>
      </c>
    </row>
    <row r="888" spans="1:5">
      <c r="A888" s="69">
        <v>40056</v>
      </c>
      <c r="B888" s="69">
        <v>1</v>
      </c>
      <c r="C888" s="14" t="s">
        <v>3935</v>
      </c>
      <c r="D888" s="70" t="s">
        <v>1395</v>
      </c>
      <c r="E888" s="71" t="s">
        <v>4710</v>
      </c>
    </row>
    <row r="889" spans="1:5">
      <c r="A889" s="1">
        <v>40101</v>
      </c>
      <c r="B889" s="1">
        <v>1</v>
      </c>
      <c r="C889" s="14" t="s">
        <v>3936</v>
      </c>
      <c r="D889" s="2" t="s">
        <v>580</v>
      </c>
      <c r="E889" s="3" t="s">
        <v>1396</v>
      </c>
    </row>
    <row r="890" spans="1:5">
      <c r="A890" s="69">
        <v>40102</v>
      </c>
      <c r="B890" s="69">
        <v>1</v>
      </c>
      <c r="C890" s="14" t="s">
        <v>3937</v>
      </c>
      <c r="D890" s="70" t="s">
        <v>580</v>
      </c>
      <c r="E890" s="71" t="s">
        <v>1397</v>
      </c>
    </row>
    <row r="891" spans="1:5">
      <c r="A891" s="75">
        <v>40103</v>
      </c>
      <c r="B891" s="75">
        <v>1</v>
      </c>
      <c r="C891" s="14" t="s">
        <v>3938</v>
      </c>
      <c r="D891" s="76" t="s">
        <v>580</v>
      </c>
      <c r="E891" s="77" t="s">
        <v>1398</v>
      </c>
    </row>
    <row r="892" spans="1:5">
      <c r="A892" s="72">
        <v>40104</v>
      </c>
      <c r="B892" s="72">
        <v>1</v>
      </c>
      <c r="C892" s="14" t="s">
        <v>3939</v>
      </c>
      <c r="D892" s="73" t="s">
        <v>580</v>
      </c>
      <c r="E892" s="74" t="s">
        <v>4711</v>
      </c>
    </row>
    <row r="893" spans="1:5">
      <c r="A893" s="72">
        <v>40105</v>
      </c>
      <c r="B893" s="72">
        <v>1</v>
      </c>
      <c r="C893" s="14" t="s">
        <v>3937</v>
      </c>
      <c r="D893" s="73" t="s">
        <v>580</v>
      </c>
      <c r="E893" s="74" t="s">
        <v>4712</v>
      </c>
    </row>
    <row r="894" spans="1:5">
      <c r="A894" s="72">
        <v>40106</v>
      </c>
      <c r="B894" s="72">
        <v>1</v>
      </c>
      <c r="C894" s="14" t="s">
        <v>3940</v>
      </c>
      <c r="D894" s="73" t="s">
        <v>580</v>
      </c>
      <c r="E894" s="74" t="s">
        <v>4713</v>
      </c>
    </row>
    <row r="895" spans="1:5">
      <c r="A895" s="72">
        <v>40107</v>
      </c>
      <c r="B895" s="72">
        <v>1</v>
      </c>
      <c r="C895" s="14" t="s">
        <v>3941</v>
      </c>
      <c r="D895" s="73" t="s">
        <v>580</v>
      </c>
      <c r="E895" s="74" t="s">
        <v>4714</v>
      </c>
    </row>
    <row r="896" spans="1:5">
      <c r="A896" s="1">
        <v>40151</v>
      </c>
      <c r="B896" s="1">
        <v>1</v>
      </c>
      <c r="C896" s="14" t="s">
        <v>3942</v>
      </c>
      <c r="D896" s="2" t="s">
        <v>581</v>
      </c>
      <c r="E896" s="3" t="s">
        <v>1399</v>
      </c>
    </row>
    <row r="897" spans="1:5">
      <c r="A897" s="75">
        <v>40152</v>
      </c>
      <c r="B897" s="75">
        <v>1</v>
      </c>
      <c r="C897" s="14" t="s">
        <v>3942</v>
      </c>
      <c r="D897" s="76" t="s">
        <v>581</v>
      </c>
      <c r="E897" s="77" t="s">
        <v>1400</v>
      </c>
    </row>
    <row r="898" spans="1:5">
      <c r="A898" s="75">
        <v>40153</v>
      </c>
      <c r="B898" s="75">
        <v>1</v>
      </c>
      <c r="C898" s="14" t="s">
        <v>3942</v>
      </c>
      <c r="D898" s="76" t="s">
        <v>581</v>
      </c>
      <c r="E898" s="77" t="s">
        <v>1401</v>
      </c>
    </row>
    <row r="899" spans="1:5">
      <c r="A899" s="69">
        <v>40154</v>
      </c>
      <c r="B899" s="69">
        <v>1</v>
      </c>
      <c r="C899" s="14" t="s">
        <v>3694</v>
      </c>
      <c r="D899" s="70" t="s">
        <v>581</v>
      </c>
      <c r="E899" s="71" t="s">
        <v>1402</v>
      </c>
    </row>
    <row r="900" spans="1:5">
      <c r="A900" s="69">
        <v>40155</v>
      </c>
      <c r="B900" s="69">
        <v>1</v>
      </c>
      <c r="C900" s="14" t="s">
        <v>3694</v>
      </c>
      <c r="D900" s="70" t="s">
        <v>581</v>
      </c>
      <c r="E900" s="71" t="s">
        <v>1403</v>
      </c>
    </row>
    <row r="901" spans="1:5">
      <c r="A901" s="69">
        <v>40156</v>
      </c>
      <c r="B901" s="69">
        <v>1</v>
      </c>
      <c r="C901" s="14" t="s">
        <v>3694</v>
      </c>
      <c r="D901" s="70" t="s">
        <v>581</v>
      </c>
      <c r="E901" s="71" t="s">
        <v>1404</v>
      </c>
    </row>
    <row r="902" spans="1:5">
      <c r="A902" s="72">
        <v>40157</v>
      </c>
      <c r="B902" s="72">
        <v>1</v>
      </c>
      <c r="C902" s="14" t="s">
        <v>3943</v>
      </c>
      <c r="D902" s="73" t="s">
        <v>581</v>
      </c>
      <c r="E902" s="74" t="s">
        <v>4715</v>
      </c>
    </row>
    <row r="903" spans="1:5">
      <c r="A903" s="1">
        <v>40201</v>
      </c>
      <c r="B903" s="1">
        <v>1</v>
      </c>
      <c r="C903" s="14" t="s">
        <v>3695</v>
      </c>
      <c r="D903" s="2" t="s">
        <v>582</v>
      </c>
      <c r="E903" s="3" t="s">
        <v>1405</v>
      </c>
    </row>
    <row r="904" spans="1:5">
      <c r="A904" s="69">
        <v>40202</v>
      </c>
      <c r="B904" s="69">
        <v>1</v>
      </c>
      <c r="C904" s="14" t="s">
        <v>3944</v>
      </c>
      <c r="D904" s="70" t="s">
        <v>582</v>
      </c>
      <c r="E904" s="71" t="s">
        <v>1406</v>
      </c>
    </row>
    <row r="905" spans="1:5">
      <c r="A905" s="72">
        <v>40203</v>
      </c>
      <c r="B905" s="72">
        <v>1</v>
      </c>
      <c r="C905" s="14" t="s">
        <v>3695</v>
      </c>
      <c r="D905" s="73" t="s">
        <v>582</v>
      </c>
      <c r="E905" s="74" t="s">
        <v>4716</v>
      </c>
    </row>
    <row r="906" spans="1:5">
      <c r="A906" s="72">
        <v>40204</v>
      </c>
      <c r="B906" s="72">
        <v>1</v>
      </c>
      <c r="C906" s="14" t="s">
        <v>3695</v>
      </c>
      <c r="D906" s="73" t="s">
        <v>582</v>
      </c>
      <c r="E906" s="74" t="s">
        <v>4717</v>
      </c>
    </row>
    <row r="907" spans="1:5">
      <c r="A907" s="72">
        <v>40205</v>
      </c>
      <c r="B907" s="72">
        <v>1</v>
      </c>
      <c r="C907" s="14" t="s">
        <v>3695</v>
      </c>
      <c r="D907" s="73" t="s">
        <v>582</v>
      </c>
      <c r="E907" s="74" t="s">
        <v>4718</v>
      </c>
    </row>
    <row r="908" spans="1:5">
      <c r="A908" s="72">
        <v>40206</v>
      </c>
      <c r="B908" s="72">
        <v>1</v>
      </c>
      <c r="C908" s="14" t="s">
        <v>3695</v>
      </c>
      <c r="D908" s="73" t="s">
        <v>582</v>
      </c>
      <c r="E908" s="74" t="s">
        <v>4719</v>
      </c>
    </row>
    <row r="909" spans="1:5">
      <c r="A909" s="72">
        <v>40207</v>
      </c>
      <c r="B909" s="72">
        <v>1</v>
      </c>
      <c r="C909" s="14" t="s">
        <v>3695</v>
      </c>
      <c r="D909" s="73" t="s">
        <v>582</v>
      </c>
      <c r="E909" s="74" t="s">
        <v>4720</v>
      </c>
    </row>
    <row r="910" spans="1:5">
      <c r="A910" s="72">
        <v>40208</v>
      </c>
      <c r="B910" s="72">
        <v>1</v>
      </c>
      <c r="C910" s="14" t="s">
        <v>3695</v>
      </c>
      <c r="D910" s="73" t="s">
        <v>582</v>
      </c>
      <c r="E910" s="74" t="s">
        <v>4721</v>
      </c>
    </row>
    <row r="911" spans="1:5">
      <c r="A911" s="72">
        <v>40209</v>
      </c>
      <c r="B911" s="72">
        <v>1</v>
      </c>
      <c r="C911" s="14" t="s">
        <v>3944</v>
      </c>
      <c r="D911" s="73" t="s">
        <v>582</v>
      </c>
      <c r="E911" s="74" t="s">
        <v>4722</v>
      </c>
    </row>
    <row r="912" spans="1:5">
      <c r="A912" s="72">
        <v>40210</v>
      </c>
      <c r="B912" s="72">
        <v>1</v>
      </c>
      <c r="C912" s="14" t="s">
        <v>3944</v>
      </c>
      <c r="D912" s="73" t="s">
        <v>582</v>
      </c>
      <c r="E912" s="74" t="s">
        <v>4723</v>
      </c>
    </row>
    <row r="913" spans="1:5">
      <c r="A913" s="72">
        <v>40211</v>
      </c>
      <c r="B913" s="72">
        <v>1</v>
      </c>
      <c r="C913" s="14" t="s">
        <v>3944</v>
      </c>
      <c r="D913" s="73" t="s">
        <v>582</v>
      </c>
      <c r="E913" s="74" t="s">
        <v>4724</v>
      </c>
    </row>
    <row r="914" spans="1:5">
      <c r="A914" s="72">
        <v>40212</v>
      </c>
      <c r="B914" s="72">
        <v>1</v>
      </c>
      <c r="C914" s="14" t="s">
        <v>3944</v>
      </c>
      <c r="D914" s="73" t="s">
        <v>582</v>
      </c>
      <c r="E914" s="74" t="s">
        <v>4725</v>
      </c>
    </row>
    <row r="915" spans="1:5">
      <c r="A915" s="72">
        <v>40213</v>
      </c>
      <c r="B915" s="72">
        <v>1</v>
      </c>
      <c r="C915" s="14" t="s">
        <v>3944</v>
      </c>
      <c r="D915" s="73" t="s">
        <v>582</v>
      </c>
      <c r="E915" s="74" t="s">
        <v>4726</v>
      </c>
    </row>
    <row r="916" spans="1:5">
      <c r="A916" s="72">
        <v>40214</v>
      </c>
      <c r="B916" s="72">
        <v>1</v>
      </c>
      <c r="C916" s="14" t="s">
        <v>3944</v>
      </c>
      <c r="D916" s="73" t="s">
        <v>582</v>
      </c>
      <c r="E916" s="74" t="s">
        <v>4727</v>
      </c>
    </row>
    <row r="917" spans="1:5">
      <c r="A917" s="72">
        <v>40215</v>
      </c>
      <c r="B917" s="72">
        <v>1</v>
      </c>
      <c r="C917" s="14" t="s">
        <v>3944</v>
      </c>
      <c r="D917" s="73" t="s">
        <v>582</v>
      </c>
      <c r="E917" s="74" t="s">
        <v>4728</v>
      </c>
    </row>
    <row r="918" spans="1:5">
      <c r="A918" s="72">
        <v>40216</v>
      </c>
      <c r="B918" s="72">
        <v>1</v>
      </c>
      <c r="C918" s="14" t="s">
        <v>3944</v>
      </c>
      <c r="D918" s="73" t="s">
        <v>582</v>
      </c>
      <c r="E918" s="74" t="s">
        <v>4729</v>
      </c>
    </row>
    <row r="919" spans="1:5">
      <c r="A919" s="1">
        <v>40900</v>
      </c>
      <c r="B919" s="1">
        <v>1</v>
      </c>
      <c r="C919" s="14" t="s">
        <v>3462</v>
      </c>
      <c r="D919" s="78" t="s">
        <v>1407</v>
      </c>
      <c r="E919" s="17" t="s">
        <v>119</v>
      </c>
    </row>
    <row r="920" spans="1:5">
      <c r="A920" s="1">
        <v>40901</v>
      </c>
      <c r="B920" s="1">
        <v>1</v>
      </c>
      <c r="C920" s="14" t="s">
        <v>3945</v>
      </c>
      <c r="D920" s="1" t="s">
        <v>1408</v>
      </c>
      <c r="E920" s="3" t="s">
        <v>1409</v>
      </c>
    </row>
    <row r="921" spans="1:5">
      <c r="A921" s="1">
        <v>40902</v>
      </c>
      <c r="B921" s="1">
        <v>1</v>
      </c>
      <c r="C921" s="14" t="s">
        <v>3479</v>
      </c>
      <c r="D921" s="1" t="s">
        <v>1410</v>
      </c>
      <c r="E921" s="3" t="s">
        <v>153</v>
      </c>
    </row>
    <row r="922" spans="1:5">
      <c r="A922" s="1">
        <v>40903</v>
      </c>
      <c r="B922" s="1">
        <v>1</v>
      </c>
      <c r="C922" s="14" t="s">
        <v>3475</v>
      </c>
      <c r="D922" s="1" t="s">
        <v>1411</v>
      </c>
      <c r="E922" s="3" t="s">
        <v>145</v>
      </c>
    </row>
    <row r="923" spans="1:5">
      <c r="A923" s="1">
        <v>40904</v>
      </c>
      <c r="B923" s="1">
        <v>1</v>
      </c>
      <c r="C923" s="14" t="s">
        <v>3466</v>
      </c>
      <c r="D923" s="1" t="s">
        <v>1412</v>
      </c>
      <c r="E923" s="3" t="s">
        <v>127</v>
      </c>
    </row>
    <row r="924" spans="1:5">
      <c r="A924" s="1">
        <v>40905</v>
      </c>
      <c r="B924" s="1">
        <v>1</v>
      </c>
      <c r="C924" s="14" t="s">
        <v>3744</v>
      </c>
      <c r="D924" s="1" t="s">
        <v>1413</v>
      </c>
      <c r="E924" s="17" t="s">
        <v>717</v>
      </c>
    </row>
    <row r="925" spans="1:5">
      <c r="A925" s="1">
        <v>40906</v>
      </c>
      <c r="B925" s="1">
        <v>1</v>
      </c>
      <c r="C925" s="14" t="s">
        <v>3946</v>
      </c>
      <c r="D925" s="1" t="s">
        <v>1414</v>
      </c>
      <c r="E925" s="17" t="s">
        <v>1415</v>
      </c>
    </row>
    <row r="926" spans="1:5">
      <c r="A926" s="1">
        <v>40907</v>
      </c>
      <c r="B926" s="1">
        <v>1</v>
      </c>
      <c r="C926" s="14" t="s">
        <v>3700</v>
      </c>
      <c r="D926" s="1" t="s">
        <v>1416</v>
      </c>
      <c r="E926" s="17" t="s">
        <v>1417</v>
      </c>
    </row>
    <row r="927" spans="1:5">
      <c r="A927" s="1">
        <v>40908</v>
      </c>
      <c r="B927" s="1">
        <v>1</v>
      </c>
      <c r="C927" s="14" t="s">
        <v>3854</v>
      </c>
      <c r="D927" s="1" t="s">
        <v>1418</v>
      </c>
      <c r="E927" s="17" t="s">
        <v>1155</v>
      </c>
    </row>
    <row r="928" spans="1:5">
      <c r="A928" s="1">
        <v>40911</v>
      </c>
      <c r="B928" s="1">
        <v>1</v>
      </c>
      <c r="C928" s="14" t="s">
        <v>3947</v>
      </c>
      <c r="D928" s="2" t="s">
        <v>1419</v>
      </c>
      <c r="E928" s="3" t="s">
        <v>1420</v>
      </c>
    </row>
    <row r="929" spans="1:5">
      <c r="A929" s="1">
        <v>40912</v>
      </c>
      <c r="B929" s="1">
        <v>1</v>
      </c>
      <c r="C929" s="14" t="s">
        <v>3942</v>
      </c>
      <c r="D929" s="2" t="s">
        <v>1421</v>
      </c>
      <c r="E929" s="3" t="s">
        <v>1422</v>
      </c>
    </row>
    <row r="930" spans="1:5">
      <c r="A930" s="1">
        <v>40920</v>
      </c>
      <c r="B930" s="1">
        <v>1</v>
      </c>
      <c r="C930" s="14" t="s">
        <v>3948</v>
      </c>
      <c r="D930" s="1" t="s">
        <v>1423</v>
      </c>
      <c r="E930" s="17" t="s">
        <v>1424</v>
      </c>
    </row>
    <row r="931" spans="1:5">
      <c r="A931" s="1">
        <v>40921</v>
      </c>
      <c r="B931" s="1">
        <v>1</v>
      </c>
      <c r="C931" s="14" t="s">
        <v>3949</v>
      </c>
      <c r="D931" s="1" t="s">
        <v>1425</v>
      </c>
      <c r="E931" s="17" t="s">
        <v>1426</v>
      </c>
    </row>
    <row r="932" spans="1:5">
      <c r="A932" s="1">
        <v>40922</v>
      </c>
      <c r="B932" s="1">
        <v>1</v>
      </c>
      <c r="C932" s="14" t="s">
        <v>3950</v>
      </c>
      <c r="D932" s="1" t="s">
        <v>1427</v>
      </c>
      <c r="E932" s="17" t="s">
        <v>1428</v>
      </c>
    </row>
    <row r="933" spans="1:5">
      <c r="A933" s="1">
        <v>40923</v>
      </c>
      <c r="B933" s="1">
        <v>1</v>
      </c>
      <c r="C933" s="14" t="s">
        <v>3951</v>
      </c>
      <c r="D933" s="1" t="s">
        <v>1429</v>
      </c>
      <c r="E933" s="17" t="s">
        <v>1430</v>
      </c>
    </row>
    <row r="934" spans="1:5">
      <c r="A934" s="1">
        <v>40924</v>
      </c>
      <c r="B934" s="1">
        <v>1</v>
      </c>
      <c r="C934" s="14" t="s">
        <v>3952</v>
      </c>
      <c r="D934" s="1" t="s">
        <v>1431</v>
      </c>
      <c r="E934" s="17" t="s">
        <v>1432</v>
      </c>
    </row>
    <row r="935" spans="1:5">
      <c r="A935" s="1">
        <v>41001</v>
      </c>
      <c r="B935" s="1">
        <v>1</v>
      </c>
      <c r="C935" s="14" t="s">
        <v>3953</v>
      </c>
      <c r="D935" s="2" t="s">
        <v>1433</v>
      </c>
      <c r="E935" s="17" t="s">
        <v>1434</v>
      </c>
    </row>
    <row r="936" spans="1:5">
      <c r="A936" s="1">
        <v>41002</v>
      </c>
      <c r="B936" s="1">
        <v>1</v>
      </c>
      <c r="C936" s="14" t="s">
        <v>3954</v>
      </c>
      <c r="D936" s="2" t="s">
        <v>1435</v>
      </c>
      <c r="E936" s="17" t="s">
        <v>1436</v>
      </c>
    </row>
    <row r="937" spans="1:5">
      <c r="A937" s="1">
        <v>41003</v>
      </c>
      <c r="B937" s="1">
        <v>1</v>
      </c>
      <c r="C937" s="14" t="s">
        <v>3955</v>
      </c>
      <c r="D937" s="2" t="s">
        <v>1437</v>
      </c>
      <c r="E937" s="17" t="s">
        <v>1438</v>
      </c>
    </row>
    <row r="938" spans="1:5">
      <c r="A938" s="1">
        <v>41004</v>
      </c>
      <c r="B938" s="1">
        <v>1</v>
      </c>
      <c r="C938" s="14" t="s">
        <v>3956</v>
      </c>
      <c r="D938" s="2" t="s">
        <v>1439</v>
      </c>
      <c r="E938" s="17" t="s">
        <v>1440</v>
      </c>
    </row>
    <row r="939" spans="1:5">
      <c r="A939" s="1">
        <v>41005</v>
      </c>
      <c r="B939" s="1">
        <v>1</v>
      </c>
      <c r="C939" s="14" t="s">
        <v>3957</v>
      </c>
      <c r="D939" s="2" t="s">
        <v>1441</v>
      </c>
      <c r="E939" s="17" t="s">
        <v>1442</v>
      </c>
    </row>
    <row r="940" spans="1:5">
      <c r="A940" s="1">
        <v>41006</v>
      </c>
      <c r="B940" s="1">
        <v>1</v>
      </c>
      <c r="C940" s="14" t="s">
        <v>3953</v>
      </c>
      <c r="D940" s="2" t="s">
        <v>1443</v>
      </c>
      <c r="E940" s="17" t="s">
        <v>1434</v>
      </c>
    </row>
    <row r="941" spans="1:5">
      <c r="A941" s="1">
        <v>41007</v>
      </c>
      <c r="B941" s="1">
        <v>1</v>
      </c>
      <c r="C941" s="14" t="s">
        <v>3954</v>
      </c>
      <c r="D941" s="2" t="s">
        <v>1444</v>
      </c>
      <c r="E941" s="17" t="s">
        <v>1436</v>
      </c>
    </row>
    <row r="942" spans="1:5">
      <c r="A942" s="1">
        <v>41008</v>
      </c>
      <c r="B942" s="1">
        <v>1</v>
      </c>
      <c r="C942" s="14" t="s">
        <v>3958</v>
      </c>
      <c r="D942" s="2" t="s">
        <v>1445</v>
      </c>
      <c r="E942" s="17" t="s">
        <v>1446</v>
      </c>
    </row>
    <row r="943" spans="1:5">
      <c r="A943" s="1">
        <v>41009</v>
      </c>
      <c r="B943" s="1">
        <v>1</v>
      </c>
      <c r="C943" s="14" t="s">
        <v>3956</v>
      </c>
      <c r="D943" s="2" t="s">
        <v>1447</v>
      </c>
      <c r="E943" s="17" t="s">
        <v>1440</v>
      </c>
    </row>
    <row r="944" spans="1:5">
      <c r="A944" s="1">
        <v>41010</v>
      </c>
      <c r="B944" s="1">
        <v>1</v>
      </c>
      <c r="C944" s="14" t="s">
        <v>3959</v>
      </c>
      <c r="D944" s="2" t="s">
        <v>1448</v>
      </c>
      <c r="E944" s="17" t="s">
        <v>1449</v>
      </c>
    </row>
    <row r="945" spans="1:5">
      <c r="A945" s="1">
        <v>41011</v>
      </c>
      <c r="B945" s="1">
        <v>1</v>
      </c>
      <c r="C945" s="14" t="s">
        <v>3960</v>
      </c>
      <c r="D945" s="2" t="s">
        <v>1450</v>
      </c>
      <c r="E945" s="17" t="s">
        <v>1451</v>
      </c>
    </row>
    <row r="946" spans="1:5">
      <c r="A946" s="1">
        <v>41012</v>
      </c>
      <c r="B946" s="1">
        <v>1</v>
      </c>
      <c r="C946" s="14" t="s">
        <v>3961</v>
      </c>
      <c r="D946" s="2" t="s">
        <v>1452</v>
      </c>
      <c r="E946" s="17" t="s">
        <v>1453</v>
      </c>
    </row>
    <row r="947" spans="1:5">
      <c r="A947" s="1">
        <v>41013</v>
      </c>
      <c r="B947" s="1">
        <v>1</v>
      </c>
      <c r="C947" s="14" t="s">
        <v>3962</v>
      </c>
      <c r="D947" s="2" t="s">
        <v>1454</v>
      </c>
      <c r="E947" s="17" t="s">
        <v>1455</v>
      </c>
    </row>
    <row r="948" spans="1:5">
      <c r="A948" s="1">
        <v>41014</v>
      </c>
      <c r="B948" s="1">
        <v>1</v>
      </c>
      <c r="C948" s="14" t="s">
        <v>3963</v>
      </c>
      <c r="D948" s="2" t="s">
        <v>1456</v>
      </c>
      <c r="E948" s="17" t="s">
        <v>1457</v>
      </c>
    </row>
    <row r="949" spans="1:5">
      <c r="A949" s="1">
        <v>41015</v>
      </c>
      <c r="B949" s="1">
        <v>1</v>
      </c>
      <c r="C949" s="14" t="s">
        <v>3964</v>
      </c>
      <c r="D949" s="2" t="s">
        <v>1458</v>
      </c>
      <c r="E949" s="17" t="s">
        <v>1459</v>
      </c>
    </row>
    <row r="950" spans="1:5">
      <c r="A950" s="1">
        <v>41016</v>
      </c>
      <c r="B950" s="1">
        <v>1</v>
      </c>
      <c r="C950" s="14" t="s">
        <v>3965</v>
      </c>
      <c r="D950" s="2" t="s">
        <v>1460</v>
      </c>
      <c r="E950" s="17" t="s">
        <v>1461</v>
      </c>
    </row>
    <row r="951" spans="1:5">
      <c r="A951" s="1">
        <v>41017</v>
      </c>
      <c r="B951" s="1">
        <v>1</v>
      </c>
      <c r="C951" s="14" t="s">
        <v>3953</v>
      </c>
      <c r="D951" s="2" t="s">
        <v>1462</v>
      </c>
      <c r="E951" s="17" t="s">
        <v>1434</v>
      </c>
    </row>
    <row r="952" spans="1:5">
      <c r="A952" s="1">
        <v>41018</v>
      </c>
      <c r="B952" s="1">
        <v>1</v>
      </c>
      <c r="C952" s="14" t="s">
        <v>3966</v>
      </c>
      <c r="D952" s="2" t="s">
        <v>1463</v>
      </c>
      <c r="E952" s="17" t="s">
        <v>1464</v>
      </c>
    </row>
    <row r="953" spans="1:5">
      <c r="A953" s="1">
        <v>41019</v>
      </c>
      <c r="B953" s="1">
        <v>1</v>
      </c>
      <c r="C953" s="14" t="s">
        <v>3954</v>
      </c>
      <c r="D953" s="2" t="s">
        <v>1465</v>
      </c>
      <c r="E953" s="17" t="s">
        <v>1436</v>
      </c>
    </row>
    <row r="954" spans="1:5">
      <c r="A954" s="1">
        <v>41020</v>
      </c>
      <c r="B954" s="1">
        <v>1</v>
      </c>
      <c r="C954" s="14" t="s">
        <v>3967</v>
      </c>
      <c r="D954" s="2" t="s">
        <v>1466</v>
      </c>
      <c r="E954" s="17" t="s">
        <v>1467</v>
      </c>
    </row>
    <row r="955" spans="1:5">
      <c r="A955" s="1">
        <v>41021</v>
      </c>
      <c r="B955" s="1">
        <v>1</v>
      </c>
      <c r="C955" s="14" t="s">
        <v>3956</v>
      </c>
      <c r="D955" s="2" t="s">
        <v>1468</v>
      </c>
      <c r="E955" s="17" t="s">
        <v>1440</v>
      </c>
    </row>
    <row r="956" spans="1:5">
      <c r="A956" s="1">
        <v>41022</v>
      </c>
      <c r="B956" s="1">
        <v>1</v>
      </c>
      <c r="C956" s="14" t="s">
        <v>3960</v>
      </c>
      <c r="D956" s="2" t="s">
        <v>1469</v>
      </c>
      <c r="E956" s="17" t="s">
        <v>1451</v>
      </c>
    </row>
    <row r="957" spans="1:5">
      <c r="A957" s="1">
        <v>41023</v>
      </c>
      <c r="B957" s="1">
        <v>1</v>
      </c>
      <c r="C957" s="14" t="s">
        <v>3968</v>
      </c>
      <c r="D957" s="2" t="s">
        <v>1470</v>
      </c>
      <c r="E957" s="17" t="s">
        <v>1471</v>
      </c>
    </row>
    <row r="958" spans="1:5">
      <c r="A958" s="1">
        <v>41024</v>
      </c>
      <c r="B958" s="1">
        <v>1</v>
      </c>
      <c r="C958" s="14" t="s">
        <v>3969</v>
      </c>
      <c r="D958" s="2" t="s">
        <v>1472</v>
      </c>
      <c r="E958" s="17" t="s">
        <v>1473</v>
      </c>
    </row>
    <row r="959" spans="1:5">
      <c r="A959" s="1">
        <v>41025</v>
      </c>
      <c r="B959" s="1">
        <v>1</v>
      </c>
      <c r="C959" s="14" t="s">
        <v>3970</v>
      </c>
      <c r="D959" s="2" t="s">
        <v>1474</v>
      </c>
      <c r="E959" s="17" t="s">
        <v>1475</v>
      </c>
    </row>
    <row r="960" spans="1:5">
      <c r="A960" s="1">
        <v>41026</v>
      </c>
      <c r="B960" s="1">
        <v>1</v>
      </c>
      <c r="C960" s="14" t="s">
        <v>3961</v>
      </c>
      <c r="D960" s="2" t="s">
        <v>1476</v>
      </c>
      <c r="E960" s="17" t="s">
        <v>1453</v>
      </c>
    </row>
    <row r="961" spans="1:5">
      <c r="A961" s="1">
        <v>41027</v>
      </c>
      <c r="B961" s="1">
        <v>1</v>
      </c>
      <c r="C961" s="14" t="s">
        <v>3963</v>
      </c>
      <c r="D961" s="2" t="s">
        <v>1477</v>
      </c>
      <c r="E961" s="17" t="s">
        <v>1457</v>
      </c>
    </row>
    <row r="962" spans="1:5">
      <c r="A962" s="1">
        <v>41028</v>
      </c>
      <c r="B962" s="1">
        <v>1</v>
      </c>
      <c r="C962" s="14" t="s">
        <v>3971</v>
      </c>
      <c r="D962" s="2" t="s">
        <v>1478</v>
      </c>
      <c r="E962" s="17" t="s">
        <v>1479</v>
      </c>
    </row>
    <row r="963" spans="1:5">
      <c r="A963" s="1">
        <v>41029</v>
      </c>
      <c r="B963" s="1">
        <v>1</v>
      </c>
      <c r="C963" s="14" t="s">
        <v>3972</v>
      </c>
      <c r="D963" s="2" t="s">
        <v>1480</v>
      </c>
      <c r="E963" s="17" t="s">
        <v>1481</v>
      </c>
    </row>
    <row r="964" spans="1:5">
      <c r="A964" s="1">
        <v>41030</v>
      </c>
      <c r="B964" s="1">
        <v>1</v>
      </c>
      <c r="C964" s="14" t="s">
        <v>3973</v>
      </c>
      <c r="D964" s="2" t="s">
        <v>1482</v>
      </c>
      <c r="E964" s="17" t="s">
        <v>1483</v>
      </c>
    </row>
    <row r="965" spans="1:5">
      <c r="A965" s="1">
        <v>41031</v>
      </c>
      <c r="B965" s="1">
        <v>1</v>
      </c>
      <c r="C965" s="14" t="s">
        <v>3965</v>
      </c>
      <c r="D965" s="2" t="s">
        <v>1484</v>
      </c>
      <c r="E965" s="17" t="s">
        <v>1461</v>
      </c>
    </row>
    <row r="966" spans="1:5">
      <c r="A966" s="1">
        <v>41032</v>
      </c>
      <c r="B966" s="1">
        <v>1</v>
      </c>
      <c r="C966" s="14" t="s">
        <v>3953</v>
      </c>
      <c r="D966" s="2" t="s">
        <v>1485</v>
      </c>
      <c r="E966" s="17" t="s">
        <v>1434</v>
      </c>
    </row>
    <row r="967" spans="1:5">
      <c r="A967" s="1">
        <v>41033</v>
      </c>
      <c r="B967" s="1">
        <v>1</v>
      </c>
      <c r="C967" s="14" t="s">
        <v>3974</v>
      </c>
      <c r="D967" s="2" t="s">
        <v>1486</v>
      </c>
      <c r="E967" s="17" t="s">
        <v>1487</v>
      </c>
    </row>
    <row r="968" spans="1:5">
      <c r="A968" s="1">
        <v>41034</v>
      </c>
      <c r="B968" s="1">
        <v>1</v>
      </c>
      <c r="C968" s="14" t="s">
        <v>3975</v>
      </c>
      <c r="D968" s="2" t="s">
        <v>1488</v>
      </c>
      <c r="E968" s="17" t="s">
        <v>1489</v>
      </c>
    </row>
    <row r="969" spans="1:5">
      <c r="A969" s="1">
        <v>41035</v>
      </c>
      <c r="B969" s="1">
        <v>1</v>
      </c>
      <c r="C969" s="14" t="s">
        <v>3976</v>
      </c>
      <c r="D969" s="2" t="s">
        <v>1490</v>
      </c>
      <c r="E969" s="17" t="s">
        <v>1491</v>
      </c>
    </row>
    <row r="970" spans="1:5">
      <c r="A970" s="1">
        <v>41036</v>
      </c>
      <c r="B970" s="1">
        <v>1</v>
      </c>
      <c r="C970" s="14" t="s">
        <v>3954</v>
      </c>
      <c r="D970" s="2" t="s">
        <v>1492</v>
      </c>
      <c r="E970" s="17" t="s">
        <v>1436</v>
      </c>
    </row>
    <row r="971" spans="1:5">
      <c r="A971" s="1">
        <v>41037</v>
      </c>
      <c r="B971" s="1">
        <v>1</v>
      </c>
      <c r="C971" s="14" t="s">
        <v>3956</v>
      </c>
      <c r="D971" s="2" t="s">
        <v>1493</v>
      </c>
      <c r="E971" s="17" t="s">
        <v>1440</v>
      </c>
    </row>
    <row r="972" spans="1:5">
      <c r="A972" s="1">
        <v>41038</v>
      </c>
      <c r="B972" s="1">
        <v>1</v>
      </c>
      <c r="C972" s="14" t="s">
        <v>3977</v>
      </c>
      <c r="D972" s="2" t="s">
        <v>1494</v>
      </c>
      <c r="E972" s="17" t="s">
        <v>1495</v>
      </c>
    </row>
    <row r="973" spans="1:5">
      <c r="A973" s="1">
        <v>41039</v>
      </c>
      <c r="B973" s="1">
        <v>1</v>
      </c>
      <c r="C973" s="14" t="s">
        <v>3978</v>
      </c>
      <c r="D973" s="2" t="s">
        <v>1496</v>
      </c>
      <c r="E973" s="17" t="s">
        <v>1497</v>
      </c>
    </row>
    <row r="974" spans="1:5">
      <c r="A974" s="1">
        <v>41040</v>
      </c>
      <c r="B974" s="1">
        <v>1</v>
      </c>
      <c r="C974" s="14" t="s">
        <v>3979</v>
      </c>
      <c r="D974" s="2" t="s">
        <v>1498</v>
      </c>
      <c r="E974" s="17" t="s">
        <v>1499</v>
      </c>
    </row>
    <row r="975" spans="1:5">
      <c r="A975" s="1">
        <v>41041</v>
      </c>
      <c r="B975" s="1">
        <v>1</v>
      </c>
      <c r="C975" s="14" t="s">
        <v>3960</v>
      </c>
      <c r="D975" s="2" t="s">
        <v>1500</v>
      </c>
      <c r="E975" s="17" t="s">
        <v>1451</v>
      </c>
    </row>
    <row r="976" spans="1:5">
      <c r="A976" s="1">
        <v>41042</v>
      </c>
      <c r="B976" s="1">
        <v>1</v>
      </c>
      <c r="C976" s="14" t="s">
        <v>3961</v>
      </c>
      <c r="D976" s="2" t="s">
        <v>1501</v>
      </c>
      <c r="E976" s="17" t="s">
        <v>1453</v>
      </c>
    </row>
    <row r="977" spans="1:5">
      <c r="A977" s="1">
        <v>41043</v>
      </c>
      <c r="B977" s="1">
        <v>1</v>
      </c>
      <c r="C977" s="14" t="s">
        <v>3980</v>
      </c>
      <c r="D977" s="2" t="s">
        <v>1502</v>
      </c>
      <c r="E977" s="17" t="s">
        <v>1503</v>
      </c>
    </row>
    <row r="978" spans="1:5">
      <c r="A978" s="1">
        <v>41044</v>
      </c>
      <c r="B978" s="1">
        <v>1</v>
      </c>
      <c r="C978" s="14" t="s">
        <v>3981</v>
      </c>
      <c r="D978" s="2" t="s">
        <v>1504</v>
      </c>
      <c r="E978" s="17" t="s">
        <v>1505</v>
      </c>
    </row>
    <row r="979" spans="1:5">
      <c r="A979" s="1">
        <v>41045</v>
      </c>
      <c r="B979" s="1">
        <v>1</v>
      </c>
      <c r="C979" s="14" t="s">
        <v>3982</v>
      </c>
      <c r="D979" s="2" t="s">
        <v>1506</v>
      </c>
      <c r="E979" s="17" t="s">
        <v>1507</v>
      </c>
    </row>
    <row r="980" spans="1:5">
      <c r="A980" s="1">
        <v>41046</v>
      </c>
      <c r="B980" s="1">
        <v>1</v>
      </c>
      <c r="C980" s="14" t="s">
        <v>3963</v>
      </c>
      <c r="D980" s="2" t="s">
        <v>1508</v>
      </c>
      <c r="E980" s="17" t="s">
        <v>1457</v>
      </c>
    </row>
    <row r="981" spans="1:5">
      <c r="A981" s="1">
        <v>41047</v>
      </c>
      <c r="B981" s="1">
        <v>1</v>
      </c>
      <c r="C981" s="14" t="s">
        <v>3965</v>
      </c>
      <c r="D981" s="2" t="s">
        <v>1509</v>
      </c>
      <c r="E981" s="17" t="s">
        <v>1461</v>
      </c>
    </row>
    <row r="982" spans="1:5">
      <c r="A982" s="1">
        <v>41048</v>
      </c>
      <c r="B982" s="1">
        <v>1</v>
      </c>
      <c r="C982" s="14" t="s">
        <v>3983</v>
      </c>
      <c r="D982" s="2" t="s">
        <v>1510</v>
      </c>
      <c r="E982" s="17" t="s">
        <v>1511</v>
      </c>
    </row>
    <row r="983" spans="1:5">
      <c r="A983" s="1">
        <v>41049</v>
      </c>
      <c r="B983" s="1">
        <v>1</v>
      </c>
      <c r="C983" s="14" t="s">
        <v>3984</v>
      </c>
      <c r="D983" s="2" t="s">
        <v>1512</v>
      </c>
      <c r="E983" s="17" t="s">
        <v>1513</v>
      </c>
    </row>
    <row r="984" spans="1:5">
      <c r="A984" s="1">
        <v>41050</v>
      </c>
      <c r="B984" s="1">
        <v>1</v>
      </c>
      <c r="C984" s="14" t="s">
        <v>3985</v>
      </c>
      <c r="D984" s="2" t="s">
        <v>1514</v>
      </c>
      <c r="E984" s="17" t="s">
        <v>1515</v>
      </c>
    </row>
    <row r="985" spans="1:5">
      <c r="A985" s="1">
        <v>41051</v>
      </c>
      <c r="B985" s="1">
        <v>1</v>
      </c>
      <c r="C985" s="14" t="s">
        <v>3953</v>
      </c>
      <c r="D985" s="2" t="s">
        <v>1516</v>
      </c>
      <c r="E985" s="17" t="s">
        <v>1434</v>
      </c>
    </row>
    <row r="986" spans="1:5">
      <c r="A986" s="1">
        <v>41052</v>
      </c>
      <c r="B986" s="1">
        <v>1</v>
      </c>
      <c r="C986" s="14" t="s">
        <v>3954</v>
      </c>
      <c r="D986" s="2" t="s">
        <v>1517</v>
      </c>
      <c r="E986" s="17" t="s">
        <v>1436</v>
      </c>
    </row>
    <row r="987" spans="1:5">
      <c r="A987" s="1">
        <v>41053</v>
      </c>
      <c r="B987" s="1">
        <v>1</v>
      </c>
      <c r="C987" s="14" t="s">
        <v>3986</v>
      </c>
      <c r="D987" s="2" t="s">
        <v>1518</v>
      </c>
      <c r="E987" s="17" t="s">
        <v>1519</v>
      </c>
    </row>
    <row r="988" spans="1:5">
      <c r="A988" s="1">
        <v>41054</v>
      </c>
      <c r="B988" s="1">
        <v>1</v>
      </c>
      <c r="C988" s="14" t="s">
        <v>3987</v>
      </c>
      <c r="D988" s="2" t="s">
        <v>1520</v>
      </c>
      <c r="E988" s="17" t="s">
        <v>1521</v>
      </c>
    </row>
    <row r="989" spans="1:5">
      <c r="A989" s="1">
        <v>41055</v>
      </c>
      <c r="B989" s="1">
        <v>1</v>
      </c>
      <c r="C989" s="14" t="s">
        <v>3988</v>
      </c>
      <c r="D989" s="2" t="s">
        <v>1522</v>
      </c>
      <c r="E989" s="17" t="s">
        <v>1523</v>
      </c>
    </row>
    <row r="990" spans="1:5">
      <c r="A990" s="1">
        <v>41056</v>
      </c>
      <c r="B990" s="1">
        <v>1</v>
      </c>
      <c r="C990" s="14" t="s">
        <v>3956</v>
      </c>
      <c r="D990" s="2" t="s">
        <v>1524</v>
      </c>
      <c r="E990" s="17" t="s">
        <v>1440</v>
      </c>
    </row>
    <row r="991" spans="1:5">
      <c r="A991" s="1">
        <v>41057</v>
      </c>
      <c r="B991" s="1">
        <v>1</v>
      </c>
      <c r="C991" s="14" t="s">
        <v>3969</v>
      </c>
      <c r="D991" s="2" t="s">
        <v>1525</v>
      </c>
      <c r="E991" s="17" t="s">
        <v>1473</v>
      </c>
    </row>
    <row r="992" spans="1:5">
      <c r="A992" s="1">
        <v>41058</v>
      </c>
      <c r="B992" s="1">
        <v>1</v>
      </c>
      <c r="C992" s="14" t="s">
        <v>3989</v>
      </c>
      <c r="D992" s="2" t="s">
        <v>1526</v>
      </c>
      <c r="E992" s="17" t="s">
        <v>1527</v>
      </c>
    </row>
    <row r="993" spans="1:5">
      <c r="A993" s="1">
        <v>41059</v>
      </c>
      <c r="B993" s="1">
        <v>1</v>
      </c>
      <c r="C993" s="14" t="s">
        <v>3990</v>
      </c>
      <c r="D993" s="2" t="s">
        <v>1528</v>
      </c>
      <c r="E993" s="17" t="s">
        <v>1529</v>
      </c>
    </row>
    <row r="994" spans="1:5">
      <c r="A994" s="1">
        <v>41060</v>
      </c>
      <c r="B994" s="1">
        <v>1</v>
      </c>
      <c r="C994" s="14" t="s">
        <v>3991</v>
      </c>
      <c r="D994" s="2" t="s">
        <v>1530</v>
      </c>
      <c r="E994" s="17" t="s">
        <v>1531</v>
      </c>
    </row>
    <row r="995" spans="1:5">
      <c r="A995" s="1">
        <v>41061</v>
      </c>
      <c r="B995" s="1">
        <v>1</v>
      </c>
      <c r="C995" s="14" t="s">
        <v>3960</v>
      </c>
      <c r="D995" s="2" t="s">
        <v>1532</v>
      </c>
      <c r="E995" s="17" t="s">
        <v>1451</v>
      </c>
    </row>
    <row r="996" spans="1:5">
      <c r="A996" s="1">
        <v>41062</v>
      </c>
      <c r="B996" s="1">
        <v>1</v>
      </c>
      <c r="C996" s="14" t="s">
        <v>3972</v>
      </c>
      <c r="D996" s="2" t="s">
        <v>1533</v>
      </c>
      <c r="E996" s="17" t="s">
        <v>1481</v>
      </c>
    </row>
    <row r="997" spans="1:5">
      <c r="A997" s="1">
        <v>41063</v>
      </c>
      <c r="B997" s="1">
        <v>1</v>
      </c>
      <c r="C997" s="14" t="s">
        <v>3992</v>
      </c>
      <c r="D997" s="2" t="s">
        <v>1534</v>
      </c>
      <c r="E997" s="17" t="s">
        <v>1535</v>
      </c>
    </row>
    <row r="998" spans="1:5">
      <c r="A998" s="1">
        <v>41064</v>
      </c>
      <c r="B998" s="1">
        <v>1</v>
      </c>
      <c r="C998" s="14" t="s">
        <v>3993</v>
      </c>
      <c r="D998" s="2" t="s">
        <v>1536</v>
      </c>
      <c r="E998" s="17" t="s">
        <v>1537</v>
      </c>
    </row>
    <row r="999" spans="1:5">
      <c r="A999" s="1">
        <v>41065</v>
      </c>
      <c r="B999" s="1">
        <v>1</v>
      </c>
      <c r="C999" s="14" t="s">
        <v>3994</v>
      </c>
      <c r="D999" s="2" t="s">
        <v>1538</v>
      </c>
      <c r="E999" s="17" t="s">
        <v>1539</v>
      </c>
    </row>
    <row r="1000" spans="1:5">
      <c r="A1000" s="1">
        <v>41066</v>
      </c>
      <c r="B1000" s="1">
        <v>1</v>
      </c>
      <c r="C1000" s="14" t="s">
        <v>3961</v>
      </c>
      <c r="D1000" s="2" t="s">
        <v>1540</v>
      </c>
      <c r="E1000" s="17" t="s">
        <v>1453</v>
      </c>
    </row>
    <row r="1001" spans="1:5">
      <c r="A1001" s="1">
        <v>41067</v>
      </c>
      <c r="B1001" s="1">
        <v>1</v>
      </c>
      <c r="C1001" s="14" t="s">
        <v>3975</v>
      </c>
      <c r="D1001" s="2" t="s">
        <v>1541</v>
      </c>
      <c r="E1001" s="17" t="s">
        <v>1489</v>
      </c>
    </row>
    <row r="1002" spans="1:5">
      <c r="A1002" s="1">
        <v>41068</v>
      </c>
      <c r="B1002" s="1">
        <v>1</v>
      </c>
      <c r="C1002" s="14" t="s">
        <v>3995</v>
      </c>
      <c r="D1002" s="2" t="s">
        <v>1542</v>
      </c>
      <c r="E1002" s="17" t="s">
        <v>1543</v>
      </c>
    </row>
    <row r="1003" spans="1:5">
      <c r="A1003" s="1">
        <v>41069</v>
      </c>
      <c r="B1003" s="1">
        <v>1</v>
      </c>
      <c r="C1003" s="14" t="s">
        <v>3996</v>
      </c>
      <c r="D1003" s="2" t="s">
        <v>1544</v>
      </c>
      <c r="E1003" s="17" t="s">
        <v>1545</v>
      </c>
    </row>
    <row r="1004" spans="1:5">
      <c r="A1004" s="1">
        <v>41070</v>
      </c>
      <c r="B1004" s="1">
        <v>1</v>
      </c>
      <c r="C1004" s="14" t="s">
        <v>3997</v>
      </c>
      <c r="D1004" s="2" t="s">
        <v>1546</v>
      </c>
      <c r="E1004" s="17" t="s">
        <v>1547</v>
      </c>
    </row>
    <row r="1005" spans="1:5">
      <c r="A1005" s="1">
        <v>41071</v>
      </c>
      <c r="B1005" s="1">
        <v>1</v>
      </c>
      <c r="C1005" s="14" t="s">
        <v>3963</v>
      </c>
      <c r="D1005" s="2" t="s">
        <v>1548</v>
      </c>
      <c r="E1005" s="17" t="s">
        <v>1457</v>
      </c>
    </row>
    <row r="1006" spans="1:5">
      <c r="A1006" s="1">
        <v>41072</v>
      </c>
      <c r="B1006" s="1">
        <v>1</v>
      </c>
      <c r="C1006" s="14" t="s">
        <v>3978</v>
      </c>
      <c r="D1006" s="2" t="s">
        <v>1549</v>
      </c>
      <c r="E1006" s="17" t="s">
        <v>1497</v>
      </c>
    </row>
    <row r="1007" spans="1:5">
      <c r="A1007" s="1">
        <v>41073</v>
      </c>
      <c r="B1007" s="1">
        <v>1</v>
      </c>
      <c r="C1007" s="14" t="s">
        <v>3980</v>
      </c>
      <c r="D1007" s="2" t="s">
        <v>1550</v>
      </c>
      <c r="E1007" s="17" t="s">
        <v>1503</v>
      </c>
    </row>
    <row r="1008" spans="1:5">
      <c r="A1008" s="1">
        <v>41074</v>
      </c>
      <c r="B1008" s="1">
        <v>1</v>
      </c>
      <c r="C1008" s="14" t="s">
        <v>3998</v>
      </c>
      <c r="D1008" s="2" t="s">
        <v>1551</v>
      </c>
      <c r="E1008" s="17" t="s">
        <v>1552</v>
      </c>
    </row>
    <row r="1009" spans="1:5">
      <c r="A1009" s="1">
        <v>41075</v>
      </c>
      <c r="B1009" s="1">
        <v>1</v>
      </c>
      <c r="C1009" s="14" t="s">
        <v>3982</v>
      </c>
      <c r="D1009" s="2" t="s">
        <v>1553</v>
      </c>
      <c r="E1009" s="17" t="s">
        <v>1507</v>
      </c>
    </row>
    <row r="1010" spans="1:5">
      <c r="A1010" s="1">
        <v>41076</v>
      </c>
      <c r="B1010" s="1">
        <v>1</v>
      </c>
      <c r="C1010" s="14" t="s">
        <v>3965</v>
      </c>
      <c r="D1010" s="2" t="s">
        <v>1554</v>
      </c>
      <c r="E1010" s="17" t="s">
        <v>1461</v>
      </c>
    </row>
    <row r="1011" spans="1:5">
      <c r="A1011" s="1">
        <v>41077</v>
      </c>
      <c r="B1011" s="1">
        <v>1</v>
      </c>
      <c r="C1011" s="14" t="s">
        <v>3981</v>
      </c>
      <c r="D1011" s="2" t="s">
        <v>1555</v>
      </c>
      <c r="E1011" s="17" t="s">
        <v>1505</v>
      </c>
    </row>
    <row r="1012" spans="1:5">
      <c r="A1012" s="1">
        <v>41078</v>
      </c>
      <c r="B1012" s="1">
        <v>1</v>
      </c>
      <c r="C1012" s="14" t="s">
        <v>3983</v>
      </c>
      <c r="D1012" s="2" t="s">
        <v>1556</v>
      </c>
      <c r="E1012" s="17" t="s">
        <v>1511</v>
      </c>
    </row>
    <row r="1013" spans="1:5">
      <c r="A1013" s="1">
        <v>41079</v>
      </c>
      <c r="B1013" s="1">
        <v>1</v>
      </c>
      <c r="C1013" s="14" t="s">
        <v>3999</v>
      </c>
      <c r="D1013" s="2" t="s">
        <v>1557</v>
      </c>
      <c r="E1013" s="17" t="s">
        <v>1558</v>
      </c>
    </row>
    <row r="1014" spans="1:5">
      <c r="A1014" s="1">
        <v>41080</v>
      </c>
      <c r="B1014" s="1">
        <v>1</v>
      </c>
      <c r="C1014" s="14" t="s">
        <v>3985</v>
      </c>
      <c r="D1014" s="2" t="s">
        <v>1559</v>
      </c>
      <c r="E1014" s="17" t="s">
        <v>1515</v>
      </c>
    </row>
    <row r="1015" spans="1:5">
      <c r="A1015" s="1">
        <v>41081</v>
      </c>
      <c r="B1015" s="1">
        <v>1</v>
      </c>
      <c r="C1015" s="14" t="s">
        <v>3953</v>
      </c>
      <c r="D1015" s="2" t="s">
        <v>1560</v>
      </c>
      <c r="E1015" s="17" t="s">
        <v>1434</v>
      </c>
    </row>
    <row r="1016" spans="1:5">
      <c r="A1016" s="1">
        <v>41082</v>
      </c>
      <c r="B1016" s="1">
        <v>1</v>
      </c>
      <c r="C1016" s="14" t="s">
        <v>3984</v>
      </c>
      <c r="D1016" s="2" t="s">
        <v>1561</v>
      </c>
      <c r="E1016" s="17" t="s">
        <v>1513</v>
      </c>
    </row>
    <row r="1017" spans="1:5">
      <c r="A1017" s="1">
        <v>41083</v>
      </c>
      <c r="B1017" s="1">
        <v>1</v>
      </c>
      <c r="C1017" s="14" t="s">
        <v>3986</v>
      </c>
      <c r="D1017" s="2" t="s">
        <v>1562</v>
      </c>
      <c r="E1017" s="17" t="s">
        <v>1519</v>
      </c>
    </row>
    <row r="1018" spans="1:5">
      <c r="A1018" s="1">
        <v>41084</v>
      </c>
      <c r="B1018" s="1">
        <v>1</v>
      </c>
      <c r="C1018" s="14" t="s">
        <v>4000</v>
      </c>
      <c r="D1018" s="2" t="s">
        <v>1563</v>
      </c>
      <c r="E1018" s="17" t="s">
        <v>1564</v>
      </c>
    </row>
    <row r="1019" spans="1:5">
      <c r="A1019" s="1">
        <v>41085</v>
      </c>
      <c r="B1019" s="1">
        <v>1</v>
      </c>
      <c r="C1019" s="14" t="s">
        <v>3988</v>
      </c>
      <c r="D1019" s="2" t="s">
        <v>1565</v>
      </c>
      <c r="E1019" s="17" t="s">
        <v>1523</v>
      </c>
    </row>
    <row r="1020" spans="1:5">
      <c r="A1020" s="1">
        <v>41086</v>
      </c>
      <c r="B1020" s="1">
        <v>1</v>
      </c>
      <c r="C1020" s="14" t="s">
        <v>3954</v>
      </c>
      <c r="D1020" s="2" t="s">
        <v>1566</v>
      </c>
      <c r="E1020" s="17" t="s">
        <v>1436</v>
      </c>
    </row>
    <row r="1021" spans="1:5">
      <c r="A1021" s="1">
        <v>41087</v>
      </c>
      <c r="B1021" s="1">
        <v>1</v>
      </c>
      <c r="C1021" s="14" t="s">
        <v>4001</v>
      </c>
      <c r="D1021" s="2" t="s">
        <v>1567</v>
      </c>
      <c r="E1021" s="17" t="s">
        <v>1568</v>
      </c>
    </row>
    <row r="1022" spans="1:5">
      <c r="A1022" s="1">
        <v>41088</v>
      </c>
      <c r="B1022" s="1">
        <v>1</v>
      </c>
      <c r="C1022" s="14" t="s">
        <v>3989</v>
      </c>
      <c r="D1022" s="2" t="s">
        <v>1569</v>
      </c>
      <c r="E1022" s="17" t="s">
        <v>1527</v>
      </c>
    </row>
    <row r="1023" spans="1:5">
      <c r="A1023" s="1">
        <v>41089</v>
      </c>
      <c r="B1023" s="1">
        <v>1</v>
      </c>
      <c r="C1023" s="14" t="s">
        <v>4002</v>
      </c>
      <c r="D1023" s="2" t="s">
        <v>1570</v>
      </c>
      <c r="E1023" s="17" t="s">
        <v>1571</v>
      </c>
    </row>
    <row r="1024" spans="1:5">
      <c r="A1024" s="1">
        <v>41090</v>
      </c>
      <c r="B1024" s="1">
        <v>1</v>
      </c>
      <c r="C1024" s="14" t="s">
        <v>3991</v>
      </c>
      <c r="D1024" s="2" t="s">
        <v>1572</v>
      </c>
      <c r="E1024" s="17" t="s">
        <v>1531</v>
      </c>
    </row>
    <row r="1025" spans="1:5">
      <c r="A1025" s="1">
        <v>41091</v>
      </c>
      <c r="B1025" s="1">
        <v>1</v>
      </c>
      <c r="C1025" s="14" t="s">
        <v>3956</v>
      </c>
      <c r="D1025" s="2" t="s">
        <v>1573</v>
      </c>
      <c r="E1025" s="17" t="s">
        <v>1440</v>
      </c>
    </row>
    <row r="1026" spans="1:5">
      <c r="A1026" s="1">
        <v>41092</v>
      </c>
      <c r="B1026" s="1">
        <v>1</v>
      </c>
      <c r="C1026" s="14" t="s">
        <v>4003</v>
      </c>
      <c r="D1026" s="2" t="s">
        <v>1574</v>
      </c>
      <c r="E1026" s="17" t="s">
        <v>1575</v>
      </c>
    </row>
    <row r="1027" spans="1:5">
      <c r="A1027" s="1">
        <v>41093</v>
      </c>
      <c r="B1027" s="1">
        <v>1</v>
      </c>
      <c r="C1027" s="14" t="s">
        <v>3992</v>
      </c>
      <c r="D1027" s="2" t="s">
        <v>1576</v>
      </c>
      <c r="E1027" s="17" t="s">
        <v>1535</v>
      </c>
    </row>
    <row r="1028" spans="1:5">
      <c r="A1028" s="1">
        <v>41094</v>
      </c>
      <c r="B1028" s="1">
        <v>1</v>
      </c>
      <c r="C1028" s="14" t="s">
        <v>4004</v>
      </c>
      <c r="D1028" s="2" t="s">
        <v>1577</v>
      </c>
      <c r="E1028" s="17" t="s">
        <v>1578</v>
      </c>
    </row>
    <row r="1029" spans="1:5">
      <c r="A1029" s="1">
        <v>41095</v>
      </c>
      <c r="B1029" s="1">
        <v>1</v>
      </c>
      <c r="C1029" s="14" t="s">
        <v>3994</v>
      </c>
      <c r="D1029" s="2" t="s">
        <v>1579</v>
      </c>
      <c r="E1029" s="17" t="s">
        <v>1539</v>
      </c>
    </row>
    <row r="1030" spans="1:5">
      <c r="A1030" s="1">
        <v>41096</v>
      </c>
      <c r="B1030" s="1">
        <v>1</v>
      </c>
      <c r="C1030" s="14" t="s">
        <v>3960</v>
      </c>
      <c r="D1030" s="2" t="s">
        <v>1580</v>
      </c>
      <c r="E1030" s="17" t="s">
        <v>1451</v>
      </c>
    </row>
    <row r="1031" spans="1:5">
      <c r="A1031" s="1">
        <v>41097</v>
      </c>
      <c r="B1031" s="1">
        <v>1</v>
      </c>
      <c r="C1031" s="14" t="s">
        <v>4005</v>
      </c>
      <c r="D1031" s="2" t="s">
        <v>1581</v>
      </c>
      <c r="E1031" s="17" t="s">
        <v>1582</v>
      </c>
    </row>
    <row r="1032" spans="1:5">
      <c r="A1032" s="1">
        <v>41098</v>
      </c>
      <c r="B1032" s="1">
        <v>1</v>
      </c>
      <c r="C1032" s="14" t="s">
        <v>3995</v>
      </c>
      <c r="D1032" s="2" t="s">
        <v>1583</v>
      </c>
      <c r="E1032" s="17" t="s">
        <v>1543</v>
      </c>
    </row>
    <row r="1033" spans="1:5">
      <c r="A1033" s="1">
        <v>41099</v>
      </c>
      <c r="B1033" s="1">
        <v>1</v>
      </c>
      <c r="C1033" s="14" t="s">
        <v>3990</v>
      </c>
      <c r="D1033" s="2" t="s">
        <v>1584</v>
      </c>
      <c r="E1033" s="17" t="s">
        <v>1529</v>
      </c>
    </row>
    <row r="1034" spans="1:5">
      <c r="A1034" s="1">
        <v>41100</v>
      </c>
      <c r="B1034" s="1">
        <v>1</v>
      </c>
      <c r="C1034" s="14" t="s">
        <v>3997</v>
      </c>
      <c r="D1034" s="2" t="s">
        <v>1585</v>
      </c>
      <c r="E1034" s="17" t="s">
        <v>1547</v>
      </c>
    </row>
    <row r="1035" spans="1:5">
      <c r="A1035" s="1">
        <v>41101</v>
      </c>
      <c r="B1035" s="1">
        <v>1</v>
      </c>
      <c r="C1035" s="14" t="s">
        <v>3961</v>
      </c>
      <c r="D1035" s="2" t="s">
        <v>1586</v>
      </c>
      <c r="E1035" s="17" t="s">
        <v>1453</v>
      </c>
    </row>
    <row r="1036" spans="1:5">
      <c r="A1036" s="1">
        <v>41102</v>
      </c>
      <c r="B1036" s="1">
        <v>1</v>
      </c>
      <c r="C1036" s="14" t="s">
        <v>4006</v>
      </c>
      <c r="D1036" s="2" t="s">
        <v>1587</v>
      </c>
      <c r="E1036" s="17" t="s">
        <v>1588</v>
      </c>
    </row>
    <row r="1037" spans="1:5">
      <c r="A1037" s="1">
        <v>41103</v>
      </c>
      <c r="B1037" s="1">
        <v>1</v>
      </c>
      <c r="C1037" s="14" t="s">
        <v>4007</v>
      </c>
      <c r="D1037" s="2" t="s">
        <v>1589</v>
      </c>
      <c r="E1037" s="17" t="s">
        <v>1590</v>
      </c>
    </row>
    <row r="1038" spans="1:5">
      <c r="A1038" s="1">
        <v>41104</v>
      </c>
      <c r="B1038" s="1">
        <v>1</v>
      </c>
      <c r="C1038" s="14" t="s">
        <v>3993</v>
      </c>
      <c r="D1038" s="2" t="s">
        <v>1591</v>
      </c>
      <c r="E1038" s="17" t="s">
        <v>1537</v>
      </c>
    </row>
    <row r="1039" spans="1:5">
      <c r="A1039" s="1">
        <v>41105</v>
      </c>
      <c r="B1039" s="1">
        <v>1</v>
      </c>
      <c r="C1039" s="14" t="s">
        <v>4008</v>
      </c>
      <c r="D1039" s="2" t="s">
        <v>1592</v>
      </c>
      <c r="E1039" s="17" t="s">
        <v>1593</v>
      </c>
    </row>
    <row r="1040" spans="1:5">
      <c r="A1040" s="1">
        <v>41106</v>
      </c>
      <c r="B1040" s="1">
        <v>1</v>
      </c>
      <c r="C1040" s="14" t="s">
        <v>3963</v>
      </c>
      <c r="D1040" s="2" t="s">
        <v>1594</v>
      </c>
      <c r="E1040" s="17" t="s">
        <v>1457</v>
      </c>
    </row>
    <row r="1041" spans="1:5">
      <c r="A1041" s="1">
        <v>41107</v>
      </c>
      <c r="B1041" s="1">
        <v>1</v>
      </c>
      <c r="C1041" s="14" t="s">
        <v>4009</v>
      </c>
      <c r="D1041" s="2" t="s">
        <v>1595</v>
      </c>
      <c r="E1041" s="17" t="s">
        <v>1596</v>
      </c>
    </row>
    <row r="1042" spans="1:5">
      <c r="A1042" s="1">
        <v>41108</v>
      </c>
      <c r="B1042" s="1">
        <v>1</v>
      </c>
      <c r="C1042" s="14" t="s">
        <v>4010</v>
      </c>
      <c r="D1042" s="2" t="s">
        <v>1597</v>
      </c>
      <c r="E1042" s="17" t="s">
        <v>1598</v>
      </c>
    </row>
    <row r="1043" spans="1:5">
      <c r="A1043" s="1">
        <v>41109</v>
      </c>
      <c r="B1043" s="1">
        <v>1</v>
      </c>
      <c r="C1043" s="14" t="s">
        <v>3996</v>
      </c>
      <c r="D1043" s="2" t="s">
        <v>1599</v>
      </c>
      <c r="E1043" s="17" t="s">
        <v>1545</v>
      </c>
    </row>
    <row r="1044" spans="1:5">
      <c r="A1044" s="1">
        <v>41110</v>
      </c>
      <c r="B1044" s="1">
        <v>1</v>
      </c>
      <c r="C1044" s="14" t="s">
        <v>4011</v>
      </c>
      <c r="D1044" s="2" t="s">
        <v>1600</v>
      </c>
      <c r="E1044" s="17" t="s">
        <v>1601</v>
      </c>
    </row>
    <row r="1045" spans="1:5">
      <c r="A1045" s="1">
        <v>41111</v>
      </c>
      <c r="B1045" s="1">
        <v>1</v>
      </c>
      <c r="C1045" s="14" t="s">
        <v>3965</v>
      </c>
      <c r="D1045" s="2" t="s">
        <v>1602</v>
      </c>
      <c r="E1045" s="17" t="s">
        <v>1461</v>
      </c>
    </row>
    <row r="1046" spans="1:5">
      <c r="A1046" s="1">
        <v>41112</v>
      </c>
      <c r="B1046" s="1">
        <v>1</v>
      </c>
      <c r="C1046" s="14" t="s">
        <v>4012</v>
      </c>
      <c r="D1046" s="2" t="s">
        <v>1603</v>
      </c>
      <c r="E1046" s="17" t="s">
        <v>1604</v>
      </c>
    </row>
    <row r="1047" spans="1:5">
      <c r="A1047" s="1">
        <v>41113</v>
      </c>
      <c r="B1047" s="1">
        <v>1</v>
      </c>
      <c r="C1047" s="14" t="s">
        <v>4013</v>
      </c>
      <c r="D1047" s="2" t="s">
        <v>1605</v>
      </c>
      <c r="E1047" s="17" t="s">
        <v>1606</v>
      </c>
    </row>
    <row r="1048" spans="1:5">
      <c r="A1048" s="1">
        <v>41114</v>
      </c>
      <c r="B1048" s="1">
        <v>1</v>
      </c>
      <c r="C1048" s="14" t="s">
        <v>3998</v>
      </c>
      <c r="D1048" s="2" t="s">
        <v>1607</v>
      </c>
      <c r="E1048" s="17" t="s">
        <v>1552</v>
      </c>
    </row>
    <row r="1049" spans="1:5">
      <c r="A1049" s="1">
        <v>41115</v>
      </c>
      <c r="B1049" s="1">
        <v>1</v>
      </c>
      <c r="C1049" s="14" t="s">
        <v>4014</v>
      </c>
      <c r="D1049" s="2" t="s">
        <v>1608</v>
      </c>
      <c r="E1049" s="17" t="s">
        <v>1609</v>
      </c>
    </row>
    <row r="1050" spans="1:5">
      <c r="A1050" s="1">
        <v>41116</v>
      </c>
      <c r="B1050" s="1">
        <v>1</v>
      </c>
      <c r="C1050" s="14" t="s">
        <v>3953</v>
      </c>
      <c r="D1050" s="2" t="s">
        <v>1610</v>
      </c>
      <c r="E1050" s="17" t="s">
        <v>1434</v>
      </c>
    </row>
    <row r="1051" spans="1:5">
      <c r="A1051" s="1">
        <v>41117</v>
      </c>
      <c r="B1051" s="1">
        <v>1</v>
      </c>
      <c r="C1051" s="14" t="s">
        <v>4015</v>
      </c>
      <c r="D1051" s="2" t="s">
        <v>1611</v>
      </c>
      <c r="E1051" s="17" t="s">
        <v>1612</v>
      </c>
    </row>
    <row r="1052" spans="1:5">
      <c r="A1052" s="1">
        <v>41118</v>
      </c>
      <c r="B1052" s="1">
        <v>1</v>
      </c>
      <c r="C1052" s="14" t="s">
        <v>4016</v>
      </c>
      <c r="D1052" s="2" t="s">
        <v>1613</v>
      </c>
      <c r="E1052" s="17" t="s">
        <v>1614</v>
      </c>
    </row>
    <row r="1053" spans="1:5">
      <c r="A1053" s="1">
        <v>41119</v>
      </c>
      <c r="B1053" s="1">
        <v>1</v>
      </c>
      <c r="C1053" s="14" t="s">
        <v>3999</v>
      </c>
      <c r="D1053" s="2" t="s">
        <v>1615</v>
      </c>
      <c r="E1053" s="17" t="s">
        <v>1558</v>
      </c>
    </row>
    <row r="1054" spans="1:5">
      <c r="A1054" s="1">
        <v>41120</v>
      </c>
      <c r="B1054" s="1">
        <v>1</v>
      </c>
      <c r="C1054" s="14" t="s">
        <v>4017</v>
      </c>
      <c r="D1054" s="2" t="s">
        <v>1616</v>
      </c>
      <c r="E1054" s="17" t="s">
        <v>1617</v>
      </c>
    </row>
    <row r="1055" spans="1:5">
      <c r="A1055" s="22">
        <v>45001</v>
      </c>
      <c r="B1055" s="22">
        <v>1</v>
      </c>
      <c r="C1055" s="14" t="s">
        <v>4018</v>
      </c>
      <c r="D1055" s="23" t="s">
        <v>1618</v>
      </c>
      <c r="E1055" s="24" t="s">
        <v>1619</v>
      </c>
    </row>
    <row r="1056" spans="1:5">
      <c r="A1056" s="22">
        <v>45002</v>
      </c>
      <c r="B1056" s="22">
        <v>1</v>
      </c>
      <c r="C1056" s="14" t="s">
        <v>4019</v>
      </c>
      <c r="D1056" s="23" t="s">
        <v>1618</v>
      </c>
      <c r="E1056" s="24" t="s">
        <v>1620</v>
      </c>
    </row>
    <row r="1057" spans="1:5">
      <c r="A1057" s="22">
        <v>45003</v>
      </c>
      <c r="B1057" s="22">
        <v>1</v>
      </c>
      <c r="C1057" s="14" t="s">
        <v>3891</v>
      </c>
      <c r="D1057" s="23" t="s">
        <v>1618</v>
      </c>
      <c r="E1057" s="24" t="s">
        <v>1276</v>
      </c>
    </row>
    <row r="1058" spans="1:5">
      <c r="A1058" s="22">
        <v>45004</v>
      </c>
      <c r="B1058" s="22">
        <v>1</v>
      </c>
      <c r="C1058" s="14" t="s">
        <v>4020</v>
      </c>
      <c r="D1058" s="23" t="s">
        <v>1618</v>
      </c>
      <c r="E1058" s="24" t="s">
        <v>1621</v>
      </c>
    </row>
    <row r="1059" spans="1:5">
      <c r="A1059" s="22">
        <v>45005</v>
      </c>
      <c r="B1059" s="22">
        <v>1</v>
      </c>
      <c r="C1059" s="14" t="s">
        <v>4021</v>
      </c>
      <c r="D1059" s="23" t="s">
        <v>1618</v>
      </c>
      <c r="E1059" s="24" t="s">
        <v>1622</v>
      </c>
    </row>
    <row r="1060" spans="1:5">
      <c r="A1060" s="22">
        <v>45006</v>
      </c>
      <c r="B1060" s="22">
        <v>1</v>
      </c>
      <c r="C1060" s="14" t="s">
        <v>3891</v>
      </c>
      <c r="D1060" s="23" t="s">
        <v>1618</v>
      </c>
      <c r="E1060" s="24" t="s">
        <v>1276</v>
      </c>
    </row>
    <row r="1061" spans="1:5">
      <c r="A1061" s="22">
        <v>45007</v>
      </c>
      <c r="B1061" s="22">
        <v>1</v>
      </c>
      <c r="C1061" s="14" t="s">
        <v>4021</v>
      </c>
      <c r="D1061" s="23" t="s">
        <v>1618</v>
      </c>
      <c r="E1061" s="24" t="s">
        <v>1622</v>
      </c>
    </row>
    <row r="1062" spans="1:5">
      <c r="A1062" s="22">
        <v>45008</v>
      </c>
      <c r="B1062" s="22">
        <v>1</v>
      </c>
      <c r="C1062" s="14" t="s">
        <v>3709</v>
      </c>
      <c r="D1062" s="23" t="s">
        <v>1618</v>
      </c>
      <c r="E1062" s="24" t="s">
        <v>612</v>
      </c>
    </row>
    <row r="1063" spans="1:5">
      <c r="A1063" s="22">
        <v>45009</v>
      </c>
      <c r="B1063" s="22">
        <v>1</v>
      </c>
      <c r="C1063" s="14" t="s">
        <v>4022</v>
      </c>
      <c r="D1063" s="23" t="s">
        <v>1618</v>
      </c>
      <c r="E1063" s="24" t="s">
        <v>1623</v>
      </c>
    </row>
    <row r="1064" spans="1:5">
      <c r="A1064" s="22">
        <v>45010</v>
      </c>
      <c r="B1064" s="22">
        <v>1</v>
      </c>
      <c r="C1064" s="14" t="s">
        <v>3892</v>
      </c>
      <c r="D1064" s="23" t="s">
        <v>1618</v>
      </c>
      <c r="E1064" s="24" t="s">
        <v>1279</v>
      </c>
    </row>
    <row r="1065" spans="1:5">
      <c r="A1065" s="22">
        <v>45011</v>
      </c>
      <c r="B1065" s="22">
        <v>1</v>
      </c>
      <c r="C1065" s="14" t="s">
        <v>4021</v>
      </c>
      <c r="D1065" s="23" t="s">
        <v>1618</v>
      </c>
      <c r="E1065" s="24" t="s">
        <v>1622</v>
      </c>
    </row>
    <row r="1066" spans="1:5">
      <c r="A1066" s="22">
        <v>45012</v>
      </c>
      <c r="B1066" s="22">
        <v>1</v>
      </c>
      <c r="C1066" s="14" t="s">
        <v>4023</v>
      </c>
      <c r="D1066" s="23" t="s">
        <v>1618</v>
      </c>
      <c r="E1066" s="24" t="s">
        <v>1624</v>
      </c>
    </row>
    <row r="1067" spans="1:5">
      <c r="A1067" s="22">
        <v>45013</v>
      </c>
      <c r="B1067" s="22">
        <v>1</v>
      </c>
      <c r="C1067" s="14" t="s">
        <v>3892</v>
      </c>
      <c r="D1067" s="23" t="s">
        <v>1618</v>
      </c>
      <c r="E1067" s="24" t="s">
        <v>1279</v>
      </c>
    </row>
    <row r="1068" spans="1:5">
      <c r="A1068" s="22">
        <v>45014</v>
      </c>
      <c r="B1068" s="22">
        <v>1</v>
      </c>
      <c r="C1068" s="14" t="s">
        <v>4024</v>
      </c>
      <c r="D1068" s="23" t="s">
        <v>1618</v>
      </c>
      <c r="E1068" s="24" t="s">
        <v>1625</v>
      </c>
    </row>
    <row r="1069" spans="1:5">
      <c r="A1069" s="22">
        <v>45015</v>
      </c>
      <c r="B1069" s="22">
        <v>1</v>
      </c>
      <c r="C1069" s="14" t="s">
        <v>4025</v>
      </c>
      <c r="D1069" s="23" t="s">
        <v>1618</v>
      </c>
      <c r="E1069" s="24" t="s">
        <v>1626</v>
      </c>
    </row>
    <row r="1070" spans="1:5">
      <c r="A1070" s="22">
        <v>45016</v>
      </c>
      <c r="B1070" s="22">
        <v>1</v>
      </c>
      <c r="C1070" s="14" t="s">
        <v>3709</v>
      </c>
      <c r="D1070" s="23" t="s">
        <v>1618</v>
      </c>
      <c r="E1070" s="24" t="s">
        <v>612</v>
      </c>
    </row>
    <row r="1071" spans="1:5">
      <c r="A1071" s="22">
        <v>45017</v>
      </c>
      <c r="B1071" s="22">
        <v>1</v>
      </c>
      <c r="C1071" s="14" t="s">
        <v>3892</v>
      </c>
      <c r="D1071" s="23" t="s">
        <v>1618</v>
      </c>
      <c r="E1071" s="24" t="s">
        <v>1279</v>
      </c>
    </row>
    <row r="1072" spans="1:5">
      <c r="A1072" s="22">
        <v>45018</v>
      </c>
      <c r="B1072" s="22">
        <v>1</v>
      </c>
      <c r="C1072" s="14" t="s">
        <v>3350</v>
      </c>
      <c r="D1072" s="23" t="s">
        <v>1618</v>
      </c>
      <c r="E1072" s="24" t="s">
        <v>616</v>
      </c>
    </row>
    <row r="1073" spans="1:5">
      <c r="A1073" s="22">
        <v>45019</v>
      </c>
      <c r="B1073" s="22">
        <v>1</v>
      </c>
      <c r="C1073" s="14" t="s">
        <v>3893</v>
      </c>
      <c r="D1073" s="23" t="s">
        <v>1618</v>
      </c>
      <c r="E1073" s="24" t="s">
        <v>1282</v>
      </c>
    </row>
    <row r="1074" spans="1:5">
      <c r="A1074" s="22">
        <v>45020</v>
      </c>
      <c r="B1074" s="22">
        <v>1</v>
      </c>
      <c r="C1074" s="14" t="s">
        <v>3713</v>
      </c>
      <c r="D1074" s="23" t="s">
        <v>1618</v>
      </c>
      <c r="E1074" s="24" t="s">
        <v>621</v>
      </c>
    </row>
    <row r="1075" spans="1:5">
      <c r="A1075" s="22">
        <v>45021</v>
      </c>
      <c r="B1075" s="22">
        <v>1</v>
      </c>
      <c r="C1075" s="14" t="s">
        <v>4022</v>
      </c>
      <c r="D1075" s="23" t="s">
        <v>1618</v>
      </c>
      <c r="E1075" s="24" t="s">
        <v>1623</v>
      </c>
    </row>
    <row r="1076" spans="1:5">
      <c r="A1076" s="22">
        <v>45022</v>
      </c>
      <c r="B1076" s="22">
        <v>1</v>
      </c>
      <c r="C1076" s="14" t="s">
        <v>4024</v>
      </c>
      <c r="D1076" s="23" t="s">
        <v>1618</v>
      </c>
      <c r="E1076" s="24" t="s">
        <v>1625</v>
      </c>
    </row>
    <row r="1077" spans="1:5">
      <c r="A1077" s="22">
        <v>45023</v>
      </c>
      <c r="B1077" s="22">
        <v>1</v>
      </c>
      <c r="C1077" s="14" t="s">
        <v>3893</v>
      </c>
      <c r="D1077" s="23" t="s">
        <v>1618</v>
      </c>
      <c r="E1077" s="24" t="s">
        <v>1282</v>
      </c>
    </row>
    <row r="1078" spans="1:5">
      <c r="A1078" s="22">
        <v>45024</v>
      </c>
      <c r="B1078" s="22">
        <v>1</v>
      </c>
      <c r="C1078" s="14" t="s">
        <v>4026</v>
      </c>
      <c r="D1078" s="23" t="s">
        <v>1618</v>
      </c>
      <c r="E1078" s="24" t="s">
        <v>1627</v>
      </c>
    </row>
    <row r="1079" spans="1:5">
      <c r="A1079" s="22">
        <v>45025</v>
      </c>
      <c r="B1079" s="22">
        <v>1</v>
      </c>
      <c r="C1079" s="14" t="s">
        <v>4027</v>
      </c>
      <c r="D1079" s="23" t="s">
        <v>1618</v>
      </c>
      <c r="E1079" s="24" t="s">
        <v>1628</v>
      </c>
    </row>
    <row r="1080" spans="1:5">
      <c r="A1080" s="22">
        <v>45026</v>
      </c>
      <c r="B1080" s="22">
        <v>1</v>
      </c>
      <c r="C1080" s="14" t="s">
        <v>3892</v>
      </c>
      <c r="D1080" s="23" t="s">
        <v>1618</v>
      </c>
      <c r="E1080" s="24" t="s">
        <v>1279</v>
      </c>
    </row>
    <row r="1081" spans="1:5">
      <c r="A1081" s="22">
        <v>45027</v>
      </c>
      <c r="B1081" s="22">
        <v>1</v>
      </c>
      <c r="C1081" s="14" t="s">
        <v>4025</v>
      </c>
      <c r="D1081" s="23" t="s">
        <v>1618</v>
      </c>
      <c r="E1081" s="24" t="s">
        <v>1626</v>
      </c>
    </row>
    <row r="1082" spans="1:5">
      <c r="A1082" s="22">
        <v>45028</v>
      </c>
      <c r="B1082" s="22">
        <v>1</v>
      </c>
      <c r="C1082" s="14" t="s">
        <v>3713</v>
      </c>
      <c r="D1082" s="23" t="s">
        <v>1618</v>
      </c>
      <c r="E1082" s="24" t="s">
        <v>621</v>
      </c>
    </row>
    <row r="1083" spans="1:5">
      <c r="A1083" s="22">
        <v>45029</v>
      </c>
      <c r="B1083" s="22">
        <v>1</v>
      </c>
      <c r="C1083" s="14" t="s">
        <v>4027</v>
      </c>
      <c r="D1083" s="23" t="s">
        <v>1618</v>
      </c>
      <c r="E1083" s="24" t="s">
        <v>1628</v>
      </c>
    </row>
    <row r="1084" spans="1:5">
      <c r="A1084" s="22">
        <v>45030</v>
      </c>
      <c r="B1084" s="22">
        <v>1</v>
      </c>
      <c r="C1084" s="14" t="s">
        <v>3895</v>
      </c>
      <c r="D1084" s="23" t="s">
        <v>1618</v>
      </c>
      <c r="E1084" s="24" t="s">
        <v>1288</v>
      </c>
    </row>
    <row r="1085" spans="1:5">
      <c r="A1085" s="22">
        <v>45031</v>
      </c>
      <c r="B1085" s="22">
        <v>1</v>
      </c>
      <c r="C1085" s="14" t="s">
        <v>4028</v>
      </c>
      <c r="D1085" s="23" t="s">
        <v>1618</v>
      </c>
      <c r="E1085" s="24" t="s">
        <v>1629</v>
      </c>
    </row>
    <row r="1086" spans="1:5">
      <c r="A1086" s="22">
        <v>45032</v>
      </c>
      <c r="B1086" s="22">
        <v>1</v>
      </c>
      <c r="C1086" s="14" t="s">
        <v>4029</v>
      </c>
      <c r="D1086" s="23" t="s">
        <v>1618</v>
      </c>
      <c r="E1086" s="24" t="s">
        <v>1630</v>
      </c>
    </row>
    <row r="1087" spans="1:5">
      <c r="A1087" s="22">
        <v>45033</v>
      </c>
      <c r="B1087" s="22">
        <v>1</v>
      </c>
      <c r="C1087" s="14" t="s">
        <v>3894</v>
      </c>
      <c r="D1087" s="23" t="s">
        <v>1618</v>
      </c>
      <c r="E1087" s="24" t="s">
        <v>1285</v>
      </c>
    </row>
    <row r="1088" spans="1:5">
      <c r="A1088" s="22">
        <v>45034</v>
      </c>
      <c r="B1088" s="22">
        <v>1</v>
      </c>
      <c r="C1088" s="14" t="s">
        <v>4030</v>
      </c>
      <c r="D1088" s="23" t="s">
        <v>1618</v>
      </c>
      <c r="E1088" s="24" t="s">
        <v>1631</v>
      </c>
    </row>
    <row r="1089" spans="1:5">
      <c r="A1089" s="22">
        <v>45035</v>
      </c>
      <c r="B1089" s="22">
        <v>1</v>
      </c>
      <c r="C1089" s="14" t="s">
        <v>4031</v>
      </c>
      <c r="D1089" s="23" t="s">
        <v>1618</v>
      </c>
      <c r="E1089" s="24" t="s">
        <v>1632</v>
      </c>
    </row>
    <row r="1090" spans="1:5">
      <c r="A1090" s="22">
        <v>45036</v>
      </c>
      <c r="B1090" s="22">
        <v>1</v>
      </c>
      <c r="C1090" s="14" t="s">
        <v>3350</v>
      </c>
      <c r="D1090" s="23" t="s">
        <v>1618</v>
      </c>
      <c r="E1090" s="24" t="s">
        <v>616</v>
      </c>
    </row>
    <row r="1091" spans="1:5">
      <c r="A1091" s="22">
        <v>45037</v>
      </c>
      <c r="B1091" s="22">
        <v>1</v>
      </c>
      <c r="C1091" s="14" t="s">
        <v>3713</v>
      </c>
      <c r="D1091" s="23" t="s">
        <v>1618</v>
      </c>
      <c r="E1091" s="24" t="s">
        <v>621</v>
      </c>
    </row>
    <row r="1092" spans="1:5">
      <c r="A1092" s="22">
        <v>45038</v>
      </c>
      <c r="B1092" s="22">
        <v>1</v>
      </c>
      <c r="C1092" s="14" t="s">
        <v>3352</v>
      </c>
      <c r="D1092" s="23" t="s">
        <v>1618</v>
      </c>
      <c r="E1092" s="24" t="s">
        <v>713</v>
      </c>
    </row>
    <row r="1093" spans="1:5">
      <c r="A1093" s="22">
        <v>45039</v>
      </c>
      <c r="B1093" s="22">
        <v>1</v>
      </c>
      <c r="C1093" s="14" t="s">
        <v>3699</v>
      </c>
      <c r="D1093" s="23" t="s">
        <v>1618</v>
      </c>
      <c r="E1093" s="24" t="s">
        <v>628</v>
      </c>
    </row>
    <row r="1094" spans="1:5">
      <c r="A1094" s="22">
        <v>45040</v>
      </c>
      <c r="B1094" s="22">
        <v>1</v>
      </c>
      <c r="C1094" s="14" t="s">
        <v>3353</v>
      </c>
      <c r="D1094" s="23" t="s">
        <v>1618</v>
      </c>
      <c r="E1094" s="24" t="s">
        <v>1293</v>
      </c>
    </row>
    <row r="1095" spans="1:5">
      <c r="A1095" s="22">
        <v>45041</v>
      </c>
      <c r="B1095" s="22">
        <v>1</v>
      </c>
      <c r="C1095" s="14" t="s">
        <v>4025</v>
      </c>
      <c r="D1095" s="23" t="s">
        <v>1618</v>
      </c>
      <c r="E1095" s="24" t="s">
        <v>1626</v>
      </c>
    </row>
    <row r="1096" spans="1:5">
      <c r="A1096" s="22">
        <v>45042</v>
      </c>
      <c r="B1096" s="22">
        <v>1</v>
      </c>
      <c r="C1096" s="14" t="s">
        <v>4032</v>
      </c>
      <c r="D1096" s="23" t="s">
        <v>1618</v>
      </c>
      <c r="E1096" s="24" t="s">
        <v>1633</v>
      </c>
    </row>
    <row r="1097" spans="1:5">
      <c r="A1097" s="22">
        <v>45043</v>
      </c>
      <c r="B1097" s="22">
        <v>1</v>
      </c>
      <c r="C1097" s="14" t="s">
        <v>3895</v>
      </c>
      <c r="D1097" s="23" t="s">
        <v>1618</v>
      </c>
      <c r="E1097" s="24" t="s">
        <v>1288</v>
      </c>
    </row>
    <row r="1098" spans="1:5">
      <c r="A1098" s="22">
        <v>45044</v>
      </c>
      <c r="B1098" s="22">
        <v>1</v>
      </c>
      <c r="C1098" s="14" t="s">
        <v>4033</v>
      </c>
      <c r="D1098" s="23" t="s">
        <v>1618</v>
      </c>
      <c r="E1098" s="24" t="s">
        <v>1634</v>
      </c>
    </row>
    <row r="1099" spans="1:5">
      <c r="A1099" s="22">
        <v>45045</v>
      </c>
      <c r="B1099" s="22">
        <v>1</v>
      </c>
      <c r="C1099" s="14" t="s">
        <v>4034</v>
      </c>
      <c r="D1099" s="23" t="s">
        <v>1618</v>
      </c>
      <c r="E1099" s="24" t="s">
        <v>1635</v>
      </c>
    </row>
    <row r="1100" spans="1:5">
      <c r="A1100" s="22">
        <v>45046</v>
      </c>
      <c r="B1100" s="22">
        <v>1</v>
      </c>
      <c r="C1100" s="14" t="s">
        <v>3893</v>
      </c>
      <c r="D1100" s="23" t="s">
        <v>1618</v>
      </c>
      <c r="E1100" s="24" t="s">
        <v>1282</v>
      </c>
    </row>
    <row r="1101" spans="1:5">
      <c r="A1101" s="22">
        <v>45047</v>
      </c>
      <c r="B1101" s="22">
        <v>1</v>
      </c>
      <c r="C1101" s="14" t="s">
        <v>4027</v>
      </c>
      <c r="D1101" s="23" t="s">
        <v>1618</v>
      </c>
      <c r="E1101" s="24" t="s">
        <v>1628</v>
      </c>
    </row>
    <row r="1102" spans="1:5">
      <c r="A1102" s="22">
        <v>45048</v>
      </c>
      <c r="B1102" s="22">
        <v>1</v>
      </c>
      <c r="C1102" s="14" t="s">
        <v>3699</v>
      </c>
      <c r="D1102" s="23" t="s">
        <v>1618</v>
      </c>
      <c r="E1102" s="24" t="s">
        <v>628</v>
      </c>
    </row>
    <row r="1103" spans="1:5">
      <c r="A1103" s="22">
        <v>45049</v>
      </c>
      <c r="B1103" s="22">
        <v>1</v>
      </c>
      <c r="C1103" s="14" t="s">
        <v>4035</v>
      </c>
      <c r="D1103" s="23" t="s">
        <v>1618</v>
      </c>
      <c r="E1103" s="24" t="s">
        <v>1636</v>
      </c>
    </row>
    <row r="1104" spans="1:5">
      <c r="A1104" s="22">
        <v>45050</v>
      </c>
      <c r="B1104" s="22">
        <v>1</v>
      </c>
      <c r="C1104" s="14" t="s">
        <v>3898</v>
      </c>
      <c r="D1104" s="23" t="s">
        <v>1618</v>
      </c>
      <c r="E1104" s="24" t="s">
        <v>1298</v>
      </c>
    </row>
    <row r="1105" spans="1:5">
      <c r="A1105" s="22">
        <v>45051</v>
      </c>
      <c r="B1105" s="22">
        <v>1</v>
      </c>
      <c r="C1105" s="14" t="s">
        <v>4036</v>
      </c>
      <c r="D1105" s="23" t="s">
        <v>1618</v>
      </c>
      <c r="E1105" s="24" t="s">
        <v>1637</v>
      </c>
    </row>
    <row r="1106" spans="1:5">
      <c r="A1106" s="22">
        <v>45052</v>
      </c>
      <c r="B1106" s="22">
        <v>1</v>
      </c>
      <c r="C1106" s="14" t="s">
        <v>4037</v>
      </c>
      <c r="D1106" s="23" t="s">
        <v>1618</v>
      </c>
      <c r="E1106" s="24" t="s">
        <v>1638</v>
      </c>
    </row>
    <row r="1107" spans="1:5">
      <c r="A1107" s="22">
        <v>45053</v>
      </c>
      <c r="B1107" s="22">
        <v>1</v>
      </c>
      <c r="C1107" s="14" t="s">
        <v>3896</v>
      </c>
      <c r="D1107" s="23" t="s">
        <v>1618</v>
      </c>
      <c r="E1107" s="24" t="s">
        <v>1291</v>
      </c>
    </row>
    <row r="1108" spans="1:5">
      <c r="A1108" s="22">
        <v>45054</v>
      </c>
      <c r="B1108" s="22">
        <v>1</v>
      </c>
      <c r="C1108" s="14" t="s">
        <v>4038</v>
      </c>
      <c r="D1108" s="23" t="s">
        <v>1618</v>
      </c>
      <c r="E1108" s="24" t="s">
        <v>1639</v>
      </c>
    </row>
    <row r="1109" spans="1:5">
      <c r="A1109" s="22">
        <v>45055</v>
      </c>
      <c r="B1109" s="22">
        <v>1</v>
      </c>
      <c r="C1109" s="14" t="s">
        <v>4039</v>
      </c>
      <c r="D1109" s="23" t="s">
        <v>1618</v>
      </c>
      <c r="E1109" s="24" t="s">
        <v>1640</v>
      </c>
    </row>
    <row r="1110" spans="1:5">
      <c r="A1110" s="22">
        <v>45056</v>
      </c>
      <c r="B1110" s="22">
        <v>1</v>
      </c>
      <c r="C1110" s="14" t="s">
        <v>3713</v>
      </c>
      <c r="D1110" s="23" t="s">
        <v>1618</v>
      </c>
      <c r="E1110" s="24" t="s">
        <v>621</v>
      </c>
    </row>
    <row r="1111" spans="1:5">
      <c r="A1111" s="22">
        <v>45057</v>
      </c>
      <c r="B1111" s="22">
        <v>1</v>
      </c>
      <c r="C1111" s="14" t="s">
        <v>3895</v>
      </c>
      <c r="D1111" s="23" t="s">
        <v>1618</v>
      </c>
      <c r="E1111" s="24" t="s">
        <v>1288</v>
      </c>
    </row>
    <row r="1112" spans="1:5">
      <c r="A1112" s="22">
        <v>45058</v>
      </c>
      <c r="B1112" s="22">
        <v>1</v>
      </c>
      <c r="C1112" s="14" t="s">
        <v>3353</v>
      </c>
      <c r="D1112" s="23" t="s">
        <v>1618</v>
      </c>
      <c r="E1112" s="24" t="s">
        <v>1293</v>
      </c>
    </row>
    <row r="1113" spans="1:5">
      <c r="A1113" s="22">
        <v>45059</v>
      </c>
      <c r="B1113" s="22">
        <v>1</v>
      </c>
      <c r="C1113" s="14" t="s">
        <v>3898</v>
      </c>
      <c r="D1113" s="23" t="s">
        <v>1618</v>
      </c>
      <c r="E1113" s="24" t="s">
        <v>1298</v>
      </c>
    </row>
    <row r="1114" spans="1:5">
      <c r="A1114" s="22">
        <v>45060</v>
      </c>
      <c r="B1114" s="22">
        <v>1</v>
      </c>
      <c r="C1114" s="14" t="s">
        <v>3726</v>
      </c>
      <c r="D1114" s="23" t="s">
        <v>1618</v>
      </c>
      <c r="E1114" s="24" t="s">
        <v>645</v>
      </c>
    </row>
    <row r="1115" spans="1:5">
      <c r="A1115" s="22">
        <v>45061</v>
      </c>
      <c r="B1115" s="22">
        <v>1</v>
      </c>
      <c r="C1115" s="14" t="s">
        <v>3406</v>
      </c>
      <c r="D1115" s="23" t="s">
        <v>1618</v>
      </c>
      <c r="E1115" s="24" t="s">
        <v>1641</v>
      </c>
    </row>
    <row r="1116" spans="1:5">
      <c r="A1116" s="22">
        <v>45062</v>
      </c>
      <c r="B1116" s="22">
        <v>1</v>
      </c>
      <c r="C1116" s="14" t="s">
        <v>4040</v>
      </c>
      <c r="D1116" s="23" t="s">
        <v>1618</v>
      </c>
      <c r="E1116" s="24" t="s">
        <v>1642</v>
      </c>
    </row>
    <row r="1117" spans="1:5">
      <c r="A1117" s="22">
        <v>45063</v>
      </c>
      <c r="B1117" s="22">
        <v>1</v>
      </c>
      <c r="C1117" s="14" t="s">
        <v>3897</v>
      </c>
      <c r="D1117" s="23" t="s">
        <v>1618</v>
      </c>
      <c r="E1117" s="24" t="s">
        <v>1295</v>
      </c>
    </row>
    <row r="1118" spans="1:5">
      <c r="A1118" s="22">
        <v>45064</v>
      </c>
      <c r="B1118" s="22">
        <v>1</v>
      </c>
      <c r="C1118" s="14" t="s">
        <v>4041</v>
      </c>
      <c r="D1118" s="23" t="s">
        <v>1618</v>
      </c>
      <c r="E1118" s="24" t="s">
        <v>1643</v>
      </c>
    </row>
    <row r="1119" spans="1:5">
      <c r="A1119" s="22">
        <v>45065</v>
      </c>
      <c r="B1119" s="22">
        <v>1</v>
      </c>
      <c r="C1119" s="14" t="s">
        <v>4042</v>
      </c>
      <c r="D1119" s="23" t="s">
        <v>1618</v>
      </c>
      <c r="E1119" s="24" t="s">
        <v>1644</v>
      </c>
    </row>
    <row r="1120" spans="1:5">
      <c r="A1120" s="22">
        <v>45066</v>
      </c>
      <c r="B1120" s="22">
        <v>1</v>
      </c>
      <c r="C1120" s="14" t="s">
        <v>3894</v>
      </c>
      <c r="D1120" s="23" t="s">
        <v>1618</v>
      </c>
      <c r="E1120" s="24" t="s">
        <v>1285</v>
      </c>
    </row>
    <row r="1121" spans="1:5">
      <c r="A1121" s="22">
        <v>45067</v>
      </c>
      <c r="B1121" s="22">
        <v>1</v>
      </c>
      <c r="C1121" s="14" t="s">
        <v>4031</v>
      </c>
      <c r="D1121" s="23" t="s">
        <v>1618</v>
      </c>
      <c r="E1121" s="24" t="s">
        <v>1632</v>
      </c>
    </row>
    <row r="1122" spans="1:5">
      <c r="A1122" s="22">
        <v>45068</v>
      </c>
      <c r="B1122" s="22">
        <v>1</v>
      </c>
      <c r="C1122" s="14" t="s">
        <v>3724</v>
      </c>
      <c r="D1122" s="23" t="s">
        <v>1618</v>
      </c>
      <c r="E1122" s="24" t="s">
        <v>642</v>
      </c>
    </row>
    <row r="1123" spans="1:5">
      <c r="A1123" s="22">
        <v>45069</v>
      </c>
      <c r="B1123" s="22">
        <v>1</v>
      </c>
      <c r="C1123" s="14" t="s">
        <v>4043</v>
      </c>
      <c r="D1123" s="23" t="s">
        <v>1618</v>
      </c>
      <c r="E1123" s="24" t="s">
        <v>1645</v>
      </c>
    </row>
    <row r="1124" spans="1:5">
      <c r="A1124" s="22">
        <v>45070</v>
      </c>
      <c r="B1124" s="22">
        <v>1</v>
      </c>
      <c r="C1124" s="14" t="s">
        <v>3901</v>
      </c>
      <c r="D1124" s="23" t="s">
        <v>1618</v>
      </c>
      <c r="E1124" s="24" t="s">
        <v>1307</v>
      </c>
    </row>
    <row r="1125" spans="1:5">
      <c r="A1125" s="22">
        <v>45071</v>
      </c>
      <c r="B1125" s="22">
        <v>1</v>
      </c>
      <c r="C1125" s="14" t="s">
        <v>4027</v>
      </c>
      <c r="D1125" s="23" t="s">
        <v>1618</v>
      </c>
      <c r="E1125" s="24" t="s">
        <v>1628</v>
      </c>
    </row>
    <row r="1126" spans="1:5">
      <c r="A1126" s="22">
        <v>45072</v>
      </c>
      <c r="B1126" s="22">
        <v>1</v>
      </c>
      <c r="C1126" s="14" t="s">
        <v>4033</v>
      </c>
      <c r="D1126" s="23" t="s">
        <v>1618</v>
      </c>
      <c r="E1126" s="24" t="s">
        <v>1634</v>
      </c>
    </row>
    <row r="1127" spans="1:5">
      <c r="A1127" s="22">
        <v>45073</v>
      </c>
      <c r="B1127" s="22">
        <v>1</v>
      </c>
      <c r="C1127" s="14" t="s">
        <v>3898</v>
      </c>
      <c r="D1127" s="23" t="s">
        <v>1618</v>
      </c>
      <c r="E1127" s="24" t="s">
        <v>1298</v>
      </c>
    </row>
    <row r="1128" spans="1:5">
      <c r="A1128" s="22">
        <v>45074</v>
      </c>
      <c r="B1128" s="22">
        <v>1</v>
      </c>
      <c r="C1128" s="14" t="s">
        <v>4044</v>
      </c>
      <c r="D1128" s="23" t="s">
        <v>1618</v>
      </c>
      <c r="E1128" s="24" t="s">
        <v>1646</v>
      </c>
    </row>
    <row r="1129" spans="1:5">
      <c r="A1129" s="22">
        <v>45075</v>
      </c>
      <c r="B1129" s="22">
        <v>1</v>
      </c>
      <c r="C1129" s="14" t="s">
        <v>4045</v>
      </c>
      <c r="D1129" s="23" t="s">
        <v>1618</v>
      </c>
      <c r="E1129" s="24" t="s">
        <v>1647</v>
      </c>
    </row>
    <row r="1130" spans="1:5">
      <c r="A1130" s="22">
        <v>45076</v>
      </c>
      <c r="B1130" s="22">
        <v>1</v>
      </c>
      <c r="C1130" s="14" t="s">
        <v>3352</v>
      </c>
      <c r="D1130" s="23" t="s">
        <v>1618</v>
      </c>
      <c r="E1130" s="24" t="s">
        <v>713</v>
      </c>
    </row>
    <row r="1131" spans="1:5">
      <c r="A1131" s="22">
        <v>45077</v>
      </c>
      <c r="B1131" s="22">
        <v>1</v>
      </c>
      <c r="C1131" s="14" t="s">
        <v>3353</v>
      </c>
      <c r="D1131" s="23" t="s">
        <v>1618</v>
      </c>
      <c r="E1131" s="24" t="s">
        <v>1293</v>
      </c>
    </row>
    <row r="1132" spans="1:5">
      <c r="A1132" s="22">
        <v>45078</v>
      </c>
      <c r="B1132" s="22">
        <v>1</v>
      </c>
      <c r="C1132" s="14" t="s">
        <v>3354</v>
      </c>
      <c r="D1132" s="23" t="s">
        <v>1618</v>
      </c>
      <c r="E1132" s="24" t="s">
        <v>782</v>
      </c>
    </row>
    <row r="1133" spans="1:5">
      <c r="A1133" s="22">
        <v>45079</v>
      </c>
      <c r="B1133" s="22">
        <v>1</v>
      </c>
      <c r="C1133" s="14" t="s">
        <v>3355</v>
      </c>
      <c r="D1133" s="23" t="s">
        <v>1618</v>
      </c>
      <c r="E1133" s="24" t="s">
        <v>599</v>
      </c>
    </row>
    <row r="1134" spans="1:5">
      <c r="A1134" s="22">
        <v>45080</v>
      </c>
      <c r="B1134" s="22">
        <v>1</v>
      </c>
      <c r="C1134" s="14" t="s">
        <v>3356</v>
      </c>
      <c r="D1134" s="23" t="s">
        <v>1618</v>
      </c>
      <c r="E1134" s="24" t="s">
        <v>649</v>
      </c>
    </row>
    <row r="1135" spans="1:5">
      <c r="A1135" s="22">
        <v>45081</v>
      </c>
      <c r="B1135" s="22">
        <v>1</v>
      </c>
      <c r="C1135" s="14" t="s">
        <v>4046</v>
      </c>
      <c r="D1135" s="23" t="s">
        <v>1618</v>
      </c>
      <c r="E1135" s="24" t="s">
        <v>1648</v>
      </c>
    </row>
    <row r="1136" spans="1:5">
      <c r="A1136" s="22">
        <v>45082</v>
      </c>
      <c r="B1136" s="22">
        <v>1</v>
      </c>
      <c r="C1136" s="14" t="s">
        <v>4047</v>
      </c>
      <c r="D1136" s="23" t="s">
        <v>1618</v>
      </c>
      <c r="E1136" s="24" t="s">
        <v>1649</v>
      </c>
    </row>
    <row r="1137" spans="1:5">
      <c r="A1137" s="22">
        <v>45083</v>
      </c>
      <c r="B1137" s="22">
        <v>1</v>
      </c>
      <c r="C1137" s="14" t="s">
        <v>3899</v>
      </c>
      <c r="D1137" s="23" t="s">
        <v>1618</v>
      </c>
      <c r="E1137" s="24" t="s">
        <v>1301</v>
      </c>
    </row>
    <row r="1138" spans="1:5">
      <c r="A1138" s="22">
        <v>45084</v>
      </c>
      <c r="B1138" s="22">
        <v>1</v>
      </c>
      <c r="C1138" s="14" t="s">
        <v>4048</v>
      </c>
      <c r="D1138" s="23" t="s">
        <v>1618</v>
      </c>
      <c r="E1138" s="24" t="s">
        <v>1650</v>
      </c>
    </row>
    <row r="1139" spans="1:5">
      <c r="A1139" s="22">
        <v>45085</v>
      </c>
      <c r="B1139" s="22">
        <v>1</v>
      </c>
      <c r="C1139" s="14" t="s">
        <v>4049</v>
      </c>
      <c r="D1139" s="23" t="s">
        <v>1618</v>
      </c>
      <c r="E1139" s="24" t="s">
        <v>1651</v>
      </c>
    </row>
    <row r="1140" spans="1:5">
      <c r="A1140" s="22">
        <v>45086</v>
      </c>
      <c r="B1140" s="22">
        <v>1</v>
      </c>
      <c r="C1140" s="14" t="s">
        <v>3895</v>
      </c>
      <c r="D1140" s="23" t="s">
        <v>1618</v>
      </c>
      <c r="E1140" s="24" t="s">
        <v>1288</v>
      </c>
    </row>
    <row r="1141" spans="1:5">
      <c r="A1141" s="22">
        <v>45087</v>
      </c>
      <c r="B1141" s="22">
        <v>1</v>
      </c>
      <c r="C1141" s="14" t="s">
        <v>4034</v>
      </c>
      <c r="D1141" s="23" t="s">
        <v>1618</v>
      </c>
      <c r="E1141" s="24" t="s">
        <v>1635</v>
      </c>
    </row>
    <row r="1142" spans="1:5">
      <c r="A1142" s="22">
        <v>45088</v>
      </c>
      <c r="B1142" s="22">
        <v>1</v>
      </c>
      <c r="C1142" s="14" t="s">
        <v>3726</v>
      </c>
      <c r="D1142" s="23" t="s">
        <v>1618</v>
      </c>
      <c r="E1142" s="24" t="s">
        <v>645</v>
      </c>
    </row>
    <row r="1143" spans="1:5">
      <c r="A1143" s="22">
        <v>45089</v>
      </c>
      <c r="B1143" s="22">
        <v>1</v>
      </c>
      <c r="C1143" s="14" t="s">
        <v>4045</v>
      </c>
      <c r="D1143" s="23" t="s">
        <v>1618</v>
      </c>
      <c r="E1143" s="24" t="s">
        <v>1647</v>
      </c>
    </row>
    <row r="1144" spans="1:5">
      <c r="A1144" s="22">
        <v>45090</v>
      </c>
      <c r="B1144" s="22">
        <v>1</v>
      </c>
      <c r="C1144" s="14" t="s">
        <v>3906</v>
      </c>
      <c r="D1144" s="23" t="s">
        <v>1618</v>
      </c>
      <c r="E1144" s="24" t="s">
        <v>1318</v>
      </c>
    </row>
    <row r="1145" spans="1:5">
      <c r="A1145" s="22">
        <v>45091</v>
      </c>
      <c r="B1145" s="22">
        <v>1</v>
      </c>
      <c r="C1145" s="14" t="s">
        <v>4050</v>
      </c>
      <c r="D1145" s="23" t="s">
        <v>1618</v>
      </c>
      <c r="E1145" s="24" t="s">
        <v>1652</v>
      </c>
    </row>
    <row r="1146" spans="1:5">
      <c r="A1146" s="22">
        <v>45092</v>
      </c>
      <c r="B1146" s="22">
        <v>1</v>
      </c>
      <c r="C1146" s="14" t="s">
        <v>4051</v>
      </c>
      <c r="D1146" s="23" t="s">
        <v>1618</v>
      </c>
      <c r="E1146" s="24" t="s">
        <v>1653</v>
      </c>
    </row>
    <row r="1147" spans="1:5">
      <c r="A1147" s="22">
        <v>45093</v>
      </c>
      <c r="B1147" s="22">
        <v>1</v>
      </c>
      <c r="C1147" s="14" t="s">
        <v>3900</v>
      </c>
      <c r="D1147" s="23" t="s">
        <v>1618</v>
      </c>
      <c r="E1147" s="24" t="s">
        <v>1304</v>
      </c>
    </row>
    <row r="1148" spans="1:5">
      <c r="A1148" s="22">
        <v>45094</v>
      </c>
      <c r="B1148" s="22">
        <v>1</v>
      </c>
      <c r="C1148" s="14" t="s">
        <v>4052</v>
      </c>
      <c r="D1148" s="23" t="s">
        <v>1618</v>
      </c>
      <c r="E1148" s="24" t="s">
        <v>1654</v>
      </c>
    </row>
    <row r="1149" spans="1:5">
      <c r="A1149" s="22">
        <v>45095</v>
      </c>
      <c r="B1149" s="22">
        <v>1</v>
      </c>
      <c r="C1149" s="14" t="s">
        <v>4053</v>
      </c>
      <c r="D1149" s="23" t="s">
        <v>1618</v>
      </c>
      <c r="E1149" s="24" t="s">
        <v>1655</v>
      </c>
    </row>
    <row r="1150" spans="1:5">
      <c r="A1150" s="22">
        <v>45096</v>
      </c>
      <c r="B1150" s="22">
        <v>1</v>
      </c>
      <c r="C1150" s="14" t="s">
        <v>3699</v>
      </c>
      <c r="D1150" s="23" t="s">
        <v>1618</v>
      </c>
      <c r="E1150" s="24" t="s">
        <v>628</v>
      </c>
    </row>
    <row r="1151" spans="1:5">
      <c r="A1151" s="22">
        <v>45097</v>
      </c>
      <c r="B1151" s="22">
        <v>1</v>
      </c>
      <c r="C1151" s="14" t="s">
        <v>3898</v>
      </c>
      <c r="D1151" s="23" t="s">
        <v>1618</v>
      </c>
      <c r="E1151" s="24" t="s">
        <v>1298</v>
      </c>
    </row>
    <row r="1152" spans="1:5">
      <c r="A1152" s="22">
        <v>45098</v>
      </c>
      <c r="B1152" s="22">
        <v>1</v>
      </c>
      <c r="C1152" s="14" t="s">
        <v>3355</v>
      </c>
      <c r="D1152" s="23" t="s">
        <v>1618</v>
      </c>
      <c r="E1152" s="24" t="s">
        <v>599</v>
      </c>
    </row>
    <row r="1153" spans="1:5">
      <c r="A1153" s="22">
        <v>45099</v>
      </c>
      <c r="B1153" s="22">
        <v>1</v>
      </c>
      <c r="C1153" s="14" t="s">
        <v>3904</v>
      </c>
      <c r="D1153" s="23" t="s">
        <v>1618</v>
      </c>
      <c r="E1153" s="24" t="s">
        <v>1314</v>
      </c>
    </row>
    <row r="1154" spans="1:5">
      <c r="A1154" s="22">
        <v>45100</v>
      </c>
      <c r="B1154" s="22">
        <v>1</v>
      </c>
      <c r="C1154" s="14" t="s">
        <v>3729</v>
      </c>
      <c r="D1154" s="23" t="s">
        <v>1618</v>
      </c>
      <c r="E1154" s="24" t="s">
        <v>653</v>
      </c>
    </row>
    <row r="1155" spans="1:5">
      <c r="A1155" s="22">
        <v>45101</v>
      </c>
      <c r="B1155" s="22">
        <v>1</v>
      </c>
      <c r="C1155" s="14" t="s">
        <v>4031</v>
      </c>
      <c r="D1155" s="23" t="s">
        <v>1618</v>
      </c>
      <c r="E1155" s="24" t="s">
        <v>1632</v>
      </c>
    </row>
    <row r="1156" spans="1:5">
      <c r="A1156" s="22">
        <v>45102</v>
      </c>
      <c r="B1156" s="22">
        <v>1</v>
      </c>
      <c r="C1156" s="14" t="s">
        <v>4054</v>
      </c>
      <c r="D1156" s="23" t="s">
        <v>1618</v>
      </c>
      <c r="E1156" s="24" t="s">
        <v>1656</v>
      </c>
    </row>
    <row r="1157" spans="1:5">
      <c r="A1157" s="22">
        <v>45103</v>
      </c>
      <c r="B1157" s="22">
        <v>1</v>
      </c>
      <c r="C1157" s="14" t="s">
        <v>3901</v>
      </c>
      <c r="D1157" s="23" t="s">
        <v>1618</v>
      </c>
      <c r="E1157" s="24" t="s">
        <v>1307</v>
      </c>
    </row>
    <row r="1158" spans="1:5">
      <c r="A1158" s="22">
        <v>45104</v>
      </c>
      <c r="B1158" s="22">
        <v>1</v>
      </c>
      <c r="C1158" s="14" t="s">
        <v>4055</v>
      </c>
      <c r="D1158" s="23" t="s">
        <v>1618</v>
      </c>
      <c r="E1158" s="24" t="s">
        <v>1657</v>
      </c>
    </row>
    <row r="1159" spans="1:5">
      <c r="A1159" s="22">
        <v>45105</v>
      </c>
      <c r="B1159" s="22">
        <v>1</v>
      </c>
      <c r="C1159" s="14" t="s">
        <v>4056</v>
      </c>
      <c r="D1159" s="23" t="s">
        <v>1618</v>
      </c>
      <c r="E1159" s="24" t="s">
        <v>1658</v>
      </c>
    </row>
    <row r="1160" spans="1:5">
      <c r="A1160" s="22">
        <v>45106</v>
      </c>
      <c r="B1160" s="22">
        <v>1</v>
      </c>
      <c r="C1160" s="14" t="s">
        <v>3896</v>
      </c>
      <c r="D1160" s="23" t="s">
        <v>1618</v>
      </c>
      <c r="E1160" s="24" t="s">
        <v>1291</v>
      </c>
    </row>
    <row r="1161" spans="1:5">
      <c r="A1161" s="22">
        <v>45107</v>
      </c>
      <c r="B1161" s="22">
        <v>1</v>
      </c>
      <c r="C1161" s="14" t="s">
        <v>4039</v>
      </c>
      <c r="D1161" s="23" t="s">
        <v>1618</v>
      </c>
      <c r="E1161" s="24" t="s">
        <v>1640</v>
      </c>
    </row>
    <row r="1162" spans="1:5">
      <c r="A1162" s="22">
        <v>45108</v>
      </c>
      <c r="B1162" s="22">
        <v>1</v>
      </c>
      <c r="C1162" s="14" t="s">
        <v>3902</v>
      </c>
      <c r="D1162" s="23" t="s">
        <v>1618</v>
      </c>
      <c r="E1162" s="24" t="s">
        <v>1309</v>
      </c>
    </row>
    <row r="1163" spans="1:5">
      <c r="A1163" s="22">
        <v>45109</v>
      </c>
      <c r="B1163" s="22">
        <v>1</v>
      </c>
      <c r="C1163" s="14" t="s">
        <v>4057</v>
      </c>
      <c r="D1163" s="23" t="s">
        <v>1618</v>
      </c>
      <c r="E1163" s="24" t="s">
        <v>1659</v>
      </c>
    </row>
    <row r="1164" spans="1:5">
      <c r="A1164" s="22">
        <v>45110</v>
      </c>
      <c r="B1164" s="22">
        <v>1</v>
      </c>
      <c r="C1164" s="14" t="s">
        <v>3909</v>
      </c>
      <c r="D1164" s="23" t="s">
        <v>1618</v>
      </c>
      <c r="E1164" s="24" t="s">
        <v>1329</v>
      </c>
    </row>
    <row r="1165" spans="1:5">
      <c r="A1165" s="22">
        <v>45111</v>
      </c>
      <c r="B1165" s="22">
        <v>1</v>
      </c>
      <c r="C1165" s="14" t="s">
        <v>4058</v>
      </c>
      <c r="D1165" s="23" t="s">
        <v>1618</v>
      </c>
      <c r="E1165" s="24" t="s">
        <v>1660</v>
      </c>
    </row>
    <row r="1166" spans="1:5">
      <c r="A1166" s="22">
        <v>45112</v>
      </c>
      <c r="B1166" s="22">
        <v>1</v>
      </c>
      <c r="C1166" s="14" t="s">
        <v>4059</v>
      </c>
      <c r="D1166" s="23" t="s">
        <v>1618</v>
      </c>
      <c r="E1166" s="24" t="s">
        <v>1661</v>
      </c>
    </row>
    <row r="1167" spans="1:5">
      <c r="A1167" s="22">
        <v>45113</v>
      </c>
      <c r="B1167" s="22">
        <v>1</v>
      </c>
      <c r="C1167" s="14" t="s">
        <v>3903</v>
      </c>
      <c r="D1167" s="23" t="s">
        <v>1618</v>
      </c>
      <c r="E1167" s="24" t="s">
        <v>1311</v>
      </c>
    </row>
    <row r="1168" spans="1:5">
      <c r="A1168" s="22">
        <v>45114</v>
      </c>
      <c r="B1168" s="22">
        <v>1</v>
      </c>
      <c r="C1168" s="14" t="s">
        <v>4060</v>
      </c>
      <c r="D1168" s="23" t="s">
        <v>1618</v>
      </c>
      <c r="E1168" s="24" t="s">
        <v>1662</v>
      </c>
    </row>
    <row r="1169" spans="1:5">
      <c r="A1169" s="22">
        <v>45115</v>
      </c>
      <c r="B1169" s="22">
        <v>1</v>
      </c>
      <c r="C1169" s="14" t="s">
        <v>4061</v>
      </c>
      <c r="D1169" s="23" t="s">
        <v>1618</v>
      </c>
      <c r="E1169" s="24" t="s">
        <v>1663</v>
      </c>
    </row>
    <row r="1170" spans="1:5">
      <c r="A1170" s="22">
        <v>45116</v>
      </c>
      <c r="B1170" s="22">
        <v>1</v>
      </c>
      <c r="C1170" s="14" t="s">
        <v>3353</v>
      </c>
      <c r="D1170" s="23" t="s">
        <v>1618</v>
      </c>
      <c r="E1170" s="24" t="s">
        <v>1293</v>
      </c>
    </row>
    <row r="1171" spans="1:5">
      <c r="A1171" s="22">
        <v>45117</v>
      </c>
      <c r="B1171" s="22">
        <v>1</v>
      </c>
      <c r="C1171" s="14" t="s">
        <v>3726</v>
      </c>
      <c r="D1171" s="23" t="s">
        <v>1618</v>
      </c>
      <c r="E1171" s="24" t="s">
        <v>645</v>
      </c>
    </row>
    <row r="1172" spans="1:5">
      <c r="A1172" s="22">
        <v>45118</v>
      </c>
      <c r="B1172" s="22">
        <v>1</v>
      </c>
      <c r="C1172" s="14" t="s">
        <v>3356</v>
      </c>
      <c r="D1172" s="23" t="s">
        <v>1618</v>
      </c>
      <c r="E1172" s="24" t="s">
        <v>649</v>
      </c>
    </row>
    <row r="1173" spans="1:5">
      <c r="A1173" s="22">
        <v>45119</v>
      </c>
      <c r="B1173" s="22">
        <v>1</v>
      </c>
      <c r="C1173" s="14" t="s">
        <v>3729</v>
      </c>
      <c r="D1173" s="23" t="s">
        <v>1618</v>
      </c>
      <c r="E1173" s="24" t="s">
        <v>653</v>
      </c>
    </row>
    <row r="1174" spans="1:5">
      <c r="A1174" s="22">
        <v>45120</v>
      </c>
      <c r="B1174" s="22">
        <v>1</v>
      </c>
      <c r="C1174" s="14" t="s">
        <v>3359</v>
      </c>
      <c r="D1174" s="23" t="s">
        <v>1618</v>
      </c>
      <c r="E1174" s="24" t="s">
        <v>1334</v>
      </c>
    </row>
    <row r="1175" spans="1:5">
      <c r="A1175" s="22">
        <v>45121</v>
      </c>
      <c r="B1175" s="22">
        <v>1</v>
      </c>
      <c r="C1175" s="14" t="s">
        <v>4035</v>
      </c>
      <c r="D1175" s="23" t="s">
        <v>1618</v>
      </c>
      <c r="E1175" s="24" t="s">
        <v>1636</v>
      </c>
    </row>
    <row r="1176" spans="1:5">
      <c r="A1176" s="22">
        <v>45122</v>
      </c>
      <c r="B1176" s="22">
        <v>1</v>
      </c>
      <c r="C1176" s="14" t="s">
        <v>4044</v>
      </c>
      <c r="D1176" s="23" t="s">
        <v>1618</v>
      </c>
      <c r="E1176" s="24" t="s">
        <v>1646</v>
      </c>
    </row>
    <row r="1177" spans="1:5">
      <c r="A1177" s="22">
        <v>45123</v>
      </c>
      <c r="B1177" s="22">
        <v>1</v>
      </c>
      <c r="C1177" s="14" t="s">
        <v>3904</v>
      </c>
      <c r="D1177" s="23" t="s">
        <v>1618</v>
      </c>
      <c r="E1177" s="24" t="s">
        <v>1314</v>
      </c>
    </row>
    <row r="1178" spans="1:5">
      <c r="A1178" s="22">
        <v>45124</v>
      </c>
      <c r="B1178" s="22">
        <v>1</v>
      </c>
      <c r="C1178" s="14" t="s">
        <v>4062</v>
      </c>
      <c r="D1178" s="23" t="s">
        <v>1618</v>
      </c>
      <c r="E1178" s="24" t="s">
        <v>1664</v>
      </c>
    </row>
    <row r="1179" spans="1:5">
      <c r="A1179" s="22">
        <v>45125</v>
      </c>
      <c r="B1179" s="22">
        <v>1</v>
      </c>
      <c r="C1179" s="14" t="s">
        <v>4063</v>
      </c>
      <c r="D1179" s="23" t="s">
        <v>1618</v>
      </c>
      <c r="E1179" s="24" t="s">
        <v>1665</v>
      </c>
    </row>
    <row r="1180" spans="1:5">
      <c r="A1180" s="22">
        <v>45126</v>
      </c>
      <c r="B1180" s="22">
        <v>1</v>
      </c>
      <c r="C1180" s="14" t="s">
        <v>3897</v>
      </c>
      <c r="D1180" s="23" t="s">
        <v>1618</v>
      </c>
      <c r="E1180" s="24" t="s">
        <v>1295</v>
      </c>
    </row>
    <row r="1181" spans="1:5">
      <c r="A1181" s="22">
        <v>45127</v>
      </c>
      <c r="B1181" s="22">
        <v>1</v>
      </c>
      <c r="C1181" s="14" t="s">
        <v>4042</v>
      </c>
      <c r="D1181" s="23" t="s">
        <v>1618</v>
      </c>
      <c r="E1181" s="24" t="s">
        <v>1644</v>
      </c>
    </row>
    <row r="1182" spans="1:5">
      <c r="A1182" s="22">
        <v>45128</v>
      </c>
      <c r="B1182" s="22">
        <v>1</v>
      </c>
      <c r="C1182" s="14" t="s">
        <v>3905</v>
      </c>
      <c r="D1182" s="23" t="s">
        <v>1618</v>
      </c>
      <c r="E1182" s="24" t="s">
        <v>1316</v>
      </c>
    </row>
    <row r="1183" spans="1:5">
      <c r="A1183" s="22">
        <v>45129</v>
      </c>
      <c r="B1183" s="22">
        <v>1</v>
      </c>
      <c r="C1183" s="14" t="s">
        <v>4064</v>
      </c>
      <c r="D1183" s="23" t="s">
        <v>1618</v>
      </c>
      <c r="E1183" s="24" t="s">
        <v>1666</v>
      </c>
    </row>
    <row r="1184" spans="1:5">
      <c r="A1184" s="22">
        <v>45130</v>
      </c>
      <c r="B1184" s="22">
        <v>1</v>
      </c>
      <c r="C1184" s="14" t="s">
        <v>3913</v>
      </c>
      <c r="D1184" s="23" t="s">
        <v>1618</v>
      </c>
      <c r="E1184" s="24" t="s">
        <v>1340</v>
      </c>
    </row>
    <row r="1185" spans="1:5">
      <c r="A1185" s="22">
        <v>45131</v>
      </c>
      <c r="B1185" s="22">
        <v>1</v>
      </c>
      <c r="C1185" s="14" t="s">
        <v>4034</v>
      </c>
      <c r="D1185" s="23" t="s">
        <v>1618</v>
      </c>
      <c r="E1185" s="24" t="s">
        <v>1635</v>
      </c>
    </row>
    <row r="1186" spans="1:5">
      <c r="A1186" s="22">
        <v>45132</v>
      </c>
      <c r="B1186" s="22">
        <v>1</v>
      </c>
      <c r="C1186" s="14" t="s">
        <v>4065</v>
      </c>
      <c r="D1186" s="23" t="s">
        <v>1618</v>
      </c>
      <c r="E1186" s="24" t="s">
        <v>1667</v>
      </c>
    </row>
    <row r="1187" spans="1:5">
      <c r="A1187" s="22">
        <v>45133</v>
      </c>
      <c r="B1187" s="22">
        <v>1</v>
      </c>
      <c r="C1187" s="14" t="s">
        <v>3906</v>
      </c>
      <c r="D1187" s="23" t="s">
        <v>1618</v>
      </c>
      <c r="E1187" s="24" t="s">
        <v>1318</v>
      </c>
    </row>
    <row r="1188" spans="1:5">
      <c r="A1188" s="22">
        <v>45134</v>
      </c>
      <c r="B1188" s="22">
        <v>1</v>
      </c>
      <c r="C1188" s="14" t="s">
        <v>4066</v>
      </c>
      <c r="D1188" s="23" t="s">
        <v>1618</v>
      </c>
      <c r="E1188" s="24" t="s">
        <v>1668</v>
      </c>
    </row>
    <row r="1189" spans="1:5">
      <c r="A1189" s="22">
        <v>45135</v>
      </c>
      <c r="B1189" s="22">
        <v>1</v>
      </c>
      <c r="C1189" s="14" t="s">
        <v>4067</v>
      </c>
      <c r="D1189" s="23" t="s">
        <v>1618</v>
      </c>
      <c r="E1189" s="24" t="s">
        <v>1669</v>
      </c>
    </row>
    <row r="1190" spans="1:5">
      <c r="A1190" s="22">
        <v>45136</v>
      </c>
      <c r="B1190" s="22">
        <v>1</v>
      </c>
      <c r="C1190" s="14" t="s">
        <v>3724</v>
      </c>
      <c r="D1190" s="23" t="s">
        <v>1618</v>
      </c>
      <c r="E1190" s="24" t="s">
        <v>642</v>
      </c>
    </row>
    <row r="1191" spans="1:5">
      <c r="A1191" s="22">
        <v>45137</v>
      </c>
      <c r="B1191" s="22">
        <v>1</v>
      </c>
      <c r="C1191" s="14" t="s">
        <v>3901</v>
      </c>
      <c r="D1191" s="23" t="s">
        <v>1618</v>
      </c>
      <c r="E1191" s="24" t="s">
        <v>1307</v>
      </c>
    </row>
    <row r="1192" spans="1:5">
      <c r="A1192" s="22">
        <v>45138</v>
      </c>
      <c r="B1192" s="22">
        <v>1</v>
      </c>
      <c r="C1192" s="14" t="s">
        <v>3357</v>
      </c>
      <c r="D1192" s="23" t="s">
        <v>1618</v>
      </c>
      <c r="E1192" s="24" t="s">
        <v>1320</v>
      </c>
    </row>
    <row r="1193" spans="1:5">
      <c r="A1193" s="22">
        <v>45139</v>
      </c>
      <c r="B1193" s="22">
        <v>1</v>
      </c>
      <c r="C1193" s="14" t="s">
        <v>3910</v>
      </c>
      <c r="D1193" s="23" t="s">
        <v>1618</v>
      </c>
      <c r="E1193" s="24" t="s">
        <v>1332</v>
      </c>
    </row>
    <row r="1194" spans="1:5">
      <c r="A1194" s="22">
        <v>45140</v>
      </c>
      <c r="B1194" s="22">
        <v>1</v>
      </c>
      <c r="C1194" s="14" t="s">
        <v>3915</v>
      </c>
      <c r="D1194" s="23" t="s">
        <v>1618</v>
      </c>
      <c r="E1194" s="24" t="s">
        <v>1345</v>
      </c>
    </row>
    <row r="1195" spans="1:5">
      <c r="A1195" s="22">
        <v>45141</v>
      </c>
      <c r="B1195" s="22">
        <v>1</v>
      </c>
      <c r="C1195" s="14" t="s">
        <v>4068</v>
      </c>
      <c r="D1195" s="23" t="s">
        <v>1618</v>
      </c>
      <c r="E1195" s="24" t="s">
        <v>1670</v>
      </c>
    </row>
    <row r="1196" spans="1:5">
      <c r="A1196" s="22">
        <v>45142</v>
      </c>
      <c r="B1196" s="22">
        <v>1</v>
      </c>
      <c r="C1196" s="14" t="s">
        <v>4069</v>
      </c>
      <c r="D1196" s="23" t="s">
        <v>1618</v>
      </c>
      <c r="E1196" s="24" t="s">
        <v>1671</v>
      </c>
    </row>
    <row r="1197" spans="1:5">
      <c r="A1197" s="22">
        <v>45143</v>
      </c>
      <c r="B1197" s="22">
        <v>1</v>
      </c>
      <c r="C1197" s="14" t="s">
        <v>3907</v>
      </c>
      <c r="D1197" s="23" t="s">
        <v>1618</v>
      </c>
      <c r="E1197" s="24" t="s">
        <v>1322</v>
      </c>
    </row>
    <row r="1198" spans="1:5">
      <c r="A1198" s="22">
        <v>45144</v>
      </c>
      <c r="B1198" s="22">
        <v>1</v>
      </c>
      <c r="C1198" s="14" t="s">
        <v>4070</v>
      </c>
      <c r="D1198" s="23" t="s">
        <v>1618</v>
      </c>
      <c r="E1198" s="24" t="s">
        <v>1672</v>
      </c>
    </row>
    <row r="1199" spans="1:5">
      <c r="A1199" s="22">
        <v>45145</v>
      </c>
      <c r="B1199" s="22">
        <v>1</v>
      </c>
      <c r="C1199" s="14" t="s">
        <v>4071</v>
      </c>
      <c r="D1199" s="23" t="s">
        <v>1618</v>
      </c>
      <c r="E1199" s="24" t="s">
        <v>1673</v>
      </c>
    </row>
    <row r="1200" spans="1:5">
      <c r="A1200" s="22">
        <v>45146</v>
      </c>
      <c r="B1200" s="22">
        <v>1</v>
      </c>
      <c r="C1200" s="14" t="s">
        <v>3898</v>
      </c>
      <c r="D1200" s="23" t="s">
        <v>1618</v>
      </c>
      <c r="E1200" s="24" t="s">
        <v>1298</v>
      </c>
    </row>
    <row r="1201" spans="1:5">
      <c r="A1201" s="22">
        <v>45147</v>
      </c>
      <c r="B1201" s="22">
        <v>1</v>
      </c>
      <c r="C1201" s="14" t="s">
        <v>4045</v>
      </c>
      <c r="D1201" s="23" t="s">
        <v>1618</v>
      </c>
      <c r="E1201" s="24" t="s">
        <v>1647</v>
      </c>
    </row>
    <row r="1202" spans="1:5">
      <c r="A1202" s="22">
        <v>45148</v>
      </c>
      <c r="B1202" s="22">
        <v>1</v>
      </c>
      <c r="C1202" s="14" t="s">
        <v>3729</v>
      </c>
      <c r="D1202" s="23" t="s">
        <v>1618</v>
      </c>
      <c r="E1202" s="24" t="s">
        <v>653</v>
      </c>
    </row>
    <row r="1203" spans="1:5">
      <c r="A1203" s="22">
        <v>45149</v>
      </c>
      <c r="B1203" s="22">
        <v>1</v>
      </c>
      <c r="C1203" s="14" t="s">
        <v>4063</v>
      </c>
      <c r="D1203" s="23" t="s">
        <v>1618</v>
      </c>
      <c r="E1203" s="24" t="s">
        <v>1665</v>
      </c>
    </row>
    <row r="1204" spans="1:5">
      <c r="A1204" s="22">
        <v>45150</v>
      </c>
      <c r="B1204" s="22">
        <v>1</v>
      </c>
      <c r="C1204" s="14" t="s">
        <v>3917</v>
      </c>
      <c r="D1204" s="23" t="s">
        <v>1618</v>
      </c>
      <c r="E1204" s="24" t="s">
        <v>1351</v>
      </c>
    </row>
    <row r="1205" spans="1:5">
      <c r="A1205" s="22">
        <v>45151</v>
      </c>
      <c r="B1205" s="22">
        <v>1</v>
      </c>
      <c r="C1205" s="14" t="s">
        <v>4072</v>
      </c>
      <c r="D1205" s="23" t="s">
        <v>1618</v>
      </c>
      <c r="E1205" s="24" t="s">
        <v>1674</v>
      </c>
    </row>
    <row r="1206" spans="1:5">
      <c r="A1206" s="22">
        <v>45152</v>
      </c>
      <c r="B1206" s="22">
        <v>1</v>
      </c>
      <c r="C1206" s="14" t="s">
        <v>4073</v>
      </c>
      <c r="D1206" s="23" t="s">
        <v>1618</v>
      </c>
      <c r="E1206" s="24" t="s">
        <v>1675</v>
      </c>
    </row>
    <row r="1207" spans="1:5">
      <c r="A1207" s="22">
        <v>45153</v>
      </c>
      <c r="B1207" s="22">
        <v>1</v>
      </c>
      <c r="C1207" s="14" t="s">
        <v>3908</v>
      </c>
      <c r="D1207" s="23" t="s">
        <v>1618</v>
      </c>
      <c r="E1207" s="24" t="s">
        <v>1325</v>
      </c>
    </row>
    <row r="1208" spans="1:5">
      <c r="A1208" s="22">
        <v>45154</v>
      </c>
      <c r="B1208" s="22">
        <v>1</v>
      </c>
      <c r="C1208" s="14" t="s">
        <v>4074</v>
      </c>
      <c r="D1208" s="23" t="s">
        <v>1618</v>
      </c>
      <c r="E1208" s="24" t="s">
        <v>1676</v>
      </c>
    </row>
    <row r="1209" spans="1:5">
      <c r="A1209" s="22">
        <v>45155</v>
      </c>
      <c r="B1209" s="22">
        <v>1</v>
      </c>
      <c r="C1209" s="14" t="s">
        <v>4075</v>
      </c>
      <c r="D1209" s="23" t="s">
        <v>1618</v>
      </c>
      <c r="E1209" s="24" t="s">
        <v>1677</v>
      </c>
    </row>
    <row r="1210" spans="1:5">
      <c r="A1210" s="22">
        <v>45156</v>
      </c>
      <c r="B1210" s="22">
        <v>1</v>
      </c>
      <c r="C1210" s="14" t="s">
        <v>3354</v>
      </c>
      <c r="D1210" s="23" t="s">
        <v>1618</v>
      </c>
      <c r="E1210" s="24" t="s">
        <v>782</v>
      </c>
    </row>
    <row r="1211" spans="1:5">
      <c r="A1211" s="22">
        <v>45157</v>
      </c>
      <c r="B1211" s="22">
        <v>1</v>
      </c>
      <c r="C1211" s="14" t="s">
        <v>3356</v>
      </c>
      <c r="D1211" s="23" t="s">
        <v>1618</v>
      </c>
      <c r="E1211" s="24" t="s">
        <v>649</v>
      </c>
    </row>
    <row r="1212" spans="1:5">
      <c r="A1212" s="22">
        <v>45158</v>
      </c>
      <c r="B1212" s="22">
        <v>1</v>
      </c>
      <c r="C1212" s="14" t="s">
        <v>3358</v>
      </c>
      <c r="D1212" s="23" t="s">
        <v>1618</v>
      </c>
      <c r="E1212" s="24" t="s">
        <v>1327</v>
      </c>
    </row>
    <row r="1213" spans="1:5">
      <c r="A1213" s="22">
        <v>45159</v>
      </c>
      <c r="B1213" s="22">
        <v>1</v>
      </c>
      <c r="C1213" s="14" t="s">
        <v>3360</v>
      </c>
      <c r="D1213" s="23" t="s">
        <v>1618</v>
      </c>
      <c r="E1213" s="24" t="s">
        <v>604</v>
      </c>
    </row>
    <row r="1214" spans="1:5">
      <c r="A1214" s="22">
        <v>45160</v>
      </c>
      <c r="B1214" s="22">
        <v>1</v>
      </c>
      <c r="C1214" s="14" t="s">
        <v>3362</v>
      </c>
      <c r="D1214" s="23" t="s">
        <v>1618</v>
      </c>
      <c r="E1214" s="24" t="s">
        <v>1357</v>
      </c>
    </row>
    <row r="1215" spans="1:5">
      <c r="A1215" s="22">
        <v>45161</v>
      </c>
      <c r="B1215" s="22">
        <v>1</v>
      </c>
      <c r="C1215" s="14" t="s">
        <v>4039</v>
      </c>
      <c r="D1215" s="23" t="s">
        <v>1618</v>
      </c>
      <c r="E1215" s="24" t="s">
        <v>1640</v>
      </c>
    </row>
    <row r="1216" spans="1:5">
      <c r="A1216" s="22">
        <v>45162</v>
      </c>
      <c r="B1216" s="22">
        <v>1</v>
      </c>
      <c r="C1216" s="14" t="s">
        <v>4076</v>
      </c>
      <c r="D1216" s="23" t="s">
        <v>1618</v>
      </c>
      <c r="E1216" s="24" t="s">
        <v>1678</v>
      </c>
    </row>
    <row r="1217" spans="1:5">
      <c r="A1217" s="22">
        <v>45163</v>
      </c>
      <c r="B1217" s="22">
        <v>1</v>
      </c>
      <c r="C1217" s="14" t="s">
        <v>3909</v>
      </c>
      <c r="D1217" s="23" t="s">
        <v>1618</v>
      </c>
      <c r="E1217" s="24" t="s">
        <v>1329</v>
      </c>
    </row>
    <row r="1218" spans="1:5">
      <c r="A1218" s="22">
        <v>45164</v>
      </c>
      <c r="B1218" s="22">
        <v>1</v>
      </c>
      <c r="C1218" s="14" t="s">
        <v>4077</v>
      </c>
      <c r="D1218" s="23" t="s">
        <v>1618</v>
      </c>
      <c r="E1218" s="24" t="s">
        <v>1679</v>
      </c>
    </row>
    <row r="1219" spans="1:5">
      <c r="A1219" s="22">
        <v>45165</v>
      </c>
      <c r="B1219" s="22">
        <v>1</v>
      </c>
      <c r="C1219" s="14" t="s">
        <v>4078</v>
      </c>
      <c r="D1219" s="23" t="s">
        <v>1618</v>
      </c>
      <c r="E1219" s="24" t="s">
        <v>1680</v>
      </c>
    </row>
    <row r="1220" spans="1:5">
      <c r="A1220" s="22">
        <v>45166</v>
      </c>
      <c r="B1220" s="22">
        <v>1</v>
      </c>
      <c r="C1220" s="14" t="s">
        <v>3899</v>
      </c>
      <c r="D1220" s="23" t="s">
        <v>1618</v>
      </c>
      <c r="E1220" s="24" t="s">
        <v>1301</v>
      </c>
    </row>
    <row r="1221" spans="1:5">
      <c r="A1221" s="22">
        <v>45167</v>
      </c>
      <c r="B1221" s="22">
        <v>1</v>
      </c>
      <c r="C1221" s="14" t="s">
        <v>4049</v>
      </c>
      <c r="D1221" s="23" t="s">
        <v>1618</v>
      </c>
      <c r="E1221" s="24" t="s">
        <v>1651</v>
      </c>
    </row>
    <row r="1222" spans="1:5">
      <c r="A1222" s="22">
        <v>45168</v>
      </c>
      <c r="B1222" s="22">
        <v>1</v>
      </c>
      <c r="C1222" s="14" t="s">
        <v>3731</v>
      </c>
      <c r="D1222" s="23" t="s">
        <v>1618</v>
      </c>
      <c r="E1222" s="24" t="s">
        <v>657</v>
      </c>
    </row>
    <row r="1223" spans="1:5">
      <c r="A1223" s="22">
        <v>45169</v>
      </c>
      <c r="B1223" s="22">
        <v>1</v>
      </c>
      <c r="C1223" s="14" t="s">
        <v>4079</v>
      </c>
      <c r="D1223" s="23" t="s">
        <v>1618</v>
      </c>
      <c r="E1223" s="24" t="s">
        <v>1681</v>
      </c>
    </row>
    <row r="1224" spans="1:5">
      <c r="A1224" s="22">
        <v>45170</v>
      </c>
      <c r="B1224" s="22">
        <v>1</v>
      </c>
      <c r="C1224" s="14" t="s">
        <v>4080</v>
      </c>
      <c r="D1224" s="23" t="s">
        <v>1618</v>
      </c>
      <c r="E1224" s="24" t="s">
        <v>1682</v>
      </c>
    </row>
    <row r="1225" spans="1:5">
      <c r="A1225" s="22">
        <v>45171</v>
      </c>
      <c r="B1225" s="22">
        <v>1</v>
      </c>
      <c r="C1225" s="14" t="s">
        <v>4043</v>
      </c>
      <c r="D1225" s="23" t="s">
        <v>1618</v>
      </c>
      <c r="E1225" s="24" t="s">
        <v>1645</v>
      </c>
    </row>
    <row r="1226" spans="1:5">
      <c r="A1226" s="22">
        <v>45172</v>
      </c>
      <c r="B1226" s="22">
        <v>1</v>
      </c>
      <c r="C1226" s="14" t="s">
        <v>4055</v>
      </c>
      <c r="D1226" s="23" t="s">
        <v>1618</v>
      </c>
      <c r="E1226" s="24" t="s">
        <v>1657</v>
      </c>
    </row>
    <row r="1227" spans="1:5">
      <c r="A1227" s="22">
        <v>45173</v>
      </c>
      <c r="B1227" s="22">
        <v>1</v>
      </c>
      <c r="C1227" s="14" t="s">
        <v>3910</v>
      </c>
      <c r="D1227" s="23" t="s">
        <v>1618</v>
      </c>
      <c r="E1227" s="24" t="s">
        <v>1332</v>
      </c>
    </row>
    <row r="1228" spans="1:5">
      <c r="A1228" s="22">
        <v>45174</v>
      </c>
      <c r="B1228" s="22">
        <v>1</v>
      </c>
      <c r="C1228" s="14" t="s">
        <v>4081</v>
      </c>
      <c r="D1228" s="23" t="s">
        <v>1618</v>
      </c>
      <c r="E1228" s="24" t="s">
        <v>1683</v>
      </c>
    </row>
    <row r="1229" spans="1:5">
      <c r="A1229" s="22">
        <v>45175</v>
      </c>
      <c r="B1229" s="22">
        <v>1</v>
      </c>
      <c r="C1229" s="14" t="s">
        <v>4082</v>
      </c>
      <c r="D1229" s="23" t="s">
        <v>1618</v>
      </c>
      <c r="E1229" s="24" t="s">
        <v>1684</v>
      </c>
    </row>
    <row r="1230" spans="1:5">
      <c r="A1230" s="22">
        <v>45176</v>
      </c>
      <c r="B1230" s="22">
        <v>1</v>
      </c>
      <c r="C1230" s="14" t="s">
        <v>3726</v>
      </c>
      <c r="D1230" s="23" t="s">
        <v>1618</v>
      </c>
      <c r="E1230" s="24" t="s">
        <v>645</v>
      </c>
    </row>
    <row r="1231" spans="1:5">
      <c r="A1231" s="22">
        <v>45177</v>
      </c>
      <c r="B1231" s="22">
        <v>1</v>
      </c>
      <c r="C1231" s="14" t="s">
        <v>3906</v>
      </c>
      <c r="D1231" s="23" t="s">
        <v>1618</v>
      </c>
      <c r="E1231" s="24" t="s">
        <v>1318</v>
      </c>
    </row>
    <row r="1232" spans="1:5">
      <c r="A1232" s="22">
        <v>45178</v>
      </c>
      <c r="B1232" s="22">
        <v>1</v>
      </c>
      <c r="C1232" s="14" t="s">
        <v>3359</v>
      </c>
      <c r="D1232" s="23" t="s">
        <v>1618</v>
      </c>
      <c r="E1232" s="24" t="s">
        <v>1334</v>
      </c>
    </row>
    <row r="1233" spans="1:5">
      <c r="A1233" s="22">
        <v>45179</v>
      </c>
      <c r="B1233" s="22">
        <v>1</v>
      </c>
      <c r="C1233" s="14" t="s">
        <v>3917</v>
      </c>
      <c r="D1233" s="23" t="s">
        <v>1618</v>
      </c>
      <c r="E1233" s="24" t="s">
        <v>1351</v>
      </c>
    </row>
    <row r="1234" spans="1:5">
      <c r="A1234" s="22">
        <v>45180</v>
      </c>
      <c r="B1234" s="22">
        <v>1</v>
      </c>
      <c r="C1234" s="14" t="s">
        <v>4083</v>
      </c>
      <c r="D1234" s="23" t="s">
        <v>1618</v>
      </c>
      <c r="E1234" s="24" t="s">
        <v>1685</v>
      </c>
    </row>
    <row r="1235" spans="1:5">
      <c r="A1235" s="22">
        <v>45181</v>
      </c>
      <c r="B1235" s="22">
        <v>1</v>
      </c>
      <c r="C1235" s="14" t="s">
        <v>4084</v>
      </c>
      <c r="D1235" s="23" t="s">
        <v>1618</v>
      </c>
      <c r="E1235" s="24" t="s">
        <v>1686</v>
      </c>
    </row>
    <row r="1236" spans="1:5">
      <c r="A1236" s="22">
        <v>45182</v>
      </c>
      <c r="B1236" s="22">
        <v>1</v>
      </c>
      <c r="C1236" s="14" t="s">
        <v>4085</v>
      </c>
      <c r="D1236" s="23" t="s">
        <v>1618</v>
      </c>
      <c r="E1236" s="24" t="s">
        <v>1687</v>
      </c>
    </row>
    <row r="1237" spans="1:5">
      <c r="A1237" s="22">
        <v>45183</v>
      </c>
      <c r="B1237" s="22">
        <v>1</v>
      </c>
      <c r="C1237" s="14" t="s">
        <v>3911</v>
      </c>
      <c r="D1237" s="23" t="s">
        <v>1618</v>
      </c>
      <c r="E1237" s="24" t="s">
        <v>1336</v>
      </c>
    </row>
    <row r="1238" spans="1:5">
      <c r="A1238" s="22">
        <v>45184</v>
      </c>
      <c r="B1238" s="22">
        <v>1</v>
      </c>
      <c r="C1238" s="14" t="s">
        <v>4086</v>
      </c>
      <c r="D1238" s="23" t="s">
        <v>1618</v>
      </c>
      <c r="E1238" s="24" t="s">
        <v>1688</v>
      </c>
    </row>
    <row r="1239" spans="1:5">
      <c r="A1239" s="22">
        <v>45185</v>
      </c>
      <c r="B1239" s="22">
        <v>1</v>
      </c>
      <c r="C1239" s="14" t="s">
        <v>4087</v>
      </c>
      <c r="D1239" s="23" t="s">
        <v>1618</v>
      </c>
      <c r="E1239" s="24" t="s">
        <v>1689</v>
      </c>
    </row>
    <row r="1240" spans="1:5">
      <c r="A1240" s="22">
        <v>45186</v>
      </c>
      <c r="B1240" s="22">
        <v>1</v>
      </c>
      <c r="C1240" s="14" t="s">
        <v>3900</v>
      </c>
      <c r="D1240" s="23" t="s">
        <v>1618</v>
      </c>
      <c r="E1240" s="24" t="s">
        <v>1304</v>
      </c>
    </row>
    <row r="1241" spans="1:5">
      <c r="A1241" s="22">
        <v>45187</v>
      </c>
      <c r="B1241" s="22">
        <v>1</v>
      </c>
      <c r="C1241" s="14" t="s">
        <v>4053</v>
      </c>
      <c r="D1241" s="23" t="s">
        <v>1618</v>
      </c>
      <c r="E1241" s="24" t="s">
        <v>1655</v>
      </c>
    </row>
    <row r="1242" spans="1:5">
      <c r="A1242" s="22">
        <v>45188</v>
      </c>
      <c r="B1242" s="22">
        <v>1</v>
      </c>
      <c r="C1242" s="14" t="s">
        <v>3912</v>
      </c>
      <c r="D1242" s="23" t="s">
        <v>1618</v>
      </c>
      <c r="E1242" s="24" t="s">
        <v>1338</v>
      </c>
    </row>
    <row r="1243" spans="1:5">
      <c r="A1243" s="22">
        <v>45189</v>
      </c>
      <c r="B1243" s="22">
        <v>1</v>
      </c>
      <c r="C1243" s="14" t="s">
        <v>4088</v>
      </c>
      <c r="D1243" s="23" t="s">
        <v>1618</v>
      </c>
      <c r="E1243" s="24" t="s">
        <v>1690</v>
      </c>
    </row>
    <row r="1244" spans="1:5">
      <c r="A1244" s="22">
        <v>45190</v>
      </c>
      <c r="B1244" s="22">
        <v>1</v>
      </c>
      <c r="C1244" s="14" t="s">
        <v>4089</v>
      </c>
      <c r="D1244" s="23" t="s">
        <v>1618</v>
      </c>
      <c r="E1244" s="24" t="s">
        <v>1691</v>
      </c>
    </row>
    <row r="1245" spans="1:5">
      <c r="A1245" s="22">
        <v>45191</v>
      </c>
      <c r="B1245" s="22">
        <v>1</v>
      </c>
      <c r="C1245" s="14" t="s">
        <v>4042</v>
      </c>
      <c r="D1245" s="23" t="s">
        <v>1618</v>
      </c>
      <c r="E1245" s="24" t="s">
        <v>1644</v>
      </c>
    </row>
    <row r="1246" spans="1:5">
      <c r="A1246" s="22">
        <v>45192</v>
      </c>
      <c r="B1246" s="22">
        <v>1</v>
      </c>
      <c r="C1246" s="14" t="s">
        <v>4090</v>
      </c>
      <c r="D1246" s="23" t="s">
        <v>1618</v>
      </c>
      <c r="E1246" s="24" t="s">
        <v>1692</v>
      </c>
    </row>
    <row r="1247" spans="1:5">
      <c r="A1247" s="22">
        <v>45193</v>
      </c>
      <c r="B1247" s="22">
        <v>1</v>
      </c>
      <c r="C1247" s="14" t="s">
        <v>3913</v>
      </c>
      <c r="D1247" s="23" t="s">
        <v>1618</v>
      </c>
      <c r="E1247" s="24" t="s">
        <v>1340</v>
      </c>
    </row>
    <row r="1248" spans="1:5">
      <c r="A1248" s="22">
        <v>45194</v>
      </c>
      <c r="B1248" s="22">
        <v>1</v>
      </c>
      <c r="C1248" s="14" t="s">
        <v>4091</v>
      </c>
      <c r="D1248" s="23" t="s">
        <v>1618</v>
      </c>
      <c r="E1248" s="24" t="s">
        <v>1693</v>
      </c>
    </row>
    <row r="1249" spans="1:5">
      <c r="A1249" s="22">
        <v>45195</v>
      </c>
      <c r="B1249" s="22">
        <v>1</v>
      </c>
      <c r="C1249" s="14" t="s">
        <v>4092</v>
      </c>
      <c r="D1249" s="23" t="s">
        <v>1618</v>
      </c>
      <c r="E1249" s="24" t="s">
        <v>1694</v>
      </c>
    </row>
    <row r="1250" spans="1:5">
      <c r="A1250" s="22">
        <v>45196</v>
      </c>
      <c r="B1250" s="22">
        <v>1</v>
      </c>
      <c r="C1250" s="14" t="s">
        <v>3355</v>
      </c>
      <c r="D1250" s="23" t="s">
        <v>1618</v>
      </c>
      <c r="E1250" s="24" t="s">
        <v>599</v>
      </c>
    </row>
    <row r="1251" spans="1:5">
      <c r="A1251" s="22">
        <v>45197</v>
      </c>
      <c r="B1251" s="22">
        <v>1</v>
      </c>
      <c r="C1251" s="14" t="s">
        <v>3729</v>
      </c>
      <c r="D1251" s="23" t="s">
        <v>1618</v>
      </c>
      <c r="E1251" s="24" t="s">
        <v>653</v>
      </c>
    </row>
    <row r="1252" spans="1:5">
      <c r="A1252" s="22">
        <v>45198</v>
      </c>
      <c r="B1252" s="22">
        <v>1</v>
      </c>
      <c r="C1252" s="14" t="s">
        <v>3360</v>
      </c>
      <c r="D1252" s="23" t="s">
        <v>1618</v>
      </c>
      <c r="E1252" s="24" t="s">
        <v>604</v>
      </c>
    </row>
    <row r="1253" spans="1:5">
      <c r="A1253" s="22">
        <v>45199</v>
      </c>
      <c r="B1253" s="22">
        <v>1</v>
      </c>
      <c r="C1253" s="14" t="s">
        <v>3760</v>
      </c>
      <c r="D1253" s="23" t="s">
        <v>1618</v>
      </c>
      <c r="E1253" s="24" t="s">
        <v>789</v>
      </c>
    </row>
    <row r="1254" spans="1:5">
      <c r="A1254" s="22">
        <v>45200</v>
      </c>
      <c r="B1254" s="22">
        <v>1</v>
      </c>
      <c r="C1254" s="14" t="s">
        <v>3365</v>
      </c>
      <c r="D1254" s="23" t="s">
        <v>1618</v>
      </c>
      <c r="E1254" s="24" t="s">
        <v>793</v>
      </c>
    </row>
    <row r="1255" spans="1:5">
      <c r="A1255" s="22">
        <v>45201</v>
      </c>
      <c r="B1255" s="22">
        <v>1</v>
      </c>
      <c r="C1255" s="14" t="s">
        <v>4093</v>
      </c>
      <c r="D1255" s="23" t="s">
        <v>1618</v>
      </c>
      <c r="E1255" s="24" t="s">
        <v>1695</v>
      </c>
    </row>
    <row r="1256" spans="1:5">
      <c r="A1256" s="22">
        <v>45202</v>
      </c>
      <c r="B1256" s="22">
        <v>1</v>
      </c>
      <c r="C1256" s="14" t="s">
        <v>4094</v>
      </c>
      <c r="D1256" s="23" t="s">
        <v>1618</v>
      </c>
      <c r="E1256" s="24" t="s">
        <v>1696</v>
      </c>
    </row>
    <row r="1257" spans="1:5">
      <c r="A1257" s="22">
        <v>45203</v>
      </c>
      <c r="B1257" s="22">
        <v>1</v>
      </c>
      <c r="C1257" s="14" t="s">
        <v>3914</v>
      </c>
      <c r="D1257" s="23" t="s">
        <v>1618</v>
      </c>
      <c r="E1257" s="24" t="s">
        <v>1343</v>
      </c>
    </row>
    <row r="1258" spans="1:5">
      <c r="A1258" s="22">
        <v>45204</v>
      </c>
      <c r="B1258" s="22">
        <v>1</v>
      </c>
      <c r="C1258" s="14" t="s">
        <v>4095</v>
      </c>
      <c r="D1258" s="23" t="s">
        <v>1618</v>
      </c>
      <c r="E1258" s="24" t="s">
        <v>1697</v>
      </c>
    </row>
    <row r="1259" spans="1:5">
      <c r="A1259" s="22">
        <v>45205</v>
      </c>
      <c r="B1259" s="22">
        <v>1</v>
      </c>
      <c r="C1259" s="14" t="s">
        <v>4096</v>
      </c>
      <c r="D1259" s="23" t="s">
        <v>1618</v>
      </c>
      <c r="E1259" s="24" t="s">
        <v>1698</v>
      </c>
    </row>
    <row r="1260" spans="1:5">
      <c r="A1260" s="22">
        <v>45206</v>
      </c>
      <c r="B1260" s="22">
        <v>1</v>
      </c>
      <c r="C1260" s="14" t="s">
        <v>3901</v>
      </c>
      <c r="D1260" s="23" t="s">
        <v>1618</v>
      </c>
      <c r="E1260" s="24" t="s">
        <v>1307</v>
      </c>
    </row>
    <row r="1261" spans="1:5">
      <c r="A1261" s="22">
        <v>45207</v>
      </c>
      <c r="B1261" s="22">
        <v>1</v>
      </c>
      <c r="C1261" s="14" t="s">
        <v>4056</v>
      </c>
      <c r="D1261" s="23" t="s">
        <v>1618</v>
      </c>
      <c r="E1261" s="24" t="s">
        <v>1658</v>
      </c>
    </row>
    <row r="1262" spans="1:5">
      <c r="A1262" s="22">
        <v>45208</v>
      </c>
      <c r="B1262" s="22">
        <v>1</v>
      </c>
      <c r="C1262" s="14" t="s">
        <v>3915</v>
      </c>
      <c r="D1262" s="23" t="s">
        <v>1618</v>
      </c>
      <c r="E1262" s="24" t="s">
        <v>1345</v>
      </c>
    </row>
    <row r="1263" spans="1:5">
      <c r="A1263" s="22">
        <v>45209</v>
      </c>
      <c r="B1263" s="22">
        <v>1</v>
      </c>
      <c r="C1263" s="14" t="s">
        <v>4082</v>
      </c>
      <c r="D1263" s="23" t="s">
        <v>1618</v>
      </c>
      <c r="E1263" s="24" t="s">
        <v>1684</v>
      </c>
    </row>
    <row r="1264" spans="1:5">
      <c r="A1264" s="22">
        <v>45210</v>
      </c>
      <c r="B1264" s="22">
        <v>1</v>
      </c>
      <c r="C1264" s="14" t="s">
        <v>4097</v>
      </c>
      <c r="D1264" s="23" t="s">
        <v>1618</v>
      </c>
      <c r="E1264" s="24" t="s">
        <v>1699</v>
      </c>
    </row>
    <row r="1265" spans="1:5">
      <c r="A1265" s="22">
        <v>45211</v>
      </c>
      <c r="B1265" s="22">
        <v>1</v>
      </c>
      <c r="C1265" s="14" t="s">
        <v>4098</v>
      </c>
      <c r="D1265" s="23" t="s">
        <v>1618</v>
      </c>
      <c r="E1265" s="24" t="s">
        <v>1700</v>
      </c>
    </row>
    <row r="1266" spans="1:5">
      <c r="A1266" s="22">
        <v>45212</v>
      </c>
      <c r="B1266" s="22">
        <v>1</v>
      </c>
      <c r="C1266" s="14" t="s">
        <v>4099</v>
      </c>
      <c r="D1266" s="23" t="s">
        <v>1618</v>
      </c>
      <c r="E1266" s="24" t="s">
        <v>1701</v>
      </c>
    </row>
    <row r="1267" spans="1:5">
      <c r="A1267" s="22">
        <v>45213</v>
      </c>
      <c r="B1267" s="22">
        <v>1</v>
      </c>
      <c r="C1267" s="14" t="s">
        <v>3916</v>
      </c>
      <c r="D1267" s="23" t="s">
        <v>1618</v>
      </c>
      <c r="E1267" s="24" t="s">
        <v>1347</v>
      </c>
    </row>
    <row r="1268" spans="1:5">
      <c r="A1268" s="22">
        <v>45214</v>
      </c>
      <c r="B1268" s="22">
        <v>1</v>
      </c>
      <c r="C1268" s="14" t="s">
        <v>4100</v>
      </c>
      <c r="D1268" s="23" t="s">
        <v>1618</v>
      </c>
      <c r="E1268" s="24" t="s">
        <v>1702</v>
      </c>
    </row>
    <row r="1269" spans="1:5">
      <c r="A1269" s="22">
        <v>45215</v>
      </c>
      <c r="B1269" s="22">
        <v>1</v>
      </c>
      <c r="C1269" s="14" t="s">
        <v>4101</v>
      </c>
      <c r="D1269" s="23" t="s">
        <v>1618</v>
      </c>
      <c r="E1269" s="24" t="s">
        <v>1703</v>
      </c>
    </row>
    <row r="1270" spans="1:5">
      <c r="A1270" s="22">
        <v>45216</v>
      </c>
      <c r="B1270" s="22">
        <v>1</v>
      </c>
      <c r="C1270" s="14" t="s">
        <v>3902</v>
      </c>
      <c r="D1270" s="23" t="s">
        <v>1618</v>
      </c>
      <c r="E1270" s="24" t="s">
        <v>1309</v>
      </c>
    </row>
    <row r="1271" spans="1:5">
      <c r="A1271" s="22">
        <v>45217</v>
      </c>
      <c r="B1271" s="22">
        <v>1</v>
      </c>
      <c r="C1271" s="14" t="s">
        <v>3909</v>
      </c>
      <c r="D1271" s="23" t="s">
        <v>1618</v>
      </c>
      <c r="E1271" s="24" t="s">
        <v>1329</v>
      </c>
    </row>
    <row r="1272" spans="1:5">
      <c r="A1272" s="22">
        <v>45218</v>
      </c>
      <c r="B1272" s="22">
        <v>1</v>
      </c>
      <c r="C1272" s="14" t="s">
        <v>3361</v>
      </c>
      <c r="D1272" s="23" t="s">
        <v>1618</v>
      </c>
      <c r="E1272" s="24" t="s">
        <v>1349</v>
      </c>
    </row>
    <row r="1273" spans="1:5">
      <c r="A1273" s="22">
        <v>45219</v>
      </c>
      <c r="B1273" s="22">
        <v>1</v>
      </c>
      <c r="C1273" s="14" t="s">
        <v>4102</v>
      </c>
      <c r="D1273" s="23" t="s">
        <v>1618</v>
      </c>
      <c r="E1273" s="24" t="s">
        <v>1704</v>
      </c>
    </row>
    <row r="1274" spans="1:5">
      <c r="A1274" s="22">
        <v>45220</v>
      </c>
      <c r="B1274" s="22">
        <v>1</v>
      </c>
      <c r="C1274" s="14" t="s">
        <v>4103</v>
      </c>
      <c r="D1274" s="23" t="s">
        <v>1618</v>
      </c>
      <c r="E1274" s="24" t="s">
        <v>1705</v>
      </c>
    </row>
    <row r="1275" spans="1:5">
      <c r="A1275" s="22">
        <v>45221</v>
      </c>
      <c r="B1275" s="22">
        <v>1</v>
      </c>
      <c r="C1275" s="14" t="s">
        <v>4045</v>
      </c>
      <c r="D1275" s="23" t="s">
        <v>1618</v>
      </c>
      <c r="E1275" s="24" t="s">
        <v>1647</v>
      </c>
    </row>
    <row r="1276" spans="1:5">
      <c r="A1276" s="22">
        <v>45222</v>
      </c>
      <c r="B1276" s="22">
        <v>1</v>
      </c>
      <c r="C1276" s="14" t="s">
        <v>4066</v>
      </c>
      <c r="D1276" s="23" t="s">
        <v>1618</v>
      </c>
      <c r="E1276" s="24" t="s">
        <v>1668</v>
      </c>
    </row>
    <row r="1277" spans="1:5">
      <c r="A1277" s="22">
        <v>45223</v>
      </c>
      <c r="B1277" s="22">
        <v>1</v>
      </c>
      <c r="C1277" s="14" t="s">
        <v>3917</v>
      </c>
      <c r="D1277" s="23" t="s">
        <v>1618</v>
      </c>
      <c r="E1277" s="24" t="s">
        <v>1351</v>
      </c>
    </row>
    <row r="1278" spans="1:5">
      <c r="A1278" s="22">
        <v>45224</v>
      </c>
      <c r="B1278" s="22">
        <v>1</v>
      </c>
      <c r="C1278" s="14" t="s">
        <v>4104</v>
      </c>
      <c r="D1278" s="23" t="s">
        <v>1618</v>
      </c>
      <c r="E1278" s="24" t="s">
        <v>1706</v>
      </c>
    </row>
    <row r="1279" spans="1:5">
      <c r="A1279" s="22">
        <v>45225</v>
      </c>
      <c r="B1279" s="22">
        <v>1</v>
      </c>
      <c r="C1279" s="14" t="s">
        <v>4105</v>
      </c>
      <c r="D1279" s="23" t="s">
        <v>1618</v>
      </c>
      <c r="E1279" s="24" t="s">
        <v>1707</v>
      </c>
    </row>
    <row r="1280" spans="1:5">
      <c r="A1280" s="22">
        <v>45226</v>
      </c>
      <c r="B1280" s="22">
        <v>1</v>
      </c>
      <c r="C1280" s="14" t="s">
        <v>3903</v>
      </c>
      <c r="D1280" s="23" t="s">
        <v>1618</v>
      </c>
      <c r="E1280" s="24" t="s">
        <v>1311</v>
      </c>
    </row>
    <row r="1281" spans="1:5">
      <c r="A1281" s="22">
        <v>45227</v>
      </c>
      <c r="B1281" s="22">
        <v>1</v>
      </c>
      <c r="C1281" s="14" t="s">
        <v>4061</v>
      </c>
      <c r="D1281" s="23" t="s">
        <v>1618</v>
      </c>
      <c r="E1281" s="24" t="s">
        <v>1663</v>
      </c>
    </row>
    <row r="1282" spans="1:5">
      <c r="A1282" s="22">
        <v>45228</v>
      </c>
      <c r="B1282" s="22">
        <v>1</v>
      </c>
      <c r="C1282" s="14" t="s">
        <v>3918</v>
      </c>
      <c r="D1282" s="23" t="s">
        <v>1618</v>
      </c>
      <c r="E1282" s="24" t="s">
        <v>1353</v>
      </c>
    </row>
    <row r="1283" spans="1:5">
      <c r="A1283" s="22">
        <v>45229</v>
      </c>
      <c r="B1283" s="22">
        <v>1</v>
      </c>
      <c r="C1283" s="14" t="s">
        <v>4106</v>
      </c>
      <c r="D1283" s="23" t="s">
        <v>1618</v>
      </c>
      <c r="E1283" s="24" t="s">
        <v>1708</v>
      </c>
    </row>
    <row r="1284" spans="1:5">
      <c r="A1284" s="22">
        <v>45230</v>
      </c>
      <c r="B1284" s="22">
        <v>1</v>
      </c>
      <c r="C1284" s="14" t="s">
        <v>4107</v>
      </c>
      <c r="D1284" s="23" t="s">
        <v>1618</v>
      </c>
      <c r="E1284" s="24" t="s">
        <v>1709</v>
      </c>
    </row>
    <row r="1285" spans="1:5">
      <c r="A1285" s="22">
        <v>45231</v>
      </c>
      <c r="B1285" s="22">
        <v>1</v>
      </c>
      <c r="C1285" s="14" t="s">
        <v>4108</v>
      </c>
      <c r="D1285" s="23" t="s">
        <v>1618</v>
      </c>
      <c r="E1285" s="24" t="s">
        <v>1710</v>
      </c>
    </row>
    <row r="1286" spans="1:5">
      <c r="A1286" s="22">
        <v>45232</v>
      </c>
      <c r="B1286" s="22">
        <v>1</v>
      </c>
      <c r="C1286" s="14" t="s">
        <v>4109</v>
      </c>
      <c r="D1286" s="23" t="s">
        <v>1618</v>
      </c>
      <c r="E1286" s="24" t="s">
        <v>1711</v>
      </c>
    </row>
    <row r="1287" spans="1:5">
      <c r="A1287" s="22">
        <v>45233</v>
      </c>
      <c r="B1287" s="22">
        <v>1</v>
      </c>
      <c r="C1287" s="14" t="s">
        <v>3919</v>
      </c>
      <c r="D1287" s="23" t="s">
        <v>1618</v>
      </c>
      <c r="E1287" s="24" t="s">
        <v>1355</v>
      </c>
    </row>
    <row r="1288" spans="1:5">
      <c r="A1288" s="22">
        <v>45234</v>
      </c>
      <c r="B1288" s="22">
        <v>1</v>
      </c>
      <c r="C1288" s="14" t="s">
        <v>4110</v>
      </c>
      <c r="D1288" s="23" t="s">
        <v>1618</v>
      </c>
      <c r="E1288" s="24" t="s">
        <v>1712</v>
      </c>
    </row>
    <row r="1289" spans="1:5">
      <c r="A1289" s="22">
        <v>45235</v>
      </c>
      <c r="B1289" s="22">
        <v>1</v>
      </c>
      <c r="C1289" s="14" t="s">
        <v>4111</v>
      </c>
      <c r="D1289" s="23" t="s">
        <v>1618</v>
      </c>
      <c r="E1289" s="24" t="s">
        <v>1713</v>
      </c>
    </row>
    <row r="1290" spans="1:5">
      <c r="A1290" s="22">
        <v>45236</v>
      </c>
      <c r="B1290" s="22">
        <v>1</v>
      </c>
      <c r="C1290" s="14" t="s">
        <v>3356</v>
      </c>
      <c r="D1290" s="23" t="s">
        <v>1618</v>
      </c>
      <c r="E1290" s="24" t="s">
        <v>649</v>
      </c>
    </row>
    <row r="1291" spans="1:5">
      <c r="A1291" s="22">
        <v>45237</v>
      </c>
      <c r="B1291" s="22">
        <v>1</v>
      </c>
      <c r="C1291" s="14" t="s">
        <v>3359</v>
      </c>
      <c r="D1291" s="23" t="s">
        <v>1618</v>
      </c>
      <c r="E1291" s="24" t="s">
        <v>1334</v>
      </c>
    </row>
    <row r="1292" spans="1:5">
      <c r="A1292" s="22">
        <v>45238</v>
      </c>
      <c r="B1292" s="22">
        <v>1</v>
      </c>
      <c r="C1292" s="14" t="s">
        <v>3362</v>
      </c>
      <c r="D1292" s="23" t="s">
        <v>1618</v>
      </c>
      <c r="E1292" s="24" t="s">
        <v>1357</v>
      </c>
    </row>
    <row r="1293" spans="1:5">
      <c r="A1293" s="22">
        <v>45239</v>
      </c>
      <c r="B1293" s="22">
        <v>1</v>
      </c>
      <c r="C1293" s="14" t="s">
        <v>3365</v>
      </c>
      <c r="D1293" s="23" t="s">
        <v>1618</v>
      </c>
      <c r="E1293" s="24" t="s">
        <v>793</v>
      </c>
    </row>
    <row r="1294" spans="1:5">
      <c r="A1294" s="22">
        <v>45240</v>
      </c>
      <c r="B1294" s="22">
        <v>1</v>
      </c>
      <c r="C1294" s="14" t="s">
        <v>4112</v>
      </c>
      <c r="D1294" s="23" t="s">
        <v>1618</v>
      </c>
      <c r="E1294" s="24" t="s">
        <v>1714</v>
      </c>
    </row>
    <row r="1295" spans="1:5">
      <c r="A1295" s="22">
        <v>45241</v>
      </c>
      <c r="B1295" s="22">
        <v>1</v>
      </c>
      <c r="C1295" s="14" t="s">
        <v>4113</v>
      </c>
      <c r="D1295" s="23" t="s">
        <v>1618</v>
      </c>
      <c r="E1295" s="24" t="s">
        <v>1715</v>
      </c>
    </row>
    <row r="1296" spans="1:5">
      <c r="A1296" s="22">
        <v>45242</v>
      </c>
      <c r="B1296" s="22">
        <v>1</v>
      </c>
      <c r="C1296" s="14" t="s">
        <v>4114</v>
      </c>
      <c r="D1296" s="23" t="s">
        <v>1618</v>
      </c>
      <c r="E1296" s="24" t="s">
        <v>1716</v>
      </c>
    </row>
    <row r="1297" spans="1:5">
      <c r="A1297" s="22">
        <v>45243</v>
      </c>
      <c r="B1297" s="22">
        <v>1</v>
      </c>
      <c r="C1297" s="14" t="s">
        <v>3920</v>
      </c>
      <c r="D1297" s="23" t="s">
        <v>1618</v>
      </c>
      <c r="E1297" s="24" t="s">
        <v>1359</v>
      </c>
    </row>
    <row r="1298" spans="1:5">
      <c r="A1298" s="22">
        <v>45244</v>
      </c>
      <c r="B1298" s="22">
        <v>1</v>
      </c>
      <c r="C1298" s="14" t="s">
        <v>4115</v>
      </c>
      <c r="D1298" s="23" t="s">
        <v>1618</v>
      </c>
      <c r="E1298" s="24" t="s">
        <v>1717</v>
      </c>
    </row>
    <row r="1299" spans="1:5">
      <c r="A1299" s="22">
        <v>45245</v>
      </c>
      <c r="B1299" s="22">
        <v>1</v>
      </c>
      <c r="C1299" s="14" t="s">
        <v>4116</v>
      </c>
      <c r="D1299" s="23" t="s">
        <v>1618</v>
      </c>
      <c r="E1299" s="24" t="s">
        <v>1718</v>
      </c>
    </row>
    <row r="1300" spans="1:5">
      <c r="A1300" s="22">
        <v>45246</v>
      </c>
      <c r="B1300" s="22">
        <v>1</v>
      </c>
      <c r="C1300" s="14" t="s">
        <v>3904</v>
      </c>
      <c r="D1300" s="23" t="s">
        <v>1618</v>
      </c>
      <c r="E1300" s="24" t="s">
        <v>1314</v>
      </c>
    </row>
    <row r="1301" spans="1:5">
      <c r="A1301" s="22">
        <v>45247</v>
      </c>
      <c r="B1301" s="22">
        <v>1</v>
      </c>
      <c r="C1301" s="14" t="s">
        <v>4063</v>
      </c>
      <c r="D1301" s="23" t="s">
        <v>1618</v>
      </c>
      <c r="E1301" s="24" t="s">
        <v>1665</v>
      </c>
    </row>
    <row r="1302" spans="1:5">
      <c r="A1302" s="22">
        <v>45248</v>
      </c>
      <c r="B1302" s="22">
        <v>1</v>
      </c>
      <c r="C1302" s="14" t="s">
        <v>3760</v>
      </c>
      <c r="D1302" s="23" t="s">
        <v>1618</v>
      </c>
      <c r="E1302" s="24" t="s">
        <v>789</v>
      </c>
    </row>
    <row r="1303" spans="1:5">
      <c r="A1303" s="22">
        <v>45249</v>
      </c>
      <c r="B1303" s="22">
        <v>1</v>
      </c>
      <c r="C1303" s="14" t="s">
        <v>4117</v>
      </c>
      <c r="D1303" s="23" t="s">
        <v>1618</v>
      </c>
      <c r="E1303" s="24" t="s">
        <v>1719</v>
      </c>
    </row>
    <row r="1304" spans="1:5">
      <c r="A1304" s="22">
        <v>45250</v>
      </c>
      <c r="B1304" s="22">
        <v>1</v>
      </c>
      <c r="C1304" s="14" t="s">
        <v>4118</v>
      </c>
      <c r="D1304" s="23" t="s">
        <v>1618</v>
      </c>
      <c r="E1304" s="24" t="s">
        <v>1720</v>
      </c>
    </row>
    <row r="1305" spans="1:5">
      <c r="A1305" s="49">
        <v>45501</v>
      </c>
      <c r="B1305" s="49">
        <v>1</v>
      </c>
      <c r="C1305" s="14" t="s">
        <v>3366</v>
      </c>
      <c r="D1305" s="79" t="s">
        <v>1721</v>
      </c>
      <c r="E1305" s="149" t="s">
        <v>981</v>
      </c>
    </row>
    <row r="1306" spans="1:5">
      <c r="A1306" s="49">
        <v>45502</v>
      </c>
      <c r="B1306" s="49">
        <v>1</v>
      </c>
      <c r="C1306" s="14" t="s">
        <v>3368</v>
      </c>
      <c r="D1306" s="79" t="s">
        <v>1721</v>
      </c>
      <c r="E1306" s="149" t="s">
        <v>983</v>
      </c>
    </row>
    <row r="1307" spans="1:5">
      <c r="A1307" s="49">
        <v>45503</v>
      </c>
      <c r="B1307" s="49">
        <v>1</v>
      </c>
      <c r="C1307" s="14" t="s">
        <v>3369</v>
      </c>
      <c r="D1307" s="79" t="s">
        <v>1721</v>
      </c>
      <c r="E1307" s="149" t="s">
        <v>747</v>
      </c>
    </row>
    <row r="1308" spans="1:5">
      <c r="A1308" s="49">
        <v>45504</v>
      </c>
      <c r="B1308" s="49">
        <v>1</v>
      </c>
      <c r="C1308" s="14" t="s">
        <v>3370</v>
      </c>
      <c r="D1308" s="79" t="s">
        <v>1721</v>
      </c>
      <c r="E1308" s="149" t="s">
        <v>986</v>
      </c>
    </row>
    <row r="1309" spans="1:5">
      <c r="A1309" s="49">
        <v>45505</v>
      </c>
      <c r="B1309" s="49">
        <v>1</v>
      </c>
      <c r="C1309" s="14" t="s">
        <v>3371</v>
      </c>
      <c r="D1309" s="79" t="s">
        <v>1721</v>
      </c>
      <c r="E1309" s="149" t="s">
        <v>751</v>
      </c>
    </row>
    <row r="1310" spans="1:5">
      <c r="A1310" s="49">
        <v>45506</v>
      </c>
      <c r="B1310" s="49">
        <v>1</v>
      </c>
      <c r="C1310" s="14" t="s">
        <v>3366</v>
      </c>
      <c r="D1310" s="79" t="s">
        <v>1721</v>
      </c>
      <c r="E1310" s="149" t="s">
        <v>981</v>
      </c>
    </row>
    <row r="1311" spans="1:5">
      <c r="A1311" s="49">
        <v>45507</v>
      </c>
      <c r="B1311" s="49">
        <v>1</v>
      </c>
      <c r="C1311" s="14" t="s">
        <v>3368</v>
      </c>
      <c r="D1311" s="79" t="s">
        <v>1721</v>
      </c>
      <c r="E1311" s="149" t="s">
        <v>983</v>
      </c>
    </row>
    <row r="1312" spans="1:5">
      <c r="A1312" s="49">
        <v>45508</v>
      </c>
      <c r="B1312" s="49">
        <v>1</v>
      </c>
      <c r="C1312" s="14" t="s">
        <v>3369</v>
      </c>
      <c r="D1312" s="79" t="s">
        <v>1721</v>
      </c>
      <c r="E1312" s="149" t="s">
        <v>747</v>
      </c>
    </row>
    <row r="1313" spans="1:5">
      <c r="A1313" s="49">
        <v>45509</v>
      </c>
      <c r="B1313" s="49">
        <v>1</v>
      </c>
      <c r="C1313" s="14" t="s">
        <v>3370</v>
      </c>
      <c r="D1313" s="79" t="s">
        <v>1721</v>
      </c>
      <c r="E1313" s="149" t="s">
        <v>986</v>
      </c>
    </row>
    <row r="1314" spans="1:5">
      <c r="A1314" s="49">
        <v>45510</v>
      </c>
      <c r="B1314" s="49">
        <v>1</v>
      </c>
      <c r="C1314" s="14" t="s">
        <v>3371</v>
      </c>
      <c r="D1314" s="79" t="s">
        <v>1721</v>
      </c>
      <c r="E1314" s="149" t="s">
        <v>751</v>
      </c>
    </row>
    <row r="1315" spans="1:5">
      <c r="A1315" s="49">
        <v>45511</v>
      </c>
      <c r="B1315" s="49">
        <v>1</v>
      </c>
      <c r="C1315" s="14" t="s">
        <v>3366</v>
      </c>
      <c r="D1315" s="79" t="s">
        <v>1721</v>
      </c>
      <c r="E1315" s="149" t="s">
        <v>981</v>
      </c>
    </row>
    <row r="1316" spans="1:5">
      <c r="A1316" s="49">
        <v>45512</v>
      </c>
      <c r="B1316" s="49">
        <v>1</v>
      </c>
      <c r="C1316" s="14" t="s">
        <v>3368</v>
      </c>
      <c r="D1316" s="79" t="s">
        <v>1721</v>
      </c>
      <c r="E1316" s="149" t="s">
        <v>983</v>
      </c>
    </row>
    <row r="1317" spans="1:5">
      <c r="A1317" s="49">
        <v>45513</v>
      </c>
      <c r="B1317" s="49">
        <v>1</v>
      </c>
      <c r="C1317" s="14" t="s">
        <v>3369</v>
      </c>
      <c r="D1317" s="79" t="s">
        <v>1721</v>
      </c>
      <c r="E1317" s="149" t="s">
        <v>747</v>
      </c>
    </row>
    <row r="1318" spans="1:5">
      <c r="A1318" s="49">
        <v>45514</v>
      </c>
      <c r="B1318" s="49">
        <v>1</v>
      </c>
      <c r="C1318" s="14" t="s">
        <v>3370</v>
      </c>
      <c r="D1318" s="79" t="s">
        <v>1721</v>
      </c>
      <c r="E1318" s="149" t="s">
        <v>986</v>
      </c>
    </row>
    <row r="1319" spans="1:5">
      <c r="A1319" s="49">
        <v>45515</v>
      </c>
      <c r="B1319" s="49">
        <v>1</v>
      </c>
      <c r="C1319" s="14" t="s">
        <v>3371</v>
      </c>
      <c r="D1319" s="79" t="s">
        <v>1721</v>
      </c>
      <c r="E1319" s="149" t="s">
        <v>751</v>
      </c>
    </row>
    <row r="1320" spans="1:5">
      <c r="A1320" s="49">
        <v>45516</v>
      </c>
      <c r="B1320" s="49">
        <v>1</v>
      </c>
      <c r="C1320" s="14" t="s">
        <v>3366</v>
      </c>
      <c r="D1320" s="79" t="s">
        <v>1721</v>
      </c>
      <c r="E1320" s="149" t="s">
        <v>981</v>
      </c>
    </row>
    <row r="1321" spans="1:5">
      <c r="A1321" s="49">
        <v>45517</v>
      </c>
      <c r="B1321" s="49">
        <v>1</v>
      </c>
      <c r="C1321" s="14" t="s">
        <v>3368</v>
      </c>
      <c r="D1321" s="79" t="s">
        <v>1721</v>
      </c>
      <c r="E1321" s="149" t="s">
        <v>983</v>
      </c>
    </row>
    <row r="1322" spans="1:5">
      <c r="A1322" s="49">
        <v>45518</v>
      </c>
      <c r="B1322" s="49">
        <v>1</v>
      </c>
      <c r="C1322" s="14" t="s">
        <v>3369</v>
      </c>
      <c r="D1322" s="79" t="s">
        <v>1721</v>
      </c>
      <c r="E1322" s="149" t="s">
        <v>747</v>
      </c>
    </row>
    <row r="1323" spans="1:5">
      <c r="A1323" s="49">
        <v>45519</v>
      </c>
      <c r="B1323" s="49">
        <v>1</v>
      </c>
      <c r="C1323" s="14" t="s">
        <v>3370</v>
      </c>
      <c r="D1323" s="79" t="s">
        <v>1721</v>
      </c>
      <c r="E1323" s="149" t="s">
        <v>986</v>
      </c>
    </row>
    <row r="1324" spans="1:5">
      <c r="A1324" s="49">
        <v>45520</v>
      </c>
      <c r="B1324" s="49">
        <v>1</v>
      </c>
      <c r="C1324" s="14" t="s">
        <v>3371</v>
      </c>
      <c r="D1324" s="79" t="s">
        <v>1721</v>
      </c>
      <c r="E1324" s="149" t="s">
        <v>751</v>
      </c>
    </row>
    <row r="1325" spans="1:5">
      <c r="A1325" s="49">
        <v>45521</v>
      </c>
      <c r="B1325" s="49">
        <v>1</v>
      </c>
      <c r="C1325" s="14" t="s">
        <v>3366</v>
      </c>
      <c r="D1325" s="79" t="s">
        <v>1721</v>
      </c>
      <c r="E1325" s="149" t="s">
        <v>981</v>
      </c>
    </row>
    <row r="1326" spans="1:5">
      <c r="A1326" s="49">
        <v>45522</v>
      </c>
      <c r="B1326" s="49">
        <v>1</v>
      </c>
      <c r="C1326" s="14" t="s">
        <v>3368</v>
      </c>
      <c r="D1326" s="79" t="s">
        <v>1721</v>
      </c>
      <c r="E1326" s="149" t="s">
        <v>983</v>
      </c>
    </row>
    <row r="1327" spans="1:5">
      <c r="A1327" s="49">
        <v>45523</v>
      </c>
      <c r="B1327" s="49">
        <v>1</v>
      </c>
      <c r="C1327" s="14" t="s">
        <v>3369</v>
      </c>
      <c r="D1327" s="79" t="s">
        <v>1721</v>
      </c>
      <c r="E1327" s="149" t="s">
        <v>747</v>
      </c>
    </row>
    <row r="1328" spans="1:5">
      <c r="A1328" s="49">
        <v>45524</v>
      </c>
      <c r="B1328" s="49">
        <v>1</v>
      </c>
      <c r="C1328" s="14" t="s">
        <v>3370</v>
      </c>
      <c r="D1328" s="79" t="s">
        <v>1721</v>
      </c>
      <c r="E1328" s="149" t="s">
        <v>986</v>
      </c>
    </row>
    <row r="1329" spans="1:5">
      <c r="A1329" s="49">
        <v>45525</v>
      </c>
      <c r="B1329" s="49">
        <v>1</v>
      </c>
      <c r="C1329" s="14" t="s">
        <v>3371</v>
      </c>
      <c r="D1329" s="79" t="s">
        <v>1721</v>
      </c>
      <c r="E1329" s="149" t="s">
        <v>751</v>
      </c>
    </row>
    <row r="1330" spans="1:5">
      <c r="A1330" s="49">
        <v>45526</v>
      </c>
      <c r="B1330" s="49">
        <v>1</v>
      </c>
      <c r="C1330" s="14" t="s">
        <v>3366</v>
      </c>
      <c r="D1330" s="79" t="s">
        <v>1721</v>
      </c>
      <c r="E1330" s="149" t="s">
        <v>981</v>
      </c>
    </row>
    <row r="1331" spans="1:5">
      <c r="A1331" s="49">
        <v>45527</v>
      </c>
      <c r="B1331" s="49">
        <v>1</v>
      </c>
      <c r="C1331" s="14" t="s">
        <v>3368</v>
      </c>
      <c r="D1331" s="79" t="s">
        <v>1721</v>
      </c>
      <c r="E1331" s="149" t="s">
        <v>983</v>
      </c>
    </row>
    <row r="1332" spans="1:5">
      <c r="A1332" s="49">
        <v>45528</v>
      </c>
      <c r="B1332" s="49">
        <v>1</v>
      </c>
      <c r="C1332" s="14" t="s">
        <v>3369</v>
      </c>
      <c r="D1332" s="79" t="s">
        <v>1721</v>
      </c>
      <c r="E1332" s="149" t="s">
        <v>747</v>
      </c>
    </row>
    <row r="1333" spans="1:5">
      <c r="A1333" s="49">
        <v>45529</v>
      </c>
      <c r="B1333" s="49">
        <v>1</v>
      </c>
      <c r="C1333" s="14" t="s">
        <v>3370</v>
      </c>
      <c r="D1333" s="79" t="s">
        <v>1721</v>
      </c>
      <c r="E1333" s="149" t="s">
        <v>986</v>
      </c>
    </row>
    <row r="1334" spans="1:5">
      <c r="A1334" s="49">
        <v>45530</v>
      </c>
      <c r="B1334" s="49">
        <v>1</v>
      </c>
      <c r="C1334" s="14" t="s">
        <v>3371</v>
      </c>
      <c r="D1334" s="79" t="s">
        <v>1721</v>
      </c>
      <c r="E1334" s="149" t="s">
        <v>751</v>
      </c>
    </row>
    <row r="1335" spans="1:5">
      <c r="A1335" s="49">
        <v>45531</v>
      </c>
      <c r="B1335" s="49">
        <v>1</v>
      </c>
      <c r="C1335" s="14" t="s">
        <v>3366</v>
      </c>
      <c r="D1335" s="79" t="s">
        <v>1721</v>
      </c>
      <c r="E1335" s="149" t="s">
        <v>981</v>
      </c>
    </row>
    <row r="1336" spans="1:5">
      <c r="A1336" s="49">
        <v>45532</v>
      </c>
      <c r="B1336" s="49">
        <v>1</v>
      </c>
      <c r="C1336" s="14" t="s">
        <v>3368</v>
      </c>
      <c r="D1336" s="79" t="s">
        <v>1721</v>
      </c>
      <c r="E1336" s="149" t="s">
        <v>983</v>
      </c>
    </row>
    <row r="1337" spans="1:5">
      <c r="A1337" s="49">
        <v>45533</v>
      </c>
      <c r="B1337" s="49">
        <v>1</v>
      </c>
      <c r="C1337" s="14" t="s">
        <v>3369</v>
      </c>
      <c r="D1337" s="79" t="s">
        <v>1721</v>
      </c>
      <c r="E1337" s="149" t="s">
        <v>747</v>
      </c>
    </row>
    <row r="1338" spans="1:5">
      <c r="A1338" s="49">
        <v>45534</v>
      </c>
      <c r="B1338" s="49">
        <v>1</v>
      </c>
      <c r="C1338" s="14" t="s">
        <v>3370</v>
      </c>
      <c r="D1338" s="79" t="s">
        <v>1721</v>
      </c>
      <c r="E1338" s="149" t="s">
        <v>986</v>
      </c>
    </row>
    <row r="1339" spans="1:5">
      <c r="A1339" s="49">
        <v>45535</v>
      </c>
      <c r="B1339" s="49">
        <v>1</v>
      </c>
      <c r="C1339" s="14" t="s">
        <v>3371</v>
      </c>
      <c r="D1339" s="79" t="s">
        <v>1721</v>
      </c>
      <c r="E1339" s="149" t="s">
        <v>751</v>
      </c>
    </row>
    <row r="1340" spans="1:5">
      <c r="A1340" s="49">
        <v>45536</v>
      </c>
      <c r="B1340" s="49">
        <v>1</v>
      </c>
      <c r="C1340" s="14" t="s">
        <v>3366</v>
      </c>
      <c r="D1340" s="79" t="s">
        <v>1721</v>
      </c>
      <c r="E1340" s="149" t="s">
        <v>981</v>
      </c>
    </row>
    <row r="1341" spans="1:5">
      <c r="A1341" s="49">
        <v>45537</v>
      </c>
      <c r="B1341" s="49">
        <v>1</v>
      </c>
      <c r="C1341" s="14" t="s">
        <v>3368</v>
      </c>
      <c r="D1341" s="79" t="s">
        <v>1721</v>
      </c>
      <c r="E1341" s="149" t="s">
        <v>983</v>
      </c>
    </row>
    <row r="1342" spans="1:5">
      <c r="A1342" s="49">
        <v>45538</v>
      </c>
      <c r="B1342" s="49">
        <v>1</v>
      </c>
      <c r="C1342" s="14" t="s">
        <v>3369</v>
      </c>
      <c r="D1342" s="79" t="s">
        <v>1721</v>
      </c>
      <c r="E1342" s="149" t="s">
        <v>747</v>
      </c>
    </row>
    <row r="1343" spans="1:5">
      <c r="A1343" s="49">
        <v>45539</v>
      </c>
      <c r="B1343" s="49">
        <v>1</v>
      </c>
      <c r="C1343" s="14" t="s">
        <v>3370</v>
      </c>
      <c r="D1343" s="79" t="s">
        <v>1721</v>
      </c>
      <c r="E1343" s="149" t="s">
        <v>986</v>
      </c>
    </row>
    <row r="1344" spans="1:5">
      <c r="A1344" s="49">
        <v>45540</v>
      </c>
      <c r="B1344" s="49">
        <v>1</v>
      </c>
      <c r="C1344" s="14" t="s">
        <v>3371</v>
      </c>
      <c r="D1344" s="79" t="s">
        <v>1721</v>
      </c>
      <c r="E1344" s="149" t="s">
        <v>751</v>
      </c>
    </row>
    <row r="1345" spans="1:5">
      <c r="A1345" s="49">
        <v>45541</v>
      </c>
      <c r="B1345" s="49">
        <v>1</v>
      </c>
      <c r="C1345" s="14" t="s">
        <v>3366</v>
      </c>
      <c r="D1345" s="79" t="s">
        <v>1721</v>
      </c>
      <c r="E1345" s="149" t="s">
        <v>981</v>
      </c>
    </row>
    <row r="1346" spans="1:5">
      <c r="A1346" s="49">
        <v>45542</v>
      </c>
      <c r="B1346" s="49">
        <v>1</v>
      </c>
      <c r="C1346" s="14" t="s">
        <v>3368</v>
      </c>
      <c r="D1346" s="79" t="s">
        <v>1721</v>
      </c>
      <c r="E1346" s="149" t="s">
        <v>983</v>
      </c>
    </row>
    <row r="1347" spans="1:5">
      <c r="A1347" s="49">
        <v>45543</v>
      </c>
      <c r="B1347" s="49">
        <v>1</v>
      </c>
      <c r="C1347" s="14" t="s">
        <v>3369</v>
      </c>
      <c r="D1347" s="79" t="s">
        <v>1721</v>
      </c>
      <c r="E1347" s="149" t="s">
        <v>747</v>
      </c>
    </row>
    <row r="1348" spans="1:5">
      <c r="A1348" s="49">
        <v>45544</v>
      </c>
      <c r="B1348" s="49">
        <v>1</v>
      </c>
      <c r="C1348" s="14" t="s">
        <v>3370</v>
      </c>
      <c r="D1348" s="79" t="s">
        <v>1721</v>
      </c>
      <c r="E1348" s="149" t="s">
        <v>986</v>
      </c>
    </row>
    <row r="1349" spans="1:5">
      <c r="A1349" s="49">
        <v>45545</v>
      </c>
      <c r="B1349" s="49">
        <v>1</v>
      </c>
      <c r="C1349" s="14" t="s">
        <v>3371</v>
      </c>
      <c r="D1349" s="79" t="s">
        <v>1721</v>
      </c>
      <c r="E1349" s="149" t="s">
        <v>751</v>
      </c>
    </row>
    <row r="1350" spans="1:5">
      <c r="A1350" s="49">
        <v>45546</v>
      </c>
      <c r="B1350" s="49">
        <v>1</v>
      </c>
      <c r="C1350" s="14" t="s">
        <v>3366</v>
      </c>
      <c r="D1350" s="79" t="s">
        <v>1721</v>
      </c>
      <c r="E1350" s="149" t="s">
        <v>981</v>
      </c>
    </row>
    <row r="1351" spans="1:5">
      <c r="A1351" s="49">
        <v>45547</v>
      </c>
      <c r="B1351" s="49">
        <v>1</v>
      </c>
      <c r="C1351" s="14" t="s">
        <v>3368</v>
      </c>
      <c r="D1351" s="79" t="s">
        <v>1721</v>
      </c>
      <c r="E1351" s="149" t="s">
        <v>983</v>
      </c>
    </row>
    <row r="1352" spans="1:5">
      <c r="A1352" s="49">
        <v>45548</v>
      </c>
      <c r="B1352" s="49">
        <v>1</v>
      </c>
      <c r="C1352" s="14" t="s">
        <v>3369</v>
      </c>
      <c r="D1352" s="79" t="s">
        <v>1721</v>
      </c>
      <c r="E1352" s="149" t="s">
        <v>747</v>
      </c>
    </row>
    <row r="1353" spans="1:5">
      <c r="A1353" s="49">
        <v>45549</v>
      </c>
      <c r="B1353" s="49">
        <v>1</v>
      </c>
      <c r="C1353" s="14" t="s">
        <v>3370</v>
      </c>
      <c r="D1353" s="79" t="s">
        <v>1721</v>
      </c>
      <c r="E1353" s="149" t="s">
        <v>986</v>
      </c>
    </row>
    <row r="1354" spans="1:5">
      <c r="A1354" s="49">
        <v>45550</v>
      </c>
      <c r="B1354" s="49">
        <v>1</v>
      </c>
      <c r="C1354" s="14" t="s">
        <v>3371</v>
      </c>
      <c r="D1354" s="79" t="s">
        <v>1721</v>
      </c>
      <c r="E1354" s="149" t="s">
        <v>751</v>
      </c>
    </row>
    <row r="1355" spans="1:5">
      <c r="A1355" s="49">
        <v>45551</v>
      </c>
      <c r="B1355" s="49">
        <v>1</v>
      </c>
      <c r="C1355" s="14" t="s">
        <v>3366</v>
      </c>
      <c r="D1355" s="79" t="s">
        <v>1721</v>
      </c>
      <c r="E1355" s="149" t="s">
        <v>981</v>
      </c>
    </row>
    <row r="1356" spans="1:5">
      <c r="A1356" s="49">
        <v>45552</v>
      </c>
      <c r="B1356" s="49">
        <v>1</v>
      </c>
      <c r="C1356" s="14" t="s">
        <v>3368</v>
      </c>
      <c r="D1356" s="79" t="s">
        <v>1721</v>
      </c>
      <c r="E1356" s="149" t="s">
        <v>983</v>
      </c>
    </row>
    <row r="1357" spans="1:5">
      <c r="A1357" s="49">
        <v>45553</v>
      </c>
      <c r="B1357" s="49">
        <v>1</v>
      </c>
      <c r="C1357" s="14" t="s">
        <v>3369</v>
      </c>
      <c r="D1357" s="79" t="s">
        <v>1721</v>
      </c>
      <c r="E1357" s="149" t="s">
        <v>747</v>
      </c>
    </row>
    <row r="1358" spans="1:5">
      <c r="A1358" s="49">
        <v>45554</v>
      </c>
      <c r="B1358" s="49">
        <v>1</v>
      </c>
      <c r="C1358" s="14" t="s">
        <v>3370</v>
      </c>
      <c r="D1358" s="79" t="s">
        <v>1721</v>
      </c>
      <c r="E1358" s="149" t="s">
        <v>986</v>
      </c>
    </row>
    <row r="1359" spans="1:5">
      <c r="A1359" s="49">
        <v>45555</v>
      </c>
      <c r="B1359" s="49">
        <v>1</v>
      </c>
      <c r="C1359" s="14" t="s">
        <v>3371</v>
      </c>
      <c r="D1359" s="79" t="s">
        <v>1721</v>
      </c>
      <c r="E1359" s="149" t="s">
        <v>751</v>
      </c>
    </row>
    <row r="1360" spans="1:5">
      <c r="A1360" s="49">
        <v>45556</v>
      </c>
      <c r="B1360" s="49">
        <v>1</v>
      </c>
      <c r="C1360" s="14" t="s">
        <v>3366</v>
      </c>
      <c r="D1360" s="79" t="s">
        <v>1721</v>
      </c>
      <c r="E1360" s="149" t="s">
        <v>981</v>
      </c>
    </row>
    <row r="1361" spans="1:5">
      <c r="A1361" s="49">
        <v>45557</v>
      </c>
      <c r="B1361" s="49">
        <v>1</v>
      </c>
      <c r="C1361" s="14" t="s">
        <v>3368</v>
      </c>
      <c r="D1361" s="79" t="s">
        <v>1721</v>
      </c>
      <c r="E1361" s="149" t="s">
        <v>983</v>
      </c>
    </row>
    <row r="1362" spans="1:5">
      <c r="A1362" s="49">
        <v>45558</v>
      </c>
      <c r="B1362" s="49">
        <v>1</v>
      </c>
      <c r="C1362" s="14" t="s">
        <v>3369</v>
      </c>
      <c r="D1362" s="79" t="s">
        <v>1721</v>
      </c>
      <c r="E1362" s="149" t="s">
        <v>747</v>
      </c>
    </row>
    <row r="1363" spans="1:5">
      <c r="A1363" s="49">
        <v>45559</v>
      </c>
      <c r="B1363" s="49">
        <v>1</v>
      </c>
      <c r="C1363" s="14" t="s">
        <v>3370</v>
      </c>
      <c r="D1363" s="79" t="s">
        <v>1721</v>
      </c>
      <c r="E1363" s="149" t="s">
        <v>986</v>
      </c>
    </row>
    <row r="1364" spans="1:5">
      <c r="A1364" s="49">
        <v>45560</v>
      </c>
      <c r="B1364" s="49">
        <v>1</v>
      </c>
      <c r="C1364" s="14" t="s">
        <v>3371</v>
      </c>
      <c r="D1364" s="79" t="s">
        <v>1721</v>
      </c>
      <c r="E1364" s="149" t="s">
        <v>751</v>
      </c>
    </row>
    <row r="1365" spans="1:5">
      <c r="A1365" s="49">
        <v>45561</v>
      </c>
      <c r="B1365" s="49">
        <v>1</v>
      </c>
      <c r="C1365" s="14" t="s">
        <v>3366</v>
      </c>
      <c r="D1365" s="79" t="s">
        <v>1721</v>
      </c>
      <c r="E1365" s="149" t="s">
        <v>981</v>
      </c>
    </row>
    <row r="1366" spans="1:5">
      <c r="A1366" s="49">
        <v>45562</v>
      </c>
      <c r="B1366" s="49">
        <v>1</v>
      </c>
      <c r="C1366" s="14" t="s">
        <v>3368</v>
      </c>
      <c r="D1366" s="79" t="s">
        <v>1721</v>
      </c>
      <c r="E1366" s="149" t="s">
        <v>983</v>
      </c>
    </row>
    <row r="1367" spans="1:5">
      <c r="A1367" s="49">
        <v>45563</v>
      </c>
      <c r="B1367" s="49">
        <v>1</v>
      </c>
      <c r="C1367" s="14" t="s">
        <v>3369</v>
      </c>
      <c r="D1367" s="79" t="s">
        <v>1721</v>
      </c>
      <c r="E1367" s="149" t="s">
        <v>747</v>
      </c>
    </row>
    <row r="1368" spans="1:5">
      <c r="A1368" s="49">
        <v>45564</v>
      </c>
      <c r="B1368" s="49">
        <v>1</v>
      </c>
      <c r="C1368" s="14" t="s">
        <v>3370</v>
      </c>
      <c r="D1368" s="79" t="s">
        <v>1721</v>
      </c>
      <c r="E1368" s="149" t="s">
        <v>986</v>
      </c>
    </row>
    <row r="1369" spans="1:5">
      <c r="A1369" s="49">
        <v>45565</v>
      </c>
      <c r="B1369" s="49">
        <v>1</v>
      </c>
      <c r="C1369" s="14" t="s">
        <v>3371</v>
      </c>
      <c r="D1369" s="79" t="s">
        <v>1721</v>
      </c>
      <c r="E1369" s="149" t="s">
        <v>751</v>
      </c>
    </row>
    <row r="1370" spans="1:5">
      <c r="A1370" s="49">
        <v>45566</v>
      </c>
      <c r="B1370" s="49">
        <v>1</v>
      </c>
      <c r="C1370" s="14" t="s">
        <v>3366</v>
      </c>
      <c r="D1370" s="79" t="s">
        <v>1721</v>
      </c>
      <c r="E1370" s="149" t="s">
        <v>981</v>
      </c>
    </row>
    <row r="1371" spans="1:5">
      <c r="A1371" s="49">
        <v>45567</v>
      </c>
      <c r="B1371" s="49">
        <v>1</v>
      </c>
      <c r="C1371" s="14" t="s">
        <v>3368</v>
      </c>
      <c r="D1371" s="79" t="s">
        <v>1721</v>
      </c>
      <c r="E1371" s="149" t="s">
        <v>983</v>
      </c>
    </row>
    <row r="1372" spans="1:5">
      <c r="A1372" s="49">
        <v>45568</v>
      </c>
      <c r="B1372" s="49">
        <v>1</v>
      </c>
      <c r="C1372" s="14" t="s">
        <v>3369</v>
      </c>
      <c r="D1372" s="79" t="s">
        <v>1721</v>
      </c>
      <c r="E1372" s="149" t="s">
        <v>747</v>
      </c>
    </row>
    <row r="1373" spans="1:5">
      <c r="A1373" s="49">
        <v>45569</v>
      </c>
      <c r="B1373" s="49">
        <v>1</v>
      </c>
      <c r="C1373" s="14" t="s">
        <v>3370</v>
      </c>
      <c r="D1373" s="79" t="s">
        <v>1721</v>
      </c>
      <c r="E1373" s="149" t="s">
        <v>986</v>
      </c>
    </row>
    <row r="1374" spans="1:5">
      <c r="A1374" s="49">
        <v>45570</v>
      </c>
      <c r="B1374" s="49">
        <v>1</v>
      </c>
      <c r="C1374" s="14" t="s">
        <v>3371</v>
      </c>
      <c r="D1374" s="79" t="s">
        <v>1721</v>
      </c>
      <c r="E1374" s="149" t="s">
        <v>751</v>
      </c>
    </row>
    <row r="1375" spans="1:5">
      <c r="A1375" s="49">
        <v>45571</v>
      </c>
      <c r="B1375" s="49">
        <v>1</v>
      </c>
      <c r="C1375" s="14" t="s">
        <v>3366</v>
      </c>
      <c r="D1375" s="79" t="s">
        <v>1721</v>
      </c>
      <c r="E1375" s="149" t="s">
        <v>981</v>
      </c>
    </row>
    <row r="1376" spans="1:5">
      <c r="A1376" s="49">
        <v>45572</v>
      </c>
      <c r="B1376" s="49">
        <v>1</v>
      </c>
      <c r="C1376" s="14" t="s">
        <v>3368</v>
      </c>
      <c r="D1376" s="79" t="s">
        <v>1721</v>
      </c>
      <c r="E1376" s="149" t="s">
        <v>983</v>
      </c>
    </row>
    <row r="1377" spans="1:5">
      <c r="A1377" s="49">
        <v>45573</v>
      </c>
      <c r="B1377" s="49">
        <v>1</v>
      </c>
      <c r="C1377" s="14" t="s">
        <v>3369</v>
      </c>
      <c r="D1377" s="79" t="s">
        <v>1721</v>
      </c>
      <c r="E1377" s="149" t="s">
        <v>747</v>
      </c>
    </row>
    <row r="1378" spans="1:5">
      <c r="A1378" s="49">
        <v>45574</v>
      </c>
      <c r="B1378" s="49">
        <v>1</v>
      </c>
      <c r="C1378" s="14" t="s">
        <v>3370</v>
      </c>
      <c r="D1378" s="79" t="s">
        <v>1721</v>
      </c>
      <c r="E1378" s="149" t="s">
        <v>986</v>
      </c>
    </row>
    <row r="1379" spans="1:5">
      <c r="A1379" s="49">
        <v>45575</v>
      </c>
      <c r="B1379" s="49">
        <v>1</v>
      </c>
      <c r="C1379" s="14" t="s">
        <v>3371</v>
      </c>
      <c r="D1379" s="79" t="s">
        <v>1721</v>
      </c>
      <c r="E1379" s="149" t="s">
        <v>751</v>
      </c>
    </row>
    <row r="1380" spans="1:5">
      <c r="A1380" s="49">
        <v>45576</v>
      </c>
      <c r="B1380" s="49">
        <v>1</v>
      </c>
      <c r="C1380" s="14" t="s">
        <v>3366</v>
      </c>
      <c r="D1380" s="79" t="s">
        <v>1721</v>
      </c>
      <c r="E1380" s="149" t="s">
        <v>981</v>
      </c>
    </row>
    <row r="1381" spans="1:5">
      <c r="A1381" s="49">
        <v>45577</v>
      </c>
      <c r="B1381" s="49">
        <v>1</v>
      </c>
      <c r="C1381" s="14" t="s">
        <v>3368</v>
      </c>
      <c r="D1381" s="79" t="s">
        <v>1721</v>
      </c>
      <c r="E1381" s="149" t="s">
        <v>983</v>
      </c>
    </row>
    <row r="1382" spans="1:5">
      <c r="A1382" s="49">
        <v>45578</v>
      </c>
      <c r="B1382" s="49">
        <v>1</v>
      </c>
      <c r="C1382" s="14" t="s">
        <v>3369</v>
      </c>
      <c r="D1382" s="79" t="s">
        <v>1721</v>
      </c>
      <c r="E1382" s="149" t="s">
        <v>747</v>
      </c>
    </row>
    <row r="1383" spans="1:5">
      <c r="A1383" s="49">
        <v>45579</v>
      </c>
      <c r="B1383" s="49">
        <v>1</v>
      </c>
      <c r="C1383" s="14" t="s">
        <v>3370</v>
      </c>
      <c r="D1383" s="79" t="s">
        <v>1721</v>
      </c>
      <c r="E1383" s="149" t="s">
        <v>986</v>
      </c>
    </row>
    <row r="1384" spans="1:5">
      <c r="A1384" s="49">
        <v>45580</v>
      </c>
      <c r="B1384" s="49">
        <v>1</v>
      </c>
      <c r="C1384" s="14" t="s">
        <v>3371</v>
      </c>
      <c r="D1384" s="79" t="s">
        <v>1721</v>
      </c>
      <c r="E1384" s="149" t="s">
        <v>751</v>
      </c>
    </row>
    <row r="1385" spans="1:5">
      <c r="A1385" s="49">
        <v>45581</v>
      </c>
      <c r="B1385" s="49">
        <v>1</v>
      </c>
      <c r="C1385" s="14" t="s">
        <v>3366</v>
      </c>
      <c r="D1385" s="79" t="s">
        <v>1721</v>
      </c>
      <c r="E1385" s="149" t="s">
        <v>981</v>
      </c>
    </row>
    <row r="1386" spans="1:5">
      <c r="A1386" s="49">
        <v>45582</v>
      </c>
      <c r="B1386" s="49">
        <v>1</v>
      </c>
      <c r="C1386" s="14" t="s">
        <v>3368</v>
      </c>
      <c r="D1386" s="79" t="s">
        <v>1721</v>
      </c>
      <c r="E1386" s="149" t="s">
        <v>983</v>
      </c>
    </row>
    <row r="1387" spans="1:5">
      <c r="A1387" s="49">
        <v>45583</v>
      </c>
      <c r="B1387" s="49">
        <v>1</v>
      </c>
      <c r="C1387" s="14" t="s">
        <v>3369</v>
      </c>
      <c r="D1387" s="79" t="s">
        <v>1721</v>
      </c>
      <c r="E1387" s="149" t="s">
        <v>747</v>
      </c>
    </row>
    <row r="1388" spans="1:5">
      <c r="A1388" s="49">
        <v>45584</v>
      </c>
      <c r="B1388" s="49">
        <v>1</v>
      </c>
      <c r="C1388" s="14" t="s">
        <v>3370</v>
      </c>
      <c r="D1388" s="79" t="s">
        <v>1721</v>
      </c>
      <c r="E1388" s="149" t="s">
        <v>986</v>
      </c>
    </row>
    <row r="1389" spans="1:5">
      <c r="A1389" s="49">
        <v>45585</v>
      </c>
      <c r="B1389" s="49">
        <v>1</v>
      </c>
      <c r="C1389" s="14" t="s">
        <v>3371</v>
      </c>
      <c r="D1389" s="79" t="s">
        <v>1721</v>
      </c>
      <c r="E1389" s="149" t="s">
        <v>751</v>
      </c>
    </row>
    <row r="1390" spans="1:5">
      <c r="A1390" s="49">
        <v>45586</v>
      </c>
      <c r="B1390" s="49">
        <v>1</v>
      </c>
      <c r="C1390" s="14" t="s">
        <v>3366</v>
      </c>
      <c r="D1390" s="79" t="s">
        <v>1721</v>
      </c>
      <c r="E1390" s="149" t="s">
        <v>981</v>
      </c>
    </row>
    <row r="1391" spans="1:5">
      <c r="A1391" s="49">
        <v>45587</v>
      </c>
      <c r="B1391" s="49">
        <v>1</v>
      </c>
      <c r="C1391" s="14" t="s">
        <v>3368</v>
      </c>
      <c r="D1391" s="79" t="s">
        <v>1721</v>
      </c>
      <c r="E1391" s="149" t="s">
        <v>983</v>
      </c>
    </row>
    <row r="1392" spans="1:5">
      <c r="A1392" s="49">
        <v>45588</v>
      </c>
      <c r="B1392" s="49">
        <v>1</v>
      </c>
      <c r="C1392" s="14" t="s">
        <v>3369</v>
      </c>
      <c r="D1392" s="79" t="s">
        <v>1721</v>
      </c>
      <c r="E1392" s="149" t="s">
        <v>747</v>
      </c>
    </row>
    <row r="1393" spans="1:5">
      <c r="A1393" s="49">
        <v>45589</v>
      </c>
      <c r="B1393" s="49">
        <v>1</v>
      </c>
      <c r="C1393" s="14" t="s">
        <v>3370</v>
      </c>
      <c r="D1393" s="79" t="s">
        <v>1721</v>
      </c>
      <c r="E1393" s="149" t="s">
        <v>986</v>
      </c>
    </row>
    <row r="1394" spans="1:5">
      <c r="A1394" s="49">
        <v>45590</v>
      </c>
      <c r="B1394" s="49">
        <v>1</v>
      </c>
      <c r="C1394" s="14" t="s">
        <v>3371</v>
      </c>
      <c r="D1394" s="79" t="s">
        <v>1721</v>
      </c>
      <c r="E1394" s="149" t="s">
        <v>751</v>
      </c>
    </row>
    <row r="1395" spans="1:5">
      <c r="A1395" s="49">
        <v>45591</v>
      </c>
      <c r="B1395" s="49">
        <v>1</v>
      </c>
      <c r="C1395" s="14" t="s">
        <v>3366</v>
      </c>
      <c r="D1395" s="79" t="s">
        <v>1721</v>
      </c>
      <c r="E1395" s="149" t="s">
        <v>981</v>
      </c>
    </row>
    <row r="1396" spans="1:5">
      <c r="A1396" s="49">
        <v>45592</v>
      </c>
      <c r="B1396" s="49">
        <v>1</v>
      </c>
      <c r="C1396" s="14" t="s">
        <v>3368</v>
      </c>
      <c r="D1396" s="79" t="s">
        <v>1721</v>
      </c>
      <c r="E1396" s="149" t="s">
        <v>983</v>
      </c>
    </row>
    <row r="1397" spans="1:5">
      <c r="A1397" s="49">
        <v>45593</v>
      </c>
      <c r="B1397" s="49">
        <v>1</v>
      </c>
      <c r="C1397" s="14" t="s">
        <v>3369</v>
      </c>
      <c r="D1397" s="79" t="s">
        <v>1721</v>
      </c>
      <c r="E1397" s="149" t="s">
        <v>747</v>
      </c>
    </row>
    <row r="1398" spans="1:5">
      <c r="A1398" s="49">
        <v>45594</v>
      </c>
      <c r="B1398" s="49">
        <v>1</v>
      </c>
      <c r="C1398" s="14" t="s">
        <v>3370</v>
      </c>
      <c r="D1398" s="79" t="s">
        <v>1721</v>
      </c>
      <c r="E1398" s="149" t="s">
        <v>986</v>
      </c>
    </row>
    <row r="1399" spans="1:5">
      <c r="A1399" s="49">
        <v>45595</v>
      </c>
      <c r="B1399" s="49">
        <v>1</v>
      </c>
      <c r="C1399" s="14" t="s">
        <v>3371</v>
      </c>
      <c r="D1399" s="79" t="s">
        <v>1721</v>
      </c>
      <c r="E1399" s="149" t="s">
        <v>751</v>
      </c>
    </row>
    <row r="1400" spans="1:5">
      <c r="A1400" s="49">
        <v>45596</v>
      </c>
      <c r="B1400" s="49">
        <v>1</v>
      </c>
      <c r="C1400" s="14" t="s">
        <v>3366</v>
      </c>
      <c r="D1400" s="79" t="s">
        <v>1721</v>
      </c>
      <c r="E1400" s="149" t="s">
        <v>981</v>
      </c>
    </row>
    <row r="1401" spans="1:5">
      <c r="A1401" s="49">
        <v>45597</v>
      </c>
      <c r="B1401" s="49">
        <v>1</v>
      </c>
      <c r="C1401" s="14" t="s">
        <v>3368</v>
      </c>
      <c r="D1401" s="79" t="s">
        <v>1721</v>
      </c>
      <c r="E1401" s="149" t="s">
        <v>983</v>
      </c>
    </row>
    <row r="1402" spans="1:5">
      <c r="A1402" s="49">
        <v>45598</v>
      </c>
      <c r="B1402" s="49">
        <v>1</v>
      </c>
      <c r="C1402" s="14" t="s">
        <v>3369</v>
      </c>
      <c r="D1402" s="79" t="s">
        <v>1721</v>
      </c>
      <c r="E1402" s="149" t="s">
        <v>747</v>
      </c>
    </row>
    <row r="1403" spans="1:5">
      <c r="A1403" s="49">
        <v>45599</v>
      </c>
      <c r="B1403" s="49">
        <v>1</v>
      </c>
      <c r="C1403" s="14" t="s">
        <v>3370</v>
      </c>
      <c r="D1403" s="79" t="s">
        <v>1721</v>
      </c>
      <c r="E1403" s="149" t="s">
        <v>986</v>
      </c>
    </row>
    <row r="1404" spans="1:5">
      <c r="A1404" s="49">
        <v>45600</v>
      </c>
      <c r="B1404" s="49">
        <v>1</v>
      </c>
      <c r="C1404" s="14" t="s">
        <v>3371</v>
      </c>
      <c r="D1404" s="79" t="s">
        <v>1721</v>
      </c>
      <c r="E1404" s="149" t="s">
        <v>751</v>
      </c>
    </row>
    <row r="1405" spans="1:5">
      <c r="A1405" s="49">
        <v>45601</v>
      </c>
      <c r="B1405" s="49">
        <v>1</v>
      </c>
      <c r="C1405" s="14" t="s">
        <v>3366</v>
      </c>
      <c r="D1405" s="79" t="s">
        <v>1721</v>
      </c>
      <c r="E1405" s="149" t="s">
        <v>981</v>
      </c>
    </row>
    <row r="1406" spans="1:5">
      <c r="A1406" s="49">
        <v>45602</v>
      </c>
      <c r="B1406" s="49">
        <v>1</v>
      </c>
      <c r="C1406" s="14" t="s">
        <v>3368</v>
      </c>
      <c r="D1406" s="79" t="s">
        <v>1721</v>
      </c>
      <c r="E1406" s="149" t="s">
        <v>983</v>
      </c>
    </row>
    <row r="1407" spans="1:5">
      <c r="A1407" s="49">
        <v>45603</v>
      </c>
      <c r="B1407" s="49">
        <v>1</v>
      </c>
      <c r="C1407" s="14" t="s">
        <v>3369</v>
      </c>
      <c r="D1407" s="79" t="s">
        <v>1721</v>
      </c>
      <c r="E1407" s="149" t="s">
        <v>747</v>
      </c>
    </row>
    <row r="1408" spans="1:5">
      <c r="A1408" s="49">
        <v>45604</v>
      </c>
      <c r="B1408" s="49">
        <v>1</v>
      </c>
      <c r="C1408" s="14" t="s">
        <v>3370</v>
      </c>
      <c r="D1408" s="79" t="s">
        <v>1721</v>
      </c>
      <c r="E1408" s="149" t="s">
        <v>986</v>
      </c>
    </row>
    <row r="1409" spans="1:5">
      <c r="A1409" s="49">
        <v>45605</v>
      </c>
      <c r="B1409" s="49">
        <v>1</v>
      </c>
      <c r="C1409" s="14" t="s">
        <v>3371</v>
      </c>
      <c r="D1409" s="79" t="s">
        <v>1721</v>
      </c>
      <c r="E1409" s="149" t="s">
        <v>751</v>
      </c>
    </row>
    <row r="1410" spans="1:5">
      <c r="A1410" s="49">
        <v>45606</v>
      </c>
      <c r="B1410" s="49">
        <v>1</v>
      </c>
      <c r="C1410" s="14" t="s">
        <v>3366</v>
      </c>
      <c r="D1410" s="79" t="s">
        <v>1721</v>
      </c>
      <c r="E1410" s="149" t="s">
        <v>981</v>
      </c>
    </row>
    <row r="1411" spans="1:5">
      <c r="A1411" s="49">
        <v>45607</v>
      </c>
      <c r="B1411" s="49">
        <v>1</v>
      </c>
      <c r="C1411" s="14" t="s">
        <v>3368</v>
      </c>
      <c r="D1411" s="79" t="s">
        <v>1721</v>
      </c>
      <c r="E1411" s="149" t="s">
        <v>983</v>
      </c>
    </row>
    <row r="1412" spans="1:5">
      <c r="A1412" s="49">
        <v>45608</v>
      </c>
      <c r="B1412" s="49">
        <v>1</v>
      </c>
      <c r="C1412" s="14" t="s">
        <v>3369</v>
      </c>
      <c r="D1412" s="79" t="s">
        <v>1721</v>
      </c>
      <c r="E1412" s="149" t="s">
        <v>747</v>
      </c>
    </row>
    <row r="1413" spans="1:5">
      <c r="A1413" s="49">
        <v>45609</v>
      </c>
      <c r="B1413" s="49">
        <v>1</v>
      </c>
      <c r="C1413" s="14" t="s">
        <v>3370</v>
      </c>
      <c r="D1413" s="79" t="s">
        <v>1721</v>
      </c>
      <c r="E1413" s="149" t="s">
        <v>986</v>
      </c>
    </row>
    <row r="1414" spans="1:5">
      <c r="A1414" s="49">
        <v>45610</v>
      </c>
      <c r="B1414" s="49">
        <v>1</v>
      </c>
      <c r="C1414" s="14" t="s">
        <v>3371</v>
      </c>
      <c r="D1414" s="79" t="s">
        <v>1721</v>
      </c>
      <c r="E1414" s="149" t="s">
        <v>751</v>
      </c>
    </row>
    <row r="1415" spans="1:5">
      <c r="A1415" s="49">
        <v>45611</v>
      </c>
      <c r="B1415" s="49">
        <v>1</v>
      </c>
      <c r="C1415" s="14" t="s">
        <v>3366</v>
      </c>
      <c r="D1415" s="79" t="s">
        <v>1721</v>
      </c>
      <c r="E1415" s="149" t="s">
        <v>981</v>
      </c>
    </row>
    <row r="1416" spans="1:5">
      <c r="A1416" s="49">
        <v>45612</v>
      </c>
      <c r="B1416" s="49">
        <v>1</v>
      </c>
      <c r="C1416" s="14" t="s">
        <v>3368</v>
      </c>
      <c r="D1416" s="79" t="s">
        <v>1721</v>
      </c>
      <c r="E1416" s="149" t="s">
        <v>983</v>
      </c>
    </row>
    <row r="1417" spans="1:5">
      <c r="A1417" s="49">
        <v>45613</v>
      </c>
      <c r="B1417" s="49">
        <v>1</v>
      </c>
      <c r="C1417" s="14" t="s">
        <v>3369</v>
      </c>
      <c r="D1417" s="79" t="s">
        <v>1721</v>
      </c>
      <c r="E1417" s="149" t="s">
        <v>747</v>
      </c>
    </row>
    <row r="1418" spans="1:5">
      <c r="A1418" s="49">
        <v>45614</v>
      </c>
      <c r="B1418" s="49">
        <v>1</v>
      </c>
      <c r="C1418" s="14" t="s">
        <v>3370</v>
      </c>
      <c r="D1418" s="79" t="s">
        <v>1721</v>
      </c>
      <c r="E1418" s="149" t="s">
        <v>986</v>
      </c>
    </row>
    <row r="1419" spans="1:5">
      <c r="A1419" s="49">
        <v>45615</v>
      </c>
      <c r="B1419" s="49">
        <v>1</v>
      </c>
      <c r="C1419" s="14" t="s">
        <v>3371</v>
      </c>
      <c r="D1419" s="79" t="s">
        <v>1721</v>
      </c>
      <c r="E1419" s="149" t="s">
        <v>751</v>
      </c>
    </row>
    <row r="1420" spans="1:5">
      <c r="A1420" s="49">
        <v>45616</v>
      </c>
      <c r="B1420" s="49">
        <v>1</v>
      </c>
      <c r="C1420" s="14" t="s">
        <v>3366</v>
      </c>
      <c r="D1420" s="79" t="s">
        <v>1721</v>
      </c>
      <c r="E1420" s="149" t="s">
        <v>981</v>
      </c>
    </row>
    <row r="1421" spans="1:5">
      <c r="A1421" s="49">
        <v>45617</v>
      </c>
      <c r="B1421" s="49">
        <v>1</v>
      </c>
      <c r="C1421" s="14" t="s">
        <v>3368</v>
      </c>
      <c r="D1421" s="79" t="s">
        <v>1721</v>
      </c>
      <c r="E1421" s="149" t="s">
        <v>983</v>
      </c>
    </row>
    <row r="1422" spans="1:5">
      <c r="A1422" s="49">
        <v>45618</v>
      </c>
      <c r="B1422" s="49">
        <v>1</v>
      </c>
      <c r="C1422" s="14" t="s">
        <v>3369</v>
      </c>
      <c r="D1422" s="79" t="s">
        <v>1721</v>
      </c>
      <c r="E1422" s="149" t="s">
        <v>747</v>
      </c>
    </row>
    <row r="1423" spans="1:5">
      <c r="A1423" s="49">
        <v>45619</v>
      </c>
      <c r="B1423" s="49">
        <v>1</v>
      </c>
      <c r="C1423" s="14" t="s">
        <v>3370</v>
      </c>
      <c r="D1423" s="79" t="s">
        <v>1721</v>
      </c>
      <c r="E1423" s="149" t="s">
        <v>986</v>
      </c>
    </row>
    <row r="1424" spans="1:5">
      <c r="A1424" s="49">
        <v>45620</v>
      </c>
      <c r="B1424" s="49">
        <v>1</v>
      </c>
      <c r="C1424" s="14" t="s">
        <v>3371</v>
      </c>
      <c r="D1424" s="79" t="s">
        <v>1721</v>
      </c>
      <c r="E1424" s="149" t="s">
        <v>751</v>
      </c>
    </row>
    <row r="1425" spans="1:5">
      <c r="A1425" s="49">
        <v>45621</v>
      </c>
      <c r="B1425" s="49">
        <v>1</v>
      </c>
      <c r="C1425" s="14" t="s">
        <v>3366</v>
      </c>
      <c r="D1425" s="79" t="s">
        <v>1721</v>
      </c>
      <c r="E1425" s="149" t="s">
        <v>981</v>
      </c>
    </row>
    <row r="1426" spans="1:5">
      <c r="A1426" s="49">
        <v>45622</v>
      </c>
      <c r="B1426" s="49">
        <v>1</v>
      </c>
      <c r="C1426" s="14" t="s">
        <v>3368</v>
      </c>
      <c r="D1426" s="79" t="s">
        <v>1721</v>
      </c>
      <c r="E1426" s="149" t="s">
        <v>983</v>
      </c>
    </row>
    <row r="1427" spans="1:5">
      <c r="A1427" s="49">
        <v>45623</v>
      </c>
      <c r="B1427" s="49">
        <v>1</v>
      </c>
      <c r="C1427" s="14" t="s">
        <v>3369</v>
      </c>
      <c r="D1427" s="79" t="s">
        <v>1721</v>
      </c>
      <c r="E1427" s="149" t="s">
        <v>747</v>
      </c>
    </row>
    <row r="1428" spans="1:5">
      <c r="A1428" s="49">
        <v>45624</v>
      </c>
      <c r="B1428" s="49">
        <v>1</v>
      </c>
      <c r="C1428" s="14" t="s">
        <v>3370</v>
      </c>
      <c r="D1428" s="79" t="s">
        <v>1721</v>
      </c>
      <c r="E1428" s="149" t="s">
        <v>986</v>
      </c>
    </row>
    <row r="1429" spans="1:5">
      <c r="A1429" s="49">
        <v>45625</v>
      </c>
      <c r="B1429" s="49">
        <v>1</v>
      </c>
      <c r="C1429" s="14" t="s">
        <v>3371</v>
      </c>
      <c r="D1429" s="79" t="s">
        <v>1721</v>
      </c>
      <c r="E1429" s="149" t="s">
        <v>751</v>
      </c>
    </row>
    <row r="1430" spans="1:5">
      <c r="A1430" s="49">
        <v>45626</v>
      </c>
      <c r="B1430" s="49">
        <v>1</v>
      </c>
      <c r="C1430" s="14" t="s">
        <v>3366</v>
      </c>
      <c r="D1430" s="79" t="s">
        <v>1721</v>
      </c>
      <c r="E1430" s="149" t="s">
        <v>981</v>
      </c>
    </row>
    <row r="1431" spans="1:5">
      <c r="A1431" s="49">
        <v>45627</v>
      </c>
      <c r="B1431" s="49">
        <v>1</v>
      </c>
      <c r="C1431" s="14" t="s">
        <v>3368</v>
      </c>
      <c r="D1431" s="79" t="s">
        <v>1721</v>
      </c>
      <c r="E1431" s="149" t="s">
        <v>983</v>
      </c>
    </row>
    <row r="1432" spans="1:5">
      <c r="A1432" s="49">
        <v>45628</v>
      </c>
      <c r="B1432" s="49">
        <v>1</v>
      </c>
      <c r="C1432" s="14" t="s">
        <v>3369</v>
      </c>
      <c r="D1432" s="79" t="s">
        <v>1721</v>
      </c>
      <c r="E1432" s="149" t="s">
        <v>747</v>
      </c>
    </row>
    <row r="1433" spans="1:5">
      <c r="A1433" s="49">
        <v>45629</v>
      </c>
      <c r="B1433" s="49">
        <v>1</v>
      </c>
      <c r="C1433" s="14" t="s">
        <v>3370</v>
      </c>
      <c r="D1433" s="79" t="s">
        <v>1721</v>
      </c>
      <c r="E1433" s="149" t="s">
        <v>986</v>
      </c>
    </row>
    <row r="1434" spans="1:5">
      <c r="A1434" s="49">
        <v>45630</v>
      </c>
      <c r="B1434" s="49">
        <v>1</v>
      </c>
      <c r="C1434" s="14" t="s">
        <v>3371</v>
      </c>
      <c r="D1434" s="79" t="s">
        <v>1721</v>
      </c>
      <c r="E1434" s="149" t="s">
        <v>751</v>
      </c>
    </row>
    <row r="1435" spans="1:5">
      <c r="A1435" s="49">
        <v>45631</v>
      </c>
      <c r="B1435" s="49">
        <v>1</v>
      </c>
      <c r="C1435" s="14" t="s">
        <v>3366</v>
      </c>
      <c r="D1435" s="79" t="s">
        <v>1721</v>
      </c>
      <c r="E1435" s="149" t="s">
        <v>981</v>
      </c>
    </row>
    <row r="1436" spans="1:5">
      <c r="A1436" s="49">
        <v>45632</v>
      </c>
      <c r="B1436" s="49">
        <v>1</v>
      </c>
      <c r="C1436" s="14" t="s">
        <v>3368</v>
      </c>
      <c r="D1436" s="79" t="s">
        <v>1721</v>
      </c>
      <c r="E1436" s="149" t="s">
        <v>983</v>
      </c>
    </row>
    <row r="1437" spans="1:5">
      <c r="A1437" s="49">
        <v>45633</v>
      </c>
      <c r="B1437" s="49">
        <v>1</v>
      </c>
      <c r="C1437" s="14" t="s">
        <v>3369</v>
      </c>
      <c r="D1437" s="79" t="s">
        <v>1721</v>
      </c>
      <c r="E1437" s="149" t="s">
        <v>747</v>
      </c>
    </row>
    <row r="1438" spans="1:5">
      <c r="A1438" s="49">
        <v>45634</v>
      </c>
      <c r="B1438" s="49">
        <v>1</v>
      </c>
      <c r="C1438" s="14" t="s">
        <v>3370</v>
      </c>
      <c r="D1438" s="79" t="s">
        <v>1721</v>
      </c>
      <c r="E1438" s="149" t="s">
        <v>986</v>
      </c>
    </row>
    <row r="1439" spans="1:5">
      <c r="A1439" s="49">
        <v>45635</v>
      </c>
      <c r="B1439" s="49">
        <v>1</v>
      </c>
      <c r="C1439" s="14" t="s">
        <v>3371</v>
      </c>
      <c r="D1439" s="79" t="s">
        <v>1721</v>
      </c>
      <c r="E1439" s="149" t="s">
        <v>751</v>
      </c>
    </row>
    <row r="1440" spans="1:5">
      <c r="A1440" s="49">
        <v>45636</v>
      </c>
      <c r="B1440" s="49">
        <v>1</v>
      </c>
      <c r="C1440" s="14" t="s">
        <v>3366</v>
      </c>
      <c r="D1440" s="79" t="s">
        <v>1721</v>
      </c>
      <c r="E1440" s="149" t="s">
        <v>981</v>
      </c>
    </row>
    <row r="1441" spans="1:5">
      <c r="A1441" s="49">
        <v>45637</v>
      </c>
      <c r="B1441" s="49">
        <v>1</v>
      </c>
      <c r="C1441" s="14" t="s">
        <v>3368</v>
      </c>
      <c r="D1441" s="79" t="s">
        <v>1721</v>
      </c>
      <c r="E1441" s="149" t="s">
        <v>983</v>
      </c>
    </row>
    <row r="1442" spans="1:5">
      <c r="A1442" s="49">
        <v>45638</v>
      </c>
      <c r="B1442" s="49">
        <v>1</v>
      </c>
      <c r="C1442" s="14" t="s">
        <v>3369</v>
      </c>
      <c r="D1442" s="79" t="s">
        <v>1721</v>
      </c>
      <c r="E1442" s="149" t="s">
        <v>747</v>
      </c>
    </row>
    <row r="1443" spans="1:5">
      <c r="A1443" s="49">
        <v>45639</v>
      </c>
      <c r="B1443" s="49">
        <v>1</v>
      </c>
      <c r="C1443" s="14" t="s">
        <v>3370</v>
      </c>
      <c r="D1443" s="79" t="s">
        <v>1721</v>
      </c>
      <c r="E1443" s="149" t="s">
        <v>986</v>
      </c>
    </row>
    <row r="1444" spans="1:5">
      <c r="A1444" s="49">
        <v>45640</v>
      </c>
      <c r="B1444" s="49">
        <v>1</v>
      </c>
      <c r="C1444" s="14" t="s">
        <v>3371</v>
      </c>
      <c r="D1444" s="79" t="s">
        <v>1721</v>
      </c>
      <c r="E1444" s="149" t="s">
        <v>751</v>
      </c>
    </row>
    <row r="1445" spans="1:5">
      <c r="A1445" s="49">
        <v>45641</v>
      </c>
      <c r="B1445" s="49">
        <v>1</v>
      </c>
      <c r="C1445" s="14" t="s">
        <v>3366</v>
      </c>
      <c r="D1445" s="79" t="s">
        <v>1721</v>
      </c>
      <c r="E1445" s="149" t="s">
        <v>981</v>
      </c>
    </row>
    <row r="1446" spans="1:5">
      <c r="A1446" s="49">
        <v>45642</v>
      </c>
      <c r="B1446" s="49">
        <v>1</v>
      </c>
      <c r="C1446" s="14" t="s">
        <v>3368</v>
      </c>
      <c r="D1446" s="79" t="s">
        <v>1721</v>
      </c>
      <c r="E1446" s="149" t="s">
        <v>983</v>
      </c>
    </row>
    <row r="1447" spans="1:5">
      <c r="A1447" s="49">
        <v>45643</v>
      </c>
      <c r="B1447" s="49">
        <v>1</v>
      </c>
      <c r="C1447" s="14" t="s">
        <v>3369</v>
      </c>
      <c r="D1447" s="79" t="s">
        <v>1721</v>
      </c>
      <c r="E1447" s="149" t="s">
        <v>747</v>
      </c>
    </row>
    <row r="1448" spans="1:5">
      <c r="A1448" s="49">
        <v>45644</v>
      </c>
      <c r="B1448" s="49">
        <v>1</v>
      </c>
      <c r="C1448" s="14" t="s">
        <v>3370</v>
      </c>
      <c r="D1448" s="79" t="s">
        <v>1721</v>
      </c>
      <c r="E1448" s="149" t="s">
        <v>986</v>
      </c>
    </row>
    <row r="1449" spans="1:5">
      <c r="A1449" s="49">
        <v>45645</v>
      </c>
      <c r="B1449" s="49">
        <v>1</v>
      </c>
      <c r="C1449" s="14" t="s">
        <v>3371</v>
      </c>
      <c r="D1449" s="79" t="s">
        <v>1721</v>
      </c>
      <c r="E1449" s="149" t="s">
        <v>751</v>
      </c>
    </row>
    <row r="1450" spans="1:5">
      <c r="A1450" s="49">
        <v>45646</v>
      </c>
      <c r="B1450" s="49">
        <v>1</v>
      </c>
      <c r="C1450" s="14" t="s">
        <v>3366</v>
      </c>
      <c r="D1450" s="79" t="s">
        <v>1721</v>
      </c>
      <c r="E1450" s="149" t="s">
        <v>981</v>
      </c>
    </row>
    <row r="1451" spans="1:5">
      <c r="A1451" s="49">
        <v>45647</v>
      </c>
      <c r="B1451" s="49">
        <v>1</v>
      </c>
      <c r="C1451" s="14" t="s">
        <v>3368</v>
      </c>
      <c r="D1451" s="79" t="s">
        <v>1721</v>
      </c>
      <c r="E1451" s="149" t="s">
        <v>983</v>
      </c>
    </row>
    <row r="1452" spans="1:5">
      <c r="A1452" s="49">
        <v>45648</v>
      </c>
      <c r="B1452" s="49">
        <v>1</v>
      </c>
      <c r="C1452" s="14" t="s">
        <v>3369</v>
      </c>
      <c r="D1452" s="79" t="s">
        <v>1721</v>
      </c>
      <c r="E1452" s="149" t="s">
        <v>747</v>
      </c>
    </row>
    <row r="1453" spans="1:5">
      <c r="A1453" s="49">
        <v>45649</v>
      </c>
      <c r="B1453" s="49">
        <v>1</v>
      </c>
      <c r="C1453" s="14" t="s">
        <v>3370</v>
      </c>
      <c r="D1453" s="79" t="s">
        <v>1721</v>
      </c>
      <c r="E1453" s="149" t="s">
        <v>986</v>
      </c>
    </row>
    <row r="1454" spans="1:5">
      <c r="A1454" s="49">
        <v>45650</v>
      </c>
      <c r="B1454" s="49">
        <v>1</v>
      </c>
      <c r="C1454" s="14" t="s">
        <v>3371</v>
      </c>
      <c r="D1454" s="79" t="s">
        <v>1721</v>
      </c>
      <c r="E1454" s="149" t="s">
        <v>751</v>
      </c>
    </row>
    <row r="1455" spans="1:5">
      <c r="A1455" s="49">
        <v>45651</v>
      </c>
      <c r="B1455" s="49">
        <v>1</v>
      </c>
      <c r="C1455" s="14" t="s">
        <v>3366</v>
      </c>
      <c r="D1455" s="79" t="s">
        <v>1721</v>
      </c>
      <c r="E1455" s="149" t="s">
        <v>981</v>
      </c>
    </row>
    <row r="1456" spans="1:5">
      <c r="A1456" s="49">
        <v>45652</v>
      </c>
      <c r="B1456" s="49">
        <v>1</v>
      </c>
      <c r="C1456" s="14" t="s">
        <v>3368</v>
      </c>
      <c r="D1456" s="79" t="s">
        <v>1721</v>
      </c>
      <c r="E1456" s="149" t="s">
        <v>983</v>
      </c>
    </row>
    <row r="1457" spans="1:5">
      <c r="A1457" s="49">
        <v>45653</v>
      </c>
      <c r="B1457" s="49">
        <v>1</v>
      </c>
      <c r="C1457" s="14" t="s">
        <v>3369</v>
      </c>
      <c r="D1457" s="79" t="s">
        <v>1721</v>
      </c>
      <c r="E1457" s="149" t="s">
        <v>747</v>
      </c>
    </row>
    <row r="1458" spans="1:5">
      <c r="A1458" s="49">
        <v>45654</v>
      </c>
      <c r="B1458" s="49">
        <v>1</v>
      </c>
      <c r="C1458" s="14" t="s">
        <v>3370</v>
      </c>
      <c r="D1458" s="79" t="s">
        <v>1721</v>
      </c>
      <c r="E1458" s="149" t="s">
        <v>986</v>
      </c>
    </row>
    <row r="1459" spans="1:5">
      <c r="A1459" s="49">
        <v>45655</v>
      </c>
      <c r="B1459" s="49">
        <v>1</v>
      </c>
      <c r="C1459" s="14" t="s">
        <v>3371</v>
      </c>
      <c r="D1459" s="79" t="s">
        <v>1721</v>
      </c>
      <c r="E1459" s="149" t="s">
        <v>751</v>
      </c>
    </row>
    <row r="1460" spans="1:5">
      <c r="A1460" s="49">
        <v>45656</v>
      </c>
      <c r="B1460" s="49">
        <v>1</v>
      </c>
      <c r="C1460" s="14" t="s">
        <v>3366</v>
      </c>
      <c r="D1460" s="79" t="s">
        <v>1721</v>
      </c>
      <c r="E1460" s="149" t="s">
        <v>981</v>
      </c>
    </row>
    <row r="1461" spans="1:5">
      <c r="A1461" s="49">
        <v>45657</v>
      </c>
      <c r="B1461" s="49">
        <v>1</v>
      </c>
      <c r="C1461" s="14" t="s">
        <v>3368</v>
      </c>
      <c r="D1461" s="79" t="s">
        <v>1721</v>
      </c>
      <c r="E1461" s="149" t="s">
        <v>983</v>
      </c>
    </row>
    <row r="1462" spans="1:5">
      <c r="A1462" s="49">
        <v>45658</v>
      </c>
      <c r="B1462" s="49">
        <v>1</v>
      </c>
      <c r="C1462" s="14" t="s">
        <v>3369</v>
      </c>
      <c r="D1462" s="79" t="s">
        <v>1721</v>
      </c>
      <c r="E1462" s="149" t="s">
        <v>747</v>
      </c>
    </row>
    <row r="1463" spans="1:5">
      <c r="A1463" s="49">
        <v>45659</v>
      </c>
      <c r="B1463" s="49">
        <v>1</v>
      </c>
      <c r="C1463" s="14" t="s">
        <v>3370</v>
      </c>
      <c r="D1463" s="79" t="s">
        <v>1721</v>
      </c>
      <c r="E1463" s="149" t="s">
        <v>986</v>
      </c>
    </row>
    <row r="1464" spans="1:5">
      <c r="A1464" s="49">
        <v>45660</v>
      </c>
      <c r="B1464" s="49">
        <v>1</v>
      </c>
      <c r="C1464" s="14" t="s">
        <v>3371</v>
      </c>
      <c r="D1464" s="79" t="s">
        <v>1721</v>
      </c>
      <c r="E1464" s="149" t="s">
        <v>751</v>
      </c>
    </row>
    <row r="1465" spans="1:5">
      <c r="A1465" s="49">
        <v>45661</v>
      </c>
      <c r="B1465" s="49">
        <v>1</v>
      </c>
      <c r="C1465" s="14" t="s">
        <v>3366</v>
      </c>
      <c r="D1465" s="79" t="s">
        <v>1721</v>
      </c>
      <c r="E1465" s="149" t="s">
        <v>981</v>
      </c>
    </row>
    <row r="1466" spans="1:5">
      <c r="A1466" s="49">
        <v>45662</v>
      </c>
      <c r="B1466" s="49">
        <v>1</v>
      </c>
      <c r="C1466" s="14" t="s">
        <v>3368</v>
      </c>
      <c r="D1466" s="79" t="s">
        <v>1721</v>
      </c>
      <c r="E1466" s="149" t="s">
        <v>983</v>
      </c>
    </row>
    <row r="1467" spans="1:5">
      <c r="A1467" s="49">
        <v>45663</v>
      </c>
      <c r="B1467" s="49">
        <v>1</v>
      </c>
      <c r="C1467" s="14" t="s">
        <v>3369</v>
      </c>
      <c r="D1467" s="79" t="s">
        <v>1721</v>
      </c>
      <c r="E1467" s="149" t="s">
        <v>747</v>
      </c>
    </row>
    <row r="1468" spans="1:5">
      <c r="A1468" s="49">
        <v>45664</v>
      </c>
      <c r="B1468" s="49">
        <v>1</v>
      </c>
      <c r="C1468" s="14" t="s">
        <v>3370</v>
      </c>
      <c r="D1468" s="79" t="s">
        <v>1721</v>
      </c>
      <c r="E1468" s="149" t="s">
        <v>986</v>
      </c>
    </row>
    <row r="1469" spans="1:5">
      <c r="A1469" s="49">
        <v>45665</v>
      </c>
      <c r="B1469" s="49">
        <v>1</v>
      </c>
      <c r="C1469" s="14" t="s">
        <v>3371</v>
      </c>
      <c r="D1469" s="79" t="s">
        <v>1721</v>
      </c>
      <c r="E1469" s="149" t="s">
        <v>751</v>
      </c>
    </row>
    <row r="1470" spans="1:5">
      <c r="A1470" s="49">
        <v>45666</v>
      </c>
      <c r="B1470" s="49">
        <v>1</v>
      </c>
      <c r="C1470" s="14" t="s">
        <v>3366</v>
      </c>
      <c r="D1470" s="79" t="s">
        <v>1721</v>
      </c>
      <c r="E1470" s="149" t="s">
        <v>981</v>
      </c>
    </row>
    <row r="1471" spans="1:5">
      <c r="A1471" s="49">
        <v>45667</v>
      </c>
      <c r="B1471" s="49">
        <v>1</v>
      </c>
      <c r="C1471" s="14" t="s">
        <v>3368</v>
      </c>
      <c r="D1471" s="79" t="s">
        <v>1721</v>
      </c>
      <c r="E1471" s="149" t="s">
        <v>983</v>
      </c>
    </row>
    <row r="1472" spans="1:5">
      <c r="A1472" s="49">
        <v>45668</v>
      </c>
      <c r="B1472" s="49">
        <v>1</v>
      </c>
      <c r="C1472" s="14" t="s">
        <v>3369</v>
      </c>
      <c r="D1472" s="79" t="s">
        <v>1721</v>
      </c>
      <c r="E1472" s="149" t="s">
        <v>747</v>
      </c>
    </row>
    <row r="1473" spans="1:5">
      <c r="A1473" s="49">
        <v>45669</v>
      </c>
      <c r="B1473" s="49">
        <v>1</v>
      </c>
      <c r="C1473" s="14" t="s">
        <v>3370</v>
      </c>
      <c r="D1473" s="79" t="s">
        <v>1721</v>
      </c>
      <c r="E1473" s="149" t="s">
        <v>986</v>
      </c>
    </row>
    <row r="1474" spans="1:5">
      <c r="A1474" s="49">
        <v>45670</v>
      </c>
      <c r="B1474" s="49">
        <v>1</v>
      </c>
      <c r="C1474" s="14" t="s">
        <v>3371</v>
      </c>
      <c r="D1474" s="79" t="s">
        <v>1721</v>
      </c>
      <c r="E1474" s="149" t="s">
        <v>751</v>
      </c>
    </row>
    <row r="1475" spans="1:5">
      <c r="A1475" s="49">
        <v>45671</v>
      </c>
      <c r="B1475" s="49">
        <v>1</v>
      </c>
      <c r="C1475" s="14" t="s">
        <v>3366</v>
      </c>
      <c r="D1475" s="79" t="s">
        <v>1721</v>
      </c>
      <c r="E1475" s="149" t="s">
        <v>981</v>
      </c>
    </row>
    <row r="1476" spans="1:5">
      <c r="A1476" s="49">
        <v>45672</v>
      </c>
      <c r="B1476" s="49">
        <v>1</v>
      </c>
      <c r="C1476" s="14" t="s">
        <v>3368</v>
      </c>
      <c r="D1476" s="79" t="s">
        <v>1721</v>
      </c>
      <c r="E1476" s="149" t="s">
        <v>983</v>
      </c>
    </row>
    <row r="1477" spans="1:5">
      <c r="A1477" s="49">
        <v>45673</v>
      </c>
      <c r="B1477" s="49">
        <v>1</v>
      </c>
      <c r="C1477" s="14" t="s">
        <v>3369</v>
      </c>
      <c r="D1477" s="79" t="s">
        <v>1721</v>
      </c>
      <c r="E1477" s="149" t="s">
        <v>747</v>
      </c>
    </row>
    <row r="1478" spans="1:5">
      <c r="A1478" s="49">
        <v>45674</v>
      </c>
      <c r="B1478" s="49">
        <v>1</v>
      </c>
      <c r="C1478" s="14" t="s">
        <v>3370</v>
      </c>
      <c r="D1478" s="79" t="s">
        <v>1721</v>
      </c>
      <c r="E1478" s="149" t="s">
        <v>986</v>
      </c>
    </row>
    <row r="1479" spans="1:5">
      <c r="A1479" s="49">
        <v>45675</v>
      </c>
      <c r="B1479" s="49">
        <v>1</v>
      </c>
      <c r="C1479" s="14" t="s">
        <v>3371</v>
      </c>
      <c r="D1479" s="79" t="s">
        <v>1721</v>
      </c>
      <c r="E1479" s="149" t="s">
        <v>751</v>
      </c>
    </row>
    <row r="1480" spans="1:5">
      <c r="A1480" s="49">
        <v>45676</v>
      </c>
      <c r="B1480" s="49">
        <v>1</v>
      </c>
      <c r="C1480" s="14" t="s">
        <v>3366</v>
      </c>
      <c r="D1480" s="79" t="s">
        <v>1721</v>
      </c>
      <c r="E1480" s="149" t="s">
        <v>981</v>
      </c>
    </row>
    <row r="1481" spans="1:5">
      <c r="A1481" s="49">
        <v>45677</v>
      </c>
      <c r="B1481" s="49">
        <v>1</v>
      </c>
      <c r="C1481" s="14" t="s">
        <v>3368</v>
      </c>
      <c r="D1481" s="79" t="s">
        <v>1721</v>
      </c>
      <c r="E1481" s="149" t="s">
        <v>983</v>
      </c>
    </row>
    <row r="1482" spans="1:5">
      <c r="A1482" s="49">
        <v>45678</v>
      </c>
      <c r="B1482" s="49">
        <v>1</v>
      </c>
      <c r="C1482" s="14" t="s">
        <v>3369</v>
      </c>
      <c r="D1482" s="79" t="s">
        <v>1721</v>
      </c>
      <c r="E1482" s="149" t="s">
        <v>747</v>
      </c>
    </row>
    <row r="1483" spans="1:5">
      <c r="A1483" s="49">
        <v>45679</v>
      </c>
      <c r="B1483" s="49">
        <v>1</v>
      </c>
      <c r="C1483" s="14" t="s">
        <v>3370</v>
      </c>
      <c r="D1483" s="79" t="s">
        <v>1721</v>
      </c>
      <c r="E1483" s="149" t="s">
        <v>986</v>
      </c>
    </row>
    <row r="1484" spans="1:5">
      <c r="A1484" s="49">
        <v>45680</v>
      </c>
      <c r="B1484" s="49">
        <v>1</v>
      </c>
      <c r="C1484" s="14" t="s">
        <v>3371</v>
      </c>
      <c r="D1484" s="79" t="s">
        <v>1721</v>
      </c>
      <c r="E1484" s="149" t="s">
        <v>751</v>
      </c>
    </row>
    <row r="1485" spans="1:5">
      <c r="A1485" s="49">
        <v>45681</v>
      </c>
      <c r="B1485" s="49">
        <v>1</v>
      </c>
      <c r="C1485" s="14" t="s">
        <v>3366</v>
      </c>
      <c r="D1485" s="79" t="s">
        <v>1721</v>
      </c>
      <c r="E1485" s="149" t="s">
        <v>981</v>
      </c>
    </row>
    <row r="1486" spans="1:5">
      <c r="A1486" s="49">
        <v>45682</v>
      </c>
      <c r="B1486" s="49">
        <v>1</v>
      </c>
      <c r="C1486" s="14" t="s">
        <v>3368</v>
      </c>
      <c r="D1486" s="79" t="s">
        <v>1721</v>
      </c>
      <c r="E1486" s="149" t="s">
        <v>983</v>
      </c>
    </row>
    <row r="1487" spans="1:5">
      <c r="A1487" s="49">
        <v>45683</v>
      </c>
      <c r="B1487" s="49">
        <v>1</v>
      </c>
      <c r="C1487" s="14" t="s">
        <v>3369</v>
      </c>
      <c r="D1487" s="79" t="s">
        <v>1721</v>
      </c>
      <c r="E1487" s="149" t="s">
        <v>747</v>
      </c>
    </row>
    <row r="1488" spans="1:5">
      <c r="A1488" s="49">
        <v>45684</v>
      </c>
      <c r="B1488" s="49">
        <v>1</v>
      </c>
      <c r="C1488" s="14" t="s">
        <v>3370</v>
      </c>
      <c r="D1488" s="79" t="s">
        <v>1721</v>
      </c>
      <c r="E1488" s="149" t="s">
        <v>986</v>
      </c>
    </row>
    <row r="1489" spans="1:5">
      <c r="A1489" s="49">
        <v>45685</v>
      </c>
      <c r="B1489" s="49">
        <v>1</v>
      </c>
      <c r="C1489" s="14" t="s">
        <v>3371</v>
      </c>
      <c r="D1489" s="79" t="s">
        <v>1721</v>
      </c>
      <c r="E1489" s="149" t="s">
        <v>751</v>
      </c>
    </row>
    <row r="1490" spans="1:5">
      <c r="A1490" s="49">
        <v>45686</v>
      </c>
      <c r="B1490" s="49">
        <v>1</v>
      </c>
      <c r="C1490" s="14" t="s">
        <v>3366</v>
      </c>
      <c r="D1490" s="79" t="s">
        <v>1721</v>
      </c>
      <c r="E1490" s="149" t="s">
        <v>981</v>
      </c>
    </row>
    <row r="1491" spans="1:5">
      <c r="A1491" s="49">
        <v>45687</v>
      </c>
      <c r="B1491" s="49">
        <v>1</v>
      </c>
      <c r="C1491" s="14" t="s">
        <v>3368</v>
      </c>
      <c r="D1491" s="79" t="s">
        <v>1721</v>
      </c>
      <c r="E1491" s="149" t="s">
        <v>983</v>
      </c>
    </row>
    <row r="1492" spans="1:5">
      <c r="A1492" s="49">
        <v>45688</v>
      </c>
      <c r="B1492" s="49">
        <v>1</v>
      </c>
      <c r="C1492" s="14" t="s">
        <v>3369</v>
      </c>
      <c r="D1492" s="79" t="s">
        <v>1721</v>
      </c>
      <c r="E1492" s="149" t="s">
        <v>747</v>
      </c>
    </row>
    <row r="1493" spans="1:5">
      <c r="A1493" s="49">
        <v>45689</v>
      </c>
      <c r="B1493" s="49">
        <v>1</v>
      </c>
      <c r="C1493" s="14" t="s">
        <v>3370</v>
      </c>
      <c r="D1493" s="79" t="s">
        <v>1721</v>
      </c>
      <c r="E1493" s="149" t="s">
        <v>986</v>
      </c>
    </row>
    <row r="1494" spans="1:5">
      <c r="A1494" s="49">
        <v>45690</v>
      </c>
      <c r="B1494" s="49">
        <v>1</v>
      </c>
      <c r="C1494" s="14" t="s">
        <v>3371</v>
      </c>
      <c r="D1494" s="79" t="s">
        <v>1721</v>
      </c>
      <c r="E1494" s="149" t="s">
        <v>751</v>
      </c>
    </row>
    <row r="1495" spans="1:5">
      <c r="A1495" s="49">
        <v>45691</v>
      </c>
      <c r="B1495" s="49">
        <v>1</v>
      </c>
      <c r="C1495" s="14" t="s">
        <v>3366</v>
      </c>
      <c r="D1495" s="79" t="s">
        <v>1721</v>
      </c>
      <c r="E1495" s="149" t="s">
        <v>981</v>
      </c>
    </row>
    <row r="1496" spans="1:5">
      <c r="A1496" s="49">
        <v>45692</v>
      </c>
      <c r="B1496" s="49">
        <v>1</v>
      </c>
      <c r="C1496" s="14" t="s">
        <v>3368</v>
      </c>
      <c r="D1496" s="79" t="s">
        <v>1721</v>
      </c>
      <c r="E1496" s="149" t="s">
        <v>983</v>
      </c>
    </row>
    <row r="1497" spans="1:5">
      <c r="A1497" s="49">
        <v>45693</v>
      </c>
      <c r="B1497" s="49">
        <v>1</v>
      </c>
      <c r="C1497" s="14" t="s">
        <v>3369</v>
      </c>
      <c r="D1497" s="79" t="s">
        <v>1721</v>
      </c>
      <c r="E1497" s="149" t="s">
        <v>747</v>
      </c>
    </row>
    <row r="1498" spans="1:5">
      <c r="A1498" s="49">
        <v>45694</v>
      </c>
      <c r="B1498" s="49">
        <v>1</v>
      </c>
      <c r="C1498" s="14" t="s">
        <v>3370</v>
      </c>
      <c r="D1498" s="79" t="s">
        <v>1721</v>
      </c>
      <c r="E1498" s="149" t="s">
        <v>986</v>
      </c>
    </row>
    <row r="1499" spans="1:5">
      <c r="A1499" s="49">
        <v>45695</v>
      </c>
      <c r="B1499" s="49">
        <v>1</v>
      </c>
      <c r="C1499" s="14" t="s">
        <v>3371</v>
      </c>
      <c r="D1499" s="79" t="s">
        <v>1721</v>
      </c>
      <c r="E1499" s="149" t="s">
        <v>751</v>
      </c>
    </row>
    <row r="1500" spans="1:5">
      <c r="A1500" s="49">
        <v>45696</v>
      </c>
      <c r="B1500" s="49">
        <v>1</v>
      </c>
      <c r="C1500" s="14" t="s">
        <v>3366</v>
      </c>
      <c r="D1500" s="79" t="s">
        <v>1721</v>
      </c>
      <c r="E1500" s="149" t="s">
        <v>981</v>
      </c>
    </row>
    <row r="1501" spans="1:5">
      <c r="A1501" s="49">
        <v>45697</v>
      </c>
      <c r="B1501" s="49">
        <v>1</v>
      </c>
      <c r="C1501" s="14" t="s">
        <v>3368</v>
      </c>
      <c r="D1501" s="79" t="s">
        <v>1721</v>
      </c>
      <c r="E1501" s="149" t="s">
        <v>983</v>
      </c>
    </row>
    <row r="1502" spans="1:5">
      <c r="A1502" s="49">
        <v>45698</v>
      </c>
      <c r="B1502" s="49">
        <v>1</v>
      </c>
      <c r="C1502" s="14" t="s">
        <v>3369</v>
      </c>
      <c r="D1502" s="79" t="s">
        <v>1721</v>
      </c>
      <c r="E1502" s="149" t="s">
        <v>747</v>
      </c>
    </row>
    <row r="1503" spans="1:5">
      <c r="A1503" s="49">
        <v>45699</v>
      </c>
      <c r="B1503" s="49">
        <v>1</v>
      </c>
      <c r="C1503" s="14" t="s">
        <v>3370</v>
      </c>
      <c r="D1503" s="79" t="s">
        <v>1721</v>
      </c>
      <c r="E1503" s="149" t="s">
        <v>986</v>
      </c>
    </row>
    <row r="1504" spans="1:5">
      <c r="A1504" s="49">
        <v>45700</v>
      </c>
      <c r="B1504" s="49">
        <v>1</v>
      </c>
      <c r="C1504" s="14" t="s">
        <v>3371</v>
      </c>
      <c r="D1504" s="79" t="s">
        <v>1721</v>
      </c>
      <c r="E1504" s="149" t="s">
        <v>751</v>
      </c>
    </row>
    <row r="1505" spans="1:5">
      <c r="A1505" s="49">
        <v>45701</v>
      </c>
      <c r="B1505" s="49">
        <v>1</v>
      </c>
      <c r="C1505" s="14" t="s">
        <v>3366</v>
      </c>
      <c r="D1505" s="79" t="s">
        <v>1721</v>
      </c>
      <c r="E1505" s="149" t="s">
        <v>981</v>
      </c>
    </row>
    <row r="1506" spans="1:5">
      <c r="A1506" s="49">
        <v>45702</v>
      </c>
      <c r="B1506" s="49">
        <v>1</v>
      </c>
      <c r="C1506" s="14" t="s">
        <v>3368</v>
      </c>
      <c r="D1506" s="79" t="s">
        <v>1721</v>
      </c>
      <c r="E1506" s="149" t="s">
        <v>983</v>
      </c>
    </row>
    <row r="1507" spans="1:5">
      <c r="A1507" s="49">
        <v>45703</v>
      </c>
      <c r="B1507" s="49">
        <v>1</v>
      </c>
      <c r="C1507" s="14" t="s">
        <v>3369</v>
      </c>
      <c r="D1507" s="79" t="s">
        <v>1721</v>
      </c>
      <c r="E1507" s="149" t="s">
        <v>747</v>
      </c>
    </row>
    <row r="1508" spans="1:5">
      <c r="A1508" s="49">
        <v>45704</v>
      </c>
      <c r="B1508" s="49">
        <v>1</v>
      </c>
      <c r="C1508" s="14" t="s">
        <v>3370</v>
      </c>
      <c r="D1508" s="79" t="s">
        <v>1721</v>
      </c>
      <c r="E1508" s="149" t="s">
        <v>986</v>
      </c>
    </row>
    <row r="1509" spans="1:5">
      <c r="A1509" s="49">
        <v>45705</v>
      </c>
      <c r="B1509" s="49">
        <v>1</v>
      </c>
      <c r="C1509" s="14" t="s">
        <v>3371</v>
      </c>
      <c r="D1509" s="79" t="s">
        <v>1721</v>
      </c>
      <c r="E1509" s="149" t="s">
        <v>751</v>
      </c>
    </row>
    <row r="1510" spans="1:5">
      <c r="A1510" s="49">
        <v>45706</v>
      </c>
      <c r="B1510" s="49">
        <v>1</v>
      </c>
      <c r="C1510" s="14" t="s">
        <v>3366</v>
      </c>
      <c r="D1510" s="79" t="s">
        <v>1721</v>
      </c>
      <c r="E1510" s="149" t="s">
        <v>981</v>
      </c>
    </row>
    <row r="1511" spans="1:5">
      <c r="A1511" s="49">
        <v>45707</v>
      </c>
      <c r="B1511" s="49">
        <v>1</v>
      </c>
      <c r="C1511" s="14" t="s">
        <v>3368</v>
      </c>
      <c r="D1511" s="79" t="s">
        <v>1721</v>
      </c>
      <c r="E1511" s="149" t="s">
        <v>983</v>
      </c>
    </row>
    <row r="1512" spans="1:5">
      <c r="A1512" s="49">
        <v>45708</v>
      </c>
      <c r="B1512" s="49">
        <v>1</v>
      </c>
      <c r="C1512" s="14" t="s">
        <v>3369</v>
      </c>
      <c r="D1512" s="79" t="s">
        <v>1721</v>
      </c>
      <c r="E1512" s="149" t="s">
        <v>747</v>
      </c>
    </row>
    <row r="1513" spans="1:5">
      <c r="A1513" s="49">
        <v>45709</v>
      </c>
      <c r="B1513" s="49">
        <v>1</v>
      </c>
      <c r="C1513" s="14" t="s">
        <v>3370</v>
      </c>
      <c r="D1513" s="79" t="s">
        <v>1721</v>
      </c>
      <c r="E1513" s="149" t="s">
        <v>986</v>
      </c>
    </row>
    <row r="1514" spans="1:5">
      <c r="A1514" s="49">
        <v>45710</v>
      </c>
      <c r="B1514" s="49">
        <v>1</v>
      </c>
      <c r="C1514" s="14" t="s">
        <v>3371</v>
      </c>
      <c r="D1514" s="79" t="s">
        <v>1721</v>
      </c>
      <c r="E1514" s="149" t="s">
        <v>751</v>
      </c>
    </row>
    <row r="1515" spans="1:5">
      <c r="A1515" s="49">
        <v>45711</v>
      </c>
      <c r="B1515" s="49">
        <v>1</v>
      </c>
      <c r="C1515" s="14" t="s">
        <v>3366</v>
      </c>
      <c r="D1515" s="79" t="s">
        <v>1721</v>
      </c>
      <c r="E1515" s="149" t="s">
        <v>981</v>
      </c>
    </row>
    <row r="1516" spans="1:5">
      <c r="A1516" s="49">
        <v>45712</v>
      </c>
      <c r="B1516" s="49">
        <v>1</v>
      </c>
      <c r="C1516" s="14" t="s">
        <v>3368</v>
      </c>
      <c r="D1516" s="79" t="s">
        <v>1721</v>
      </c>
      <c r="E1516" s="149" t="s">
        <v>983</v>
      </c>
    </row>
    <row r="1517" spans="1:5">
      <c r="A1517" s="49">
        <v>45713</v>
      </c>
      <c r="B1517" s="49">
        <v>1</v>
      </c>
      <c r="C1517" s="14" t="s">
        <v>3369</v>
      </c>
      <c r="D1517" s="79" t="s">
        <v>1721</v>
      </c>
      <c r="E1517" s="149" t="s">
        <v>747</v>
      </c>
    </row>
    <row r="1518" spans="1:5">
      <c r="A1518" s="49">
        <v>45714</v>
      </c>
      <c r="B1518" s="49">
        <v>1</v>
      </c>
      <c r="C1518" s="14" t="s">
        <v>3370</v>
      </c>
      <c r="D1518" s="79" t="s">
        <v>1721</v>
      </c>
      <c r="E1518" s="149" t="s">
        <v>986</v>
      </c>
    </row>
    <row r="1519" spans="1:5">
      <c r="A1519" s="49">
        <v>45715</v>
      </c>
      <c r="B1519" s="49">
        <v>1</v>
      </c>
      <c r="C1519" s="14" t="s">
        <v>3371</v>
      </c>
      <c r="D1519" s="79" t="s">
        <v>1721</v>
      </c>
      <c r="E1519" s="149" t="s">
        <v>751</v>
      </c>
    </row>
    <row r="1520" spans="1:5">
      <c r="A1520" s="49">
        <v>45716</v>
      </c>
      <c r="B1520" s="49">
        <v>1</v>
      </c>
      <c r="C1520" s="14" t="s">
        <v>3366</v>
      </c>
      <c r="D1520" s="79" t="s">
        <v>1721</v>
      </c>
      <c r="E1520" s="149" t="s">
        <v>981</v>
      </c>
    </row>
    <row r="1521" spans="1:5">
      <c r="A1521" s="49">
        <v>45717</v>
      </c>
      <c r="B1521" s="49">
        <v>1</v>
      </c>
      <c r="C1521" s="14" t="s">
        <v>3368</v>
      </c>
      <c r="D1521" s="79" t="s">
        <v>1721</v>
      </c>
      <c r="E1521" s="149" t="s">
        <v>983</v>
      </c>
    </row>
    <row r="1522" spans="1:5">
      <c r="A1522" s="49">
        <v>45718</v>
      </c>
      <c r="B1522" s="49">
        <v>1</v>
      </c>
      <c r="C1522" s="14" t="s">
        <v>3369</v>
      </c>
      <c r="D1522" s="79" t="s">
        <v>1721</v>
      </c>
      <c r="E1522" s="149" t="s">
        <v>747</v>
      </c>
    </row>
    <row r="1523" spans="1:5">
      <c r="A1523" s="49">
        <v>45719</v>
      </c>
      <c r="B1523" s="49">
        <v>1</v>
      </c>
      <c r="C1523" s="14" t="s">
        <v>3370</v>
      </c>
      <c r="D1523" s="79" t="s">
        <v>1721</v>
      </c>
      <c r="E1523" s="149" t="s">
        <v>986</v>
      </c>
    </row>
    <row r="1524" spans="1:5">
      <c r="A1524" s="49">
        <v>45720</v>
      </c>
      <c r="B1524" s="49">
        <v>1</v>
      </c>
      <c r="C1524" s="14" t="s">
        <v>3371</v>
      </c>
      <c r="D1524" s="79" t="s">
        <v>1721</v>
      </c>
      <c r="E1524" s="149" t="s">
        <v>751</v>
      </c>
    </row>
    <row r="1525" spans="1:5">
      <c r="A1525" s="49">
        <v>45721</v>
      </c>
      <c r="B1525" s="49">
        <v>1</v>
      </c>
      <c r="C1525" s="14" t="s">
        <v>3366</v>
      </c>
      <c r="D1525" s="79" t="s">
        <v>1721</v>
      </c>
      <c r="E1525" s="149" t="s">
        <v>981</v>
      </c>
    </row>
    <row r="1526" spans="1:5">
      <c r="A1526" s="49">
        <v>45722</v>
      </c>
      <c r="B1526" s="49">
        <v>1</v>
      </c>
      <c r="C1526" s="14" t="s">
        <v>3368</v>
      </c>
      <c r="D1526" s="79" t="s">
        <v>1721</v>
      </c>
      <c r="E1526" s="149" t="s">
        <v>983</v>
      </c>
    </row>
    <row r="1527" spans="1:5">
      <c r="A1527" s="49">
        <v>45723</v>
      </c>
      <c r="B1527" s="49">
        <v>1</v>
      </c>
      <c r="C1527" s="14" t="s">
        <v>3369</v>
      </c>
      <c r="D1527" s="79" t="s">
        <v>1721</v>
      </c>
      <c r="E1527" s="149" t="s">
        <v>747</v>
      </c>
    </row>
    <row r="1528" spans="1:5">
      <c r="A1528" s="49">
        <v>45724</v>
      </c>
      <c r="B1528" s="49">
        <v>1</v>
      </c>
      <c r="C1528" s="14" t="s">
        <v>3370</v>
      </c>
      <c r="D1528" s="79" t="s">
        <v>1721</v>
      </c>
      <c r="E1528" s="149" t="s">
        <v>986</v>
      </c>
    </row>
    <row r="1529" spans="1:5">
      <c r="A1529" s="49">
        <v>45725</v>
      </c>
      <c r="B1529" s="49">
        <v>1</v>
      </c>
      <c r="C1529" s="14" t="s">
        <v>3371</v>
      </c>
      <c r="D1529" s="79" t="s">
        <v>1721</v>
      </c>
      <c r="E1529" s="149" t="s">
        <v>751</v>
      </c>
    </row>
    <row r="1530" spans="1:5">
      <c r="A1530" s="49">
        <v>45726</v>
      </c>
      <c r="B1530" s="49">
        <v>1</v>
      </c>
      <c r="C1530" s="14" t="s">
        <v>3366</v>
      </c>
      <c r="D1530" s="79" t="s">
        <v>1721</v>
      </c>
      <c r="E1530" s="149" t="s">
        <v>981</v>
      </c>
    </row>
    <row r="1531" spans="1:5">
      <c r="A1531" s="49">
        <v>45727</v>
      </c>
      <c r="B1531" s="49">
        <v>1</v>
      </c>
      <c r="C1531" s="14" t="s">
        <v>3368</v>
      </c>
      <c r="D1531" s="79" t="s">
        <v>1721</v>
      </c>
      <c r="E1531" s="149" t="s">
        <v>983</v>
      </c>
    </row>
    <row r="1532" spans="1:5">
      <c r="A1532" s="49">
        <v>45728</v>
      </c>
      <c r="B1532" s="49">
        <v>1</v>
      </c>
      <c r="C1532" s="14" t="s">
        <v>3369</v>
      </c>
      <c r="D1532" s="79" t="s">
        <v>1721</v>
      </c>
      <c r="E1532" s="149" t="s">
        <v>747</v>
      </c>
    </row>
    <row r="1533" spans="1:5">
      <c r="A1533" s="49">
        <v>45729</v>
      </c>
      <c r="B1533" s="49">
        <v>1</v>
      </c>
      <c r="C1533" s="14" t="s">
        <v>3370</v>
      </c>
      <c r="D1533" s="79" t="s">
        <v>1721</v>
      </c>
      <c r="E1533" s="149" t="s">
        <v>986</v>
      </c>
    </row>
    <row r="1534" spans="1:5">
      <c r="A1534" s="49">
        <v>45730</v>
      </c>
      <c r="B1534" s="49">
        <v>1</v>
      </c>
      <c r="C1534" s="14" t="s">
        <v>3371</v>
      </c>
      <c r="D1534" s="79" t="s">
        <v>1721</v>
      </c>
      <c r="E1534" s="149" t="s">
        <v>751</v>
      </c>
    </row>
    <row r="1535" spans="1:5">
      <c r="A1535" s="49">
        <v>45731</v>
      </c>
      <c r="B1535" s="49">
        <v>1</v>
      </c>
      <c r="C1535" s="14" t="s">
        <v>3366</v>
      </c>
      <c r="D1535" s="79" t="s">
        <v>1721</v>
      </c>
      <c r="E1535" s="149" t="s">
        <v>981</v>
      </c>
    </row>
    <row r="1536" spans="1:5">
      <c r="A1536" s="49">
        <v>45732</v>
      </c>
      <c r="B1536" s="49">
        <v>1</v>
      </c>
      <c r="C1536" s="14" t="s">
        <v>3368</v>
      </c>
      <c r="D1536" s="79" t="s">
        <v>1721</v>
      </c>
      <c r="E1536" s="149" t="s">
        <v>983</v>
      </c>
    </row>
    <row r="1537" spans="1:5">
      <c r="A1537" s="49">
        <v>45733</v>
      </c>
      <c r="B1537" s="49">
        <v>1</v>
      </c>
      <c r="C1537" s="14" t="s">
        <v>3369</v>
      </c>
      <c r="D1537" s="79" t="s">
        <v>1721</v>
      </c>
      <c r="E1537" s="149" t="s">
        <v>747</v>
      </c>
    </row>
    <row r="1538" spans="1:5">
      <c r="A1538" s="49">
        <v>45734</v>
      </c>
      <c r="B1538" s="49">
        <v>1</v>
      </c>
      <c r="C1538" s="14" t="s">
        <v>3370</v>
      </c>
      <c r="D1538" s="79" t="s">
        <v>1721</v>
      </c>
      <c r="E1538" s="149" t="s">
        <v>986</v>
      </c>
    </row>
    <row r="1539" spans="1:5">
      <c r="A1539" s="49">
        <v>45735</v>
      </c>
      <c r="B1539" s="49">
        <v>1</v>
      </c>
      <c r="C1539" s="14" t="s">
        <v>3371</v>
      </c>
      <c r="D1539" s="79" t="s">
        <v>1721</v>
      </c>
      <c r="E1539" s="149" t="s">
        <v>751</v>
      </c>
    </row>
    <row r="1540" spans="1:5">
      <c r="A1540" s="49">
        <v>45736</v>
      </c>
      <c r="B1540" s="49">
        <v>1</v>
      </c>
      <c r="C1540" s="14" t="s">
        <v>3366</v>
      </c>
      <c r="D1540" s="79" t="s">
        <v>1721</v>
      </c>
      <c r="E1540" s="149" t="s">
        <v>981</v>
      </c>
    </row>
    <row r="1541" spans="1:5">
      <c r="A1541" s="49">
        <v>45737</v>
      </c>
      <c r="B1541" s="49">
        <v>1</v>
      </c>
      <c r="C1541" s="14" t="s">
        <v>3368</v>
      </c>
      <c r="D1541" s="79" t="s">
        <v>1721</v>
      </c>
      <c r="E1541" s="149" t="s">
        <v>983</v>
      </c>
    </row>
    <row r="1542" spans="1:5">
      <c r="A1542" s="49">
        <v>45738</v>
      </c>
      <c r="B1542" s="49">
        <v>1</v>
      </c>
      <c r="C1542" s="14" t="s">
        <v>3369</v>
      </c>
      <c r="D1542" s="79" t="s">
        <v>1721</v>
      </c>
      <c r="E1542" s="149" t="s">
        <v>747</v>
      </c>
    </row>
    <row r="1543" spans="1:5">
      <c r="A1543" s="49">
        <v>45739</v>
      </c>
      <c r="B1543" s="49">
        <v>1</v>
      </c>
      <c r="C1543" s="14" t="s">
        <v>3370</v>
      </c>
      <c r="D1543" s="79" t="s">
        <v>1721</v>
      </c>
      <c r="E1543" s="149" t="s">
        <v>986</v>
      </c>
    </row>
    <row r="1544" spans="1:5">
      <c r="A1544" s="49">
        <v>45740</v>
      </c>
      <c r="B1544" s="49">
        <v>1</v>
      </c>
      <c r="C1544" s="14" t="s">
        <v>3371</v>
      </c>
      <c r="D1544" s="79" t="s">
        <v>1721</v>
      </c>
      <c r="E1544" s="149" t="s">
        <v>751</v>
      </c>
    </row>
    <row r="1545" spans="1:5">
      <c r="A1545" s="49">
        <v>45741</v>
      </c>
      <c r="B1545" s="49">
        <v>1</v>
      </c>
      <c r="C1545" s="14" t="s">
        <v>3366</v>
      </c>
      <c r="D1545" s="79" t="s">
        <v>1721</v>
      </c>
      <c r="E1545" s="149" t="s">
        <v>981</v>
      </c>
    </row>
    <row r="1546" spans="1:5">
      <c r="A1546" s="49">
        <v>45742</v>
      </c>
      <c r="B1546" s="49">
        <v>1</v>
      </c>
      <c r="C1546" s="14" t="s">
        <v>3368</v>
      </c>
      <c r="D1546" s="79" t="s">
        <v>1721</v>
      </c>
      <c r="E1546" s="149" t="s">
        <v>983</v>
      </c>
    </row>
    <row r="1547" spans="1:5">
      <c r="A1547" s="49">
        <v>45743</v>
      </c>
      <c r="B1547" s="49">
        <v>1</v>
      </c>
      <c r="C1547" s="14" t="s">
        <v>3369</v>
      </c>
      <c r="D1547" s="79" t="s">
        <v>1721</v>
      </c>
      <c r="E1547" s="149" t="s">
        <v>747</v>
      </c>
    </row>
    <row r="1548" spans="1:5">
      <c r="A1548" s="49">
        <v>45744</v>
      </c>
      <c r="B1548" s="49">
        <v>1</v>
      </c>
      <c r="C1548" s="14" t="s">
        <v>3370</v>
      </c>
      <c r="D1548" s="79" t="s">
        <v>1721</v>
      </c>
      <c r="E1548" s="149" t="s">
        <v>986</v>
      </c>
    </row>
    <row r="1549" spans="1:5">
      <c r="A1549" s="49">
        <v>45745</v>
      </c>
      <c r="B1549" s="49">
        <v>1</v>
      </c>
      <c r="C1549" s="14" t="s">
        <v>3371</v>
      </c>
      <c r="D1549" s="79" t="s">
        <v>1721</v>
      </c>
      <c r="E1549" s="149" t="s">
        <v>751</v>
      </c>
    </row>
    <row r="1550" spans="1:5">
      <c r="A1550" s="49">
        <v>45746</v>
      </c>
      <c r="B1550" s="49">
        <v>1</v>
      </c>
      <c r="C1550" s="14" t="s">
        <v>3366</v>
      </c>
      <c r="D1550" s="79" t="s">
        <v>1721</v>
      </c>
      <c r="E1550" s="149" t="s">
        <v>981</v>
      </c>
    </row>
    <row r="1551" spans="1:5">
      <c r="A1551" s="49">
        <v>45747</v>
      </c>
      <c r="B1551" s="49">
        <v>1</v>
      </c>
      <c r="C1551" s="14" t="s">
        <v>3368</v>
      </c>
      <c r="D1551" s="79" t="s">
        <v>1721</v>
      </c>
      <c r="E1551" s="149" t="s">
        <v>983</v>
      </c>
    </row>
    <row r="1552" spans="1:5">
      <c r="A1552" s="49">
        <v>45748</v>
      </c>
      <c r="B1552" s="49">
        <v>1</v>
      </c>
      <c r="C1552" s="14" t="s">
        <v>3369</v>
      </c>
      <c r="D1552" s="79" t="s">
        <v>1721</v>
      </c>
      <c r="E1552" s="149" t="s">
        <v>747</v>
      </c>
    </row>
    <row r="1553" spans="1:5">
      <c r="A1553" s="49">
        <v>45749</v>
      </c>
      <c r="B1553" s="49">
        <v>1</v>
      </c>
      <c r="C1553" s="14" t="s">
        <v>3370</v>
      </c>
      <c r="D1553" s="79" t="s">
        <v>1721</v>
      </c>
      <c r="E1553" s="149" t="s">
        <v>986</v>
      </c>
    </row>
    <row r="1554" spans="1:5">
      <c r="A1554" s="49">
        <v>45750</v>
      </c>
      <c r="B1554" s="49">
        <v>1</v>
      </c>
      <c r="C1554" s="14" t="s">
        <v>3371</v>
      </c>
      <c r="D1554" s="79" t="s">
        <v>1721</v>
      </c>
      <c r="E1554" s="149" t="s">
        <v>751</v>
      </c>
    </row>
    <row r="1555" spans="1:5">
      <c r="A1555" s="80">
        <v>46001</v>
      </c>
      <c r="B1555" s="80">
        <v>1</v>
      </c>
      <c r="C1555" s="14" t="s">
        <v>3750</v>
      </c>
      <c r="D1555" s="81" t="s">
        <v>1722</v>
      </c>
      <c r="E1555" s="150" t="s">
        <v>732</v>
      </c>
    </row>
    <row r="1556" spans="1:5">
      <c r="A1556" s="80">
        <v>46002</v>
      </c>
      <c r="B1556" s="80">
        <v>1</v>
      </c>
      <c r="C1556" s="14" t="s">
        <v>4119</v>
      </c>
      <c r="D1556" s="81" t="s">
        <v>1722</v>
      </c>
      <c r="E1556" s="150" t="s">
        <v>1723</v>
      </c>
    </row>
    <row r="1557" spans="1:5">
      <c r="A1557" s="80">
        <v>46003</v>
      </c>
      <c r="B1557" s="80">
        <v>1</v>
      </c>
      <c r="C1557" s="14" t="s">
        <v>4120</v>
      </c>
      <c r="D1557" s="81" t="s">
        <v>1722</v>
      </c>
      <c r="E1557" s="150" t="s">
        <v>1724</v>
      </c>
    </row>
    <row r="1558" spans="1:5">
      <c r="A1558" s="80">
        <v>46004</v>
      </c>
      <c r="B1558" s="80">
        <v>1</v>
      </c>
      <c r="C1558" s="14" t="s">
        <v>4121</v>
      </c>
      <c r="D1558" s="81" t="s">
        <v>1722</v>
      </c>
      <c r="E1558" s="150" t="s">
        <v>1725</v>
      </c>
    </row>
    <row r="1559" spans="1:5">
      <c r="A1559" s="80">
        <v>46005</v>
      </c>
      <c r="B1559" s="80">
        <v>1</v>
      </c>
      <c r="C1559" s="14" t="s">
        <v>3328</v>
      </c>
      <c r="D1559" s="81" t="s">
        <v>1722</v>
      </c>
      <c r="E1559" s="150" t="s">
        <v>928</v>
      </c>
    </row>
    <row r="1560" spans="1:5">
      <c r="A1560" s="49">
        <v>46006</v>
      </c>
      <c r="B1560" s="49">
        <v>1</v>
      </c>
      <c r="C1560" s="14" t="s">
        <v>3537</v>
      </c>
      <c r="D1560" s="79" t="s">
        <v>1726</v>
      </c>
      <c r="E1560" s="149" t="s">
        <v>269</v>
      </c>
    </row>
    <row r="1561" spans="1:5">
      <c r="A1561" s="49">
        <v>46007</v>
      </c>
      <c r="B1561" s="49">
        <v>1</v>
      </c>
      <c r="C1561" s="14" t="s">
        <v>3536</v>
      </c>
      <c r="D1561" s="79" t="s">
        <v>1727</v>
      </c>
      <c r="E1561" s="149" t="s">
        <v>267</v>
      </c>
    </row>
    <row r="1562" spans="1:5">
      <c r="A1562" s="49">
        <v>46008</v>
      </c>
      <c r="B1562" s="49">
        <v>1</v>
      </c>
      <c r="C1562" s="14" t="s">
        <v>3538</v>
      </c>
      <c r="D1562" s="79" t="s">
        <v>1728</v>
      </c>
      <c r="E1562" s="149" t="s">
        <v>271</v>
      </c>
    </row>
    <row r="1563" spans="1:5">
      <c r="A1563" s="49">
        <v>46009</v>
      </c>
      <c r="B1563" s="49">
        <v>1</v>
      </c>
      <c r="C1563" s="14" t="s">
        <v>3539</v>
      </c>
      <c r="D1563" s="79" t="s">
        <v>1729</v>
      </c>
      <c r="E1563" s="149" t="s">
        <v>273</v>
      </c>
    </row>
    <row r="1564" spans="1:5">
      <c r="A1564" s="80">
        <v>46010</v>
      </c>
      <c r="B1564" s="80">
        <v>1</v>
      </c>
      <c r="C1564" s="14" t="s">
        <v>3544</v>
      </c>
      <c r="D1564" s="81" t="s">
        <v>1730</v>
      </c>
      <c r="E1564" s="150" t="s">
        <v>283</v>
      </c>
    </row>
    <row r="1565" spans="1:5">
      <c r="A1565" s="80">
        <v>46011</v>
      </c>
      <c r="B1565" s="80">
        <v>1</v>
      </c>
      <c r="C1565" s="14" t="s">
        <v>3546</v>
      </c>
      <c r="D1565" s="81" t="s">
        <v>1731</v>
      </c>
      <c r="E1565" s="150" t="s">
        <v>287</v>
      </c>
    </row>
    <row r="1566" spans="1:5">
      <c r="A1566" s="80">
        <v>46012</v>
      </c>
      <c r="B1566" s="80">
        <v>1</v>
      </c>
      <c r="C1566" s="14" t="s">
        <v>3547</v>
      </c>
      <c r="D1566" s="81" t="s">
        <v>1732</v>
      </c>
      <c r="E1566" s="150" t="s">
        <v>289</v>
      </c>
    </row>
    <row r="1567" spans="1:5">
      <c r="A1567" s="80">
        <v>46013</v>
      </c>
      <c r="B1567" s="80">
        <v>1</v>
      </c>
      <c r="C1567" s="14" t="s">
        <v>3545</v>
      </c>
      <c r="D1567" s="81" t="s">
        <v>1733</v>
      </c>
      <c r="E1567" s="150" t="s">
        <v>285</v>
      </c>
    </row>
    <row r="1568" spans="1:5">
      <c r="A1568" s="82">
        <v>47000</v>
      </c>
      <c r="B1568" s="82">
        <v>1</v>
      </c>
      <c r="C1568" s="14" t="s">
        <v>4122</v>
      </c>
      <c r="D1568" s="83" t="s">
        <v>1734</v>
      </c>
      <c r="E1568" s="84" t="s">
        <v>1735</v>
      </c>
    </row>
    <row r="1569" spans="1:5">
      <c r="A1569" s="37">
        <v>47001</v>
      </c>
      <c r="B1569" s="37">
        <v>1</v>
      </c>
      <c r="C1569" s="14" t="s">
        <v>4123</v>
      </c>
      <c r="D1569" s="85" t="s">
        <v>1736</v>
      </c>
      <c r="E1569" s="39" t="s">
        <v>1737</v>
      </c>
    </row>
    <row r="1570" spans="1:5">
      <c r="A1570" s="37">
        <v>47002</v>
      </c>
      <c r="B1570" s="37">
        <v>1</v>
      </c>
      <c r="C1570" s="14" t="s">
        <v>4124</v>
      </c>
      <c r="D1570" s="85" t="s">
        <v>1738</v>
      </c>
      <c r="E1570" s="39" t="s">
        <v>1739</v>
      </c>
    </row>
    <row r="1571" spans="1:5">
      <c r="A1571" s="37">
        <v>47003</v>
      </c>
      <c r="B1571" s="37">
        <v>1</v>
      </c>
      <c r="C1571" s="14" t="s">
        <v>4125</v>
      </c>
      <c r="D1571" s="85" t="s">
        <v>1740</v>
      </c>
      <c r="E1571" s="39" t="s">
        <v>1741</v>
      </c>
    </row>
    <row r="1572" spans="1:5">
      <c r="A1572" s="37">
        <v>47004</v>
      </c>
      <c r="B1572" s="37">
        <v>1</v>
      </c>
      <c r="C1572" s="14" t="s">
        <v>4126</v>
      </c>
      <c r="D1572" s="85" t="s">
        <v>1742</v>
      </c>
      <c r="E1572" s="39" t="s">
        <v>1743</v>
      </c>
    </row>
    <row r="1573" spans="1:5">
      <c r="A1573" s="37">
        <v>47005</v>
      </c>
      <c r="B1573" s="37">
        <v>1</v>
      </c>
      <c r="C1573" s="14" t="s">
        <v>3350</v>
      </c>
      <c r="D1573" s="85" t="s">
        <v>1744</v>
      </c>
      <c r="E1573" s="39" t="s">
        <v>616</v>
      </c>
    </row>
    <row r="1574" spans="1:5">
      <c r="A1574" s="37">
        <v>47006</v>
      </c>
      <c r="B1574" s="37">
        <v>1</v>
      </c>
      <c r="C1574" s="14" t="s">
        <v>4127</v>
      </c>
      <c r="D1574" s="85" t="s">
        <v>1745</v>
      </c>
      <c r="E1574" s="39" t="s">
        <v>1746</v>
      </c>
    </row>
    <row r="1575" spans="1:5">
      <c r="A1575" s="37">
        <v>47007</v>
      </c>
      <c r="B1575" s="37">
        <v>1</v>
      </c>
      <c r="C1575" s="14" t="s">
        <v>4128</v>
      </c>
      <c r="D1575" s="85" t="s">
        <v>1747</v>
      </c>
      <c r="E1575" s="39" t="s">
        <v>1748</v>
      </c>
    </row>
    <row r="1576" spans="1:5">
      <c r="A1576" s="37">
        <v>47008</v>
      </c>
      <c r="B1576" s="37">
        <v>1</v>
      </c>
      <c r="C1576" s="14" t="s">
        <v>4129</v>
      </c>
      <c r="D1576" s="85" t="s">
        <v>1749</v>
      </c>
      <c r="E1576" s="39" t="s">
        <v>1750</v>
      </c>
    </row>
    <row r="1577" spans="1:5">
      <c r="A1577" s="37">
        <v>47009</v>
      </c>
      <c r="B1577" s="37">
        <v>1</v>
      </c>
      <c r="C1577" s="14" t="s">
        <v>4130</v>
      </c>
      <c r="D1577" s="85" t="s">
        <v>1751</v>
      </c>
      <c r="E1577" s="39" t="s">
        <v>1752</v>
      </c>
    </row>
    <row r="1578" spans="1:5">
      <c r="A1578" s="37">
        <v>47010</v>
      </c>
      <c r="B1578" s="37">
        <v>1</v>
      </c>
      <c r="C1578" s="14" t="s">
        <v>3894</v>
      </c>
      <c r="D1578" s="85" t="s">
        <v>1753</v>
      </c>
      <c r="E1578" s="39" t="s">
        <v>1285</v>
      </c>
    </row>
    <row r="1579" spans="1:5">
      <c r="A1579" s="37">
        <v>47011</v>
      </c>
      <c r="B1579" s="37">
        <v>1</v>
      </c>
      <c r="C1579" s="14" t="s">
        <v>4131</v>
      </c>
      <c r="D1579" s="85" t="s">
        <v>1754</v>
      </c>
      <c r="E1579" s="39" t="s">
        <v>1755</v>
      </c>
    </row>
    <row r="1580" spans="1:5">
      <c r="A1580" s="37">
        <v>47012</v>
      </c>
      <c r="B1580" s="37">
        <v>1</v>
      </c>
      <c r="C1580" s="14" t="s">
        <v>4132</v>
      </c>
      <c r="D1580" s="85" t="s">
        <v>1756</v>
      </c>
      <c r="E1580" s="39" t="s">
        <v>1757</v>
      </c>
    </row>
    <row r="1581" spans="1:5">
      <c r="A1581" s="37">
        <v>47013</v>
      </c>
      <c r="B1581" s="37">
        <v>1</v>
      </c>
      <c r="C1581" s="14" t="s">
        <v>4133</v>
      </c>
      <c r="D1581" s="85" t="s">
        <v>1758</v>
      </c>
      <c r="E1581" s="39" t="s">
        <v>1759</v>
      </c>
    </row>
    <row r="1582" spans="1:5">
      <c r="A1582" s="37">
        <v>47014</v>
      </c>
      <c r="B1582" s="37">
        <v>1</v>
      </c>
      <c r="C1582" s="14" t="s">
        <v>4134</v>
      </c>
      <c r="D1582" s="85" t="s">
        <v>1760</v>
      </c>
      <c r="E1582" s="39" t="s">
        <v>1761</v>
      </c>
    </row>
    <row r="1583" spans="1:5">
      <c r="A1583" s="37">
        <v>47015</v>
      </c>
      <c r="B1583" s="37">
        <v>1</v>
      </c>
      <c r="C1583" s="14" t="s">
        <v>3699</v>
      </c>
      <c r="D1583" s="85" t="s">
        <v>1762</v>
      </c>
      <c r="E1583" s="39" t="s">
        <v>628</v>
      </c>
    </row>
    <row r="1584" spans="1:5">
      <c r="A1584" s="37">
        <v>47016</v>
      </c>
      <c r="B1584" s="37">
        <v>1</v>
      </c>
      <c r="C1584" s="14" t="s">
        <v>4135</v>
      </c>
      <c r="D1584" s="85" t="s">
        <v>1763</v>
      </c>
      <c r="E1584" s="39" t="s">
        <v>1764</v>
      </c>
    </row>
    <row r="1585" spans="1:5">
      <c r="A1585" s="37">
        <v>47017</v>
      </c>
      <c r="B1585" s="37">
        <v>1</v>
      </c>
      <c r="C1585" s="14" t="s">
        <v>4136</v>
      </c>
      <c r="D1585" s="85" t="s">
        <v>1765</v>
      </c>
      <c r="E1585" s="39" t="s">
        <v>1766</v>
      </c>
    </row>
    <row r="1586" spans="1:5">
      <c r="A1586" s="37">
        <v>47018</v>
      </c>
      <c r="B1586" s="37">
        <v>1</v>
      </c>
      <c r="C1586" s="14" t="s">
        <v>4137</v>
      </c>
      <c r="D1586" s="85" t="s">
        <v>1767</v>
      </c>
      <c r="E1586" s="39" t="s">
        <v>1768</v>
      </c>
    </row>
    <row r="1587" spans="1:5">
      <c r="A1587" s="37">
        <v>47019</v>
      </c>
      <c r="B1587" s="37">
        <v>1</v>
      </c>
      <c r="C1587" s="14" t="s">
        <v>4138</v>
      </c>
      <c r="D1587" s="85" t="s">
        <v>1769</v>
      </c>
      <c r="E1587" s="39" t="s">
        <v>1770</v>
      </c>
    </row>
    <row r="1588" spans="1:5">
      <c r="A1588" s="37">
        <v>47020</v>
      </c>
      <c r="B1588" s="37">
        <v>1</v>
      </c>
      <c r="C1588" s="14" t="s">
        <v>3897</v>
      </c>
      <c r="D1588" s="85" t="s">
        <v>1771</v>
      </c>
      <c r="E1588" s="39" t="s">
        <v>1295</v>
      </c>
    </row>
    <row r="1589" spans="1:5">
      <c r="A1589" s="1">
        <v>47021</v>
      </c>
      <c r="B1589" s="1">
        <v>1</v>
      </c>
      <c r="C1589" s="14" t="s">
        <v>4139</v>
      </c>
      <c r="D1589" s="2" t="s">
        <v>1772</v>
      </c>
      <c r="E1589" s="3" t="s">
        <v>1773</v>
      </c>
    </row>
    <row r="1590" spans="1:5">
      <c r="A1590" s="1">
        <v>47022</v>
      </c>
      <c r="B1590" s="1">
        <v>1</v>
      </c>
      <c r="C1590" s="14" t="s">
        <v>4139</v>
      </c>
      <c r="D1590" s="2" t="s">
        <v>1772</v>
      </c>
      <c r="E1590" s="3" t="s">
        <v>1773</v>
      </c>
    </row>
    <row r="1591" spans="1:5">
      <c r="A1591" s="1">
        <v>47023</v>
      </c>
      <c r="B1591" s="1">
        <v>1</v>
      </c>
      <c r="C1591" s="14" t="s">
        <v>4140</v>
      </c>
      <c r="D1591" s="2" t="s">
        <v>1749</v>
      </c>
      <c r="E1591" s="3" t="s">
        <v>1774</v>
      </c>
    </row>
    <row r="1592" spans="1:5">
      <c r="A1592" s="1">
        <v>47024</v>
      </c>
      <c r="B1592" s="1">
        <v>1</v>
      </c>
      <c r="C1592" s="14" t="s">
        <v>3887</v>
      </c>
      <c r="D1592" s="2" t="s">
        <v>1749</v>
      </c>
      <c r="E1592" s="3" t="s">
        <v>1268</v>
      </c>
    </row>
    <row r="1593" spans="1:5">
      <c r="A1593" s="1">
        <v>47025</v>
      </c>
      <c r="B1593" s="1">
        <v>1</v>
      </c>
      <c r="C1593" s="14" t="s">
        <v>4141</v>
      </c>
      <c r="D1593" s="2" t="s">
        <v>1751</v>
      </c>
      <c r="E1593" s="3" t="s">
        <v>1775</v>
      </c>
    </row>
    <row r="1594" spans="1:5">
      <c r="A1594" s="1">
        <v>47026</v>
      </c>
      <c r="B1594" s="1">
        <v>1</v>
      </c>
      <c r="C1594" s="14" t="s">
        <v>4142</v>
      </c>
      <c r="D1594" s="2" t="s">
        <v>1751</v>
      </c>
      <c r="E1594" s="3" t="s">
        <v>1776</v>
      </c>
    </row>
    <row r="1595" spans="1:5">
      <c r="A1595" s="1">
        <v>47027</v>
      </c>
      <c r="B1595" s="1">
        <v>1</v>
      </c>
      <c r="C1595" s="14" t="s">
        <v>3887</v>
      </c>
      <c r="D1595" s="2" t="s">
        <v>1751</v>
      </c>
      <c r="E1595" s="3" t="s">
        <v>1268</v>
      </c>
    </row>
    <row r="1596" spans="1:5">
      <c r="A1596" s="1">
        <v>47028</v>
      </c>
      <c r="B1596" s="1">
        <v>1</v>
      </c>
      <c r="C1596" s="14" t="s">
        <v>4143</v>
      </c>
      <c r="D1596" s="2" t="s">
        <v>1753</v>
      </c>
      <c r="E1596" s="3" t="s">
        <v>1777</v>
      </c>
    </row>
    <row r="1597" spans="1:5">
      <c r="A1597" s="1">
        <v>47029</v>
      </c>
      <c r="B1597" s="1">
        <v>1</v>
      </c>
      <c r="C1597" s="14" t="s">
        <v>4144</v>
      </c>
      <c r="D1597" s="2" t="s">
        <v>1753</v>
      </c>
      <c r="E1597" s="3" t="s">
        <v>1778</v>
      </c>
    </row>
    <row r="1598" spans="1:5">
      <c r="A1598" s="1">
        <v>47030</v>
      </c>
      <c r="B1598" s="1">
        <v>1</v>
      </c>
      <c r="C1598" s="14" t="s">
        <v>3888</v>
      </c>
      <c r="D1598" s="2" t="s">
        <v>1753</v>
      </c>
      <c r="E1598" s="3" t="s">
        <v>1270</v>
      </c>
    </row>
    <row r="1599" spans="1:5">
      <c r="A1599" s="1">
        <v>47031</v>
      </c>
      <c r="B1599" s="1">
        <v>1</v>
      </c>
      <c r="C1599" s="14" t="s">
        <v>4145</v>
      </c>
      <c r="D1599" s="2" t="s">
        <v>1754</v>
      </c>
      <c r="E1599" s="3" t="s">
        <v>1779</v>
      </c>
    </row>
    <row r="1600" spans="1:5">
      <c r="A1600" s="1">
        <v>47032</v>
      </c>
      <c r="B1600" s="1">
        <v>1</v>
      </c>
      <c r="C1600" s="14" t="s">
        <v>4146</v>
      </c>
      <c r="D1600" s="2" t="s">
        <v>1754</v>
      </c>
      <c r="E1600" s="3" t="s">
        <v>1780</v>
      </c>
    </row>
    <row r="1601" spans="1:5">
      <c r="A1601" s="1">
        <v>47033</v>
      </c>
      <c r="B1601" s="1">
        <v>1</v>
      </c>
      <c r="C1601" s="14" t="s">
        <v>3888</v>
      </c>
      <c r="D1601" s="2" t="s">
        <v>1754</v>
      </c>
      <c r="E1601" s="3" t="s">
        <v>1270</v>
      </c>
    </row>
    <row r="1602" spans="1:5">
      <c r="A1602" s="1">
        <v>47034</v>
      </c>
      <c r="B1602" s="1">
        <v>1</v>
      </c>
      <c r="C1602" s="14" t="s">
        <v>4147</v>
      </c>
      <c r="D1602" s="2" t="s">
        <v>1756</v>
      </c>
      <c r="E1602" s="3" t="s">
        <v>1781</v>
      </c>
    </row>
    <row r="1603" spans="1:5">
      <c r="A1603" s="1">
        <v>47035</v>
      </c>
      <c r="B1603" s="1">
        <v>1</v>
      </c>
      <c r="C1603" s="14" t="s">
        <v>3719</v>
      </c>
      <c r="D1603" s="2" t="s">
        <v>1756</v>
      </c>
      <c r="E1603" s="3" t="s">
        <v>633</v>
      </c>
    </row>
    <row r="1604" spans="1:5">
      <c r="A1604" s="1">
        <v>47036</v>
      </c>
      <c r="B1604" s="1">
        <v>1</v>
      </c>
      <c r="C1604" s="14" t="s">
        <v>3888</v>
      </c>
      <c r="D1604" s="2" t="s">
        <v>1756</v>
      </c>
      <c r="E1604" s="3" t="s">
        <v>1270</v>
      </c>
    </row>
    <row r="1605" spans="1:5">
      <c r="A1605" s="1">
        <v>47037</v>
      </c>
      <c r="B1605" s="1">
        <v>1</v>
      </c>
      <c r="C1605" s="14" t="s">
        <v>4148</v>
      </c>
      <c r="D1605" s="2" t="s">
        <v>1758</v>
      </c>
      <c r="E1605" s="3" t="s">
        <v>1782</v>
      </c>
    </row>
    <row r="1606" spans="1:5">
      <c r="A1606" s="1">
        <v>47038</v>
      </c>
      <c r="B1606" s="1">
        <v>1</v>
      </c>
      <c r="C1606" s="14" t="s">
        <v>4149</v>
      </c>
      <c r="D1606" s="2" t="s">
        <v>1758</v>
      </c>
      <c r="E1606" s="3" t="s">
        <v>1783</v>
      </c>
    </row>
    <row r="1607" spans="1:5">
      <c r="A1607" s="1">
        <v>47039</v>
      </c>
      <c r="B1607" s="1">
        <v>1</v>
      </c>
      <c r="C1607" s="14" t="s">
        <v>3888</v>
      </c>
      <c r="D1607" s="2" t="s">
        <v>1758</v>
      </c>
      <c r="E1607" s="3" t="s">
        <v>1270</v>
      </c>
    </row>
    <row r="1608" spans="1:5">
      <c r="A1608" s="1">
        <v>47040</v>
      </c>
      <c r="B1608" s="1">
        <v>1</v>
      </c>
      <c r="C1608" s="14" t="s">
        <v>4150</v>
      </c>
      <c r="D1608" s="2" t="s">
        <v>1760</v>
      </c>
      <c r="E1608" s="3" t="s">
        <v>1784</v>
      </c>
    </row>
    <row r="1609" spans="1:5">
      <c r="A1609" s="1">
        <v>47041</v>
      </c>
      <c r="B1609" s="1">
        <v>1</v>
      </c>
      <c r="C1609" s="14" t="s">
        <v>4151</v>
      </c>
      <c r="D1609" s="2" t="s">
        <v>1760</v>
      </c>
      <c r="E1609" s="3" t="s">
        <v>1785</v>
      </c>
    </row>
    <row r="1610" spans="1:5">
      <c r="A1610" s="1">
        <v>47042</v>
      </c>
      <c r="B1610" s="1">
        <v>1</v>
      </c>
      <c r="C1610" s="14" t="s">
        <v>3888</v>
      </c>
      <c r="D1610" s="2" t="s">
        <v>1760</v>
      </c>
      <c r="E1610" s="3" t="s">
        <v>1270</v>
      </c>
    </row>
    <row r="1611" spans="1:5">
      <c r="A1611" s="1">
        <v>47043</v>
      </c>
      <c r="B1611" s="1">
        <v>1</v>
      </c>
      <c r="C1611" s="14" t="s">
        <v>3789</v>
      </c>
      <c r="D1611" s="2" t="s">
        <v>1762</v>
      </c>
      <c r="E1611" s="3" t="s">
        <v>890</v>
      </c>
    </row>
    <row r="1612" spans="1:5">
      <c r="A1612" s="1">
        <v>47044</v>
      </c>
      <c r="B1612" s="1">
        <v>1</v>
      </c>
      <c r="C1612" s="14" t="s">
        <v>4152</v>
      </c>
      <c r="D1612" s="2" t="s">
        <v>1762</v>
      </c>
      <c r="E1612" s="3" t="s">
        <v>1786</v>
      </c>
    </row>
    <row r="1613" spans="1:5">
      <c r="A1613" s="1">
        <v>47045</v>
      </c>
      <c r="B1613" s="1">
        <v>1</v>
      </c>
      <c r="C1613" s="14" t="s">
        <v>3888</v>
      </c>
      <c r="D1613" s="2" t="s">
        <v>1762</v>
      </c>
      <c r="E1613" s="3" t="s">
        <v>1270</v>
      </c>
    </row>
    <row r="1614" spans="1:5">
      <c r="A1614" s="1">
        <v>47046</v>
      </c>
      <c r="B1614" s="1">
        <v>1</v>
      </c>
      <c r="C1614" s="14" t="s">
        <v>4153</v>
      </c>
      <c r="D1614" s="2" t="s">
        <v>1763</v>
      </c>
      <c r="E1614" s="3" t="s">
        <v>1787</v>
      </c>
    </row>
    <row r="1615" spans="1:5">
      <c r="A1615" s="1">
        <v>47047</v>
      </c>
      <c r="B1615" s="1">
        <v>1</v>
      </c>
      <c r="C1615" s="14" t="s">
        <v>4154</v>
      </c>
      <c r="D1615" s="2" t="s">
        <v>1763</v>
      </c>
      <c r="E1615" s="3" t="s">
        <v>1788</v>
      </c>
    </row>
    <row r="1616" spans="1:5">
      <c r="A1616" s="1">
        <v>47048</v>
      </c>
      <c r="B1616" s="1">
        <v>1</v>
      </c>
      <c r="C1616" s="14" t="s">
        <v>3888</v>
      </c>
      <c r="D1616" s="2" t="s">
        <v>1763</v>
      </c>
      <c r="E1616" s="3" t="s">
        <v>1270</v>
      </c>
    </row>
    <row r="1617" spans="1:5">
      <c r="A1617" s="1">
        <v>47049</v>
      </c>
      <c r="B1617" s="1">
        <v>1</v>
      </c>
      <c r="C1617" s="14" t="s">
        <v>4155</v>
      </c>
      <c r="D1617" s="2" t="s">
        <v>1765</v>
      </c>
      <c r="E1617" s="3" t="s">
        <v>1789</v>
      </c>
    </row>
    <row r="1618" spans="1:5">
      <c r="A1618" s="1">
        <v>47050</v>
      </c>
      <c r="B1618" s="1">
        <v>1</v>
      </c>
      <c r="C1618" s="14" t="s">
        <v>4156</v>
      </c>
      <c r="D1618" s="2" t="s">
        <v>1765</v>
      </c>
      <c r="E1618" s="3" t="s">
        <v>1790</v>
      </c>
    </row>
    <row r="1619" spans="1:5">
      <c r="A1619" s="1">
        <v>47051</v>
      </c>
      <c r="B1619" s="1">
        <v>1</v>
      </c>
      <c r="C1619" s="14" t="s">
        <v>3888</v>
      </c>
      <c r="D1619" s="2" t="s">
        <v>1765</v>
      </c>
      <c r="E1619" s="3" t="s">
        <v>1270</v>
      </c>
    </row>
    <row r="1620" spans="1:5">
      <c r="A1620" s="1">
        <v>47052</v>
      </c>
      <c r="B1620" s="1">
        <v>1</v>
      </c>
      <c r="C1620" s="14" t="s">
        <v>4157</v>
      </c>
      <c r="D1620" s="2" t="s">
        <v>1767</v>
      </c>
      <c r="E1620" s="3" t="s">
        <v>1791</v>
      </c>
    </row>
    <row r="1621" spans="1:5">
      <c r="A1621" s="1">
        <v>47053</v>
      </c>
      <c r="B1621" s="1">
        <v>1</v>
      </c>
      <c r="C1621" s="14" t="s">
        <v>4158</v>
      </c>
      <c r="D1621" s="2" t="s">
        <v>1767</v>
      </c>
      <c r="E1621" s="3" t="s">
        <v>1792</v>
      </c>
    </row>
    <row r="1622" spans="1:5">
      <c r="A1622" s="1">
        <v>47054</v>
      </c>
      <c r="B1622" s="1">
        <v>1</v>
      </c>
      <c r="C1622" s="14" t="s">
        <v>3888</v>
      </c>
      <c r="D1622" s="2" t="s">
        <v>1767</v>
      </c>
      <c r="E1622" s="3" t="s">
        <v>1270</v>
      </c>
    </row>
    <row r="1623" spans="1:5">
      <c r="A1623" s="1">
        <v>47055</v>
      </c>
      <c r="B1623" s="1">
        <v>1</v>
      </c>
      <c r="C1623" s="14" t="s">
        <v>4159</v>
      </c>
      <c r="D1623" s="2" t="s">
        <v>1769</v>
      </c>
      <c r="E1623" s="3" t="s">
        <v>1793</v>
      </c>
    </row>
    <row r="1624" spans="1:5">
      <c r="A1624" s="1">
        <v>47056</v>
      </c>
      <c r="B1624" s="1">
        <v>1</v>
      </c>
      <c r="C1624" s="14" t="s">
        <v>4160</v>
      </c>
      <c r="D1624" s="2" t="s">
        <v>1769</v>
      </c>
      <c r="E1624" s="3" t="s">
        <v>1794</v>
      </c>
    </row>
    <row r="1625" spans="1:5">
      <c r="A1625" s="1">
        <v>47057</v>
      </c>
      <c r="B1625" s="1">
        <v>1</v>
      </c>
      <c r="C1625" s="14" t="s">
        <v>3888</v>
      </c>
      <c r="D1625" s="2" t="s">
        <v>1769</v>
      </c>
      <c r="E1625" s="3" t="s">
        <v>1270</v>
      </c>
    </row>
    <row r="1626" spans="1:5">
      <c r="A1626" s="1">
        <v>47058</v>
      </c>
      <c r="B1626" s="1">
        <v>1</v>
      </c>
      <c r="C1626" s="14" t="s">
        <v>3790</v>
      </c>
      <c r="D1626" s="2" t="s">
        <v>1771</v>
      </c>
      <c r="E1626" s="3" t="s">
        <v>892</v>
      </c>
    </row>
    <row r="1627" spans="1:5">
      <c r="A1627" s="1">
        <v>47059</v>
      </c>
      <c r="B1627" s="1">
        <v>1</v>
      </c>
      <c r="C1627" s="14" t="s">
        <v>4161</v>
      </c>
      <c r="D1627" s="2" t="s">
        <v>1771</v>
      </c>
      <c r="E1627" s="3" t="s">
        <v>1795</v>
      </c>
    </row>
    <row r="1628" spans="1:5">
      <c r="A1628" s="1">
        <v>47060</v>
      </c>
      <c r="B1628" s="1">
        <v>1</v>
      </c>
      <c r="C1628" s="14" t="s">
        <v>3888</v>
      </c>
      <c r="D1628" s="2" t="s">
        <v>1771</v>
      </c>
      <c r="E1628" s="3" t="s">
        <v>1270</v>
      </c>
    </row>
    <row r="1629" spans="1:5">
      <c r="A1629" s="40">
        <v>50000</v>
      </c>
      <c r="B1629" s="40">
        <v>1</v>
      </c>
      <c r="C1629" s="14" t="s">
        <v>3568</v>
      </c>
      <c r="D1629" s="41" t="s">
        <v>1796</v>
      </c>
      <c r="E1629" s="42" t="s">
        <v>1797</v>
      </c>
    </row>
    <row r="1630" spans="1:5">
      <c r="A1630" s="40">
        <v>50001</v>
      </c>
      <c r="B1630" s="40">
        <v>1</v>
      </c>
      <c r="C1630" s="14" t="s">
        <v>3568</v>
      </c>
      <c r="D1630" s="41" t="s">
        <v>1798</v>
      </c>
      <c r="E1630" s="42" t="s">
        <v>1799</v>
      </c>
    </row>
    <row r="1631" spans="1:5">
      <c r="A1631" s="56">
        <v>50002</v>
      </c>
      <c r="B1631" s="56">
        <v>1</v>
      </c>
      <c r="C1631" s="14" t="s">
        <v>3580</v>
      </c>
      <c r="D1631" s="57" t="s">
        <v>1800</v>
      </c>
      <c r="E1631" s="58" t="s">
        <v>1801</v>
      </c>
    </row>
    <row r="1632" spans="1:5">
      <c r="A1632" s="63">
        <v>50003</v>
      </c>
      <c r="B1632" s="63">
        <v>1</v>
      </c>
      <c r="C1632" s="14" t="s">
        <v>3592</v>
      </c>
      <c r="D1632" s="33" t="s">
        <v>1802</v>
      </c>
      <c r="E1632" s="65" t="s">
        <v>1803</v>
      </c>
    </row>
    <row r="1633" spans="1:5">
      <c r="A1633" s="56">
        <v>50004</v>
      </c>
      <c r="B1633" s="56">
        <v>1</v>
      </c>
      <c r="C1633" s="14" t="s">
        <v>4162</v>
      </c>
      <c r="D1633" s="57" t="s">
        <v>1804</v>
      </c>
      <c r="E1633" s="58" t="s">
        <v>1805</v>
      </c>
    </row>
    <row r="1634" spans="1:5">
      <c r="A1634" s="63">
        <v>50005</v>
      </c>
      <c r="B1634" s="63">
        <v>1</v>
      </c>
      <c r="C1634" s="14" t="s">
        <v>4162</v>
      </c>
      <c r="D1634" s="33" t="s">
        <v>1806</v>
      </c>
      <c r="E1634" s="65" t="s">
        <v>1807</v>
      </c>
    </row>
    <row r="1635" spans="1:5">
      <c r="A1635" s="80">
        <v>50006</v>
      </c>
      <c r="B1635" s="80">
        <v>1</v>
      </c>
      <c r="C1635" s="14" t="s">
        <v>3446</v>
      </c>
      <c r="D1635" s="81" t="s">
        <v>1808</v>
      </c>
      <c r="E1635" s="3" t="s">
        <v>1809</v>
      </c>
    </row>
    <row r="1636" spans="1:5">
      <c r="A1636" s="56">
        <v>50007</v>
      </c>
      <c r="B1636" s="56">
        <v>1</v>
      </c>
      <c r="C1636" s="14" t="s">
        <v>4163</v>
      </c>
      <c r="D1636" s="57" t="s">
        <v>1810</v>
      </c>
      <c r="E1636" s="58" t="s">
        <v>4692</v>
      </c>
    </row>
    <row r="1637" spans="1:5">
      <c r="A1637" s="86">
        <v>50008</v>
      </c>
      <c r="B1637" s="86">
        <v>1</v>
      </c>
      <c r="C1637" s="14" t="s">
        <v>4164</v>
      </c>
      <c r="D1637" s="87" t="s">
        <v>1811</v>
      </c>
      <c r="E1637" s="88" t="s">
        <v>4730</v>
      </c>
    </row>
    <row r="1638" spans="1:5">
      <c r="A1638" s="63">
        <v>50009</v>
      </c>
      <c r="B1638" s="63">
        <v>1</v>
      </c>
      <c r="C1638" s="14" t="s">
        <v>4165</v>
      </c>
      <c r="D1638" s="33" t="s">
        <v>1812</v>
      </c>
      <c r="E1638" s="65" t="s">
        <v>4731</v>
      </c>
    </row>
    <row r="1639" spans="1:5">
      <c r="A1639" s="1">
        <v>50010</v>
      </c>
      <c r="B1639" s="1">
        <v>1</v>
      </c>
      <c r="C1639" s="14" t="s">
        <v>4165</v>
      </c>
      <c r="D1639" s="2" t="s">
        <v>1813</v>
      </c>
      <c r="E1639" s="3" t="s">
        <v>4693</v>
      </c>
    </row>
    <row r="1640" spans="1:5">
      <c r="A1640" s="63">
        <v>50011</v>
      </c>
      <c r="B1640" s="63">
        <v>1</v>
      </c>
      <c r="C1640" s="14" t="s">
        <v>3651</v>
      </c>
      <c r="D1640" s="33" t="s">
        <v>1814</v>
      </c>
      <c r="E1640" s="65" t="s">
        <v>1815</v>
      </c>
    </row>
    <row r="1641" spans="1:5">
      <c r="A1641" s="63">
        <v>50012</v>
      </c>
      <c r="B1641" s="63">
        <v>1</v>
      </c>
      <c r="C1641" s="14" t="s">
        <v>3656</v>
      </c>
      <c r="D1641" s="33" t="s">
        <v>1816</v>
      </c>
      <c r="E1641" s="65" t="s">
        <v>1817</v>
      </c>
    </row>
    <row r="1642" spans="1:5">
      <c r="A1642" s="56">
        <v>50013</v>
      </c>
      <c r="B1642" s="56">
        <v>1</v>
      </c>
      <c r="C1642" s="14" t="s">
        <v>4166</v>
      </c>
      <c r="D1642" s="57" t="s">
        <v>1818</v>
      </c>
      <c r="E1642" s="58" t="s">
        <v>1819</v>
      </c>
    </row>
    <row r="1643" spans="1:5">
      <c r="A1643" s="86">
        <v>50014</v>
      </c>
      <c r="B1643" s="86">
        <v>1</v>
      </c>
      <c r="C1643" s="14" t="s">
        <v>3410</v>
      </c>
      <c r="D1643" s="87" t="s">
        <v>1820</v>
      </c>
      <c r="E1643" s="88" t="s">
        <v>1821</v>
      </c>
    </row>
    <row r="1644" spans="1:5">
      <c r="A1644" s="63">
        <v>50015</v>
      </c>
      <c r="B1644" s="63">
        <v>1</v>
      </c>
      <c r="C1644" s="14" t="s">
        <v>3407</v>
      </c>
      <c r="D1644" s="33" t="s">
        <v>1822</v>
      </c>
      <c r="E1644" s="65" t="s">
        <v>1823</v>
      </c>
    </row>
    <row r="1645" spans="1:5">
      <c r="A1645" s="56">
        <v>50016</v>
      </c>
      <c r="B1645" s="56">
        <v>1</v>
      </c>
      <c r="C1645" s="14" t="s">
        <v>4167</v>
      </c>
      <c r="D1645" s="57" t="s">
        <v>1824</v>
      </c>
      <c r="E1645" s="58" t="s">
        <v>1825</v>
      </c>
    </row>
    <row r="1646" spans="1:5">
      <c r="A1646" s="63">
        <v>50017</v>
      </c>
      <c r="B1646" s="63">
        <v>1</v>
      </c>
      <c r="C1646" s="14" t="s">
        <v>4167</v>
      </c>
      <c r="D1646" s="33" t="s">
        <v>1826</v>
      </c>
      <c r="E1646" s="65" t="s">
        <v>1827</v>
      </c>
    </row>
    <row r="1647" spans="1:5">
      <c r="A1647" s="80">
        <v>50018</v>
      </c>
      <c r="B1647" s="80">
        <v>1</v>
      </c>
      <c r="C1647" s="14" t="s">
        <v>3615</v>
      </c>
      <c r="D1647" s="89" t="s">
        <v>1828</v>
      </c>
      <c r="E1647" s="90" t="s">
        <v>1829</v>
      </c>
    </row>
    <row r="1648" spans="1:5">
      <c r="A1648" s="56">
        <v>50019</v>
      </c>
      <c r="B1648" s="56">
        <v>1</v>
      </c>
      <c r="C1648" s="14" t="s">
        <v>3627</v>
      </c>
      <c r="D1648" s="59" t="s">
        <v>1830</v>
      </c>
      <c r="E1648" s="58" t="s">
        <v>1831</v>
      </c>
    </row>
    <row r="1649" spans="1:5">
      <c r="A1649" s="86">
        <v>50020</v>
      </c>
      <c r="B1649" s="86">
        <v>1</v>
      </c>
      <c r="C1649" s="14" t="s">
        <v>3651</v>
      </c>
      <c r="D1649" s="91" t="s">
        <v>1832</v>
      </c>
      <c r="E1649" s="88" t="s">
        <v>1833</v>
      </c>
    </row>
    <row r="1650" spans="1:5">
      <c r="A1650" s="80">
        <v>50021</v>
      </c>
      <c r="B1650" s="80">
        <v>1</v>
      </c>
      <c r="C1650" s="14" t="s">
        <v>3690</v>
      </c>
      <c r="D1650" s="89" t="s">
        <v>1834</v>
      </c>
      <c r="E1650" s="90" t="s">
        <v>706</v>
      </c>
    </row>
    <row r="1651" spans="1:5">
      <c r="A1651" s="56">
        <v>50022</v>
      </c>
      <c r="B1651" s="56">
        <v>1</v>
      </c>
      <c r="C1651" s="14" t="s">
        <v>3686</v>
      </c>
      <c r="D1651" s="59" t="s">
        <v>1835</v>
      </c>
      <c r="E1651" s="58" t="s">
        <v>708</v>
      </c>
    </row>
    <row r="1652" spans="1:5">
      <c r="A1652" s="86">
        <v>50023</v>
      </c>
      <c r="B1652" s="86">
        <v>1</v>
      </c>
      <c r="C1652" s="14" t="s">
        <v>3681</v>
      </c>
      <c r="D1652" s="91" t="s">
        <v>1836</v>
      </c>
      <c r="E1652" s="88" t="s">
        <v>710</v>
      </c>
    </row>
    <row r="1653" spans="1:5">
      <c r="A1653" s="1">
        <v>50090</v>
      </c>
      <c r="B1653" s="1">
        <v>1</v>
      </c>
      <c r="C1653" s="14" t="s">
        <v>4168</v>
      </c>
      <c r="D1653" s="2" t="s">
        <v>1837</v>
      </c>
      <c r="E1653" s="3" t="s">
        <v>1838</v>
      </c>
    </row>
    <row r="1654" spans="1:5">
      <c r="A1654" s="1">
        <v>50091</v>
      </c>
      <c r="B1654" s="1">
        <v>1</v>
      </c>
      <c r="C1654" s="14" t="s">
        <v>4169</v>
      </c>
      <c r="D1654" s="2" t="s">
        <v>1839</v>
      </c>
      <c r="E1654" s="3" t="s">
        <v>1840</v>
      </c>
    </row>
    <row r="1655" spans="1:5">
      <c r="A1655" s="1">
        <v>50092</v>
      </c>
      <c r="B1655" s="1">
        <v>1</v>
      </c>
      <c r="C1655" s="14" t="s">
        <v>3709</v>
      </c>
      <c r="D1655" s="2" t="s">
        <v>1841</v>
      </c>
      <c r="E1655" s="3" t="s">
        <v>612</v>
      </c>
    </row>
    <row r="1656" spans="1:5">
      <c r="A1656" s="1">
        <v>51001</v>
      </c>
      <c r="B1656" s="1">
        <v>1</v>
      </c>
      <c r="C1656" s="14" t="s">
        <v>4170</v>
      </c>
      <c r="D1656" s="2" t="s">
        <v>1842</v>
      </c>
      <c r="E1656" s="3" t="s">
        <v>1843</v>
      </c>
    </row>
    <row r="1657" spans="1:5">
      <c r="A1657" s="1">
        <v>51002</v>
      </c>
      <c r="B1657" s="1">
        <v>1</v>
      </c>
      <c r="C1657" s="14" t="s">
        <v>4171</v>
      </c>
      <c r="D1657" s="2" t="s">
        <v>1844</v>
      </c>
      <c r="E1657" s="3" t="s">
        <v>1845</v>
      </c>
    </row>
    <row r="1658" spans="1:5">
      <c r="A1658" s="1">
        <v>51003</v>
      </c>
      <c r="B1658" s="1">
        <v>1</v>
      </c>
      <c r="C1658" s="14" t="s">
        <v>4172</v>
      </c>
      <c r="D1658" s="2" t="s">
        <v>1846</v>
      </c>
      <c r="E1658" s="3" t="s">
        <v>1847</v>
      </c>
    </row>
    <row r="1659" spans="1:5">
      <c r="A1659" s="1">
        <v>51004</v>
      </c>
      <c r="B1659" s="1">
        <v>1</v>
      </c>
      <c r="C1659" s="14" t="s">
        <v>3445</v>
      </c>
      <c r="D1659" s="2" t="s">
        <v>1848</v>
      </c>
      <c r="E1659" s="3" t="s">
        <v>85</v>
      </c>
    </row>
    <row r="1660" spans="1:5">
      <c r="A1660" s="1">
        <v>51005</v>
      </c>
      <c r="B1660" s="1">
        <v>1</v>
      </c>
      <c r="C1660" s="14" t="s">
        <v>3425</v>
      </c>
      <c r="D1660" s="2" t="s">
        <v>1849</v>
      </c>
      <c r="E1660" s="3" t="s">
        <v>1850</v>
      </c>
    </row>
    <row r="1661" spans="1:5">
      <c r="A1661" s="1">
        <v>51006</v>
      </c>
      <c r="B1661" s="1">
        <v>1</v>
      </c>
      <c r="C1661" s="14" t="s">
        <v>3410</v>
      </c>
      <c r="D1661" s="2" t="s">
        <v>1851</v>
      </c>
      <c r="E1661" s="3" t="s">
        <v>1852</v>
      </c>
    </row>
    <row r="1662" spans="1:5">
      <c r="A1662" s="1">
        <v>51007</v>
      </c>
      <c r="B1662" s="1">
        <v>1</v>
      </c>
      <c r="C1662" s="14" t="s">
        <v>4166</v>
      </c>
      <c r="D1662" s="2" t="s">
        <v>1853</v>
      </c>
      <c r="E1662" s="3" t="s">
        <v>1854</v>
      </c>
    </row>
    <row r="1663" spans="1:5">
      <c r="A1663" s="1">
        <v>51008</v>
      </c>
      <c r="B1663" s="1">
        <v>1</v>
      </c>
      <c r="C1663" s="14" t="s">
        <v>3446</v>
      </c>
      <c r="D1663" s="2" t="s">
        <v>1855</v>
      </c>
      <c r="E1663" s="3" t="s">
        <v>1809</v>
      </c>
    </row>
    <row r="1664" spans="1:5">
      <c r="A1664" s="1">
        <v>51009</v>
      </c>
      <c r="B1664" s="1">
        <v>1</v>
      </c>
      <c r="C1664" s="14" t="s">
        <v>4170</v>
      </c>
      <c r="D1664" s="2" t="s">
        <v>1856</v>
      </c>
      <c r="E1664" s="3" t="s">
        <v>1857</v>
      </c>
    </row>
    <row r="1665" spans="1:5">
      <c r="A1665" s="1">
        <v>51010</v>
      </c>
      <c r="B1665" s="1">
        <v>1</v>
      </c>
      <c r="C1665" s="14" t="s">
        <v>3452</v>
      </c>
      <c r="D1665" s="2" t="s">
        <v>1858</v>
      </c>
      <c r="E1665" s="3" t="s">
        <v>1859</v>
      </c>
    </row>
    <row r="1666" spans="1:5">
      <c r="A1666" s="1">
        <v>51011</v>
      </c>
      <c r="B1666" s="1">
        <v>1</v>
      </c>
      <c r="C1666" s="14" t="s">
        <v>3429</v>
      </c>
      <c r="D1666" s="2" t="s">
        <v>1860</v>
      </c>
      <c r="E1666" s="3" t="s">
        <v>53</v>
      </c>
    </row>
    <row r="1667" spans="1:5">
      <c r="A1667" s="1">
        <v>52001</v>
      </c>
      <c r="B1667" s="1">
        <v>1</v>
      </c>
      <c r="C1667" s="14" t="s">
        <v>3480</v>
      </c>
      <c r="D1667" s="2" t="s">
        <v>1861</v>
      </c>
      <c r="E1667" s="3" t="s">
        <v>155</v>
      </c>
    </row>
    <row r="1668" spans="1:5">
      <c r="A1668" s="1">
        <v>52002</v>
      </c>
      <c r="B1668" s="1">
        <v>1</v>
      </c>
      <c r="C1668" s="14" t="s">
        <v>4173</v>
      </c>
      <c r="D1668" s="2" t="s">
        <v>1862</v>
      </c>
      <c r="E1668" s="3" t="s">
        <v>1863</v>
      </c>
    </row>
    <row r="1669" spans="1:5">
      <c r="A1669" s="1">
        <v>52003</v>
      </c>
      <c r="B1669" s="1">
        <v>1</v>
      </c>
      <c r="C1669" s="14" t="s">
        <v>4174</v>
      </c>
      <c r="D1669" s="2" t="s">
        <v>1864</v>
      </c>
      <c r="E1669" s="3" t="s">
        <v>1865</v>
      </c>
    </row>
    <row r="1670" spans="1:5">
      <c r="A1670" s="1">
        <v>52004</v>
      </c>
      <c r="B1670" s="1">
        <v>1</v>
      </c>
      <c r="C1670" s="14" t="s">
        <v>4175</v>
      </c>
      <c r="D1670" s="2" t="s">
        <v>1866</v>
      </c>
      <c r="E1670" s="3" t="s">
        <v>1867</v>
      </c>
    </row>
    <row r="1671" spans="1:5">
      <c r="A1671" s="1">
        <v>52005</v>
      </c>
      <c r="B1671" s="1">
        <v>1</v>
      </c>
      <c r="C1671" s="14" t="s">
        <v>4176</v>
      </c>
      <c r="D1671" s="2" t="s">
        <v>1868</v>
      </c>
      <c r="E1671" s="3" t="s">
        <v>1869</v>
      </c>
    </row>
    <row r="1672" spans="1:5">
      <c r="A1672" s="1">
        <v>52006</v>
      </c>
      <c r="B1672" s="1">
        <v>1</v>
      </c>
      <c r="C1672" s="14" t="s">
        <v>3481</v>
      </c>
      <c r="D1672" s="2" t="s">
        <v>1870</v>
      </c>
      <c r="E1672" s="3" t="s">
        <v>157</v>
      </c>
    </row>
    <row r="1673" spans="1:5">
      <c r="A1673" s="1">
        <v>52007</v>
      </c>
      <c r="B1673" s="1">
        <v>1</v>
      </c>
      <c r="C1673" s="14" t="s">
        <v>4177</v>
      </c>
      <c r="D1673" s="2" t="s">
        <v>1871</v>
      </c>
      <c r="E1673" s="3" t="s">
        <v>1872</v>
      </c>
    </row>
    <row r="1674" spans="1:5">
      <c r="A1674" s="1">
        <v>52008</v>
      </c>
      <c r="B1674" s="1">
        <v>1</v>
      </c>
      <c r="C1674" s="14" t="s">
        <v>4178</v>
      </c>
      <c r="D1674" s="2" t="s">
        <v>1873</v>
      </c>
      <c r="E1674" s="3" t="s">
        <v>1874</v>
      </c>
    </row>
    <row r="1675" spans="1:5">
      <c r="A1675" s="1">
        <v>52009</v>
      </c>
      <c r="B1675" s="1">
        <v>1</v>
      </c>
      <c r="C1675" s="14" t="s">
        <v>4179</v>
      </c>
      <c r="D1675" s="2" t="s">
        <v>1875</v>
      </c>
      <c r="E1675" s="3" t="s">
        <v>1876</v>
      </c>
    </row>
    <row r="1676" spans="1:5">
      <c r="A1676" s="1">
        <v>52010</v>
      </c>
      <c r="B1676" s="1">
        <v>1</v>
      </c>
      <c r="C1676" s="14" t="s">
        <v>4180</v>
      </c>
      <c r="D1676" s="2" t="s">
        <v>1877</v>
      </c>
      <c r="E1676" s="3" t="s">
        <v>1878</v>
      </c>
    </row>
    <row r="1677" spans="1:5">
      <c r="A1677" s="1">
        <v>52011</v>
      </c>
      <c r="B1677" s="1">
        <v>1</v>
      </c>
      <c r="C1677" s="14" t="s">
        <v>3482</v>
      </c>
      <c r="D1677" s="2" t="s">
        <v>1879</v>
      </c>
      <c r="E1677" s="3" t="s">
        <v>159</v>
      </c>
    </row>
    <row r="1678" spans="1:5">
      <c r="A1678" s="1">
        <v>52012</v>
      </c>
      <c r="B1678" s="1">
        <v>1</v>
      </c>
      <c r="C1678" s="14" t="s">
        <v>4181</v>
      </c>
      <c r="D1678" s="2" t="s">
        <v>1880</v>
      </c>
      <c r="E1678" s="3" t="s">
        <v>1881</v>
      </c>
    </row>
    <row r="1679" spans="1:5">
      <c r="A1679" s="1">
        <v>52013</v>
      </c>
      <c r="B1679" s="1">
        <v>1</v>
      </c>
      <c r="C1679" s="14" t="s">
        <v>4182</v>
      </c>
      <c r="D1679" s="2" t="s">
        <v>1882</v>
      </c>
      <c r="E1679" s="3" t="s">
        <v>1883</v>
      </c>
    </row>
    <row r="1680" spans="1:5">
      <c r="A1680" s="1">
        <v>52014</v>
      </c>
      <c r="B1680" s="1">
        <v>1</v>
      </c>
      <c r="C1680" s="14" t="s">
        <v>4183</v>
      </c>
      <c r="D1680" s="2" t="s">
        <v>1884</v>
      </c>
      <c r="E1680" s="3" t="s">
        <v>1885</v>
      </c>
    </row>
    <row r="1681" spans="1:5">
      <c r="A1681" s="1">
        <v>52015</v>
      </c>
      <c r="B1681" s="1">
        <v>1</v>
      </c>
      <c r="C1681" s="14" t="s">
        <v>4184</v>
      </c>
      <c r="D1681" s="2" t="s">
        <v>1886</v>
      </c>
      <c r="E1681" s="3" t="s">
        <v>1887</v>
      </c>
    </row>
    <row r="1682" spans="1:5">
      <c r="A1682" s="1">
        <v>52016</v>
      </c>
      <c r="B1682" s="1">
        <v>1</v>
      </c>
      <c r="C1682" s="14" t="s">
        <v>3489</v>
      </c>
      <c r="D1682" s="2" t="s">
        <v>1888</v>
      </c>
      <c r="E1682" s="3" t="s">
        <v>173</v>
      </c>
    </row>
    <row r="1683" spans="1:5">
      <c r="A1683" s="1">
        <v>52017</v>
      </c>
      <c r="B1683" s="1">
        <v>1</v>
      </c>
      <c r="C1683" s="14" t="s">
        <v>4185</v>
      </c>
      <c r="D1683" s="2" t="s">
        <v>1889</v>
      </c>
      <c r="E1683" s="3" t="s">
        <v>1890</v>
      </c>
    </row>
    <row r="1684" spans="1:5">
      <c r="A1684" s="1">
        <v>52018</v>
      </c>
      <c r="B1684" s="1">
        <v>1</v>
      </c>
      <c r="C1684" s="14" t="s">
        <v>4186</v>
      </c>
      <c r="D1684" s="2" t="s">
        <v>1891</v>
      </c>
      <c r="E1684" s="3" t="s">
        <v>1892</v>
      </c>
    </row>
    <row r="1685" spans="1:5">
      <c r="A1685" s="1">
        <v>52019</v>
      </c>
      <c r="B1685" s="1">
        <v>1</v>
      </c>
      <c r="C1685" s="14" t="s">
        <v>4187</v>
      </c>
      <c r="D1685" s="2" t="s">
        <v>1893</v>
      </c>
      <c r="E1685" s="3" t="s">
        <v>1894</v>
      </c>
    </row>
    <row r="1686" spans="1:5">
      <c r="A1686" s="1">
        <v>52020</v>
      </c>
      <c r="B1686" s="1">
        <v>1</v>
      </c>
      <c r="C1686" s="14" t="s">
        <v>4188</v>
      </c>
      <c r="D1686" s="2" t="s">
        <v>1895</v>
      </c>
      <c r="E1686" s="3" t="s">
        <v>1896</v>
      </c>
    </row>
    <row r="1687" spans="1:5">
      <c r="A1687" s="1">
        <v>52021</v>
      </c>
      <c r="B1687" s="1">
        <v>1</v>
      </c>
      <c r="C1687" s="14" t="s">
        <v>3490</v>
      </c>
      <c r="D1687" s="2" t="s">
        <v>1897</v>
      </c>
      <c r="E1687" s="3" t="s">
        <v>175</v>
      </c>
    </row>
    <row r="1688" spans="1:5">
      <c r="A1688" s="1">
        <v>52022</v>
      </c>
      <c r="B1688" s="1">
        <v>1</v>
      </c>
      <c r="C1688" s="14" t="s">
        <v>4189</v>
      </c>
      <c r="D1688" s="2" t="s">
        <v>1898</v>
      </c>
      <c r="E1688" s="3" t="s">
        <v>1899</v>
      </c>
    </row>
    <row r="1689" spans="1:5">
      <c r="A1689" s="1">
        <v>52023</v>
      </c>
      <c r="B1689" s="1">
        <v>1</v>
      </c>
      <c r="C1689" s="14" t="s">
        <v>4190</v>
      </c>
      <c r="D1689" s="2" t="s">
        <v>1900</v>
      </c>
      <c r="E1689" s="3" t="s">
        <v>1901</v>
      </c>
    </row>
    <row r="1690" spans="1:5">
      <c r="A1690" s="1">
        <v>52024</v>
      </c>
      <c r="B1690" s="1">
        <v>1</v>
      </c>
      <c r="C1690" s="14" t="s">
        <v>4191</v>
      </c>
      <c r="D1690" s="2" t="s">
        <v>1902</v>
      </c>
      <c r="E1690" s="3" t="s">
        <v>1903</v>
      </c>
    </row>
    <row r="1691" spans="1:5">
      <c r="A1691" s="1">
        <v>52025</v>
      </c>
      <c r="B1691" s="1">
        <v>1</v>
      </c>
      <c r="C1691" s="14" t="s">
        <v>4192</v>
      </c>
      <c r="D1691" s="2" t="s">
        <v>1904</v>
      </c>
      <c r="E1691" s="3" t="s">
        <v>1905</v>
      </c>
    </row>
    <row r="1692" spans="1:5">
      <c r="A1692" s="1">
        <v>52026</v>
      </c>
      <c r="B1692" s="1">
        <v>1</v>
      </c>
      <c r="C1692" s="14" t="s">
        <v>3491</v>
      </c>
      <c r="D1692" s="2" t="s">
        <v>1906</v>
      </c>
      <c r="E1692" s="3" t="s">
        <v>177</v>
      </c>
    </row>
    <row r="1693" spans="1:5">
      <c r="A1693" s="1">
        <v>52027</v>
      </c>
      <c r="B1693" s="1">
        <v>1</v>
      </c>
      <c r="C1693" s="14" t="s">
        <v>4193</v>
      </c>
      <c r="D1693" s="2" t="s">
        <v>1907</v>
      </c>
      <c r="E1693" s="3" t="s">
        <v>1908</v>
      </c>
    </row>
    <row r="1694" spans="1:5">
      <c r="A1694" s="1">
        <v>52028</v>
      </c>
      <c r="B1694" s="1">
        <v>1</v>
      </c>
      <c r="C1694" s="14" t="s">
        <v>4194</v>
      </c>
      <c r="D1694" s="2" t="s">
        <v>1909</v>
      </c>
      <c r="E1694" s="3" t="s">
        <v>1910</v>
      </c>
    </row>
    <row r="1695" spans="1:5">
      <c r="A1695" s="1">
        <v>52029</v>
      </c>
      <c r="B1695" s="1">
        <v>1</v>
      </c>
      <c r="C1695" s="14" t="s">
        <v>4195</v>
      </c>
      <c r="D1695" s="2" t="s">
        <v>1911</v>
      </c>
      <c r="E1695" s="3" t="s">
        <v>1912</v>
      </c>
    </row>
    <row r="1696" spans="1:5">
      <c r="A1696" s="1">
        <v>52030</v>
      </c>
      <c r="B1696" s="1">
        <v>1</v>
      </c>
      <c r="C1696" s="14" t="s">
        <v>4196</v>
      </c>
      <c r="D1696" s="2" t="s">
        <v>1913</v>
      </c>
      <c r="E1696" s="3" t="s">
        <v>1914</v>
      </c>
    </row>
    <row r="1697" spans="1:5">
      <c r="A1697" s="1">
        <v>52031</v>
      </c>
      <c r="B1697" s="1">
        <v>1</v>
      </c>
      <c r="C1697" s="14" t="s">
        <v>3498</v>
      </c>
      <c r="D1697" s="2" t="s">
        <v>1915</v>
      </c>
      <c r="E1697" s="3" t="s">
        <v>191</v>
      </c>
    </row>
    <row r="1698" spans="1:5">
      <c r="A1698" s="1">
        <v>52032</v>
      </c>
      <c r="B1698" s="1">
        <v>1</v>
      </c>
      <c r="C1698" s="14" t="s">
        <v>4197</v>
      </c>
      <c r="D1698" s="2" t="s">
        <v>1916</v>
      </c>
      <c r="E1698" s="3" t="s">
        <v>1917</v>
      </c>
    </row>
    <row r="1699" spans="1:5">
      <c r="A1699" s="1">
        <v>52033</v>
      </c>
      <c r="B1699" s="1">
        <v>1</v>
      </c>
      <c r="C1699" s="14" t="s">
        <v>4198</v>
      </c>
      <c r="D1699" s="2" t="s">
        <v>1918</v>
      </c>
      <c r="E1699" s="3" t="s">
        <v>1919</v>
      </c>
    </row>
    <row r="1700" spans="1:5">
      <c r="A1700" s="1">
        <v>52034</v>
      </c>
      <c r="B1700" s="1">
        <v>1</v>
      </c>
      <c r="C1700" s="14" t="s">
        <v>4199</v>
      </c>
      <c r="D1700" s="2" t="s">
        <v>1920</v>
      </c>
      <c r="E1700" s="3" t="s">
        <v>1921</v>
      </c>
    </row>
    <row r="1701" spans="1:5">
      <c r="A1701" s="1">
        <v>52035</v>
      </c>
      <c r="B1701" s="1">
        <v>1</v>
      </c>
      <c r="C1701" s="14" t="s">
        <v>4200</v>
      </c>
      <c r="D1701" s="2" t="s">
        <v>1922</v>
      </c>
      <c r="E1701" s="3" t="s">
        <v>1923</v>
      </c>
    </row>
    <row r="1702" spans="1:5">
      <c r="A1702" s="1">
        <v>52036</v>
      </c>
      <c r="B1702" s="1">
        <v>1</v>
      </c>
      <c r="C1702" s="14" t="s">
        <v>3499</v>
      </c>
      <c r="D1702" s="2" t="s">
        <v>1924</v>
      </c>
      <c r="E1702" s="3" t="s">
        <v>193</v>
      </c>
    </row>
    <row r="1703" spans="1:5">
      <c r="A1703" s="1">
        <v>52037</v>
      </c>
      <c r="B1703" s="1">
        <v>1</v>
      </c>
      <c r="C1703" s="14" t="s">
        <v>4201</v>
      </c>
      <c r="D1703" s="2" t="s">
        <v>1925</v>
      </c>
      <c r="E1703" s="3" t="s">
        <v>1926</v>
      </c>
    </row>
    <row r="1704" spans="1:5">
      <c r="A1704" s="1">
        <v>52038</v>
      </c>
      <c r="B1704" s="1">
        <v>1</v>
      </c>
      <c r="C1704" s="14" t="s">
        <v>4202</v>
      </c>
      <c r="D1704" s="2" t="s">
        <v>1927</v>
      </c>
      <c r="E1704" s="3" t="s">
        <v>1928</v>
      </c>
    </row>
    <row r="1705" spans="1:5">
      <c r="A1705" s="1">
        <v>52039</v>
      </c>
      <c r="B1705" s="1">
        <v>1</v>
      </c>
      <c r="C1705" s="14" t="s">
        <v>4203</v>
      </c>
      <c r="D1705" s="2" t="s">
        <v>1929</v>
      </c>
      <c r="E1705" s="3" t="s">
        <v>1930</v>
      </c>
    </row>
    <row r="1706" spans="1:5">
      <c r="A1706" s="1">
        <v>52040</v>
      </c>
      <c r="B1706" s="1">
        <v>1</v>
      </c>
      <c r="C1706" s="14" t="s">
        <v>4204</v>
      </c>
      <c r="D1706" s="2" t="s">
        <v>1931</v>
      </c>
      <c r="E1706" s="3" t="s">
        <v>1932</v>
      </c>
    </row>
    <row r="1707" spans="1:5">
      <c r="A1707" s="1">
        <v>52041</v>
      </c>
      <c r="B1707" s="1">
        <v>1</v>
      </c>
      <c r="C1707" s="14" t="s">
        <v>3500</v>
      </c>
      <c r="D1707" s="2" t="s">
        <v>1933</v>
      </c>
      <c r="E1707" s="3" t="s">
        <v>195</v>
      </c>
    </row>
    <row r="1708" spans="1:5">
      <c r="A1708" s="1">
        <v>52042</v>
      </c>
      <c r="B1708" s="1">
        <v>1</v>
      </c>
      <c r="C1708" s="14" t="s">
        <v>4205</v>
      </c>
      <c r="D1708" s="2" t="s">
        <v>1934</v>
      </c>
      <c r="E1708" s="3" t="s">
        <v>1935</v>
      </c>
    </row>
    <row r="1709" spans="1:5">
      <c r="A1709" s="1">
        <v>52043</v>
      </c>
      <c r="B1709" s="1">
        <v>1</v>
      </c>
      <c r="C1709" s="14" t="s">
        <v>4206</v>
      </c>
      <c r="D1709" s="2" t="s">
        <v>1936</v>
      </c>
      <c r="E1709" s="3" t="s">
        <v>1937</v>
      </c>
    </row>
    <row r="1710" spans="1:5">
      <c r="A1710" s="1">
        <v>52044</v>
      </c>
      <c r="B1710" s="1">
        <v>1</v>
      </c>
      <c r="C1710" s="14" t="s">
        <v>4207</v>
      </c>
      <c r="D1710" s="2" t="s">
        <v>1938</v>
      </c>
      <c r="E1710" s="3" t="s">
        <v>1939</v>
      </c>
    </row>
    <row r="1711" spans="1:5">
      <c r="A1711" s="1">
        <v>52045</v>
      </c>
      <c r="B1711" s="1">
        <v>1</v>
      </c>
      <c r="C1711" s="14" t="s">
        <v>4208</v>
      </c>
      <c r="D1711" s="2" t="s">
        <v>1940</v>
      </c>
      <c r="E1711" s="3" t="s">
        <v>1941</v>
      </c>
    </row>
    <row r="1712" spans="1:5">
      <c r="A1712" s="1">
        <v>52046</v>
      </c>
      <c r="B1712" s="1">
        <v>1</v>
      </c>
      <c r="C1712" s="14" t="s">
        <v>3651</v>
      </c>
      <c r="D1712" s="2" t="s">
        <v>496</v>
      </c>
      <c r="E1712" s="3" t="s">
        <v>497</v>
      </c>
    </row>
    <row r="1713" spans="1:5">
      <c r="A1713" s="1">
        <v>52047</v>
      </c>
      <c r="B1713" s="1">
        <v>1</v>
      </c>
      <c r="C1713" s="14" t="s">
        <v>3652</v>
      </c>
      <c r="D1713" s="2" t="s">
        <v>498</v>
      </c>
      <c r="E1713" s="3" t="s">
        <v>499</v>
      </c>
    </row>
    <row r="1714" spans="1:5">
      <c r="A1714" s="1">
        <v>52048</v>
      </c>
      <c r="B1714" s="1">
        <v>1</v>
      </c>
      <c r="C1714" s="14" t="s">
        <v>3653</v>
      </c>
      <c r="D1714" s="2" t="s">
        <v>500</v>
      </c>
      <c r="E1714" s="3" t="s">
        <v>501</v>
      </c>
    </row>
    <row r="1715" spans="1:5">
      <c r="A1715" s="1">
        <v>52049</v>
      </c>
      <c r="B1715" s="1">
        <v>1</v>
      </c>
      <c r="C1715" s="14" t="s">
        <v>3654</v>
      </c>
      <c r="D1715" s="2" t="s">
        <v>502</v>
      </c>
      <c r="E1715" s="3" t="s">
        <v>503</v>
      </c>
    </row>
    <row r="1716" spans="1:5">
      <c r="A1716" s="1">
        <v>52050</v>
      </c>
      <c r="B1716" s="1">
        <v>1</v>
      </c>
      <c r="C1716" s="14" t="s">
        <v>3655</v>
      </c>
      <c r="D1716" s="2" t="s">
        <v>504</v>
      </c>
      <c r="E1716" s="3" t="s">
        <v>505</v>
      </c>
    </row>
    <row r="1717" spans="1:5">
      <c r="A1717" s="1">
        <v>52051</v>
      </c>
      <c r="B1717" s="1">
        <v>1</v>
      </c>
      <c r="C1717" s="14" t="s">
        <v>3656</v>
      </c>
      <c r="D1717" s="2" t="s">
        <v>506</v>
      </c>
      <c r="E1717" s="3" t="s">
        <v>507</v>
      </c>
    </row>
    <row r="1718" spans="1:5">
      <c r="A1718" s="1">
        <v>52052</v>
      </c>
      <c r="B1718" s="1">
        <v>1</v>
      </c>
      <c r="C1718" s="14" t="s">
        <v>3657</v>
      </c>
      <c r="D1718" s="2" t="s">
        <v>508</v>
      </c>
      <c r="E1718" s="3" t="s">
        <v>509</v>
      </c>
    </row>
    <row r="1719" spans="1:5">
      <c r="A1719" s="1">
        <v>52053</v>
      </c>
      <c r="B1719" s="1">
        <v>1</v>
      </c>
      <c r="C1719" s="14" t="s">
        <v>3658</v>
      </c>
      <c r="D1719" s="2" t="s">
        <v>510</v>
      </c>
      <c r="E1719" s="3" t="s">
        <v>511</v>
      </c>
    </row>
    <row r="1720" spans="1:5">
      <c r="A1720" s="1">
        <v>52054</v>
      </c>
      <c r="B1720" s="1">
        <v>1</v>
      </c>
      <c r="C1720" s="14" t="s">
        <v>3659</v>
      </c>
      <c r="D1720" s="2" t="s">
        <v>512</v>
      </c>
      <c r="E1720" s="3" t="s">
        <v>513</v>
      </c>
    </row>
    <row r="1721" spans="1:5">
      <c r="A1721" s="1">
        <v>52055</v>
      </c>
      <c r="B1721" s="1">
        <v>1</v>
      </c>
      <c r="C1721" s="14" t="s">
        <v>3660</v>
      </c>
      <c r="D1721" s="2" t="s">
        <v>514</v>
      </c>
      <c r="E1721" s="3" t="s">
        <v>515</v>
      </c>
    </row>
    <row r="1722" spans="1:5">
      <c r="A1722" s="1">
        <v>52056</v>
      </c>
      <c r="B1722" s="1">
        <v>1</v>
      </c>
      <c r="C1722" s="14" t="s">
        <v>3661</v>
      </c>
      <c r="D1722" s="2" t="s">
        <v>516</v>
      </c>
      <c r="E1722" s="3" t="s">
        <v>517</v>
      </c>
    </row>
    <row r="1723" spans="1:5">
      <c r="A1723" s="1">
        <v>52057</v>
      </c>
      <c r="B1723" s="1">
        <v>1</v>
      </c>
      <c r="C1723" s="14" t="s">
        <v>3662</v>
      </c>
      <c r="D1723" s="2" t="s">
        <v>518</v>
      </c>
      <c r="E1723" s="3" t="s">
        <v>519</v>
      </c>
    </row>
    <row r="1724" spans="1:5">
      <c r="A1724" s="1">
        <v>52058</v>
      </c>
      <c r="B1724" s="1">
        <v>1</v>
      </c>
      <c r="C1724" s="14" t="s">
        <v>3663</v>
      </c>
      <c r="D1724" s="2" t="s">
        <v>520</v>
      </c>
      <c r="E1724" s="3" t="s">
        <v>521</v>
      </c>
    </row>
    <row r="1725" spans="1:5">
      <c r="A1725" s="1">
        <v>52059</v>
      </c>
      <c r="B1725" s="1">
        <v>1</v>
      </c>
      <c r="C1725" s="14" t="s">
        <v>3664</v>
      </c>
      <c r="D1725" s="2" t="s">
        <v>522</v>
      </c>
      <c r="E1725" s="3" t="s">
        <v>523</v>
      </c>
    </row>
    <row r="1726" spans="1:5">
      <c r="A1726" s="1">
        <v>52060</v>
      </c>
      <c r="B1726" s="1">
        <v>1</v>
      </c>
      <c r="C1726" s="14" t="s">
        <v>3665</v>
      </c>
      <c r="D1726" s="2" t="s">
        <v>524</v>
      </c>
      <c r="E1726" s="3" t="s">
        <v>525</v>
      </c>
    </row>
    <row r="1727" spans="1:5">
      <c r="A1727" s="1">
        <v>52061</v>
      </c>
      <c r="B1727" s="1">
        <v>1</v>
      </c>
      <c r="C1727" s="14" t="s">
        <v>3666</v>
      </c>
      <c r="D1727" s="2" t="s">
        <v>526</v>
      </c>
      <c r="E1727" s="3" t="s">
        <v>527</v>
      </c>
    </row>
    <row r="1728" spans="1:5">
      <c r="A1728" s="1">
        <v>52062</v>
      </c>
      <c r="B1728" s="1">
        <v>1</v>
      </c>
      <c r="C1728" s="14" t="s">
        <v>3667</v>
      </c>
      <c r="D1728" s="2" t="s">
        <v>528</v>
      </c>
      <c r="E1728" s="3" t="s">
        <v>529</v>
      </c>
    </row>
    <row r="1729" spans="1:5">
      <c r="A1729" s="1">
        <v>52063</v>
      </c>
      <c r="B1729" s="1">
        <v>1</v>
      </c>
      <c r="C1729" s="14" t="s">
        <v>3668</v>
      </c>
      <c r="D1729" s="2" t="s">
        <v>530</v>
      </c>
      <c r="E1729" s="3" t="s">
        <v>531</v>
      </c>
    </row>
    <row r="1730" spans="1:5">
      <c r="A1730" s="1">
        <v>52064</v>
      </c>
      <c r="B1730" s="1">
        <v>1</v>
      </c>
      <c r="C1730" s="14" t="s">
        <v>3669</v>
      </c>
      <c r="D1730" s="2" t="s">
        <v>532</v>
      </c>
      <c r="E1730" s="3" t="s">
        <v>533</v>
      </c>
    </row>
    <row r="1731" spans="1:5">
      <c r="A1731" s="1">
        <v>52065</v>
      </c>
      <c r="B1731" s="1">
        <v>1</v>
      </c>
      <c r="C1731" s="14" t="s">
        <v>3670</v>
      </c>
      <c r="D1731" s="2" t="s">
        <v>534</v>
      </c>
      <c r="E1731" s="3" t="s">
        <v>535</v>
      </c>
    </row>
    <row r="1732" spans="1:5">
      <c r="A1732" s="1">
        <v>52066</v>
      </c>
      <c r="B1732" s="1">
        <v>1</v>
      </c>
      <c r="C1732" s="14" t="s">
        <v>3671</v>
      </c>
      <c r="D1732" s="2" t="s">
        <v>536</v>
      </c>
      <c r="E1732" s="3" t="s">
        <v>537</v>
      </c>
    </row>
    <row r="1733" spans="1:5">
      <c r="A1733" s="1">
        <v>52067</v>
      </c>
      <c r="B1733" s="1">
        <v>1</v>
      </c>
      <c r="C1733" s="14" t="s">
        <v>3672</v>
      </c>
      <c r="D1733" s="2" t="s">
        <v>538</v>
      </c>
      <c r="E1733" s="3" t="s">
        <v>539</v>
      </c>
    </row>
    <row r="1734" spans="1:5">
      <c r="A1734" s="1">
        <v>52068</v>
      </c>
      <c r="B1734" s="1">
        <v>1</v>
      </c>
      <c r="C1734" s="14" t="s">
        <v>3673</v>
      </c>
      <c r="D1734" s="2" t="s">
        <v>540</v>
      </c>
      <c r="E1734" s="3" t="s">
        <v>541</v>
      </c>
    </row>
    <row r="1735" spans="1:5">
      <c r="A1735" s="1">
        <v>52069</v>
      </c>
      <c r="B1735" s="1">
        <v>1</v>
      </c>
      <c r="C1735" s="14" t="s">
        <v>3674</v>
      </c>
      <c r="D1735" s="2" t="s">
        <v>542</v>
      </c>
      <c r="E1735" s="3" t="s">
        <v>543</v>
      </c>
    </row>
    <row r="1736" spans="1:5">
      <c r="A1736" s="1">
        <v>52070</v>
      </c>
      <c r="B1736" s="1">
        <v>1</v>
      </c>
      <c r="C1736" s="14" t="s">
        <v>3675</v>
      </c>
      <c r="D1736" s="2" t="s">
        <v>544</v>
      </c>
      <c r="E1736" s="3" t="s">
        <v>545</v>
      </c>
    </row>
    <row r="1737" spans="1:5">
      <c r="A1737" s="1">
        <v>52071</v>
      </c>
      <c r="B1737" s="1">
        <v>1</v>
      </c>
      <c r="C1737" s="14" t="s">
        <v>3676</v>
      </c>
      <c r="D1737" s="2" t="s">
        <v>546</v>
      </c>
      <c r="E1737" s="3" t="s">
        <v>547</v>
      </c>
    </row>
    <row r="1738" spans="1:5">
      <c r="A1738" s="1">
        <v>52072</v>
      </c>
      <c r="B1738" s="1">
        <v>1</v>
      </c>
      <c r="C1738" s="14" t="s">
        <v>3677</v>
      </c>
      <c r="D1738" s="2" t="s">
        <v>548</v>
      </c>
      <c r="E1738" s="3" t="s">
        <v>549</v>
      </c>
    </row>
    <row r="1739" spans="1:5">
      <c r="A1739" s="1">
        <v>52073</v>
      </c>
      <c r="B1739" s="1">
        <v>1</v>
      </c>
      <c r="C1739" s="14" t="s">
        <v>3678</v>
      </c>
      <c r="D1739" s="2" t="s">
        <v>550</v>
      </c>
      <c r="E1739" s="3" t="s">
        <v>551</v>
      </c>
    </row>
    <row r="1740" spans="1:5">
      <c r="A1740" s="1">
        <v>52074</v>
      </c>
      <c r="B1740" s="1">
        <v>1</v>
      </c>
      <c r="C1740" s="14" t="s">
        <v>3679</v>
      </c>
      <c r="D1740" s="2" t="s">
        <v>552</v>
      </c>
      <c r="E1740" s="3" t="s">
        <v>553</v>
      </c>
    </row>
    <row r="1741" spans="1:5">
      <c r="A1741" s="1">
        <v>52075</v>
      </c>
      <c r="B1741" s="1">
        <v>1</v>
      </c>
      <c r="C1741" s="14" t="s">
        <v>3680</v>
      </c>
      <c r="D1741" s="2" t="s">
        <v>554</v>
      </c>
      <c r="E1741" s="3" t="s">
        <v>555</v>
      </c>
    </row>
    <row r="1742" spans="1:5">
      <c r="A1742" s="1">
        <v>52501</v>
      </c>
      <c r="B1742" s="1">
        <v>1</v>
      </c>
      <c r="C1742" s="14" t="s">
        <v>4209</v>
      </c>
      <c r="D1742" s="2" t="s">
        <v>1942</v>
      </c>
      <c r="E1742" s="3" t="s">
        <v>4732</v>
      </c>
    </row>
    <row r="1743" spans="1:5">
      <c r="A1743" s="1">
        <v>52502</v>
      </c>
      <c r="B1743" s="1">
        <v>1</v>
      </c>
      <c r="C1743" s="14" t="s">
        <v>4210</v>
      </c>
      <c r="D1743" s="2" t="s">
        <v>1943</v>
      </c>
      <c r="E1743" s="3" t="s">
        <v>4733</v>
      </c>
    </row>
    <row r="1744" spans="1:5">
      <c r="A1744" s="1">
        <v>52503</v>
      </c>
      <c r="B1744" s="1">
        <v>1</v>
      </c>
      <c r="C1744" s="14" t="s">
        <v>4211</v>
      </c>
      <c r="D1744" s="2" t="s">
        <v>1944</v>
      </c>
      <c r="E1744" s="3" t="s">
        <v>4734</v>
      </c>
    </row>
    <row r="1745" spans="1:5">
      <c r="A1745" s="1">
        <v>52504</v>
      </c>
      <c r="B1745" s="1">
        <v>1</v>
      </c>
      <c r="C1745" s="14" t="s">
        <v>4212</v>
      </c>
      <c r="D1745" s="2" t="s">
        <v>1945</v>
      </c>
      <c r="E1745" s="3" t="s">
        <v>4735</v>
      </c>
    </row>
    <row r="1746" spans="1:5">
      <c r="A1746" s="1">
        <v>52505</v>
      </c>
      <c r="B1746" s="1">
        <v>1</v>
      </c>
      <c r="C1746" s="14" t="s">
        <v>4213</v>
      </c>
      <c r="D1746" s="2" t="s">
        <v>1946</v>
      </c>
      <c r="E1746" s="3" t="s">
        <v>4736</v>
      </c>
    </row>
    <row r="1747" spans="1:5">
      <c r="A1747" s="1">
        <v>52506</v>
      </c>
      <c r="B1747" s="1">
        <v>1</v>
      </c>
      <c r="C1747" s="14" t="s">
        <v>4214</v>
      </c>
      <c r="D1747" s="2" t="s">
        <v>1947</v>
      </c>
      <c r="E1747" s="3" t="s">
        <v>4737</v>
      </c>
    </row>
    <row r="1748" spans="1:5">
      <c r="A1748" s="1">
        <v>52507</v>
      </c>
      <c r="B1748" s="1">
        <v>1</v>
      </c>
      <c r="C1748" s="14" t="s">
        <v>4215</v>
      </c>
      <c r="D1748" s="2" t="s">
        <v>1948</v>
      </c>
      <c r="E1748" s="3" t="s">
        <v>4738</v>
      </c>
    </row>
    <row r="1749" spans="1:5">
      <c r="A1749" s="1">
        <v>52508</v>
      </c>
      <c r="B1749" s="1">
        <v>1</v>
      </c>
      <c r="C1749" s="14" t="s">
        <v>4216</v>
      </c>
      <c r="D1749" s="2" t="s">
        <v>1949</v>
      </c>
      <c r="E1749" s="3" t="s">
        <v>4739</v>
      </c>
    </row>
    <row r="1750" spans="1:5">
      <c r="A1750" s="1">
        <v>52509</v>
      </c>
      <c r="B1750" s="1">
        <v>1</v>
      </c>
      <c r="C1750" s="14" t="s">
        <v>4217</v>
      </c>
      <c r="D1750" s="2" t="s">
        <v>1950</v>
      </c>
      <c r="E1750" s="3" t="s">
        <v>4740</v>
      </c>
    </row>
    <row r="1751" spans="1:5">
      <c r="A1751" s="1">
        <v>60001</v>
      </c>
      <c r="B1751" s="1">
        <v>1</v>
      </c>
      <c r="C1751" s="14" t="s">
        <v>4218</v>
      </c>
      <c r="D1751" s="2" t="s">
        <v>1951</v>
      </c>
      <c r="E1751" s="3" t="s">
        <v>1952</v>
      </c>
    </row>
    <row r="1752" spans="1:5">
      <c r="A1752" s="1">
        <v>60002</v>
      </c>
      <c r="B1752" s="1">
        <v>1</v>
      </c>
      <c r="C1752" s="14" t="s">
        <v>4219</v>
      </c>
      <c r="D1752" s="2" t="s">
        <v>1953</v>
      </c>
      <c r="E1752" s="3" t="s">
        <v>1954</v>
      </c>
    </row>
    <row r="1753" spans="1:5">
      <c r="A1753" s="1">
        <v>60003</v>
      </c>
      <c r="B1753" s="1">
        <v>1</v>
      </c>
      <c r="C1753" s="14" t="s">
        <v>4220</v>
      </c>
      <c r="D1753" s="2" t="s">
        <v>1955</v>
      </c>
      <c r="E1753" s="3" t="s">
        <v>1956</v>
      </c>
    </row>
    <row r="1754" spans="1:5">
      <c r="A1754" s="1">
        <v>60004</v>
      </c>
      <c r="B1754" s="1">
        <v>1</v>
      </c>
      <c r="C1754" s="14" t="s">
        <v>4221</v>
      </c>
      <c r="D1754" s="2" t="s">
        <v>1957</v>
      </c>
      <c r="E1754" s="3" t="s">
        <v>1958</v>
      </c>
    </row>
    <row r="1755" spans="1:5">
      <c r="A1755" s="1">
        <v>60005</v>
      </c>
      <c r="B1755" s="1">
        <v>1</v>
      </c>
      <c r="C1755" s="14" t="s">
        <v>4222</v>
      </c>
      <c r="D1755" s="2" t="s">
        <v>1959</v>
      </c>
      <c r="E1755" s="3" t="s">
        <v>1960</v>
      </c>
    </row>
    <row r="1756" spans="1:5">
      <c r="A1756" s="1">
        <v>60006</v>
      </c>
      <c r="B1756" s="1">
        <v>1</v>
      </c>
      <c r="C1756" s="14" t="s">
        <v>4223</v>
      </c>
      <c r="D1756" s="2" t="s">
        <v>1961</v>
      </c>
      <c r="E1756" s="3" t="s">
        <v>1962</v>
      </c>
    </row>
    <row r="1757" spans="1:5">
      <c r="A1757" s="1">
        <v>60007</v>
      </c>
      <c r="B1757" s="1">
        <v>1</v>
      </c>
      <c r="C1757" s="14" t="s">
        <v>4218</v>
      </c>
      <c r="D1757" s="2" t="s">
        <v>1963</v>
      </c>
      <c r="E1757" s="3" t="s">
        <v>1952</v>
      </c>
    </row>
    <row r="1758" spans="1:5">
      <c r="A1758" s="1">
        <v>60008</v>
      </c>
      <c r="B1758" s="1">
        <v>1</v>
      </c>
      <c r="C1758" s="14" t="s">
        <v>4219</v>
      </c>
      <c r="D1758" s="2" t="s">
        <v>1964</v>
      </c>
      <c r="E1758" s="3" t="s">
        <v>1954</v>
      </c>
    </row>
    <row r="1759" spans="1:5">
      <c r="A1759" s="1">
        <v>60009</v>
      </c>
      <c r="B1759" s="1">
        <v>1</v>
      </c>
      <c r="C1759" s="14" t="s">
        <v>4220</v>
      </c>
      <c r="D1759" s="2" t="s">
        <v>1965</v>
      </c>
      <c r="E1759" s="3" t="s">
        <v>1956</v>
      </c>
    </row>
    <row r="1760" spans="1:5">
      <c r="A1760" s="1">
        <v>60010</v>
      </c>
      <c r="B1760" s="1">
        <v>1</v>
      </c>
      <c r="C1760" s="14" t="s">
        <v>4221</v>
      </c>
      <c r="D1760" s="2" t="s">
        <v>1966</v>
      </c>
      <c r="E1760" s="3" t="s">
        <v>1958</v>
      </c>
    </row>
    <row r="1761" spans="1:5">
      <c r="A1761" s="1">
        <v>60011</v>
      </c>
      <c r="B1761" s="1">
        <v>1</v>
      </c>
      <c r="C1761" s="14" t="s">
        <v>4222</v>
      </c>
      <c r="D1761" s="2" t="s">
        <v>1967</v>
      </c>
      <c r="E1761" s="3" t="s">
        <v>1960</v>
      </c>
    </row>
    <row r="1762" spans="1:5">
      <c r="A1762" s="1">
        <v>60012</v>
      </c>
      <c r="B1762" s="1">
        <v>1</v>
      </c>
      <c r="C1762" s="14" t="s">
        <v>4223</v>
      </c>
      <c r="D1762" s="2" t="s">
        <v>1968</v>
      </c>
      <c r="E1762" s="3" t="s">
        <v>1962</v>
      </c>
    </row>
    <row r="1763" spans="1:5">
      <c r="A1763" s="1">
        <v>60013</v>
      </c>
      <c r="B1763" s="1">
        <v>1</v>
      </c>
      <c r="C1763" s="14" t="s">
        <v>4218</v>
      </c>
      <c r="D1763" s="2" t="s">
        <v>1969</v>
      </c>
      <c r="E1763" s="3" t="s">
        <v>1952</v>
      </c>
    </row>
    <row r="1764" spans="1:5">
      <c r="A1764" s="1">
        <v>60014</v>
      </c>
      <c r="B1764" s="1">
        <v>1</v>
      </c>
      <c r="C1764" s="14" t="s">
        <v>4219</v>
      </c>
      <c r="D1764" s="2" t="s">
        <v>1970</v>
      </c>
      <c r="E1764" s="3" t="s">
        <v>1954</v>
      </c>
    </row>
    <row r="1765" spans="1:5">
      <c r="A1765" s="1">
        <v>60015</v>
      </c>
      <c r="B1765" s="1">
        <v>1</v>
      </c>
      <c r="C1765" s="14" t="s">
        <v>4220</v>
      </c>
      <c r="D1765" s="2" t="s">
        <v>1971</v>
      </c>
      <c r="E1765" s="3" t="s">
        <v>1956</v>
      </c>
    </row>
    <row r="1766" spans="1:5">
      <c r="A1766" s="1">
        <v>60016</v>
      </c>
      <c r="B1766" s="1">
        <v>1</v>
      </c>
      <c r="C1766" s="14" t="s">
        <v>4221</v>
      </c>
      <c r="D1766" s="2" t="s">
        <v>1972</v>
      </c>
      <c r="E1766" s="3" t="s">
        <v>1958</v>
      </c>
    </row>
    <row r="1767" spans="1:5">
      <c r="A1767" s="1">
        <v>60017</v>
      </c>
      <c r="B1767" s="1">
        <v>1</v>
      </c>
      <c r="C1767" s="14" t="s">
        <v>4222</v>
      </c>
      <c r="D1767" s="2" t="s">
        <v>1973</v>
      </c>
      <c r="E1767" s="3" t="s">
        <v>1960</v>
      </c>
    </row>
    <row r="1768" spans="1:5">
      <c r="A1768" s="1">
        <v>60018</v>
      </c>
      <c r="B1768" s="1">
        <v>1</v>
      </c>
      <c r="C1768" s="14" t="s">
        <v>4223</v>
      </c>
      <c r="D1768" s="2" t="s">
        <v>1974</v>
      </c>
      <c r="E1768" s="3" t="s">
        <v>1962</v>
      </c>
    </row>
    <row r="1769" spans="1:5">
      <c r="A1769" s="1">
        <v>60019</v>
      </c>
      <c r="B1769" s="1">
        <v>1</v>
      </c>
      <c r="C1769" s="14" t="s">
        <v>4224</v>
      </c>
      <c r="D1769" s="2" t="s">
        <v>1975</v>
      </c>
      <c r="E1769" s="3" t="s">
        <v>1976</v>
      </c>
    </row>
    <row r="1770" spans="1:5">
      <c r="A1770" s="1">
        <v>60020</v>
      </c>
      <c r="B1770" s="1">
        <v>1</v>
      </c>
      <c r="C1770" s="14" t="s">
        <v>4225</v>
      </c>
      <c r="D1770" s="2" t="s">
        <v>1977</v>
      </c>
      <c r="E1770" s="3" t="s">
        <v>1978</v>
      </c>
    </row>
    <row r="1771" spans="1:5">
      <c r="A1771" s="1">
        <v>60021</v>
      </c>
      <c r="B1771" s="1">
        <v>1</v>
      </c>
      <c r="C1771" s="14" t="s">
        <v>4226</v>
      </c>
      <c r="D1771" s="2" t="s">
        <v>1979</v>
      </c>
      <c r="E1771" s="3" t="s">
        <v>1980</v>
      </c>
    </row>
    <row r="1772" spans="1:5">
      <c r="A1772" s="1">
        <v>60022</v>
      </c>
      <c r="B1772" s="1">
        <v>1</v>
      </c>
      <c r="C1772" s="14" t="s">
        <v>4227</v>
      </c>
      <c r="D1772" s="2" t="s">
        <v>1981</v>
      </c>
      <c r="E1772" s="3" t="s">
        <v>1982</v>
      </c>
    </row>
    <row r="1773" spans="1:5">
      <c r="A1773" s="1">
        <v>60023</v>
      </c>
      <c r="B1773" s="1">
        <v>1</v>
      </c>
      <c r="C1773" s="14" t="s">
        <v>4228</v>
      </c>
      <c r="D1773" s="2" t="s">
        <v>1983</v>
      </c>
      <c r="E1773" s="3" t="s">
        <v>1984</v>
      </c>
    </row>
    <row r="1774" spans="1:5">
      <c r="A1774" s="1">
        <v>60024</v>
      </c>
      <c r="B1774" s="1">
        <v>1</v>
      </c>
      <c r="C1774" s="14" t="s">
        <v>4229</v>
      </c>
      <c r="D1774" s="2" t="s">
        <v>1985</v>
      </c>
      <c r="E1774" s="3" t="s">
        <v>1986</v>
      </c>
    </row>
    <row r="1775" spans="1:5">
      <c r="A1775" s="1">
        <v>60025</v>
      </c>
      <c r="B1775" s="1">
        <v>1</v>
      </c>
      <c r="C1775" s="14" t="s">
        <v>4218</v>
      </c>
      <c r="D1775" s="2" t="s">
        <v>1987</v>
      </c>
      <c r="E1775" s="3" t="s">
        <v>1952</v>
      </c>
    </row>
    <row r="1776" spans="1:5">
      <c r="A1776" s="1">
        <v>60026</v>
      </c>
      <c r="B1776" s="1">
        <v>1</v>
      </c>
      <c r="C1776" s="14" t="s">
        <v>4219</v>
      </c>
      <c r="D1776" s="2" t="s">
        <v>1988</v>
      </c>
      <c r="E1776" s="3" t="s">
        <v>1954</v>
      </c>
    </row>
    <row r="1777" spans="1:5">
      <c r="A1777" s="1">
        <v>60027</v>
      </c>
      <c r="B1777" s="1">
        <v>1</v>
      </c>
      <c r="C1777" s="14" t="s">
        <v>4220</v>
      </c>
      <c r="D1777" s="2" t="s">
        <v>1989</v>
      </c>
      <c r="E1777" s="3" t="s">
        <v>1956</v>
      </c>
    </row>
    <row r="1778" spans="1:5">
      <c r="A1778" s="1">
        <v>60028</v>
      </c>
      <c r="B1778" s="1">
        <v>1</v>
      </c>
      <c r="C1778" s="14" t="s">
        <v>4221</v>
      </c>
      <c r="D1778" s="2" t="s">
        <v>1990</v>
      </c>
      <c r="E1778" s="3" t="s">
        <v>1958</v>
      </c>
    </row>
    <row r="1779" spans="1:5">
      <c r="A1779" s="1">
        <v>60029</v>
      </c>
      <c r="B1779" s="1">
        <v>1</v>
      </c>
      <c r="C1779" s="14" t="s">
        <v>4222</v>
      </c>
      <c r="D1779" s="2" t="s">
        <v>1991</v>
      </c>
      <c r="E1779" s="3" t="s">
        <v>1960</v>
      </c>
    </row>
    <row r="1780" spans="1:5">
      <c r="A1780" s="1">
        <v>60030</v>
      </c>
      <c r="B1780" s="1">
        <v>1</v>
      </c>
      <c r="C1780" s="14" t="s">
        <v>4223</v>
      </c>
      <c r="D1780" s="2" t="s">
        <v>1992</v>
      </c>
      <c r="E1780" s="3" t="s">
        <v>1962</v>
      </c>
    </row>
    <row r="1781" spans="1:5">
      <c r="A1781" s="1">
        <v>60031</v>
      </c>
      <c r="B1781" s="1">
        <v>1</v>
      </c>
      <c r="C1781" s="14" t="s">
        <v>4218</v>
      </c>
      <c r="D1781" s="2" t="s">
        <v>1993</v>
      </c>
      <c r="E1781" s="3" t="s">
        <v>1952</v>
      </c>
    </row>
    <row r="1782" spans="1:5">
      <c r="A1782" s="1">
        <v>60032</v>
      </c>
      <c r="B1782" s="1">
        <v>1</v>
      </c>
      <c r="C1782" s="14" t="s">
        <v>4219</v>
      </c>
      <c r="D1782" s="2" t="s">
        <v>1994</v>
      </c>
      <c r="E1782" s="3" t="s">
        <v>1954</v>
      </c>
    </row>
    <row r="1783" spans="1:5">
      <c r="A1783" s="1">
        <v>60033</v>
      </c>
      <c r="B1783" s="1">
        <v>1</v>
      </c>
      <c r="C1783" s="14" t="s">
        <v>4220</v>
      </c>
      <c r="D1783" s="2" t="s">
        <v>1995</v>
      </c>
      <c r="E1783" s="3" t="s">
        <v>1956</v>
      </c>
    </row>
    <row r="1784" spans="1:5">
      <c r="A1784" s="1">
        <v>60034</v>
      </c>
      <c r="B1784" s="1">
        <v>1</v>
      </c>
      <c r="C1784" s="14" t="s">
        <v>4221</v>
      </c>
      <c r="D1784" s="2" t="s">
        <v>1996</v>
      </c>
      <c r="E1784" s="3" t="s">
        <v>1958</v>
      </c>
    </row>
    <row r="1785" spans="1:5">
      <c r="A1785" s="1">
        <v>60035</v>
      </c>
      <c r="B1785" s="1">
        <v>1</v>
      </c>
      <c r="C1785" s="14" t="s">
        <v>4222</v>
      </c>
      <c r="D1785" s="2" t="s">
        <v>1997</v>
      </c>
      <c r="E1785" s="3" t="s">
        <v>1960</v>
      </c>
    </row>
    <row r="1786" spans="1:5">
      <c r="A1786" s="1">
        <v>60036</v>
      </c>
      <c r="B1786" s="1">
        <v>1</v>
      </c>
      <c r="C1786" s="14" t="s">
        <v>4223</v>
      </c>
      <c r="D1786" s="2" t="s">
        <v>1998</v>
      </c>
      <c r="E1786" s="3" t="s">
        <v>1962</v>
      </c>
    </row>
    <row r="1787" spans="1:5">
      <c r="A1787" s="1">
        <v>60037</v>
      </c>
      <c r="B1787" s="1">
        <v>1</v>
      </c>
      <c r="C1787" s="14" t="s">
        <v>4218</v>
      </c>
      <c r="D1787" s="2" t="s">
        <v>1999</v>
      </c>
      <c r="E1787" s="3" t="s">
        <v>1952</v>
      </c>
    </row>
    <row r="1788" spans="1:5">
      <c r="A1788" s="1">
        <v>60038</v>
      </c>
      <c r="B1788" s="1">
        <v>1</v>
      </c>
      <c r="C1788" s="14" t="s">
        <v>4219</v>
      </c>
      <c r="D1788" s="2" t="s">
        <v>2000</v>
      </c>
      <c r="E1788" s="3" t="s">
        <v>1954</v>
      </c>
    </row>
    <row r="1789" spans="1:5">
      <c r="A1789" s="1">
        <v>60039</v>
      </c>
      <c r="B1789" s="1">
        <v>1</v>
      </c>
      <c r="C1789" s="14" t="s">
        <v>4220</v>
      </c>
      <c r="D1789" s="2" t="s">
        <v>2001</v>
      </c>
      <c r="E1789" s="3" t="s">
        <v>1956</v>
      </c>
    </row>
    <row r="1790" spans="1:5">
      <c r="A1790" s="1">
        <v>60040</v>
      </c>
      <c r="B1790" s="1">
        <v>1</v>
      </c>
      <c r="C1790" s="14" t="s">
        <v>4221</v>
      </c>
      <c r="D1790" s="2" t="s">
        <v>2002</v>
      </c>
      <c r="E1790" s="3" t="s">
        <v>1958</v>
      </c>
    </row>
    <row r="1791" spans="1:5">
      <c r="A1791" s="1">
        <v>60041</v>
      </c>
      <c r="B1791" s="1">
        <v>1</v>
      </c>
      <c r="C1791" s="14" t="s">
        <v>4222</v>
      </c>
      <c r="D1791" s="2" t="s">
        <v>2003</v>
      </c>
      <c r="E1791" s="3" t="s">
        <v>1960</v>
      </c>
    </row>
    <row r="1792" spans="1:5">
      <c r="A1792" s="1">
        <v>60042</v>
      </c>
      <c r="B1792" s="1">
        <v>1</v>
      </c>
      <c r="C1792" s="14" t="s">
        <v>4223</v>
      </c>
      <c r="D1792" s="2" t="s">
        <v>2004</v>
      </c>
      <c r="E1792" s="3" t="s">
        <v>1962</v>
      </c>
    </row>
    <row r="1793" spans="1:5">
      <c r="A1793" s="1">
        <v>60043</v>
      </c>
      <c r="B1793" s="1">
        <v>1</v>
      </c>
      <c r="C1793" s="14" t="s">
        <v>4224</v>
      </c>
      <c r="D1793" s="2" t="s">
        <v>2005</v>
      </c>
      <c r="E1793" s="3" t="s">
        <v>1976</v>
      </c>
    </row>
    <row r="1794" spans="1:5">
      <c r="A1794" s="1">
        <v>60044</v>
      </c>
      <c r="B1794" s="1">
        <v>1</v>
      </c>
      <c r="C1794" s="14" t="s">
        <v>4225</v>
      </c>
      <c r="D1794" s="2" t="s">
        <v>2006</v>
      </c>
      <c r="E1794" s="3" t="s">
        <v>1978</v>
      </c>
    </row>
    <row r="1795" spans="1:5">
      <c r="A1795" s="1">
        <v>60045</v>
      </c>
      <c r="B1795" s="1">
        <v>1</v>
      </c>
      <c r="C1795" s="14" t="s">
        <v>4226</v>
      </c>
      <c r="D1795" s="2" t="s">
        <v>2007</v>
      </c>
      <c r="E1795" s="3" t="s">
        <v>1980</v>
      </c>
    </row>
    <row r="1796" spans="1:5">
      <c r="A1796" s="1">
        <v>60046</v>
      </c>
      <c r="B1796" s="1">
        <v>1</v>
      </c>
      <c r="C1796" s="14" t="s">
        <v>4227</v>
      </c>
      <c r="D1796" s="2" t="s">
        <v>2008</v>
      </c>
      <c r="E1796" s="3" t="s">
        <v>1982</v>
      </c>
    </row>
    <row r="1797" spans="1:5">
      <c r="A1797" s="1">
        <v>60047</v>
      </c>
      <c r="B1797" s="1">
        <v>1</v>
      </c>
      <c r="C1797" s="14" t="s">
        <v>4228</v>
      </c>
      <c r="D1797" s="2" t="s">
        <v>2009</v>
      </c>
      <c r="E1797" s="3" t="s">
        <v>1984</v>
      </c>
    </row>
    <row r="1798" spans="1:5">
      <c r="A1798" s="1">
        <v>60048</v>
      </c>
      <c r="B1798" s="1">
        <v>1</v>
      </c>
      <c r="C1798" s="14" t="s">
        <v>4229</v>
      </c>
      <c r="D1798" s="2" t="s">
        <v>2010</v>
      </c>
      <c r="E1798" s="3" t="s">
        <v>1986</v>
      </c>
    </row>
    <row r="1799" spans="1:5">
      <c r="A1799" s="1">
        <v>60049</v>
      </c>
      <c r="B1799" s="1">
        <v>1</v>
      </c>
      <c r="C1799" s="14" t="s">
        <v>4222</v>
      </c>
      <c r="D1799" s="2" t="s">
        <v>2011</v>
      </c>
      <c r="E1799" s="3" t="s">
        <v>1960</v>
      </c>
    </row>
    <row r="1800" spans="1:5">
      <c r="A1800" s="1">
        <v>60050</v>
      </c>
      <c r="B1800" s="1">
        <v>1</v>
      </c>
      <c r="C1800" s="14" t="s">
        <v>4223</v>
      </c>
      <c r="D1800" s="2" t="s">
        <v>2012</v>
      </c>
      <c r="E1800" s="3" t="s">
        <v>1962</v>
      </c>
    </row>
    <row r="1801" spans="1:5">
      <c r="A1801" s="1">
        <v>60051</v>
      </c>
      <c r="B1801" s="1">
        <v>1</v>
      </c>
      <c r="C1801" s="14" t="s">
        <v>4224</v>
      </c>
      <c r="D1801" s="2" t="s">
        <v>2013</v>
      </c>
      <c r="E1801" s="3" t="s">
        <v>1976</v>
      </c>
    </row>
    <row r="1802" spans="1:5">
      <c r="A1802" s="1">
        <v>60052</v>
      </c>
      <c r="B1802" s="1">
        <v>1</v>
      </c>
      <c r="C1802" s="14" t="s">
        <v>4225</v>
      </c>
      <c r="D1802" s="2" t="s">
        <v>2014</v>
      </c>
      <c r="E1802" s="3" t="s">
        <v>1978</v>
      </c>
    </row>
    <row r="1803" spans="1:5">
      <c r="A1803" s="1">
        <v>60053</v>
      </c>
      <c r="B1803" s="1">
        <v>1</v>
      </c>
      <c r="C1803" s="14" t="s">
        <v>4226</v>
      </c>
      <c r="D1803" s="2" t="s">
        <v>2015</v>
      </c>
      <c r="E1803" s="3" t="s">
        <v>1980</v>
      </c>
    </row>
    <row r="1804" spans="1:5">
      <c r="A1804" s="1">
        <v>60054</v>
      </c>
      <c r="B1804" s="1">
        <v>1</v>
      </c>
      <c r="C1804" s="14" t="s">
        <v>4227</v>
      </c>
      <c r="D1804" s="2" t="s">
        <v>2016</v>
      </c>
      <c r="E1804" s="3" t="s">
        <v>1982</v>
      </c>
    </row>
    <row r="1805" spans="1:5">
      <c r="A1805" s="1">
        <v>60055</v>
      </c>
      <c r="B1805" s="1">
        <v>1</v>
      </c>
      <c r="C1805" s="14" t="s">
        <v>4228</v>
      </c>
      <c r="D1805" s="2" t="s">
        <v>2017</v>
      </c>
      <c r="E1805" s="3" t="s">
        <v>1984</v>
      </c>
    </row>
    <row r="1806" spans="1:5">
      <c r="A1806" s="1">
        <v>60056</v>
      </c>
      <c r="B1806" s="1">
        <v>1</v>
      </c>
      <c r="C1806" s="14" t="s">
        <v>4229</v>
      </c>
      <c r="D1806" s="2" t="s">
        <v>2018</v>
      </c>
      <c r="E1806" s="3" t="s">
        <v>1986</v>
      </c>
    </row>
    <row r="1807" spans="1:5">
      <c r="A1807" s="1">
        <v>60057</v>
      </c>
      <c r="B1807" s="1">
        <v>1</v>
      </c>
      <c r="C1807" s="14" t="s">
        <v>4226</v>
      </c>
      <c r="D1807" s="2" t="s">
        <v>2019</v>
      </c>
      <c r="E1807" s="3" t="s">
        <v>1980</v>
      </c>
    </row>
    <row r="1808" spans="1:5">
      <c r="A1808" s="1">
        <v>60058</v>
      </c>
      <c r="B1808" s="1">
        <v>1</v>
      </c>
      <c r="C1808" s="14" t="s">
        <v>4227</v>
      </c>
      <c r="D1808" s="2" t="s">
        <v>2020</v>
      </c>
      <c r="E1808" s="3" t="s">
        <v>1982</v>
      </c>
    </row>
    <row r="1809" spans="1:5">
      <c r="A1809" s="1">
        <v>60059</v>
      </c>
      <c r="B1809" s="1">
        <v>1</v>
      </c>
      <c r="C1809" s="14" t="s">
        <v>4228</v>
      </c>
      <c r="D1809" s="2" t="s">
        <v>2021</v>
      </c>
      <c r="E1809" s="3" t="s">
        <v>1984</v>
      </c>
    </row>
    <row r="1810" spans="1:5">
      <c r="A1810" s="1">
        <v>60060</v>
      </c>
      <c r="B1810" s="1">
        <v>1</v>
      </c>
      <c r="C1810" s="14" t="s">
        <v>4229</v>
      </c>
      <c r="D1810" s="2" t="s">
        <v>2022</v>
      </c>
      <c r="E1810" s="3" t="s">
        <v>1986</v>
      </c>
    </row>
    <row r="1811" spans="1:5">
      <c r="A1811" s="49">
        <v>61001</v>
      </c>
      <c r="B1811" s="49">
        <v>1</v>
      </c>
      <c r="C1811" s="14" t="s">
        <v>3355</v>
      </c>
      <c r="D1811" s="79" t="s">
        <v>2023</v>
      </c>
      <c r="E1811" s="52" t="s">
        <v>599</v>
      </c>
    </row>
    <row r="1812" spans="1:5">
      <c r="A1812" s="49">
        <v>61002</v>
      </c>
      <c r="B1812" s="49">
        <v>1</v>
      </c>
      <c r="C1812" s="14" t="s">
        <v>4230</v>
      </c>
      <c r="D1812" s="79" t="s">
        <v>2024</v>
      </c>
      <c r="E1812" s="52" t="s">
        <v>2025</v>
      </c>
    </row>
    <row r="1813" spans="1:5">
      <c r="A1813" s="49">
        <v>61003</v>
      </c>
      <c r="B1813" s="49">
        <v>1</v>
      </c>
      <c r="C1813" s="14" t="s">
        <v>3371</v>
      </c>
      <c r="D1813" s="79" t="s">
        <v>2026</v>
      </c>
      <c r="E1813" s="52" t="s">
        <v>751</v>
      </c>
    </row>
    <row r="1814" spans="1:5">
      <c r="A1814" s="49">
        <v>61004</v>
      </c>
      <c r="B1814" s="49">
        <v>1</v>
      </c>
      <c r="C1814" s="14" t="s">
        <v>3356</v>
      </c>
      <c r="D1814" s="79" t="s">
        <v>2027</v>
      </c>
      <c r="E1814" s="52" t="s">
        <v>649</v>
      </c>
    </row>
    <row r="1815" spans="1:5">
      <c r="A1815" s="49">
        <v>61005</v>
      </c>
      <c r="B1815" s="49">
        <v>1</v>
      </c>
      <c r="C1815" s="14" t="s">
        <v>4231</v>
      </c>
      <c r="D1815" s="79" t="s">
        <v>2028</v>
      </c>
      <c r="E1815" s="52" t="s">
        <v>2029</v>
      </c>
    </row>
    <row r="1816" spans="1:5">
      <c r="A1816" s="49">
        <v>61006</v>
      </c>
      <c r="B1816" s="49">
        <v>1</v>
      </c>
      <c r="C1816" s="14" t="s">
        <v>3371</v>
      </c>
      <c r="D1816" s="79" t="s">
        <v>2030</v>
      </c>
      <c r="E1816" s="52" t="s">
        <v>751</v>
      </c>
    </row>
    <row r="1817" spans="1:5">
      <c r="A1817" s="49">
        <v>61007</v>
      </c>
      <c r="B1817" s="49">
        <v>1</v>
      </c>
      <c r="C1817" s="14" t="s">
        <v>3357</v>
      </c>
      <c r="D1817" s="79" t="s">
        <v>2031</v>
      </c>
      <c r="E1817" s="52" t="s">
        <v>1320</v>
      </c>
    </row>
    <row r="1818" spans="1:5">
      <c r="A1818" s="49">
        <v>61008</v>
      </c>
      <c r="B1818" s="49">
        <v>1</v>
      </c>
      <c r="C1818" s="14" t="s">
        <v>4232</v>
      </c>
      <c r="D1818" s="79" t="s">
        <v>2032</v>
      </c>
      <c r="E1818" s="52" t="s">
        <v>2033</v>
      </c>
    </row>
    <row r="1819" spans="1:5">
      <c r="A1819" s="49">
        <v>61009</v>
      </c>
      <c r="B1819" s="49">
        <v>1</v>
      </c>
      <c r="C1819" s="14" t="s">
        <v>3373</v>
      </c>
      <c r="D1819" s="79" t="s">
        <v>2034</v>
      </c>
      <c r="E1819" s="52" t="s">
        <v>991</v>
      </c>
    </row>
    <row r="1820" spans="1:5">
      <c r="A1820" s="49">
        <v>61010</v>
      </c>
      <c r="B1820" s="49">
        <v>1</v>
      </c>
      <c r="C1820" s="14" t="s">
        <v>3358</v>
      </c>
      <c r="D1820" s="79" t="s">
        <v>2035</v>
      </c>
      <c r="E1820" s="52" t="s">
        <v>1327</v>
      </c>
    </row>
    <row r="1821" spans="1:5">
      <c r="A1821" s="49">
        <v>61011</v>
      </c>
      <c r="B1821" s="49">
        <v>1</v>
      </c>
      <c r="C1821" s="14" t="s">
        <v>4233</v>
      </c>
      <c r="D1821" s="79" t="s">
        <v>2036</v>
      </c>
      <c r="E1821" s="52" t="s">
        <v>2037</v>
      </c>
    </row>
    <row r="1822" spans="1:5">
      <c r="A1822" s="49">
        <v>61012</v>
      </c>
      <c r="B1822" s="49">
        <v>1</v>
      </c>
      <c r="C1822" s="14" t="s">
        <v>3373</v>
      </c>
      <c r="D1822" s="79" t="s">
        <v>2038</v>
      </c>
      <c r="E1822" s="52" t="s">
        <v>991</v>
      </c>
    </row>
    <row r="1823" spans="1:5">
      <c r="A1823" s="49">
        <v>61013</v>
      </c>
      <c r="B1823" s="49">
        <v>1</v>
      </c>
      <c r="C1823" s="14" t="s">
        <v>3359</v>
      </c>
      <c r="D1823" s="79" t="s">
        <v>2039</v>
      </c>
      <c r="E1823" s="52" t="s">
        <v>1334</v>
      </c>
    </row>
    <row r="1824" spans="1:5">
      <c r="A1824" s="49">
        <v>61014</v>
      </c>
      <c r="B1824" s="49">
        <v>1</v>
      </c>
      <c r="C1824" s="14" t="s">
        <v>4234</v>
      </c>
      <c r="D1824" s="79" t="s">
        <v>2040</v>
      </c>
      <c r="E1824" s="52" t="s">
        <v>2041</v>
      </c>
    </row>
    <row r="1825" spans="1:5">
      <c r="A1825" s="49">
        <v>61015</v>
      </c>
      <c r="B1825" s="49">
        <v>1</v>
      </c>
      <c r="C1825" s="14" t="s">
        <v>3375</v>
      </c>
      <c r="D1825" s="79" t="s">
        <v>2042</v>
      </c>
      <c r="E1825" s="52" t="s">
        <v>787</v>
      </c>
    </row>
    <row r="1826" spans="1:5">
      <c r="A1826" s="49">
        <v>61016</v>
      </c>
      <c r="B1826" s="49">
        <v>1</v>
      </c>
      <c r="C1826" s="14" t="s">
        <v>3360</v>
      </c>
      <c r="D1826" s="79" t="s">
        <v>2043</v>
      </c>
      <c r="E1826" s="52" t="s">
        <v>604</v>
      </c>
    </row>
    <row r="1827" spans="1:5">
      <c r="A1827" s="49">
        <v>61017</v>
      </c>
      <c r="B1827" s="49">
        <v>1</v>
      </c>
      <c r="C1827" s="14" t="s">
        <v>4235</v>
      </c>
      <c r="D1827" s="79" t="s">
        <v>2044</v>
      </c>
      <c r="E1827" s="52" t="s">
        <v>2045</v>
      </c>
    </row>
    <row r="1828" spans="1:5">
      <c r="A1828" s="49">
        <v>61018</v>
      </c>
      <c r="B1828" s="49">
        <v>1</v>
      </c>
      <c r="C1828" s="14" t="s">
        <v>3375</v>
      </c>
      <c r="D1828" s="79" t="s">
        <v>2046</v>
      </c>
      <c r="E1828" s="52" t="s">
        <v>787</v>
      </c>
    </row>
    <row r="1829" spans="1:5">
      <c r="A1829" s="49">
        <v>61019</v>
      </c>
      <c r="B1829" s="49">
        <v>1</v>
      </c>
      <c r="C1829" s="14" t="s">
        <v>3361</v>
      </c>
      <c r="D1829" s="79" t="s">
        <v>2047</v>
      </c>
      <c r="E1829" s="52" t="s">
        <v>1349</v>
      </c>
    </row>
    <row r="1830" spans="1:5">
      <c r="A1830" s="49">
        <v>61020</v>
      </c>
      <c r="B1830" s="49">
        <v>1</v>
      </c>
      <c r="C1830" s="14" t="s">
        <v>4236</v>
      </c>
      <c r="D1830" s="79" t="s">
        <v>2048</v>
      </c>
      <c r="E1830" s="52" t="s">
        <v>2049</v>
      </c>
    </row>
    <row r="1831" spans="1:5">
      <c r="A1831" s="49">
        <v>61021</v>
      </c>
      <c r="B1831" s="49">
        <v>1</v>
      </c>
      <c r="C1831" s="14" t="s">
        <v>3378</v>
      </c>
      <c r="D1831" s="79" t="s">
        <v>2050</v>
      </c>
      <c r="E1831" s="52" t="s">
        <v>795</v>
      </c>
    </row>
    <row r="1832" spans="1:5">
      <c r="A1832" s="49">
        <v>61022</v>
      </c>
      <c r="B1832" s="49">
        <v>1</v>
      </c>
      <c r="C1832" s="14" t="s">
        <v>3362</v>
      </c>
      <c r="D1832" s="79" t="s">
        <v>2051</v>
      </c>
      <c r="E1832" s="52" t="s">
        <v>1357</v>
      </c>
    </row>
    <row r="1833" spans="1:5">
      <c r="A1833" s="49">
        <v>61023</v>
      </c>
      <c r="B1833" s="49">
        <v>1</v>
      </c>
      <c r="C1833" s="14" t="s">
        <v>4237</v>
      </c>
      <c r="D1833" s="79" t="s">
        <v>2052</v>
      </c>
      <c r="E1833" s="52" t="s">
        <v>2053</v>
      </c>
    </row>
    <row r="1834" spans="1:5">
      <c r="A1834" s="49">
        <v>61024</v>
      </c>
      <c r="B1834" s="49">
        <v>1</v>
      </c>
      <c r="C1834" s="14" t="s">
        <v>3378</v>
      </c>
      <c r="D1834" s="79" t="s">
        <v>2054</v>
      </c>
      <c r="E1834" s="52" t="s">
        <v>795</v>
      </c>
    </row>
    <row r="1835" spans="1:5">
      <c r="A1835" s="49">
        <v>61025</v>
      </c>
      <c r="B1835" s="49">
        <v>1</v>
      </c>
      <c r="C1835" s="14" t="s">
        <v>3363</v>
      </c>
      <c r="D1835" s="79" t="s">
        <v>2055</v>
      </c>
      <c r="E1835" s="52" t="s">
        <v>2056</v>
      </c>
    </row>
    <row r="1836" spans="1:5">
      <c r="A1836" s="49">
        <v>61026</v>
      </c>
      <c r="B1836" s="49">
        <v>1</v>
      </c>
      <c r="C1836" s="14" t="s">
        <v>4238</v>
      </c>
      <c r="D1836" s="79" t="s">
        <v>2057</v>
      </c>
      <c r="E1836" s="52" t="s">
        <v>2058</v>
      </c>
    </row>
    <row r="1837" spans="1:5">
      <c r="A1837" s="49">
        <v>61027</v>
      </c>
      <c r="B1837" s="49">
        <v>1</v>
      </c>
      <c r="C1837" s="14" t="s">
        <v>3765</v>
      </c>
      <c r="D1837" s="79" t="s">
        <v>2059</v>
      </c>
      <c r="E1837" s="52" t="s">
        <v>803</v>
      </c>
    </row>
    <row r="1838" spans="1:5">
      <c r="A1838" s="49">
        <v>61028</v>
      </c>
      <c r="B1838" s="49">
        <v>1</v>
      </c>
      <c r="C1838" s="14" t="s">
        <v>3364</v>
      </c>
      <c r="D1838" s="79" t="s">
        <v>2060</v>
      </c>
      <c r="E1838" s="52" t="s">
        <v>2061</v>
      </c>
    </row>
    <row r="1839" spans="1:5">
      <c r="A1839" s="49">
        <v>61029</v>
      </c>
      <c r="B1839" s="49">
        <v>1</v>
      </c>
      <c r="C1839" s="14" t="s">
        <v>4239</v>
      </c>
      <c r="D1839" s="79" t="s">
        <v>2062</v>
      </c>
      <c r="E1839" s="52" t="s">
        <v>2063</v>
      </c>
    </row>
    <row r="1840" spans="1:5">
      <c r="A1840" s="49">
        <v>61030</v>
      </c>
      <c r="B1840" s="49">
        <v>1</v>
      </c>
      <c r="C1840" s="14" t="s">
        <v>3765</v>
      </c>
      <c r="D1840" s="79" t="s">
        <v>2064</v>
      </c>
      <c r="E1840" s="52" t="s">
        <v>803</v>
      </c>
    </row>
    <row r="1841" spans="1:5">
      <c r="A1841" s="1">
        <v>62001</v>
      </c>
      <c r="B1841" s="1">
        <v>1</v>
      </c>
      <c r="C1841" s="14" t="s">
        <v>4240</v>
      </c>
      <c r="D1841" s="2" t="s">
        <v>2065</v>
      </c>
      <c r="E1841" s="3" t="s">
        <v>2066</v>
      </c>
    </row>
    <row r="1842" spans="1:5">
      <c r="A1842" s="1">
        <v>62002</v>
      </c>
      <c r="B1842" s="1">
        <v>1</v>
      </c>
      <c r="C1842" s="14" t="s">
        <v>4241</v>
      </c>
      <c r="D1842" s="2" t="s">
        <v>2067</v>
      </c>
      <c r="E1842" s="3" t="s">
        <v>2068</v>
      </c>
    </row>
    <row r="1843" spans="1:5">
      <c r="A1843" s="92">
        <v>63001</v>
      </c>
      <c r="B1843" s="92">
        <v>1</v>
      </c>
      <c r="C1843" s="14" t="s">
        <v>4242</v>
      </c>
      <c r="D1843" s="93" t="s">
        <v>2069</v>
      </c>
      <c r="E1843" s="94" t="s">
        <v>2070</v>
      </c>
    </row>
    <row r="1844" spans="1:5">
      <c r="A1844" s="92">
        <v>63002</v>
      </c>
      <c r="B1844" s="92">
        <v>1</v>
      </c>
      <c r="C1844" s="14" t="s">
        <v>3355</v>
      </c>
      <c r="D1844" s="93" t="s">
        <v>2071</v>
      </c>
      <c r="E1844" s="94" t="s">
        <v>599</v>
      </c>
    </row>
    <row r="1845" spans="1:5">
      <c r="A1845" s="92">
        <v>63003</v>
      </c>
      <c r="B1845" s="92">
        <v>1</v>
      </c>
      <c r="C1845" s="14" t="s">
        <v>3366</v>
      </c>
      <c r="D1845" s="93" t="s">
        <v>2072</v>
      </c>
      <c r="E1845" s="94" t="s">
        <v>981</v>
      </c>
    </row>
    <row r="1846" spans="1:5">
      <c r="A1846" s="92">
        <v>63004</v>
      </c>
      <c r="B1846" s="92">
        <v>1</v>
      </c>
      <c r="C1846" s="14" t="s">
        <v>4243</v>
      </c>
      <c r="D1846" s="93" t="s">
        <v>2073</v>
      </c>
      <c r="E1846" s="94" t="s">
        <v>2074</v>
      </c>
    </row>
    <row r="1847" spans="1:5">
      <c r="A1847" s="95">
        <v>63005</v>
      </c>
      <c r="B1847" s="95">
        <v>1</v>
      </c>
      <c r="C1847" s="14" t="s">
        <v>4244</v>
      </c>
      <c r="D1847" s="96" t="s">
        <v>2072</v>
      </c>
      <c r="E1847" s="97" t="s">
        <v>2075</v>
      </c>
    </row>
    <row r="1848" spans="1:5">
      <c r="A1848" s="95">
        <v>63006</v>
      </c>
      <c r="B1848" s="95">
        <v>1</v>
      </c>
      <c r="C1848" s="14" t="s">
        <v>3713</v>
      </c>
      <c r="D1848" s="96" t="s">
        <v>2072</v>
      </c>
      <c r="E1848" s="97" t="s">
        <v>621</v>
      </c>
    </row>
    <row r="1849" spans="1:5">
      <c r="A1849" s="95">
        <v>63007</v>
      </c>
      <c r="B1849" s="95">
        <v>1</v>
      </c>
      <c r="C1849" s="14" t="s">
        <v>4245</v>
      </c>
      <c r="D1849" s="96" t="s">
        <v>2073</v>
      </c>
      <c r="E1849" s="97" t="s">
        <v>2076</v>
      </c>
    </row>
    <row r="1850" spans="1:5">
      <c r="A1850" s="95">
        <v>63008</v>
      </c>
      <c r="B1850" s="95">
        <v>1</v>
      </c>
      <c r="C1850" s="14" t="s">
        <v>3699</v>
      </c>
      <c r="D1850" s="96" t="s">
        <v>2073</v>
      </c>
      <c r="E1850" s="97" t="s">
        <v>628</v>
      </c>
    </row>
    <row r="1851" spans="1:5">
      <c r="A1851" s="49">
        <v>65001</v>
      </c>
      <c r="B1851" s="49">
        <v>1</v>
      </c>
      <c r="C1851" s="14" t="s">
        <v>4246</v>
      </c>
      <c r="D1851" s="79" t="s">
        <v>2077</v>
      </c>
      <c r="E1851" s="52" t="s">
        <v>2078</v>
      </c>
    </row>
    <row r="1852" spans="1:5">
      <c r="A1852" s="49">
        <v>65002</v>
      </c>
      <c r="B1852" s="49">
        <v>1</v>
      </c>
      <c r="C1852" s="14" t="s">
        <v>4246</v>
      </c>
      <c r="D1852" s="79" t="s">
        <v>2079</v>
      </c>
      <c r="E1852" s="52" t="s">
        <v>2078</v>
      </c>
    </row>
    <row r="1853" spans="1:5">
      <c r="A1853" s="49">
        <v>65003</v>
      </c>
      <c r="B1853" s="49">
        <v>1</v>
      </c>
      <c r="C1853" s="14" t="s">
        <v>3330</v>
      </c>
      <c r="D1853" s="79" t="s">
        <v>2080</v>
      </c>
      <c r="E1853" s="52" t="s">
        <v>1026</v>
      </c>
    </row>
    <row r="1854" spans="1:5">
      <c r="A1854" s="49">
        <v>65004</v>
      </c>
      <c r="B1854" s="49">
        <v>1</v>
      </c>
      <c r="C1854" s="14" t="s">
        <v>3382</v>
      </c>
      <c r="D1854" s="79" t="s">
        <v>2081</v>
      </c>
      <c r="E1854" s="52" t="s">
        <v>769</v>
      </c>
    </row>
    <row r="1855" spans="1:5">
      <c r="A1855" s="49">
        <v>65005</v>
      </c>
      <c r="B1855" s="49">
        <v>1</v>
      </c>
      <c r="C1855" s="14" t="s">
        <v>3700</v>
      </c>
      <c r="D1855" s="79" t="s">
        <v>2082</v>
      </c>
      <c r="E1855" s="52" t="s">
        <v>1417</v>
      </c>
    </row>
    <row r="1856" spans="1:5">
      <c r="A1856" s="49">
        <v>65006</v>
      </c>
      <c r="B1856" s="49">
        <v>1</v>
      </c>
      <c r="C1856" s="14" t="s">
        <v>4247</v>
      </c>
      <c r="D1856" s="79" t="s">
        <v>2083</v>
      </c>
      <c r="E1856" s="52" t="s">
        <v>2084</v>
      </c>
    </row>
    <row r="1857" spans="1:5">
      <c r="A1857" s="49">
        <v>65007</v>
      </c>
      <c r="B1857" s="49">
        <v>1</v>
      </c>
      <c r="C1857" s="14" t="s">
        <v>4248</v>
      </c>
      <c r="D1857" s="79" t="s">
        <v>2085</v>
      </c>
      <c r="E1857" s="52" t="s">
        <v>2086</v>
      </c>
    </row>
    <row r="1858" spans="1:5">
      <c r="A1858" s="49">
        <v>65008</v>
      </c>
      <c r="B1858" s="49">
        <v>1</v>
      </c>
      <c r="C1858" s="14" t="s">
        <v>3393</v>
      </c>
      <c r="D1858" s="79" t="s">
        <v>2087</v>
      </c>
      <c r="E1858" s="52" t="s">
        <v>1176</v>
      </c>
    </row>
    <row r="1859" spans="1:5">
      <c r="A1859" s="49">
        <v>65009</v>
      </c>
      <c r="B1859" s="49">
        <v>1</v>
      </c>
      <c r="C1859" s="14" t="s">
        <v>3840</v>
      </c>
      <c r="D1859" s="79" t="s">
        <v>2088</v>
      </c>
      <c r="E1859" s="52" t="s">
        <v>1137</v>
      </c>
    </row>
    <row r="1860" spans="1:5">
      <c r="A1860" s="49">
        <v>65010</v>
      </c>
      <c r="B1860" s="49">
        <v>1</v>
      </c>
      <c r="C1860" s="14" t="s">
        <v>4249</v>
      </c>
      <c r="D1860" s="79" t="s">
        <v>2089</v>
      </c>
      <c r="E1860" s="52" t="s">
        <v>2090</v>
      </c>
    </row>
    <row r="1861" spans="1:5">
      <c r="A1861" s="49">
        <v>65011</v>
      </c>
      <c r="B1861" s="49">
        <v>1</v>
      </c>
      <c r="C1861" s="14" t="s">
        <v>4250</v>
      </c>
      <c r="D1861" s="79" t="s">
        <v>2091</v>
      </c>
      <c r="E1861" s="52" t="s">
        <v>2092</v>
      </c>
    </row>
    <row r="1862" spans="1:5">
      <c r="A1862" s="49">
        <v>65012</v>
      </c>
      <c r="B1862" s="49">
        <v>1</v>
      </c>
      <c r="C1862" s="14" t="s">
        <v>4251</v>
      </c>
      <c r="D1862" s="79" t="s">
        <v>2093</v>
      </c>
      <c r="E1862" s="52" t="s">
        <v>2094</v>
      </c>
    </row>
    <row r="1863" spans="1:5">
      <c r="A1863" s="49">
        <v>65013</v>
      </c>
      <c r="B1863" s="49">
        <v>1</v>
      </c>
      <c r="C1863" s="14" t="s">
        <v>3328</v>
      </c>
      <c r="D1863" s="79" t="s">
        <v>2095</v>
      </c>
      <c r="E1863" s="52" t="s">
        <v>928</v>
      </c>
    </row>
    <row r="1864" spans="1:5">
      <c r="A1864" s="49">
        <v>65014</v>
      </c>
      <c r="B1864" s="49">
        <v>1</v>
      </c>
      <c r="C1864" s="14" t="s">
        <v>3758</v>
      </c>
      <c r="D1864" s="79" t="s">
        <v>2096</v>
      </c>
      <c r="E1864" s="52" t="s">
        <v>762</v>
      </c>
    </row>
    <row r="1865" spans="1:5">
      <c r="A1865" s="49">
        <v>65015</v>
      </c>
      <c r="B1865" s="49">
        <v>1</v>
      </c>
      <c r="C1865" s="14" t="s">
        <v>4252</v>
      </c>
      <c r="D1865" s="79" t="s">
        <v>2097</v>
      </c>
      <c r="E1865" s="52" t="s">
        <v>2098</v>
      </c>
    </row>
    <row r="1866" spans="1:5">
      <c r="A1866" s="49">
        <v>65016</v>
      </c>
      <c r="B1866" s="49">
        <v>1</v>
      </c>
      <c r="C1866" s="14" t="s">
        <v>4253</v>
      </c>
      <c r="D1866" s="79" t="s">
        <v>2099</v>
      </c>
      <c r="E1866" s="52" t="s">
        <v>2100</v>
      </c>
    </row>
    <row r="1867" spans="1:5">
      <c r="A1867" s="49">
        <v>65017</v>
      </c>
      <c r="B1867" s="49">
        <v>1</v>
      </c>
      <c r="C1867" s="14" t="s">
        <v>3338</v>
      </c>
      <c r="D1867" s="79" t="s">
        <v>2101</v>
      </c>
      <c r="E1867" s="52" t="s">
        <v>937</v>
      </c>
    </row>
    <row r="1868" spans="1:5">
      <c r="A1868" s="49">
        <v>65018</v>
      </c>
      <c r="B1868" s="49">
        <v>1</v>
      </c>
      <c r="C1868" s="14" t="s">
        <v>4249</v>
      </c>
      <c r="D1868" s="79" t="s">
        <v>2102</v>
      </c>
      <c r="E1868" s="52" t="s">
        <v>2090</v>
      </c>
    </row>
    <row r="1869" spans="1:5">
      <c r="A1869" s="49">
        <v>65019</v>
      </c>
      <c r="B1869" s="49">
        <v>1</v>
      </c>
      <c r="C1869" s="14" t="s">
        <v>4254</v>
      </c>
      <c r="D1869" s="79" t="s">
        <v>2103</v>
      </c>
      <c r="E1869" s="52" t="s">
        <v>2104</v>
      </c>
    </row>
    <row r="1870" spans="1:5">
      <c r="A1870" s="49">
        <v>65020</v>
      </c>
      <c r="B1870" s="49">
        <v>1</v>
      </c>
      <c r="C1870" s="14" t="s">
        <v>3863</v>
      </c>
      <c r="D1870" s="79" t="s">
        <v>2105</v>
      </c>
      <c r="E1870" s="52" t="s">
        <v>1178</v>
      </c>
    </row>
    <row r="1871" spans="1:5">
      <c r="A1871" s="49">
        <v>65021</v>
      </c>
      <c r="B1871" s="49">
        <v>1</v>
      </c>
      <c r="C1871" s="14" t="s">
        <v>4255</v>
      </c>
      <c r="D1871" s="79" t="s">
        <v>2106</v>
      </c>
      <c r="E1871" s="52" t="s">
        <v>2107</v>
      </c>
    </row>
    <row r="1872" spans="1:5">
      <c r="A1872" s="49">
        <v>65022</v>
      </c>
      <c r="B1872" s="49">
        <v>1</v>
      </c>
      <c r="C1872" s="14" t="s">
        <v>3338</v>
      </c>
      <c r="D1872" s="79" t="s">
        <v>2108</v>
      </c>
      <c r="E1872" s="52" t="s">
        <v>937</v>
      </c>
    </row>
    <row r="1873" spans="1:5">
      <c r="A1873" s="49">
        <v>65023</v>
      </c>
      <c r="B1873" s="49">
        <v>1</v>
      </c>
      <c r="C1873" s="14" t="s">
        <v>3324</v>
      </c>
      <c r="D1873" s="79" t="s">
        <v>2109</v>
      </c>
      <c r="E1873" s="52" t="s">
        <v>1377</v>
      </c>
    </row>
    <row r="1874" spans="1:5">
      <c r="A1874" s="49">
        <v>65024</v>
      </c>
      <c r="B1874" s="49">
        <v>1</v>
      </c>
      <c r="C1874" s="14" t="s">
        <v>4256</v>
      </c>
      <c r="D1874" s="79" t="s">
        <v>2110</v>
      </c>
      <c r="E1874" s="52" t="s">
        <v>2111</v>
      </c>
    </row>
    <row r="1875" spans="1:5">
      <c r="A1875" s="49">
        <v>65025</v>
      </c>
      <c r="B1875" s="49">
        <v>1</v>
      </c>
      <c r="C1875" s="14" t="s">
        <v>4257</v>
      </c>
      <c r="D1875" s="79" t="s">
        <v>2112</v>
      </c>
      <c r="E1875" s="52" t="s">
        <v>2113</v>
      </c>
    </row>
    <row r="1876" spans="1:5">
      <c r="A1876" s="49">
        <v>65026</v>
      </c>
      <c r="B1876" s="49">
        <v>1</v>
      </c>
      <c r="C1876" s="14" t="s">
        <v>4258</v>
      </c>
      <c r="D1876" s="79" t="s">
        <v>2114</v>
      </c>
      <c r="E1876" s="52" t="s">
        <v>2115</v>
      </c>
    </row>
    <row r="1877" spans="1:5">
      <c r="A1877" s="49">
        <v>65027</v>
      </c>
      <c r="B1877" s="49">
        <v>1</v>
      </c>
      <c r="C1877" s="14" t="s">
        <v>3326</v>
      </c>
      <c r="D1877" s="79" t="s">
        <v>2116</v>
      </c>
      <c r="E1877" s="52" t="s">
        <v>2117</v>
      </c>
    </row>
    <row r="1878" spans="1:5">
      <c r="A1878" s="49">
        <v>65028</v>
      </c>
      <c r="B1878" s="49">
        <v>1</v>
      </c>
      <c r="C1878" s="14" t="s">
        <v>4259</v>
      </c>
      <c r="D1878" s="79" t="s">
        <v>2118</v>
      </c>
      <c r="E1878" s="52" t="s">
        <v>2119</v>
      </c>
    </row>
    <row r="1879" spans="1:5">
      <c r="A1879" s="49">
        <v>65029</v>
      </c>
      <c r="B1879" s="49">
        <v>1</v>
      </c>
      <c r="C1879" s="14" t="s">
        <v>4249</v>
      </c>
      <c r="D1879" s="79" t="s">
        <v>2120</v>
      </c>
      <c r="E1879" s="52" t="s">
        <v>2090</v>
      </c>
    </row>
    <row r="1880" spans="1:5">
      <c r="A1880" s="49">
        <v>65030</v>
      </c>
      <c r="B1880" s="49">
        <v>1</v>
      </c>
      <c r="C1880" s="14" t="s">
        <v>3348</v>
      </c>
      <c r="D1880" s="79" t="s">
        <v>2121</v>
      </c>
      <c r="E1880" s="52" t="s">
        <v>949</v>
      </c>
    </row>
    <row r="1881" spans="1:5">
      <c r="A1881" s="92">
        <v>65801</v>
      </c>
      <c r="B1881" s="92">
        <v>1</v>
      </c>
      <c r="C1881" s="14" t="s">
        <v>3355</v>
      </c>
      <c r="D1881" s="93" t="s">
        <v>2122</v>
      </c>
      <c r="E1881" s="94" t="s">
        <v>599</v>
      </c>
    </row>
    <row r="1882" spans="1:5">
      <c r="A1882" s="92">
        <v>65802</v>
      </c>
      <c r="B1882" s="92">
        <v>1</v>
      </c>
      <c r="C1882" s="14" t="s">
        <v>3335</v>
      </c>
      <c r="D1882" s="93" t="s">
        <v>2123</v>
      </c>
      <c r="E1882" s="94" t="s">
        <v>930</v>
      </c>
    </row>
    <row r="1883" spans="1:5">
      <c r="A1883" s="92">
        <v>65803</v>
      </c>
      <c r="B1883" s="92">
        <v>1</v>
      </c>
      <c r="C1883" s="14" t="s">
        <v>4260</v>
      </c>
      <c r="D1883" s="93" t="s">
        <v>2124</v>
      </c>
      <c r="E1883" s="94" t="s">
        <v>2125</v>
      </c>
    </row>
    <row r="1884" spans="1:5">
      <c r="A1884" s="92">
        <v>65804</v>
      </c>
      <c r="B1884" s="92">
        <v>1</v>
      </c>
      <c r="C1884" s="14" t="s">
        <v>4261</v>
      </c>
      <c r="D1884" s="93" t="s">
        <v>2126</v>
      </c>
      <c r="E1884" s="94" t="s">
        <v>2127</v>
      </c>
    </row>
    <row r="1885" spans="1:5">
      <c r="A1885" s="92">
        <v>65805</v>
      </c>
      <c r="B1885" s="92">
        <v>1</v>
      </c>
      <c r="C1885" s="14" t="s">
        <v>4262</v>
      </c>
      <c r="D1885" s="93" t="s">
        <v>2128</v>
      </c>
      <c r="E1885" s="94" t="s">
        <v>2129</v>
      </c>
    </row>
    <row r="1886" spans="1:5">
      <c r="A1886" s="92">
        <v>65806</v>
      </c>
      <c r="B1886" s="92">
        <v>1</v>
      </c>
      <c r="C1886" s="14" t="s">
        <v>4263</v>
      </c>
      <c r="D1886" s="93" t="s">
        <v>2130</v>
      </c>
      <c r="E1886" s="94" t="s">
        <v>2131</v>
      </c>
    </row>
    <row r="1887" spans="1:5">
      <c r="A1887" s="92">
        <v>65807</v>
      </c>
      <c r="B1887" s="92">
        <v>1</v>
      </c>
      <c r="C1887" s="14" t="s">
        <v>4264</v>
      </c>
      <c r="D1887" s="93" t="s">
        <v>2132</v>
      </c>
      <c r="E1887" s="94" t="s">
        <v>2133</v>
      </c>
    </row>
    <row r="1888" spans="1:5">
      <c r="A1888" s="92">
        <v>65808</v>
      </c>
      <c r="B1888" s="92">
        <v>1</v>
      </c>
      <c r="C1888" s="14" t="s">
        <v>4265</v>
      </c>
      <c r="D1888" s="93" t="s">
        <v>2134</v>
      </c>
      <c r="E1888" s="94" t="s">
        <v>2135</v>
      </c>
    </row>
    <row r="1889" spans="1:5">
      <c r="A1889" s="22">
        <v>66001</v>
      </c>
      <c r="B1889" s="22">
        <v>1</v>
      </c>
      <c r="C1889" s="14" t="s">
        <v>3375</v>
      </c>
      <c r="D1889" s="23" t="s">
        <v>2136</v>
      </c>
      <c r="E1889" s="24" t="s">
        <v>787</v>
      </c>
    </row>
    <row r="1890" spans="1:5">
      <c r="A1890" s="22">
        <v>66002</v>
      </c>
      <c r="B1890" s="22">
        <v>1</v>
      </c>
      <c r="C1890" s="14" t="s">
        <v>3427</v>
      </c>
      <c r="D1890" s="23" t="s">
        <v>2137</v>
      </c>
      <c r="E1890" s="24" t="s">
        <v>49</v>
      </c>
    </row>
    <row r="1891" spans="1:5">
      <c r="A1891" s="22">
        <v>66003</v>
      </c>
      <c r="B1891" s="22">
        <v>1</v>
      </c>
      <c r="C1891" s="14" t="s">
        <v>3380</v>
      </c>
      <c r="D1891" s="23" t="s">
        <v>2138</v>
      </c>
      <c r="E1891" s="24" t="s">
        <v>811</v>
      </c>
    </row>
    <row r="1892" spans="1:5">
      <c r="A1892" s="22">
        <v>66004</v>
      </c>
      <c r="B1892" s="22">
        <v>1</v>
      </c>
      <c r="C1892" s="14" t="s">
        <v>3384</v>
      </c>
      <c r="D1892" s="23" t="s">
        <v>2139</v>
      </c>
      <c r="E1892" s="24" t="s">
        <v>838</v>
      </c>
    </row>
    <row r="1893" spans="1:5">
      <c r="A1893" s="22">
        <v>66005</v>
      </c>
      <c r="B1893" s="22">
        <v>1</v>
      </c>
      <c r="C1893" s="14" t="s">
        <v>3426</v>
      </c>
      <c r="D1893" s="23" t="s">
        <v>2140</v>
      </c>
      <c r="E1893" s="24" t="s">
        <v>47</v>
      </c>
    </row>
    <row r="1894" spans="1:5">
      <c r="A1894" s="22">
        <v>66006</v>
      </c>
      <c r="B1894" s="22">
        <v>1</v>
      </c>
      <c r="C1894" s="14" t="s">
        <v>4266</v>
      </c>
      <c r="D1894" s="23" t="s">
        <v>2141</v>
      </c>
      <c r="E1894" s="24" t="s">
        <v>2142</v>
      </c>
    </row>
    <row r="1895" spans="1:5">
      <c r="A1895" s="22">
        <v>66007</v>
      </c>
      <c r="B1895" s="22">
        <v>1</v>
      </c>
      <c r="C1895" s="14" t="s">
        <v>3425</v>
      </c>
      <c r="D1895" s="23" t="s">
        <v>2143</v>
      </c>
      <c r="E1895" s="24" t="s">
        <v>45</v>
      </c>
    </row>
    <row r="1896" spans="1:5">
      <c r="A1896" s="98">
        <v>67001</v>
      </c>
      <c r="B1896" s="98">
        <v>1</v>
      </c>
      <c r="C1896" s="14" t="s">
        <v>3834</v>
      </c>
      <c r="D1896" s="99" t="s">
        <v>2144</v>
      </c>
      <c r="E1896" s="100" t="s">
        <v>1127</v>
      </c>
    </row>
    <row r="1897" spans="1:5">
      <c r="A1897" s="98">
        <v>67002</v>
      </c>
      <c r="B1897" s="98">
        <v>1</v>
      </c>
      <c r="C1897" s="14" t="s">
        <v>3699</v>
      </c>
      <c r="D1897" s="99" t="s">
        <v>2145</v>
      </c>
      <c r="E1897" s="100" t="s">
        <v>628</v>
      </c>
    </row>
    <row r="1898" spans="1:5">
      <c r="A1898" s="98">
        <v>67003</v>
      </c>
      <c r="B1898" s="98">
        <v>1</v>
      </c>
      <c r="C1898" s="14" t="s">
        <v>3324</v>
      </c>
      <c r="D1898" s="99" t="s">
        <v>2146</v>
      </c>
      <c r="E1898" s="100" t="s">
        <v>1377</v>
      </c>
    </row>
    <row r="1899" spans="1:5">
      <c r="A1899" s="98">
        <v>67004</v>
      </c>
      <c r="B1899" s="98">
        <v>1</v>
      </c>
      <c r="C1899" s="14" t="s">
        <v>3840</v>
      </c>
      <c r="D1899" s="99" t="s">
        <v>2147</v>
      </c>
      <c r="E1899" s="100" t="s">
        <v>1137</v>
      </c>
    </row>
    <row r="1900" spans="1:5">
      <c r="A1900" s="98">
        <v>67005</v>
      </c>
      <c r="B1900" s="98">
        <v>1</v>
      </c>
      <c r="C1900" s="14" t="s">
        <v>3602</v>
      </c>
      <c r="D1900" s="99" t="s">
        <v>398</v>
      </c>
      <c r="E1900" s="100" t="s">
        <v>399</v>
      </c>
    </row>
    <row r="1901" spans="1:5">
      <c r="A1901" s="98">
        <v>67006</v>
      </c>
      <c r="B1901" s="98">
        <v>1</v>
      </c>
      <c r="C1901" s="14" t="s">
        <v>4267</v>
      </c>
      <c r="D1901" s="99" t="s">
        <v>2148</v>
      </c>
      <c r="E1901" s="100" t="s">
        <v>2149</v>
      </c>
    </row>
    <row r="1902" spans="1:5">
      <c r="A1902" s="98">
        <v>67007</v>
      </c>
      <c r="B1902" s="98">
        <v>1</v>
      </c>
      <c r="C1902" s="14" t="s">
        <v>3355</v>
      </c>
      <c r="D1902" s="99" t="s">
        <v>2145</v>
      </c>
      <c r="E1902" s="100" t="s">
        <v>599</v>
      </c>
    </row>
    <row r="1903" spans="1:5">
      <c r="A1903" s="98">
        <v>67008</v>
      </c>
      <c r="B1903" s="98">
        <v>1</v>
      </c>
      <c r="C1903" s="14" t="s">
        <v>3324</v>
      </c>
      <c r="D1903" s="99" t="s">
        <v>2146</v>
      </c>
      <c r="E1903" s="100" t="s">
        <v>1377</v>
      </c>
    </row>
    <row r="1904" spans="1:5">
      <c r="A1904" s="98">
        <v>67009</v>
      </c>
      <c r="B1904" s="98">
        <v>1</v>
      </c>
      <c r="C1904" s="14" t="s">
        <v>3840</v>
      </c>
      <c r="D1904" s="99" t="s">
        <v>2147</v>
      </c>
      <c r="E1904" s="100" t="s">
        <v>1137</v>
      </c>
    </row>
    <row r="1905" spans="1:5">
      <c r="A1905" s="98">
        <v>67010</v>
      </c>
      <c r="B1905" s="98">
        <v>1</v>
      </c>
      <c r="C1905" s="14" t="s">
        <v>4267</v>
      </c>
      <c r="D1905" s="99" t="s">
        <v>2148</v>
      </c>
      <c r="E1905" s="100" t="s">
        <v>2149</v>
      </c>
    </row>
    <row r="1906" spans="1:5">
      <c r="A1906" s="98">
        <v>67011</v>
      </c>
      <c r="B1906" s="98">
        <v>1</v>
      </c>
      <c r="C1906" s="14" t="s">
        <v>4249</v>
      </c>
      <c r="D1906" s="99" t="s">
        <v>2150</v>
      </c>
      <c r="E1906" s="100" t="s">
        <v>2090</v>
      </c>
    </row>
    <row r="1907" spans="1:5">
      <c r="A1907" s="98">
        <v>67012</v>
      </c>
      <c r="B1907" s="98">
        <v>1</v>
      </c>
      <c r="C1907" s="14" t="s">
        <v>3829</v>
      </c>
      <c r="D1907" s="99" t="s">
        <v>2146</v>
      </c>
      <c r="E1907" s="100" t="s">
        <v>1116</v>
      </c>
    </row>
    <row r="1908" spans="1:5">
      <c r="A1908" s="98">
        <v>67013</v>
      </c>
      <c r="B1908" s="98">
        <v>1</v>
      </c>
      <c r="C1908" s="14" t="s">
        <v>3703</v>
      </c>
      <c r="D1908" s="99" t="s">
        <v>2147</v>
      </c>
      <c r="E1908" s="100" t="s">
        <v>594</v>
      </c>
    </row>
    <row r="1909" spans="1:5">
      <c r="A1909" s="98">
        <v>67014</v>
      </c>
      <c r="B1909" s="101">
        <v>1</v>
      </c>
      <c r="C1909" s="14" t="s">
        <v>3812</v>
      </c>
      <c r="D1909" s="102" t="s">
        <v>1806</v>
      </c>
      <c r="E1909" s="100" t="s">
        <v>999</v>
      </c>
    </row>
    <row r="1910" spans="1:5">
      <c r="A1910" s="98">
        <v>67015</v>
      </c>
      <c r="B1910" s="98">
        <v>1</v>
      </c>
      <c r="C1910" s="14" t="s">
        <v>4268</v>
      </c>
      <c r="D1910" s="99" t="s">
        <v>2148</v>
      </c>
      <c r="E1910" s="100" t="s">
        <v>2151</v>
      </c>
    </row>
    <row r="1911" spans="1:5">
      <c r="A1911" s="98">
        <v>67016</v>
      </c>
      <c r="B1911" s="98">
        <v>1</v>
      </c>
      <c r="C1911" s="14" t="s">
        <v>3360</v>
      </c>
      <c r="D1911" s="99" t="s">
        <v>2145</v>
      </c>
      <c r="E1911" s="100" t="s">
        <v>604</v>
      </c>
    </row>
    <row r="1912" spans="1:5">
      <c r="A1912" s="98">
        <v>67017</v>
      </c>
      <c r="B1912" s="98">
        <v>1</v>
      </c>
      <c r="C1912" s="14" t="s">
        <v>3829</v>
      </c>
      <c r="D1912" s="99" t="s">
        <v>2146</v>
      </c>
      <c r="E1912" s="100" t="s">
        <v>1116</v>
      </c>
    </row>
    <row r="1913" spans="1:5">
      <c r="A1913" s="98">
        <v>67018</v>
      </c>
      <c r="B1913" s="98">
        <v>1</v>
      </c>
      <c r="C1913" s="14" t="s">
        <v>4269</v>
      </c>
      <c r="D1913" s="99" t="s">
        <v>2152</v>
      </c>
      <c r="E1913" s="100" t="s">
        <v>2153</v>
      </c>
    </row>
    <row r="1914" spans="1:5">
      <c r="A1914" s="98">
        <v>67019</v>
      </c>
      <c r="B1914" s="101">
        <v>1</v>
      </c>
      <c r="C1914" s="14" t="s">
        <v>4270</v>
      </c>
      <c r="D1914" s="102" t="s">
        <v>1806</v>
      </c>
      <c r="E1914" s="100" t="s">
        <v>2154</v>
      </c>
    </row>
    <row r="1915" spans="1:5">
      <c r="A1915" s="98">
        <v>67020</v>
      </c>
      <c r="B1915" s="98">
        <v>1</v>
      </c>
      <c r="C1915" s="14" t="s">
        <v>4268</v>
      </c>
      <c r="D1915" s="99" t="s">
        <v>2148</v>
      </c>
      <c r="E1915" s="100" t="s">
        <v>2151</v>
      </c>
    </row>
    <row r="1916" spans="1:5">
      <c r="A1916" s="98">
        <v>67021</v>
      </c>
      <c r="B1916" s="98">
        <v>1</v>
      </c>
      <c r="C1916" s="14" t="s">
        <v>3365</v>
      </c>
      <c r="D1916" s="99" t="s">
        <v>2145</v>
      </c>
      <c r="E1916" s="100" t="s">
        <v>793</v>
      </c>
    </row>
    <row r="1917" spans="1:5">
      <c r="A1917" s="98">
        <v>67022</v>
      </c>
      <c r="B1917" s="98">
        <v>1</v>
      </c>
      <c r="C1917" s="14" t="s">
        <v>4271</v>
      </c>
      <c r="D1917" s="99" t="s">
        <v>2146</v>
      </c>
      <c r="E1917" s="100" t="s">
        <v>2155</v>
      </c>
    </row>
    <row r="1918" spans="1:5">
      <c r="A1918" s="98">
        <v>67023</v>
      </c>
      <c r="B1918" s="98">
        <v>1</v>
      </c>
      <c r="C1918" s="14" t="s">
        <v>4269</v>
      </c>
      <c r="D1918" s="99" t="s">
        <v>2152</v>
      </c>
      <c r="E1918" s="100" t="s">
        <v>2153</v>
      </c>
    </row>
    <row r="1919" spans="1:5">
      <c r="A1919" s="98">
        <v>67024</v>
      </c>
      <c r="B1919" s="101">
        <v>1</v>
      </c>
      <c r="C1919" s="14" t="s">
        <v>4272</v>
      </c>
      <c r="D1919" s="102" t="s">
        <v>1806</v>
      </c>
      <c r="E1919" s="100" t="s">
        <v>2156</v>
      </c>
    </row>
    <row r="1920" spans="1:5">
      <c r="A1920" s="98">
        <v>67025</v>
      </c>
      <c r="B1920" s="101">
        <v>1</v>
      </c>
      <c r="C1920" s="14" t="s">
        <v>3885</v>
      </c>
      <c r="D1920" s="102" t="s">
        <v>1811</v>
      </c>
      <c r="E1920" s="100" t="s">
        <v>1264</v>
      </c>
    </row>
    <row r="1921" spans="1:5">
      <c r="A1921" s="98">
        <v>67026</v>
      </c>
      <c r="B1921" s="98">
        <v>1</v>
      </c>
      <c r="C1921" s="14" t="s">
        <v>3837</v>
      </c>
      <c r="D1921" s="99" t="s">
        <v>2148</v>
      </c>
      <c r="E1921" s="100" t="s">
        <v>1133</v>
      </c>
    </row>
    <row r="1922" spans="1:5">
      <c r="A1922" s="98">
        <v>67027</v>
      </c>
      <c r="B1922" s="98">
        <v>1</v>
      </c>
      <c r="C1922" s="14" t="s">
        <v>3764</v>
      </c>
      <c r="D1922" s="99" t="s">
        <v>2145</v>
      </c>
      <c r="E1922" s="100" t="s">
        <v>801</v>
      </c>
    </row>
    <row r="1923" spans="1:5">
      <c r="A1923" s="98">
        <v>67028</v>
      </c>
      <c r="B1923" s="98">
        <v>1</v>
      </c>
      <c r="C1923" s="14" t="s">
        <v>3704</v>
      </c>
      <c r="D1923" s="99" t="s">
        <v>2146</v>
      </c>
      <c r="E1923" s="100" t="s">
        <v>597</v>
      </c>
    </row>
    <row r="1924" spans="1:5">
      <c r="A1924" s="98">
        <v>67029</v>
      </c>
      <c r="B1924" s="98">
        <v>1</v>
      </c>
      <c r="C1924" s="14" t="s">
        <v>4273</v>
      </c>
      <c r="D1924" s="99" t="s">
        <v>2157</v>
      </c>
      <c r="E1924" s="100" t="s">
        <v>2158</v>
      </c>
    </row>
    <row r="1925" spans="1:5">
      <c r="A1925" s="98">
        <v>67030</v>
      </c>
      <c r="B1925" s="98">
        <v>1</v>
      </c>
      <c r="C1925" s="14" t="s">
        <v>3608</v>
      </c>
      <c r="D1925" s="103" t="s">
        <v>410</v>
      </c>
      <c r="E1925" s="100" t="s">
        <v>411</v>
      </c>
    </row>
    <row r="1926" spans="1:5">
      <c r="A1926" s="98">
        <v>67031</v>
      </c>
      <c r="B1926" s="101">
        <v>1</v>
      </c>
      <c r="C1926" s="14" t="s">
        <v>3609</v>
      </c>
      <c r="D1926" s="104" t="s">
        <v>412</v>
      </c>
      <c r="E1926" s="100" t="s">
        <v>413</v>
      </c>
    </row>
    <row r="1927" spans="1:5">
      <c r="A1927" s="98">
        <v>67032</v>
      </c>
      <c r="B1927" s="98">
        <v>1</v>
      </c>
      <c r="C1927" s="14" t="s">
        <v>3838</v>
      </c>
      <c r="D1927" s="99" t="s">
        <v>2148</v>
      </c>
      <c r="E1927" s="100" t="s">
        <v>1134</v>
      </c>
    </row>
    <row r="1928" spans="1:5">
      <c r="A1928" s="98">
        <v>67033</v>
      </c>
      <c r="B1928" s="98">
        <v>1</v>
      </c>
      <c r="C1928" s="14" t="s">
        <v>4274</v>
      </c>
      <c r="D1928" s="99" t="s">
        <v>2145</v>
      </c>
      <c r="E1928" s="100" t="s">
        <v>2159</v>
      </c>
    </row>
    <row r="1929" spans="1:5">
      <c r="A1929" s="98">
        <v>67034</v>
      </c>
      <c r="B1929" s="98">
        <v>1</v>
      </c>
      <c r="C1929" s="14" t="s">
        <v>3844</v>
      </c>
      <c r="D1929" s="99" t="s">
        <v>2147</v>
      </c>
      <c r="E1929" s="100" t="s">
        <v>1141</v>
      </c>
    </row>
    <row r="1930" spans="1:5">
      <c r="A1930" s="98">
        <v>67035</v>
      </c>
      <c r="B1930" s="98">
        <v>1</v>
      </c>
      <c r="C1930" s="14" t="s">
        <v>3549</v>
      </c>
      <c r="D1930" s="99" t="s">
        <v>292</v>
      </c>
      <c r="E1930" s="100" t="s">
        <v>293</v>
      </c>
    </row>
    <row r="1931" spans="1:5">
      <c r="A1931" s="98">
        <v>67036</v>
      </c>
      <c r="B1931" s="98">
        <v>1</v>
      </c>
      <c r="C1931" s="14" t="s">
        <v>3548</v>
      </c>
      <c r="D1931" s="99" t="s">
        <v>290</v>
      </c>
      <c r="E1931" s="100" t="s">
        <v>291</v>
      </c>
    </row>
    <row r="1932" spans="1:5">
      <c r="A1932" s="98">
        <v>67037</v>
      </c>
      <c r="B1932" s="98">
        <v>1</v>
      </c>
      <c r="C1932" s="14" t="s">
        <v>4275</v>
      </c>
      <c r="D1932" s="99" t="s">
        <v>2146</v>
      </c>
      <c r="E1932" s="100" t="s">
        <v>2160</v>
      </c>
    </row>
    <row r="1933" spans="1:5">
      <c r="A1933" s="98">
        <v>67038</v>
      </c>
      <c r="B1933" s="98">
        <v>1</v>
      </c>
      <c r="C1933" s="14" t="s">
        <v>4276</v>
      </c>
      <c r="D1933" s="99" t="s">
        <v>2147</v>
      </c>
      <c r="E1933" s="100" t="s">
        <v>2161</v>
      </c>
    </row>
    <row r="1934" spans="1:5">
      <c r="A1934" s="98">
        <v>67039</v>
      </c>
      <c r="B1934" s="98">
        <v>1</v>
      </c>
      <c r="C1934" s="14" t="s">
        <v>3720</v>
      </c>
      <c r="D1934" s="99" t="s">
        <v>2162</v>
      </c>
      <c r="E1934" s="100" t="s">
        <v>635</v>
      </c>
    </row>
    <row r="1935" spans="1:5">
      <c r="A1935" s="98">
        <v>67040</v>
      </c>
      <c r="B1935" s="98">
        <v>1</v>
      </c>
      <c r="C1935" s="14" t="s">
        <v>3550</v>
      </c>
      <c r="D1935" s="99" t="s">
        <v>294</v>
      </c>
      <c r="E1935" s="100" t="s">
        <v>295</v>
      </c>
    </row>
    <row r="1936" spans="1:5">
      <c r="A1936" s="98">
        <v>67041</v>
      </c>
      <c r="B1936" s="98">
        <v>1</v>
      </c>
      <c r="C1936" s="14" t="s">
        <v>3551</v>
      </c>
      <c r="D1936" s="99" t="s">
        <v>296</v>
      </c>
      <c r="E1936" s="100" t="s">
        <v>297</v>
      </c>
    </row>
    <row r="1937" spans="1:5">
      <c r="A1937" s="98">
        <v>67042</v>
      </c>
      <c r="B1937" s="98">
        <v>1</v>
      </c>
      <c r="C1937" s="14" t="s">
        <v>4277</v>
      </c>
      <c r="D1937" s="99" t="s">
        <v>2145</v>
      </c>
      <c r="E1937" s="100" t="s">
        <v>2163</v>
      </c>
    </row>
    <row r="1938" spans="1:5">
      <c r="A1938" s="98">
        <v>67043</v>
      </c>
      <c r="B1938" s="98">
        <v>1</v>
      </c>
      <c r="C1938" s="14" t="s">
        <v>4154</v>
      </c>
      <c r="D1938" s="99" t="s">
        <v>2164</v>
      </c>
      <c r="E1938" s="100" t="s">
        <v>1788</v>
      </c>
    </row>
    <row r="1939" spans="1:5">
      <c r="A1939" s="98">
        <v>67044</v>
      </c>
      <c r="B1939" s="98">
        <v>1</v>
      </c>
      <c r="C1939" s="14" t="s">
        <v>4278</v>
      </c>
      <c r="D1939" s="99" t="s">
        <v>2157</v>
      </c>
      <c r="E1939" s="100" t="s">
        <v>2165</v>
      </c>
    </row>
    <row r="1940" spans="1:5">
      <c r="A1940" s="98">
        <v>67045</v>
      </c>
      <c r="B1940" s="98">
        <v>1</v>
      </c>
      <c r="C1940" s="14" t="s">
        <v>3557</v>
      </c>
      <c r="D1940" s="99" t="s">
        <v>308</v>
      </c>
      <c r="E1940" s="100" t="s">
        <v>309</v>
      </c>
    </row>
    <row r="1941" spans="1:5">
      <c r="A1941" s="98">
        <v>67046</v>
      </c>
      <c r="B1941" s="98">
        <v>1</v>
      </c>
      <c r="C1941" s="14" t="s">
        <v>3556</v>
      </c>
      <c r="D1941" s="99" t="s">
        <v>306</v>
      </c>
      <c r="E1941" s="100" t="s">
        <v>307</v>
      </c>
    </row>
    <row r="1942" spans="1:5">
      <c r="A1942" s="98">
        <v>67047</v>
      </c>
      <c r="B1942" s="98">
        <v>1</v>
      </c>
      <c r="C1942" s="14" t="s">
        <v>3831</v>
      </c>
      <c r="D1942" s="99" t="s">
        <v>2146</v>
      </c>
      <c r="E1942" s="100" t="s">
        <v>1121</v>
      </c>
    </row>
    <row r="1943" spans="1:5">
      <c r="A1943" s="98">
        <v>67048</v>
      </c>
      <c r="B1943" s="98">
        <v>1</v>
      </c>
      <c r="C1943" s="14" t="s">
        <v>3730</v>
      </c>
      <c r="D1943" s="99" t="s">
        <v>2162</v>
      </c>
      <c r="E1943" s="100" t="s">
        <v>655</v>
      </c>
    </row>
    <row r="1944" spans="1:5">
      <c r="A1944" s="98">
        <v>67049</v>
      </c>
      <c r="B1944" s="98">
        <v>1</v>
      </c>
      <c r="C1944" s="14" t="s">
        <v>4279</v>
      </c>
      <c r="D1944" s="99" t="s">
        <v>2157</v>
      </c>
      <c r="E1944" s="100" t="s">
        <v>2166</v>
      </c>
    </row>
    <row r="1945" spans="1:5">
      <c r="A1945" s="98">
        <v>67050</v>
      </c>
      <c r="B1945" s="98">
        <v>1</v>
      </c>
      <c r="C1945" s="14" t="s">
        <v>3558</v>
      </c>
      <c r="D1945" s="99" t="s">
        <v>310</v>
      </c>
      <c r="E1945" s="100" t="s">
        <v>311</v>
      </c>
    </row>
    <row r="1946" spans="1:5">
      <c r="A1946" s="98">
        <v>67051</v>
      </c>
      <c r="B1946" s="98">
        <v>1</v>
      </c>
      <c r="C1946" s="14" t="s">
        <v>3559</v>
      </c>
      <c r="D1946" s="99" t="s">
        <v>312</v>
      </c>
      <c r="E1946" s="100" t="s">
        <v>313</v>
      </c>
    </row>
    <row r="1947" spans="1:5">
      <c r="A1947" s="98">
        <v>67052</v>
      </c>
      <c r="B1947" s="98">
        <v>1</v>
      </c>
      <c r="C1947" s="14" t="s">
        <v>4280</v>
      </c>
      <c r="D1947" s="99" t="s">
        <v>2145</v>
      </c>
      <c r="E1947" s="100" t="s">
        <v>2167</v>
      </c>
    </row>
    <row r="1948" spans="1:5">
      <c r="A1948" s="98">
        <v>67053</v>
      </c>
      <c r="B1948" s="98">
        <v>1</v>
      </c>
      <c r="C1948" s="14" t="s">
        <v>4281</v>
      </c>
      <c r="D1948" s="99" t="s">
        <v>2168</v>
      </c>
      <c r="E1948" s="100" t="s">
        <v>2169</v>
      </c>
    </row>
    <row r="1949" spans="1:5">
      <c r="A1949" s="98">
        <v>67054</v>
      </c>
      <c r="B1949" s="101">
        <v>1</v>
      </c>
      <c r="C1949" s="14" t="s">
        <v>4254</v>
      </c>
      <c r="D1949" s="102" t="s">
        <v>1151</v>
      </c>
      <c r="E1949" s="100" t="s">
        <v>2104</v>
      </c>
    </row>
    <row r="1950" spans="1:5">
      <c r="A1950" s="98">
        <v>67055</v>
      </c>
      <c r="B1950" s="101">
        <v>1</v>
      </c>
      <c r="C1950" s="14" t="s">
        <v>3886</v>
      </c>
      <c r="D1950" s="102" t="s">
        <v>1812</v>
      </c>
      <c r="E1950" s="100" t="s">
        <v>1266</v>
      </c>
    </row>
    <row r="1951" spans="1:5">
      <c r="A1951" s="98">
        <v>67056</v>
      </c>
      <c r="B1951" s="98">
        <v>1</v>
      </c>
      <c r="C1951" s="14" t="s">
        <v>3730</v>
      </c>
      <c r="D1951" s="99" t="s">
        <v>2162</v>
      </c>
      <c r="E1951" s="100" t="s">
        <v>655</v>
      </c>
    </row>
    <row r="1952" spans="1:5">
      <c r="A1952" s="98">
        <v>67057</v>
      </c>
      <c r="B1952" s="98">
        <v>1</v>
      </c>
      <c r="C1952" s="14" t="s">
        <v>4282</v>
      </c>
      <c r="D1952" s="99" t="s">
        <v>2150</v>
      </c>
      <c r="E1952" s="100" t="s">
        <v>2170</v>
      </c>
    </row>
    <row r="1953" spans="1:5">
      <c r="A1953" s="98">
        <v>67058</v>
      </c>
      <c r="B1953" s="98">
        <v>1</v>
      </c>
      <c r="C1953" s="14" t="s">
        <v>4141</v>
      </c>
      <c r="D1953" s="99" t="s">
        <v>2171</v>
      </c>
      <c r="E1953" s="100" t="s">
        <v>1775</v>
      </c>
    </row>
    <row r="1954" spans="1:5">
      <c r="A1954" s="98">
        <v>67059</v>
      </c>
      <c r="B1954" s="98">
        <v>1</v>
      </c>
      <c r="C1954" s="14" t="s">
        <v>4283</v>
      </c>
      <c r="D1954" s="99" t="s">
        <v>2164</v>
      </c>
      <c r="E1954" s="100" t="s">
        <v>2172</v>
      </c>
    </row>
    <row r="1955" spans="1:5">
      <c r="A1955" s="98">
        <v>67060</v>
      </c>
      <c r="B1955" s="98">
        <v>1</v>
      </c>
      <c r="C1955" s="14" t="s">
        <v>3565</v>
      </c>
      <c r="D1955" s="99" t="s">
        <v>324</v>
      </c>
      <c r="E1955" s="100" t="s">
        <v>325</v>
      </c>
    </row>
    <row r="1956" spans="1:5">
      <c r="A1956" s="98">
        <v>67061</v>
      </c>
      <c r="B1956" s="98">
        <v>1</v>
      </c>
      <c r="C1956" s="14" t="s">
        <v>3610</v>
      </c>
      <c r="D1956" s="99" t="s">
        <v>414</v>
      </c>
      <c r="E1956" s="100" t="s">
        <v>415</v>
      </c>
    </row>
    <row r="1957" spans="1:5">
      <c r="A1957" s="98">
        <v>67062</v>
      </c>
      <c r="B1957" s="98">
        <v>1</v>
      </c>
      <c r="C1957" s="14" t="s">
        <v>3611</v>
      </c>
      <c r="D1957" s="99" t="s">
        <v>416</v>
      </c>
      <c r="E1957" s="100" t="s">
        <v>417</v>
      </c>
    </row>
    <row r="1958" spans="1:5">
      <c r="A1958" s="98">
        <v>67063</v>
      </c>
      <c r="B1958" s="98">
        <v>1</v>
      </c>
      <c r="C1958" s="14" t="s">
        <v>3730</v>
      </c>
      <c r="D1958" s="99" t="s">
        <v>2162</v>
      </c>
      <c r="E1958" s="100" t="s">
        <v>655</v>
      </c>
    </row>
    <row r="1959" spans="1:5">
      <c r="A1959" s="98">
        <v>67064</v>
      </c>
      <c r="B1959" s="98">
        <v>1</v>
      </c>
      <c r="C1959" s="14" t="s">
        <v>4284</v>
      </c>
      <c r="D1959" s="99" t="s">
        <v>2157</v>
      </c>
      <c r="E1959" s="100" t="s">
        <v>2173</v>
      </c>
    </row>
    <row r="1960" spans="1:5">
      <c r="A1960" s="98">
        <v>67065</v>
      </c>
      <c r="B1960" s="98">
        <v>1</v>
      </c>
      <c r="C1960" s="14" t="s">
        <v>3564</v>
      </c>
      <c r="D1960" s="99" t="s">
        <v>322</v>
      </c>
      <c r="E1960" s="100" t="s">
        <v>323</v>
      </c>
    </row>
    <row r="1961" spans="1:5">
      <c r="A1961" s="98">
        <v>67066</v>
      </c>
      <c r="B1961" s="98">
        <v>1</v>
      </c>
      <c r="C1961" s="14" t="s">
        <v>3608</v>
      </c>
      <c r="D1961" s="103" t="s">
        <v>410</v>
      </c>
      <c r="E1961" s="100" t="s">
        <v>411</v>
      </c>
    </row>
    <row r="1962" spans="1:5">
      <c r="A1962" s="98">
        <v>67067</v>
      </c>
      <c r="B1962" s="101">
        <v>1</v>
      </c>
      <c r="C1962" s="14" t="s">
        <v>3609</v>
      </c>
      <c r="D1962" s="104" t="s">
        <v>412</v>
      </c>
      <c r="E1962" s="100" t="s">
        <v>413</v>
      </c>
    </row>
    <row r="1963" spans="1:5">
      <c r="A1963" s="98">
        <v>67068</v>
      </c>
      <c r="B1963" s="98">
        <v>1</v>
      </c>
      <c r="C1963" s="14" t="s">
        <v>4281</v>
      </c>
      <c r="D1963" s="99" t="s">
        <v>2168</v>
      </c>
      <c r="E1963" s="100" t="s">
        <v>2169</v>
      </c>
    </row>
    <row r="1964" spans="1:5">
      <c r="A1964" s="98">
        <v>67069</v>
      </c>
      <c r="B1964" s="98">
        <v>1</v>
      </c>
      <c r="C1964" s="14" t="s">
        <v>3845</v>
      </c>
      <c r="D1964" s="99" t="s">
        <v>2147</v>
      </c>
      <c r="E1964" s="100" t="s">
        <v>1142</v>
      </c>
    </row>
    <row r="1965" spans="1:5">
      <c r="A1965" s="98">
        <v>67070</v>
      </c>
      <c r="B1965" s="98">
        <v>1</v>
      </c>
      <c r="C1965" s="14" t="s">
        <v>3566</v>
      </c>
      <c r="D1965" s="99" t="s">
        <v>326</v>
      </c>
      <c r="E1965" s="100" t="s">
        <v>327</v>
      </c>
    </row>
    <row r="1966" spans="1:5">
      <c r="A1966" s="98">
        <v>67071</v>
      </c>
      <c r="B1966" s="98">
        <v>1</v>
      </c>
      <c r="C1966" s="14" t="s">
        <v>3833</v>
      </c>
      <c r="D1966" s="99" t="s">
        <v>2146</v>
      </c>
      <c r="E1966" s="100" t="s">
        <v>1125</v>
      </c>
    </row>
    <row r="1967" spans="1:5">
      <c r="A1967" s="98">
        <v>67072</v>
      </c>
      <c r="B1967" s="98">
        <v>1</v>
      </c>
      <c r="C1967" s="14" t="s">
        <v>4285</v>
      </c>
      <c r="D1967" s="99" t="s">
        <v>2145</v>
      </c>
      <c r="E1967" s="100" t="s">
        <v>2174</v>
      </c>
    </row>
    <row r="1968" spans="1:5">
      <c r="A1968" s="98">
        <v>67073</v>
      </c>
      <c r="B1968" s="98">
        <v>1</v>
      </c>
      <c r="C1968" s="14" t="s">
        <v>4141</v>
      </c>
      <c r="D1968" s="99" t="s">
        <v>2171</v>
      </c>
      <c r="E1968" s="100" t="s">
        <v>1775</v>
      </c>
    </row>
    <row r="1969" spans="1:5">
      <c r="A1969" s="98">
        <v>67074</v>
      </c>
      <c r="B1969" s="98">
        <v>1</v>
      </c>
      <c r="C1969" s="14" t="s">
        <v>3839</v>
      </c>
      <c r="D1969" s="99" t="s">
        <v>2148</v>
      </c>
      <c r="E1969" s="100" t="s">
        <v>1135</v>
      </c>
    </row>
    <row r="1970" spans="1:5">
      <c r="A1970" s="98">
        <v>67075</v>
      </c>
      <c r="B1970" s="98">
        <v>1</v>
      </c>
      <c r="C1970" s="14" t="s">
        <v>3567</v>
      </c>
      <c r="D1970" s="99" t="s">
        <v>328</v>
      </c>
      <c r="E1970" s="100" t="s">
        <v>329</v>
      </c>
    </row>
    <row r="1971" spans="1:5">
      <c r="A1971" s="98">
        <v>67076</v>
      </c>
      <c r="B1971" s="98">
        <v>1</v>
      </c>
      <c r="C1971" s="14" t="s">
        <v>4286</v>
      </c>
      <c r="D1971" s="99" t="s">
        <v>2146</v>
      </c>
      <c r="E1971" s="100" t="s">
        <v>2175</v>
      </c>
    </row>
    <row r="1972" spans="1:5">
      <c r="A1972" s="98">
        <v>67077</v>
      </c>
      <c r="B1972" s="98">
        <v>1</v>
      </c>
      <c r="C1972" s="14" t="s">
        <v>4168</v>
      </c>
      <c r="D1972" s="99" t="s">
        <v>2145</v>
      </c>
      <c r="E1972" s="100" t="s">
        <v>1838</v>
      </c>
    </row>
    <row r="1973" spans="1:5">
      <c r="A1973" s="98">
        <v>67078</v>
      </c>
      <c r="B1973" s="98">
        <v>1</v>
      </c>
      <c r="C1973" s="14" t="s">
        <v>4287</v>
      </c>
      <c r="D1973" s="99" t="s">
        <v>2164</v>
      </c>
      <c r="E1973" s="100" t="s">
        <v>2176</v>
      </c>
    </row>
    <row r="1974" spans="1:5">
      <c r="A1974" s="98">
        <v>67079</v>
      </c>
      <c r="B1974" s="101">
        <v>1</v>
      </c>
      <c r="C1974" s="14" t="s">
        <v>4288</v>
      </c>
      <c r="D1974" s="102" t="s">
        <v>1151</v>
      </c>
      <c r="E1974" s="100" t="s">
        <v>2177</v>
      </c>
    </row>
    <row r="1975" spans="1:5">
      <c r="A1975" s="49">
        <v>68001</v>
      </c>
      <c r="B1975" s="49">
        <v>1</v>
      </c>
      <c r="C1975" s="14" t="s">
        <v>3537</v>
      </c>
      <c r="D1975" s="79" t="s">
        <v>268</v>
      </c>
      <c r="E1975" s="52" t="s">
        <v>269</v>
      </c>
    </row>
    <row r="1976" spans="1:5">
      <c r="A1976" s="49">
        <v>68002</v>
      </c>
      <c r="B1976" s="49">
        <v>1</v>
      </c>
      <c r="C1976" s="14" t="s">
        <v>3536</v>
      </c>
      <c r="D1976" s="79" t="s">
        <v>266</v>
      </c>
      <c r="E1976" s="52" t="s">
        <v>267</v>
      </c>
    </row>
    <row r="1977" spans="1:5">
      <c r="A1977" s="49">
        <v>68003</v>
      </c>
      <c r="B1977" s="49">
        <v>1</v>
      </c>
      <c r="C1977" s="14" t="s">
        <v>3538</v>
      </c>
      <c r="D1977" s="79" t="s">
        <v>270</v>
      </c>
      <c r="E1977" s="52" t="s">
        <v>271</v>
      </c>
    </row>
    <row r="1978" spans="1:5">
      <c r="A1978" s="49">
        <v>68004</v>
      </c>
      <c r="B1978" s="49">
        <v>1</v>
      </c>
      <c r="C1978" s="14" t="s">
        <v>3539</v>
      </c>
      <c r="D1978" s="79" t="s">
        <v>272</v>
      </c>
      <c r="E1978" s="52" t="s">
        <v>273</v>
      </c>
    </row>
    <row r="1979" spans="1:5">
      <c r="A1979" s="49">
        <v>68005</v>
      </c>
      <c r="B1979" s="49">
        <v>1</v>
      </c>
      <c r="C1979" s="14" t="s">
        <v>3369</v>
      </c>
      <c r="D1979" s="79" t="s">
        <v>2178</v>
      </c>
      <c r="E1979" s="52" t="s">
        <v>747</v>
      </c>
    </row>
    <row r="1980" spans="1:5">
      <c r="A1980" s="49">
        <v>68006</v>
      </c>
      <c r="B1980" s="49">
        <v>1</v>
      </c>
      <c r="C1980" s="14" t="s">
        <v>3541</v>
      </c>
      <c r="D1980" s="79" t="s">
        <v>276</v>
      </c>
      <c r="E1980" s="52" t="s">
        <v>277</v>
      </c>
    </row>
    <row r="1981" spans="1:5">
      <c r="A1981" s="49">
        <v>68007</v>
      </c>
      <c r="B1981" s="49">
        <v>1</v>
      </c>
      <c r="C1981" s="14" t="s">
        <v>3540</v>
      </c>
      <c r="D1981" s="79" t="s">
        <v>274</v>
      </c>
      <c r="E1981" s="52" t="s">
        <v>275</v>
      </c>
    </row>
    <row r="1982" spans="1:5">
      <c r="A1982" s="49">
        <v>68008</v>
      </c>
      <c r="B1982" s="49">
        <v>1</v>
      </c>
      <c r="C1982" s="14" t="s">
        <v>3600</v>
      </c>
      <c r="D1982" s="79" t="s">
        <v>394</v>
      </c>
      <c r="E1982" s="52" t="s">
        <v>395</v>
      </c>
    </row>
    <row r="1983" spans="1:5">
      <c r="A1983" s="49">
        <v>68009</v>
      </c>
      <c r="B1983" s="49">
        <v>1</v>
      </c>
      <c r="C1983" s="14" t="s">
        <v>3601</v>
      </c>
      <c r="D1983" s="79" t="s">
        <v>396</v>
      </c>
      <c r="E1983" s="52" t="s">
        <v>397</v>
      </c>
    </row>
    <row r="1984" spans="1:5">
      <c r="A1984" s="49">
        <v>68010</v>
      </c>
      <c r="B1984" s="49">
        <v>1</v>
      </c>
      <c r="C1984" s="14" t="s">
        <v>3372</v>
      </c>
      <c r="D1984" s="79" t="s">
        <v>2178</v>
      </c>
      <c r="E1984" s="52" t="s">
        <v>989</v>
      </c>
    </row>
    <row r="1985" spans="1:5">
      <c r="A1985" s="49">
        <v>68011</v>
      </c>
      <c r="B1985" s="49">
        <v>1</v>
      </c>
      <c r="C1985" s="14" t="s">
        <v>3545</v>
      </c>
      <c r="D1985" s="79" t="s">
        <v>284</v>
      </c>
      <c r="E1985" s="52" t="s">
        <v>285</v>
      </c>
    </row>
    <row r="1986" spans="1:5">
      <c r="A1986" s="49">
        <v>68012</v>
      </c>
      <c r="B1986" s="49">
        <v>1</v>
      </c>
      <c r="C1986" s="14" t="s">
        <v>3544</v>
      </c>
      <c r="D1986" s="79" t="s">
        <v>282</v>
      </c>
      <c r="E1986" s="52" t="s">
        <v>283</v>
      </c>
    </row>
    <row r="1987" spans="1:5">
      <c r="A1987" s="49">
        <v>68013</v>
      </c>
      <c r="B1987" s="49">
        <v>1</v>
      </c>
      <c r="C1987" s="14" t="s">
        <v>3360</v>
      </c>
      <c r="D1987" s="79" t="s">
        <v>2145</v>
      </c>
      <c r="E1987" s="52" t="s">
        <v>604</v>
      </c>
    </row>
    <row r="1988" spans="1:5">
      <c r="A1988" s="49">
        <v>68014</v>
      </c>
      <c r="B1988" s="49">
        <v>1</v>
      </c>
      <c r="C1988" s="14" t="s">
        <v>4289</v>
      </c>
      <c r="D1988" s="79" t="s">
        <v>582</v>
      </c>
      <c r="E1988" s="52" t="s">
        <v>2179</v>
      </c>
    </row>
    <row r="1989" spans="1:5">
      <c r="A1989" s="49">
        <v>68015</v>
      </c>
      <c r="B1989" s="49">
        <v>1</v>
      </c>
      <c r="C1989" s="14" t="s">
        <v>3375</v>
      </c>
      <c r="D1989" s="79" t="s">
        <v>2178</v>
      </c>
      <c r="E1989" s="52" t="s">
        <v>787</v>
      </c>
    </row>
    <row r="1990" spans="1:5">
      <c r="A1990" s="49">
        <v>68016</v>
      </c>
      <c r="B1990" s="49">
        <v>1</v>
      </c>
      <c r="C1990" s="14" t="s">
        <v>3546</v>
      </c>
      <c r="D1990" s="79" t="s">
        <v>286</v>
      </c>
      <c r="E1990" s="52" t="s">
        <v>287</v>
      </c>
    </row>
    <row r="1991" spans="1:5">
      <c r="A1991" s="49">
        <v>68017</v>
      </c>
      <c r="B1991" s="49">
        <v>1</v>
      </c>
      <c r="C1991" s="14" t="s">
        <v>3547</v>
      </c>
      <c r="D1991" s="79" t="s">
        <v>288</v>
      </c>
      <c r="E1991" s="52" t="s">
        <v>289</v>
      </c>
    </row>
    <row r="1992" spans="1:5">
      <c r="A1992" s="49">
        <v>68018</v>
      </c>
      <c r="B1992" s="49">
        <v>1</v>
      </c>
      <c r="C1992" s="14" t="s">
        <v>4151</v>
      </c>
      <c r="D1992" s="79" t="s">
        <v>2164</v>
      </c>
      <c r="E1992" s="52" t="s">
        <v>1785</v>
      </c>
    </row>
    <row r="1993" spans="1:5">
      <c r="A1993" s="49">
        <v>68019</v>
      </c>
      <c r="B1993" s="49">
        <v>1</v>
      </c>
      <c r="C1993" s="14" t="s">
        <v>4290</v>
      </c>
      <c r="D1993" s="79" t="s">
        <v>2152</v>
      </c>
      <c r="E1993" s="52" t="s">
        <v>2180</v>
      </c>
    </row>
    <row r="1994" spans="1:5">
      <c r="A1994" s="49">
        <v>68020</v>
      </c>
      <c r="B1994" s="49">
        <v>1</v>
      </c>
      <c r="C1994" s="14" t="s">
        <v>3763</v>
      </c>
      <c r="D1994" s="79" t="s">
        <v>2178</v>
      </c>
      <c r="E1994" s="52" t="s">
        <v>799</v>
      </c>
    </row>
    <row r="1995" spans="1:5">
      <c r="A1995" s="49">
        <v>68021</v>
      </c>
      <c r="B1995" s="49">
        <v>1</v>
      </c>
      <c r="C1995" s="14" t="s">
        <v>3549</v>
      </c>
      <c r="D1995" s="79" t="s">
        <v>292</v>
      </c>
      <c r="E1995" s="52" t="s">
        <v>293</v>
      </c>
    </row>
    <row r="1996" spans="1:5">
      <c r="A1996" s="49">
        <v>68022</v>
      </c>
      <c r="B1996" s="49">
        <v>1</v>
      </c>
      <c r="C1996" s="14" t="s">
        <v>3548</v>
      </c>
      <c r="D1996" s="79" t="s">
        <v>290</v>
      </c>
      <c r="E1996" s="52" t="s">
        <v>291</v>
      </c>
    </row>
    <row r="1997" spans="1:5">
      <c r="A1997" s="49">
        <v>68023</v>
      </c>
      <c r="B1997" s="49">
        <v>1</v>
      </c>
      <c r="C1997" s="14" t="s">
        <v>3606</v>
      </c>
      <c r="D1997" s="79" t="s">
        <v>406</v>
      </c>
      <c r="E1997" s="52" t="s">
        <v>407</v>
      </c>
    </row>
    <row r="1998" spans="1:5">
      <c r="A1998" s="49">
        <v>68024</v>
      </c>
      <c r="B1998" s="49">
        <v>1</v>
      </c>
      <c r="C1998" s="14" t="s">
        <v>3607</v>
      </c>
      <c r="D1998" s="79" t="s">
        <v>408</v>
      </c>
      <c r="E1998" s="52" t="s">
        <v>409</v>
      </c>
    </row>
    <row r="1999" spans="1:5">
      <c r="A1999" s="49">
        <v>68025</v>
      </c>
      <c r="B1999" s="49">
        <v>1</v>
      </c>
      <c r="C1999" s="14" t="s">
        <v>3380</v>
      </c>
      <c r="D1999" s="79" t="s">
        <v>2178</v>
      </c>
      <c r="E1999" s="52" t="s">
        <v>811</v>
      </c>
    </row>
    <row r="2000" spans="1:5">
      <c r="A2000" s="49">
        <v>68026</v>
      </c>
      <c r="B2000" s="49">
        <v>1</v>
      </c>
      <c r="C2000" s="14" t="s">
        <v>3550</v>
      </c>
      <c r="D2000" s="79" t="s">
        <v>294</v>
      </c>
      <c r="E2000" s="52" t="s">
        <v>295</v>
      </c>
    </row>
    <row r="2001" spans="1:5">
      <c r="A2001" s="49">
        <v>68027</v>
      </c>
      <c r="B2001" s="49">
        <v>1</v>
      </c>
      <c r="C2001" s="14" t="s">
        <v>3551</v>
      </c>
      <c r="D2001" s="79" t="s">
        <v>296</v>
      </c>
      <c r="E2001" s="52" t="s">
        <v>297</v>
      </c>
    </row>
    <row r="2002" spans="1:5">
      <c r="A2002" s="49">
        <v>68028</v>
      </c>
      <c r="B2002" s="49">
        <v>1</v>
      </c>
      <c r="C2002" s="14" t="s">
        <v>3727</v>
      </c>
      <c r="D2002" s="79" t="s">
        <v>2162</v>
      </c>
      <c r="E2002" s="52" t="s">
        <v>647</v>
      </c>
    </row>
    <row r="2003" spans="1:5">
      <c r="A2003" s="49">
        <v>68029</v>
      </c>
      <c r="B2003" s="49">
        <v>1</v>
      </c>
      <c r="C2003" s="14" t="s">
        <v>3348</v>
      </c>
      <c r="D2003" s="79" t="s">
        <v>1151</v>
      </c>
      <c r="E2003" s="52" t="s">
        <v>949</v>
      </c>
    </row>
    <row r="2004" spans="1:5">
      <c r="A2004" s="49">
        <v>68030</v>
      </c>
      <c r="B2004" s="49">
        <v>1</v>
      </c>
      <c r="C2004" s="14" t="s">
        <v>3382</v>
      </c>
      <c r="D2004" s="79" t="s">
        <v>2178</v>
      </c>
      <c r="E2004" s="52" t="s">
        <v>769</v>
      </c>
    </row>
    <row r="2005" spans="1:5">
      <c r="A2005" s="1">
        <v>69001</v>
      </c>
      <c r="B2005" s="1">
        <v>1</v>
      </c>
      <c r="C2005" s="14" t="s">
        <v>3700</v>
      </c>
      <c r="D2005" s="2" t="s">
        <v>2181</v>
      </c>
      <c r="E2005" s="3" t="s">
        <v>1417</v>
      </c>
    </row>
    <row r="2006" spans="1:5">
      <c r="A2006" s="1">
        <v>69002</v>
      </c>
      <c r="B2006" s="1">
        <v>1</v>
      </c>
      <c r="C2006" s="14" t="s">
        <v>3375</v>
      </c>
      <c r="D2006" s="2" t="s">
        <v>2182</v>
      </c>
      <c r="E2006" s="3" t="s">
        <v>787</v>
      </c>
    </row>
    <row r="2007" spans="1:5">
      <c r="A2007" s="1">
        <v>69003</v>
      </c>
      <c r="B2007" s="1">
        <v>1</v>
      </c>
      <c r="C2007" s="14" t="s">
        <v>3812</v>
      </c>
      <c r="D2007" s="2" t="s">
        <v>2183</v>
      </c>
      <c r="E2007" s="3" t="s">
        <v>999</v>
      </c>
    </row>
    <row r="2008" spans="1:5">
      <c r="A2008" s="1">
        <v>69004</v>
      </c>
      <c r="B2008" s="1">
        <v>1</v>
      </c>
      <c r="C2008" s="14" t="s">
        <v>3380</v>
      </c>
      <c r="D2008" s="2" t="s">
        <v>2184</v>
      </c>
      <c r="E2008" s="3" t="s">
        <v>811</v>
      </c>
    </row>
    <row r="2009" spans="1:5">
      <c r="A2009" s="1">
        <v>69005</v>
      </c>
      <c r="B2009" s="1">
        <v>1</v>
      </c>
      <c r="C2009" s="14" t="s">
        <v>4291</v>
      </c>
      <c r="D2009" s="2" t="s">
        <v>2185</v>
      </c>
      <c r="E2009" s="3" t="s">
        <v>2186</v>
      </c>
    </row>
    <row r="2010" spans="1:5">
      <c r="A2010" s="1">
        <v>69006</v>
      </c>
      <c r="B2010" s="1">
        <v>1</v>
      </c>
      <c r="C2010" s="14" t="s">
        <v>4292</v>
      </c>
      <c r="D2010" s="2" t="s">
        <v>2187</v>
      </c>
      <c r="E2010" s="3" t="s">
        <v>2188</v>
      </c>
    </row>
    <row r="2011" spans="1:5">
      <c r="A2011" s="1">
        <v>69007</v>
      </c>
      <c r="B2011" s="1">
        <v>1</v>
      </c>
      <c r="C2011" s="14" t="s">
        <v>3733</v>
      </c>
      <c r="D2011" s="2" t="s">
        <v>2189</v>
      </c>
      <c r="E2011" s="3" t="s">
        <v>662</v>
      </c>
    </row>
    <row r="2012" spans="1:5">
      <c r="A2012" s="1">
        <v>69008</v>
      </c>
      <c r="B2012" s="1">
        <v>1</v>
      </c>
      <c r="C2012" s="14" t="s">
        <v>4293</v>
      </c>
      <c r="D2012" s="2" t="s">
        <v>1111</v>
      </c>
      <c r="E2012" s="3" t="s">
        <v>2190</v>
      </c>
    </row>
    <row r="2013" spans="1:5">
      <c r="A2013" s="1">
        <v>69009</v>
      </c>
      <c r="B2013" s="1">
        <v>1</v>
      </c>
      <c r="C2013" s="14" t="s">
        <v>3834</v>
      </c>
      <c r="D2013" s="2" t="s">
        <v>1025</v>
      </c>
      <c r="E2013" s="3" t="s">
        <v>1127</v>
      </c>
    </row>
    <row r="2014" spans="1:5">
      <c r="A2014" s="1">
        <v>69010</v>
      </c>
      <c r="B2014" s="1">
        <v>1</v>
      </c>
      <c r="C2014" s="14" t="s">
        <v>3835</v>
      </c>
      <c r="D2014" s="2" t="s">
        <v>1113</v>
      </c>
      <c r="E2014" s="3" t="s">
        <v>1129</v>
      </c>
    </row>
    <row r="2015" spans="1:5">
      <c r="A2015" s="1">
        <v>69011</v>
      </c>
      <c r="B2015" s="1">
        <v>1</v>
      </c>
      <c r="C2015" s="14" t="s">
        <v>4294</v>
      </c>
      <c r="D2015" s="2" t="s">
        <v>1114</v>
      </c>
      <c r="E2015" s="3" t="s">
        <v>2191</v>
      </c>
    </row>
    <row r="2016" spans="1:5">
      <c r="A2016" s="1">
        <v>69012</v>
      </c>
      <c r="B2016" s="1">
        <v>1</v>
      </c>
      <c r="C2016" s="14" t="s">
        <v>4268</v>
      </c>
      <c r="D2016" s="2" t="s">
        <v>2192</v>
      </c>
      <c r="E2016" s="3" t="s">
        <v>2151</v>
      </c>
    </row>
    <row r="2017" spans="1:5">
      <c r="A2017" s="1">
        <v>69013</v>
      </c>
      <c r="B2017" s="1">
        <v>1</v>
      </c>
      <c r="C2017" s="14" t="s">
        <v>3837</v>
      </c>
      <c r="D2017" s="2" t="s">
        <v>2193</v>
      </c>
      <c r="E2017" s="3" t="s">
        <v>1133</v>
      </c>
    </row>
    <row r="2018" spans="1:5">
      <c r="A2018" s="1">
        <v>69014</v>
      </c>
      <c r="B2018" s="1">
        <v>1</v>
      </c>
      <c r="C2018" s="14" t="s">
        <v>3838</v>
      </c>
      <c r="D2018" s="2" t="s">
        <v>1029</v>
      </c>
      <c r="E2018" s="3" t="s">
        <v>1134</v>
      </c>
    </row>
    <row r="2019" spans="1:5">
      <c r="A2019" s="1">
        <v>69015</v>
      </c>
      <c r="B2019" s="1">
        <v>1</v>
      </c>
      <c r="C2019" s="14" t="s">
        <v>3829</v>
      </c>
      <c r="D2019" s="2" t="s">
        <v>2194</v>
      </c>
      <c r="E2019" s="3" t="s">
        <v>1116</v>
      </c>
    </row>
    <row r="2020" spans="1:5">
      <c r="A2020" s="1">
        <v>69016</v>
      </c>
      <c r="B2020" s="1">
        <v>1</v>
      </c>
      <c r="C2020" s="14" t="s">
        <v>3704</v>
      </c>
      <c r="D2020" s="2" t="s">
        <v>2195</v>
      </c>
      <c r="E2020" s="3" t="s">
        <v>597</v>
      </c>
    </row>
    <row r="2021" spans="1:5">
      <c r="A2021" s="1">
        <v>69017</v>
      </c>
      <c r="B2021" s="1">
        <v>1</v>
      </c>
      <c r="C2021" s="14" t="s">
        <v>3830</v>
      </c>
      <c r="D2021" s="2" t="s">
        <v>2196</v>
      </c>
      <c r="E2021" s="3" t="s">
        <v>1119</v>
      </c>
    </row>
    <row r="2022" spans="1:5">
      <c r="A2022" s="1">
        <v>69018</v>
      </c>
      <c r="B2022" s="1">
        <v>1</v>
      </c>
      <c r="C2022" s="14" t="s">
        <v>3831</v>
      </c>
      <c r="D2022" s="2" t="s">
        <v>2197</v>
      </c>
      <c r="E2022" s="3" t="s">
        <v>1121</v>
      </c>
    </row>
    <row r="2023" spans="1:5">
      <c r="A2023" s="1">
        <v>69019</v>
      </c>
      <c r="B2023" s="1">
        <v>1</v>
      </c>
      <c r="C2023" s="14" t="s">
        <v>3832</v>
      </c>
      <c r="D2023" s="2" t="s">
        <v>2198</v>
      </c>
      <c r="E2023" s="3" t="s">
        <v>1123</v>
      </c>
    </row>
    <row r="2024" spans="1:5">
      <c r="A2024" s="1">
        <v>69020</v>
      </c>
      <c r="B2024" s="1">
        <v>1</v>
      </c>
      <c r="C2024" s="14" t="s">
        <v>3833</v>
      </c>
      <c r="D2024" s="2" t="s">
        <v>2199</v>
      </c>
      <c r="E2024" s="3" t="s">
        <v>1125</v>
      </c>
    </row>
    <row r="2025" spans="1:5">
      <c r="A2025" s="1">
        <v>69021</v>
      </c>
      <c r="B2025" s="1">
        <v>1</v>
      </c>
      <c r="C2025" s="14" t="s">
        <v>4295</v>
      </c>
      <c r="D2025" s="2" t="s">
        <v>2200</v>
      </c>
      <c r="E2025" s="3" t="s">
        <v>2201</v>
      </c>
    </row>
    <row r="2026" spans="1:5">
      <c r="A2026" s="1">
        <v>69022</v>
      </c>
      <c r="B2026" s="1">
        <v>1</v>
      </c>
      <c r="C2026" s="14" t="s">
        <v>4286</v>
      </c>
      <c r="D2026" s="2" t="s">
        <v>2202</v>
      </c>
      <c r="E2026" s="3" t="s">
        <v>2175</v>
      </c>
    </row>
    <row r="2027" spans="1:5">
      <c r="A2027" s="1">
        <v>69023</v>
      </c>
      <c r="B2027" s="1">
        <v>1</v>
      </c>
      <c r="C2027" s="14" t="s">
        <v>3752</v>
      </c>
      <c r="D2027" s="2" t="s">
        <v>2203</v>
      </c>
      <c r="E2027" s="3" t="s">
        <v>737</v>
      </c>
    </row>
    <row r="2028" spans="1:5">
      <c r="A2028" s="1">
        <v>69024</v>
      </c>
      <c r="B2028" s="1">
        <v>1</v>
      </c>
      <c r="C2028" s="14" t="s">
        <v>4248</v>
      </c>
      <c r="D2028" s="2" t="s">
        <v>2204</v>
      </c>
      <c r="E2028" s="3" t="s">
        <v>2086</v>
      </c>
    </row>
    <row r="2029" spans="1:5">
      <c r="A2029" s="1">
        <v>69025</v>
      </c>
      <c r="B2029" s="1">
        <v>1</v>
      </c>
      <c r="C2029" s="14" t="s">
        <v>4281</v>
      </c>
      <c r="D2029" s="2" t="s">
        <v>2205</v>
      </c>
      <c r="E2029" s="3" t="s">
        <v>2169</v>
      </c>
    </row>
    <row r="2030" spans="1:5">
      <c r="A2030" s="1">
        <v>69026</v>
      </c>
      <c r="B2030" s="1">
        <v>1</v>
      </c>
      <c r="C2030" s="14" t="s">
        <v>4252</v>
      </c>
      <c r="D2030" s="2" t="s">
        <v>2206</v>
      </c>
      <c r="E2030" s="3" t="s">
        <v>2098</v>
      </c>
    </row>
    <row r="2031" spans="1:5">
      <c r="A2031" s="1">
        <v>69027</v>
      </c>
      <c r="B2031" s="1">
        <v>1</v>
      </c>
      <c r="C2031" s="14" t="s">
        <v>4260</v>
      </c>
      <c r="D2031" s="2" t="s">
        <v>2207</v>
      </c>
      <c r="E2031" s="3" t="s">
        <v>2125</v>
      </c>
    </row>
    <row r="2032" spans="1:5">
      <c r="A2032" s="1">
        <v>69028</v>
      </c>
      <c r="B2032" s="1">
        <v>1</v>
      </c>
      <c r="C2032" s="14" t="s">
        <v>4296</v>
      </c>
      <c r="D2032" s="2" t="s">
        <v>2208</v>
      </c>
      <c r="E2032" s="3" t="s">
        <v>2209</v>
      </c>
    </row>
    <row r="2033" spans="1:5">
      <c r="A2033" s="1">
        <v>69029</v>
      </c>
      <c r="B2033" s="1">
        <v>1</v>
      </c>
      <c r="C2033" s="14" t="s">
        <v>4258</v>
      </c>
      <c r="D2033" s="2" t="s">
        <v>2210</v>
      </c>
      <c r="E2033" s="3" t="s">
        <v>2115</v>
      </c>
    </row>
    <row r="2034" spans="1:5">
      <c r="A2034" s="1">
        <v>69030</v>
      </c>
      <c r="B2034" s="1">
        <v>1</v>
      </c>
      <c r="C2034" s="14" t="s">
        <v>4262</v>
      </c>
      <c r="D2034" s="2" t="s">
        <v>2211</v>
      </c>
      <c r="E2034" s="3" t="s">
        <v>2129</v>
      </c>
    </row>
    <row r="2035" spans="1:5">
      <c r="A2035" s="1">
        <v>69031</v>
      </c>
      <c r="B2035" s="1">
        <v>1</v>
      </c>
      <c r="C2035" s="14" t="s">
        <v>4297</v>
      </c>
      <c r="D2035" s="2" t="s">
        <v>2212</v>
      </c>
      <c r="E2035" s="3" t="s">
        <v>2213</v>
      </c>
    </row>
    <row r="2036" spans="1:5">
      <c r="A2036" s="1">
        <v>69032</v>
      </c>
      <c r="B2036" s="1">
        <v>1</v>
      </c>
      <c r="C2036" s="14" t="s">
        <v>4298</v>
      </c>
      <c r="D2036" s="2" t="s">
        <v>2214</v>
      </c>
      <c r="E2036" s="3" t="s">
        <v>2215</v>
      </c>
    </row>
    <row r="2037" spans="1:5">
      <c r="A2037" s="1">
        <v>69033</v>
      </c>
      <c r="B2037" s="1">
        <v>1</v>
      </c>
      <c r="C2037" s="14" t="s">
        <v>4299</v>
      </c>
      <c r="D2037" s="2" t="s">
        <v>2216</v>
      </c>
      <c r="E2037" s="3" t="s">
        <v>2217</v>
      </c>
    </row>
    <row r="2038" spans="1:5">
      <c r="A2038" s="1">
        <v>69034</v>
      </c>
      <c r="B2038" s="1">
        <v>1</v>
      </c>
      <c r="C2038" s="14" t="s">
        <v>4300</v>
      </c>
      <c r="D2038" s="2" t="s">
        <v>998</v>
      </c>
      <c r="E2038" s="3" t="s">
        <v>2218</v>
      </c>
    </row>
    <row r="2039" spans="1:5">
      <c r="A2039" s="1">
        <v>69035</v>
      </c>
      <c r="B2039" s="1">
        <v>1</v>
      </c>
      <c r="C2039" s="14" t="s">
        <v>3812</v>
      </c>
      <c r="D2039" s="2" t="s">
        <v>2219</v>
      </c>
      <c r="E2039" s="3" t="s">
        <v>999</v>
      </c>
    </row>
    <row r="2040" spans="1:5">
      <c r="A2040" s="1">
        <v>69036</v>
      </c>
      <c r="B2040" s="1">
        <v>1</v>
      </c>
      <c r="C2040" s="14" t="s">
        <v>4301</v>
      </c>
      <c r="D2040" s="2" t="s">
        <v>2220</v>
      </c>
      <c r="E2040" s="3" t="s">
        <v>2221</v>
      </c>
    </row>
    <row r="2041" spans="1:5">
      <c r="A2041" s="1">
        <v>69037</v>
      </c>
      <c r="B2041" s="1">
        <v>1</v>
      </c>
      <c r="C2041" s="14" t="s">
        <v>4302</v>
      </c>
      <c r="D2041" s="2" t="s">
        <v>2222</v>
      </c>
      <c r="E2041" s="3" t="s">
        <v>2223</v>
      </c>
    </row>
    <row r="2042" spans="1:5">
      <c r="A2042" s="1">
        <v>69038</v>
      </c>
      <c r="B2042" s="1">
        <v>1</v>
      </c>
      <c r="C2042" s="14" t="s">
        <v>4303</v>
      </c>
      <c r="D2042" s="2" t="s">
        <v>2224</v>
      </c>
      <c r="E2042" s="3" t="s">
        <v>2225</v>
      </c>
    </row>
    <row r="2043" spans="1:5">
      <c r="A2043" s="1">
        <v>69039</v>
      </c>
      <c r="B2043" s="1">
        <v>1</v>
      </c>
      <c r="C2043" s="14" t="s">
        <v>3613</v>
      </c>
      <c r="D2043" s="2" t="s">
        <v>2226</v>
      </c>
      <c r="E2043" s="3" t="s">
        <v>421</v>
      </c>
    </row>
    <row r="2044" spans="1:5">
      <c r="A2044" s="1">
        <v>69040</v>
      </c>
      <c r="B2044" s="1">
        <v>1</v>
      </c>
      <c r="C2044" s="14" t="s">
        <v>3336</v>
      </c>
      <c r="D2044" s="2" t="s">
        <v>2227</v>
      </c>
      <c r="E2044" s="3" t="s">
        <v>2228</v>
      </c>
    </row>
    <row r="2045" spans="1:5">
      <c r="A2045" s="1">
        <v>69041</v>
      </c>
      <c r="B2045" s="1">
        <v>1</v>
      </c>
      <c r="C2045" s="14" t="s">
        <v>4269</v>
      </c>
      <c r="D2045" s="2" t="s">
        <v>2229</v>
      </c>
      <c r="E2045" s="3" t="s">
        <v>2153</v>
      </c>
    </row>
    <row r="2046" spans="1:5">
      <c r="A2046" s="1">
        <v>69042</v>
      </c>
      <c r="B2046" s="1">
        <v>1</v>
      </c>
      <c r="C2046" s="14" t="s">
        <v>4304</v>
      </c>
      <c r="D2046" s="2" t="s">
        <v>2230</v>
      </c>
      <c r="E2046" s="3" t="s">
        <v>2231</v>
      </c>
    </row>
    <row r="2047" spans="1:5">
      <c r="A2047" s="1">
        <v>69043</v>
      </c>
      <c r="B2047" s="1">
        <v>1</v>
      </c>
      <c r="C2047" s="14" t="s">
        <v>4290</v>
      </c>
      <c r="D2047" s="2" t="s">
        <v>2232</v>
      </c>
      <c r="E2047" s="3" t="s">
        <v>2180</v>
      </c>
    </row>
    <row r="2048" spans="1:5">
      <c r="A2048" s="1">
        <v>69044</v>
      </c>
      <c r="B2048" s="1">
        <v>1</v>
      </c>
      <c r="C2048" s="14" t="s">
        <v>4305</v>
      </c>
      <c r="D2048" s="2" t="s">
        <v>2233</v>
      </c>
      <c r="E2048" s="3" t="s">
        <v>2234</v>
      </c>
    </row>
    <row r="2049" spans="1:5">
      <c r="A2049" s="1">
        <v>69045</v>
      </c>
      <c r="B2049" s="1">
        <v>1</v>
      </c>
      <c r="C2049" s="14" t="s">
        <v>4306</v>
      </c>
      <c r="D2049" s="2" t="s">
        <v>2235</v>
      </c>
      <c r="E2049" s="3" t="s">
        <v>2236</v>
      </c>
    </row>
    <row r="2050" spans="1:5">
      <c r="A2050" s="1">
        <v>69046</v>
      </c>
      <c r="B2050" s="1">
        <v>1</v>
      </c>
      <c r="C2050" s="14" t="s">
        <v>4307</v>
      </c>
      <c r="D2050" s="2" t="s">
        <v>891</v>
      </c>
      <c r="E2050" s="3" t="s">
        <v>2237</v>
      </c>
    </row>
    <row r="2051" spans="1:5">
      <c r="A2051" s="1">
        <v>69047</v>
      </c>
      <c r="B2051" s="1">
        <v>1</v>
      </c>
      <c r="C2051" s="14" t="s">
        <v>4308</v>
      </c>
      <c r="D2051" s="2" t="s">
        <v>895</v>
      </c>
      <c r="E2051" s="3" t="s">
        <v>2238</v>
      </c>
    </row>
    <row r="2052" spans="1:5">
      <c r="A2052" s="1">
        <v>69048</v>
      </c>
      <c r="B2052" s="1">
        <v>1</v>
      </c>
      <c r="C2052" s="14" t="s">
        <v>4309</v>
      </c>
      <c r="D2052" s="2" t="s">
        <v>899</v>
      </c>
      <c r="E2052" s="3" t="s">
        <v>2239</v>
      </c>
    </row>
    <row r="2053" spans="1:5">
      <c r="A2053" s="1">
        <v>69049</v>
      </c>
      <c r="B2053" s="1">
        <v>1</v>
      </c>
      <c r="C2053" s="14" t="s">
        <v>4122</v>
      </c>
      <c r="D2053" s="2" t="s">
        <v>901</v>
      </c>
      <c r="E2053" s="3" t="s">
        <v>1735</v>
      </c>
    </row>
    <row r="2054" spans="1:5">
      <c r="A2054" s="1">
        <v>69050</v>
      </c>
      <c r="B2054" s="1">
        <v>1</v>
      </c>
      <c r="C2054" s="14" t="s">
        <v>4141</v>
      </c>
      <c r="D2054" s="2" t="s">
        <v>903</v>
      </c>
      <c r="E2054" s="3" t="s">
        <v>1775</v>
      </c>
    </row>
    <row r="2055" spans="1:5">
      <c r="A2055" s="1">
        <v>69051</v>
      </c>
      <c r="B2055" s="1">
        <v>1</v>
      </c>
      <c r="C2055" s="14" t="s">
        <v>4148</v>
      </c>
      <c r="D2055" s="2" t="s">
        <v>905</v>
      </c>
      <c r="E2055" s="3" t="s">
        <v>1782</v>
      </c>
    </row>
    <row r="2056" spans="1:5">
      <c r="A2056" s="1">
        <v>69052</v>
      </c>
      <c r="B2056" s="1">
        <v>1</v>
      </c>
      <c r="C2056" s="14" t="s">
        <v>3789</v>
      </c>
      <c r="D2056" s="2" t="s">
        <v>909</v>
      </c>
      <c r="E2056" s="3" t="s">
        <v>890</v>
      </c>
    </row>
    <row r="2057" spans="1:5">
      <c r="A2057" s="1">
        <v>69053</v>
      </c>
      <c r="B2057" s="1">
        <v>1</v>
      </c>
      <c r="C2057" s="14" t="s">
        <v>3382</v>
      </c>
      <c r="D2057" s="2" t="s">
        <v>2240</v>
      </c>
      <c r="E2057" s="3" t="s">
        <v>769</v>
      </c>
    </row>
    <row r="2058" spans="1:5">
      <c r="A2058" s="1">
        <v>69054</v>
      </c>
      <c r="B2058" s="1">
        <v>1</v>
      </c>
      <c r="C2058" s="14" t="s">
        <v>4266</v>
      </c>
      <c r="D2058" s="2" t="s">
        <v>2241</v>
      </c>
      <c r="E2058" s="3" t="s">
        <v>2142</v>
      </c>
    </row>
    <row r="2059" spans="1:5">
      <c r="A2059" s="1">
        <v>69055</v>
      </c>
      <c r="B2059" s="1">
        <v>1</v>
      </c>
      <c r="C2059" s="14" t="s">
        <v>3393</v>
      </c>
      <c r="D2059" s="2" t="s">
        <v>2242</v>
      </c>
      <c r="E2059" s="3" t="s">
        <v>1176</v>
      </c>
    </row>
    <row r="2060" spans="1:5">
      <c r="A2060" s="1">
        <v>69056</v>
      </c>
      <c r="B2060" s="1">
        <v>1</v>
      </c>
      <c r="C2060" s="14" t="s">
        <v>4310</v>
      </c>
      <c r="D2060" s="2" t="s">
        <v>2243</v>
      </c>
      <c r="E2060" s="3" t="s">
        <v>2244</v>
      </c>
    </row>
    <row r="2061" spans="1:5">
      <c r="A2061" s="1">
        <v>69057</v>
      </c>
      <c r="B2061" s="1">
        <v>1</v>
      </c>
      <c r="C2061" s="14" t="s">
        <v>4251</v>
      </c>
      <c r="D2061" s="2" t="s">
        <v>2245</v>
      </c>
      <c r="E2061" s="3" t="s">
        <v>2094</v>
      </c>
    </row>
    <row r="2062" spans="1:5">
      <c r="A2062" s="1">
        <v>69058</v>
      </c>
      <c r="B2062" s="1">
        <v>1</v>
      </c>
      <c r="C2062" s="14" t="s">
        <v>4311</v>
      </c>
      <c r="D2062" s="2" t="s">
        <v>2246</v>
      </c>
      <c r="E2062" s="3" t="s">
        <v>2247</v>
      </c>
    </row>
    <row r="2063" spans="1:5">
      <c r="A2063" s="1">
        <v>69059</v>
      </c>
      <c r="B2063" s="1">
        <v>1</v>
      </c>
      <c r="C2063" s="14" t="s">
        <v>4253</v>
      </c>
      <c r="D2063" s="2" t="s">
        <v>2248</v>
      </c>
      <c r="E2063" s="3" t="s">
        <v>2100</v>
      </c>
    </row>
    <row r="2064" spans="1:5">
      <c r="A2064" s="1">
        <v>69060</v>
      </c>
      <c r="B2064" s="1">
        <v>1</v>
      </c>
      <c r="C2064" s="14" t="s">
        <v>4140</v>
      </c>
      <c r="D2064" s="2" t="s">
        <v>2249</v>
      </c>
      <c r="E2064" s="3" t="s">
        <v>1774</v>
      </c>
    </row>
    <row r="2065" spans="1:5">
      <c r="A2065" s="1">
        <v>69061</v>
      </c>
      <c r="B2065" s="1">
        <v>1</v>
      </c>
      <c r="C2065" s="14" t="s">
        <v>4144</v>
      </c>
      <c r="D2065" s="2" t="s">
        <v>2250</v>
      </c>
      <c r="E2065" s="3" t="s">
        <v>1778</v>
      </c>
    </row>
    <row r="2066" spans="1:5">
      <c r="A2066" s="1">
        <v>69062</v>
      </c>
      <c r="B2066" s="1">
        <v>1</v>
      </c>
      <c r="C2066" s="14" t="s">
        <v>3719</v>
      </c>
      <c r="D2066" s="2" t="s">
        <v>2251</v>
      </c>
      <c r="E2066" s="3" t="s">
        <v>633</v>
      </c>
    </row>
    <row r="2067" spans="1:5">
      <c r="A2067" s="1">
        <v>69063</v>
      </c>
      <c r="B2067" s="1">
        <v>1</v>
      </c>
      <c r="C2067" s="14" t="s">
        <v>4151</v>
      </c>
      <c r="D2067" s="2" t="s">
        <v>2252</v>
      </c>
      <c r="E2067" s="3" t="s">
        <v>1785</v>
      </c>
    </row>
    <row r="2068" spans="1:5">
      <c r="A2068" s="1">
        <v>69064</v>
      </c>
      <c r="B2068" s="1">
        <v>1</v>
      </c>
      <c r="C2068" s="14" t="s">
        <v>4154</v>
      </c>
      <c r="D2068" s="2" t="s">
        <v>2253</v>
      </c>
      <c r="E2068" s="3" t="s">
        <v>1788</v>
      </c>
    </row>
    <row r="2069" spans="1:5">
      <c r="A2069" s="1">
        <v>69065</v>
      </c>
      <c r="B2069" s="1">
        <v>1</v>
      </c>
      <c r="C2069" s="14" t="s">
        <v>4158</v>
      </c>
      <c r="D2069" s="2" t="s">
        <v>2254</v>
      </c>
      <c r="E2069" s="3" t="s">
        <v>1792</v>
      </c>
    </row>
    <row r="2070" spans="1:5">
      <c r="A2070" s="1">
        <v>69066</v>
      </c>
      <c r="B2070" s="1">
        <v>1</v>
      </c>
      <c r="C2070" s="14" t="s">
        <v>4312</v>
      </c>
      <c r="D2070" s="2" t="s">
        <v>2255</v>
      </c>
      <c r="E2070" s="3" t="s">
        <v>2256</v>
      </c>
    </row>
    <row r="2071" spans="1:5">
      <c r="A2071" s="1">
        <v>69067</v>
      </c>
      <c r="B2071" s="1">
        <v>1</v>
      </c>
      <c r="C2071" s="14" t="s">
        <v>4313</v>
      </c>
      <c r="D2071" s="2" t="s">
        <v>2257</v>
      </c>
      <c r="E2071" s="3" t="s">
        <v>2258</v>
      </c>
    </row>
    <row r="2072" spans="1:5">
      <c r="A2072" s="1">
        <v>69068</v>
      </c>
      <c r="B2072" s="1">
        <v>1</v>
      </c>
      <c r="C2072" s="14" t="s">
        <v>4314</v>
      </c>
      <c r="D2072" s="2" t="s">
        <v>2259</v>
      </c>
      <c r="E2072" s="3" t="s">
        <v>2260</v>
      </c>
    </row>
    <row r="2073" spans="1:5">
      <c r="A2073" s="1">
        <v>69069</v>
      </c>
      <c r="B2073" s="1">
        <v>1</v>
      </c>
      <c r="C2073" s="14" t="s">
        <v>4315</v>
      </c>
      <c r="D2073" s="2" t="s">
        <v>2261</v>
      </c>
      <c r="E2073" s="3" t="s">
        <v>2262</v>
      </c>
    </row>
    <row r="2074" spans="1:5">
      <c r="A2074" s="1">
        <v>69070</v>
      </c>
      <c r="B2074" s="1">
        <v>1</v>
      </c>
      <c r="C2074" s="14" t="s">
        <v>4316</v>
      </c>
      <c r="D2074" s="2" t="s">
        <v>2263</v>
      </c>
      <c r="E2074" s="3" t="s">
        <v>2264</v>
      </c>
    </row>
    <row r="2075" spans="1:5">
      <c r="A2075" s="1">
        <v>69071</v>
      </c>
      <c r="B2075" s="1">
        <v>1</v>
      </c>
      <c r="C2075" s="14" t="s">
        <v>4250</v>
      </c>
      <c r="D2075" s="2" t="s">
        <v>2265</v>
      </c>
      <c r="E2075" s="3" t="s">
        <v>2092</v>
      </c>
    </row>
    <row r="2076" spans="1:5">
      <c r="A2076" s="1">
        <v>69072</v>
      </c>
      <c r="B2076" s="1">
        <v>1</v>
      </c>
      <c r="C2076" s="14" t="s">
        <v>4257</v>
      </c>
      <c r="D2076" s="2" t="s">
        <v>2266</v>
      </c>
      <c r="E2076" s="3" t="s">
        <v>2113</v>
      </c>
    </row>
    <row r="2077" spans="1:5">
      <c r="A2077" s="1">
        <v>69073</v>
      </c>
      <c r="B2077" s="1">
        <v>1</v>
      </c>
      <c r="C2077" s="14" t="s">
        <v>3355</v>
      </c>
      <c r="D2077" s="2" t="s">
        <v>2267</v>
      </c>
      <c r="E2077" s="3" t="s">
        <v>599</v>
      </c>
    </row>
    <row r="2078" spans="1:5">
      <c r="A2078" s="1">
        <v>69074</v>
      </c>
      <c r="B2078" s="1">
        <v>1</v>
      </c>
      <c r="C2078" s="14" t="s">
        <v>3729</v>
      </c>
      <c r="D2078" s="2" t="s">
        <v>2268</v>
      </c>
      <c r="E2078" s="3" t="s">
        <v>653</v>
      </c>
    </row>
    <row r="2079" spans="1:5">
      <c r="A2079" s="1">
        <v>69075</v>
      </c>
      <c r="B2079" s="1">
        <v>1</v>
      </c>
      <c r="C2079" s="14" t="s">
        <v>3360</v>
      </c>
      <c r="D2079" s="2" t="s">
        <v>2269</v>
      </c>
      <c r="E2079" s="3" t="s">
        <v>604</v>
      </c>
    </row>
    <row r="2080" spans="1:5">
      <c r="A2080" s="1">
        <v>69076</v>
      </c>
      <c r="B2080" s="1">
        <v>1</v>
      </c>
      <c r="C2080" s="14" t="s">
        <v>3760</v>
      </c>
      <c r="D2080" s="2" t="s">
        <v>2270</v>
      </c>
      <c r="E2080" s="3" t="s">
        <v>789</v>
      </c>
    </row>
    <row r="2081" spans="1:5">
      <c r="A2081" s="1">
        <v>69077</v>
      </c>
      <c r="B2081" s="1">
        <v>1</v>
      </c>
      <c r="C2081" s="14" t="s">
        <v>3365</v>
      </c>
      <c r="D2081" s="2" t="s">
        <v>2271</v>
      </c>
      <c r="E2081" s="3" t="s">
        <v>793</v>
      </c>
    </row>
    <row r="2082" spans="1:5">
      <c r="A2082" s="1">
        <v>69078</v>
      </c>
      <c r="B2082" s="1">
        <v>1</v>
      </c>
      <c r="C2082" s="14" t="s">
        <v>3764</v>
      </c>
      <c r="D2082" s="2" t="s">
        <v>2272</v>
      </c>
      <c r="E2082" s="3" t="s">
        <v>801</v>
      </c>
    </row>
    <row r="2083" spans="1:5">
      <c r="A2083" s="1">
        <v>69079</v>
      </c>
      <c r="B2083" s="1">
        <v>1</v>
      </c>
      <c r="C2083" s="14" t="s">
        <v>3768</v>
      </c>
      <c r="D2083" s="2" t="s">
        <v>2273</v>
      </c>
      <c r="E2083" s="3" t="s">
        <v>809</v>
      </c>
    </row>
    <row r="2084" spans="1:5">
      <c r="A2084" s="1">
        <v>69080</v>
      </c>
      <c r="B2084" s="1">
        <v>1</v>
      </c>
      <c r="C2084" s="14" t="s">
        <v>4317</v>
      </c>
      <c r="D2084" s="2" t="s">
        <v>2274</v>
      </c>
      <c r="E2084" s="3" t="s">
        <v>2275</v>
      </c>
    </row>
    <row r="2085" spans="1:5">
      <c r="A2085" s="1">
        <v>69081</v>
      </c>
      <c r="B2085" s="1">
        <v>1</v>
      </c>
      <c r="C2085" s="14" t="s">
        <v>3328</v>
      </c>
      <c r="D2085" s="2" t="s">
        <v>2276</v>
      </c>
      <c r="E2085" s="3" t="s">
        <v>928</v>
      </c>
    </row>
    <row r="2086" spans="1:5">
      <c r="A2086" s="1">
        <v>69082</v>
      </c>
      <c r="B2086" s="1">
        <v>1</v>
      </c>
      <c r="C2086" s="14" t="s">
        <v>4255</v>
      </c>
      <c r="D2086" s="2" t="s">
        <v>2277</v>
      </c>
      <c r="E2086" s="3" t="s">
        <v>2107</v>
      </c>
    </row>
    <row r="2087" spans="1:5">
      <c r="A2087" s="1">
        <v>69083</v>
      </c>
      <c r="B2087" s="1">
        <v>1</v>
      </c>
      <c r="C2087" s="14" t="s">
        <v>3720</v>
      </c>
      <c r="D2087" s="2" t="s">
        <v>2278</v>
      </c>
      <c r="E2087" s="3" t="s">
        <v>635</v>
      </c>
    </row>
    <row r="2088" spans="1:5">
      <c r="A2088" s="1">
        <v>69084</v>
      </c>
      <c r="B2088" s="1">
        <v>1</v>
      </c>
      <c r="C2088" s="14" t="s">
        <v>3727</v>
      </c>
      <c r="D2088" s="2" t="s">
        <v>2279</v>
      </c>
      <c r="E2088" s="3" t="s">
        <v>647</v>
      </c>
    </row>
    <row r="2089" spans="1:5">
      <c r="A2089" s="1">
        <v>69085</v>
      </c>
      <c r="B2089" s="1">
        <v>1</v>
      </c>
      <c r="C2089" s="14" t="s">
        <v>3730</v>
      </c>
      <c r="D2089" s="2" t="s">
        <v>2280</v>
      </c>
      <c r="E2089" s="3" t="s">
        <v>655</v>
      </c>
    </row>
    <row r="2090" spans="1:5">
      <c r="A2090" s="1">
        <v>69086</v>
      </c>
      <c r="B2090" s="1">
        <v>1</v>
      </c>
      <c r="C2090" s="14" t="s">
        <v>3733</v>
      </c>
      <c r="D2090" s="2" t="s">
        <v>2281</v>
      </c>
      <c r="E2090" s="3" t="s">
        <v>662</v>
      </c>
    </row>
    <row r="2091" spans="1:5">
      <c r="A2091" s="1">
        <v>69087</v>
      </c>
      <c r="B2091" s="1">
        <v>1</v>
      </c>
      <c r="C2091" s="14" t="s">
        <v>4318</v>
      </c>
      <c r="D2091" s="2" t="s">
        <v>2282</v>
      </c>
      <c r="E2091" s="3" t="s">
        <v>2283</v>
      </c>
    </row>
    <row r="2092" spans="1:5">
      <c r="A2092" s="1">
        <v>69088</v>
      </c>
      <c r="B2092" s="1">
        <v>1</v>
      </c>
      <c r="C2092" s="14" t="s">
        <v>4319</v>
      </c>
      <c r="D2092" s="2" t="s">
        <v>2284</v>
      </c>
      <c r="E2092" s="3" t="s">
        <v>2285</v>
      </c>
    </row>
    <row r="2093" spans="1:5">
      <c r="A2093" s="1">
        <v>69089</v>
      </c>
      <c r="B2093" s="1">
        <v>1</v>
      </c>
      <c r="C2093" s="14" t="s">
        <v>3375</v>
      </c>
      <c r="D2093" s="2" t="s">
        <v>2286</v>
      </c>
      <c r="E2093" s="3" t="s">
        <v>787</v>
      </c>
    </row>
    <row r="2094" spans="1:5">
      <c r="A2094" s="1">
        <v>69090</v>
      </c>
      <c r="B2094" s="1">
        <v>1</v>
      </c>
      <c r="C2094" s="14" t="s">
        <v>3767</v>
      </c>
      <c r="D2094" s="2" t="s">
        <v>2287</v>
      </c>
      <c r="E2094" s="3" t="s">
        <v>807</v>
      </c>
    </row>
    <row r="2095" spans="1:5">
      <c r="A2095" s="1">
        <v>69091</v>
      </c>
      <c r="B2095" s="1">
        <v>1</v>
      </c>
      <c r="C2095" s="14" t="s">
        <v>3382</v>
      </c>
      <c r="D2095" s="2" t="s">
        <v>2288</v>
      </c>
      <c r="E2095" s="3" t="s">
        <v>769</v>
      </c>
    </row>
    <row r="2096" spans="1:5">
      <c r="A2096" s="1">
        <v>69092</v>
      </c>
      <c r="B2096" s="1">
        <v>1</v>
      </c>
      <c r="C2096" s="14" t="s">
        <v>3775</v>
      </c>
      <c r="D2096" s="2" t="s">
        <v>2289</v>
      </c>
      <c r="E2096" s="3" t="s">
        <v>841</v>
      </c>
    </row>
    <row r="2097" spans="1:5">
      <c r="A2097" s="1">
        <v>69093</v>
      </c>
      <c r="B2097" s="1">
        <v>1</v>
      </c>
      <c r="C2097" s="14" t="s">
        <v>4320</v>
      </c>
      <c r="D2097" s="2" t="s">
        <v>2290</v>
      </c>
      <c r="E2097" s="3" t="s">
        <v>2291</v>
      </c>
    </row>
    <row r="2098" spans="1:5">
      <c r="A2098" s="1">
        <v>69094</v>
      </c>
      <c r="B2098" s="1">
        <v>1</v>
      </c>
      <c r="C2098" s="14" t="s">
        <v>4321</v>
      </c>
      <c r="D2098" s="2" t="s">
        <v>2292</v>
      </c>
      <c r="E2098" s="3" t="s">
        <v>2293</v>
      </c>
    </row>
    <row r="2099" spans="1:5">
      <c r="A2099" s="1">
        <v>69095</v>
      </c>
      <c r="B2099" s="1">
        <v>1</v>
      </c>
      <c r="C2099" s="14" t="s">
        <v>4322</v>
      </c>
      <c r="D2099" s="2" t="s">
        <v>2294</v>
      </c>
      <c r="E2099" s="3" t="s">
        <v>2295</v>
      </c>
    </row>
    <row r="2100" spans="1:5">
      <c r="A2100" s="1">
        <v>69096</v>
      </c>
      <c r="B2100" s="1">
        <v>1</v>
      </c>
      <c r="C2100" s="14" t="s">
        <v>3703</v>
      </c>
      <c r="D2100" s="2" t="s">
        <v>718</v>
      </c>
      <c r="E2100" s="3" t="s">
        <v>594</v>
      </c>
    </row>
    <row r="2101" spans="1:5">
      <c r="A2101" s="1">
        <v>69097</v>
      </c>
      <c r="B2101" s="1">
        <v>1</v>
      </c>
      <c r="C2101" s="14" t="s">
        <v>3844</v>
      </c>
      <c r="D2101" s="2" t="s">
        <v>2296</v>
      </c>
      <c r="E2101" s="3" t="s">
        <v>1141</v>
      </c>
    </row>
    <row r="2102" spans="1:5">
      <c r="A2102" s="1">
        <v>69098</v>
      </c>
      <c r="B2102" s="1">
        <v>1</v>
      </c>
      <c r="C2102" s="14" t="s">
        <v>4323</v>
      </c>
      <c r="D2102" s="2" t="s">
        <v>2297</v>
      </c>
      <c r="E2102" s="3" t="s">
        <v>2298</v>
      </c>
    </row>
    <row r="2103" spans="1:5">
      <c r="A2103" s="1">
        <v>69099</v>
      </c>
      <c r="B2103" s="1">
        <v>1</v>
      </c>
      <c r="C2103" s="14" t="s">
        <v>3845</v>
      </c>
      <c r="D2103" s="2" t="s">
        <v>2299</v>
      </c>
      <c r="E2103" s="3" t="s">
        <v>1142</v>
      </c>
    </row>
    <row r="2104" spans="1:5">
      <c r="A2104" s="1">
        <v>69100</v>
      </c>
      <c r="B2104" s="1">
        <v>1</v>
      </c>
      <c r="C2104" s="14" t="s">
        <v>4324</v>
      </c>
      <c r="D2104" s="2" t="s">
        <v>2300</v>
      </c>
      <c r="E2104" s="3" t="s">
        <v>2301</v>
      </c>
    </row>
    <row r="2105" spans="1:5">
      <c r="A2105" s="1">
        <v>69101</v>
      </c>
      <c r="B2105" s="1">
        <v>1</v>
      </c>
      <c r="C2105" s="14" t="s">
        <v>4325</v>
      </c>
      <c r="D2105" s="2" t="s">
        <v>2302</v>
      </c>
      <c r="E2105" s="3" t="s">
        <v>2303</v>
      </c>
    </row>
    <row r="2106" spans="1:5">
      <c r="A2106" s="1">
        <v>69102</v>
      </c>
      <c r="B2106" s="1">
        <v>1</v>
      </c>
      <c r="C2106" s="14" t="s">
        <v>4326</v>
      </c>
      <c r="D2106" s="2" t="s">
        <v>2304</v>
      </c>
      <c r="E2106" s="3" t="s">
        <v>2305</v>
      </c>
    </row>
    <row r="2107" spans="1:5">
      <c r="A2107" s="1">
        <v>69103</v>
      </c>
      <c r="B2107" s="1">
        <v>1</v>
      </c>
      <c r="C2107" s="14" t="s">
        <v>4327</v>
      </c>
      <c r="D2107" s="2" t="s">
        <v>2306</v>
      </c>
      <c r="E2107" s="3" t="s">
        <v>2307</v>
      </c>
    </row>
    <row r="2108" spans="1:5">
      <c r="A2108" s="1">
        <v>69104</v>
      </c>
      <c r="B2108" s="1">
        <v>1</v>
      </c>
      <c r="C2108" s="14" t="s">
        <v>3702</v>
      </c>
      <c r="D2108" s="2" t="s">
        <v>2308</v>
      </c>
      <c r="E2108" s="3" t="s">
        <v>935</v>
      </c>
    </row>
    <row r="2109" spans="1:5">
      <c r="A2109" s="1">
        <v>69105</v>
      </c>
      <c r="B2109" s="1">
        <v>1</v>
      </c>
      <c r="C2109" s="14" t="s">
        <v>3758</v>
      </c>
      <c r="D2109" s="2" t="s">
        <v>2309</v>
      </c>
      <c r="E2109" s="3" t="s">
        <v>762</v>
      </c>
    </row>
    <row r="2110" spans="1:5">
      <c r="A2110" s="1">
        <v>69106</v>
      </c>
      <c r="B2110" s="1">
        <v>1</v>
      </c>
      <c r="C2110" s="14" t="s">
        <v>4254</v>
      </c>
      <c r="D2110" s="2" t="s">
        <v>2310</v>
      </c>
      <c r="E2110" s="3" t="s">
        <v>2104</v>
      </c>
    </row>
    <row r="2111" spans="1:5">
      <c r="A2111" s="1">
        <v>69107</v>
      </c>
      <c r="B2111" s="1">
        <v>1</v>
      </c>
      <c r="C2111" s="14" t="s">
        <v>3348</v>
      </c>
      <c r="D2111" s="2" t="s">
        <v>2311</v>
      </c>
      <c r="E2111" s="3" t="s">
        <v>949</v>
      </c>
    </row>
    <row r="2112" spans="1:5">
      <c r="A2112" s="1">
        <v>69108</v>
      </c>
      <c r="B2112" s="1">
        <v>1</v>
      </c>
      <c r="C2112" s="14" t="s">
        <v>4288</v>
      </c>
      <c r="D2112" s="2" t="s">
        <v>2312</v>
      </c>
      <c r="E2112" s="3" t="s">
        <v>2177</v>
      </c>
    </row>
    <row r="2113" spans="1:5">
      <c r="A2113" s="1">
        <v>69109</v>
      </c>
      <c r="B2113" s="1">
        <v>1</v>
      </c>
      <c r="C2113" s="14" t="s">
        <v>4263</v>
      </c>
      <c r="D2113" s="2" t="s">
        <v>2313</v>
      </c>
      <c r="E2113" s="3" t="s">
        <v>2131</v>
      </c>
    </row>
    <row r="2114" spans="1:5">
      <c r="A2114" s="1">
        <v>69110</v>
      </c>
      <c r="B2114" s="1">
        <v>1</v>
      </c>
      <c r="C2114" s="14" t="s">
        <v>3809</v>
      </c>
      <c r="D2114" s="2" t="s">
        <v>2314</v>
      </c>
      <c r="E2114" s="3" t="s">
        <v>944</v>
      </c>
    </row>
    <row r="2115" spans="1:5">
      <c r="A2115" s="1">
        <v>69111</v>
      </c>
      <c r="B2115" s="1">
        <v>1</v>
      </c>
      <c r="C2115" s="14" t="s">
        <v>4328</v>
      </c>
      <c r="D2115" s="2" t="s">
        <v>2315</v>
      </c>
      <c r="E2115" s="3" t="s">
        <v>2316</v>
      </c>
    </row>
    <row r="2116" spans="1:5">
      <c r="A2116" s="1">
        <v>69112</v>
      </c>
      <c r="B2116" s="1">
        <v>1</v>
      </c>
      <c r="C2116" s="14" t="s">
        <v>3382</v>
      </c>
      <c r="D2116" s="2" t="s">
        <v>2317</v>
      </c>
      <c r="E2116" s="3" t="s">
        <v>769</v>
      </c>
    </row>
    <row r="2117" spans="1:5">
      <c r="A2117" s="1">
        <v>69113</v>
      </c>
      <c r="B2117" s="1">
        <v>1</v>
      </c>
      <c r="C2117" s="14" t="s">
        <v>3382</v>
      </c>
      <c r="D2117" s="2" t="s">
        <v>2317</v>
      </c>
      <c r="E2117" s="3" t="s">
        <v>769</v>
      </c>
    </row>
    <row r="2118" spans="1:5">
      <c r="A2118" s="1">
        <v>69114</v>
      </c>
      <c r="B2118" s="1">
        <v>1</v>
      </c>
      <c r="C2118" s="14" t="s">
        <v>4266</v>
      </c>
      <c r="D2118" s="2" t="s">
        <v>2317</v>
      </c>
      <c r="E2118" s="3" t="s">
        <v>2142</v>
      </c>
    </row>
    <row r="2119" spans="1:5">
      <c r="A2119" s="1">
        <v>69115</v>
      </c>
      <c r="B2119" s="1">
        <v>1</v>
      </c>
      <c r="C2119" s="14" t="s">
        <v>4266</v>
      </c>
      <c r="D2119" s="2" t="s">
        <v>2317</v>
      </c>
      <c r="E2119" s="3" t="s">
        <v>2142</v>
      </c>
    </row>
    <row r="2120" spans="1:5">
      <c r="A2120" s="1">
        <v>69116</v>
      </c>
      <c r="B2120" s="1">
        <v>1</v>
      </c>
      <c r="C2120" s="14" t="s">
        <v>3393</v>
      </c>
      <c r="D2120" s="2" t="s">
        <v>2317</v>
      </c>
      <c r="E2120" s="3" t="s">
        <v>1176</v>
      </c>
    </row>
    <row r="2121" spans="1:5">
      <c r="A2121" s="1">
        <v>69117</v>
      </c>
      <c r="B2121" s="1">
        <v>1</v>
      </c>
      <c r="C2121" s="14" t="s">
        <v>3393</v>
      </c>
      <c r="D2121" s="2" t="s">
        <v>2317</v>
      </c>
      <c r="E2121" s="3" t="s">
        <v>1176</v>
      </c>
    </row>
    <row r="2122" spans="1:5">
      <c r="A2122" s="1">
        <v>69118</v>
      </c>
      <c r="B2122" s="1">
        <v>1</v>
      </c>
      <c r="C2122" s="14" t="s">
        <v>4251</v>
      </c>
      <c r="D2122" s="2" t="s">
        <v>2317</v>
      </c>
      <c r="E2122" s="3" t="s">
        <v>2094</v>
      </c>
    </row>
    <row r="2123" spans="1:5">
      <c r="A2123" s="1">
        <v>69119</v>
      </c>
      <c r="B2123" s="1">
        <v>1</v>
      </c>
      <c r="C2123" s="14" t="s">
        <v>3699</v>
      </c>
      <c r="D2123" s="2" t="s">
        <v>2317</v>
      </c>
      <c r="E2123" s="3" t="s">
        <v>628</v>
      </c>
    </row>
    <row r="2124" spans="1:5">
      <c r="A2124" s="1">
        <v>69120</v>
      </c>
      <c r="B2124" s="1">
        <v>1</v>
      </c>
      <c r="C2124" s="14" t="s">
        <v>3699</v>
      </c>
      <c r="D2124" s="2" t="s">
        <v>2318</v>
      </c>
      <c r="E2124" s="3" t="s">
        <v>628</v>
      </c>
    </row>
    <row r="2125" spans="1:5">
      <c r="A2125" s="1">
        <v>69121</v>
      </c>
      <c r="B2125" s="1">
        <v>1</v>
      </c>
      <c r="C2125" s="14" t="s">
        <v>3354</v>
      </c>
      <c r="D2125" s="2" t="s">
        <v>2317</v>
      </c>
      <c r="E2125" s="3" t="s">
        <v>782</v>
      </c>
    </row>
    <row r="2126" spans="1:5">
      <c r="A2126" s="1">
        <v>69122</v>
      </c>
      <c r="B2126" s="1">
        <v>1</v>
      </c>
      <c r="C2126" s="14" t="s">
        <v>4249</v>
      </c>
      <c r="D2126" s="2" t="s">
        <v>2318</v>
      </c>
      <c r="E2126" s="3" t="s">
        <v>2090</v>
      </c>
    </row>
    <row r="2127" spans="1:5">
      <c r="A2127" s="1">
        <v>69123</v>
      </c>
      <c r="B2127" s="1">
        <v>1</v>
      </c>
      <c r="C2127" s="14" t="s">
        <v>3812</v>
      </c>
      <c r="D2127" s="2" t="s">
        <v>2317</v>
      </c>
      <c r="E2127" s="3" t="s">
        <v>999</v>
      </c>
    </row>
    <row r="2128" spans="1:5">
      <c r="A2128" s="1">
        <v>69124</v>
      </c>
      <c r="B2128" s="1">
        <v>1</v>
      </c>
      <c r="C2128" s="14" t="s">
        <v>3703</v>
      </c>
      <c r="D2128" s="2" t="s">
        <v>2318</v>
      </c>
      <c r="E2128" s="3" t="s">
        <v>594</v>
      </c>
    </row>
    <row r="2129" spans="1:5">
      <c r="A2129" s="1">
        <v>69125</v>
      </c>
      <c r="B2129" s="1">
        <v>1</v>
      </c>
      <c r="C2129" s="14" t="s">
        <v>3335</v>
      </c>
      <c r="D2129" s="2" t="s">
        <v>2317</v>
      </c>
      <c r="E2129" s="3" t="s">
        <v>930</v>
      </c>
    </row>
    <row r="2130" spans="1:5">
      <c r="A2130" s="1">
        <v>69126</v>
      </c>
      <c r="B2130" s="1">
        <v>1</v>
      </c>
      <c r="C2130" s="14" t="s">
        <v>4255</v>
      </c>
      <c r="D2130" s="2" t="s">
        <v>2318</v>
      </c>
      <c r="E2130" s="3" t="s">
        <v>2107</v>
      </c>
    </row>
    <row r="2131" spans="1:5">
      <c r="A2131" s="1">
        <v>69127</v>
      </c>
      <c r="B2131" s="1">
        <v>1</v>
      </c>
      <c r="C2131" s="14" t="s">
        <v>3355</v>
      </c>
      <c r="D2131" s="2" t="s">
        <v>2317</v>
      </c>
      <c r="E2131" s="3" t="s">
        <v>599</v>
      </c>
    </row>
    <row r="2132" spans="1:5">
      <c r="A2132" s="1">
        <v>69128</v>
      </c>
      <c r="B2132" s="1">
        <v>1</v>
      </c>
      <c r="C2132" s="14" t="s">
        <v>4252</v>
      </c>
      <c r="D2132" s="2" t="s">
        <v>2318</v>
      </c>
      <c r="E2132" s="3" t="s">
        <v>2098</v>
      </c>
    </row>
    <row r="2133" spans="1:5">
      <c r="A2133" s="1">
        <v>69129</v>
      </c>
      <c r="B2133" s="1">
        <v>1</v>
      </c>
      <c r="C2133" s="14" t="s">
        <v>3729</v>
      </c>
      <c r="D2133" s="2" t="s">
        <v>2317</v>
      </c>
      <c r="E2133" s="3" t="s">
        <v>653</v>
      </c>
    </row>
    <row r="2134" spans="1:5">
      <c r="A2134" s="1">
        <v>69130</v>
      </c>
      <c r="B2134" s="1">
        <v>1</v>
      </c>
      <c r="C2134" s="14" t="s">
        <v>4308</v>
      </c>
      <c r="D2134" s="2" t="s">
        <v>2318</v>
      </c>
      <c r="E2134" s="3" t="s">
        <v>2238</v>
      </c>
    </row>
    <row r="2135" spans="1:5">
      <c r="A2135" s="1">
        <v>69131</v>
      </c>
      <c r="B2135" s="1">
        <v>1</v>
      </c>
      <c r="C2135" s="14" t="s">
        <v>3360</v>
      </c>
      <c r="D2135" s="2" t="s">
        <v>2317</v>
      </c>
      <c r="E2135" s="3" t="s">
        <v>604</v>
      </c>
    </row>
    <row r="2136" spans="1:5">
      <c r="A2136" s="1">
        <v>69132</v>
      </c>
      <c r="B2136" s="1">
        <v>1</v>
      </c>
      <c r="C2136" s="14" t="s">
        <v>3758</v>
      </c>
      <c r="D2136" s="2" t="s">
        <v>2318</v>
      </c>
      <c r="E2136" s="3" t="s">
        <v>762</v>
      </c>
    </row>
    <row r="2137" spans="1:5">
      <c r="A2137" s="1">
        <v>69201</v>
      </c>
      <c r="B2137" s="1">
        <v>1</v>
      </c>
      <c r="C2137" s="14" t="s">
        <v>4329</v>
      </c>
      <c r="D2137" s="2" t="s">
        <v>2319</v>
      </c>
      <c r="E2137" s="3" t="s">
        <v>2320</v>
      </c>
    </row>
    <row r="2138" spans="1:5">
      <c r="A2138" s="1">
        <v>69202</v>
      </c>
      <c r="B2138" s="1">
        <v>1</v>
      </c>
      <c r="C2138" s="14" t="s">
        <v>4330</v>
      </c>
      <c r="D2138" s="2" t="s">
        <v>2319</v>
      </c>
      <c r="E2138" s="3" t="s">
        <v>2321</v>
      </c>
    </row>
    <row r="2139" spans="1:5">
      <c r="A2139" s="1">
        <v>69203</v>
      </c>
      <c r="B2139" s="1">
        <v>1</v>
      </c>
      <c r="C2139" s="14" t="s">
        <v>4330</v>
      </c>
      <c r="D2139" s="2" t="s">
        <v>2319</v>
      </c>
      <c r="E2139" s="3" t="s">
        <v>2321</v>
      </c>
    </row>
    <row r="2140" spans="1:5">
      <c r="A2140" s="1">
        <v>69204</v>
      </c>
      <c r="B2140" s="1">
        <v>1</v>
      </c>
      <c r="C2140" s="14" t="s">
        <v>4331</v>
      </c>
      <c r="D2140" s="2" t="s">
        <v>2319</v>
      </c>
      <c r="E2140" s="3" t="s">
        <v>2322</v>
      </c>
    </row>
    <row r="2141" spans="1:5">
      <c r="A2141" s="1">
        <v>69205</v>
      </c>
      <c r="B2141" s="1">
        <v>1</v>
      </c>
      <c r="C2141" s="14" t="s">
        <v>4332</v>
      </c>
      <c r="D2141" s="2" t="s">
        <v>2319</v>
      </c>
      <c r="E2141" s="3" t="s">
        <v>2323</v>
      </c>
    </row>
    <row r="2142" spans="1:5">
      <c r="A2142" s="1">
        <v>69206</v>
      </c>
      <c r="B2142" s="1">
        <v>1</v>
      </c>
      <c r="C2142" s="14" t="s">
        <v>4332</v>
      </c>
      <c r="D2142" s="2" t="s">
        <v>2319</v>
      </c>
      <c r="E2142" s="3" t="s">
        <v>2323</v>
      </c>
    </row>
    <row r="2143" spans="1:5">
      <c r="A2143" s="1">
        <v>69207</v>
      </c>
      <c r="B2143" s="1">
        <v>1</v>
      </c>
      <c r="C2143" s="14" t="s">
        <v>4333</v>
      </c>
      <c r="D2143" s="2" t="s">
        <v>2319</v>
      </c>
      <c r="E2143" s="3" t="s">
        <v>2324</v>
      </c>
    </row>
    <row r="2144" spans="1:5">
      <c r="A2144" s="92">
        <v>69211</v>
      </c>
      <c r="B2144" s="92">
        <v>1</v>
      </c>
      <c r="C2144" s="14" t="s">
        <v>3384</v>
      </c>
      <c r="D2144" s="93" t="s">
        <v>2325</v>
      </c>
      <c r="E2144" s="94" t="s">
        <v>838</v>
      </c>
    </row>
    <row r="2145" spans="1:5">
      <c r="A2145" s="92">
        <v>69212</v>
      </c>
      <c r="B2145" s="92">
        <v>1</v>
      </c>
      <c r="C2145" s="14" t="s">
        <v>4334</v>
      </c>
      <c r="D2145" s="93" t="s">
        <v>2326</v>
      </c>
      <c r="E2145" s="94" t="s">
        <v>2327</v>
      </c>
    </row>
    <row r="2146" spans="1:5">
      <c r="A2146" s="92">
        <v>69213</v>
      </c>
      <c r="B2146" s="92">
        <v>1</v>
      </c>
      <c r="C2146" s="14" t="s">
        <v>3386</v>
      </c>
      <c r="D2146" s="93" t="s">
        <v>2328</v>
      </c>
      <c r="E2146" s="94" t="s">
        <v>2329</v>
      </c>
    </row>
    <row r="2147" spans="1:5">
      <c r="A2147" s="92">
        <v>69214</v>
      </c>
      <c r="B2147" s="92">
        <v>1</v>
      </c>
      <c r="C2147" s="14" t="s">
        <v>3388</v>
      </c>
      <c r="D2147" s="93" t="s">
        <v>2330</v>
      </c>
      <c r="E2147" s="94" t="s">
        <v>2331</v>
      </c>
    </row>
    <row r="2148" spans="1:5">
      <c r="A2148" s="92">
        <v>69215</v>
      </c>
      <c r="B2148" s="92">
        <v>1</v>
      </c>
      <c r="C2148" s="14" t="s">
        <v>4262</v>
      </c>
      <c r="D2148" s="93" t="s">
        <v>2332</v>
      </c>
      <c r="E2148" s="94" t="s">
        <v>2129</v>
      </c>
    </row>
    <row r="2149" spans="1:5">
      <c r="A2149" s="92">
        <v>69216</v>
      </c>
      <c r="B2149" s="92">
        <v>1</v>
      </c>
      <c r="C2149" s="14" t="s">
        <v>3789</v>
      </c>
      <c r="D2149" s="93" t="s">
        <v>2333</v>
      </c>
      <c r="E2149" s="94" t="s">
        <v>890</v>
      </c>
    </row>
    <row r="2150" spans="1:5">
      <c r="A2150" s="92">
        <v>69217</v>
      </c>
      <c r="B2150" s="92">
        <v>1</v>
      </c>
      <c r="C2150" s="14" t="s">
        <v>4328</v>
      </c>
      <c r="D2150" s="93" t="s">
        <v>2290</v>
      </c>
      <c r="E2150" s="94" t="s">
        <v>2316</v>
      </c>
    </row>
    <row r="2151" spans="1:5">
      <c r="A2151" s="40">
        <v>70001</v>
      </c>
      <c r="B2151" s="40">
        <v>1</v>
      </c>
      <c r="C2151" s="14" t="s">
        <v>4335</v>
      </c>
      <c r="D2151" s="41" t="s">
        <v>2334</v>
      </c>
      <c r="E2151" s="42" t="s">
        <v>2335</v>
      </c>
    </row>
    <row r="2152" spans="1:5">
      <c r="A2152" s="40">
        <v>70002</v>
      </c>
      <c r="B2152" s="40">
        <v>1</v>
      </c>
      <c r="C2152" s="14" t="s">
        <v>4335</v>
      </c>
      <c r="D2152" s="41" t="s">
        <v>2336</v>
      </c>
      <c r="E2152" s="42" t="s">
        <v>2335</v>
      </c>
    </row>
    <row r="2153" spans="1:5">
      <c r="A2153" s="40">
        <v>70003</v>
      </c>
      <c r="B2153" s="40">
        <v>1</v>
      </c>
      <c r="C2153" s="14" t="s">
        <v>4335</v>
      </c>
      <c r="D2153" s="41" t="s">
        <v>2337</v>
      </c>
      <c r="E2153" s="42" t="s">
        <v>2335</v>
      </c>
    </row>
    <row r="2154" spans="1:5">
      <c r="A2154" s="1">
        <v>70004</v>
      </c>
      <c r="B2154" s="1">
        <v>1</v>
      </c>
      <c r="C2154" s="14" t="s">
        <v>4336</v>
      </c>
      <c r="D2154" s="2" t="s">
        <v>2338</v>
      </c>
      <c r="E2154" s="3" t="s">
        <v>2339</v>
      </c>
    </row>
    <row r="2155" spans="1:5">
      <c r="A2155" s="1">
        <v>70005</v>
      </c>
      <c r="B2155" s="1">
        <v>1</v>
      </c>
      <c r="C2155" s="14" t="s">
        <v>4336</v>
      </c>
      <c r="D2155" s="2" t="s">
        <v>2340</v>
      </c>
      <c r="E2155" s="3" t="s">
        <v>2339</v>
      </c>
    </row>
    <row r="2156" spans="1:5">
      <c r="A2156" s="1">
        <v>70006</v>
      </c>
      <c r="B2156" s="1">
        <v>1</v>
      </c>
      <c r="C2156" s="14" t="s">
        <v>4336</v>
      </c>
      <c r="D2156" s="2" t="s">
        <v>2341</v>
      </c>
      <c r="E2156" s="3" t="s">
        <v>2339</v>
      </c>
    </row>
    <row r="2157" spans="1:5">
      <c r="A2157" s="40">
        <v>70007</v>
      </c>
      <c r="B2157" s="40">
        <v>1</v>
      </c>
      <c r="C2157" s="14" t="s">
        <v>4337</v>
      </c>
      <c r="D2157" s="41" t="s">
        <v>2342</v>
      </c>
      <c r="E2157" s="42" t="s">
        <v>2343</v>
      </c>
    </row>
    <row r="2158" spans="1:5">
      <c r="A2158" s="40">
        <v>70008</v>
      </c>
      <c r="B2158" s="40">
        <v>1</v>
      </c>
      <c r="C2158" s="14" t="s">
        <v>4337</v>
      </c>
      <c r="D2158" s="41" t="s">
        <v>2344</v>
      </c>
      <c r="E2158" s="42" t="s">
        <v>2343</v>
      </c>
    </row>
    <row r="2159" spans="1:5">
      <c r="A2159" s="40">
        <v>70009</v>
      </c>
      <c r="B2159" s="40">
        <v>1</v>
      </c>
      <c r="C2159" s="14" t="s">
        <v>4337</v>
      </c>
      <c r="D2159" s="41" t="s">
        <v>2345</v>
      </c>
      <c r="E2159" s="42" t="s">
        <v>2343</v>
      </c>
    </row>
    <row r="2160" spans="1:5">
      <c r="A2160" s="1">
        <v>70010</v>
      </c>
      <c r="B2160" s="1">
        <v>1</v>
      </c>
      <c r="C2160" s="14" t="s">
        <v>4338</v>
      </c>
      <c r="D2160" s="2" t="s">
        <v>2346</v>
      </c>
      <c r="E2160" s="3" t="s">
        <v>2347</v>
      </c>
    </row>
    <row r="2161" spans="1:5">
      <c r="A2161" s="1">
        <v>70011</v>
      </c>
      <c r="B2161" s="1">
        <v>1</v>
      </c>
      <c r="C2161" s="14" t="s">
        <v>4338</v>
      </c>
      <c r="D2161" s="2" t="s">
        <v>2348</v>
      </c>
      <c r="E2161" s="3" t="s">
        <v>2347</v>
      </c>
    </row>
    <row r="2162" spans="1:5">
      <c r="A2162" s="1">
        <v>70012</v>
      </c>
      <c r="B2162" s="1">
        <v>1</v>
      </c>
      <c r="C2162" s="14" t="s">
        <v>4338</v>
      </c>
      <c r="D2162" s="2" t="s">
        <v>2349</v>
      </c>
      <c r="E2162" s="3" t="s">
        <v>2347</v>
      </c>
    </row>
    <row r="2163" spans="1:5">
      <c r="A2163" s="40">
        <v>70013</v>
      </c>
      <c r="B2163" s="40">
        <v>1</v>
      </c>
      <c r="C2163" s="14" t="s">
        <v>4338</v>
      </c>
      <c r="D2163" s="41" t="s">
        <v>2350</v>
      </c>
      <c r="E2163" s="42" t="s">
        <v>2347</v>
      </c>
    </row>
    <row r="2164" spans="1:5">
      <c r="A2164" s="40">
        <v>70014</v>
      </c>
      <c r="B2164" s="40">
        <v>1</v>
      </c>
      <c r="C2164" s="14" t="s">
        <v>4338</v>
      </c>
      <c r="D2164" s="41" t="s">
        <v>2351</v>
      </c>
      <c r="E2164" s="42" t="s">
        <v>2347</v>
      </c>
    </row>
    <row r="2165" spans="1:5">
      <c r="A2165" s="40">
        <v>70015</v>
      </c>
      <c r="B2165" s="40">
        <v>1</v>
      </c>
      <c r="C2165" s="14" t="s">
        <v>4338</v>
      </c>
      <c r="D2165" s="41" t="s">
        <v>2352</v>
      </c>
      <c r="E2165" s="42" t="s">
        <v>2347</v>
      </c>
    </row>
    <row r="2166" spans="1:5">
      <c r="A2166" s="1">
        <v>70016</v>
      </c>
      <c r="B2166" s="1">
        <v>1</v>
      </c>
      <c r="C2166" s="14" t="s">
        <v>4339</v>
      </c>
      <c r="D2166" s="2" t="s">
        <v>2353</v>
      </c>
      <c r="E2166" s="3" t="s">
        <v>2354</v>
      </c>
    </row>
    <row r="2167" spans="1:5">
      <c r="A2167" s="1">
        <v>70017</v>
      </c>
      <c r="B2167" s="1">
        <v>1</v>
      </c>
      <c r="C2167" s="14" t="s">
        <v>4339</v>
      </c>
      <c r="D2167" s="2" t="s">
        <v>2355</v>
      </c>
      <c r="E2167" s="3" t="s">
        <v>2354</v>
      </c>
    </row>
    <row r="2168" spans="1:5">
      <c r="A2168" s="1">
        <v>70018</v>
      </c>
      <c r="B2168" s="1">
        <v>1</v>
      </c>
      <c r="C2168" s="14" t="s">
        <v>4339</v>
      </c>
      <c r="D2168" s="2" t="s">
        <v>2356</v>
      </c>
      <c r="E2168" s="3" t="s">
        <v>2354</v>
      </c>
    </row>
    <row r="2169" spans="1:5">
      <c r="A2169" s="40">
        <v>70019</v>
      </c>
      <c r="B2169" s="40">
        <v>1</v>
      </c>
      <c r="C2169" s="14" t="s">
        <v>4340</v>
      </c>
      <c r="D2169" s="41" t="s">
        <v>2357</v>
      </c>
      <c r="E2169" s="42" t="s">
        <v>2358</v>
      </c>
    </row>
    <row r="2170" spans="1:5">
      <c r="A2170" s="40">
        <v>70020</v>
      </c>
      <c r="B2170" s="40">
        <v>1</v>
      </c>
      <c r="C2170" s="14" t="s">
        <v>4340</v>
      </c>
      <c r="D2170" s="41" t="s">
        <v>2359</v>
      </c>
      <c r="E2170" s="42" t="s">
        <v>2358</v>
      </c>
    </row>
    <row r="2171" spans="1:5">
      <c r="A2171" s="40">
        <v>70021</v>
      </c>
      <c r="B2171" s="40">
        <v>1</v>
      </c>
      <c r="C2171" s="14" t="s">
        <v>4340</v>
      </c>
      <c r="D2171" s="41" t="s">
        <v>2360</v>
      </c>
      <c r="E2171" s="42" t="s">
        <v>2358</v>
      </c>
    </row>
    <row r="2172" spans="1:5">
      <c r="A2172" s="1">
        <v>70022</v>
      </c>
      <c r="B2172" s="1">
        <v>1</v>
      </c>
      <c r="C2172" s="14" t="s">
        <v>4341</v>
      </c>
      <c r="D2172" s="2" t="s">
        <v>2361</v>
      </c>
      <c r="E2172" s="3" t="s">
        <v>2362</v>
      </c>
    </row>
    <row r="2173" spans="1:5">
      <c r="A2173" s="1">
        <v>70023</v>
      </c>
      <c r="B2173" s="1">
        <v>1</v>
      </c>
      <c r="C2173" s="14" t="s">
        <v>4341</v>
      </c>
      <c r="D2173" s="2" t="s">
        <v>2363</v>
      </c>
      <c r="E2173" s="3" t="s">
        <v>2362</v>
      </c>
    </row>
    <row r="2174" spans="1:5">
      <c r="A2174" s="1">
        <v>70024</v>
      </c>
      <c r="B2174" s="1">
        <v>1</v>
      </c>
      <c r="C2174" s="14" t="s">
        <v>4341</v>
      </c>
      <c r="D2174" s="2" t="s">
        <v>2364</v>
      </c>
      <c r="E2174" s="3" t="s">
        <v>2362</v>
      </c>
    </row>
    <row r="2175" spans="1:5">
      <c r="A2175" s="40">
        <v>70025</v>
      </c>
      <c r="B2175" s="40">
        <v>1</v>
      </c>
      <c r="C2175" s="14" t="s">
        <v>4342</v>
      </c>
      <c r="D2175" s="41" t="s">
        <v>2365</v>
      </c>
      <c r="E2175" s="42" t="s">
        <v>2366</v>
      </c>
    </row>
    <row r="2176" spans="1:5">
      <c r="A2176" s="40">
        <v>70026</v>
      </c>
      <c r="B2176" s="40">
        <v>1</v>
      </c>
      <c r="C2176" s="14" t="s">
        <v>4342</v>
      </c>
      <c r="D2176" s="41" t="s">
        <v>2367</v>
      </c>
      <c r="E2176" s="42" t="s">
        <v>2366</v>
      </c>
    </row>
    <row r="2177" spans="1:5">
      <c r="A2177" s="40">
        <v>70027</v>
      </c>
      <c r="B2177" s="40">
        <v>1</v>
      </c>
      <c r="C2177" s="14" t="s">
        <v>4342</v>
      </c>
      <c r="D2177" s="41" t="s">
        <v>2368</v>
      </c>
      <c r="E2177" s="42" t="s">
        <v>2366</v>
      </c>
    </row>
    <row r="2178" spans="1:5">
      <c r="A2178" s="1">
        <v>70028</v>
      </c>
      <c r="B2178" s="1">
        <v>1</v>
      </c>
      <c r="C2178" s="14" t="s">
        <v>4343</v>
      </c>
      <c r="D2178" s="2" t="s">
        <v>2369</v>
      </c>
      <c r="E2178" s="3" t="s">
        <v>2370</v>
      </c>
    </row>
    <row r="2179" spans="1:5">
      <c r="A2179" s="1">
        <v>70029</v>
      </c>
      <c r="B2179" s="1">
        <v>1</v>
      </c>
      <c r="C2179" s="14" t="s">
        <v>4343</v>
      </c>
      <c r="D2179" s="2" t="s">
        <v>2371</v>
      </c>
      <c r="E2179" s="3" t="s">
        <v>2370</v>
      </c>
    </row>
    <row r="2180" spans="1:5">
      <c r="A2180" s="1">
        <v>70030</v>
      </c>
      <c r="B2180" s="1">
        <v>1</v>
      </c>
      <c r="C2180" s="14" t="s">
        <v>4343</v>
      </c>
      <c r="D2180" s="2" t="s">
        <v>2372</v>
      </c>
      <c r="E2180" s="3" t="s">
        <v>2370</v>
      </c>
    </row>
    <row r="2181" spans="1:5">
      <c r="A2181" s="129">
        <v>70076</v>
      </c>
      <c r="B2181" s="129">
        <v>1</v>
      </c>
      <c r="C2181" s="157" t="s">
        <v>4342</v>
      </c>
      <c r="D2181" s="130" t="s">
        <v>4743</v>
      </c>
      <c r="E2181" s="131" t="s">
        <v>4758</v>
      </c>
    </row>
    <row r="2182" spans="1:5">
      <c r="A2182" s="129">
        <v>70077</v>
      </c>
      <c r="B2182" s="129">
        <v>1</v>
      </c>
      <c r="C2182" s="157" t="s">
        <v>4342</v>
      </c>
      <c r="D2182" s="130" t="s">
        <v>4744</v>
      </c>
      <c r="E2182" s="131" t="s">
        <v>4758</v>
      </c>
    </row>
    <row r="2183" spans="1:5">
      <c r="A2183" s="129">
        <v>70078</v>
      </c>
      <c r="B2183" s="129">
        <v>1</v>
      </c>
      <c r="C2183" s="157" t="s">
        <v>4342</v>
      </c>
      <c r="D2183" s="130" t="s">
        <v>4745</v>
      </c>
      <c r="E2183" s="131" t="s">
        <v>4758</v>
      </c>
    </row>
    <row r="2184" spans="1:5">
      <c r="A2184" s="129">
        <v>70079</v>
      </c>
      <c r="B2184" s="129">
        <v>1</v>
      </c>
      <c r="C2184" s="157" t="s">
        <v>4343</v>
      </c>
      <c r="D2184" s="130" t="s">
        <v>4746</v>
      </c>
      <c r="E2184" s="131" t="s">
        <v>4759</v>
      </c>
    </row>
    <row r="2185" spans="1:5">
      <c r="A2185" s="129">
        <v>70080</v>
      </c>
      <c r="B2185" s="129">
        <v>1</v>
      </c>
      <c r="C2185" s="157" t="s">
        <v>4343</v>
      </c>
      <c r="D2185" s="130" t="s">
        <v>4747</v>
      </c>
      <c r="E2185" s="131" t="s">
        <v>4759</v>
      </c>
    </row>
    <row r="2186" spans="1:5">
      <c r="A2186" s="129">
        <v>70081</v>
      </c>
      <c r="B2186" s="129">
        <v>1</v>
      </c>
      <c r="C2186" s="157" t="s">
        <v>4343</v>
      </c>
      <c r="D2186" s="130" t="s">
        <v>4748</v>
      </c>
      <c r="E2186" s="131" t="s">
        <v>4759</v>
      </c>
    </row>
    <row r="2187" spans="1:5">
      <c r="A2187" s="46">
        <v>70031</v>
      </c>
      <c r="B2187" s="46">
        <v>1</v>
      </c>
      <c r="C2187" s="14" t="s">
        <v>4344</v>
      </c>
      <c r="D2187" s="47" t="s">
        <v>2373</v>
      </c>
      <c r="E2187" s="48" t="s">
        <v>2374</v>
      </c>
    </row>
    <row r="2188" spans="1:5">
      <c r="A2188" s="46">
        <v>70032</v>
      </c>
      <c r="B2188" s="46">
        <v>1</v>
      </c>
      <c r="C2188" s="14" t="s">
        <v>4344</v>
      </c>
      <c r="D2188" s="47" t="s">
        <v>2375</v>
      </c>
      <c r="E2188" s="48" t="s">
        <v>2374</v>
      </c>
    </row>
    <row r="2189" spans="1:5">
      <c r="A2189" s="46">
        <v>70033</v>
      </c>
      <c r="B2189" s="46">
        <v>1</v>
      </c>
      <c r="C2189" s="14" t="s">
        <v>4344</v>
      </c>
      <c r="D2189" s="47" t="s">
        <v>2376</v>
      </c>
      <c r="E2189" s="48" t="s">
        <v>2374</v>
      </c>
    </row>
    <row r="2190" spans="1:5">
      <c r="A2190" s="1">
        <v>70034</v>
      </c>
      <c r="B2190" s="1">
        <v>1</v>
      </c>
      <c r="C2190" s="14" t="s">
        <v>4344</v>
      </c>
      <c r="D2190" s="2" t="s">
        <v>2377</v>
      </c>
      <c r="E2190" s="3" t="s">
        <v>2374</v>
      </c>
    </row>
    <row r="2191" spans="1:5">
      <c r="A2191" s="1">
        <v>70035</v>
      </c>
      <c r="B2191" s="1">
        <v>1</v>
      </c>
      <c r="C2191" s="14" t="s">
        <v>4344</v>
      </c>
      <c r="D2191" s="2" t="s">
        <v>2378</v>
      </c>
      <c r="E2191" s="3" t="s">
        <v>2374</v>
      </c>
    </row>
    <row r="2192" spans="1:5">
      <c r="A2192" s="1">
        <v>70036</v>
      </c>
      <c r="B2192" s="1">
        <v>1</v>
      </c>
      <c r="C2192" s="14" t="s">
        <v>4344</v>
      </c>
      <c r="D2192" s="2" t="s">
        <v>2379</v>
      </c>
      <c r="E2192" s="3" t="s">
        <v>2374</v>
      </c>
    </row>
    <row r="2193" spans="1:5">
      <c r="A2193" s="46">
        <v>70037</v>
      </c>
      <c r="B2193" s="46">
        <v>1</v>
      </c>
      <c r="C2193" s="14" t="s">
        <v>4345</v>
      </c>
      <c r="D2193" s="47" t="s">
        <v>2380</v>
      </c>
      <c r="E2193" s="48" t="s">
        <v>2381</v>
      </c>
    </row>
    <row r="2194" spans="1:5">
      <c r="A2194" s="46">
        <v>70038</v>
      </c>
      <c r="B2194" s="46">
        <v>1</v>
      </c>
      <c r="C2194" s="14" t="s">
        <v>4345</v>
      </c>
      <c r="D2194" s="47" t="s">
        <v>2382</v>
      </c>
      <c r="E2194" s="48" t="s">
        <v>2381</v>
      </c>
    </row>
    <row r="2195" spans="1:5">
      <c r="A2195" s="46">
        <v>70039</v>
      </c>
      <c r="B2195" s="46">
        <v>1</v>
      </c>
      <c r="C2195" s="14" t="s">
        <v>4345</v>
      </c>
      <c r="D2195" s="47" t="s">
        <v>2383</v>
      </c>
      <c r="E2195" s="48" t="s">
        <v>2381</v>
      </c>
    </row>
    <row r="2196" spans="1:5">
      <c r="A2196" s="1">
        <v>70040</v>
      </c>
      <c r="B2196" s="1">
        <v>1</v>
      </c>
      <c r="C2196" s="14" t="s">
        <v>4345</v>
      </c>
      <c r="D2196" s="2" t="s">
        <v>2384</v>
      </c>
      <c r="E2196" s="3" t="s">
        <v>2381</v>
      </c>
    </row>
    <row r="2197" spans="1:5">
      <c r="A2197" s="1">
        <v>70041</v>
      </c>
      <c r="B2197" s="1">
        <v>1</v>
      </c>
      <c r="C2197" s="14" t="s">
        <v>4345</v>
      </c>
      <c r="D2197" s="2" t="s">
        <v>2385</v>
      </c>
      <c r="E2197" s="3" t="s">
        <v>2381</v>
      </c>
    </row>
    <row r="2198" spans="1:5">
      <c r="A2198" s="1">
        <v>70042</v>
      </c>
      <c r="B2198" s="1">
        <v>1</v>
      </c>
      <c r="C2198" s="14" t="s">
        <v>4345</v>
      </c>
      <c r="D2198" s="2" t="s">
        <v>2386</v>
      </c>
      <c r="E2198" s="3" t="s">
        <v>2381</v>
      </c>
    </row>
    <row r="2199" spans="1:5">
      <c r="A2199" s="46">
        <v>70043</v>
      </c>
      <c r="B2199" s="46">
        <v>1</v>
      </c>
      <c r="C2199" s="14" t="s">
        <v>4346</v>
      </c>
      <c r="D2199" s="47" t="s">
        <v>2387</v>
      </c>
      <c r="E2199" s="48" t="s">
        <v>2388</v>
      </c>
    </row>
    <row r="2200" spans="1:5">
      <c r="A2200" s="46">
        <v>70044</v>
      </c>
      <c r="B2200" s="46">
        <v>1</v>
      </c>
      <c r="C2200" s="14" t="s">
        <v>4346</v>
      </c>
      <c r="D2200" s="47" t="s">
        <v>2389</v>
      </c>
      <c r="E2200" s="48" t="s">
        <v>2388</v>
      </c>
    </row>
    <row r="2201" spans="1:5">
      <c r="A2201" s="46">
        <v>70045</v>
      </c>
      <c r="B2201" s="46">
        <v>1</v>
      </c>
      <c r="C2201" s="14" t="s">
        <v>4346</v>
      </c>
      <c r="D2201" s="47" t="s">
        <v>2390</v>
      </c>
      <c r="E2201" s="48" t="s">
        <v>2388</v>
      </c>
    </row>
    <row r="2202" spans="1:5">
      <c r="A2202" s="1">
        <v>70046</v>
      </c>
      <c r="B2202" s="1">
        <v>1</v>
      </c>
      <c r="C2202" s="14" t="s">
        <v>4346</v>
      </c>
      <c r="D2202" s="2" t="s">
        <v>2391</v>
      </c>
      <c r="E2202" s="3" t="s">
        <v>2388</v>
      </c>
    </row>
    <row r="2203" spans="1:5">
      <c r="A2203" s="1">
        <v>70047</v>
      </c>
      <c r="B2203" s="1">
        <v>1</v>
      </c>
      <c r="C2203" s="14" t="s">
        <v>4346</v>
      </c>
      <c r="D2203" s="2" t="s">
        <v>2392</v>
      </c>
      <c r="E2203" s="3" t="s">
        <v>2388</v>
      </c>
    </row>
    <row r="2204" spans="1:5">
      <c r="A2204" s="1">
        <v>70048</v>
      </c>
      <c r="B2204" s="1">
        <v>1</v>
      </c>
      <c r="C2204" s="14" t="s">
        <v>4346</v>
      </c>
      <c r="D2204" s="2" t="s">
        <v>2393</v>
      </c>
      <c r="E2204" s="3" t="s">
        <v>2388</v>
      </c>
    </row>
    <row r="2205" spans="1:5">
      <c r="A2205" s="46">
        <v>70049</v>
      </c>
      <c r="B2205" s="46">
        <v>1</v>
      </c>
      <c r="C2205" s="14" t="s">
        <v>4347</v>
      </c>
      <c r="D2205" s="47" t="s">
        <v>2394</v>
      </c>
      <c r="E2205" s="48" t="s">
        <v>2395</v>
      </c>
    </row>
    <row r="2206" spans="1:5">
      <c r="A2206" s="46">
        <v>70050</v>
      </c>
      <c r="B2206" s="46">
        <v>1</v>
      </c>
      <c r="C2206" s="14" t="s">
        <v>4347</v>
      </c>
      <c r="D2206" s="47" t="s">
        <v>2396</v>
      </c>
      <c r="E2206" s="48" t="s">
        <v>2395</v>
      </c>
    </row>
    <row r="2207" spans="1:5">
      <c r="A2207" s="46">
        <v>70051</v>
      </c>
      <c r="B2207" s="46">
        <v>1</v>
      </c>
      <c r="C2207" s="14" t="s">
        <v>4347</v>
      </c>
      <c r="D2207" s="47" t="s">
        <v>2397</v>
      </c>
      <c r="E2207" s="48" t="s">
        <v>2395</v>
      </c>
    </row>
    <row r="2208" spans="1:5">
      <c r="A2208" s="1">
        <v>70052</v>
      </c>
      <c r="B2208" s="1">
        <v>1</v>
      </c>
      <c r="C2208" s="14" t="s">
        <v>4347</v>
      </c>
      <c r="D2208" s="2" t="s">
        <v>2398</v>
      </c>
      <c r="E2208" s="3" t="s">
        <v>2395</v>
      </c>
    </row>
    <row r="2209" spans="1:5">
      <c r="A2209" s="1">
        <v>70053</v>
      </c>
      <c r="B2209" s="1">
        <v>1</v>
      </c>
      <c r="C2209" s="14" t="s">
        <v>4347</v>
      </c>
      <c r="D2209" s="2" t="s">
        <v>2399</v>
      </c>
      <c r="E2209" s="3" t="s">
        <v>2395</v>
      </c>
    </row>
    <row r="2210" spans="1:5">
      <c r="A2210" s="1">
        <v>70054</v>
      </c>
      <c r="B2210" s="1">
        <v>1</v>
      </c>
      <c r="C2210" s="14" t="s">
        <v>4347</v>
      </c>
      <c r="D2210" s="2" t="s">
        <v>2400</v>
      </c>
      <c r="E2210" s="3" t="s">
        <v>2395</v>
      </c>
    </row>
    <row r="2211" spans="1:5">
      <c r="A2211" s="46">
        <v>70055</v>
      </c>
      <c r="B2211" s="46">
        <v>1</v>
      </c>
      <c r="C2211" s="14" t="s">
        <v>4348</v>
      </c>
      <c r="D2211" s="47" t="s">
        <v>2401</v>
      </c>
      <c r="E2211" s="48" t="s">
        <v>2402</v>
      </c>
    </row>
    <row r="2212" spans="1:5">
      <c r="A2212" s="46">
        <v>70056</v>
      </c>
      <c r="B2212" s="46">
        <v>1</v>
      </c>
      <c r="C2212" s="14" t="s">
        <v>4348</v>
      </c>
      <c r="D2212" s="47" t="s">
        <v>2403</v>
      </c>
      <c r="E2212" s="48" t="s">
        <v>2402</v>
      </c>
    </row>
    <row r="2213" spans="1:5">
      <c r="A2213" s="46">
        <v>70057</v>
      </c>
      <c r="B2213" s="46">
        <v>1</v>
      </c>
      <c r="C2213" s="14" t="s">
        <v>4348</v>
      </c>
      <c r="D2213" s="47" t="s">
        <v>2404</v>
      </c>
      <c r="E2213" s="48" t="s">
        <v>2402</v>
      </c>
    </row>
    <row r="2214" spans="1:5">
      <c r="A2214" s="1">
        <v>70058</v>
      </c>
      <c r="B2214" s="1">
        <v>1</v>
      </c>
      <c r="C2214" s="14" t="s">
        <v>4348</v>
      </c>
      <c r="D2214" s="2" t="s">
        <v>2405</v>
      </c>
      <c r="E2214" s="3" t="s">
        <v>2402</v>
      </c>
    </row>
    <row r="2215" spans="1:5">
      <c r="A2215" s="1">
        <v>70059</v>
      </c>
      <c r="B2215" s="1">
        <v>1</v>
      </c>
      <c r="C2215" s="14" t="s">
        <v>4348</v>
      </c>
      <c r="D2215" s="2" t="s">
        <v>2406</v>
      </c>
      <c r="E2215" s="3" t="s">
        <v>2402</v>
      </c>
    </row>
    <row r="2216" spans="1:5">
      <c r="A2216" s="1">
        <v>70060</v>
      </c>
      <c r="B2216" s="1">
        <v>1</v>
      </c>
      <c r="C2216" s="14" t="s">
        <v>4348</v>
      </c>
      <c r="D2216" s="2" t="s">
        <v>2407</v>
      </c>
      <c r="E2216" s="3" t="s">
        <v>2402</v>
      </c>
    </row>
    <row r="2217" spans="1:5">
      <c r="A2217" s="129">
        <v>70082</v>
      </c>
      <c r="B2217" s="129">
        <v>1</v>
      </c>
      <c r="C2217" s="157" t="s">
        <v>4348</v>
      </c>
      <c r="D2217" s="130" t="s">
        <v>4749</v>
      </c>
      <c r="E2217" s="131" t="s">
        <v>2402</v>
      </c>
    </row>
    <row r="2218" spans="1:5">
      <c r="A2218" s="129">
        <v>70083</v>
      </c>
      <c r="B2218" s="129">
        <v>1</v>
      </c>
      <c r="C2218" s="157" t="s">
        <v>4348</v>
      </c>
      <c r="D2218" s="130" t="s">
        <v>4750</v>
      </c>
      <c r="E2218" s="131" t="s">
        <v>2402</v>
      </c>
    </row>
    <row r="2219" spans="1:5">
      <c r="A2219" s="129">
        <v>70084</v>
      </c>
      <c r="B2219" s="129">
        <v>1</v>
      </c>
      <c r="C2219" s="157" t="s">
        <v>4348</v>
      </c>
      <c r="D2219" s="130" t="s">
        <v>4751</v>
      </c>
      <c r="E2219" s="131" t="s">
        <v>2402</v>
      </c>
    </row>
    <row r="2220" spans="1:5">
      <c r="A2220" s="129">
        <v>70085</v>
      </c>
      <c r="B2220" s="129">
        <v>1</v>
      </c>
      <c r="C2220" s="157" t="s">
        <v>4348</v>
      </c>
      <c r="D2220" s="130" t="s">
        <v>4752</v>
      </c>
      <c r="E2220" s="131" t="s">
        <v>2402</v>
      </c>
    </row>
    <row r="2221" spans="1:5">
      <c r="A2221" s="129">
        <v>70086</v>
      </c>
      <c r="B2221" s="129">
        <v>1</v>
      </c>
      <c r="C2221" s="157" t="s">
        <v>4348</v>
      </c>
      <c r="D2221" s="130" t="s">
        <v>4753</v>
      </c>
      <c r="E2221" s="131" t="s">
        <v>2402</v>
      </c>
    </row>
    <row r="2222" spans="1:5">
      <c r="A2222" s="129">
        <v>70087</v>
      </c>
      <c r="B2222" s="129">
        <v>1</v>
      </c>
      <c r="C2222" s="157" t="s">
        <v>4348</v>
      </c>
      <c r="D2222" s="130" t="s">
        <v>4754</v>
      </c>
      <c r="E2222" s="131" t="s">
        <v>2402</v>
      </c>
    </row>
    <row r="2223" spans="1:5">
      <c r="A2223" s="105">
        <v>70061</v>
      </c>
      <c r="B2223" s="105">
        <v>1</v>
      </c>
      <c r="C2223" s="14" t="s">
        <v>4349</v>
      </c>
      <c r="D2223" s="106" t="s">
        <v>2408</v>
      </c>
      <c r="E2223" s="107" t="s">
        <v>2409</v>
      </c>
    </row>
    <row r="2224" spans="1:5">
      <c r="A2224" s="105">
        <v>70062</v>
      </c>
      <c r="B2224" s="105">
        <v>1</v>
      </c>
      <c r="C2224" s="14" t="s">
        <v>4349</v>
      </c>
      <c r="D2224" s="106" t="s">
        <v>2410</v>
      </c>
      <c r="E2224" s="107" t="s">
        <v>2411</v>
      </c>
    </row>
    <row r="2225" spans="1:5">
      <c r="A2225" s="105">
        <v>70063</v>
      </c>
      <c r="B2225" s="105">
        <v>1</v>
      </c>
      <c r="C2225" s="14" t="s">
        <v>4349</v>
      </c>
      <c r="D2225" s="106" t="s">
        <v>2412</v>
      </c>
      <c r="E2225" s="107" t="s">
        <v>2413</v>
      </c>
    </row>
    <row r="2226" spans="1:5">
      <c r="A2226" s="105">
        <v>70064</v>
      </c>
      <c r="B2226" s="105">
        <v>1</v>
      </c>
      <c r="C2226" s="14" t="s">
        <v>4350</v>
      </c>
      <c r="D2226" s="106" t="s">
        <v>2414</v>
      </c>
      <c r="E2226" s="107" t="s">
        <v>2415</v>
      </c>
    </row>
    <row r="2227" spans="1:5">
      <c r="A2227" s="105">
        <v>70065</v>
      </c>
      <c r="B2227" s="105">
        <v>1</v>
      </c>
      <c r="C2227" s="14" t="s">
        <v>4350</v>
      </c>
      <c r="D2227" s="106" t="s">
        <v>2416</v>
      </c>
      <c r="E2227" s="107" t="s">
        <v>2417</v>
      </c>
    </row>
    <row r="2228" spans="1:5">
      <c r="A2228" s="105">
        <v>70066</v>
      </c>
      <c r="B2228" s="105">
        <v>1</v>
      </c>
      <c r="C2228" s="14" t="s">
        <v>3949</v>
      </c>
      <c r="D2228" s="106" t="s">
        <v>2418</v>
      </c>
      <c r="E2228" s="107" t="s">
        <v>2419</v>
      </c>
    </row>
    <row r="2229" spans="1:5">
      <c r="A2229" s="105">
        <v>70067</v>
      </c>
      <c r="B2229" s="105">
        <v>1</v>
      </c>
      <c r="C2229" s="14" t="s">
        <v>3949</v>
      </c>
      <c r="D2229" s="106" t="s">
        <v>2420</v>
      </c>
      <c r="E2229" s="107" t="s">
        <v>2421</v>
      </c>
    </row>
    <row r="2230" spans="1:5">
      <c r="A2230" s="105">
        <v>70068</v>
      </c>
      <c r="B2230" s="105">
        <v>1</v>
      </c>
      <c r="C2230" s="14" t="s">
        <v>4351</v>
      </c>
      <c r="D2230" s="106" t="s">
        <v>2422</v>
      </c>
      <c r="E2230" s="107" t="s">
        <v>2423</v>
      </c>
    </row>
    <row r="2231" spans="1:5">
      <c r="A2231" s="105">
        <v>70069</v>
      </c>
      <c r="B2231" s="105">
        <v>1</v>
      </c>
      <c r="C2231" s="14" t="s">
        <v>3949</v>
      </c>
      <c r="D2231" s="106" t="s">
        <v>2424</v>
      </c>
      <c r="E2231" s="107" t="s">
        <v>2425</v>
      </c>
    </row>
    <row r="2232" spans="1:5">
      <c r="A2232" s="105">
        <v>70070</v>
      </c>
      <c r="B2232" s="105">
        <v>1</v>
      </c>
      <c r="C2232" s="14" t="s">
        <v>4352</v>
      </c>
      <c r="D2232" s="106" t="s">
        <v>2426</v>
      </c>
      <c r="E2232" s="107" t="s">
        <v>2427</v>
      </c>
    </row>
    <row r="2233" spans="1:5">
      <c r="A2233" s="129">
        <v>70088</v>
      </c>
      <c r="B2233" s="129">
        <v>1</v>
      </c>
      <c r="C2233" s="157" t="s">
        <v>3949</v>
      </c>
      <c r="D2233" s="130" t="s">
        <v>4755</v>
      </c>
      <c r="E2233" s="131" t="s">
        <v>2425</v>
      </c>
    </row>
    <row r="2234" spans="1:5">
      <c r="A2234" s="129">
        <v>70089</v>
      </c>
      <c r="B2234" s="129">
        <v>1</v>
      </c>
      <c r="C2234" s="157" t="s">
        <v>4352</v>
      </c>
      <c r="D2234" s="130" t="s">
        <v>4756</v>
      </c>
      <c r="E2234" s="131" t="s">
        <v>2427</v>
      </c>
    </row>
    <row r="2235" spans="1:5">
      <c r="A2235" s="63">
        <v>70071</v>
      </c>
      <c r="B2235" s="63">
        <v>1</v>
      </c>
      <c r="C2235" s="14" t="s">
        <v>4353</v>
      </c>
      <c r="D2235" s="33" t="s">
        <v>2428</v>
      </c>
      <c r="E2235" s="65" t="s">
        <v>2429</v>
      </c>
    </row>
    <row r="2236" spans="1:5">
      <c r="A2236" s="63">
        <v>70072</v>
      </c>
      <c r="B2236" s="63">
        <v>1</v>
      </c>
      <c r="C2236" s="14" t="s">
        <v>4353</v>
      </c>
      <c r="D2236" s="33" t="s">
        <v>2430</v>
      </c>
      <c r="E2236" s="65" t="s">
        <v>2431</v>
      </c>
    </row>
    <row r="2237" spans="1:5">
      <c r="A2237" s="63">
        <v>70073</v>
      </c>
      <c r="B2237" s="63">
        <v>1</v>
      </c>
      <c r="C2237" s="14" t="s">
        <v>4353</v>
      </c>
      <c r="D2237" s="33" t="s">
        <v>2432</v>
      </c>
      <c r="E2237" s="65" t="s">
        <v>2433</v>
      </c>
    </row>
    <row r="2238" spans="1:5">
      <c r="A2238" s="63">
        <v>70074</v>
      </c>
      <c r="B2238" s="63">
        <v>1</v>
      </c>
      <c r="C2238" s="14" t="s">
        <v>4353</v>
      </c>
      <c r="D2238" s="33" t="s">
        <v>2434</v>
      </c>
      <c r="E2238" s="65" t="s">
        <v>2435</v>
      </c>
    </row>
    <row r="2239" spans="1:5">
      <c r="A2239" s="63">
        <v>70075</v>
      </c>
      <c r="B2239" s="63">
        <v>1</v>
      </c>
      <c r="C2239" s="14" t="s">
        <v>4354</v>
      </c>
      <c r="D2239" s="33" t="s">
        <v>2436</v>
      </c>
      <c r="E2239" s="65" t="s">
        <v>2437</v>
      </c>
    </row>
    <row r="2240" spans="1:5">
      <c r="A2240" s="129">
        <v>70090</v>
      </c>
      <c r="B2240" s="129">
        <v>1</v>
      </c>
      <c r="C2240" s="157" t="s">
        <v>4354</v>
      </c>
      <c r="D2240" s="130" t="s">
        <v>4757</v>
      </c>
      <c r="E2240" s="131" t="s">
        <v>2437</v>
      </c>
    </row>
    <row r="2241" spans="1:5">
      <c r="A2241" s="1">
        <v>70101</v>
      </c>
      <c r="B2241" s="1">
        <v>1</v>
      </c>
      <c r="C2241" s="14" t="s">
        <v>4350</v>
      </c>
      <c r="D2241" s="2" t="s">
        <v>2438</v>
      </c>
      <c r="E2241" s="3" t="s">
        <v>2439</v>
      </c>
    </row>
    <row r="2242" spans="1:5">
      <c r="A2242" s="1">
        <v>70111</v>
      </c>
      <c r="B2242" s="1">
        <v>1</v>
      </c>
      <c r="C2242" s="14" t="s">
        <v>4355</v>
      </c>
      <c r="D2242" s="2" t="s">
        <v>2440</v>
      </c>
      <c r="E2242" s="3" t="s">
        <v>2441</v>
      </c>
    </row>
    <row r="2243" spans="1:5">
      <c r="A2243" s="1">
        <v>70112</v>
      </c>
      <c r="B2243" s="1">
        <v>1</v>
      </c>
      <c r="C2243" s="14" t="s">
        <v>4355</v>
      </c>
      <c r="D2243" s="2" t="s">
        <v>2442</v>
      </c>
      <c r="E2243" s="3" t="s">
        <v>2443</v>
      </c>
    </row>
    <row r="2244" spans="1:5">
      <c r="A2244" s="1">
        <v>70501</v>
      </c>
      <c r="B2244" s="1">
        <v>1</v>
      </c>
      <c r="C2244" s="14" t="s">
        <v>3922</v>
      </c>
      <c r="D2244" s="2" t="s">
        <v>2444</v>
      </c>
      <c r="E2244" s="3" t="s">
        <v>1369</v>
      </c>
    </row>
    <row r="2245" spans="1:5">
      <c r="A2245" s="1">
        <v>70502</v>
      </c>
      <c r="B2245" s="1">
        <v>1</v>
      </c>
      <c r="C2245" s="14" t="s">
        <v>3922</v>
      </c>
      <c r="D2245" s="2" t="s">
        <v>2445</v>
      </c>
      <c r="E2245" s="3" t="s">
        <v>1369</v>
      </c>
    </row>
    <row r="2246" spans="1:5">
      <c r="A2246" s="1">
        <v>70503</v>
      </c>
      <c r="B2246" s="1">
        <v>1</v>
      </c>
      <c r="C2246" s="14" t="s">
        <v>3922</v>
      </c>
      <c r="D2246" s="2" t="s">
        <v>2446</v>
      </c>
      <c r="E2246" s="3" t="s">
        <v>1369</v>
      </c>
    </row>
    <row r="2247" spans="1:5">
      <c r="A2247" s="1">
        <v>70504</v>
      </c>
      <c r="B2247" s="1">
        <v>1</v>
      </c>
      <c r="C2247" s="14" t="s">
        <v>4356</v>
      </c>
      <c r="D2247" s="2" t="s">
        <v>2447</v>
      </c>
      <c r="E2247" s="3" t="s">
        <v>2448</v>
      </c>
    </row>
    <row r="2248" spans="1:5">
      <c r="A2248" s="1">
        <v>70505</v>
      </c>
      <c r="B2248" s="1">
        <v>1</v>
      </c>
      <c r="C2248" s="14" t="s">
        <v>4356</v>
      </c>
      <c r="D2248" s="2" t="s">
        <v>2449</v>
      </c>
      <c r="E2248" s="3" t="s">
        <v>2448</v>
      </c>
    </row>
    <row r="2249" spans="1:5">
      <c r="A2249" s="1">
        <v>70506</v>
      </c>
      <c r="B2249" s="1">
        <v>1</v>
      </c>
      <c r="C2249" s="14" t="s">
        <v>4357</v>
      </c>
      <c r="D2249" s="2" t="s">
        <v>2450</v>
      </c>
      <c r="E2249" s="3" t="s">
        <v>2451</v>
      </c>
    </row>
    <row r="2250" spans="1:5">
      <c r="A2250" s="1">
        <v>72001</v>
      </c>
      <c r="B2250" s="1">
        <v>1</v>
      </c>
      <c r="C2250" s="14" t="s">
        <v>3360</v>
      </c>
      <c r="D2250" s="2" t="s">
        <v>2452</v>
      </c>
      <c r="E2250" s="3" t="s">
        <v>604</v>
      </c>
    </row>
    <row r="2251" spans="1:5">
      <c r="A2251" s="1">
        <v>72002</v>
      </c>
      <c r="B2251" s="1">
        <v>1</v>
      </c>
      <c r="C2251" s="14" t="s">
        <v>3375</v>
      </c>
      <c r="D2251" s="2" t="s">
        <v>2452</v>
      </c>
      <c r="E2251" s="3" t="s">
        <v>787</v>
      </c>
    </row>
    <row r="2252" spans="1:5">
      <c r="A2252" s="1">
        <v>72003</v>
      </c>
      <c r="B2252" s="1">
        <v>1</v>
      </c>
      <c r="C2252" s="14" t="s">
        <v>4358</v>
      </c>
      <c r="D2252" s="2" t="s">
        <v>2452</v>
      </c>
      <c r="E2252" s="3" t="s">
        <v>2453</v>
      </c>
    </row>
    <row r="2253" spans="1:5">
      <c r="A2253" s="1">
        <v>72004</v>
      </c>
      <c r="B2253" s="1">
        <v>1</v>
      </c>
      <c r="C2253" s="14" t="s">
        <v>3359</v>
      </c>
      <c r="D2253" s="2" t="s">
        <v>2454</v>
      </c>
      <c r="E2253" s="3" t="s">
        <v>1334</v>
      </c>
    </row>
    <row r="2254" spans="1:5">
      <c r="A2254" s="1">
        <v>72005</v>
      </c>
      <c r="B2254" s="1">
        <v>1</v>
      </c>
      <c r="C2254" s="14" t="s">
        <v>3373</v>
      </c>
      <c r="D2254" s="2" t="s">
        <v>2454</v>
      </c>
      <c r="E2254" s="3" t="s">
        <v>991</v>
      </c>
    </row>
    <row r="2255" spans="1:5">
      <c r="A2255" s="1">
        <v>72006</v>
      </c>
      <c r="B2255" s="1">
        <v>1</v>
      </c>
      <c r="C2255" s="14" t="s">
        <v>4359</v>
      </c>
      <c r="D2255" s="2" t="s">
        <v>2454</v>
      </c>
      <c r="E2255" s="3" t="s">
        <v>2455</v>
      </c>
    </row>
    <row r="2256" spans="1:5">
      <c r="A2256" s="1">
        <v>72007</v>
      </c>
      <c r="B2256" s="1">
        <v>1</v>
      </c>
      <c r="C2256" s="14" t="s">
        <v>3729</v>
      </c>
      <c r="D2256" s="2" t="s">
        <v>2456</v>
      </c>
      <c r="E2256" s="3" t="s">
        <v>653</v>
      </c>
    </row>
    <row r="2257" spans="1:5">
      <c r="A2257" s="1">
        <v>72008</v>
      </c>
      <c r="B2257" s="1">
        <v>1</v>
      </c>
      <c r="C2257" s="14" t="s">
        <v>3371</v>
      </c>
      <c r="D2257" s="2" t="s">
        <v>2456</v>
      </c>
      <c r="E2257" s="3" t="s">
        <v>751</v>
      </c>
    </row>
    <row r="2258" spans="1:5">
      <c r="A2258" s="1">
        <v>72009</v>
      </c>
      <c r="B2258" s="1">
        <v>1</v>
      </c>
      <c r="C2258" s="14" t="s">
        <v>4360</v>
      </c>
      <c r="D2258" s="2" t="s">
        <v>2456</v>
      </c>
      <c r="E2258" s="3" t="s">
        <v>2457</v>
      </c>
    </row>
    <row r="2259" spans="1:5">
      <c r="A2259" s="1">
        <v>72010</v>
      </c>
      <c r="B2259" s="1">
        <v>1</v>
      </c>
      <c r="C2259" s="14" t="s">
        <v>3355</v>
      </c>
      <c r="D2259" s="2" t="s">
        <v>2458</v>
      </c>
      <c r="E2259" s="3" t="s">
        <v>599</v>
      </c>
    </row>
    <row r="2260" spans="1:5">
      <c r="A2260" s="1">
        <v>72011</v>
      </c>
      <c r="B2260" s="1">
        <v>1</v>
      </c>
      <c r="C2260" s="14" t="s">
        <v>3370</v>
      </c>
      <c r="D2260" s="2" t="s">
        <v>2458</v>
      </c>
      <c r="E2260" s="3" t="s">
        <v>986</v>
      </c>
    </row>
    <row r="2261" spans="1:5">
      <c r="A2261" s="1">
        <v>72012</v>
      </c>
      <c r="B2261" s="1">
        <v>1</v>
      </c>
      <c r="C2261" s="14" t="s">
        <v>4361</v>
      </c>
      <c r="D2261" s="2" t="s">
        <v>2458</v>
      </c>
      <c r="E2261" s="3" t="s">
        <v>2459</v>
      </c>
    </row>
    <row r="2262" spans="1:5">
      <c r="A2262" s="1">
        <v>72013</v>
      </c>
      <c r="B2262" s="1">
        <v>1</v>
      </c>
      <c r="C2262" s="14" t="s">
        <v>3354</v>
      </c>
      <c r="D2262" s="2" t="s">
        <v>2460</v>
      </c>
      <c r="E2262" s="3" t="s">
        <v>782</v>
      </c>
    </row>
    <row r="2263" spans="1:5">
      <c r="A2263" s="1">
        <v>72014</v>
      </c>
      <c r="B2263" s="1">
        <v>1</v>
      </c>
      <c r="C2263" s="14" t="s">
        <v>3369</v>
      </c>
      <c r="D2263" s="2" t="s">
        <v>2460</v>
      </c>
      <c r="E2263" s="3" t="s">
        <v>747</v>
      </c>
    </row>
    <row r="2264" spans="1:5">
      <c r="A2264" s="1">
        <v>72015</v>
      </c>
      <c r="B2264" s="1">
        <v>1</v>
      </c>
      <c r="C2264" s="14" t="s">
        <v>4362</v>
      </c>
      <c r="D2264" s="2" t="s">
        <v>2460</v>
      </c>
      <c r="E2264" s="3" t="s">
        <v>2461</v>
      </c>
    </row>
    <row r="2265" spans="1:5">
      <c r="A2265" s="1">
        <v>72016</v>
      </c>
      <c r="B2265" s="1">
        <v>1</v>
      </c>
      <c r="C2265" s="14" t="s">
        <v>3699</v>
      </c>
      <c r="D2265" s="2" t="s">
        <v>2462</v>
      </c>
      <c r="E2265" s="3" t="s">
        <v>628</v>
      </c>
    </row>
    <row r="2266" spans="1:5">
      <c r="A2266" s="1">
        <v>72017</v>
      </c>
      <c r="B2266" s="1">
        <v>1</v>
      </c>
      <c r="C2266" s="14" t="s">
        <v>3368</v>
      </c>
      <c r="D2266" s="2" t="s">
        <v>2462</v>
      </c>
      <c r="E2266" s="3" t="s">
        <v>983</v>
      </c>
    </row>
    <row r="2267" spans="1:5">
      <c r="A2267" s="1">
        <v>72018</v>
      </c>
      <c r="B2267" s="1">
        <v>1</v>
      </c>
      <c r="C2267" s="14" t="s">
        <v>4265</v>
      </c>
      <c r="D2267" s="2" t="s">
        <v>2462</v>
      </c>
      <c r="E2267" s="3" t="s">
        <v>2135</v>
      </c>
    </row>
    <row r="2268" spans="1:5">
      <c r="A2268" s="1">
        <v>72019</v>
      </c>
      <c r="B2268" s="1">
        <v>1</v>
      </c>
      <c r="C2268" s="14" t="s">
        <v>3713</v>
      </c>
      <c r="D2268" s="2" t="s">
        <v>2463</v>
      </c>
      <c r="E2268" s="3" t="s">
        <v>621</v>
      </c>
    </row>
    <row r="2269" spans="1:5">
      <c r="A2269" s="1">
        <v>72020</v>
      </c>
      <c r="B2269" s="1">
        <v>1</v>
      </c>
      <c r="C2269" s="14" t="s">
        <v>3366</v>
      </c>
      <c r="D2269" s="2" t="s">
        <v>2463</v>
      </c>
      <c r="E2269" s="3" t="s">
        <v>981</v>
      </c>
    </row>
    <row r="2270" spans="1:5">
      <c r="A2270" s="1">
        <v>72021</v>
      </c>
      <c r="B2270" s="1">
        <v>1</v>
      </c>
      <c r="C2270" s="14" t="s">
        <v>4257</v>
      </c>
      <c r="D2270" s="2" t="s">
        <v>2463</v>
      </c>
      <c r="E2270" s="3" t="s">
        <v>2113</v>
      </c>
    </row>
    <row r="2271" spans="1:5">
      <c r="A2271" s="1">
        <v>72022</v>
      </c>
      <c r="B2271" s="1">
        <v>1</v>
      </c>
      <c r="C2271" s="14" t="s">
        <v>3709</v>
      </c>
      <c r="D2271" s="2" t="s">
        <v>2464</v>
      </c>
      <c r="E2271" s="3" t="s">
        <v>612</v>
      </c>
    </row>
    <row r="2272" spans="1:5">
      <c r="A2272" s="1">
        <v>72023</v>
      </c>
      <c r="B2272" s="1">
        <v>1</v>
      </c>
      <c r="C2272" s="14" t="s">
        <v>3811</v>
      </c>
      <c r="D2272" s="2" t="s">
        <v>2464</v>
      </c>
      <c r="E2272" s="3" t="s">
        <v>979</v>
      </c>
    </row>
    <row r="2273" spans="1:5">
      <c r="A2273" s="1">
        <v>72024</v>
      </c>
      <c r="B2273" s="1">
        <v>1</v>
      </c>
      <c r="C2273" s="14" t="s">
        <v>4314</v>
      </c>
      <c r="D2273" s="2" t="s">
        <v>2464</v>
      </c>
      <c r="E2273" s="3" t="s">
        <v>2260</v>
      </c>
    </row>
    <row r="2274" spans="1:5">
      <c r="A2274" s="1">
        <v>72025</v>
      </c>
      <c r="B2274" s="1">
        <v>1</v>
      </c>
      <c r="C2274" s="14" t="s">
        <v>4363</v>
      </c>
      <c r="D2274" s="2" t="s">
        <v>2465</v>
      </c>
      <c r="E2274" s="3" t="s">
        <v>2466</v>
      </c>
    </row>
    <row r="2275" spans="1:5">
      <c r="A2275" s="1">
        <v>72026</v>
      </c>
      <c r="B2275" s="1">
        <v>1</v>
      </c>
      <c r="C2275" s="14" t="s">
        <v>3366</v>
      </c>
      <c r="D2275" s="2" t="s">
        <v>2465</v>
      </c>
      <c r="E2275" s="3" t="s">
        <v>981</v>
      </c>
    </row>
    <row r="2276" spans="1:5">
      <c r="A2276" s="1">
        <v>72027</v>
      </c>
      <c r="B2276" s="1">
        <v>1</v>
      </c>
      <c r="C2276" s="14" t="s">
        <v>4250</v>
      </c>
      <c r="D2276" s="2" t="s">
        <v>2465</v>
      </c>
      <c r="E2276" s="3" t="s">
        <v>2092</v>
      </c>
    </row>
    <row r="2277" spans="1:5">
      <c r="A2277" s="1">
        <v>72028</v>
      </c>
      <c r="B2277" s="1">
        <v>1</v>
      </c>
      <c r="C2277" s="14" t="s">
        <v>3891</v>
      </c>
      <c r="D2277" s="2" t="s">
        <v>2467</v>
      </c>
      <c r="E2277" s="3" t="s">
        <v>1276</v>
      </c>
    </row>
    <row r="2278" spans="1:5">
      <c r="A2278" s="1">
        <v>72029</v>
      </c>
      <c r="B2278" s="1">
        <v>1</v>
      </c>
      <c r="C2278" s="14" t="s">
        <v>3366</v>
      </c>
      <c r="D2278" s="2" t="s">
        <v>2467</v>
      </c>
      <c r="E2278" s="3" t="s">
        <v>981</v>
      </c>
    </row>
    <row r="2279" spans="1:5">
      <c r="A2279" s="1">
        <v>72030</v>
      </c>
      <c r="B2279" s="1">
        <v>1</v>
      </c>
      <c r="C2279" s="14" t="s">
        <v>4316</v>
      </c>
      <c r="D2279" s="2" t="s">
        <v>2467</v>
      </c>
      <c r="E2279" s="3" t="s">
        <v>2264</v>
      </c>
    </row>
    <row r="2280" spans="1:5">
      <c r="A2280" s="1">
        <v>72031</v>
      </c>
      <c r="B2280" s="1">
        <v>1</v>
      </c>
      <c r="C2280" s="14" t="s">
        <v>3891</v>
      </c>
      <c r="D2280" s="2" t="s">
        <v>2468</v>
      </c>
      <c r="E2280" s="3" t="s">
        <v>1276</v>
      </c>
    </row>
    <row r="2281" spans="1:5">
      <c r="A2281" s="1">
        <v>72032</v>
      </c>
      <c r="B2281" s="1">
        <v>1</v>
      </c>
      <c r="C2281" s="14" t="s">
        <v>3366</v>
      </c>
      <c r="D2281" s="2" t="s">
        <v>2468</v>
      </c>
      <c r="E2281" s="3" t="s">
        <v>981</v>
      </c>
    </row>
    <row r="2282" spans="1:5">
      <c r="A2282" s="1">
        <v>72033</v>
      </c>
      <c r="B2282" s="1">
        <v>1</v>
      </c>
      <c r="C2282" s="14" t="s">
        <v>4315</v>
      </c>
      <c r="D2282" s="2" t="s">
        <v>2468</v>
      </c>
      <c r="E2282" s="3" t="s">
        <v>2262</v>
      </c>
    </row>
    <row r="2283" spans="1:5">
      <c r="A2283" s="1">
        <v>72034</v>
      </c>
      <c r="B2283" s="1">
        <v>1</v>
      </c>
      <c r="C2283" s="14" t="s">
        <v>3891</v>
      </c>
      <c r="D2283" s="2" t="s">
        <v>2469</v>
      </c>
      <c r="E2283" s="3" t="s">
        <v>1276</v>
      </c>
    </row>
    <row r="2284" spans="1:5">
      <c r="A2284" s="1">
        <v>72035</v>
      </c>
      <c r="B2284" s="1">
        <v>1</v>
      </c>
      <c r="C2284" s="14" t="s">
        <v>3366</v>
      </c>
      <c r="D2284" s="2" t="s">
        <v>2469</v>
      </c>
      <c r="E2284" s="3" t="s">
        <v>981</v>
      </c>
    </row>
    <row r="2285" spans="1:5">
      <c r="A2285" s="1">
        <v>72036</v>
      </c>
      <c r="B2285" s="1">
        <v>1</v>
      </c>
      <c r="C2285" s="14" t="s">
        <v>4314</v>
      </c>
      <c r="D2285" s="2" t="s">
        <v>2469</v>
      </c>
      <c r="E2285" s="3" t="s">
        <v>2260</v>
      </c>
    </row>
    <row r="2286" spans="1:5">
      <c r="A2286" s="1">
        <v>72037</v>
      </c>
      <c r="B2286" s="1">
        <v>1</v>
      </c>
      <c r="C2286" s="14" t="s">
        <v>3891</v>
      </c>
      <c r="D2286" s="2" t="s">
        <v>2470</v>
      </c>
      <c r="E2286" s="3" t="s">
        <v>1276</v>
      </c>
    </row>
    <row r="2287" spans="1:5">
      <c r="A2287" s="1">
        <v>72038</v>
      </c>
      <c r="B2287" s="1">
        <v>1</v>
      </c>
      <c r="C2287" s="14" t="s">
        <v>3366</v>
      </c>
      <c r="D2287" s="2" t="s">
        <v>2470</v>
      </c>
      <c r="E2287" s="3" t="s">
        <v>981</v>
      </c>
    </row>
    <row r="2288" spans="1:5">
      <c r="A2288" s="1">
        <v>72039</v>
      </c>
      <c r="B2288" s="1">
        <v>1</v>
      </c>
      <c r="C2288" s="14" t="s">
        <v>4314</v>
      </c>
      <c r="D2288" s="2" t="s">
        <v>2470</v>
      </c>
      <c r="E2288" s="3" t="s">
        <v>2260</v>
      </c>
    </row>
    <row r="2289" spans="1:5">
      <c r="A2289" s="1">
        <v>72040</v>
      </c>
      <c r="B2289" s="1">
        <v>1</v>
      </c>
      <c r="C2289" s="14" t="s">
        <v>3891</v>
      </c>
      <c r="D2289" s="2" t="s">
        <v>2471</v>
      </c>
      <c r="E2289" s="3" t="s">
        <v>1276</v>
      </c>
    </row>
    <row r="2290" spans="1:5">
      <c r="A2290" s="1">
        <v>72041</v>
      </c>
      <c r="B2290" s="1">
        <v>1</v>
      </c>
      <c r="C2290" s="14" t="s">
        <v>3366</v>
      </c>
      <c r="D2290" s="2" t="s">
        <v>2471</v>
      </c>
      <c r="E2290" s="3" t="s">
        <v>981</v>
      </c>
    </row>
    <row r="2291" spans="1:5">
      <c r="A2291" s="1">
        <v>72042</v>
      </c>
      <c r="B2291" s="1">
        <v>1</v>
      </c>
      <c r="C2291" s="14" t="s">
        <v>4314</v>
      </c>
      <c r="D2291" s="2" t="s">
        <v>2471</v>
      </c>
      <c r="E2291" s="3" t="s">
        <v>2260</v>
      </c>
    </row>
    <row r="2292" spans="1:5">
      <c r="A2292" s="1">
        <v>72043</v>
      </c>
      <c r="B2292" s="1">
        <v>1</v>
      </c>
      <c r="C2292" s="14" t="s">
        <v>3366</v>
      </c>
      <c r="D2292" s="2" t="s">
        <v>2472</v>
      </c>
      <c r="E2292" s="3" t="s">
        <v>981</v>
      </c>
    </row>
    <row r="2293" spans="1:5">
      <c r="A2293" s="1">
        <v>72044</v>
      </c>
      <c r="B2293" s="1">
        <v>1</v>
      </c>
      <c r="C2293" s="14" t="s">
        <v>4314</v>
      </c>
      <c r="D2293" s="2" t="s">
        <v>2472</v>
      </c>
      <c r="E2293" s="3" t="s">
        <v>2260</v>
      </c>
    </row>
    <row r="2294" spans="1:5">
      <c r="A2294" s="1">
        <v>72045</v>
      </c>
      <c r="B2294" s="1">
        <v>1</v>
      </c>
      <c r="C2294" s="14" t="s">
        <v>3366</v>
      </c>
      <c r="D2294" s="2" t="s">
        <v>2473</v>
      </c>
      <c r="E2294" s="3" t="s">
        <v>981</v>
      </c>
    </row>
    <row r="2295" spans="1:5">
      <c r="A2295" s="1">
        <v>72046</v>
      </c>
      <c r="B2295" s="1">
        <v>1</v>
      </c>
      <c r="C2295" s="14" t="s">
        <v>4314</v>
      </c>
      <c r="D2295" s="2" t="s">
        <v>2473</v>
      </c>
      <c r="E2295" s="3" t="s">
        <v>2260</v>
      </c>
    </row>
    <row r="2296" spans="1:5">
      <c r="A2296" s="1">
        <v>72047</v>
      </c>
      <c r="B2296" s="1">
        <v>1</v>
      </c>
      <c r="C2296" s="14" t="s">
        <v>3366</v>
      </c>
      <c r="D2296" s="2" t="s">
        <v>2474</v>
      </c>
      <c r="E2296" s="3" t="s">
        <v>981</v>
      </c>
    </row>
    <row r="2297" spans="1:5">
      <c r="A2297" s="1">
        <v>72048</v>
      </c>
      <c r="B2297" s="1">
        <v>1</v>
      </c>
      <c r="C2297" s="14" t="s">
        <v>4314</v>
      </c>
      <c r="D2297" s="2" t="s">
        <v>2474</v>
      </c>
      <c r="E2297" s="3" t="s">
        <v>2260</v>
      </c>
    </row>
    <row r="2298" spans="1:5">
      <c r="A2298" s="1">
        <v>72049</v>
      </c>
      <c r="B2298" s="1">
        <v>1</v>
      </c>
      <c r="C2298" s="14" t="s">
        <v>3366</v>
      </c>
      <c r="D2298" s="2" t="s">
        <v>2475</v>
      </c>
      <c r="E2298" s="3" t="s">
        <v>981</v>
      </c>
    </row>
    <row r="2299" spans="1:5">
      <c r="A2299" s="1">
        <v>72050</v>
      </c>
      <c r="B2299" s="1">
        <v>1</v>
      </c>
      <c r="C2299" s="14" t="s">
        <v>4314</v>
      </c>
      <c r="D2299" s="2" t="s">
        <v>2475</v>
      </c>
      <c r="E2299" s="3" t="s">
        <v>2260</v>
      </c>
    </row>
    <row r="2300" spans="1:5">
      <c r="A2300" s="82">
        <v>73001</v>
      </c>
      <c r="B2300" s="82">
        <v>1</v>
      </c>
      <c r="C2300" s="14" t="s">
        <v>3699</v>
      </c>
      <c r="D2300" s="83" t="s">
        <v>2476</v>
      </c>
      <c r="E2300" s="84" t="s">
        <v>628</v>
      </c>
    </row>
    <row r="2301" spans="1:5">
      <c r="A2301" s="82">
        <v>73002</v>
      </c>
      <c r="B2301" s="82">
        <v>1</v>
      </c>
      <c r="C2301" s="14" t="s">
        <v>3355</v>
      </c>
      <c r="D2301" s="83" t="s">
        <v>2477</v>
      </c>
      <c r="E2301" s="84" t="s">
        <v>599</v>
      </c>
    </row>
    <row r="2302" spans="1:5">
      <c r="A2302" s="82">
        <v>73003</v>
      </c>
      <c r="B2302" s="82">
        <v>1</v>
      </c>
      <c r="C2302" s="14" t="s">
        <v>3729</v>
      </c>
      <c r="D2302" s="83" t="s">
        <v>2478</v>
      </c>
      <c r="E2302" s="84" t="s">
        <v>653</v>
      </c>
    </row>
    <row r="2303" spans="1:5">
      <c r="A2303" s="82">
        <v>73004</v>
      </c>
      <c r="B2303" s="82">
        <v>1</v>
      </c>
      <c r="C2303" s="14" t="s">
        <v>3360</v>
      </c>
      <c r="D2303" s="83" t="s">
        <v>2479</v>
      </c>
      <c r="E2303" s="84" t="s">
        <v>604</v>
      </c>
    </row>
    <row r="2304" spans="1:5">
      <c r="A2304" s="82">
        <v>73005</v>
      </c>
      <c r="B2304" s="82">
        <v>1</v>
      </c>
      <c r="C2304" s="14" t="s">
        <v>3760</v>
      </c>
      <c r="D2304" s="83" t="s">
        <v>2480</v>
      </c>
      <c r="E2304" s="84" t="s">
        <v>789</v>
      </c>
    </row>
    <row r="2305" spans="1:5">
      <c r="A2305" s="82">
        <v>73006</v>
      </c>
      <c r="B2305" s="82">
        <v>1</v>
      </c>
      <c r="C2305" s="14" t="s">
        <v>3365</v>
      </c>
      <c r="D2305" s="83" t="s">
        <v>2481</v>
      </c>
      <c r="E2305" s="84" t="s">
        <v>793</v>
      </c>
    </row>
    <row r="2306" spans="1:5">
      <c r="A2306" s="82">
        <v>73007</v>
      </c>
      <c r="B2306" s="82">
        <v>1</v>
      </c>
      <c r="C2306" s="14" t="s">
        <v>3762</v>
      </c>
      <c r="D2306" s="83" t="s">
        <v>2482</v>
      </c>
      <c r="E2306" s="84" t="s">
        <v>797</v>
      </c>
    </row>
    <row r="2307" spans="1:5">
      <c r="A2307" s="82">
        <v>73008</v>
      </c>
      <c r="B2307" s="82">
        <v>1</v>
      </c>
      <c r="C2307" s="14" t="s">
        <v>3764</v>
      </c>
      <c r="D2307" s="83" t="s">
        <v>2483</v>
      </c>
      <c r="E2307" s="84" t="s">
        <v>801</v>
      </c>
    </row>
    <row r="2308" spans="1:5">
      <c r="A2308" s="82">
        <v>73009</v>
      </c>
      <c r="B2308" s="82">
        <v>1</v>
      </c>
      <c r="C2308" s="14" t="s">
        <v>3766</v>
      </c>
      <c r="D2308" s="83" t="s">
        <v>2484</v>
      </c>
      <c r="E2308" s="84" t="s">
        <v>805</v>
      </c>
    </row>
    <row r="2309" spans="1:5">
      <c r="A2309" s="82">
        <v>73010</v>
      </c>
      <c r="B2309" s="82">
        <v>1</v>
      </c>
      <c r="C2309" s="14" t="s">
        <v>3768</v>
      </c>
      <c r="D2309" s="83" t="s">
        <v>2485</v>
      </c>
      <c r="E2309" s="84" t="s">
        <v>809</v>
      </c>
    </row>
    <row r="2310" spans="1:5">
      <c r="A2310" s="82">
        <v>73011</v>
      </c>
      <c r="B2310" s="82">
        <v>1</v>
      </c>
      <c r="C2310" s="14" t="s">
        <v>4364</v>
      </c>
      <c r="D2310" s="83" t="s">
        <v>2486</v>
      </c>
      <c r="E2310" s="84" t="s">
        <v>2487</v>
      </c>
    </row>
    <row r="2311" spans="1:5">
      <c r="A2311" s="82">
        <v>73012</v>
      </c>
      <c r="B2311" s="82">
        <v>1</v>
      </c>
      <c r="C2311" s="14" t="s">
        <v>4274</v>
      </c>
      <c r="D2311" s="83" t="s">
        <v>2488</v>
      </c>
      <c r="E2311" s="84" t="s">
        <v>2159</v>
      </c>
    </row>
    <row r="2312" spans="1:5">
      <c r="A2312" s="82">
        <v>73013</v>
      </c>
      <c r="B2312" s="82">
        <v>1</v>
      </c>
      <c r="C2312" s="14" t="s">
        <v>4365</v>
      </c>
      <c r="D2312" s="83" t="s">
        <v>2489</v>
      </c>
      <c r="E2312" s="84" t="s">
        <v>2490</v>
      </c>
    </row>
    <row r="2313" spans="1:5">
      <c r="A2313" s="82">
        <v>73014</v>
      </c>
      <c r="B2313" s="82">
        <v>1</v>
      </c>
      <c r="C2313" s="14" t="s">
        <v>4317</v>
      </c>
      <c r="D2313" s="83" t="s">
        <v>2491</v>
      </c>
      <c r="E2313" s="84" t="s">
        <v>2275</v>
      </c>
    </row>
    <row r="2314" spans="1:5">
      <c r="A2314" s="82">
        <v>73015</v>
      </c>
      <c r="B2314" s="82">
        <v>1</v>
      </c>
      <c r="C2314" s="14" t="s">
        <v>4366</v>
      </c>
      <c r="D2314" s="83" t="s">
        <v>2492</v>
      </c>
      <c r="E2314" s="84" t="s">
        <v>2493</v>
      </c>
    </row>
    <row r="2315" spans="1:5">
      <c r="A2315" s="82">
        <v>73016</v>
      </c>
      <c r="B2315" s="82">
        <v>1</v>
      </c>
      <c r="C2315" s="14" t="s">
        <v>4277</v>
      </c>
      <c r="D2315" s="83" t="s">
        <v>2494</v>
      </c>
      <c r="E2315" s="84" t="s">
        <v>2163</v>
      </c>
    </row>
    <row r="2316" spans="1:5">
      <c r="A2316" s="82">
        <v>73017</v>
      </c>
      <c r="B2316" s="82">
        <v>1</v>
      </c>
      <c r="C2316" s="14" t="s">
        <v>4367</v>
      </c>
      <c r="D2316" s="83" t="s">
        <v>2495</v>
      </c>
      <c r="E2316" s="84" t="s">
        <v>2496</v>
      </c>
    </row>
    <row r="2317" spans="1:5">
      <c r="A2317" s="82">
        <v>73018</v>
      </c>
      <c r="B2317" s="82">
        <v>1</v>
      </c>
      <c r="C2317" s="14" t="s">
        <v>4368</v>
      </c>
      <c r="D2317" s="83" t="s">
        <v>2497</v>
      </c>
      <c r="E2317" s="84" t="s">
        <v>2498</v>
      </c>
    </row>
    <row r="2318" spans="1:5">
      <c r="A2318" s="82">
        <v>73019</v>
      </c>
      <c r="B2318" s="82">
        <v>1</v>
      </c>
      <c r="C2318" s="14" t="s">
        <v>4369</v>
      </c>
      <c r="D2318" s="83" t="s">
        <v>2499</v>
      </c>
      <c r="E2318" s="84" t="s">
        <v>2500</v>
      </c>
    </row>
    <row r="2319" spans="1:5">
      <c r="A2319" s="82">
        <v>73020</v>
      </c>
      <c r="B2319" s="82">
        <v>1</v>
      </c>
      <c r="C2319" s="14" t="s">
        <v>4280</v>
      </c>
      <c r="D2319" s="83" t="s">
        <v>2501</v>
      </c>
      <c r="E2319" s="84" t="s">
        <v>2167</v>
      </c>
    </row>
    <row r="2320" spans="1:5">
      <c r="A2320" s="82">
        <v>73021</v>
      </c>
      <c r="B2320" s="82">
        <v>1</v>
      </c>
      <c r="C2320" s="14" t="s">
        <v>4370</v>
      </c>
      <c r="D2320" s="83" t="s">
        <v>2502</v>
      </c>
      <c r="E2320" s="84" t="s">
        <v>2503</v>
      </c>
    </row>
    <row r="2321" spans="1:5">
      <c r="A2321" s="82">
        <v>73022</v>
      </c>
      <c r="B2321" s="82">
        <v>1</v>
      </c>
      <c r="C2321" s="14" t="s">
        <v>4371</v>
      </c>
      <c r="D2321" s="83" t="s">
        <v>2504</v>
      </c>
      <c r="E2321" s="84" t="s">
        <v>2505</v>
      </c>
    </row>
    <row r="2322" spans="1:5">
      <c r="A2322" s="82">
        <v>73023</v>
      </c>
      <c r="B2322" s="82">
        <v>1</v>
      </c>
      <c r="C2322" s="14" t="s">
        <v>4372</v>
      </c>
      <c r="D2322" s="83" t="s">
        <v>2506</v>
      </c>
      <c r="E2322" s="84" t="s">
        <v>2507</v>
      </c>
    </row>
    <row r="2323" spans="1:5">
      <c r="A2323" s="82">
        <v>73024</v>
      </c>
      <c r="B2323" s="82">
        <v>1</v>
      </c>
      <c r="C2323" s="14" t="s">
        <v>4373</v>
      </c>
      <c r="D2323" s="83" t="s">
        <v>2508</v>
      </c>
      <c r="E2323" s="84" t="s">
        <v>2509</v>
      </c>
    </row>
    <row r="2324" spans="1:5">
      <c r="A2324" s="108">
        <v>73051</v>
      </c>
      <c r="B2324" s="108">
        <v>1</v>
      </c>
      <c r="C2324" s="14" t="s">
        <v>3355</v>
      </c>
      <c r="D2324" s="109" t="s">
        <v>2510</v>
      </c>
      <c r="E2324" s="110" t="s">
        <v>599</v>
      </c>
    </row>
    <row r="2325" spans="1:5">
      <c r="A2325" s="108">
        <v>73052</v>
      </c>
      <c r="B2325" s="108">
        <v>1</v>
      </c>
      <c r="C2325" s="14" t="s">
        <v>3360</v>
      </c>
      <c r="D2325" s="109" t="s">
        <v>2511</v>
      </c>
      <c r="E2325" s="110" t="s">
        <v>604</v>
      </c>
    </row>
    <row r="2326" spans="1:5">
      <c r="A2326" s="108">
        <v>73053</v>
      </c>
      <c r="B2326" s="108">
        <v>1</v>
      </c>
      <c r="C2326" s="14" t="s">
        <v>3365</v>
      </c>
      <c r="D2326" s="109" t="s">
        <v>2512</v>
      </c>
      <c r="E2326" s="110" t="s">
        <v>793</v>
      </c>
    </row>
    <row r="2327" spans="1:5">
      <c r="A2327" s="108">
        <v>73054</v>
      </c>
      <c r="B2327" s="108">
        <v>1</v>
      </c>
      <c r="C2327" s="14" t="s">
        <v>3764</v>
      </c>
      <c r="D2327" s="109" t="s">
        <v>2513</v>
      </c>
      <c r="E2327" s="110" t="s">
        <v>801</v>
      </c>
    </row>
    <row r="2328" spans="1:5">
      <c r="A2328" s="108">
        <v>73055</v>
      </c>
      <c r="B2328" s="108">
        <v>1</v>
      </c>
      <c r="C2328" s="14" t="s">
        <v>3768</v>
      </c>
      <c r="D2328" s="109" t="s">
        <v>2514</v>
      </c>
      <c r="E2328" s="110" t="s">
        <v>809</v>
      </c>
    </row>
    <row r="2329" spans="1:5">
      <c r="A2329" s="108">
        <v>73056</v>
      </c>
      <c r="B2329" s="108">
        <v>1</v>
      </c>
      <c r="C2329" s="14" t="s">
        <v>4274</v>
      </c>
      <c r="D2329" s="109" t="s">
        <v>2515</v>
      </c>
      <c r="E2329" s="110" t="s">
        <v>2159</v>
      </c>
    </row>
    <row r="2330" spans="1:5">
      <c r="A2330" s="108">
        <v>73057</v>
      </c>
      <c r="B2330" s="108">
        <v>1</v>
      </c>
      <c r="C2330" s="14" t="s">
        <v>4317</v>
      </c>
      <c r="D2330" s="109" t="s">
        <v>2516</v>
      </c>
      <c r="E2330" s="110" t="s">
        <v>2275</v>
      </c>
    </row>
    <row r="2331" spans="1:5">
      <c r="A2331" s="108">
        <v>73058</v>
      </c>
      <c r="B2331" s="108">
        <v>1</v>
      </c>
      <c r="C2331" s="14" t="s">
        <v>4277</v>
      </c>
      <c r="D2331" s="109" t="s">
        <v>2517</v>
      </c>
      <c r="E2331" s="110" t="s">
        <v>2163</v>
      </c>
    </row>
    <row r="2332" spans="1:5">
      <c r="A2332" s="108">
        <v>73059</v>
      </c>
      <c r="B2332" s="108">
        <v>1</v>
      </c>
      <c r="C2332" s="14" t="s">
        <v>4368</v>
      </c>
      <c r="D2332" s="109" t="s">
        <v>2518</v>
      </c>
      <c r="E2332" s="110" t="s">
        <v>2498</v>
      </c>
    </row>
    <row r="2333" spans="1:5">
      <c r="A2333" s="108">
        <v>73060</v>
      </c>
      <c r="B2333" s="108">
        <v>1</v>
      </c>
      <c r="C2333" s="14" t="s">
        <v>4280</v>
      </c>
      <c r="D2333" s="109" t="s">
        <v>2519</v>
      </c>
      <c r="E2333" s="110" t="s">
        <v>2167</v>
      </c>
    </row>
    <row r="2334" spans="1:5">
      <c r="A2334" s="108">
        <v>73061</v>
      </c>
      <c r="B2334" s="108">
        <v>1</v>
      </c>
      <c r="C2334" s="14" t="s">
        <v>4371</v>
      </c>
      <c r="D2334" s="109" t="s">
        <v>2520</v>
      </c>
      <c r="E2334" s="110" t="s">
        <v>2505</v>
      </c>
    </row>
    <row r="2335" spans="1:5">
      <c r="A2335" s="108">
        <v>73062</v>
      </c>
      <c r="B2335" s="108">
        <v>1</v>
      </c>
      <c r="C2335" s="14" t="s">
        <v>4373</v>
      </c>
      <c r="D2335" s="109" t="s">
        <v>2521</v>
      </c>
      <c r="E2335" s="110" t="s">
        <v>2509</v>
      </c>
    </row>
    <row r="2336" spans="1:5">
      <c r="A2336" s="108">
        <v>73063</v>
      </c>
      <c r="B2336" s="108">
        <v>1</v>
      </c>
      <c r="C2336" s="14" t="s">
        <v>4374</v>
      </c>
      <c r="D2336" s="109" t="s">
        <v>2522</v>
      </c>
      <c r="E2336" s="110" t="s">
        <v>2523</v>
      </c>
    </row>
    <row r="2337" spans="1:5">
      <c r="A2337" s="108">
        <v>73064</v>
      </c>
      <c r="B2337" s="108">
        <v>1</v>
      </c>
      <c r="C2337" s="14" t="s">
        <v>4375</v>
      </c>
      <c r="D2337" s="109" t="s">
        <v>2524</v>
      </c>
      <c r="E2337" s="110" t="s">
        <v>2525</v>
      </c>
    </row>
    <row r="2338" spans="1:5">
      <c r="A2338" s="108">
        <v>73065</v>
      </c>
      <c r="B2338" s="108">
        <v>1</v>
      </c>
      <c r="C2338" s="14" t="s">
        <v>4285</v>
      </c>
      <c r="D2338" s="109" t="s">
        <v>2526</v>
      </c>
      <c r="E2338" s="110" t="s">
        <v>2174</v>
      </c>
    </row>
    <row r="2339" spans="1:5">
      <c r="A2339" s="108">
        <v>73066</v>
      </c>
      <c r="B2339" s="108">
        <v>1</v>
      </c>
      <c r="C2339" s="14" t="s">
        <v>4376</v>
      </c>
      <c r="D2339" s="109" t="s">
        <v>2527</v>
      </c>
      <c r="E2339" s="110" t="s">
        <v>2528</v>
      </c>
    </row>
    <row r="2340" spans="1:5">
      <c r="A2340" s="108">
        <v>73067</v>
      </c>
      <c r="B2340" s="108">
        <v>1</v>
      </c>
      <c r="C2340" s="14" t="s">
        <v>4377</v>
      </c>
      <c r="D2340" s="109" t="s">
        <v>2529</v>
      </c>
      <c r="E2340" s="110" t="s">
        <v>2530</v>
      </c>
    </row>
    <row r="2341" spans="1:5">
      <c r="A2341" s="108">
        <v>73068</v>
      </c>
      <c r="B2341" s="108">
        <v>1</v>
      </c>
      <c r="C2341" s="14" t="s">
        <v>4378</v>
      </c>
      <c r="D2341" s="109" t="s">
        <v>2531</v>
      </c>
      <c r="E2341" s="110" t="s">
        <v>2532</v>
      </c>
    </row>
    <row r="2342" spans="1:5">
      <c r="A2342" s="108">
        <v>73069</v>
      </c>
      <c r="B2342" s="108">
        <v>1</v>
      </c>
      <c r="C2342" s="14" t="s">
        <v>4379</v>
      </c>
      <c r="D2342" s="109" t="s">
        <v>2533</v>
      </c>
      <c r="E2342" s="110" t="s">
        <v>2534</v>
      </c>
    </row>
    <row r="2343" spans="1:5">
      <c r="A2343" s="108">
        <v>73070</v>
      </c>
      <c r="B2343" s="108">
        <v>1</v>
      </c>
      <c r="C2343" s="14" t="s">
        <v>4168</v>
      </c>
      <c r="D2343" s="109" t="s">
        <v>2535</v>
      </c>
      <c r="E2343" s="110" t="s">
        <v>1838</v>
      </c>
    </row>
    <row r="2344" spans="1:5">
      <c r="A2344" s="108">
        <v>73071</v>
      </c>
      <c r="B2344" s="108">
        <v>1</v>
      </c>
      <c r="C2344" s="14" t="s">
        <v>4380</v>
      </c>
      <c r="D2344" s="109" t="s">
        <v>2536</v>
      </c>
      <c r="E2344" s="110" t="s">
        <v>2537</v>
      </c>
    </row>
    <row r="2345" spans="1:5">
      <c r="A2345" s="108">
        <v>73072</v>
      </c>
      <c r="B2345" s="108">
        <v>1</v>
      </c>
      <c r="C2345" s="14" t="s">
        <v>4381</v>
      </c>
      <c r="D2345" s="109" t="s">
        <v>2538</v>
      </c>
      <c r="E2345" s="110" t="s">
        <v>2539</v>
      </c>
    </row>
    <row r="2346" spans="1:5">
      <c r="A2346" s="108">
        <v>73073</v>
      </c>
      <c r="B2346" s="108">
        <v>1</v>
      </c>
      <c r="C2346" s="14" t="s">
        <v>4382</v>
      </c>
      <c r="D2346" s="109" t="s">
        <v>2540</v>
      </c>
      <c r="E2346" s="110" t="s">
        <v>2541</v>
      </c>
    </row>
    <row r="2347" spans="1:5">
      <c r="A2347" s="108">
        <v>73074</v>
      </c>
      <c r="B2347" s="108">
        <v>1</v>
      </c>
      <c r="C2347" s="14" t="s">
        <v>4383</v>
      </c>
      <c r="D2347" s="109" t="s">
        <v>2542</v>
      </c>
      <c r="E2347" s="110" t="s">
        <v>2543</v>
      </c>
    </row>
    <row r="2348" spans="1:5">
      <c r="A2348" s="82">
        <v>73101</v>
      </c>
      <c r="B2348" s="82">
        <v>1</v>
      </c>
      <c r="C2348" s="14" t="s">
        <v>4384</v>
      </c>
      <c r="D2348" s="83" t="s">
        <v>2544</v>
      </c>
      <c r="E2348" s="84" t="s">
        <v>2545</v>
      </c>
    </row>
    <row r="2349" spans="1:5">
      <c r="A2349" s="82">
        <v>73102</v>
      </c>
      <c r="B2349" s="82">
        <v>1</v>
      </c>
      <c r="C2349" s="14" t="s">
        <v>3718</v>
      </c>
      <c r="D2349" s="83" t="s">
        <v>2546</v>
      </c>
      <c r="E2349" s="84" t="s">
        <v>631</v>
      </c>
    </row>
    <row r="2350" spans="1:5">
      <c r="A2350" s="82">
        <v>73103</v>
      </c>
      <c r="B2350" s="82">
        <v>1</v>
      </c>
      <c r="C2350" s="14" t="s">
        <v>4385</v>
      </c>
      <c r="D2350" s="83" t="s">
        <v>2547</v>
      </c>
      <c r="E2350" s="84" t="s">
        <v>2548</v>
      </c>
    </row>
    <row r="2351" spans="1:5">
      <c r="A2351" s="82">
        <v>73104</v>
      </c>
      <c r="B2351" s="82">
        <v>1</v>
      </c>
      <c r="C2351" s="14" t="s">
        <v>3722</v>
      </c>
      <c r="D2351" s="83" t="s">
        <v>2549</v>
      </c>
      <c r="E2351" s="84" t="s">
        <v>638</v>
      </c>
    </row>
    <row r="2352" spans="1:5">
      <c r="A2352" s="82">
        <v>73105</v>
      </c>
      <c r="B2352" s="82">
        <v>1</v>
      </c>
      <c r="C2352" s="14" t="s">
        <v>4386</v>
      </c>
      <c r="D2352" s="83" t="s">
        <v>2550</v>
      </c>
      <c r="E2352" s="84" t="s">
        <v>2551</v>
      </c>
    </row>
    <row r="2353" spans="1:5">
      <c r="A2353" s="82">
        <v>73106</v>
      </c>
      <c r="B2353" s="82">
        <v>1</v>
      </c>
      <c r="C2353" s="14" t="s">
        <v>4387</v>
      </c>
      <c r="D2353" s="83" t="s">
        <v>2552</v>
      </c>
      <c r="E2353" s="84" t="s">
        <v>2553</v>
      </c>
    </row>
    <row r="2354" spans="1:5">
      <c r="A2354" s="82">
        <v>73107</v>
      </c>
      <c r="B2354" s="82">
        <v>1</v>
      </c>
      <c r="C2354" s="14" t="s">
        <v>4388</v>
      </c>
      <c r="D2354" s="83" t="s">
        <v>2554</v>
      </c>
      <c r="E2354" s="84" t="s">
        <v>2555</v>
      </c>
    </row>
    <row r="2355" spans="1:5">
      <c r="A2355" s="82">
        <v>73108</v>
      </c>
      <c r="B2355" s="82">
        <v>1</v>
      </c>
      <c r="C2355" s="14" t="s">
        <v>4389</v>
      </c>
      <c r="D2355" s="83" t="s">
        <v>2556</v>
      </c>
      <c r="E2355" s="84" t="s">
        <v>2557</v>
      </c>
    </row>
    <row r="2356" spans="1:5">
      <c r="A2356" s="82">
        <v>73109</v>
      </c>
      <c r="B2356" s="82">
        <v>1</v>
      </c>
      <c r="C2356" s="14" t="s">
        <v>4390</v>
      </c>
      <c r="D2356" s="83" t="s">
        <v>2558</v>
      </c>
      <c r="E2356" s="84" t="s">
        <v>2559</v>
      </c>
    </row>
    <row r="2357" spans="1:5">
      <c r="A2357" s="82">
        <v>73110</v>
      </c>
      <c r="B2357" s="82">
        <v>1</v>
      </c>
      <c r="C2357" s="14" t="s">
        <v>4391</v>
      </c>
      <c r="D2357" s="83" t="s">
        <v>2560</v>
      </c>
      <c r="E2357" s="84" t="s">
        <v>2561</v>
      </c>
    </row>
    <row r="2358" spans="1:5">
      <c r="A2358" s="82">
        <v>73111</v>
      </c>
      <c r="B2358" s="82">
        <v>1</v>
      </c>
      <c r="C2358" s="14" t="s">
        <v>4392</v>
      </c>
      <c r="D2358" s="83" t="s">
        <v>2562</v>
      </c>
      <c r="E2358" s="84" t="s">
        <v>2563</v>
      </c>
    </row>
    <row r="2359" spans="1:5">
      <c r="A2359" s="82">
        <v>73112</v>
      </c>
      <c r="B2359" s="82">
        <v>1</v>
      </c>
      <c r="C2359" s="14" t="s">
        <v>4393</v>
      </c>
      <c r="D2359" s="83" t="s">
        <v>2564</v>
      </c>
      <c r="E2359" s="84" t="s">
        <v>2565</v>
      </c>
    </row>
    <row r="2360" spans="1:5">
      <c r="A2360" s="82">
        <v>73113</v>
      </c>
      <c r="B2360" s="82">
        <v>1</v>
      </c>
      <c r="C2360" s="14" t="s">
        <v>4394</v>
      </c>
      <c r="D2360" s="83" t="s">
        <v>2566</v>
      </c>
      <c r="E2360" s="84" t="s">
        <v>2567</v>
      </c>
    </row>
    <row r="2361" spans="1:5">
      <c r="A2361" s="82">
        <v>73114</v>
      </c>
      <c r="B2361" s="82">
        <v>1</v>
      </c>
      <c r="C2361" s="14" t="s">
        <v>4395</v>
      </c>
      <c r="D2361" s="83" t="s">
        <v>2568</v>
      </c>
      <c r="E2361" s="84" t="s">
        <v>2569</v>
      </c>
    </row>
    <row r="2362" spans="1:5">
      <c r="A2362" s="82">
        <v>73115</v>
      </c>
      <c r="B2362" s="82">
        <v>1</v>
      </c>
      <c r="C2362" s="14" t="s">
        <v>4396</v>
      </c>
      <c r="D2362" s="83" t="s">
        <v>2570</v>
      </c>
      <c r="E2362" s="84" t="s">
        <v>2571</v>
      </c>
    </row>
    <row r="2363" spans="1:5">
      <c r="A2363" s="82">
        <v>73116</v>
      </c>
      <c r="B2363" s="82">
        <v>1</v>
      </c>
      <c r="C2363" s="14" t="s">
        <v>4397</v>
      </c>
      <c r="D2363" s="83" t="s">
        <v>2572</v>
      </c>
      <c r="E2363" s="84" t="s">
        <v>2573</v>
      </c>
    </row>
    <row r="2364" spans="1:5">
      <c r="A2364" s="82">
        <v>73117</v>
      </c>
      <c r="B2364" s="82">
        <v>1</v>
      </c>
      <c r="C2364" s="14" t="s">
        <v>4398</v>
      </c>
      <c r="D2364" s="83" t="s">
        <v>2574</v>
      </c>
      <c r="E2364" s="84" t="s">
        <v>2575</v>
      </c>
    </row>
    <row r="2365" spans="1:5">
      <c r="A2365" s="82">
        <v>73118</v>
      </c>
      <c r="B2365" s="82">
        <v>1</v>
      </c>
      <c r="C2365" s="14" t="s">
        <v>4399</v>
      </c>
      <c r="D2365" s="83" t="s">
        <v>2576</v>
      </c>
      <c r="E2365" s="84" t="s">
        <v>2577</v>
      </c>
    </row>
    <row r="2366" spans="1:5">
      <c r="A2366" s="82">
        <v>73119</v>
      </c>
      <c r="B2366" s="82">
        <v>1</v>
      </c>
      <c r="C2366" s="14" t="s">
        <v>4400</v>
      </c>
      <c r="D2366" s="83" t="s">
        <v>2578</v>
      </c>
      <c r="E2366" s="84" t="s">
        <v>2579</v>
      </c>
    </row>
    <row r="2367" spans="1:5">
      <c r="A2367" s="82">
        <v>73120</v>
      </c>
      <c r="B2367" s="82">
        <v>1</v>
      </c>
      <c r="C2367" s="14" t="s">
        <v>3725</v>
      </c>
      <c r="D2367" s="83" t="s">
        <v>2580</v>
      </c>
      <c r="E2367" s="84" t="s">
        <v>643</v>
      </c>
    </row>
    <row r="2368" spans="1:5">
      <c r="A2368" s="82">
        <v>73121</v>
      </c>
      <c r="B2368" s="82">
        <v>1</v>
      </c>
      <c r="C2368" s="14" t="s">
        <v>4401</v>
      </c>
      <c r="D2368" s="83" t="s">
        <v>2581</v>
      </c>
      <c r="E2368" s="84" t="s">
        <v>2582</v>
      </c>
    </row>
    <row r="2369" spans="1:5">
      <c r="A2369" s="82">
        <v>73122</v>
      </c>
      <c r="B2369" s="82">
        <v>1</v>
      </c>
      <c r="C2369" s="14" t="s">
        <v>4402</v>
      </c>
      <c r="D2369" s="83" t="s">
        <v>2583</v>
      </c>
      <c r="E2369" s="84" t="s">
        <v>2584</v>
      </c>
    </row>
    <row r="2370" spans="1:5">
      <c r="A2370" s="82">
        <v>73123</v>
      </c>
      <c r="B2370" s="82">
        <v>1</v>
      </c>
      <c r="C2370" s="14" t="s">
        <v>4403</v>
      </c>
      <c r="D2370" s="83" t="s">
        <v>2585</v>
      </c>
      <c r="E2370" s="84" t="s">
        <v>2586</v>
      </c>
    </row>
    <row r="2371" spans="1:5">
      <c r="A2371" s="82">
        <v>73124</v>
      </c>
      <c r="B2371" s="82">
        <v>1</v>
      </c>
      <c r="C2371" s="14" t="s">
        <v>4404</v>
      </c>
      <c r="D2371" s="83" t="s">
        <v>2587</v>
      </c>
      <c r="E2371" s="84" t="s">
        <v>2588</v>
      </c>
    </row>
    <row r="2372" spans="1:5">
      <c r="A2372" s="108">
        <v>73151</v>
      </c>
      <c r="B2372" s="108">
        <v>1</v>
      </c>
      <c r="C2372" s="14" t="s">
        <v>4385</v>
      </c>
      <c r="D2372" s="109" t="s">
        <v>2589</v>
      </c>
      <c r="E2372" s="110" t="s">
        <v>2548</v>
      </c>
    </row>
    <row r="2373" spans="1:5">
      <c r="A2373" s="108">
        <v>73152</v>
      </c>
      <c r="B2373" s="108">
        <v>1</v>
      </c>
      <c r="C2373" s="14" t="s">
        <v>4405</v>
      </c>
      <c r="D2373" s="109" t="s">
        <v>2590</v>
      </c>
      <c r="E2373" s="110" t="s">
        <v>2591</v>
      </c>
    </row>
    <row r="2374" spans="1:5">
      <c r="A2374" s="108">
        <v>73153</v>
      </c>
      <c r="B2374" s="108">
        <v>1</v>
      </c>
      <c r="C2374" s="14" t="s">
        <v>4406</v>
      </c>
      <c r="D2374" s="109" t="s">
        <v>2592</v>
      </c>
      <c r="E2374" s="110" t="s">
        <v>2593</v>
      </c>
    </row>
    <row r="2375" spans="1:5">
      <c r="A2375" s="108">
        <v>73154</v>
      </c>
      <c r="B2375" s="108">
        <v>1</v>
      </c>
      <c r="C2375" s="14" t="s">
        <v>4407</v>
      </c>
      <c r="D2375" s="109" t="s">
        <v>2594</v>
      </c>
      <c r="E2375" s="110" t="s">
        <v>2595</v>
      </c>
    </row>
    <row r="2376" spans="1:5">
      <c r="A2376" s="108">
        <v>73155</v>
      </c>
      <c r="B2376" s="108">
        <v>1</v>
      </c>
      <c r="C2376" s="14" t="s">
        <v>4386</v>
      </c>
      <c r="D2376" s="109" t="s">
        <v>2596</v>
      </c>
      <c r="E2376" s="110" t="s">
        <v>2551</v>
      </c>
    </row>
    <row r="2377" spans="1:5">
      <c r="A2377" s="108">
        <v>73156</v>
      </c>
      <c r="B2377" s="108">
        <v>1</v>
      </c>
      <c r="C2377" s="14" t="s">
        <v>4408</v>
      </c>
      <c r="D2377" s="109" t="s">
        <v>2597</v>
      </c>
      <c r="E2377" s="110" t="s">
        <v>2598</v>
      </c>
    </row>
    <row r="2378" spans="1:5">
      <c r="A2378" s="108">
        <v>73157</v>
      </c>
      <c r="B2378" s="108">
        <v>1</v>
      </c>
      <c r="C2378" s="14" t="s">
        <v>4391</v>
      </c>
      <c r="D2378" s="109" t="s">
        <v>2599</v>
      </c>
      <c r="E2378" s="110" t="s">
        <v>2561</v>
      </c>
    </row>
    <row r="2379" spans="1:5">
      <c r="A2379" s="108">
        <v>73158</v>
      </c>
      <c r="B2379" s="108">
        <v>1</v>
      </c>
      <c r="C2379" s="14" t="s">
        <v>4409</v>
      </c>
      <c r="D2379" s="109" t="s">
        <v>2600</v>
      </c>
      <c r="E2379" s="110" t="s">
        <v>2601</v>
      </c>
    </row>
    <row r="2380" spans="1:5">
      <c r="A2380" s="108">
        <v>73159</v>
      </c>
      <c r="B2380" s="108">
        <v>1</v>
      </c>
      <c r="C2380" s="14" t="s">
        <v>4396</v>
      </c>
      <c r="D2380" s="109" t="s">
        <v>2602</v>
      </c>
      <c r="E2380" s="110" t="s">
        <v>2571</v>
      </c>
    </row>
    <row r="2381" spans="1:5">
      <c r="A2381" s="108">
        <v>73160</v>
      </c>
      <c r="B2381" s="108">
        <v>1</v>
      </c>
      <c r="C2381" s="14" t="s">
        <v>4410</v>
      </c>
      <c r="D2381" s="109" t="s">
        <v>2603</v>
      </c>
      <c r="E2381" s="110" t="s">
        <v>2604</v>
      </c>
    </row>
    <row r="2382" spans="1:5">
      <c r="A2382" s="108">
        <v>73161</v>
      </c>
      <c r="B2382" s="108">
        <v>1</v>
      </c>
      <c r="C2382" s="14" t="s">
        <v>3725</v>
      </c>
      <c r="D2382" s="109" t="s">
        <v>2605</v>
      </c>
      <c r="E2382" s="110" t="s">
        <v>643</v>
      </c>
    </row>
    <row r="2383" spans="1:5">
      <c r="A2383" s="108">
        <v>73162</v>
      </c>
      <c r="B2383" s="108">
        <v>1</v>
      </c>
      <c r="C2383" s="14" t="s">
        <v>4411</v>
      </c>
      <c r="D2383" s="109" t="s">
        <v>2606</v>
      </c>
      <c r="E2383" s="110" t="s">
        <v>2607</v>
      </c>
    </row>
    <row r="2384" spans="1:5">
      <c r="A2384" s="108">
        <v>73163</v>
      </c>
      <c r="B2384" s="108">
        <v>1</v>
      </c>
      <c r="C2384" s="14" t="s">
        <v>4412</v>
      </c>
      <c r="D2384" s="109" t="s">
        <v>2589</v>
      </c>
      <c r="E2384" s="110" t="s">
        <v>2608</v>
      </c>
    </row>
    <row r="2385" spans="1:5">
      <c r="A2385" s="108">
        <v>73164</v>
      </c>
      <c r="B2385" s="108">
        <v>1</v>
      </c>
      <c r="C2385" s="14" t="s">
        <v>4413</v>
      </c>
      <c r="D2385" s="109" t="s">
        <v>2590</v>
      </c>
      <c r="E2385" s="110" t="s">
        <v>2609</v>
      </c>
    </row>
    <row r="2386" spans="1:5">
      <c r="A2386" s="108">
        <v>73165</v>
      </c>
      <c r="B2386" s="108">
        <v>1</v>
      </c>
      <c r="C2386" s="14" t="s">
        <v>4414</v>
      </c>
      <c r="D2386" s="109" t="s">
        <v>2592</v>
      </c>
      <c r="E2386" s="110" t="s">
        <v>2610</v>
      </c>
    </row>
    <row r="2387" spans="1:5">
      <c r="A2387" s="108">
        <v>73166</v>
      </c>
      <c r="B2387" s="108">
        <v>1</v>
      </c>
      <c r="C2387" s="14" t="s">
        <v>4415</v>
      </c>
      <c r="D2387" s="109" t="s">
        <v>2594</v>
      </c>
      <c r="E2387" s="110" t="s">
        <v>2611</v>
      </c>
    </row>
    <row r="2388" spans="1:5">
      <c r="A2388" s="108">
        <v>73167</v>
      </c>
      <c r="B2388" s="108">
        <v>1</v>
      </c>
      <c r="C2388" s="14" t="s">
        <v>4416</v>
      </c>
      <c r="D2388" s="109" t="s">
        <v>2596</v>
      </c>
      <c r="E2388" s="110" t="s">
        <v>2612</v>
      </c>
    </row>
    <row r="2389" spans="1:5">
      <c r="A2389" s="108">
        <v>73168</v>
      </c>
      <c r="B2389" s="108">
        <v>1</v>
      </c>
      <c r="C2389" s="14" t="s">
        <v>4417</v>
      </c>
      <c r="D2389" s="109" t="s">
        <v>2597</v>
      </c>
      <c r="E2389" s="110" t="s">
        <v>2613</v>
      </c>
    </row>
    <row r="2390" spans="1:5">
      <c r="A2390" s="108">
        <v>73169</v>
      </c>
      <c r="B2390" s="108">
        <v>1</v>
      </c>
      <c r="C2390" s="14" t="s">
        <v>4418</v>
      </c>
      <c r="D2390" s="109" t="s">
        <v>2599</v>
      </c>
      <c r="E2390" s="110" t="s">
        <v>2614</v>
      </c>
    </row>
    <row r="2391" spans="1:5">
      <c r="A2391" s="108">
        <v>73170</v>
      </c>
      <c r="B2391" s="108">
        <v>1</v>
      </c>
      <c r="C2391" s="14" t="s">
        <v>4419</v>
      </c>
      <c r="D2391" s="109" t="s">
        <v>2600</v>
      </c>
      <c r="E2391" s="110" t="s">
        <v>2615</v>
      </c>
    </row>
    <row r="2392" spans="1:5">
      <c r="A2392" s="108">
        <v>73171</v>
      </c>
      <c r="B2392" s="108">
        <v>1</v>
      </c>
      <c r="C2392" s="14" t="s">
        <v>4420</v>
      </c>
      <c r="D2392" s="109" t="s">
        <v>2602</v>
      </c>
      <c r="E2392" s="110" t="s">
        <v>2616</v>
      </c>
    </row>
    <row r="2393" spans="1:5">
      <c r="A2393" s="108">
        <v>73172</v>
      </c>
      <c r="B2393" s="108">
        <v>1</v>
      </c>
      <c r="C2393" s="14" t="s">
        <v>4420</v>
      </c>
      <c r="D2393" s="109" t="s">
        <v>2603</v>
      </c>
      <c r="E2393" s="110" t="s">
        <v>2616</v>
      </c>
    </row>
    <row r="2394" spans="1:5">
      <c r="A2394" s="108">
        <v>73173</v>
      </c>
      <c r="B2394" s="108">
        <v>1</v>
      </c>
      <c r="C2394" s="14" t="s">
        <v>4420</v>
      </c>
      <c r="D2394" s="109" t="s">
        <v>2605</v>
      </c>
      <c r="E2394" s="110" t="s">
        <v>2616</v>
      </c>
    </row>
    <row r="2395" spans="1:5">
      <c r="A2395" s="108">
        <v>73174</v>
      </c>
      <c r="B2395" s="108">
        <v>1</v>
      </c>
      <c r="C2395" s="14" t="s">
        <v>4420</v>
      </c>
      <c r="D2395" s="109" t="s">
        <v>2606</v>
      </c>
      <c r="E2395" s="110" t="s">
        <v>2616</v>
      </c>
    </row>
    <row r="2396" spans="1:5">
      <c r="A2396" s="82">
        <v>73201</v>
      </c>
      <c r="B2396" s="82">
        <v>1</v>
      </c>
      <c r="C2396" s="14" t="s">
        <v>4119</v>
      </c>
      <c r="D2396" s="83" t="s">
        <v>2617</v>
      </c>
      <c r="E2396" s="84" t="s">
        <v>1723</v>
      </c>
    </row>
    <row r="2397" spans="1:5">
      <c r="A2397" s="82">
        <v>73202</v>
      </c>
      <c r="B2397" s="82">
        <v>1</v>
      </c>
      <c r="C2397" s="14" t="s">
        <v>4120</v>
      </c>
      <c r="D2397" s="83" t="s">
        <v>2618</v>
      </c>
      <c r="E2397" s="84" t="s">
        <v>1724</v>
      </c>
    </row>
    <row r="2398" spans="1:5">
      <c r="A2398" s="82">
        <v>73203</v>
      </c>
      <c r="B2398" s="82">
        <v>1</v>
      </c>
      <c r="C2398" s="14" t="s">
        <v>4121</v>
      </c>
      <c r="D2398" s="83" t="s">
        <v>2619</v>
      </c>
      <c r="E2398" s="84" t="s">
        <v>1725</v>
      </c>
    </row>
    <row r="2399" spans="1:5">
      <c r="A2399" s="82">
        <v>73204</v>
      </c>
      <c r="B2399" s="82">
        <v>1</v>
      </c>
      <c r="C2399" s="14" t="s">
        <v>3328</v>
      </c>
      <c r="D2399" s="83" t="s">
        <v>2620</v>
      </c>
      <c r="E2399" s="84" t="s">
        <v>928</v>
      </c>
    </row>
    <row r="2400" spans="1:5">
      <c r="A2400" s="82">
        <v>73205</v>
      </c>
      <c r="B2400" s="82">
        <v>1</v>
      </c>
      <c r="C2400" s="14" t="s">
        <v>4421</v>
      </c>
      <c r="D2400" s="83" t="s">
        <v>2621</v>
      </c>
      <c r="E2400" s="84" t="s">
        <v>2622</v>
      </c>
    </row>
    <row r="2401" spans="1:5">
      <c r="A2401" s="82">
        <v>73206</v>
      </c>
      <c r="B2401" s="82">
        <v>1</v>
      </c>
      <c r="C2401" s="14" t="s">
        <v>4422</v>
      </c>
      <c r="D2401" s="83" t="s">
        <v>2623</v>
      </c>
      <c r="E2401" s="84" t="s">
        <v>2624</v>
      </c>
    </row>
    <row r="2402" spans="1:5">
      <c r="A2402" s="82">
        <v>73207</v>
      </c>
      <c r="B2402" s="82">
        <v>1</v>
      </c>
      <c r="C2402" s="14" t="s">
        <v>4423</v>
      </c>
      <c r="D2402" s="83" t="s">
        <v>2625</v>
      </c>
      <c r="E2402" s="84" t="s">
        <v>2626</v>
      </c>
    </row>
    <row r="2403" spans="1:5">
      <c r="A2403" s="82">
        <v>73208</v>
      </c>
      <c r="B2403" s="82">
        <v>1</v>
      </c>
      <c r="C2403" s="14" t="s">
        <v>4424</v>
      </c>
      <c r="D2403" s="83" t="s">
        <v>2627</v>
      </c>
      <c r="E2403" s="84" t="s">
        <v>2628</v>
      </c>
    </row>
    <row r="2404" spans="1:5">
      <c r="A2404" s="82">
        <v>73209</v>
      </c>
      <c r="B2404" s="82">
        <v>1</v>
      </c>
      <c r="C2404" s="14" t="s">
        <v>3720</v>
      </c>
      <c r="D2404" s="83" t="s">
        <v>2629</v>
      </c>
      <c r="E2404" s="84" t="s">
        <v>635</v>
      </c>
    </row>
    <row r="2405" spans="1:5">
      <c r="A2405" s="82">
        <v>73210</v>
      </c>
      <c r="B2405" s="82">
        <v>1</v>
      </c>
      <c r="C2405" s="14" t="s">
        <v>4425</v>
      </c>
      <c r="D2405" s="83" t="s">
        <v>2630</v>
      </c>
      <c r="E2405" s="84" t="s">
        <v>2631</v>
      </c>
    </row>
    <row r="2406" spans="1:5">
      <c r="A2406" s="82">
        <v>73211</v>
      </c>
      <c r="B2406" s="82">
        <v>1</v>
      </c>
      <c r="C2406" s="14" t="s">
        <v>4426</v>
      </c>
      <c r="D2406" s="83" t="s">
        <v>2632</v>
      </c>
      <c r="E2406" s="84" t="s">
        <v>2633</v>
      </c>
    </row>
    <row r="2407" spans="1:5">
      <c r="A2407" s="82">
        <v>73212</v>
      </c>
      <c r="B2407" s="82">
        <v>1</v>
      </c>
      <c r="C2407" s="14" t="s">
        <v>4427</v>
      </c>
      <c r="D2407" s="83" t="s">
        <v>2634</v>
      </c>
      <c r="E2407" s="84" t="s">
        <v>2635</v>
      </c>
    </row>
    <row r="2408" spans="1:5">
      <c r="A2408" s="82">
        <v>73213</v>
      </c>
      <c r="B2408" s="82">
        <v>1</v>
      </c>
      <c r="C2408" s="14" t="s">
        <v>4428</v>
      </c>
      <c r="D2408" s="83" t="s">
        <v>2636</v>
      </c>
      <c r="E2408" s="84" t="s">
        <v>2637</v>
      </c>
    </row>
    <row r="2409" spans="1:5">
      <c r="A2409" s="82">
        <v>73214</v>
      </c>
      <c r="B2409" s="82">
        <v>1</v>
      </c>
      <c r="C2409" s="14" t="s">
        <v>3727</v>
      </c>
      <c r="D2409" s="83" t="s">
        <v>2638</v>
      </c>
      <c r="E2409" s="84" t="s">
        <v>647</v>
      </c>
    </row>
    <row r="2410" spans="1:5">
      <c r="A2410" s="82">
        <v>73215</v>
      </c>
      <c r="B2410" s="82">
        <v>1</v>
      </c>
      <c r="C2410" s="14" t="s">
        <v>4429</v>
      </c>
      <c r="D2410" s="83" t="s">
        <v>2639</v>
      </c>
      <c r="E2410" s="84" t="s">
        <v>2640</v>
      </c>
    </row>
    <row r="2411" spans="1:5">
      <c r="A2411" s="82">
        <v>73216</v>
      </c>
      <c r="B2411" s="82">
        <v>1</v>
      </c>
      <c r="C2411" s="14" t="s">
        <v>4430</v>
      </c>
      <c r="D2411" s="83" t="s">
        <v>2641</v>
      </c>
      <c r="E2411" s="84" t="s">
        <v>2642</v>
      </c>
    </row>
    <row r="2412" spans="1:5">
      <c r="A2412" s="82">
        <v>73217</v>
      </c>
      <c r="B2412" s="82">
        <v>1</v>
      </c>
      <c r="C2412" s="14" t="s">
        <v>4431</v>
      </c>
      <c r="D2412" s="83" t="s">
        <v>2643</v>
      </c>
      <c r="E2412" s="84" t="s">
        <v>2644</v>
      </c>
    </row>
    <row r="2413" spans="1:5">
      <c r="A2413" s="82">
        <v>73218</v>
      </c>
      <c r="B2413" s="82">
        <v>1</v>
      </c>
      <c r="C2413" s="14" t="s">
        <v>4432</v>
      </c>
      <c r="D2413" s="83" t="s">
        <v>2645</v>
      </c>
      <c r="E2413" s="84" t="s">
        <v>2646</v>
      </c>
    </row>
    <row r="2414" spans="1:5">
      <c r="A2414" s="82">
        <v>73219</v>
      </c>
      <c r="B2414" s="82">
        <v>1</v>
      </c>
      <c r="C2414" s="14" t="s">
        <v>3730</v>
      </c>
      <c r="D2414" s="83" t="s">
        <v>2647</v>
      </c>
      <c r="E2414" s="84" t="s">
        <v>655</v>
      </c>
    </row>
    <row r="2415" spans="1:5">
      <c r="A2415" s="82">
        <v>73220</v>
      </c>
      <c r="B2415" s="82">
        <v>1</v>
      </c>
      <c r="C2415" s="14" t="s">
        <v>4433</v>
      </c>
      <c r="D2415" s="83" t="s">
        <v>2648</v>
      </c>
      <c r="E2415" s="84" t="s">
        <v>2649</v>
      </c>
    </row>
    <row r="2416" spans="1:5">
      <c r="A2416" s="82">
        <v>73221</v>
      </c>
      <c r="B2416" s="82">
        <v>1</v>
      </c>
      <c r="C2416" s="14" t="s">
        <v>4434</v>
      </c>
      <c r="D2416" s="83" t="s">
        <v>2650</v>
      </c>
      <c r="E2416" s="84" t="s">
        <v>2651</v>
      </c>
    </row>
    <row r="2417" spans="1:5">
      <c r="A2417" s="82">
        <v>73222</v>
      </c>
      <c r="B2417" s="82">
        <v>1</v>
      </c>
      <c r="C2417" s="14" t="s">
        <v>4435</v>
      </c>
      <c r="D2417" s="83" t="s">
        <v>2652</v>
      </c>
      <c r="E2417" s="84" t="s">
        <v>2653</v>
      </c>
    </row>
    <row r="2418" spans="1:5">
      <c r="A2418" s="82">
        <v>73223</v>
      </c>
      <c r="B2418" s="82">
        <v>1</v>
      </c>
      <c r="C2418" s="14" t="s">
        <v>4436</v>
      </c>
      <c r="D2418" s="83" t="s">
        <v>2654</v>
      </c>
      <c r="E2418" s="84" t="s">
        <v>2655</v>
      </c>
    </row>
    <row r="2419" spans="1:5">
      <c r="A2419" s="82">
        <v>73224</v>
      </c>
      <c r="B2419" s="82">
        <v>1</v>
      </c>
      <c r="C2419" s="14" t="s">
        <v>3733</v>
      </c>
      <c r="D2419" s="83" t="s">
        <v>2656</v>
      </c>
      <c r="E2419" s="84" t="s">
        <v>662</v>
      </c>
    </row>
    <row r="2420" spans="1:5">
      <c r="A2420" s="108">
        <v>73251</v>
      </c>
      <c r="B2420" s="108">
        <v>1</v>
      </c>
      <c r="C2420" s="14" t="s">
        <v>4119</v>
      </c>
      <c r="D2420" s="109" t="s">
        <v>2657</v>
      </c>
      <c r="E2420" s="110" t="s">
        <v>1723</v>
      </c>
    </row>
    <row r="2421" spans="1:5">
      <c r="A2421" s="108">
        <v>73252</v>
      </c>
      <c r="B2421" s="108">
        <v>1</v>
      </c>
      <c r="C2421" s="14" t="s">
        <v>4120</v>
      </c>
      <c r="D2421" s="109" t="s">
        <v>2658</v>
      </c>
      <c r="E2421" s="110" t="s">
        <v>1724</v>
      </c>
    </row>
    <row r="2422" spans="1:5">
      <c r="A2422" s="108">
        <v>73253</v>
      </c>
      <c r="B2422" s="108">
        <v>1</v>
      </c>
      <c r="C2422" s="14" t="s">
        <v>4121</v>
      </c>
      <c r="D2422" s="109" t="s">
        <v>2659</v>
      </c>
      <c r="E2422" s="110" t="s">
        <v>1725</v>
      </c>
    </row>
    <row r="2423" spans="1:5">
      <c r="A2423" s="108">
        <v>73254</v>
      </c>
      <c r="B2423" s="108">
        <v>1</v>
      </c>
      <c r="C2423" s="14" t="s">
        <v>3328</v>
      </c>
      <c r="D2423" s="109" t="s">
        <v>2660</v>
      </c>
      <c r="E2423" s="110" t="s">
        <v>928</v>
      </c>
    </row>
    <row r="2424" spans="1:5">
      <c r="A2424" s="108">
        <v>73255</v>
      </c>
      <c r="B2424" s="108">
        <v>1</v>
      </c>
      <c r="C2424" s="14" t="s">
        <v>4421</v>
      </c>
      <c r="D2424" s="109" t="s">
        <v>2661</v>
      </c>
      <c r="E2424" s="110" t="s">
        <v>2622</v>
      </c>
    </row>
    <row r="2425" spans="1:5">
      <c r="A2425" s="108">
        <v>73256</v>
      </c>
      <c r="B2425" s="108">
        <v>1</v>
      </c>
      <c r="C2425" s="14" t="s">
        <v>4422</v>
      </c>
      <c r="D2425" s="109" t="s">
        <v>2662</v>
      </c>
      <c r="E2425" s="110" t="s">
        <v>2624</v>
      </c>
    </row>
    <row r="2426" spans="1:5">
      <c r="A2426" s="108">
        <v>73257</v>
      </c>
      <c r="B2426" s="108">
        <v>1</v>
      </c>
      <c r="C2426" s="14" t="s">
        <v>4423</v>
      </c>
      <c r="D2426" s="109" t="s">
        <v>2663</v>
      </c>
      <c r="E2426" s="110" t="s">
        <v>2626</v>
      </c>
    </row>
    <row r="2427" spans="1:5">
      <c r="A2427" s="108">
        <v>73258</v>
      </c>
      <c r="B2427" s="108">
        <v>1</v>
      </c>
      <c r="C2427" s="14" t="s">
        <v>4424</v>
      </c>
      <c r="D2427" s="109" t="s">
        <v>2664</v>
      </c>
      <c r="E2427" s="110" t="s">
        <v>2628</v>
      </c>
    </row>
    <row r="2428" spans="1:5">
      <c r="A2428" s="108">
        <v>73259</v>
      </c>
      <c r="B2428" s="108">
        <v>1</v>
      </c>
      <c r="C2428" s="14" t="s">
        <v>3720</v>
      </c>
      <c r="D2428" s="109" t="s">
        <v>2665</v>
      </c>
      <c r="E2428" s="110" t="s">
        <v>635</v>
      </c>
    </row>
    <row r="2429" spans="1:5">
      <c r="A2429" s="108">
        <v>73260</v>
      </c>
      <c r="B2429" s="108">
        <v>1</v>
      </c>
      <c r="C2429" s="14" t="s">
        <v>4425</v>
      </c>
      <c r="D2429" s="109" t="s">
        <v>2666</v>
      </c>
      <c r="E2429" s="110" t="s">
        <v>2631</v>
      </c>
    </row>
    <row r="2430" spans="1:5">
      <c r="A2430" s="108">
        <v>73261</v>
      </c>
      <c r="B2430" s="108">
        <v>1</v>
      </c>
      <c r="C2430" s="14" t="s">
        <v>4426</v>
      </c>
      <c r="D2430" s="109" t="s">
        <v>2667</v>
      </c>
      <c r="E2430" s="110" t="s">
        <v>2633</v>
      </c>
    </row>
    <row r="2431" spans="1:5">
      <c r="A2431" s="108">
        <v>73262</v>
      </c>
      <c r="B2431" s="108">
        <v>1</v>
      </c>
      <c r="C2431" s="14" t="s">
        <v>4427</v>
      </c>
      <c r="D2431" s="109" t="s">
        <v>2668</v>
      </c>
      <c r="E2431" s="110" t="s">
        <v>2635</v>
      </c>
    </row>
    <row r="2432" spans="1:5">
      <c r="A2432" s="108">
        <v>73263</v>
      </c>
      <c r="B2432" s="108">
        <v>1</v>
      </c>
      <c r="C2432" s="14" t="s">
        <v>4428</v>
      </c>
      <c r="D2432" s="109" t="s">
        <v>2669</v>
      </c>
      <c r="E2432" s="110" t="s">
        <v>2637</v>
      </c>
    </row>
    <row r="2433" spans="1:5">
      <c r="A2433" s="108">
        <v>73264</v>
      </c>
      <c r="B2433" s="108">
        <v>1</v>
      </c>
      <c r="C2433" s="14" t="s">
        <v>3727</v>
      </c>
      <c r="D2433" s="109" t="s">
        <v>2670</v>
      </c>
      <c r="E2433" s="110" t="s">
        <v>647</v>
      </c>
    </row>
    <row r="2434" spans="1:5">
      <c r="A2434" s="108">
        <v>73265</v>
      </c>
      <c r="B2434" s="108">
        <v>1</v>
      </c>
      <c r="C2434" s="14" t="s">
        <v>4429</v>
      </c>
      <c r="D2434" s="109" t="s">
        <v>2671</v>
      </c>
      <c r="E2434" s="110" t="s">
        <v>2640</v>
      </c>
    </row>
    <row r="2435" spans="1:5">
      <c r="A2435" s="108">
        <v>73266</v>
      </c>
      <c r="B2435" s="108">
        <v>1</v>
      </c>
      <c r="C2435" s="14" t="s">
        <v>4430</v>
      </c>
      <c r="D2435" s="109" t="s">
        <v>2672</v>
      </c>
      <c r="E2435" s="110" t="s">
        <v>2642</v>
      </c>
    </row>
    <row r="2436" spans="1:5">
      <c r="A2436" s="108">
        <v>73267</v>
      </c>
      <c r="B2436" s="108">
        <v>1</v>
      </c>
      <c r="C2436" s="14" t="s">
        <v>4431</v>
      </c>
      <c r="D2436" s="109" t="s">
        <v>2673</v>
      </c>
      <c r="E2436" s="110" t="s">
        <v>2644</v>
      </c>
    </row>
    <row r="2437" spans="1:5">
      <c r="A2437" s="108">
        <v>73268</v>
      </c>
      <c r="B2437" s="108">
        <v>1</v>
      </c>
      <c r="C2437" s="14" t="s">
        <v>4432</v>
      </c>
      <c r="D2437" s="109" t="s">
        <v>2674</v>
      </c>
      <c r="E2437" s="110" t="s">
        <v>2646</v>
      </c>
    </row>
    <row r="2438" spans="1:5">
      <c r="A2438" s="108">
        <v>73269</v>
      </c>
      <c r="B2438" s="108">
        <v>1</v>
      </c>
      <c r="C2438" s="14" t="s">
        <v>3730</v>
      </c>
      <c r="D2438" s="109" t="s">
        <v>2675</v>
      </c>
      <c r="E2438" s="110" t="s">
        <v>655</v>
      </c>
    </row>
    <row r="2439" spans="1:5">
      <c r="A2439" s="108">
        <v>73270</v>
      </c>
      <c r="B2439" s="108">
        <v>1</v>
      </c>
      <c r="C2439" s="14" t="s">
        <v>4433</v>
      </c>
      <c r="D2439" s="109" t="s">
        <v>2676</v>
      </c>
      <c r="E2439" s="110" t="s">
        <v>2649</v>
      </c>
    </row>
    <row r="2440" spans="1:5">
      <c r="A2440" s="108">
        <v>73271</v>
      </c>
      <c r="B2440" s="108">
        <v>1</v>
      </c>
      <c r="C2440" s="14" t="s">
        <v>4434</v>
      </c>
      <c r="D2440" s="109" t="s">
        <v>2677</v>
      </c>
      <c r="E2440" s="110" t="s">
        <v>2651</v>
      </c>
    </row>
    <row r="2441" spans="1:5">
      <c r="A2441" s="108">
        <v>73272</v>
      </c>
      <c r="B2441" s="108">
        <v>1</v>
      </c>
      <c r="C2441" s="14" t="s">
        <v>4435</v>
      </c>
      <c r="D2441" s="109" t="s">
        <v>2678</v>
      </c>
      <c r="E2441" s="110" t="s">
        <v>2653</v>
      </c>
    </row>
    <row r="2442" spans="1:5">
      <c r="A2442" s="108">
        <v>73273</v>
      </c>
      <c r="B2442" s="108">
        <v>1</v>
      </c>
      <c r="C2442" s="14" t="s">
        <v>4436</v>
      </c>
      <c r="D2442" s="109" t="s">
        <v>2679</v>
      </c>
      <c r="E2442" s="110" t="s">
        <v>2655</v>
      </c>
    </row>
    <row r="2443" spans="1:5">
      <c r="A2443" s="108">
        <v>73274</v>
      </c>
      <c r="B2443" s="108">
        <v>1</v>
      </c>
      <c r="C2443" s="14" t="s">
        <v>3733</v>
      </c>
      <c r="D2443" s="109" t="s">
        <v>2680</v>
      </c>
      <c r="E2443" s="110" t="s">
        <v>662</v>
      </c>
    </row>
    <row r="2444" spans="1:5">
      <c r="A2444" s="82">
        <v>73301</v>
      </c>
      <c r="B2444" s="82">
        <v>1</v>
      </c>
      <c r="C2444" s="14" t="s">
        <v>4437</v>
      </c>
      <c r="D2444" s="83" t="s">
        <v>2681</v>
      </c>
      <c r="E2444" s="84" t="s">
        <v>2682</v>
      </c>
    </row>
    <row r="2445" spans="1:5">
      <c r="A2445" s="82">
        <v>73302</v>
      </c>
      <c r="B2445" s="82">
        <v>1</v>
      </c>
      <c r="C2445" s="14" t="s">
        <v>3338</v>
      </c>
      <c r="D2445" s="83" t="s">
        <v>2683</v>
      </c>
      <c r="E2445" s="84" t="s">
        <v>937</v>
      </c>
    </row>
    <row r="2446" spans="1:5">
      <c r="A2446" s="82">
        <v>73303</v>
      </c>
      <c r="B2446" s="82">
        <v>1</v>
      </c>
      <c r="C2446" s="14" t="s">
        <v>4438</v>
      </c>
      <c r="D2446" s="83" t="s">
        <v>2684</v>
      </c>
      <c r="E2446" s="84" t="s">
        <v>2685</v>
      </c>
    </row>
    <row r="2447" spans="1:5">
      <c r="A2447" s="82">
        <v>73304</v>
      </c>
      <c r="B2447" s="82">
        <v>1</v>
      </c>
      <c r="C2447" s="14" t="s">
        <v>4439</v>
      </c>
      <c r="D2447" s="83" t="s">
        <v>2686</v>
      </c>
      <c r="E2447" s="84" t="s">
        <v>2687</v>
      </c>
    </row>
    <row r="2448" spans="1:5">
      <c r="A2448" s="82">
        <v>73305</v>
      </c>
      <c r="B2448" s="82">
        <v>1</v>
      </c>
      <c r="C2448" s="14" t="s">
        <v>3345</v>
      </c>
      <c r="D2448" s="83" t="s">
        <v>2688</v>
      </c>
      <c r="E2448" s="84" t="s">
        <v>2689</v>
      </c>
    </row>
    <row r="2449" spans="1:5">
      <c r="A2449" s="82">
        <v>73306</v>
      </c>
      <c r="B2449" s="82">
        <v>1</v>
      </c>
      <c r="C2449" s="14" t="s">
        <v>4440</v>
      </c>
      <c r="D2449" s="83" t="s">
        <v>2690</v>
      </c>
      <c r="E2449" s="84" t="s">
        <v>2691</v>
      </c>
    </row>
    <row r="2450" spans="1:5">
      <c r="A2450" s="82">
        <v>73307</v>
      </c>
      <c r="B2450" s="82">
        <v>1</v>
      </c>
      <c r="C2450" s="14" t="s">
        <v>3808</v>
      </c>
      <c r="D2450" s="83" t="s">
        <v>2692</v>
      </c>
      <c r="E2450" s="84" t="s">
        <v>942</v>
      </c>
    </row>
    <row r="2451" spans="1:5">
      <c r="A2451" s="82">
        <v>73308</v>
      </c>
      <c r="B2451" s="82">
        <v>1</v>
      </c>
      <c r="C2451" s="14" t="s">
        <v>4441</v>
      </c>
      <c r="D2451" s="83" t="s">
        <v>2693</v>
      </c>
      <c r="E2451" s="84" t="s">
        <v>2694</v>
      </c>
    </row>
    <row r="2452" spans="1:5">
      <c r="A2452" s="82">
        <v>73309</v>
      </c>
      <c r="B2452" s="82">
        <v>1</v>
      </c>
      <c r="C2452" s="14" t="s">
        <v>4442</v>
      </c>
      <c r="D2452" s="83" t="s">
        <v>2695</v>
      </c>
      <c r="E2452" s="84" t="s">
        <v>2696</v>
      </c>
    </row>
    <row r="2453" spans="1:5">
      <c r="A2453" s="82">
        <v>73310</v>
      </c>
      <c r="B2453" s="82">
        <v>1</v>
      </c>
      <c r="C2453" s="14" t="s">
        <v>4443</v>
      </c>
      <c r="D2453" s="83" t="s">
        <v>2697</v>
      </c>
      <c r="E2453" s="84" t="s">
        <v>2698</v>
      </c>
    </row>
    <row r="2454" spans="1:5">
      <c r="A2454" s="82">
        <v>73311</v>
      </c>
      <c r="B2454" s="82">
        <v>1</v>
      </c>
      <c r="C2454" s="14" t="s">
        <v>4444</v>
      </c>
      <c r="D2454" s="83" t="s">
        <v>2699</v>
      </c>
      <c r="E2454" s="84" t="s">
        <v>2700</v>
      </c>
    </row>
    <row r="2455" spans="1:5">
      <c r="A2455" s="82">
        <v>73312</v>
      </c>
      <c r="B2455" s="82">
        <v>1</v>
      </c>
      <c r="C2455" s="14" t="s">
        <v>4445</v>
      </c>
      <c r="D2455" s="83" t="s">
        <v>2701</v>
      </c>
      <c r="E2455" s="84" t="s">
        <v>2702</v>
      </c>
    </row>
    <row r="2456" spans="1:5">
      <c r="A2456" s="82">
        <v>73313</v>
      </c>
      <c r="B2456" s="82">
        <v>1</v>
      </c>
      <c r="C2456" s="14" t="s">
        <v>4446</v>
      </c>
      <c r="D2456" s="83" t="s">
        <v>2703</v>
      </c>
      <c r="E2456" s="84" t="s">
        <v>2704</v>
      </c>
    </row>
    <row r="2457" spans="1:5">
      <c r="A2457" s="82">
        <v>73314</v>
      </c>
      <c r="B2457" s="82">
        <v>1</v>
      </c>
      <c r="C2457" s="14" t="s">
        <v>4447</v>
      </c>
      <c r="D2457" s="83" t="s">
        <v>2705</v>
      </c>
      <c r="E2457" s="84" t="s">
        <v>2706</v>
      </c>
    </row>
    <row r="2458" spans="1:5">
      <c r="A2458" s="82">
        <v>73315</v>
      </c>
      <c r="B2458" s="82">
        <v>1</v>
      </c>
      <c r="C2458" s="14" t="s">
        <v>4448</v>
      </c>
      <c r="D2458" s="83" t="s">
        <v>2707</v>
      </c>
      <c r="E2458" s="84" t="s">
        <v>2708</v>
      </c>
    </row>
    <row r="2459" spans="1:5">
      <c r="A2459" s="82">
        <v>73316</v>
      </c>
      <c r="B2459" s="82">
        <v>1</v>
      </c>
      <c r="C2459" s="14" t="s">
        <v>4449</v>
      </c>
      <c r="D2459" s="83" t="s">
        <v>2709</v>
      </c>
      <c r="E2459" s="84" t="s">
        <v>2710</v>
      </c>
    </row>
    <row r="2460" spans="1:5">
      <c r="A2460" s="82">
        <v>73317</v>
      </c>
      <c r="B2460" s="82">
        <v>1</v>
      </c>
      <c r="C2460" s="14" t="s">
        <v>4450</v>
      </c>
      <c r="D2460" s="83" t="s">
        <v>2711</v>
      </c>
      <c r="E2460" s="84" t="s">
        <v>2712</v>
      </c>
    </row>
    <row r="2461" spans="1:5">
      <c r="A2461" s="82">
        <v>73318</v>
      </c>
      <c r="B2461" s="82">
        <v>1</v>
      </c>
      <c r="C2461" s="14" t="s">
        <v>4451</v>
      </c>
      <c r="D2461" s="83" t="s">
        <v>2713</v>
      </c>
      <c r="E2461" s="84" t="s">
        <v>2714</v>
      </c>
    </row>
    <row r="2462" spans="1:5">
      <c r="A2462" s="82">
        <v>73319</v>
      </c>
      <c r="B2462" s="82">
        <v>1</v>
      </c>
      <c r="C2462" s="14" t="s">
        <v>4452</v>
      </c>
      <c r="D2462" s="83" t="s">
        <v>2715</v>
      </c>
      <c r="E2462" s="84" t="s">
        <v>2716</v>
      </c>
    </row>
    <row r="2463" spans="1:5">
      <c r="A2463" s="82">
        <v>73320</v>
      </c>
      <c r="B2463" s="82">
        <v>1</v>
      </c>
      <c r="C2463" s="14" t="s">
        <v>4453</v>
      </c>
      <c r="D2463" s="83" t="s">
        <v>2717</v>
      </c>
      <c r="E2463" s="84" t="s">
        <v>2718</v>
      </c>
    </row>
    <row r="2464" spans="1:5">
      <c r="A2464" s="108">
        <v>73321</v>
      </c>
      <c r="B2464" s="108">
        <v>1</v>
      </c>
      <c r="C2464" s="14" t="s">
        <v>4349</v>
      </c>
      <c r="D2464" s="109" t="s">
        <v>2719</v>
      </c>
      <c r="E2464" s="110" t="s">
        <v>2720</v>
      </c>
    </row>
    <row r="2465" spans="1:5">
      <c r="A2465" s="108">
        <v>73322</v>
      </c>
      <c r="B2465" s="108">
        <v>1</v>
      </c>
      <c r="C2465" s="14" t="s">
        <v>4350</v>
      </c>
      <c r="D2465" s="109" t="s">
        <v>2721</v>
      </c>
      <c r="E2465" s="110" t="s">
        <v>2439</v>
      </c>
    </row>
    <row r="2466" spans="1:5">
      <c r="A2466" s="108">
        <v>73323</v>
      </c>
      <c r="B2466" s="108">
        <v>1</v>
      </c>
      <c r="C2466" s="14" t="s">
        <v>4350</v>
      </c>
      <c r="D2466" s="109" t="s">
        <v>2722</v>
      </c>
      <c r="E2466" s="110" t="s">
        <v>2723</v>
      </c>
    </row>
    <row r="2467" spans="1:5">
      <c r="A2467" s="108">
        <v>73324</v>
      </c>
      <c r="B2467" s="108">
        <v>1</v>
      </c>
      <c r="C2467" s="14" t="s">
        <v>3949</v>
      </c>
      <c r="D2467" s="109" t="s">
        <v>2724</v>
      </c>
      <c r="E2467" s="110" t="s">
        <v>2725</v>
      </c>
    </row>
    <row r="2468" spans="1:5">
      <c r="A2468" s="108">
        <v>73325</v>
      </c>
      <c r="B2468" s="108">
        <v>1</v>
      </c>
      <c r="C2468" s="14" t="s">
        <v>3949</v>
      </c>
      <c r="D2468" s="109" t="s">
        <v>2726</v>
      </c>
      <c r="E2468" s="110" t="s">
        <v>2727</v>
      </c>
    </row>
    <row r="2469" spans="1:5">
      <c r="A2469" s="108">
        <v>73326</v>
      </c>
      <c r="B2469" s="108">
        <v>1</v>
      </c>
      <c r="C2469" s="14" t="s">
        <v>4351</v>
      </c>
      <c r="D2469" s="109" t="s">
        <v>2728</v>
      </c>
      <c r="E2469" s="110" t="s">
        <v>2729</v>
      </c>
    </row>
    <row r="2470" spans="1:5">
      <c r="A2470" s="108">
        <v>73327</v>
      </c>
      <c r="B2470" s="108">
        <v>1</v>
      </c>
      <c r="C2470" s="14" t="s">
        <v>4351</v>
      </c>
      <c r="D2470" s="109" t="s">
        <v>2730</v>
      </c>
      <c r="E2470" s="110" t="s">
        <v>2731</v>
      </c>
    </row>
    <row r="2471" spans="1:5">
      <c r="A2471" s="108">
        <v>73328</v>
      </c>
      <c r="B2471" s="108">
        <v>1</v>
      </c>
      <c r="C2471" s="14" t="s">
        <v>4352</v>
      </c>
      <c r="D2471" s="109" t="s">
        <v>2732</v>
      </c>
      <c r="E2471" s="110" t="s">
        <v>2733</v>
      </c>
    </row>
    <row r="2472" spans="1:5">
      <c r="A2472" s="108">
        <v>73329</v>
      </c>
      <c r="B2472" s="108">
        <v>1</v>
      </c>
      <c r="C2472" s="14" t="s">
        <v>4352</v>
      </c>
      <c r="D2472" s="109" t="s">
        <v>2734</v>
      </c>
      <c r="E2472" s="110" t="s">
        <v>2735</v>
      </c>
    </row>
    <row r="2473" spans="1:5">
      <c r="A2473" s="108">
        <v>73330</v>
      </c>
      <c r="B2473" s="108">
        <v>1</v>
      </c>
      <c r="C2473" s="14" t="s">
        <v>4454</v>
      </c>
      <c r="D2473" s="109" t="s">
        <v>2736</v>
      </c>
      <c r="E2473" s="110" t="s">
        <v>2737</v>
      </c>
    </row>
    <row r="2474" spans="1:5">
      <c r="A2474" s="108">
        <v>73331</v>
      </c>
      <c r="B2474" s="108">
        <v>1</v>
      </c>
      <c r="C2474" s="14" t="s">
        <v>4454</v>
      </c>
      <c r="D2474" s="109" t="s">
        <v>2738</v>
      </c>
      <c r="E2474" s="110" t="s">
        <v>2739</v>
      </c>
    </row>
    <row r="2475" spans="1:5">
      <c r="A2475" s="108">
        <v>73332</v>
      </c>
      <c r="B2475" s="108">
        <v>1</v>
      </c>
      <c r="C2475" s="14" t="s">
        <v>4455</v>
      </c>
      <c r="D2475" s="109" t="s">
        <v>2740</v>
      </c>
      <c r="E2475" s="110" t="s">
        <v>2741</v>
      </c>
    </row>
    <row r="2476" spans="1:5">
      <c r="A2476" s="108">
        <v>73333</v>
      </c>
      <c r="B2476" s="108">
        <v>1</v>
      </c>
      <c r="C2476" s="14" t="s">
        <v>4455</v>
      </c>
      <c r="D2476" s="109" t="s">
        <v>2742</v>
      </c>
      <c r="E2476" s="110" t="s">
        <v>2743</v>
      </c>
    </row>
    <row r="2477" spans="1:5">
      <c r="A2477" s="108">
        <v>73334</v>
      </c>
      <c r="B2477" s="108">
        <v>1</v>
      </c>
      <c r="C2477" s="14" t="s">
        <v>4456</v>
      </c>
      <c r="D2477" s="109" t="s">
        <v>2744</v>
      </c>
      <c r="E2477" s="110" t="s">
        <v>2745</v>
      </c>
    </row>
    <row r="2478" spans="1:5">
      <c r="A2478" s="108">
        <v>73335</v>
      </c>
      <c r="B2478" s="108">
        <v>1</v>
      </c>
      <c r="C2478" s="14" t="s">
        <v>4456</v>
      </c>
      <c r="D2478" s="109" t="s">
        <v>2746</v>
      </c>
      <c r="E2478" s="110" t="s">
        <v>2747</v>
      </c>
    </row>
    <row r="2479" spans="1:5">
      <c r="A2479" s="108">
        <v>73336</v>
      </c>
      <c r="B2479" s="108">
        <v>1</v>
      </c>
      <c r="C2479" s="14" t="s">
        <v>4457</v>
      </c>
      <c r="D2479" s="109" t="s">
        <v>2748</v>
      </c>
      <c r="E2479" s="110" t="s">
        <v>2749</v>
      </c>
    </row>
    <row r="2480" spans="1:5">
      <c r="A2480" s="108">
        <v>73337</v>
      </c>
      <c r="B2480" s="108">
        <v>1</v>
      </c>
      <c r="C2480" s="14" t="s">
        <v>4457</v>
      </c>
      <c r="D2480" s="109" t="s">
        <v>2750</v>
      </c>
      <c r="E2480" s="110" t="s">
        <v>2751</v>
      </c>
    </row>
    <row r="2481" spans="1:5">
      <c r="A2481" s="108">
        <v>73338</v>
      </c>
      <c r="B2481" s="108">
        <v>1</v>
      </c>
      <c r="C2481" s="14" t="s">
        <v>4458</v>
      </c>
      <c r="D2481" s="109" t="s">
        <v>2752</v>
      </c>
      <c r="E2481" s="110" t="s">
        <v>2753</v>
      </c>
    </row>
    <row r="2482" spans="1:5">
      <c r="A2482" s="108">
        <v>73339</v>
      </c>
      <c r="B2482" s="108">
        <v>1</v>
      </c>
      <c r="C2482" s="14" t="s">
        <v>4458</v>
      </c>
      <c r="D2482" s="109" t="s">
        <v>2754</v>
      </c>
      <c r="E2482" s="110" t="s">
        <v>2755</v>
      </c>
    </row>
    <row r="2483" spans="1:5">
      <c r="A2483" s="108">
        <v>73340</v>
      </c>
      <c r="B2483" s="108">
        <v>1</v>
      </c>
      <c r="C2483" s="14" t="s">
        <v>4459</v>
      </c>
      <c r="D2483" s="109" t="s">
        <v>2756</v>
      </c>
      <c r="E2483" s="110" t="s">
        <v>2757</v>
      </c>
    </row>
    <row r="2484" spans="1:5">
      <c r="A2484" s="82">
        <v>73341</v>
      </c>
      <c r="B2484" s="82">
        <v>1</v>
      </c>
      <c r="C2484" s="14" t="s">
        <v>4353</v>
      </c>
      <c r="D2484" s="83" t="s">
        <v>2758</v>
      </c>
      <c r="E2484" s="84" t="s">
        <v>2759</v>
      </c>
    </row>
    <row r="2485" spans="1:5">
      <c r="A2485" s="82">
        <v>73342</v>
      </c>
      <c r="B2485" s="82">
        <v>1</v>
      </c>
      <c r="C2485" s="14" t="s">
        <v>4353</v>
      </c>
      <c r="D2485" s="83" t="s">
        <v>2760</v>
      </c>
      <c r="E2485" s="84" t="s">
        <v>2761</v>
      </c>
    </row>
    <row r="2486" spans="1:5">
      <c r="A2486" s="82">
        <v>73343</v>
      </c>
      <c r="B2486" s="82">
        <v>1</v>
      </c>
      <c r="C2486" s="14" t="s">
        <v>4353</v>
      </c>
      <c r="D2486" s="83" t="s">
        <v>2762</v>
      </c>
      <c r="E2486" s="84" t="s">
        <v>2763</v>
      </c>
    </row>
    <row r="2487" spans="1:5">
      <c r="A2487" s="82">
        <v>73344</v>
      </c>
      <c r="B2487" s="82">
        <v>1</v>
      </c>
      <c r="C2487" s="14" t="s">
        <v>4353</v>
      </c>
      <c r="D2487" s="83" t="s">
        <v>2764</v>
      </c>
      <c r="E2487" s="84" t="s">
        <v>2765</v>
      </c>
    </row>
    <row r="2488" spans="1:5">
      <c r="A2488" s="82">
        <v>73345</v>
      </c>
      <c r="B2488" s="82">
        <v>1</v>
      </c>
      <c r="C2488" s="14" t="s">
        <v>4354</v>
      </c>
      <c r="D2488" s="83" t="s">
        <v>2766</v>
      </c>
      <c r="E2488" s="84" t="s">
        <v>2767</v>
      </c>
    </row>
    <row r="2489" spans="1:5">
      <c r="A2489" s="82">
        <v>73346</v>
      </c>
      <c r="B2489" s="82">
        <v>1</v>
      </c>
      <c r="C2489" s="14" t="s">
        <v>4354</v>
      </c>
      <c r="D2489" s="83" t="s">
        <v>2768</v>
      </c>
      <c r="E2489" s="84" t="s">
        <v>2769</v>
      </c>
    </row>
    <row r="2490" spans="1:5">
      <c r="A2490" s="82">
        <v>73347</v>
      </c>
      <c r="B2490" s="82">
        <v>1</v>
      </c>
      <c r="C2490" s="14" t="s">
        <v>4354</v>
      </c>
      <c r="D2490" s="83" t="s">
        <v>2770</v>
      </c>
      <c r="E2490" s="84" t="s">
        <v>2771</v>
      </c>
    </row>
    <row r="2491" spans="1:5">
      <c r="A2491" s="82">
        <v>73348</v>
      </c>
      <c r="B2491" s="82">
        <v>1</v>
      </c>
      <c r="C2491" s="14" t="s">
        <v>4354</v>
      </c>
      <c r="D2491" s="83" t="s">
        <v>2772</v>
      </c>
      <c r="E2491" s="84" t="s">
        <v>2773</v>
      </c>
    </row>
    <row r="2492" spans="1:5">
      <c r="A2492" s="82">
        <v>73349</v>
      </c>
      <c r="B2492" s="82">
        <v>1</v>
      </c>
      <c r="C2492" s="14" t="s">
        <v>4354</v>
      </c>
      <c r="D2492" s="83" t="s">
        <v>2774</v>
      </c>
      <c r="E2492" s="84" t="s">
        <v>2775</v>
      </c>
    </row>
    <row r="2493" spans="1:5">
      <c r="A2493" s="82">
        <v>73350</v>
      </c>
      <c r="B2493" s="82">
        <v>1</v>
      </c>
      <c r="C2493" s="14" t="s">
        <v>4460</v>
      </c>
      <c r="D2493" s="83" t="s">
        <v>2776</v>
      </c>
      <c r="E2493" s="84" t="s">
        <v>2777</v>
      </c>
    </row>
    <row r="2494" spans="1:5">
      <c r="A2494" s="82">
        <v>73351</v>
      </c>
      <c r="B2494" s="82">
        <v>1</v>
      </c>
      <c r="C2494" s="14" t="s">
        <v>4460</v>
      </c>
      <c r="D2494" s="83" t="s">
        <v>2778</v>
      </c>
      <c r="E2494" s="84" t="s">
        <v>2779</v>
      </c>
    </row>
    <row r="2495" spans="1:5">
      <c r="A2495" s="82">
        <v>73352</v>
      </c>
      <c r="B2495" s="82">
        <v>1</v>
      </c>
      <c r="C2495" s="14" t="s">
        <v>4460</v>
      </c>
      <c r="D2495" s="83" t="s">
        <v>2780</v>
      </c>
      <c r="E2495" s="84" t="s">
        <v>2781</v>
      </c>
    </row>
    <row r="2496" spans="1:5">
      <c r="A2496" s="82">
        <v>73353</v>
      </c>
      <c r="B2496" s="82">
        <v>1</v>
      </c>
      <c r="C2496" s="14" t="s">
        <v>4460</v>
      </c>
      <c r="D2496" s="83" t="s">
        <v>2782</v>
      </c>
      <c r="E2496" s="84" t="s">
        <v>2783</v>
      </c>
    </row>
    <row r="2497" spans="1:5">
      <c r="A2497" s="82">
        <v>73354</v>
      </c>
      <c r="B2497" s="82">
        <v>1</v>
      </c>
      <c r="C2497" s="14" t="s">
        <v>4460</v>
      </c>
      <c r="D2497" s="83" t="s">
        <v>2784</v>
      </c>
      <c r="E2497" s="84" t="s">
        <v>2785</v>
      </c>
    </row>
    <row r="2498" spans="1:5">
      <c r="A2498" s="82">
        <v>73355</v>
      </c>
      <c r="B2498" s="82">
        <v>1</v>
      </c>
      <c r="C2498" s="14" t="s">
        <v>4461</v>
      </c>
      <c r="D2498" s="83" t="s">
        <v>2786</v>
      </c>
      <c r="E2498" s="84" t="s">
        <v>2787</v>
      </c>
    </row>
    <row r="2499" spans="1:5">
      <c r="A2499" s="82">
        <v>73356</v>
      </c>
      <c r="B2499" s="82">
        <v>1</v>
      </c>
      <c r="C2499" s="14" t="s">
        <v>4461</v>
      </c>
      <c r="D2499" s="83" t="s">
        <v>2788</v>
      </c>
      <c r="E2499" s="84" t="s">
        <v>2789</v>
      </c>
    </row>
    <row r="2500" spans="1:5">
      <c r="A2500" s="82">
        <v>73357</v>
      </c>
      <c r="B2500" s="82">
        <v>1</v>
      </c>
      <c r="C2500" s="14" t="s">
        <v>4461</v>
      </c>
      <c r="D2500" s="83" t="s">
        <v>2790</v>
      </c>
      <c r="E2500" s="84" t="s">
        <v>2791</v>
      </c>
    </row>
    <row r="2501" spans="1:5">
      <c r="A2501" s="82">
        <v>73358</v>
      </c>
      <c r="B2501" s="82">
        <v>1</v>
      </c>
      <c r="C2501" s="14" t="s">
        <v>4461</v>
      </c>
      <c r="D2501" s="83" t="s">
        <v>2792</v>
      </c>
      <c r="E2501" s="84" t="s">
        <v>2793</v>
      </c>
    </row>
    <row r="2502" spans="1:5">
      <c r="A2502" s="82">
        <v>73359</v>
      </c>
      <c r="B2502" s="82">
        <v>1</v>
      </c>
      <c r="C2502" s="14" t="s">
        <v>4461</v>
      </c>
      <c r="D2502" s="83" t="s">
        <v>2794</v>
      </c>
      <c r="E2502" s="84" t="s">
        <v>2795</v>
      </c>
    </row>
    <row r="2503" spans="1:5">
      <c r="A2503" s="82">
        <v>73360</v>
      </c>
      <c r="B2503" s="82">
        <v>1</v>
      </c>
      <c r="C2503" s="14" t="s">
        <v>4462</v>
      </c>
      <c r="D2503" s="83" t="s">
        <v>2796</v>
      </c>
      <c r="E2503" s="84" t="s">
        <v>2797</v>
      </c>
    </row>
    <row r="2504" spans="1:5">
      <c r="A2504" s="108">
        <v>73361</v>
      </c>
      <c r="B2504" s="108">
        <v>1</v>
      </c>
      <c r="C2504" s="14" t="s">
        <v>4442</v>
      </c>
      <c r="D2504" s="109" t="s">
        <v>2798</v>
      </c>
      <c r="E2504" s="110" t="s">
        <v>2696</v>
      </c>
    </row>
    <row r="2505" spans="1:5">
      <c r="A2505" s="108">
        <v>73362</v>
      </c>
      <c r="B2505" s="108">
        <v>1</v>
      </c>
      <c r="C2505" s="14" t="s">
        <v>4445</v>
      </c>
      <c r="D2505" s="109" t="s">
        <v>2799</v>
      </c>
      <c r="E2505" s="110" t="s">
        <v>2702</v>
      </c>
    </row>
    <row r="2506" spans="1:5">
      <c r="A2506" s="108">
        <v>73363</v>
      </c>
      <c r="B2506" s="108">
        <v>1</v>
      </c>
      <c r="C2506" s="14" t="s">
        <v>4448</v>
      </c>
      <c r="D2506" s="109" t="s">
        <v>2800</v>
      </c>
      <c r="E2506" s="110" t="s">
        <v>2708</v>
      </c>
    </row>
    <row r="2507" spans="1:5">
      <c r="A2507" s="108">
        <v>73364</v>
      </c>
      <c r="B2507" s="108">
        <v>1</v>
      </c>
      <c r="C2507" s="14" t="s">
        <v>4451</v>
      </c>
      <c r="D2507" s="109" t="s">
        <v>2801</v>
      </c>
      <c r="E2507" s="110" t="s">
        <v>2714</v>
      </c>
    </row>
    <row r="2508" spans="1:5">
      <c r="A2508" s="108">
        <v>73365</v>
      </c>
      <c r="B2508" s="108">
        <v>1</v>
      </c>
      <c r="C2508" s="14" t="s">
        <v>4463</v>
      </c>
      <c r="D2508" s="109" t="s">
        <v>2802</v>
      </c>
      <c r="E2508" s="110" t="s">
        <v>2803</v>
      </c>
    </row>
    <row r="2509" spans="1:5">
      <c r="A2509" s="108">
        <v>73366</v>
      </c>
      <c r="B2509" s="108">
        <v>1</v>
      </c>
      <c r="C2509" s="14" t="s">
        <v>4464</v>
      </c>
      <c r="D2509" s="109" t="s">
        <v>2804</v>
      </c>
      <c r="E2509" s="110" t="s">
        <v>2805</v>
      </c>
    </row>
    <row r="2510" spans="1:5">
      <c r="A2510" s="108">
        <v>73367</v>
      </c>
      <c r="B2510" s="108">
        <v>1</v>
      </c>
      <c r="C2510" s="14" t="s">
        <v>4465</v>
      </c>
      <c r="D2510" s="109" t="s">
        <v>2806</v>
      </c>
      <c r="E2510" s="110" t="s">
        <v>2807</v>
      </c>
    </row>
    <row r="2511" spans="1:5">
      <c r="A2511" s="108">
        <v>73368</v>
      </c>
      <c r="B2511" s="108">
        <v>1</v>
      </c>
      <c r="C2511" s="14" t="s">
        <v>4466</v>
      </c>
      <c r="D2511" s="109" t="s">
        <v>2808</v>
      </c>
      <c r="E2511" s="110" t="s">
        <v>2809</v>
      </c>
    </row>
    <row r="2512" spans="1:5">
      <c r="A2512" s="108">
        <v>73369</v>
      </c>
      <c r="B2512" s="108">
        <v>1</v>
      </c>
      <c r="C2512" s="14" t="s">
        <v>4467</v>
      </c>
      <c r="D2512" s="109" t="s">
        <v>2810</v>
      </c>
      <c r="E2512" s="110" t="s">
        <v>2811</v>
      </c>
    </row>
    <row r="2513" spans="1:5">
      <c r="A2513" s="108">
        <v>73370</v>
      </c>
      <c r="B2513" s="108">
        <v>1</v>
      </c>
      <c r="C2513" s="14" t="s">
        <v>4468</v>
      </c>
      <c r="D2513" s="109" t="s">
        <v>2812</v>
      </c>
      <c r="E2513" s="110" t="s">
        <v>2813</v>
      </c>
    </row>
    <row r="2514" spans="1:5">
      <c r="A2514" s="108">
        <v>73371</v>
      </c>
      <c r="B2514" s="108">
        <v>1</v>
      </c>
      <c r="C2514" s="14" t="s">
        <v>4469</v>
      </c>
      <c r="D2514" s="109" t="s">
        <v>2814</v>
      </c>
      <c r="E2514" s="110" t="s">
        <v>2815</v>
      </c>
    </row>
    <row r="2515" spans="1:5">
      <c r="A2515" s="108">
        <v>73372</v>
      </c>
      <c r="B2515" s="108">
        <v>1</v>
      </c>
      <c r="C2515" s="14" t="s">
        <v>4470</v>
      </c>
      <c r="D2515" s="109" t="s">
        <v>2816</v>
      </c>
      <c r="E2515" s="110" t="s">
        <v>2817</v>
      </c>
    </row>
    <row r="2516" spans="1:5">
      <c r="A2516" s="108">
        <v>73373</v>
      </c>
      <c r="B2516" s="108">
        <v>1</v>
      </c>
      <c r="C2516" s="14" t="s">
        <v>4471</v>
      </c>
      <c r="D2516" s="109" t="s">
        <v>2818</v>
      </c>
      <c r="E2516" s="110" t="s">
        <v>2819</v>
      </c>
    </row>
    <row r="2517" spans="1:5">
      <c r="A2517" s="108">
        <v>73374</v>
      </c>
      <c r="B2517" s="108">
        <v>1</v>
      </c>
      <c r="C2517" s="14" t="s">
        <v>4472</v>
      </c>
      <c r="D2517" s="109" t="s">
        <v>2820</v>
      </c>
      <c r="E2517" s="110" t="s">
        <v>2821</v>
      </c>
    </row>
    <row r="2518" spans="1:5">
      <c r="A2518" s="108">
        <v>73375</v>
      </c>
      <c r="B2518" s="108">
        <v>1</v>
      </c>
      <c r="C2518" s="14" t="s">
        <v>4473</v>
      </c>
      <c r="D2518" s="109" t="s">
        <v>2822</v>
      </c>
      <c r="E2518" s="110" t="s">
        <v>2823</v>
      </c>
    </row>
    <row r="2519" spans="1:5">
      <c r="A2519" s="108">
        <v>73376</v>
      </c>
      <c r="B2519" s="108">
        <v>1</v>
      </c>
      <c r="C2519" s="14" t="s">
        <v>4474</v>
      </c>
      <c r="D2519" s="109" t="s">
        <v>2824</v>
      </c>
      <c r="E2519" s="110" t="s">
        <v>2825</v>
      </c>
    </row>
    <row r="2520" spans="1:5">
      <c r="A2520" s="108">
        <v>73377</v>
      </c>
      <c r="B2520" s="108">
        <v>1</v>
      </c>
      <c r="C2520" s="14" t="s">
        <v>4475</v>
      </c>
      <c r="D2520" s="109" t="s">
        <v>2826</v>
      </c>
      <c r="E2520" s="110" t="s">
        <v>2827</v>
      </c>
    </row>
    <row r="2521" spans="1:5">
      <c r="A2521" s="108">
        <v>73378</v>
      </c>
      <c r="B2521" s="108">
        <v>1</v>
      </c>
      <c r="C2521" s="14" t="s">
        <v>4476</v>
      </c>
      <c r="D2521" s="109" t="s">
        <v>2828</v>
      </c>
      <c r="E2521" s="110" t="s">
        <v>2829</v>
      </c>
    </row>
    <row r="2522" spans="1:5">
      <c r="A2522" s="108">
        <v>73379</v>
      </c>
      <c r="B2522" s="108">
        <v>1</v>
      </c>
      <c r="C2522" s="14" t="s">
        <v>4477</v>
      </c>
      <c r="D2522" s="109" t="s">
        <v>2830</v>
      </c>
      <c r="E2522" s="110" t="s">
        <v>2831</v>
      </c>
    </row>
    <row r="2523" spans="1:5">
      <c r="A2523" s="108">
        <v>73380</v>
      </c>
      <c r="B2523" s="108">
        <v>1</v>
      </c>
      <c r="C2523" s="14" t="s">
        <v>4478</v>
      </c>
      <c r="D2523" s="109" t="s">
        <v>2832</v>
      </c>
      <c r="E2523" s="110" t="s">
        <v>2833</v>
      </c>
    </row>
    <row r="2524" spans="1:5">
      <c r="A2524" s="82">
        <v>73401</v>
      </c>
      <c r="B2524" s="82">
        <v>1</v>
      </c>
      <c r="C2524" s="14" t="s">
        <v>4479</v>
      </c>
      <c r="D2524" s="83" t="s">
        <v>2834</v>
      </c>
      <c r="E2524" s="84" t="s">
        <v>2835</v>
      </c>
    </row>
    <row r="2525" spans="1:5">
      <c r="A2525" s="82">
        <v>73402</v>
      </c>
      <c r="B2525" s="82">
        <v>1</v>
      </c>
      <c r="C2525" s="14" t="s">
        <v>3330</v>
      </c>
      <c r="D2525" s="83" t="s">
        <v>2836</v>
      </c>
      <c r="E2525" s="84" t="s">
        <v>1026</v>
      </c>
    </row>
    <row r="2526" spans="1:5">
      <c r="A2526" s="82">
        <v>73403</v>
      </c>
      <c r="B2526" s="82">
        <v>1</v>
      </c>
      <c r="C2526" s="14" t="s">
        <v>4480</v>
      </c>
      <c r="D2526" s="83" t="s">
        <v>2837</v>
      </c>
      <c r="E2526" s="84" t="s">
        <v>2838</v>
      </c>
    </row>
    <row r="2527" spans="1:5">
      <c r="A2527" s="82">
        <v>73404</v>
      </c>
      <c r="B2527" s="82">
        <v>1</v>
      </c>
      <c r="C2527" s="14" t="s">
        <v>4481</v>
      </c>
      <c r="D2527" s="83" t="s">
        <v>2839</v>
      </c>
      <c r="E2527" s="84" t="s">
        <v>2840</v>
      </c>
    </row>
    <row r="2528" spans="1:5">
      <c r="A2528" s="82">
        <v>73405</v>
      </c>
      <c r="B2528" s="82">
        <v>1</v>
      </c>
      <c r="C2528" s="14" t="s">
        <v>4482</v>
      </c>
      <c r="D2528" s="83" t="s">
        <v>2841</v>
      </c>
      <c r="E2528" s="84" t="s">
        <v>2842</v>
      </c>
    </row>
    <row r="2529" spans="1:5">
      <c r="A2529" s="82">
        <v>73406</v>
      </c>
      <c r="B2529" s="82">
        <v>1</v>
      </c>
      <c r="C2529" s="14" t="s">
        <v>4483</v>
      </c>
      <c r="D2529" s="83" t="s">
        <v>2843</v>
      </c>
      <c r="E2529" s="84" t="s">
        <v>2844</v>
      </c>
    </row>
    <row r="2530" spans="1:5">
      <c r="A2530" s="82">
        <v>73407</v>
      </c>
      <c r="B2530" s="82">
        <v>1</v>
      </c>
      <c r="C2530" s="14" t="s">
        <v>3335</v>
      </c>
      <c r="D2530" s="83" t="s">
        <v>2845</v>
      </c>
      <c r="E2530" s="84" t="s">
        <v>930</v>
      </c>
    </row>
    <row r="2531" spans="1:5">
      <c r="A2531" s="82">
        <v>73408</v>
      </c>
      <c r="B2531" s="82">
        <v>1</v>
      </c>
      <c r="C2531" s="14" t="s">
        <v>4484</v>
      </c>
      <c r="D2531" s="83" t="s">
        <v>2846</v>
      </c>
      <c r="E2531" s="84" t="s">
        <v>2847</v>
      </c>
    </row>
    <row r="2532" spans="1:5">
      <c r="A2532" s="82">
        <v>73409</v>
      </c>
      <c r="B2532" s="82">
        <v>1</v>
      </c>
      <c r="C2532" s="14" t="s">
        <v>4485</v>
      </c>
      <c r="D2532" s="83" t="s">
        <v>2848</v>
      </c>
      <c r="E2532" s="84" t="s">
        <v>2849</v>
      </c>
    </row>
    <row r="2533" spans="1:5">
      <c r="A2533" s="82">
        <v>73410</v>
      </c>
      <c r="B2533" s="82">
        <v>1</v>
      </c>
      <c r="C2533" s="14" t="s">
        <v>4486</v>
      </c>
      <c r="D2533" s="83" t="s">
        <v>2850</v>
      </c>
      <c r="E2533" s="84" t="s">
        <v>2851</v>
      </c>
    </row>
    <row r="2534" spans="1:5">
      <c r="A2534" s="82">
        <v>73411</v>
      </c>
      <c r="B2534" s="82">
        <v>1</v>
      </c>
      <c r="C2534" s="14" t="s">
        <v>4487</v>
      </c>
      <c r="D2534" s="83" t="s">
        <v>2852</v>
      </c>
      <c r="E2534" s="84" t="s">
        <v>2853</v>
      </c>
    </row>
    <row r="2535" spans="1:5">
      <c r="A2535" s="82">
        <v>73412</v>
      </c>
      <c r="B2535" s="82">
        <v>1</v>
      </c>
      <c r="C2535" s="14" t="s">
        <v>3828</v>
      </c>
      <c r="D2535" s="83" t="s">
        <v>2854</v>
      </c>
      <c r="E2535" s="84" t="s">
        <v>1115</v>
      </c>
    </row>
    <row r="2536" spans="1:5">
      <c r="A2536" s="82">
        <v>73413</v>
      </c>
      <c r="B2536" s="82">
        <v>1</v>
      </c>
      <c r="C2536" s="14" t="s">
        <v>4488</v>
      </c>
      <c r="D2536" s="83" t="s">
        <v>2855</v>
      </c>
      <c r="E2536" s="84" t="s">
        <v>2856</v>
      </c>
    </row>
    <row r="2537" spans="1:5">
      <c r="A2537" s="82">
        <v>73414</v>
      </c>
      <c r="B2537" s="82">
        <v>1</v>
      </c>
      <c r="C2537" s="14" t="s">
        <v>4489</v>
      </c>
      <c r="D2537" s="83" t="s">
        <v>2857</v>
      </c>
      <c r="E2537" s="84" t="s">
        <v>2858</v>
      </c>
    </row>
    <row r="2538" spans="1:5">
      <c r="A2538" s="82">
        <v>73415</v>
      </c>
      <c r="B2538" s="82">
        <v>1</v>
      </c>
      <c r="C2538" s="14" t="s">
        <v>4490</v>
      </c>
      <c r="D2538" s="83" t="s">
        <v>2859</v>
      </c>
      <c r="E2538" s="84" t="s">
        <v>2860</v>
      </c>
    </row>
    <row r="2539" spans="1:5">
      <c r="A2539" s="82">
        <v>73416</v>
      </c>
      <c r="B2539" s="82">
        <v>1</v>
      </c>
      <c r="C2539" s="14" t="s">
        <v>4491</v>
      </c>
      <c r="D2539" s="83" t="s">
        <v>2861</v>
      </c>
      <c r="E2539" s="84" t="s">
        <v>2862</v>
      </c>
    </row>
    <row r="2540" spans="1:5">
      <c r="A2540" s="82">
        <v>73417</v>
      </c>
      <c r="B2540" s="82">
        <v>1</v>
      </c>
      <c r="C2540" s="14" t="s">
        <v>3706</v>
      </c>
      <c r="D2540" s="83" t="s">
        <v>2863</v>
      </c>
      <c r="E2540" s="84" t="s">
        <v>606</v>
      </c>
    </row>
    <row r="2541" spans="1:5">
      <c r="A2541" s="82">
        <v>73418</v>
      </c>
      <c r="B2541" s="82">
        <v>1</v>
      </c>
      <c r="C2541" s="14" t="s">
        <v>4492</v>
      </c>
      <c r="D2541" s="83" t="s">
        <v>2864</v>
      </c>
      <c r="E2541" s="84" t="s">
        <v>2865</v>
      </c>
    </row>
    <row r="2542" spans="1:5">
      <c r="A2542" s="82">
        <v>73419</v>
      </c>
      <c r="B2542" s="82">
        <v>1</v>
      </c>
      <c r="C2542" s="14" t="s">
        <v>4493</v>
      </c>
      <c r="D2542" s="83" t="s">
        <v>2866</v>
      </c>
      <c r="E2542" s="84" t="s">
        <v>2867</v>
      </c>
    </row>
    <row r="2543" spans="1:5">
      <c r="A2543" s="82">
        <v>73420</v>
      </c>
      <c r="B2543" s="82">
        <v>1</v>
      </c>
      <c r="C2543" s="14" t="s">
        <v>4494</v>
      </c>
      <c r="D2543" s="83" t="s">
        <v>2868</v>
      </c>
      <c r="E2543" s="84" t="s">
        <v>2869</v>
      </c>
    </row>
    <row r="2544" spans="1:5">
      <c r="A2544" s="82">
        <v>73421</v>
      </c>
      <c r="B2544" s="82">
        <v>1</v>
      </c>
      <c r="C2544" s="14" t="s">
        <v>4495</v>
      </c>
      <c r="D2544" s="83" t="s">
        <v>2870</v>
      </c>
      <c r="E2544" s="84" t="s">
        <v>2871</v>
      </c>
    </row>
    <row r="2545" spans="1:5">
      <c r="A2545" s="82">
        <v>73422</v>
      </c>
      <c r="B2545" s="82">
        <v>1</v>
      </c>
      <c r="C2545" s="14" t="s">
        <v>3818</v>
      </c>
      <c r="D2545" s="83" t="s">
        <v>2872</v>
      </c>
      <c r="E2545" s="84" t="s">
        <v>1030</v>
      </c>
    </row>
    <row r="2546" spans="1:5">
      <c r="A2546" s="82">
        <v>73423</v>
      </c>
      <c r="B2546" s="82">
        <v>1</v>
      </c>
      <c r="C2546" s="14" t="s">
        <v>4496</v>
      </c>
      <c r="D2546" s="83" t="s">
        <v>2870</v>
      </c>
      <c r="E2546" s="84" t="s">
        <v>2873</v>
      </c>
    </row>
    <row r="2547" spans="1:5">
      <c r="A2547" s="82">
        <v>73424</v>
      </c>
      <c r="B2547" s="82">
        <v>1</v>
      </c>
      <c r="C2547" s="14" t="s">
        <v>4497</v>
      </c>
      <c r="D2547" s="83" t="s">
        <v>2872</v>
      </c>
      <c r="E2547" s="84" t="s">
        <v>2874</v>
      </c>
    </row>
    <row r="2548" spans="1:5">
      <c r="A2548" s="108">
        <v>73451</v>
      </c>
      <c r="B2548" s="108">
        <v>1</v>
      </c>
      <c r="C2548" s="14" t="s">
        <v>4485</v>
      </c>
      <c r="D2548" s="109" t="s">
        <v>2875</v>
      </c>
      <c r="E2548" s="110" t="s">
        <v>2849</v>
      </c>
    </row>
    <row r="2549" spans="1:5">
      <c r="A2549" s="108">
        <v>73452</v>
      </c>
      <c r="B2549" s="108">
        <v>1</v>
      </c>
      <c r="C2549" s="14" t="s">
        <v>3828</v>
      </c>
      <c r="D2549" s="109" t="s">
        <v>2876</v>
      </c>
      <c r="E2549" s="110" t="s">
        <v>1115</v>
      </c>
    </row>
    <row r="2550" spans="1:5">
      <c r="A2550" s="108">
        <v>73453</v>
      </c>
      <c r="B2550" s="108">
        <v>1</v>
      </c>
      <c r="C2550" s="14" t="s">
        <v>4490</v>
      </c>
      <c r="D2550" s="109" t="s">
        <v>2877</v>
      </c>
      <c r="E2550" s="110" t="s">
        <v>2860</v>
      </c>
    </row>
    <row r="2551" spans="1:5">
      <c r="A2551" s="108">
        <v>73454</v>
      </c>
      <c r="B2551" s="108">
        <v>1</v>
      </c>
      <c r="C2551" s="14" t="s">
        <v>4492</v>
      </c>
      <c r="D2551" s="109" t="s">
        <v>2878</v>
      </c>
      <c r="E2551" s="110" t="s">
        <v>2865</v>
      </c>
    </row>
    <row r="2552" spans="1:5">
      <c r="A2552" s="108">
        <v>73455</v>
      </c>
      <c r="B2552" s="108">
        <v>1</v>
      </c>
      <c r="C2552" s="14" t="s">
        <v>4495</v>
      </c>
      <c r="D2552" s="109" t="s">
        <v>2879</v>
      </c>
      <c r="E2552" s="110" t="s">
        <v>2871</v>
      </c>
    </row>
    <row r="2553" spans="1:5">
      <c r="A2553" s="108">
        <v>73456</v>
      </c>
      <c r="B2553" s="108">
        <v>1</v>
      </c>
      <c r="C2553" s="14" t="s">
        <v>4497</v>
      </c>
      <c r="D2553" s="109" t="s">
        <v>2880</v>
      </c>
      <c r="E2553" s="110" t="s">
        <v>2874</v>
      </c>
    </row>
    <row r="2554" spans="1:5">
      <c r="A2554" s="108">
        <v>73457</v>
      </c>
      <c r="B2554" s="108">
        <v>1</v>
      </c>
      <c r="C2554" s="14" t="s">
        <v>4498</v>
      </c>
      <c r="D2554" s="109" t="s">
        <v>2881</v>
      </c>
      <c r="E2554" s="110" t="s">
        <v>2882</v>
      </c>
    </row>
    <row r="2555" spans="1:5">
      <c r="A2555" s="108">
        <v>73458</v>
      </c>
      <c r="B2555" s="108">
        <v>1</v>
      </c>
      <c r="C2555" s="14" t="s">
        <v>4499</v>
      </c>
      <c r="D2555" s="109" t="s">
        <v>2883</v>
      </c>
      <c r="E2555" s="110" t="s">
        <v>2884</v>
      </c>
    </row>
    <row r="2556" spans="1:5">
      <c r="A2556" s="108">
        <v>73459</v>
      </c>
      <c r="B2556" s="108">
        <v>1</v>
      </c>
      <c r="C2556" s="14" t="s">
        <v>4500</v>
      </c>
      <c r="D2556" s="109" t="s">
        <v>2885</v>
      </c>
      <c r="E2556" s="110" t="s">
        <v>2886</v>
      </c>
    </row>
    <row r="2557" spans="1:5">
      <c r="A2557" s="108">
        <v>73460</v>
      </c>
      <c r="B2557" s="108">
        <v>1</v>
      </c>
      <c r="C2557" s="14" t="s">
        <v>4501</v>
      </c>
      <c r="D2557" s="109" t="s">
        <v>2887</v>
      </c>
      <c r="E2557" s="110" t="s">
        <v>2888</v>
      </c>
    </row>
    <row r="2558" spans="1:5">
      <c r="A2558" s="108">
        <v>73461</v>
      </c>
      <c r="B2558" s="108">
        <v>1</v>
      </c>
      <c r="C2558" s="14" t="s">
        <v>4502</v>
      </c>
      <c r="D2558" s="109" t="s">
        <v>2889</v>
      </c>
      <c r="E2558" s="110" t="s">
        <v>2890</v>
      </c>
    </row>
    <row r="2559" spans="1:5">
      <c r="A2559" s="108">
        <v>73462</v>
      </c>
      <c r="B2559" s="108">
        <v>1</v>
      </c>
      <c r="C2559" s="14" t="s">
        <v>4503</v>
      </c>
      <c r="D2559" s="109" t="s">
        <v>2891</v>
      </c>
      <c r="E2559" s="110" t="s">
        <v>2892</v>
      </c>
    </row>
    <row r="2560" spans="1:5">
      <c r="A2560" s="108">
        <v>73463</v>
      </c>
      <c r="B2560" s="108">
        <v>1</v>
      </c>
      <c r="C2560" s="14" t="s">
        <v>4504</v>
      </c>
      <c r="D2560" s="109" t="s">
        <v>2893</v>
      </c>
      <c r="E2560" s="110" t="s">
        <v>2894</v>
      </c>
    </row>
    <row r="2561" spans="1:5">
      <c r="A2561" s="108">
        <v>73464</v>
      </c>
      <c r="B2561" s="108">
        <v>1</v>
      </c>
      <c r="C2561" s="14" t="s">
        <v>4505</v>
      </c>
      <c r="D2561" s="109" t="s">
        <v>2895</v>
      </c>
      <c r="E2561" s="110" t="s">
        <v>2896</v>
      </c>
    </row>
    <row r="2562" spans="1:5">
      <c r="A2562" s="108">
        <v>73465</v>
      </c>
      <c r="B2562" s="108">
        <v>1</v>
      </c>
      <c r="C2562" s="14" t="s">
        <v>4506</v>
      </c>
      <c r="D2562" s="109" t="s">
        <v>2897</v>
      </c>
      <c r="E2562" s="110" t="s">
        <v>2898</v>
      </c>
    </row>
    <row r="2563" spans="1:5">
      <c r="A2563" s="108">
        <v>73466</v>
      </c>
      <c r="B2563" s="108">
        <v>1</v>
      </c>
      <c r="C2563" s="14" t="s">
        <v>4507</v>
      </c>
      <c r="D2563" s="109" t="s">
        <v>2899</v>
      </c>
      <c r="E2563" s="110" t="s">
        <v>2900</v>
      </c>
    </row>
    <row r="2564" spans="1:5">
      <c r="A2564" s="108">
        <v>73467</v>
      </c>
      <c r="B2564" s="108">
        <v>1</v>
      </c>
      <c r="C2564" s="14" t="s">
        <v>4508</v>
      </c>
      <c r="D2564" s="109" t="s">
        <v>2901</v>
      </c>
      <c r="E2564" s="110" t="s">
        <v>2902</v>
      </c>
    </row>
    <row r="2565" spans="1:5">
      <c r="A2565" s="108">
        <v>73468</v>
      </c>
      <c r="B2565" s="108">
        <v>1</v>
      </c>
      <c r="C2565" s="14" t="s">
        <v>4509</v>
      </c>
      <c r="D2565" s="109" t="s">
        <v>2903</v>
      </c>
      <c r="E2565" s="110" t="s">
        <v>2904</v>
      </c>
    </row>
    <row r="2566" spans="1:5">
      <c r="A2566" s="108">
        <v>73469</v>
      </c>
      <c r="B2566" s="108">
        <v>1</v>
      </c>
      <c r="C2566" s="14" t="s">
        <v>4510</v>
      </c>
      <c r="D2566" s="109" t="s">
        <v>2905</v>
      </c>
      <c r="E2566" s="110" t="s">
        <v>2906</v>
      </c>
    </row>
    <row r="2567" spans="1:5">
      <c r="A2567" s="108">
        <v>73470</v>
      </c>
      <c r="B2567" s="108">
        <v>1</v>
      </c>
      <c r="C2567" s="14" t="s">
        <v>4511</v>
      </c>
      <c r="D2567" s="109" t="s">
        <v>2907</v>
      </c>
      <c r="E2567" s="110" t="s">
        <v>2908</v>
      </c>
    </row>
    <row r="2568" spans="1:5">
      <c r="A2568" s="108">
        <v>73471</v>
      </c>
      <c r="B2568" s="108">
        <v>1</v>
      </c>
      <c r="C2568" s="14" t="s">
        <v>4512</v>
      </c>
      <c r="D2568" s="109" t="s">
        <v>2909</v>
      </c>
      <c r="E2568" s="110" t="s">
        <v>2910</v>
      </c>
    </row>
    <row r="2569" spans="1:5">
      <c r="A2569" s="108">
        <v>73472</v>
      </c>
      <c r="B2569" s="108">
        <v>1</v>
      </c>
      <c r="C2569" s="14" t="s">
        <v>3822</v>
      </c>
      <c r="D2569" s="109" t="s">
        <v>2911</v>
      </c>
      <c r="E2569" s="110" t="s">
        <v>1038</v>
      </c>
    </row>
    <row r="2570" spans="1:5">
      <c r="A2570" s="108">
        <v>73473</v>
      </c>
      <c r="B2570" s="108">
        <v>1</v>
      </c>
      <c r="C2570" s="14" t="s">
        <v>4513</v>
      </c>
      <c r="D2570" s="109" t="s">
        <v>2912</v>
      </c>
      <c r="E2570" s="110" t="s">
        <v>2913</v>
      </c>
    </row>
    <row r="2571" spans="1:5">
      <c r="A2571" s="108">
        <v>73474</v>
      </c>
      <c r="B2571" s="108">
        <v>1</v>
      </c>
      <c r="C2571" s="14" t="s">
        <v>4514</v>
      </c>
      <c r="D2571" s="109" t="s">
        <v>2914</v>
      </c>
      <c r="E2571" s="110" t="s">
        <v>2915</v>
      </c>
    </row>
    <row r="2572" spans="1:5">
      <c r="A2572" s="82">
        <v>73501</v>
      </c>
      <c r="B2572" s="82">
        <v>1</v>
      </c>
      <c r="C2572" s="14" t="s">
        <v>3613</v>
      </c>
      <c r="D2572" s="83" t="s">
        <v>2916</v>
      </c>
      <c r="E2572" s="84" t="s">
        <v>421</v>
      </c>
    </row>
    <row r="2573" spans="1:5">
      <c r="A2573" s="82">
        <v>73502</v>
      </c>
      <c r="B2573" s="82">
        <v>1</v>
      </c>
      <c r="C2573" s="14" t="s">
        <v>3613</v>
      </c>
      <c r="D2573" s="83" t="s">
        <v>2917</v>
      </c>
      <c r="E2573" s="84" t="s">
        <v>2918</v>
      </c>
    </row>
    <row r="2574" spans="1:5">
      <c r="A2574" s="82">
        <v>73503</v>
      </c>
      <c r="B2574" s="82">
        <v>1</v>
      </c>
      <c r="C2574" s="14" t="s">
        <v>3336</v>
      </c>
      <c r="D2574" s="83" t="s">
        <v>2919</v>
      </c>
      <c r="E2574" s="84" t="s">
        <v>2228</v>
      </c>
    </row>
    <row r="2575" spans="1:5">
      <c r="A2575" s="82">
        <v>73504</v>
      </c>
      <c r="B2575" s="82">
        <v>1</v>
      </c>
      <c r="C2575" s="14" t="s">
        <v>3336</v>
      </c>
      <c r="D2575" s="83" t="s">
        <v>2920</v>
      </c>
      <c r="E2575" s="84" t="s">
        <v>2921</v>
      </c>
    </row>
    <row r="2576" spans="1:5">
      <c r="A2576" s="82">
        <v>73505</v>
      </c>
      <c r="B2576" s="82">
        <v>1</v>
      </c>
      <c r="C2576" s="14" t="s">
        <v>4269</v>
      </c>
      <c r="D2576" s="83" t="s">
        <v>2922</v>
      </c>
      <c r="E2576" s="84" t="s">
        <v>2153</v>
      </c>
    </row>
    <row r="2577" spans="1:5">
      <c r="A2577" s="82">
        <v>73506</v>
      </c>
      <c r="B2577" s="82">
        <v>1</v>
      </c>
      <c r="C2577" s="14" t="s">
        <v>4269</v>
      </c>
      <c r="D2577" s="83" t="s">
        <v>2923</v>
      </c>
      <c r="E2577" s="84" t="s">
        <v>2924</v>
      </c>
    </row>
    <row r="2578" spans="1:5">
      <c r="A2578" s="82">
        <v>73507</v>
      </c>
      <c r="B2578" s="82">
        <v>1</v>
      </c>
      <c r="C2578" s="14" t="s">
        <v>4304</v>
      </c>
      <c r="D2578" s="83" t="s">
        <v>2925</v>
      </c>
      <c r="E2578" s="84" t="s">
        <v>2231</v>
      </c>
    </row>
    <row r="2579" spans="1:5">
      <c r="A2579" s="82">
        <v>73508</v>
      </c>
      <c r="B2579" s="82">
        <v>1</v>
      </c>
      <c r="C2579" s="14" t="s">
        <v>4304</v>
      </c>
      <c r="D2579" s="83" t="s">
        <v>2926</v>
      </c>
      <c r="E2579" s="84" t="s">
        <v>2927</v>
      </c>
    </row>
    <row r="2580" spans="1:5">
      <c r="A2580" s="82">
        <v>73509</v>
      </c>
      <c r="B2580" s="82">
        <v>1</v>
      </c>
      <c r="C2580" s="14" t="s">
        <v>4290</v>
      </c>
      <c r="D2580" s="83" t="s">
        <v>2928</v>
      </c>
      <c r="E2580" s="84" t="s">
        <v>2180</v>
      </c>
    </row>
    <row r="2581" spans="1:5">
      <c r="A2581" s="82">
        <v>73510</v>
      </c>
      <c r="B2581" s="82">
        <v>1</v>
      </c>
      <c r="C2581" s="14" t="s">
        <v>4290</v>
      </c>
      <c r="D2581" s="83" t="s">
        <v>2929</v>
      </c>
      <c r="E2581" s="84" t="s">
        <v>2930</v>
      </c>
    </row>
    <row r="2582" spans="1:5">
      <c r="A2582" s="82">
        <v>73511</v>
      </c>
      <c r="B2582" s="82">
        <v>1</v>
      </c>
      <c r="C2582" s="14" t="s">
        <v>4305</v>
      </c>
      <c r="D2582" s="83" t="s">
        <v>2931</v>
      </c>
      <c r="E2582" s="84" t="s">
        <v>2234</v>
      </c>
    </row>
    <row r="2583" spans="1:5">
      <c r="A2583" s="82">
        <v>73512</v>
      </c>
      <c r="B2583" s="82">
        <v>1</v>
      </c>
      <c r="C2583" s="14" t="s">
        <v>4305</v>
      </c>
      <c r="D2583" s="83" t="s">
        <v>2932</v>
      </c>
      <c r="E2583" s="84" t="s">
        <v>2933</v>
      </c>
    </row>
    <row r="2584" spans="1:5">
      <c r="A2584" s="82">
        <v>73513</v>
      </c>
      <c r="B2584" s="82">
        <v>1</v>
      </c>
      <c r="C2584" s="14" t="s">
        <v>4306</v>
      </c>
      <c r="D2584" s="83" t="s">
        <v>2934</v>
      </c>
      <c r="E2584" s="84" t="s">
        <v>2236</v>
      </c>
    </row>
    <row r="2585" spans="1:5">
      <c r="A2585" s="82">
        <v>73514</v>
      </c>
      <c r="B2585" s="82">
        <v>1</v>
      </c>
      <c r="C2585" s="14" t="s">
        <v>4306</v>
      </c>
      <c r="D2585" s="83" t="s">
        <v>2935</v>
      </c>
      <c r="E2585" s="84" t="s">
        <v>2936</v>
      </c>
    </row>
    <row r="2586" spans="1:5">
      <c r="A2586" s="82">
        <v>73515</v>
      </c>
      <c r="B2586" s="82">
        <v>1</v>
      </c>
      <c r="C2586" s="14" t="s">
        <v>4515</v>
      </c>
      <c r="D2586" s="83" t="s">
        <v>2937</v>
      </c>
      <c r="E2586" s="84" t="s">
        <v>2938</v>
      </c>
    </row>
    <row r="2587" spans="1:5">
      <c r="A2587" s="82">
        <v>73516</v>
      </c>
      <c r="B2587" s="82">
        <v>1</v>
      </c>
      <c r="C2587" s="14" t="s">
        <v>4515</v>
      </c>
      <c r="D2587" s="83" t="s">
        <v>2939</v>
      </c>
      <c r="E2587" s="84" t="s">
        <v>2940</v>
      </c>
    </row>
    <row r="2588" spans="1:5">
      <c r="A2588" s="82">
        <v>73517</v>
      </c>
      <c r="B2588" s="82">
        <v>1</v>
      </c>
      <c r="C2588" s="14" t="s">
        <v>4516</v>
      </c>
      <c r="D2588" s="83" t="s">
        <v>2941</v>
      </c>
      <c r="E2588" s="84" t="s">
        <v>2942</v>
      </c>
    </row>
    <row r="2589" spans="1:5">
      <c r="A2589" s="82">
        <v>73518</v>
      </c>
      <c r="B2589" s="82">
        <v>1</v>
      </c>
      <c r="C2589" s="14" t="s">
        <v>4516</v>
      </c>
      <c r="D2589" s="83" t="s">
        <v>2943</v>
      </c>
      <c r="E2589" s="84" t="s">
        <v>2944</v>
      </c>
    </row>
    <row r="2590" spans="1:5">
      <c r="A2590" s="82">
        <v>73519</v>
      </c>
      <c r="B2590" s="82">
        <v>1</v>
      </c>
      <c r="C2590" s="14" t="s">
        <v>4517</v>
      </c>
      <c r="D2590" s="83" t="s">
        <v>2945</v>
      </c>
      <c r="E2590" s="84" t="s">
        <v>2946</v>
      </c>
    </row>
    <row r="2591" spans="1:5">
      <c r="A2591" s="82">
        <v>73520</v>
      </c>
      <c r="B2591" s="82">
        <v>1</v>
      </c>
      <c r="C2591" s="14" t="s">
        <v>4517</v>
      </c>
      <c r="D2591" s="83" t="s">
        <v>2947</v>
      </c>
      <c r="E2591" s="84" t="s">
        <v>2948</v>
      </c>
    </row>
    <row r="2592" spans="1:5">
      <c r="A2592" s="82">
        <v>73521</v>
      </c>
      <c r="B2592" s="82">
        <v>1</v>
      </c>
      <c r="C2592" s="14" t="s">
        <v>4518</v>
      </c>
      <c r="D2592" s="83" t="s">
        <v>2949</v>
      </c>
      <c r="E2592" s="84" t="s">
        <v>2950</v>
      </c>
    </row>
    <row r="2593" spans="1:5">
      <c r="A2593" s="82">
        <v>73522</v>
      </c>
      <c r="B2593" s="82">
        <v>1</v>
      </c>
      <c r="C2593" s="14" t="s">
        <v>4518</v>
      </c>
      <c r="D2593" s="83" t="s">
        <v>2951</v>
      </c>
      <c r="E2593" s="84" t="s">
        <v>2952</v>
      </c>
    </row>
    <row r="2594" spans="1:5">
      <c r="A2594" s="108">
        <v>73551</v>
      </c>
      <c r="B2594" s="108">
        <v>1</v>
      </c>
      <c r="C2594" s="14" t="s">
        <v>3336</v>
      </c>
      <c r="D2594" s="109" t="s">
        <v>2953</v>
      </c>
      <c r="E2594" s="110" t="s">
        <v>2228</v>
      </c>
    </row>
    <row r="2595" spans="1:5">
      <c r="A2595" s="108">
        <v>73552</v>
      </c>
      <c r="B2595" s="108">
        <v>1</v>
      </c>
      <c r="C2595" s="14" t="s">
        <v>4269</v>
      </c>
      <c r="D2595" s="109" t="s">
        <v>2954</v>
      </c>
      <c r="E2595" s="110" t="s">
        <v>2153</v>
      </c>
    </row>
    <row r="2596" spans="1:5">
      <c r="A2596" s="108">
        <v>73553</v>
      </c>
      <c r="B2596" s="108">
        <v>1</v>
      </c>
      <c r="C2596" s="14" t="s">
        <v>4304</v>
      </c>
      <c r="D2596" s="109" t="s">
        <v>2955</v>
      </c>
      <c r="E2596" s="110" t="s">
        <v>2231</v>
      </c>
    </row>
    <row r="2597" spans="1:5">
      <c r="A2597" s="108">
        <v>73554</v>
      </c>
      <c r="B2597" s="108">
        <v>1</v>
      </c>
      <c r="C2597" s="14" t="s">
        <v>4290</v>
      </c>
      <c r="D2597" s="109" t="s">
        <v>2956</v>
      </c>
      <c r="E2597" s="110" t="s">
        <v>2180</v>
      </c>
    </row>
    <row r="2598" spans="1:5">
      <c r="A2598" s="108">
        <v>73555</v>
      </c>
      <c r="B2598" s="108">
        <v>1</v>
      </c>
      <c r="C2598" s="14" t="s">
        <v>4305</v>
      </c>
      <c r="D2598" s="109" t="s">
        <v>2957</v>
      </c>
      <c r="E2598" s="110" t="s">
        <v>2234</v>
      </c>
    </row>
    <row r="2599" spans="1:5">
      <c r="A2599" s="108">
        <v>73556</v>
      </c>
      <c r="B2599" s="108">
        <v>1</v>
      </c>
      <c r="C2599" s="14" t="s">
        <v>4306</v>
      </c>
      <c r="D2599" s="109" t="s">
        <v>2958</v>
      </c>
      <c r="E2599" s="110" t="s">
        <v>2236</v>
      </c>
    </row>
    <row r="2600" spans="1:5">
      <c r="A2600" s="108">
        <v>73557</v>
      </c>
      <c r="B2600" s="108">
        <v>1</v>
      </c>
      <c r="C2600" s="14" t="s">
        <v>4515</v>
      </c>
      <c r="D2600" s="109" t="s">
        <v>2959</v>
      </c>
      <c r="E2600" s="110" t="s">
        <v>2938</v>
      </c>
    </row>
    <row r="2601" spans="1:5">
      <c r="A2601" s="108">
        <v>73558</v>
      </c>
      <c r="B2601" s="108">
        <v>1</v>
      </c>
      <c r="C2601" s="14" t="s">
        <v>4516</v>
      </c>
      <c r="D2601" s="109" t="s">
        <v>2960</v>
      </c>
      <c r="E2601" s="110" t="s">
        <v>2942</v>
      </c>
    </row>
    <row r="2602" spans="1:5">
      <c r="A2602" s="108">
        <v>73559</v>
      </c>
      <c r="B2602" s="108">
        <v>1</v>
      </c>
      <c r="C2602" s="14" t="s">
        <v>4517</v>
      </c>
      <c r="D2602" s="109" t="s">
        <v>2961</v>
      </c>
      <c r="E2602" s="110" t="s">
        <v>2946</v>
      </c>
    </row>
    <row r="2603" spans="1:5">
      <c r="A2603" s="108">
        <v>73560</v>
      </c>
      <c r="B2603" s="108">
        <v>1</v>
      </c>
      <c r="C2603" s="14" t="s">
        <v>4518</v>
      </c>
      <c r="D2603" s="109" t="s">
        <v>2962</v>
      </c>
      <c r="E2603" s="110" t="s">
        <v>2950</v>
      </c>
    </row>
    <row r="2604" spans="1:5">
      <c r="A2604" s="108">
        <v>73561</v>
      </c>
      <c r="B2604" s="108">
        <v>1</v>
      </c>
      <c r="C2604" s="14" t="s">
        <v>4519</v>
      </c>
      <c r="D2604" s="109" t="s">
        <v>2963</v>
      </c>
      <c r="E2604" s="110" t="s">
        <v>2964</v>
      </c>
    </row>
    <row r="2605" spans="1:5">
      <c r="A2605" s="108">
        <v>73562</v>
      </c>
      <c r="B2605" s="108">
        <v>1</v>
      </c>
      <c r="C2605" s="14" t="s">
        <v>4520</v>
      </c>
      <c r="D2605" s="109" t="s">
        <v>2965</v>
      </c>
      <c r="E2605" s="110" t="s">
        <v>2966</v>
      </c>
    </row>
    <row r="2606" spans="1:5">
      <c r="A2606" s="108">
        <v>73563</v>
      </c>
      <c r="B2606" s="108">
        <v>1</v>
      </c>
      <c r="C2606" s="14" t="s">
        <v>4521</v>
      </c>
      <c r="D2606" s="109" t="s">
        <v>2967</v>
      </c>
      <c r="E2606" s="110" t="s">
        <v>2968</v>
      </c>
    </row>
    <row r="2607" spans="1:5">
      <c r="A2607" s="108">
        <v>73564</v>
      </c>
      <c r="B2607" s="108">
        <v>1</v>
      </c>
      <c r="C2607" s="14" t="s">
        <v>4522</v>
      </c>
      <c r="D2607" s="109" t="s">
        <v>2969</v>
      </c>
      <c r="E2607" s="110" t="s">
        <v>2970</v>
      </c>
    </row>
    <row r="2608" spans="1:5">
      <c r="A2608" s="108">
        <v>73565</v>
      </c>
      <c r="B2608" s="108">
        <v>1</v>
      </c>
      <c r="C2608" s="14" t="s">
        <v>4523</v>
      </c>
      <c r="D2608" s="109" t="s">
        <v>2971</v>
      </c>
      <c r="E2608" s="110" t="s">
        <v>2972</v>
      </c>
    </row>
    <row r="2609" spans="1:5">
      <c r="A2609" s="108">
        <v>73566</v>
      </c>
      <c r="B2609" s="108">
        <v>1</v>
      </c>
      <c r="C2609" s="14" t="s">
        <v>4524</v>
      </c>
      <c r="D2609" s="109" t="s">
        <v>2973</v>
      </c>
      <c r="E2609" s="110" t="s">
        <v>2974</v>
      </c>
    </row>
    <row r="2610" spans="1:5">
      <c r="A2610" s="108">
        <v>73567</v>
      </c>
      <c r="B2610" s="108">
        <v>1</v>
      </c>
      <c r="C2610" s="14" t="s">
        <v>4525</v>
      </c>
      <c r="D2610" s="109" t="s">
        <v>2975</v>
      </c>
      <c r="E2610" s="110" t="s">
        <v>2976</v>
      </c>
    </row>
    <row r="2611" spans="1:5">
      <c r="A2611" s="108">
        <v>73568</v>
      </c>
      <c r="B2611" s="108">
        <v>1</v>
      </c>
      <c r="C2611" s="14" t="s">
        <v>4526</v>
      </c>
      <c r="D2611" s="109" t="s">
        <v>2977</v>
      </c>
      <c r="E2611" s="110" t="s">
        <v>2978</v>
      </c>
    </row>
    <row r="2612" spans="1:5">
      <c r="A2612" s="108">
        <v>73569</v>
      </c>
      <c r="B2612" s="108">
        <v>1</v>
      </c>
      <c r="C2612" s="14" t="s">
        <v>4527</v>
      </c>
      <c r="D2612" s="109" t="s">
        <v>2979</v>
      </c>
      <c r="E2612" s="110" t="s">
        <v>2980</v>
      </c>
    </row>
    <row r="2613" spans="1:5">
      <c r="A2613" s="108">
        <v>73570</v>
      </c>
      <c r="B2613" s="108">
        <v>1</v>
      </c>
      <c r="C2613" s="14" t="s">
        <v>4528</v>
      </c>
      <c r="D2613" s="109" t="s">
        <v>2981</v>
      </c>
      <c r="E2613" s="110" t="s">
        <v>2982</v>
      </c>
    </row>
    <row r="2614" spans="1:5">
      <c r="A2614" s="108">
        <v>73571</v>
      </c>
      <c r="B2614" s="108">
        <v>1</v>
      </c>
      <c r="C2614" s="14" t="s">
        <v>4529</v>
      </c>
      <c r="D2614" s="109" t="s">
        <v>2983</v>
      </c>
      <c r="E2614" s="110" t="s">
        <v>2984</v>
      </c>
    </row>
    <row r="2615" spans="1:5">
      <c r="A2615" s="108">
        <v>73572</v>
      </c>
      <c r="B2615" s="108">
        <v>1</v>
      </c>
      <c r="C2615" s="14" t="s">
        <v>4530</v>
      </c>
      <c r="D2615" s="109" t="s">
        <v>2985</v>
      </c>
      <c r="E2615" s="110" t="s">
        <v>2986</v>
      </c>
    </row>
    <row r="2616" spans="1:5">
      <c r="A2616" s="82">
        <v>73601</v>
      </c>
      <c r="B2616" s="82">
        <v>1</v>
      </c>
      <c r="C2616" s="14" t="s">
        <v>3758</v>
      </c>
      <c r="D2616" s="83" t="s">
        <v>2987</v>
      </c>
      <c r="E2616" s="84" t="s">
        <v>762</v>
      </c>
    </row>
    <row r="2617" spans="1:5">
      <c r="A2617" s="82">
        <v>73602</v>
      </c>
      <c r="B2617" s="82">
        <v>1</v>
      </c>
      <c r="C2617" s="14" t="s">
        <v>3348</v>
      </c>
      <c r="D2617" s="83" t="s">
        <v>2988</v>
      </c>
      <c r="E2617" s="84" t="s">
        <v>949</v>
      </c>
    </row>
    <row r="2618" spans="1:5">
      <c r="A2618" s="82">
        <v>73603</v>
      </c>
      <c r="B2618" s="82">
        <v>1</v>
      </c>
      <c r="C2618" s="14" t="s">
        <v>4263</v>
      </c>
      <c r="D2618" s="83" t="s">
        <v>2989</v>
      </c>
      <c r="E2618" s="84" t="s">
        <v>2131</v>
      </c>
    </row>
    <row r="2619" spans="1:5">
      <c r="A2619" s="82">
        <v>73604</v>
      </c>
      <c r="B2619" s="82">
        <v>1</v>
      </c>
      <c r="C2619" s="14" t="s">
        <v>3809</v>
      </c>
      <c r="D2619" s="83" t="s">
        <v>2990</v>
      </c>
      <c r="E2619" s="84" t="s">
        <v>944</v>
      </c>
    </row>
    <row r="2620" spans="1:5">
      <c r="A2620" s="82">
        <v>73605</v>
      </c>
      <c r="B2620" s="82">
        <v>1</v>
      </c>
      <c r="C2620" s="14" t="s">
        <v>4328</v>
      </c>
      <c r="D2620" s="83" t="s">
        <v>2991</v>
      </c>
      <c r="E2620" s="84" t="s">
        <v>2316</v>
      </c>
    </row>
    <row r="2621" spans="1:5">
      <c r="A2621" s="82">
        <v>73606</v>
      </c>
      <c r="B2621" s="82">
        <v>1</v>
      </c>
      <c r="C2621" s="14" t="s">
        <v>4531</v>
      </c>
      <c r="D2621" s="83" t="s">
        <v>2992</v>
      </c>
      <c r="E2621" s="84" t="s">
        <v>2993</v>
      </c>
    </row>
    <row r="2622" spans="1:5">
      <c r="A2622" s="82">
        <v>73607</v>
      </c>
      <c r="B2622" s="82">
        <v>1</v>
      </c>
      <c r="C2622" s="14" t="s">
        <v>4532</v>
      </c>
      <c r="D2622" s="83" t="s">
        <v>2994</v>
      </c>
      <c r="E2622" s="84" t="s">
        <v>2995</v>
      </c>
    </row>
    <row r="2623" spans="1:5">
      <c r="A2623" s="82">
        <v>73608</v>
      </c>
      <c r="B2623" s="82">
        <v>1</v>
      </c>
      <c r="C2623" s="14" t="s">
        <v>4533</v>
      </c>
      <c r="D2623" s="83" t="s">
        <v>2996</v>
      </c>
      <c r="E2623" s="84" t="s">
        <v>2997</v>
      </c>
    </row>
    <row r="2624" spans="1:5">
      <c r="A2624" s="82">
        <v>73609</v>
      </c>
      <c r="B2624" s="82">
        <v>1</v>
      </c>
      <c r="C2624" s="14" t="s">
        <v>4534</v>
      </c>
      <c r="D2624" s="83" t="s">
        <v>2998</v>
      </c>
      <c r="E2624" s="84" t="s">
        <v>2999</v>
      </c>
    </row>
    <row r="2625" spans="1:5">
      <c r="A2625" s="82">
        <v>73610</v>
      </c>
      <c r="B2625" s="82">
        <v>1</v>
      </c>
      <c r="C2625" s="14" t="s">
        <v>4535</v>
      </c>
      <c r="D2625" s="83" t="s">
        <v>3000</v>
      </c>
      <c r="E2625" s="84" t="s">
        <v>3001</v>
      </c>
    </row>
    <row r="2626" spans="1:5">
      <c r="A2626" s="82">
        <v>73611</v>
      </c>
      <c r="B2626" s="82">
        <v>1</v>
      </c>
      <c r="C2626" s="14" t="s">
        <v>4536</v>
      </c>
      <c r="D2626" s="83" t="s">
        <v>3002</v>
      </c>
      <c r="E2626" s="84" t="s">
        <v>3003</v>
      </c>
    </row>
    <row r="2627" spans="1:5">
      <c r="A2627" s="82">
        <v>73612</v>
      </c>
      <c r="B2627" s="82">
        <v>1</v>
      </c>
      <c r="C2627" s="14" t="s">
        <v>4537</v>
      </c>
      <c r="D2627" s="83" t="s">
        <v>3004</v>
      </c>
      <c r="E2627" s="84" t="s">
        <v>3005</v>
      </c>
    </row>
    <row r="2628" spans="1:5">
      <c r="A2628" s="82">
        <v>73613</v>
      </c>
      <c r="B2628" s="82">
        <v>1</v>
      </c>
      <c r="C2628" s="14" t="s">
        <v>4538</v>
      </c>
      <c r="D2628" s="83" t="s">
        <v>3006</v>
      </c>
      <c r="E2628" s="84" t="s">
        <v>3007</v>
      </c>
    </row>
    <row r="2629" spans="1:5">
      <c r="A2629" s="82">
        <v>73614</v>
      </c>
      <c r="B2629" s="82">
        <v>1</v>
      </c>
      <c r="C2629" s="14" t="s">
        <v>4539</v>
      </c>
      <c r="D2629" s="83" t="s">
        <v>3008</v>
      </c>
      <c r="E2629" s="84" t="s">
        <v>3009</v>
      </c>
    </row>
    <row r="2630" spans="1:5">
      <c r="A2630" s="82">
        <v>73615</v>
      </c>
      <c r="B2630" s="82">
        <v>1</v>
      </c>
      <c r="C2630" s="14" t="s">
        <v>4540</v>
      </c>
      <c r="D2630" s="83" t="s">
        <v>3010</v>
      </c>
      <c r="E2630" s="84" t="s">
        <v>3011</v>
      </c>
    </row>
    <row r="2631" spans="1:5">
      <c r="A2631" s="82">
        <v>73616</v>
      </c>
      <c r="B2631" s="82">
        <v>1</v>
      </c>
      <c r="C2631" s="14" t="s">
        <v>4541</v>
      </c>
      <c r="D2631" s="83" t="s">
        <v>3012</v>
      </c>
      <c r="E2631" s="84" t="s">
        <v>3013</v>
      </c>
    </row>
    <row r="2632" spans="1:5">
      <c r="A2632" s="82">
        <v>73617</v>
      </c>
      <c r="B2632" s="82">
        <v>1</v>
      </c>
      <c r="C2632" s="14" t="s">
        <v>4542</v>
      </c>
      <c r="D2632" s="83" t="s">
        <v>3014</v>
      </c>
      <c r="E2632" s="84" t="s">
        <v>3015</v>
      </c>
    </row>
    <row r="2633" spans="1:5">
      <c r="A2633" s="82">
        <v>73618</v>
      </c>
      <c r="B2633" s="82">
        <v>1</v>
      </c>
      <c r="C2633" s="14" t="s">
        <v>4543</v>
      </c>
      <c r="D2633" s="83" t="s">
        <v>3016</v>
      </c>
      <c r="E2633" s="84" t="s">
        <v>3017</v>
      </c>
    </row>
    <row r="2634" spans="1:5">
      <c r="A2634" s="82">
        <v>73619</v>
      </c>
      <c r="B2634" s="82">
        <v>1</v>
      </c>
      <c r="C2634" s="14" t="s">
        <v>4544</v>
      </c>
      <c r="D2634" s="83" t="s">
        <v>3018</v>
      </c>
      <c r="E2634" s="84" t="s">
        <v>3019</v>
      </c>
    </row>
    <row r="2635" spans="1:5">
      <c r="A2635" s="82">
        <v>73620</v>
      </c>
      <c r="B2635" s="82">
        <v>1</v>
      </c>
      <c r="C2635" s="14" t="s">
        <v>4545</v>
      </c>
      <c r="D2635" s="83" t="s">
        <v>3020</v>
      </c>
      <c r="E2635" s="84" t="s">
        <v>3021</v>
      </c>
    </row>
    <row r="2636" spans="1:5">
      <c r="A2636" s="108">
        <v>73651</v>
      </c>
      <c r="B2636" s="108">
        <v>1</v>
      </c>
      <c r="C2636" s="14" t="s">
        <v>4328</v>
      </c>
      <c r="D2636" s="109" t="s">
        <v>3022</v>
      </c>
      <c r="E2636" s="110" t="s">
        <v>2316</v>
      </c>
    </row>
    <row r="2637" spans="1:5">
      <c r="A2637" s="108">
        <v>73652</v>
      </c>
      <c r="B2637" s="108">
        <v>1</v>
      </c>
      <c r="C2637" s="14" t="s">
        <v>4535</v>
      </c>
      <c r="D2637" s="109" t="s">
        <v>3023</v>
      </c>
      <c r="E2637" s="110" t="s">
        <v>3001</v>
      </c>
    </row>
    <row r="2638" spans="1:5">
      <c r="A2638" s="108">
        <v>73653</v>
      </c>
      <c r="B2638" s="108">
        <v>1</v>
      </c>
      <c r="C2638" s="14" t="s">
        <v>4540</v>
      </c>
      <c r="D2638" s="109" t="s">
        <v>3024</v>
      </c>
      <c r="E2638" s="110" t="s">
        <v>3011</v>
      </c>
    </row>
    <row r="2639" spans="1:5">
      <c r="A2639" s="108">
        <v>73654</v>
      </c>
      <c r="B2639" s="108">
        <v>1</v>
      </c>
      <c r="C2639" s="14" t="s">
        <v>4545</v>
      </c>
      <c r="D2639" s="109" t="s">
        <v>3025</v>
      </c>
      <c r="E2639" s="110" t="s">
        <v>3021</v>
      </c>
    </row>
    <row r="2640" spans="1:5">
      <c r="A2640" s="108">
        <v>73655</v>
      </c>
      <c r="B2640" s="108">
        <v>1</v>
      </c>
      <c r="C2640" s="14" t="s">
        <v>4546</v>
      </c>
      <c r="D2640" s="109" t="s">
        <v>3026</v>
      </c>
      <c r="E2640" s="110" t="s">
        <v>3027</v>
      </c>
    </row>
    <row r="2641" spans="1:5">
      <c r="A2641" s="108">
        <v>73656</v>
      </c>
      <c r="B2641" s="108">
        <v>1</v>
      </c>
      <c r="C2641" s="14" t="s">
        <v>4547</v>
      </c>
      <c r="D2641" s="109" t="s">
        <v>3028</v>
      </c>
      <c r="E2641" s="110" t="s">
        <v>3029</v>
      </c>
    </row>
    <row r="2642" spans="1:5">
      <c r="A2642" s="108">
        <v>73657</v>
      </c>
      <c r="B2642" s="108">
        <v>1</v>
      </c>
      <c r="C2642" s="14" t="s">
        <v>4548</v>
      </c>
      <c r="D2642" s="109" t="s">
        <v>3030</v>
      </c>
      <c r="E2642" s="110" t="s">
        <v>3031</v>
      </c>
    </row>
    <row r="2643" spans="1:5">
      <c r="A2643" s="108">
        <v>73658</v>
      </c>
      <c r="B2643" s="108">
        <v>1</v>
      </c>
      <c r="C2643" s="14" t="s">
        <v>4549</v>
      </c>
      <c r="D2643" s="109" t="s">
        <v>3032</v>
      </c>
      <c r="E2643" s="110" t="s">
        <v>3033</v>
      </c>
    </row>
    <row r="2644" spans="1:5">
      <c r="A2644" s="108">
        <v>73659</v>
      </c>
      <c r="B2644" s="108">
        <v>1</v>
      </c>
      <c r="C2644" s="14" t="s">
        <v>4550</v>
      </c>
      <c r="D2644" s="109" t="s">
        <v>3034</v>
      </c>
      <c r="E2644" s="110" t="s">
        <v>3035</v>
      </c>
    </row>
    <row r="2645" spans="1:5">
      <c r="A2645" s="108">
        <v>73660</v>
      </c>
      <c r="B2645" s="108">
        <v>1</v>
      </c>
      <c r="C2645" s="14" t="s">
        <v>4551</v>
      </c>
      <c r="D2645" s="109" t="s">
        <v>3036</v>
      </c>
      <c r="E2645" s="110" t="s">
        <v>3037</v>
      </c>
    </row>
    <row r="2646" spans="1:5">
      <c r="A2646" s="108">
        <v>73661</v>
      </c>
      <c r="B2646" s="108">
        <v>1</v>
      </c>
      <c r="C2646" s="14" t="s">
        <v>4552</v>
      </c>
      <c r="D2646" s="109" t="s">
        <v>3038</v>
      </c>
      <c r="E2646" s="110" t="s">
        <v>3039</v>
      </c>
    </row>
    <row r="2647" spans="1:5">
      <c r="A2647" s="108">
        <v>73662</v>
      </c>
      <c r="B2647" s="108">
        <v>1</v>
      </c>
      <c r="C2647" s="14" t="s">
        <v>4553</v>
      </c>
      <c r="D2647" s="109" t="s">
        <v>3040</v>
      </c>
      <c r="E2647" s="110" t="s">
        <v>3041</v>
      </c>
    </row>
    <row r="2648" spans="1:5">
      <c r="A2648" s="108">
        <v>73663</v>
      </c>
      <c r="B2648" s="108">
        <v>1</v>
      </c>
      <c r="C2648" s="14" t="s">
        <v>4554</v>
      </c>
      <c r="D2648" s="109" t="s">
        <v>3042</v>
      </c>
      <c r="E2648" s="110" t="s">
        <v>3043</v>
      </c>
    </row>
    <row r="2649" spans="1:5">
      <c r="A2649" s="108">
        <v>73664</v>
      </c>
      <c r="B2649" s="108">
        <v>1</v>
      </c>
      <c r="C2649" s="14" t="s">
        <v>4555</v>
      </c>
      <c r="D2649" s="109" t="s">
        <v>3044</v>
      </c>
      <c r="E2649" s="110" t="s">
        <v>3045</v>
      </c>
    </row>
    <row r="2650" spans="1:5">
      <c r="A2650" s="108">
        <v>73665</v>
      </c>
      <c r="B2650" s="108">
        <v>1</v>
      </c>
      <c r="C2650" s="14" t="s">
        <v>4556</v>
      </c>
      <c r="D2650" s="109" t="s">
        <v>3046</v>
      </c>
      <c r="E2650" s="110" t="s">
        <v>3047</v>
      </c>
    </row>
    <row r="2651" spans="1:5">
      <c r="A2651" s="108">
        <v>73666</v>
      </c>
      <c r="B2651" s="108">
        <v>1</v>
      </c>
      <c r="C2651" s="14" t="s">
        <v>4557</v>
      </c>
      <c r="D2651" s="109" t="s">
        <v>3048</v>
      </c>
      <c r="E2651" s="110" t="s">
        <v>3049</v>
      </c>
    </row>
    <row r="2652" spans="1:5">
      <c r="A2652" s="108">
        <v>73667</v>
      </c>
      <c r="B2652" s="108">
        <v>1</v>
      </c>
      <c r="C2652" s="14" t="s">
        <v>4558</v>
      </c>
      <c r="D2652" s="109" t="s">
        <v>3050</v>
      </c>
      <c r="E2652" s="110" t="s">
        <v>3051</v>
      </c>
    </row>
    <row r="2653" spans="1:5">
      <c r="A2653" s="108">
        <v>73668</v>
      </c>
      <c r="B2653" s="108">
        <v>1</v>
      </c>
      <c r="C2653" s="14" t="s">
        <v>4559</v>
      </c>
      <c r="D2653" s="109" t="s">
        <v>3052</v>
      </c>
      <c r="E2653" s="110" t="s">
        <v>3053</v>
      </c>
    </row>
    <row r="2654" spans="1:5">
      <c r="A2654" s="108">
        <v>73669</v>
      </c>
      <c r="B2654" s="108">
        <v>1</v>
      </c>
      <c r="C2654" s="14" t="s">
        <v>4560</v>
      </c>
      <c r="D2654" s="109" t="s">
        <v>3054</v>
      </c>
      <c r="E2654" s="110" t="s">
        <v>3055</v>
      </c>
    </row>
    <row r="2655" spans="1:5">
      <c r="A2655" s="108">
        <v>73670</v>
      </c>
      <c r="B2655" s="108">
        <v>1</v>
      </c>
      <c r="C2655" s="14" t="s">
        <v>4561</v>
      </c>
      <c r="D2655" s="109" t="s">
        <v>3056</v>
      </c>
      <c r="E2655" s="110" t="s">
        <v>3057</v>
      </c>
    </row>
    <row r="2656" spans="1:5">
      <c r="A2656" s="111">
        <v>75000</v>
      </c>
      <c r="B2656" s="111">
        <v>1</v>
      </c>
      <c r="C2656" s="14" t="s">
        <v>4562</v>
      </c>
      <c r="D2656" s="112" t="s">
        <v>3058</v>
      </c>
      <c r="E2656" s="151" t="s">
        <v>3059</v>
      </c>
    </row>
    <row r="2657" spans="1:5">
      <c r="A2657" s="111">
        <v>75001</v>
      </c>
      <c r="B2657" s="111">
        <v>1</v>
      </c>
      <c r="C2657" s="14" t="s">
        <v>3373</v>
      </c>
      <c r="D2657" s="112" t="s">
        <v>3060</v>
      </c>
      <c r="E2657" s="151" t="s">
        <v>991</v>
      </c>
    </row>
    <row r="2658" spans="1:5">
      <c r="A2658" s="111">
        <v>75002</v>
      </c>
      <c r="B2658" s="111">
        <v>1</v>
      </c>
      <c r="C2658" s="14" t="s">
        <v>3375</v>
      </c>
      <c r="D2658" s="112" t="s">
        <v>3061</v>
      </c>
      <c r="E2658" s="151" t="s">
        <v>787</v>
      </c>
    </row>
    <row r="2659" spans="1:5">
      <c r="A2659" s="111">
        <v>75003</v>
      </c>
      <c r="B2659" s="111">
        <v>1</v>
      </c>
      <c r="C2659" s="14" t="s">
        <v>3378</v>
      </c>
      <c r="D2659" s="112" t="s">
        <v>2187</v>
      </c>
      <c r="E2659" s="151" t="s">
        <v>795</v>
      </c>
    </row>
    <row r="2660" spans="1:5">
      <c r="A2660" s="111">
        <v>75004</v>
      </c>
      <c r="B2660" s="111">
        <v>1</v>
      </c>
      <c r="C2660" s="14" t="s">
        <v>3765</v>
      </c>
      <c r="D2660" s="112" t="s">
        <v>3062</v>
      </c>
      <c r="E2660" s="151" t="s">
        <v>803</v>
      </c>
    </row>
    <row r="2661" spans="1:5">
      <c r="A2661" s="111">
        <v>75005</v>
      </c>
      <c r="B2661" s="111">
        <v>1</v>
      </c>
      <c r="C2661" s="14" t="s">
        <v>3380</v>
      </c>
      <c r="D2661" s="112" t="s">
        <v>2330</v>
      </c>
      <c r="E2661" s="151" t="s">
        <v>811</v>
      </c>
    </row>
    <row r="2662" spans="1:5">
      <c r="A2662" s="111">
        <v>75006</v>
      </c>
      <c r="B2662" s="111">
        <v>1</v>
      </c>
      <c r="C2662" s="14" t="s">
        <v>3770</v>
      </c>
      <c r="D2662" s="112" t="s">
        <v>3063</v>
      </c>
      <c r="E2662" s="151" t="s">
        <v>817</v>
      </c>
    </row>
    <row r="2663" spans="1:5">
      <c r="A2663" s="111">
        <v>75007</v>
      </c>
      <c r="B2663" s="111">
        <v>1</v>
      </c>
      <c r="C2663" s="14" t="s">
        <v>3382</v>
      </c>
      <c r="D2663" s="112" t="s">
        <v>2294</v>
      </c>
      <c r="E2663" s="151" t="s">
        <v>769</v>
      </c>
    </row>
    <row r="2664" spans="1:5">
      <c r="A2664" s="113">
        <v>75101</v>
      </c>
      <c r="B2664" s="113">
        <v>1</v>
      </c>
      <c r="C2664" s="14" t="s">
        <v>4563</v>
      </c>
      <c r="D2664" s="114" t="s">
        <v>3064</v>
      </c>
      <c r="E2664" s="152" t="s">
        <v>3065</v>
      </c>
    </row>
    <row r="2665" spans="1:5">
      <c r="A2665" s="113">
        <v>75102</v>
      </c>
      <c r="B2665" s="113">
        <v>1</v>
      </c>
      <c r="C2665" s="14" t="s">
        <v>4564</v>
      </c>
      <c r="D2665" s="114" t="s">
        <v>3066</v>
      </c>
      <c r="E2665" s="152" t="s">
        <v>3067</v>
      </c>
    </row>
    <row r="2666" spans="1:5">
      <c r="A2666" s="113">
        <v>75103</v>
      </c>
      <c r="B2666" s="113">
        <v>1</v>
      </c>
      <c r="C2666" s="14" t="s">
        <v>4565</v>
      </c>
      <c r="D2666" s="114" t="s">
        <v>3068</v>
      </c>
      <c r="E2666" s="152" t="s">
        <v>3069</v>
      </c>
    </row>
    <row r="2667" spans="1:5">
      <c r="A2667" s="113">
        <v>75104</v>
      </c>
      <c r="B2667" s="113">
        <v>1</v>
      </c>
      <c r="C2667" s="14" t="s">
        <v>4566</v>
      </c>
      <c r="D2667" s="114" t="s">
        <v>3070</v>
      </c>
      <c r="E2667" s="152" t="s">
        <v>3071</v>
      </c>
    </row>
    <row r="2668" spans="1:5">
      <c r="A2668" s="113">
        <v>75105</v>
      </c>
      <c r="B2668" s="113">
        <v>1</v>
      </c>
      <c r="C2668" s="14" t="s">
        <v>4567</v>
      </c>
      <c r="D2668" s="114" t="s">
        <v>3072</v>
      </c>
      <c r="E2668" s="152" t="s">
        <v>3073</v>
      </c>
    </row>
    <row r="2669" spans="1:5">
      <c r="A2669" s="113">
        <v>75106</v>
      </c>
      <c r="B2669" s="113">
        <v>1</v>
      </c>
      <c r="C2669" s="14" t="s">
        <v>4568</v>
      </c>
      <c r="D2669" s="114" t="s">
        <v>3074</v>
      </c>
      <c r="E2669" s="152" t="s">
        <v>3075</v>
      </c>
    </row>
    <row r="2670" spans="1:5">
      <c r="A2670" s="113">
        <v>75107</v>
      </c>
      <c r="B2670" s="113">
        <v>1</v>
      </c>
      <c r="C2670" s="14" t="s">
        <v>4569</v>
      </c>
      <c r="D2670" s="114" t="s">
        <v>3076</v>
      </c>
      <c r="E2670" s="152" t="s">
        <v>3077</v>
      </c>
    </row>
    <row r="2671" spans="1:5">
      <c r="A2671" s="115">
        <v>75131</v>
      </c>
      <c r="B2671" s="115">
        <v>1</v>
      </c>
      <c r="C2671" s="14" t="s">
        <v>3366</v>
      </c>
      <c r="D2671" s="116" t="s">
        <v>3078</v>
      </c>
      <c r="E2671" s="153" t="s">
        <v>981</v>
      </c>
    </row>
    <row r="2672" spans="1:5">
      <c r="A2672" s="115">
        <v>75132</v>
      </c>
      <c r="B2672" s="115">
        <v>1</v>
      </c>
      <c r="C2672" s="14" t="s">
        <v>3369</v>
      </c>
      <c r="D2672" s="116" t="s">
        <v>3079</v>
      </c>
      <c r="E2672" s="153" t="s">
        <v>747</v>
      </c>
    </row>
    <row r="2673" spans="1:5">
      <c r="A2673" s="115">
        <v>75133</v>
      </c>
      <c r="B2673" s="115">
        <v>1</v>
      </c>
      <c r="C2673" s="14" t="s">
        <v>3371</v>
      </c>
      <c r="D2673" s="116" t="s">
        <v>3080</v>
      </c>
      <c r="E2673" s="153" t="s">
        <v>751</v>
      </c>
    </row>
    <row r="2674" spans="1:5">
      <c r="A2674" s="115">
        <v>75134</v>
      </c>
      <c r="B2674" s="115">
        <v>1</v>
      </c>
      <c r="C2674" s="14" t="s">
        <v>3373</v>
      </c>
      <c r="D2674" s="116" t="s">
        <v>3081</v>
      </c>
      <c r="E2674" s="153" t="s">
        <v>991</v>
      </c>
    </row>
    <row r="2675" spans="1:5">
      <c r="A2675" s="115">
        <v>75135</v>
      </c>
      <c r="B2675" s="115">
        <v>1</v>
      </c>
      <c r="C2675" s="14" t="s">
        <v>3375</v>
      </c>
      <c r="D2675" s="116" t="s">
        <v>3082</v>
      </c>
      <c r="E2675" s="153" t="s">
        <v>787</v>
      </c>
    </row>
    <row r="2676" spans="1:5">
      <c r="A2676" s="115">
        <v>75136</v>
      </c>
      <c r="B2676" s="115">
        <v>1</v>
      </c>
      <c r="C2676" s="14" t="s">
        <v>3378</v>
      </c>
      <c r="D2676" s="116" t="s">
        <v>3083</v>
      </c>
      <c r="E2676" s="153" t="s">
        <v>795</v>
      </c>
    </row>
    <row r="2677" spans="1:5">
      <c r="A2677" s="115">
        <v>75137</v>
      </c>
      <c r="B2677" s="115">
        <v>1</v>
      </c>
      <c r="C2677" s="14" t="s">
        <v>3765</v>
      </c>
      <c r="D2677" s="116" t="s">
        <v>3084</v>
      </c>
      <c r="E2677" s="153" t="s">
        <v>803</v>
      </c>
    </row>
    <row r="2678" spans="1:5">
      <c r="A2678" s="117">
        <v>75151</v>
      </c>
      <c r="B2678" s="117">
        <v>1</v>
      </c>
      <c r="C2678" s="14" t="s">
        <v>3696</v>
      </c>
      <c r="D2678" s="118" t="s">
        <v>3085</v>
      </c>
      <c r="E2678" s="154" t="s">
        <v>584</v>
      </c>
    </row>
    <row r="2679" spans="1:5">
      <c r="A2679" s="117">
        <v>75152</v>
      </c>
      <c r="B2679" s="117">
        <v>1</v>
      </c>
      <c r="C2679" s="14" t="s">
        <v>3923</v>
      </c>
      <c r="D2679" s="118" t="s">
        <v>3086</v>
      </c>
      <c r="E2679" s="154" t="s">
        <v>1372</v>
      </c>
    </row>
    <row r="2680" spans="1:5">
      <c r="A2680" s="117">
        <v>75153</v>
      </c>
      <c r="B2680" s="117">
        <v>1</v>
      </c>
      <c r="C2680" s="14" t="s">
        <v>3757</v>
      </c>
      <c r="D2680" s="118" t="s">
        <v>3087</v>
      </c>
      <c r="E2680" s="154" t="s">
        <v>760</v>
      </c>
    </row>
    <row r="2681" spans="1:5">
      <c r="A2681" s="117">
        <v>75154</v>
      </c>
      <c r="B2681" s="117">
        <v>1</v>
      </c>
      <c r="C2681" s="14" t="s">
        <v>4570</v>
      </c>
      <c r="D2681" s="118" t="s">
        <v>3088</v>
      </c>
      <c r="E2681" s="154" t="s">
        <v>3089</v>
      </c>
    </row>
    <row r="2682" spans="1:5">
      <c r="A2682" s="117">
        <v>75155</v>
      </c>
      <c r="B2682" s="117">
        <v>1</v>
      </c>
      <c r="C2682" s="14" t="s">
        <v>4571</v>
      </c>
      <c r="D2682" s="118" t="s">
        <v>3090</v>
      </c>
      <c r="E2682" s="154" t="s">
        <v>3091</v>
      </c>
    </row>
    <row r="2683" spans="1:5">
      <c r="A2683" s="117">
        <v>75156</v>
      </c>
      <c r="B2683" s="117">
        <v>1</v>
      </c>
      <c r="C2683" s="14" t="s">
        <v>3702</v>
      </c>
      <c r="D2683" s="118" t="s">
        <v>3092</v>
      </c>
      <c r="E2683" s="154" t="s">
        <v>935</v>
      </c>
    </row>
    <row r="2684" spans="1:5">
      <c r="A2684" s="117">
        <v>75157</v>
      </c>
      <c r="B2684" s="117">
        <v>1</v>
      </c>
      <c r="C2684" s="14" t="s">
        <v>3324</v>
      </c>
      <c r="D2684" s="118" t="s">
        <v>3093</v>
      </c>
      <c r="E2684" s="154" t="s">
        <v>3094</v>
      </c>
    </row>
    <row r="2685" spans="1:5">
      <c r="A2685" s="119">
        <v>75170</v>
      </c>
      <c r="B2685" s="119">
        <v>1</v>
      </c>
      <c r="C2685" s="14" t="s">
        <v>4572</v>
      </c>
      <c r="D2685" s="120" t="s">
        <v>3095</v>
      </c>
      <c r="E2685" s="155" t="s">
        <v>3096</v>
      </c>
    </row>
    <row r="2686" spans="1:5">
      <c r="A2686" s="119">
        <v>75171</v>
      </c>
      <c r="B2686" s="119">
        <v>1</v>
      </c>
      <c r="C2686" s="14" t="s">
        <v>4573</v>
      </c>
      <c r="D2686" s="120" t="s">
        <v>3095</v>
      </c>
      <c r="E2686" s="155" t="s">
        <v>3097</v>
      </c>
    </row>
    <row r="2687" spans="1:5">
      <c r="A2687" s="121">
        <v>75172</v>
      </c>
      <c r="B2687" s="121">
        <v>1</v>
      </c>
      <c r="C2687" s="14" t="s">
        <v>4572</v>
      </c>
      <c r="D2687" s="122" t="s">
        <v>3098</v>
      </c>
      <c r="E2687" s="156" t="s">
        <v>3096</v>
      </c>
    </row>
    <row r="2688" spans="1:5">
      <c r="A2688" s="121">
        <v>75173</v>
      </c>
      <c r="B2688" s="121">
        <v>1</v>
      </c>
      <c r="C2688" s="14" t="s">
        <v>4574</v>
      </c>
      <c r="D2688" s="122" t="s">
        <v>3098</v>
      </c>
      <c r="E2688" s="156" t="s">
        <v>3099</v>
      </c>
    </row>
    <row r="2689" spans="1:5">
      <c r="A2689" s="121">
        <v>75174</v>
      </c>
      <c r="B2689" s="121">
        <v>1</v>
      </c>
      <c r="C2689" s="14" t="s">
        <v>4573</v>
      </c>
      <c r="D2689" s="122" t="s">
        <v>3098</v>
      </c>
      <c r="E2689" s="156" t="s">
        <v>3097</v>
      </c>
    </row>
    <row r="2690" spans="1:5">
      <c r="A2690" s="119">
        <v>75175</v>
      </c>
      <c r="B2690" s="119">
        <v>1</v>
      </c>
      <c r="C2690" s="14" t="s">
        <v>4574</v>
      </c>
      <c r="D2690" s="120" t="s">
        <v>3100</v>
      </c>
      <c r="E2690" s="155" t="s">
        <v>3099</v>
      </c>
    </row>
    <row r="2691" spans="1:5">
      <c r="A2691" s="119">
        <v>75176</v>
      </c>
      <c r="B2691" s="119">
        <v>1</v>
      </c>
      <c r="C2691" s="14" t="s">
        <v>4575</v>
      </c>
      <c r="D2691" s="120" t="s">
        <v>3100</v>
      </c>
      <c r="E2691" s="155" t="s">
        <v>3101</v>
      </c>
    </row>
    <row r="2692" spans="1:5">
      <c r="A2692" s="119">
        <v>75177</v>
      </c>
      <c r="B2692" s="119">
        <v>1</v>
      </c>
      <c r="C2692" s="14" t="s">
        <v>4576</v>
      </c>
      <c r="D2692" s="120" t="s">
        <v>3100</v>
      </c>
      <c r="E2692" s="155" t="s">
        <v>3102</v>
      </c>
    </row>
    <row r="2693" spans="1:5">
      <c r="A2693" s="121">
        <v>75178</v>
      </c>
      <c r="B2693" s="121">
        <v>1</v>
      </c>
      <c r="C2693" s="14" t="s">
        <v>4575</v>
      </c>
      <c r="D2693" s="122" t="s">
        <v>3103</v>
      </c>
      <c r="E2693" s="156" t="s">
        <v>3101</v>
      </c>
    </row>
    <row r="2694" spans="1:5">
      <c r="A2694" s="121">
        <v>75179</v>
      </c>
      <c r="B2694" s="121">
        <v>1</v>
      </c>
      <c r="C2694" s="14" t="s">
        <v>4577</v>
      </c>
      <c r="D2694" s="122" t="s">
        <v>3103</v>
      </c>
      <c r="E2694" s="156" t="s">
        <v>3104</v>
      </c>
    </row>
    <row r="2695" spans="1:5">
      <c r="A2695" s="121">
        <v>75180</v>
      </c>
      <c r="B2695" s="121">
        <v>1</v>
      </c>
      <c r="C2695" s="14" t="s">
        <v>4576</v>
      </c>
      <c r="D2695" s="122" t="s">
        <v>3103</v>
      </c>
      <c r="E2695" s="156" t="s">
        <v>3102</v>
      </c>
    </row>
    <row r="2696" spans="1:5">
      <c r="A2696" s="119">
        <v>75181</v>
      </c>
      <c r="B2696" s="119">
        <v>1</v>
      </c>
      <c r="C2696" s="14" t="s">
        <v>4577</v>
      </c>
      <c r="D2696" s="120" t="s">
        <v>3105</v>
      </c>
      <c r="E2696" s="155" t="s">
        <v>3104</v>
      </c>
    </row>
    <row r="2697" spans="1:5">
      <c r="A2697" s="119">
        <v>75182</v>
      </c>
      <c r="B2697" s="119">
        <v>1</v>
      </c>
      <c r="C2697" s="14" t="s">
        <v>4578</v>
      </c>
      <c r="D2697" s="120" t="s">
        <v>3105</v>
      </c>
      <c r="E2697" s="155" t="s">
        <v>3106</v>
      </c>
    </row>
    <row r="2698" spans="1:5">
      <c r="A2698" s="119">
        <v>75183</v>
      </c>
      <c r="B2698" s="119">
        <v>1</v>
      </c>
      <c r="C2698" s="14" t="s">
        <v>4579</v>
      </c>
      <c r="D2698" s="120" t="s">
        <v>3105</v>
      </c>
      <c r="E2698" s="155" t="s">
        <v>3107</v>
      </c>
    </row>
    <row r="2699" spans="1:5">
      <c r="A2699" s="121">
        <v>75184</v>
      </c>
      <c r="B2699" s="121">
        <v>1</v>
      </c>
      <c r="C2699" s="14" t="s">
        <v>4578</v>
      </c>
      <c r="D2699" s="122" t="s">
        <v>3108</v>
      </c>
      <c r="E2699" s="156" t="s">
        <v>3106</v>
      </c>
    </row>
    <row r="2700" spans="1:5">
      <c r="A2700" s="121">
        <v>75185</v>
      </c>
      <c r="B2700" s="121">
        <v>1</v>
      </c>
      <c r="C2700" s="14" t="s">
        <v>4580</v>
      </c>
      <c r="D2700" s="122" t="s">
        <v>3108</v>
      </c>
      <c r="E2700" s="156" t="s">
        <v>3109</v>
      </c>
    </row>
    <row r="2701" spans="1:5">
      <c r="A2701" s="121">
        <v>75186</v>
      </c>
      <c r="B2701" s="121">
        <v>1</v>
      </c>
      <c r="C2701" s="14" t="s">
        <v>4579</v>
      </c>
      <c r="D2701" s="122" t="s">
        <v>3108</v>
      </c>
      <c r="E2701" s="156" t="s">
        <v>3107</v>
      </c>
    </row>
    <row r="2702" spans="1:5">
      <c r="A2702" s="119">
        <v>75187</v>
      </c>
      <c r="B2702" s="119">
        <v>1</v>
      </c>
      <c r="C2702" s="14" t="s">
        <v>4580</v>
      </c>
      <c r="D2702" s="120" t="s">
        <v>3110</v>
      </c>
      <c r="E2702" s="155" t="s">
        <v>3109</v>
      </c>
    </row>
    <row r="2703" spans="1:5">
      <c r="A2703" s="119">
        <v>75188</v>
      </c>
      <c r="B2703" s="119">
        <v>1</v>
      </c>
      <c r="C2703" s="14" t="s">
        <v>4581</v>
      </c>
      <c r="D2703" s="120" t="s">
        <v>3110</v>
      </c>
      <c r="E2703" s="155" t="s">
        <v>3111</v>
      </c>
    </row>
    <row r="2704" spans="1:5">
      <c r="A2704" s="111">
        <v>75201</v>
      </c>
      <c r="B2704" s="111">
        <v>1</v>
      </c>
      <c r="C2704" s="14" t="s">
        <v>3373</v>
      </c>
      <c r="D2704" s="112" t="s">
        <v>3112</v>
      </c>
      <c r="E2704" s="151" t="s">
        <v>991</v>
      </c>
    </row>
    <row r="2705" spans="1:5">
      <c r="A2705" s="111">
        <v>75202</v>
      </c>
      <c r="B2705" s="111">
        <v>1</v>
      </c>
      <c r="C2705" s="14" t="s">
        <v>3375</v>
      </c>
      <c r="D2705" s="112" t="s">
        <v>3113</v>
      </c>
      <c r="E2705" s="151" t="s">
        <v>787</v>
      </c>
    </row>
    <row r="2706" spans="1:5">
      <c r="A2706" s="111">
        <v>75203</v>
      </c>
      <c r="B2706" s="111">
        <v>1</v>
      </c>
      <c r="C2706" s="14" t="s">
        <v>3378</v>
      </c>
      <c r="D2706" s="112" t="s">
        <v>3114</v>
      </c>
      <c r="E2706" s="151" t="s">
        <v>795</v>
      </c>
    </row>
    <row r="2707" spans="1:5">
      <c r="A2707" s="111">
        <v>75204</v>
      </c>
      <c r="B2707" s="111">
        <v>1</v>
      </c>
      <c r="C2707" s="14" t="s">
        <v>3765</v>
      </c>
      <c r="D2707" s="112" t="s">
        <v>3115</v>
      </c>
      <c r="E2707" s="151" t="s">
        <v>803</v>
      </c>
    </row>
    <row r="2708" spans="1:5">
      <c r="A2708" s="111">
        <v>75205</v>
      </c>
      <c r="B2708" s="111">
        <v>1</v>
      </c>
      <c r="C2708" s="14" t="s">
        <v>3380</v>
      </c>
      <c r="D2708" s="112" t="s">
        <v>3116</v>
      </c>
      <c r="E2708" s="151" t="s">
        <v>811</v>
      </c>
    </row>
    <row r="2709" spans="1:5">
      <c r="A2709" s="111">
        <v>75206</v>
      </c>
      <c r="B2709" s="111">
        <v>1</v>
      </c>
      <c r="C2709" s="14" t="s">
        <v>3770</v>
      </c>
      <c r="D2709" s="112" t="s">
        <v>3117</v>
      </c>
      <c r="E2709" s="151" t="s">
        <v>817</v>
      </c>
    </row>
    <row r="2710" spans="1:5">
      <c r="A2710" s="111">
        <v>75207</v>
      </c>
      <c r="B2710" s="111">
        <v>1</v>
      </c>
      <c r="C2710" s="14" t="s">
        <v>3382</v>
      </c>
      <c r="D2710" s="112" t="s">
        <v>3118</v>
      </c>
      <c r="E2710" s="151" t="s">
        <v>769</v>
      </c>
    </row>
    <row r="2711" spans="1:5">
      <c r="A2711" s="113">
        <v>75301</v>
      </c>
      <c r="B2711" s="113">
        <v>1</v>
      </c>
      <c r="C2711" s="14" t="s">
        <v>3944</v>
      </c>
      <c r="D2711" s="114" t="s">
        <v>3119</v>
      </c>
      <c r="E2711" s="152" t="s">
        <v>3120</v>
      </c>
    </row>
    <row r="2712" spans="1:5">
      <c r="A2712" s="113">
        <v>75302</v>
      </c>
      <c r="B2712" s="113">
        <v>1</v>
      </c>
      <c r="C2712" s="14" t="s">
        <v>4582</v>
      </c>
      <c r="D2712" s="114" t="s">
        <v>3121</v>
      </c>
      <c r="E2712" s="152" t="s">
        <v>3122</v>
      </c>
    </row>
    <row r="2713" spans="1:5">
      <c r="A2713" s="113">
        <v>75303</v>
      </c>
      <c r="B2713" s="113">
        <v>1</v>
      </c>
      <c r="C2713" s="14" t="s">
        <v>4583</v>
      </c>
      <c r="D2713" s="114" t="s">
        <v>3123</v>
      </c>
      <c r="E2713" s="152" t="s">
        <v>3124</v>
      </c>
    </row>
    <row r="2714" spans="1:5">
      <c r="A2714" s="113">
        <v>75304</v>
      </c>
      <c r="B2714" s="113">
        <v>1</v>
      </c>
      <c r="C2714" s="14" t="s">
        <v>4584</v>
      </c>
      <c r="D2714" s="114" t="s">
        <v>3125</v>
      </c>
      <c r="E2714" s="152" t="s">
        <v>3126</v>
      </c>
    </row>
    <row r="2715" spans="1:5">
      <c r="A2715" s="113">
        <v>75305</v>
      </c>
      <c r="B2715" s="113">
        <v>1</v>
      </c>
      <c r="C2715" s="14" t="s">
        <v>4289</v>
      </c>
      <c r="D2715" s="114" t="s">
        <v>3127</v>
      </c>
      <c r="E2715" s="152" t="s">
        <v>2179</v>
      </c>
    </row>
    <row r="2716" spans="1:5">
      <c r="A2716" s="113">
        <v>75306</v>
      </c>
      <c r="B2716" s="113">
        <v>1</v>
      </c>
      <c r="C2716" s="14" t="s">
        <v>4585</v>
      </c>
      <c r="D2716" s="114" t="s">
        <v>3119</v>
      </c>
      <c r="E2716" s="152" t="s">
        <v>3128</v>
      </c>
    </row>
    <row r="2717" spans="1:5">
      <c r="A2717" s="113">
        <v>75307</v>
      </c>
      <c r="B2717" s="113">
        <v>1</v>
      </c>
      <c r="C2717" s="14" t="s">
        <v>4586</v>
      </c>
      <c r="D2717" s="114" t="s">
        <v>3121</v>
      </c>
      <c r="E2717" s="152" t="s">
        <v>3129</v>
      </c>
    </row>
    <row r="2718" spans="1:5">
      <c r="A2718" s="113">
        <v>75308</v>
      </c>
      <c r="B2718" s="113">
        <v>1</v>
      </c>
      <c r="C2718" s="14" t="s">
        <v>4587</v>
      </c>
      <c r="D2718" s="114" t="s">
        <v>3123</v>
      </c>
      <c r="E2718" s="152" t="s">
        <v>3130</v>
      </c>
    </row>
    <row r="2719" spans="1:5">
      <c r="A2719" s="113">
        <v>75309</v>
      </c>
      <c r="B2719" s="113">
        <v>1</v>
      </c>
      <c r="C2719" s="14" t="s">
        <v>4588</v>
      </c>
      <c r="D2719" s="114" t="s">
        <v>3125</v>
      </c>
      <c r="E2719" s="152" t="s">
        <v>3131</v>
      </c>
    </row>
    <row r="2720" spans="1:5">
      <c r="A2720" s="113">
        <v>75310</v>
      </c>
      <c r="B2720" s="113">
        <v>1</v>
      </c>
      <c r="C2720" s="14" t="s">
        <v>4386</v>
      </c>
      <c r="D2720" s="114" t="s">
        <v>3127</v>
      </c>
      <c r="E2720" s="152" t="s">
        <v>2551</v>
      </c>
    </row>
    <row r="2721" spans="1:5">
      <c r="A2721" s="111">
        <v>75351</v>
      </c>
      <c r="B2721" s="111">
        <v>1</v>
      </c>
      <c r="C2721" s="14" t="s">
        <v>3352</v>
      </c>
      <c r="D2721" s="112" t="s">
        <v>3132</v>
      </c>
      <c r="E2721" s="151" t="s">
        <v>713</v>
      </c>
    </row>
    <row r="2722" spans="1:5">
      <c r="A2722" s="111">
        <v>75352</v>
      </c>
      <c r="B2722" s="111">
        <v>1</v>
      </c>
      <c r="C2722" s="14" t="s">
        <v>3354</v>
      </c>
      <c r="D2722" s="112" t="s">
        <v>3133</v>
      </c>
      <c r="E2722" s="151" t="s">
        <v>782</v>
      </c>
    </row>
    <row r="2723" spans="1:5">
      <c r="A2723" s="111">
        <v>75353</v>
      </c>
      <c r="B2723" s="111">
        <v>1</v>
      </c>
      <c r="C2723" s="14" t="s">
        <v>3356</v>
      </c>
      <c r="D2723" s="112" t="s">
        <v>3134</v>
      </c>
      <c r="E2723" s="151" t="s">
        <v>649</v>
      </c>
    </row>
    <row r="2724" spans="1:5">
      <c r="A2724" s="111">
        <v>75354</v>
      </c>
      <c r="B2724" s="111">
        <v>1</v>
      </c>
      <c r="C2724" s="14" t="s">
        <v>3358</v>
      </c>
      <c r="D2724" s="112" t="s">
        <v>3135</v>
      </c>
      <c r="E2724" s="151" t="s">
        <v>1327</v>
      </c>
    </row>
    <row r="2725" spans="1:5">
      <c r="A2725" s="111">
        <v>75355</v>
      </c>
      <c r="B2725" s="111">
        <v>1</v>
      </c>
      <c r="C2725" s="14" t="s">
        <v>3360</v>
      </c>
      <c r="D2725" s="112" t="s">
        <v>3136</v>
      </c>
      <c r="E2725" s="151" t="s">
        <v>604</v>
      </c>
    </row>
    <row r="2726" spans="1:5">
      <c r="A2726" s="111">
        <v>75356</v>
      </c>
      <c r="B2726" s="111">
        <v>1</v>
      </c>
      <c r="C2726" s="14" t="s">
        <v>3362</v>
      </c>
      <c r="D2726" s="112" t="s">
        <v>3137</v>
      </c>
      <c r="E2726" s="151" t="s">
        <v>1357</v>
      </c>
    </row>
    <row r="2727" spans="1:5">
      <c r="A2727" s="111">
        <v>75357</v>
      </c>
      <c r="B2727" s="111">
        <v>1</v>
      </c>
      <c r="C2727" s="14" t="s">
        <v>3364</v>
      </c>
      <c r="D2727" s="112" t="s">
        <v>3138</v>
      </c>
      <c r="E2727" s="151" t="s">
        <v>2061</v>
      </c>
    </row>
    <row r="2728" spans="1:5">
      <c r="A2728" s="111">
        <v>75358</v>
      </c>
      <c r="B2728" s="111">
        <v>1</v>
      </c>
      <c r="C2728" s="14" t="s">
        <v>4589</v>
      </c>
      <c r="D2728" s="112" t="s">
        <v>3139</v>
      </c>
      <c r="E2728" s="151" t="s">
        <v>3140</v>
      </c>
    </row>
    <row r="2729" spans="1:5">
      <c r="A2729" s="111">
        <v>75359</v>
      </c>
      <c r="B2729" s="111">
        <v>1</v>
      </c>
      <c r="C2729" s="14" t="s">
        <v>4112</v>
      </c>
      <c r="D2729" s="112" t="s">
        <v>3141</v>
      </c>
      <c r="E2729" s="151" t="s">
        <v>1714</v>
      </c>
    </row>
    <row r="2730" spans="1:5">
      <c r="A2730" s="111">
        <v>75360</v>
      </c>
      <c r="B2730" s="111">
        <v>1</v>
      </c>
      <c r="C2730" s="14" t="s">
        <v>3764</v>
      </c>
      <c r="D2730" s="112" t="s">
        <v>3142</v>
      </c>
      <c r="E2730" s="151" t="s">
        <v>801</v>
      </c>
    </row>
    <row r="2731" spans="1:5">
      <c r="A2731" s="113">
        <v>75401</v>
      </c>
      <c r="B2731" s="113">
        <v>1</v>
      </c>
      <c r="C2731" s="14" t="s">
        <v>3840</v>
      </c>
      <c r="D2731" s="114" t="s">
        <v>3143</v>
      </c>
      <c r="E2731" s="152" t="s">
        <v>1137</v>
      </c>
    </row>
    <row r="2732" spans="1:5">
      <c r="A2732" s="113">
        <v>75402</v>
      </c>
      <c r="B2732" s="113">
        <v>1</v>
      </c>
      <c r="C2732" s="14" t="s">
        <v>3841</v>
      </c>
      <c r="D2732" s="114" t="s">
        <v>2268</v>
      </c>
      <c r="E2732" s="152" t="s">
        <v>1138</v>
      </c>
    </row>
    <row r="2733" spans="1:5">
      <c r="A2733" s="113">
        <v>75403</v>
      </c>
      <c r="B2733" s="113">
        <v>1</v>
      </c>
      <c r="C2733" s="14" t="s">
        <v>3842</v>
      </c>
      <c r="D2733" s="114" t="s">
        <v>2269</v>
      </c>
      <c r="E2733" s="152" t="s">
        <v>1139</v>
      </c>
    </row>
    <row r="2734" spans="1:5">
      <c r="A2734" s="113">
        <v>75404</v>
      </c>
      <c r="B2734" s="113">
        <v>1</v>
      </c>
      <c r="C2734" s="14" t="s">
        <v>3843</v>
      </c>
      <c r="D2734" s="114" t="s">
        <v>3144</v>
      </c>
      <c r="E2734" s="152" t="s">
        <v>1140</v>
      </c>
    </row>
    <row r="2735" spans="1:5">
      <c r="A2735" s="113">
        <v>75405</v>
      </c>
      <c r="B2735" s="113">
        <v>1</v>
      </c>
      <c r="C2735" s="14" t="s">
        <v>3844</v>
      </c>
      <c r="D2735" s="114" t="s">
        <v>3145</v>
      </c>
      <c r="E2735" s="152" t="s">
        <v>1141</v>
      </c>
    </row>
    <row r="2736" spans="1:5">
      <c r="A2736" s="113">
        <v>75406</v>
      </c>
      <c r="B2736" s="113">
        <v>1</v>
      </c>
      <c r="C2736" s="14" t="s">
        <v>4361</v>
      </c>
      <c r="D2736" s="114" t="s">
        <v>2270</v>
      </c>
      <c r="E2736" s="152" t="s">
        <v>2459</v>
      </c>
    </row>
    <row r="2737" spans="1:5">
      <c r="A2737" s="113">
        <v>75407</v>
      </c>
      <c r="B2737" s="113">
        <v>1</v>
      </c>
      <c r="C2737" s="14" t="s">
        <v>4358</v>
      </c>
      <c r="D2737" s="114" t="s">
        <v>3146</v>
      </c>
      <c r="E2737" s="152" t="s">
        <v>2453</v>
      </c>
    </row>
    <row r="2738" spans="1:5">
      <c r="A2738" s="113">
        <v>75408</v>
      </c>
      <c r="B2738" s="113">
        <v>1</v>
      </c>
      <c r="C2738" s="14" t="s">
        <v>4590</v>
      </c>
      <c r="D2738" s="114" t="s">
        <v>3147</v>
      </c>
      <c r="E2738" s="152" t="s">
        <v>3148</v>
      </c>
    </row>
    <row r="2739" spans="1:5">
      <c r="A2739" s="113">
        <v>75409</v>
      </c>
      <c r="B2739" s="113">
        <v>1</v>
      </c>
      <c r="C2739" s="14" t="s">
        <v>4591</v>
      </c>
      <c r="D2739" s="114" t="s">
        <v>2272</v>
      </c>
      <c r="E2739" s="152" t="s">
        <v>3149</v>
      </c>
    </row>
    <row r="2740" spans="1:5">
      <c r="A2740" s="113">
        <v>75410</v>
      </c>
      <c r="B2740" s="113">
        <v>1</v>
      </c>
      <c r="C2740" s="14" t="s">
        <v>4592</v>
      </c>
      <c r="D2740" s="114" t="s">
        <v>3150</v>
      </c>
      <c r="E2740" s="152" t="s">
        <v>3151</v>
      </c>
    </row>
    <row r="2741" spans="1:5">
      <c r="A2741" s="111">
        <v>75451</v>
      </c>
      <c r="B2741" s="111">
        <v>1</v>
      </c>
      <c r="C2741" s="14" t="s">
        <v>3352</v>
      </c>
      <c r="D2741" s="112" t="s">
        <v>3152</v>
      </c>
      <c r="E2741" s="151" t="s">
        <v>713</v>
      </c>
    </row>
    <row r="2742" spans="1:5">
      <c r="A2742" s="111">
        <v>75452</v>
      </c>
      <c r="B2742" s="111">
        <v>1</v>
      </c>
      <c r="C2742" s="14" t="s">
        <v>3812</v>
      </c>
      <c r="D2742" s="112" t="s">
        <v>3153</v>
      </c>
      <c r="E2742" s="151" t="s">
        <v>999</v>
      </c>
    </row>
    <row r="2743" spans="1:5">
      <c r="A2743" s="111">
        <v>75453</v>
      </c>
      <c r="B2743" s="111">
        <v>1</v>
      </c>
      <c r="C2743" s="14" t="s">
        <v>3354</v>
      </c>
      <c r="D2743" s="112" t="s">
        <v>3154</v>
      </c>
      <c r="E2743" s="151" t="s">
        <v>782</v>
      </c>
    </row>
    <row r="2744" spans="1:5">
      <c r="A2744" s="111">
        <v>75454</v>
      </c>
      <c r="B2744" s="111">
        <v>1</v>
      </c>
      <c r="C2744" s="14" t="s">
        <v>4301</v>
      </c>
      <c r="D2744" s="112" t="s">
        <v>3155</v>
      </c>
      <c r="E2744" s="151" t="s">
        <v>2221</v>
      </c>
    </row>
    <row r="2745" spans="1:5">
      <c r="A2745" s="111">
        <v>75455</v>
      </c>
      <c r="B2745" s="111">
        <v>1</v>
      </c>
      <c r="C2745" s="14" t="s">
        <v>3356</v>
      </c>
      <c r="D2745" s="112" t="s">
        <v>3156</v>
      </c>
      <c r="E2745" s="151" t="s">
        <v>649</v>
      </c>
    </row>
    <row r="2746" spans="1:5">
      <c r="A2746" s="111">
        <v>75456</v>
      </c>
      <c r="B2746" s="111">
        <v>1</v>
      </c>
      <c r="C2746" s="14" t="s">
        <v>4302</v>
      </c>
      <c r="D2746" s="112" t="s">
        <v>3157</v>
      </c>
      <c r="E2746" s="151" t="s">
        <v>2223</v>
      </c>
    </row>
    <row r="2747" spans="1:5">
      <c r="A2747" s="111">
        <v>75457</v>
      </c>
      <c r="B2747" s="111">
        <v>1</v>
      </c>
      <c r="C2747" s="14" t="s">
        <v>3358</v>
      </c>
      <c r="D2747" s="112" t="s">
        <v>3158</v>
      </c>
      <c r="E2747" s="151" t="s">
        <v>1327</v>
      </c>
    </row>
    <row r="2748" spans="1:5">
      <c r="A2748" s="111">
        <v>75458</v>
      </c>
      <c r="B2748" s="111">
        <v>1</v>
      </c>
      <c r="C2748" s="14" t="s">
        <v>4303</v>
      </c>
      <c r="D2748" s="112" t="s">
        <v>3159</v>
      </c>
      <c r="E2748" s="151" t="s">
        <v>2225</v>
      </c>
    </row>
    <row r="2749" spans="1:5">
      <c r="A2749" s="111">
        <v>75459</v>
      </c>
      <c r="B2749" s="111">
        <v>1</v>
      </c>
      <c r="C2749" s="14" t="s">
        <v>3360</v>
      </c>
      <c r="D2749" s="112" t="s">
        <v>3160</v>
      </c>
      <c r="E2749" s="151" t="s">
        <v>604</v>
      </c>
    </row>
    <row r="2750" spans="1:5">
      <c r="A2750" s="111">
        <v>75460</v>
      </c>
      <c r="B2750" s="111">
        <v>1</v>
      </c>
      <c r="C2750" s="14" t="s">
        <v>4593</v>
      </c>
      <c r="D2750" s="112" t="s">
        <v>3161</v>
      </c>
      <c r="E2750" s="151" t="s">
        <v>3162</v>
      </c>
    </row>
    <row r="2751" spans="1:5">
      <c r="A2751" s="113">
        <v>75501</v>
      </c>
      <c r="B2751" s="113">
        <v>1</v>
      </c>
      <c r="C2751" s="14" t="s">
        <v>3840</v>
      </c>
      <c r="D2751" s="114" t="s">
        <v>3163</v>
      </c>
      <c r="E2751" s="152" t="s">
        <v>1137</v>
      </c>
    </row>
    <row r="2752" spans="1:5">
      <c r="A2752" s="113">
        <v>75502</v>
      </c>
      <c r="B2752" s="113">
        <v>1</v>
      </c>
      <c r="C2752" s="14" t="s">
        <v>4594</v>
      </c>
      <c r="D2752" s="114" t="s">
        <v>3164</v>
      </c>
      <c r="E2752" s="152" t="s">
        <v>3165</v>
      </c>
    </row>
    <row r="2753" spans="1:5">
      <c r="A2753" s="113">
        <v>75503</v>
      </c>
      <c r="B2753" s="113">
        <v>1</v>
      </c>
      <c r="C2753" s="14" t="s">
        <v>3841</v>
      </c>
      <c r="D2753" s="114" t="s">
        <v>3166</v>
      </c>
      <c r="E2753" s="152" t="s">
        <v>1138</v>
      </c>
    </row>
    <row r="2754" spans="1:5">
      <c r="A2754" s="113">
        <v>75504</v>
      </c>
      <c r="B2754" s="113">
        <v>1</v>
      </c>
      <c r="C2754" s="14" t="s">
        <v>4595</v>
      </c>
      <c r="D2754" s="114" t="s">
        <v>3167</v>
      </c>
      <c r="E2754" s="152" t="s">
        <v>3168</v>
      </c>
    </row>
    <row r="2755" spans="1:5">
      <c r="A2755" s="113">
        <v>75505</v>
      </c>
      <c r="B2755" s="113">
        <v>1</v>
      </c>
      <c r="C2755" s="14" t="s">
        <v>3842</v>
      </c>
      <c r="D2755" s="114" t="s">
        <v>3169</v>
      </c>
      <c r="E2755" s="152" t="s">
        <v>1139</v>
      </c>
    </row>
    <row r="2756" spans="1:5">
      <c r="A2756" s="113">
        <v>75506</v>
      </c>
      <c r="B2756" s="113">
        <v>1</v>
      </c>
      <c r="C2756" s="14" t="s">
        <v>4596</v>
      </c>
      <c r="D2756" s="114" t="s">
        <v>3170</v>
      </c>
      <c r="E2756" s="152" t="s">
        <v>3171</v>
      </c>
    </row>
    <row r="2757" spans="1:5">
      <c r="A2757" s="113">
        <v>75507</v>
      </c>
      <c r="B2757" s="113">
        <v>1</v>
      </c>
      <c r="C2757" s="14" t="s">
        <v>3843</v>
      </c>
      <c r="D2757" s="114" t="s">
        <v>3172</v>
      </c>
      <c r="E2757" s="152" t="s">
        <v>1140</v>
      </c>
    </row>
    <row r="2758" spans="1:5">
      <c r="A2758" s="113">
        <v>75508</v>
      </c>
      <c r="B2758" s="113">
        <v>1</v>
      </c>
      <c r="C2758" s="14" t="s">
        <v>4597</v>
      </c>
      <c r="D2758" s="114" t="s">
        <v>3173</v>
      </c>
      <c r="E2758" s="152" t="s">
        <v>3174</v>
      </c>
    </row>
    <row r="2759" spans="1:5">
      <c r="A2759" s="113">
        <v>75509</v>
      </c>
      <c r="B2759" s="113">
        <v>1</v>
      </c>
      <c r="C2759" s="14" t="s">
        <v>3844</v>
      </c>
      <c r="D2759" s="114" t="s">
        <v>3175</v>
      </c>
      <c r="E2759" s="152" t="s">
        <v>1141</v>
      </c>
    </row>
    <row r="2760" spans="1:5">
      <c r="A2760" s="113">
        <v>75510</v>
      </c>
      <c r="B2760" s="113">
        <v>1</v>
      </c>
      <c r="C2760" s="14" t="s">
        <v>4598</v>
      </c>
      <c r="D2760" s="114" t="s">
        <v>3176</v>
      </c>
      <c r="E2760" s="152" t="s">
        <v>3177</v>
      </c>
    </row>
    <row r="2761" spans="1:5">
      <c r="A2761" s="111">
        <v>75551</v>
      </c>
      <c r="B2761" s="111">
        <v>1</v>
      </c>
      <c r="C2761" s="14" t="s">
        <v>3352</v>
      </c>
      <c r="D2761" s="123" t="s">
        <v>3178</v>
      </c>
      <c r="E2761" s="151" t="s">
        <v>713</v>
      </c>
    </row>
    <row r="2762" spans="1:5">
      <c r="A2762" s="111">
        <v>75552</v>
      </c>
      <c r="B2762" s="111">
        <v>1</v>
      </c>
      <c r="C2762" s="14" t="s">
        <v>3812</v>
      </c>
      <c r="D2762" s="123" t="s">
        <v>3179</v>
      </c>
      <c r="E2762" s="151" t="s">
        <v>999</v>
      </c>
    </row>
    <row r="2763" spans="1:5">
      <c r="A2763" s="111">
        <v>75553</v>
      </c>
      <c r="B2763" s="111">
        <v>1</v>
      </c>
      <c r="C2763" s="14" t="s">
        <v>3354</v>
      </c>
      <c r="D2763" s="123" t="s">
        <v>3180</v>
      </c>
      <c r="E2763" s="151" t="s">
        <v>782</v>
      </c>
    </row>
    <row r="2764" spans="1:5">
      <c r="A2764" s="111">
        <v>75554</v>
      </c>
      <c r="B2764" s="111">
        <v>1</v>
      </c>
      <c r="C2764" s="14" t="s">
        <v>4301</v>
      </c>
      <c r="D2764" s="123" t="s">
        <v>3181</v>
      </c>
      <c r="E2764" s="151" t="s">
        <v>2221</v>
      </c>
    </row>
    <row r="2765" spans="1:5">
      <c r="A2765" s="111">
        <v>75555</v>
      </c>
      <c r="B2765" s="111">
        <v>1</v>
      </c>
      <c r="C2765" s="14" t="s">
        <v>3356</v>
      </c>
      <c r="D2765" s="123" t="s">
        <v>3182</v>
      </c>
      <c r="E2765" s="151" t="s">
        <v>649</v>
      </c>
    </row>
    <row r="2766" spans="1:5">
      <c r="A2766" s="111">
        <v>75556</v>
      </c>
      <c r="B2766" s="111">
        <v>1</v>
      </c>
      <c r="C2766" s="14" t="s">
        <v>4302</v>
      </c>
      <c r="D2766" s="123" t="s">
        <v>3183</v>
      </c>
      <c r="E2766" s="151" t="s">
        <v>2223</v>
      </c>
    </row>
    <row r="2767" spans="1:5">
      <c r="A2767" s="111">
        <v>75557</v>
      </c>
      <c r="B2767" s="111">
        <v>1</v>
      </c>
      <c r="C2767" s="14" t="s">
        <v>3358</v>
      </c>
      <c r="D2767" s="123" t="s">
        <v>3184</v>
      </c>
      <c r="E2767" s="151" t="s">
        <v>1327</v>
      </c>
    </row>
    <row r="2768" spans="1:5">
      <c r="A2768" s="111">
        <v>75558</v>
      </c>
      <c r="B2768" s="111">
        <v>1</v>
      </c>
      <c r="C2768" s="14" t="s">
        <v>4303</v>
      </c>
      <c r="D2768" s="123" t="s">
        <v>3185</v>
      </c>
      <c r="E2768" s="151" t="s">
        <v>2225</v>
      </c>
    </row>
    <row r="2769" spans="1:5">
      <c r="A2769" s="111">
        <v>75559</v>
      </c>
      <c r="B2769" s="111">
        <v>1</v>
      </c>
      <c r="C2769" s="14" t="s">
        <v>3360</v>
      </c>
      <c r="D2769" s="123" t="s">
        <v>3186</v>
      </c>
      <c r="E2769" s="151" t="s">
        <v>604</v>
      </c>
    </row>
    <row r="2770" spans="1:5">
      <c r="A2770" s="111">
        <v>75560</v>
      </c>
      <c r="B2770" s="111">
        <v>1</v>
      </c>
      <c r="C2770" s="14" t="s">
        <v>4593</v>
      </c>
      <c r="D2770" s="123" t="s">
        <v>3187</v>
      </c>
      <c r="E2770" s="151" t="s">
        <v>3162</v>
      </c>
    </row>
    <row r="2771" spans="1:5">
      <c r="A2771" s="113">
        <v>75601</v>
      </c>
      <c r="B2771" s="113">
        <v>1</v>
      </c>
      <c r="C2771" s="14" t="s">
        <v>4599</v>
      </c>
      <c r="D2771" s="114" t="s">
        <v>3188</v>
      </c>
      <c r="E2771" s="152" t="s">
        <v>3189</v>
      </c>
    </row>
    <row r="2772" spans="1:5">
      <c r="A2772" s="113">
        <v>75602</v>
      </c>
      <c r="B2772" s="113">
        <v>1</v>
      </c>
      <c r="C2772" s="14" t="s">
        <v>4344</v>
      </c>
      <c r="D2772" s="114" t="s">
        <v>3190</v>
      </c>
      <c r="E2772" s="152" t="s">
        <v>3191</v>
      </c>
    </row>
    <row r="2773" spans="1:5">
      <c r="A2773" s="113">
        <v>75603</v>
      </c>
      <c r="B2773" s="113">
        <v>1</v>
      </c>
      <c r="C2773" s="14" t="s">
        <v>4600</v>
      </c>
      <c r="D2773" s="114" t="s">
        <v>3192</v>
      </c>
      <c r="E2773" s="152" t="s">
        <v>3193</v>
      </c>
    </row>
    <row r="2774" spans="1:5">
      <c r="A2774" s="113">
        <v>75604</v>
      </c>
      <c r="B2774" s="113">
        <v>1</v>
      </c>
      <c r="C2774" s="14" t="s">
        <v>3948</v>
      </c>
      <c r="D2774" s="114" t="s">
        <v>3194</v>
      </c>
      <c r="E2774" s="152" t="s">
        <v>1424</v>
      </c>
    </row>
    <row r="2775" spans="1:5">
      <c r="A2775" s="113">
        <v>75605</v>
      </c>
      <c r="B2775" s="113">
        <v>1</v>
      </c>
      <c r="C2775" s="14" t="s">
        <v>3746</v>
      </c>
      <c r="D2775" s="114" t="s">
        <v>3195</v>
      </c>
      <c r="E2775" s="152" t="s">
        <v>723</v>
      </c>
    </row>
    <row r="2776" spans="1:5">
      <c r="A2776" s="113">
        <v>75606</v>
      </c>
      <c r="B2776" s="113">
        <v>1</v>
      </c>
      <c r="C2776" s="14" t="s">
        <v>4601</v>
      </c>
      <c r="D2776" s="114" t="s">
        <v>3196</v>
      </c>
      <c r="E2776" s="152" t="s">
        <v>3197</v>
      </c>
    </row>
    <row r="2777" spans="1:5">
      <c r="A2777" s="113">
        <v>75607</v>
      </c>
      <c r="B2777" s="113">
        <v>1</v>
      </c>
      <c r="C2777" s="14" t="s">
        <v>4602</v>
      </c>
      <c r="D2777" s="114" t="s">
        <v>3198</v>
      </c>
      <c r="E2777" s="152" t="s">
        <v>3199</v>
      </c>
    </row>
    <row r="2778" spans="1:5">
      <c r="A2778" s="113">
        <v>75608</v>
      </c>
      <c r="B2778" s="113">
        <v>1</v>
      </c>
      <c r="C2778" s="14" t="s">
        <v>4603</v>
      </c>
      <c r="D2778" s="114" t="s">
        <v>3200</v>
      </c>
      <c r="E2778" s="152" t="s">
        <v>3201</v>
      </c>
    </row>
    <row r="2779" spans="1:5">
      <c r="A2779" s="113">
        <v>75609</v>
      </c>
      <c r="B2779" s="113">
        <v>1</v>
      </c>
      <c r="C2779" s="14" t="s">
        <v>4604</v>
      </c>
      <c r="D2779" s="114" t="s">
        <v>3202</v>
      </c>
      <c r="E2779" s="152" t="s">
        <v>3203</v>
      </c>
    </row>
    <row r="2780" spans="1:5">
      <c r="A2780" s="113">
        <v>75610</v>
      </c>
      <c r="B2780" s="113">
        <v>1</v>
      </c>
      <c r="C2780" s="14" t="s">
        <v>4605</v>
      </c>
      <c r="D2780" s="114" t="s">
        <v>3204</v>
      </c>
      <c r="E2780" s="152" t="s">
        <v>3205</v>
      </c>
    </row>
    <row r="2781" spans="1:5">
      <c r="A2781" s="111">
        <v>75651</v>
      </c>
      <c r="B2781" s="111">
        <v>1</v>
      </c>
      <c r="C2781" s="14" t="s">
        <v>3352</v>
      </c>
      <c r="D2781" s="112" t="s">
        <v>3206</v>
      </c>
      <c r="E2781" s="151" t="s">
        <v>713</v>
      </c>
    </row>
    <row r="2782" spans="1:5">
      <c r="A2782" s="111">
        <v>75652</v>
      </c>
      <c r="B2782" s="111">
        <v>1</v>
      </c>
      <c r="C2782" s="14" t="s">
        <v>3354</v>
      </c>
      <c r="D2782" s="112" t="s">
        <v>3207</v>
      </c>
      <c r="E2782" s="151" t="s">
        <v>782</v>
      </c>
    </row>
    <row r="2783" spans="1:5">
      <c r="A2783" s="111">
        <v>75653</v>
      </c>
      <c r="B2783" s="111">
        <v>1</v>
      </c>
      <c r="C2783" s="14" t="s">
        <v>3356</v>
      </c>
      <c r="D2783" s="112" t="s">
        <v>3208</v>
      </c>
      <c r="E2783" s="151" t="s">
        <v>649</v>
      </c>
    </row>
    <row r="2784" spans="1:5">
      <c r="A2784" s="111">
        <v>75654</v>
      </c>
      <c r="B2784" s="111">
        <v>1</v>
      </c>
      <c r="C2784" s="14" t="s">
        <v>3358</v>
      </c>
      <c r="D2784" s="112" t="s">
        <v>3209</v>
      </c>
      <c r="E2784" s="151" t="s">
        <v>1327</v>
      </c>
    </row>
    <row r="2785" spans="1:5">
      <c r="A2785" s="111">
        <v>75655</v>
      </c>
      <c r="B2785" s="111">
        <v>1</v>
      </c>
      <c r="C2785" s="14" t="s">
        <v>3360</v>
      </c>
      <c r="D2785" s="112" t="s">
        <v>3210</v>
      </c>
      <c r="E2785" s="151" t="s">
        <v>604</v>
      </c>
    </row>
    <row r="2786" spans="1:5">
      <c r="A2786" s="111">
        <v>75656</v>
      </c>
      <c r="B2786" s="111">
        <v>1</v>
      </c>
      <c r="C2786" s="14" t="s">
        <v>3362</v>
      </c>
      <c r="D2786" s="112" t="s">
        <v>3211</v>
      </c>
      <c r="E2786" s="151" t="s">
        <v>1357</v>
      </c>
    </row>
    <row r="2787" spans="1:5">
      <c r="A2787" s="111">
        <v>75657</v>
      </c>
      <c r="B2787" s="111">
        <v>1</v>
      </c>
      <c r="C2787" s="14" t="s">
        <v>3364</v>
      </c>
      <c r="D2787" s="112" t="s">
        <v>3212</v>
      </c>
      <c r="E2787" s="151" t="s">
        <v>2061</v>
      </c>
    </row>
    <row r="2788" spans="1:5">
      <c r="A2788" s="111">
        <v>75658</v>
      </c>
      <c r="B2788" s="111">
        <v>1</v>
      </c>
      <c r="C2788" s="14" t="s">
        <v>4589</v>
      </c>
      <c r="D2788" s="112" t="s">
        <v>3213</v>
      </c>
      <c r="E2788" s="151" t="s">
        <v>3140</v>
      </c>
    </row>
    <row r="2789" spans="1:5">
      <c r="A2789" s="111">
        <v>75659</v>
      </c>
      <c r="B2789" s="111">
        <v>1</v>
      </c>
      <c r="C2789" s="14" t="s">
        <v>4112</v>
      </c>
      <c r="D2789" s="112" t="s">
        <v>3214</v>
      </c>
      <c r="E2789" s="151" t="s">
        <v>1714</v>
      </c>
    </row>
    <row r="2790" spans="1:5">
      <c r="A2790" s="111">
        <v>75660</v>
      </c>
      <c r="B2790" s="111">
        <v>1</v>
      </c>
      <c r="C2790" s="14" t="s">
        <v>3764</v>
      </c>
      <c r="D2790" s="112" t="s">
        <v>3215</v>
      </c>
      <c r="E2790" s="151" t="s">
        <v>801</v>
      </c>
    </row>
    <row r="2791" spans="1:5">
      <c r="A2791" s="113">
        <v>75701</v>
      </c>
      <c r="B2791" s="113">
        <v>1</v>
      </c>
      <c r="C2791" s="14" t="s">
        <v>3696</v>
      </c>
      <c r="D2791" s="114" t="s">
        <v>3216</v>
      </c>
      <c r="E2791" s="152" t="s">
        <v>584</v>
      </c>
    </row>
    <row r="2792" spans="1:5">
      <c r="A2792" s="113">
        <v>75702</v>
      </c>
      <c r="B2792" s="113">
        <v>1</v>
      </c>
      <c r="C2792" s="14" t="s">
        <v>3352</v>
      </c>
      <c r="D2792" s="114" t="s">
        <v>3217</v>
      </c>
      <c r="E2792" s="152" t="s">
        <v>713</v>
      </c>
    </row>
    <row r="2793" spans="1:5">
      <c r="A2793" s="113">
        <v>75703</v>
      </c>
      <c r="B2793" s="113">
        <v>1</v>
      </c>
      <c r="C2793" s="14" t="s">
        <v>3324</v>
      </c>
      <c r="D2793" s="114" t="s">
        <v>3218</v>
      </c>
      <c r="E2793" s="152" t="s">
        <v>1377</v>
      </c>
    </row>
    <row r="2794" spans="1:5">
      <c r="A2794" s="113">
        <v>75704</v>
      </c>
      <c r="B2794" s="113">
        <v>1</v>
      </c>
      <c r="C2794" s="14" t="s">
        <v>4606</v>
      </c>
      <c r="D2794" s="114" t="s">
        <v>3219</v>
      </c>
      <c r="E2794" s="152" t="s">
        <v>3220</v>
      </c>
    </row>
    <row r="2795" spans="1:5">
      <c r="A2795" s="113">
        <v>75705</v>
      </c>
      <c r="B2795" s="113">
        <v>1</v>
      </c>
      <c r="C2795" s="14" t="s">
        <v>3354</v>
      </c>
      <c r="D2795" s="114" t="s">
        <v>3221</v>
      </c>
      <c r="E2795" s="152" t="s">
        <v>782</v>
      </c>
    </row>
    <row r="2796" spans="1:5">
      <c r="A2796" s="113">
        <v>75706</v>
      </c>
      <c r="B2796" s="113">
        <v>1</v>
      </c>
      <c r="C2796" s="14" t="s">
        <v>4264</v>
      </c>
      <c r="D2796" s="114" t="s">
        <v>3222</v>
      </c>
      <c r="E2796" s="152" t="s">
        <v>2133</v>
      </c>
    </row>
    <row r="2797" spans="1:5">
      <c r="A2797" s="113">
        <v>75707</v>
      </c>
      <c r="B2797" s="113">
        <v>1</v>
      </c>
      <c r="C2797" s="14" t="s">
        <v>3356</v>
      </c>
      <c r="D2797" s="114" t="s">
        <v>3223</v>
      </c>
      <c r="E2797" s="152" t="s">
        <v>649</v>
      </c>
    </row>
    <row r="2798" spans="1:5">
      <c r="A2798" s="113">
        <v>75708</v>
      </c>
      <c r="B2798" s="113">
        <v>1</v>
      </c>
      <c r="C2798" s="14" t="s">
        <v>3829</v>
      </c>
      <c r="D2798" s="114" t="s">
        <v>3224</v>
      </c>
      <c r="E2798" s="152" t="s">
        <v>1116</v>
      </c>
    </row>
    <row r="2799" spans="1:5">
      <c r="A2799" s="113">
        <v>75709</v>
      </c>
      <c r="B2799" s="113">
        <v>1</v>
      </c>
      <c r="C2799" s="14" t="s">
        <v>3358</v>
      </c>
      <c r="D2799" s="114" t="s">
        <v>3225</v>
      </c>
      <c r="E2799" s="152" t="s">
        <v>1327</v>
      </c>
    </row>
    <row r="2800" spans="1:5">
      <c r="A2800" s="113">
        <v>75710</v>
      </c>
      <c r="B2800" s="113">
        <v>1</v>
      </c>
      <c r="C2800" s="14" t="s">
        <v>3360</v>
      </c>
      <c r="D2800" s="114" t="s">
        <v>3226</v>
      </c>
      <c r="E2800" s="152" t="s">
        <v>604</v>
      </c>
    </row>
    <row r="2801" spans="1:5">
      <c r="A2801" s="111">
        <v>75751</v>
      </c>
      <c r="B2801" s="111">
        <v>1</v>
      </c>
      <c r="C2801" s="14" t="s">
        <v>3352</v>
      </c>
      <c r="D2801" s="112" t="s">
        <v>3227</v>
      </c>
      <c r="E2801" s="151" t="s">
        <v>713</v>
      </c>
    </row>
    <row r="2802" spans="1:5">
      <c r="A2802" s="111">
        <v>75752</v>
      </c>
      <c r="B2802" s="111">
        <v>1</v>
      </c>
      <c r="C2802" s="14" t="s">
        <v>3336</v>
      </c>
      <c r="D2802" s="112" t="s">
        <v>3228</v>
      </c>
      <c r="E2802" s="151" t="s">
        <v>2228</v>
      </c>
    </row>
    <row r="2803" spans="1:5">
      <c r="A2803" s="111">
        <v>75753</v>
      </c>
      <c r="B2803" s="111">
        <v>1</v>
      </c>
      <c r="C2803" s="14" t="s">
        <v>3354</v>
      </c>
      <c r="D2803" s="112" t="s">
        <v>3229</v>
      </c>
      <c r="E2803" s="151" t="s">
        <v>782</v>
      </c>
    </row>
    <row r="2804" spans="1:5">
      <c r="A2804" s="111">
        <v>75754</v>
      </c>
      <c r="B2804" s="111">
        <v>1</v>
      </c>
      <c r="C2804" s="14" t="s">
        <v>4304</v>
      </c>
      <c r="D2804" s="112" t="s">
        <v>3230</v>
      </c>
      <c r="E2804" s="151" t="s">
        <v>2231</v>
      </c>
    </row>
    <row r="2805" spans="1:5">
      <c r="A2805" s="111">
        <v>75755</v>
      </c>
      <c r="B2805" s="111">
        <v>1</v>
      </c>
      <c r="C2805" s="14" t="s">
        <v>3356</v>
      </c>
      <c r="D2805" s="112" t="s">
        <v>3231</v>
      </c>
      <c r="E2805" s="151" t="s">
        <v>649</v>
      </c>
    </row>
    <row r="2806" spans="1:5">
      <c r="A2806" s="111">
        <v>75756</v>
      </c>
      <c r="B2806" s="111">
        <v>1</v>
      </c>
      <c r="C2806" s="14" t="s">
        <v>4305</v>
      </c>
      <c r="D2806" s="112" t="s">
        <v>3232</v>
      </c>
      <c r="E2806" s="151" t="s">
        <v>2234</v>
      </c>
    </row>
    <row r="2807" spans="1:5">
      <c r="A2807" s="111">
        <v>75757</v>
      </c>
      <c r="B2807" s="111">
        <v>1</v>
      </c>
      <c r="C2807" s="14" t="s">
        <v>3358</v>
      </c>
      <c r="D2807" s="112" t="s">
        <v>3233</v>
      </c>
      <c r="E2807" s="151" t="s">
        <v>1327</v>
      </c>
    </row>
    <row r="2808" spans="1:5">
      <c r="A2808" s="111">
        <v>75758</v>
      </c>
      <c r="B2808" s="111">
        <v>1</v>
      </c>
      <c r="C2808" s="14" t="s">
        <v>4515</v>
      </c>
      <c r="D2808" s="112" t="s">
        <v>3234</v>
      </c>
      <c r="E2808" s="151" t="s">
        <v>2938</v>
      </c>
    </row>
    <row r="2809" spans="1:5">
      <c r="A2809" s="111">
        <v>75759</v>
      </c>
      <c r="B2809" s="111">
        <v>1</v>
      </c>
      <c r="C2809" s="14" t="s">
        <v>3360</v>
      </c>
      <c r="D2809" s="112" t="s">
        <v>3235</v>
      </c>
      <c r="E2809" s="151" t="s">
        <v>604</v>
      </c>
    </row>
    <row r="2810" spans="1:5">
      <c r="A2810" s="111">
        <v>75760</v>
      </c>
      <c r="B2810" s="111">
        <v>1</v>
      </c>
      <c r="C2810" s="14" t="s">
        <v>4517</v>
      </c>
      <c r="D2810" s="112" t="s">
        <v>3236</v>
      </c>
      <c r="E2810" s="151" t="s">
        <v>2946</v>
      </c>
    </row>
    <row r="2811" spans="1:5">
      <c r="A2811" s="113">
        <v>75801</v>
      </c>
      <c r="B2811" s="113">
        <v>1</v>
      </c>
      <c r="C2811" s="14" t="s">
        <v>3889</v>
      </c>
      <c r="D2811" s="114" t="s">
        <v>3163</v>
      </c>
      <c r="E2811" s="152" t="s">
        <v>1272</v>
      </c>
    </row>
    <row r="2812" spans="1:5">
      <c r="A2812" s="113">
        <v>75802</v>
      </c>
      <c r="B2812" s="113">
        <v>1</v>
      </c>
      <c r="C2812" s="14" t="s">
        <v>4594</v>
      </c>
      <c r="D2812" s="114" t="s">
        <v>3164</v>
      </c>
      <c r="E2812" s="152" t="s">
        <v>3165</v>
      </c>
    </row>
    <row r="2813" spans="1:5">
      <c r="A2813" s="113">
        <v>75803</v>
      </c>
      <c r="B2813" s="113">
        <v>1</v>
      </c>
      <c r="C2813" s="14" t="s">
        <v>3759</v>
      </c>
      <c r="D2813" s="114" t="s">
        <v>3166</v>
      </c>
      <c r="E2813" s="152" t="s">
        <v>764</v>
      </c>
    </row>
    <row r="2814" spans="1:5">
      <c r="A2814" s="113">
        <v>75804</v>
      </c>
      <c r="B2814" s="113">
        <v>1</v>
      </c>
      <c r="C2814" s="14" t="s">
        <v>4595</v>
      </c>
      <c r="D2814" s="114" t="s">
        <v>3167</v>
      </c>
      <c r="E2814" s="152" t="s">
        <v>3168</v>
      </c>
    </row>
    <row r="2815" spans="1:5">
      <c r="A2815" s="113">
        <v>75805</v>
      </c>
      <c r="B2815" s="113">
        <v>1</v>
      </c>
      <c r="C2815" s="14" t="s">
        <v>4607</v>
      </c>
      <c r="D2815" s="114" t="s">
        <v>3169</v>
      </c>
      <c r="E2815" s="152" t="s">
        <v>3237</v>
      </c>
    </row>
    <row r="2816" spans="1:5">
      <c r="A2816" s="113">
        <v>75806</v>
      </c>
      <c r="B2816" s="113">
        <v>1</v>
      </c>
      <c r="C2816" s="14" t="s">
        <v>4596</v>
      </c>
      <c r="D2816" s="114" t="s">
        <v>3170</v>
      </c>
      <c r="E2816" s="152" t="s">
        <v>3171</v>
      </c>
    </row>
    <row r="2817" spans="1:5">
      <c r="A2817" s="113">
        <v>75807</v>
      </c>
      <c r="B2817" s="113">
        <v>1</v>
      </c>
      <c r="C2817" s="14" t="s">
        <v>4608</v>
      </c>
      <c r="D2817" s="114" t="s">
        <v>3172</v>
      </c>
      <c r="E2817" s="152" t="s">
        <v>3238</v>
      </c>
    </row>
    <row r="2818" spans="1:5">
      <c r="A2818" s="113">
        <v>75808</v>
      </c>
      <c r="B2818" s="113">
        <v>1</v>
      </c>
      <c r="C2818" s="14" t="s">
        <v>4597</v>
      </c>
      <c r="D2818" s="114" t="s">
        <v>3173</v>
      </c>
      <c r="E2818" s="152" t="s">
        <v>3174</v>
      </c>
    </row>
    <row r="2819" spans="1:5">
      <c r="A2819" s="113">
        <v>75809</v>
      </c>
      <c r="B2819" s="113">
        <v>1</v>
      </c>
      <c r="C2819" s="14" t="s">
        <v>4609</v>
      </c>
      <c r="D2819" s="114" t="s">
        <v>3175</v>
      </c>
      <c r="E2819" s="152" t="s">
        <v>3239</v>
      </c>
    </row>
    <row r="2820" spans="1:5">
      <c r="A2820" s="113">
        <v>75810</v>
      </c>
      <c r="B2820" s="113">
        <v>1</v>
      </c>
      <c r="C2820" s="14" t="s">
        <v>4598</v>
      </c>
      <c r="D2820" s="114" t="s">
        <v>3176</v>
      </c>
      <c r="E2820" s="152" t="s">
        <v>3177</v>
      </c>
    </row>
    <row r="2821" spans="1:5">
      <c r="A2821" s="111">
        <v>75851</v>
      </c>
      <c r="B2821" s="111">
        <v>1</v>
      </c>
      <c r="C2821" s="14" t="s">
        <v>3696</v>
      </c>
      <c r="D2821" s="112" t="s">
        <v>3240</v>
      </c>
      <c r="E2821" s="151" t="s">
        <v>584</v>
      </c>
    </row>
    <row r="2822" spans="1:5">
      <c r="A2822" s="111">
        <v>75852</v>
      </c>
      <c r="B2822" s="111">
        <v>1</v>
      </c>
      <c r="C2822" s="14" t="s">
        <v>3324</v>
      </c>
      <c r="D2822" s="112" t="s">
        <v>3241</v>
      </c>
      <c r="E2822" s="151" t="s">
        <v>1377</v>
      </c>
    </row>
    <row r="2823" spans="1:5">
      <c r="A2823" s="111">
        <v>75853</v>
      </c>
      <c r="B2823" s="111">
        <v>1</v>
      </c>
      <c r="C2823" s="14" t="s">
        <v>4606</v>
      </c>
      <c r="D2823" s="112" t="s">
        <v>3242</v>
      </c>
      <c r="E2823" s="151" t="s">
        <v>3220</v>
      </c>
    </row>
    <row r="2824" spans="1:5">
      <c r="A2824" s="111">
        <v>75854</v>
      </c>
      <c r="B2824" s="111">
        <v>1</v>
      </c>
      <c r="C2824" s="14" t="s">
        <v>4264</v>
      </c>
      <c r="D2824" s="112" t="s">
        <v>3243</v>
      </c>
      <c r="E2824" s="151" t="s">
        <v>2133</v>
      </c>
    </row>
    <row r="2825" spans="1:5">
      <c r="A2825" s="111">
        <v>75855</v>
      </c>
      <c r="B2825" s="111">
        <v>1</v>
      </c>
      <c r="C2825" s="14" t="s">
        <v>3829</v>
      </c>
      <c r="D2825" s="112" t="s">
        <v>3244</v>
      </c>
      <c r="E2825" s="151" t="s">
        <v>1116</v>
      </c>
    </row>
    <row r="2826" spans="1:5">
      <c r="A2826" s="111">
        <v>75856</v>
      </c>
      <c r="B2826" s="111">
        <v>1</v>
      </c>
      <c r="C2826" s="14" t="s">
        <v>4610</v>
      </c>
      <c r="D2826" s="112" t="s">
        <v>3245</v>
      </c>
      <c r="E2826" s="151" t="s">
        <v>3246</v>
      </c>
    </row>
    <row r="2827" spans="1:5">
      <c r="A2827" s="111">
        <v>75857</v>
      </c>
      <c r="B2827" s="111">
        <v>1</v>
      </c>
      <c r="C2827" s="14" t="s">
        <v>4611</v>
      </c>
      <c r="D2827" s="112" t="s">
        <v>3247</v>
      </c>
      <c r="E2827" s="151" t="s">
        <v>3248</v>
      </c>
    </row>
    <row r="2828" spans="1:5">
      <c r="A2828" s="111">
        <v>75858</v>
      </c>
      <c r="B2828" s="111">
        <v>1</v>
      </c>
      <c r="C2828" s="14" t="s">
        <v>4271</v>
      </c>
      <c r="D2828" s="112" t="s">
        <v>3249</v>
      </c>
      <c r="E2828" s="151" t="s">
        <v>2155</v>
      </c>
    </row>
    <row r="2829" spans="1:5">
      <c r="A2829" s="111">
        <v>75859</v>
      </c>
      <c r="B2829" s="111">
        <v>1</v>
      </c>
      <c r="C2829" s="14" t="s">
        <v>4612</v>
      </c>
      <c r="D2829" s="112" t="s">
        <v>3250</v>
      </c>
      <c r="E2829" s="151" t="s">
        <v>3251</v>
      </c>
    </row>
    <row r="2830" spans="1:5">
      <c r="A2830" s="111">
        <v>75860</v>
      </c>
      <c r="B2830" s="111">
        <v>1</v>
      </c>
      <c r="C2830" s="14" t="s">
        <v>3704</v>
      </c>
      <c r="D2830" s="112" t="s">
        <v>3252</v>
      </c>
      <c r="E2830" s="151" t="s">
        <v>597</v>
      </c>
    </row>
    <row r="2831" spans="1:5">
      <c r="A2831" s="113">
        <v>75901</v>
      </c>
      <c r="B2831" s="113">
        <v>1</v>
      </c>
      <c r="C2831" s="14" t="s">
        <v>3696</v>
      </c>
      <c r="D2831" s="114" t="s">
        <v>3253</v>
      </c>
      <c r="E2831" s="152" t="s">
        <v>584</v>
      </c>
    </row>
    <row r="2832" spans="1:5">
      <c r="A2832" s="113">
        <v>75902</v>
      </c>
      <c r="B2832" s="113">
        <v>1</v>
      </c>
      <c r="C2832" s="14" t="s">
        <v>3352</v>
      </c>
      <c r="D2832" s="114" t="s">
        <v>3254</v>
      </c>
      <c r="E2832" s="152" t="s">
        <v>713</v>
      </c>
    </row>
    <row r="2833" spans="1:5">
      <c r="A2833" s="113">
        <v>75903</v>
      </c>
      <c r="B2833" s="113">
        <v>1</v>
      </c>
      <c r="C2833" s="14" t="s">
        <v>3324</v>
      </c>
      <c r="D2833" s="114" t="s">
        <v>3255</v>
      </c>
      <c r="E2833" s="152" t="s">
        <v>1377</v>
      </c>
    </row>
    <row r="2834" spans="1:5">
      <c r="A2834" s="113">
        <v>75904</v>
      </c>
      <c r="B2834" s="113">
        <v>1</v>
      </c>
      <c r="C2834" s="14" t="s">
        <v>4606</v>
      </c>
      <c r="D2834" s="114" t="s">
        <v>3256</v>
      </c>
      <c r="E2834" s="152" t="s">
        <v>3220</v>
      </c>
    </row>
    <row r="2835" spans="1:5">
      <c r="A2835" s="113">
        <v>75905</v>
      </c>
      <c r="B2835" s="113">
        <v>1</v>
      </c>
      <c r="C2835" s="14" t="s">
        <v>3354</v>
      </c>
      <c r="D2835" s="114" t="s">
        <v>3257</v>
      </c>
      <c r="E2835" s="152" t="s">
        <v>782</v>
      </c>
    </row>
    <row r="2836" spans="1:5">
      <c r="A2836" s="113">
        <v>75906</v>
      </c>
      <c r="B2836" s="113">
        <v>1</v>
      </c>
      <c r="C2836" s="14" t="s">
        <v>4264</v>
      </c>
      <c r="D2836" s="114" t="s">
        <v>3258</v>
      </c>
      <c r="E2836" s="152" t="s">
        <v>2133</v>
      </c>
    </row>
    <row r="2837" spans="1:5">
      <c r="A2837" s="113">
        <v>75907</v>
      </c>
      <c r="B2837" s="113">
        <v>1</v>
      </c>
      <c r="C2837" s="14" t="s">
        <v>3356</v>
      </c>
      <c r="D2837" s="114" t="s">
        <v>3259</v>
      </c>
      <c r="E2837" s="152" t="s">
        <v>649</v>
      </c>
    </row>
    <row r="2838" spans="1:5">
      <c r="A2838" s="113">
        <v>75908</v>
      </c>
      <c r="B2838" s="113">
        <v>1</v>
      </c>
      <c r="C2838" s="14" t="s">
        <v>3829</v>
      </c>
      <c r="D2838" s="114" t="s">
        <v>3260</v>
      </c>
      <c r="E2838" s="152" t="s">
        <v>1116</v>
      </c>
    </row>
    <row r="2839" spans="1:5">
      <c r="A2839" s="113">
        <v>75909</v>
      </c>
      <c r="B2839" s="113">
        <v>1</v>
      </c>
      <c r="C2839" s="14" t="s">
        <v>3358</v>
      </c>
      <c r="D2839" s="114" t="s">
        <v>3261</v>
      </c>
      <c r="E2839" s="152" t="s">
        <v>1327</v>
      </c>
    </row>
    <row r="2840" spans="1:5">
      <c r="A2840" s="113">
        <v>75910</v>
      </c>
      <c r="B2840" s="113">
        <v>1</v>
      </c>
      <c r="C2840" s="14" t="s">
        <v>3360</v>
      </c>
      <c r="D2840" s="114" t="s">
        <v>3262</v>
      </c>
      <c r="E2840" s="152" t="s">
        <v>604</v>
      </c>
    </row>
    <row r="2841" spans="1:5">
      <c r="A2841" s="111">
        <v>75951</v>
      </c>
      <c r="B2841" s="111">
        <v>1</v>
      </c>
      <c r="C2841" s="14" t="s">
        <v>3328</v>
      </c>
      <c r="D2841" s="112" t="s">
        <v>3263</v>
      </c>
      <c r="E2841" s="151" t="s">
        <v>928</v>
      </c>
    </row>
    <row r="2842" spans="1:5">
      <c r="A2842" s="111">
        <v>75952</v>
      </c>
      <c r="B2842" s="111">
        <v>1</v>
      </c>
      <c r="C2842" s="14" t="s">
        <v>3720</v>
      </c>
      <c r="D2842" s="112" t="s">
        <v>3264</v>
      </c>
      <c r="E2842" s="151" t="s">
        <v>635</v>
      </c>
    </row>
    <row r="2843" spans="1:5">
      <c r="A2843" s="111">
        <v>75953</v>
      </c>
      <c r="B2843" s="111">
        <v>1</v>
      </c>
      <c r="C2843" s="14" t="s">
        <v>3727</v>
      </c>
      <c r="D2843" s="112" t="s">
        <v>3265</v>
      </c>
      <c r="E2843" s="151" t="s">
        <v>647</v>
      </c>
    </row>
    <row r="2844" spans="1:5">
      <c r="A2844" s="111">
        <v>75954</v>
      </c>
      <c r="B2844" s="111">
        <v>1</v>
      </c>
      <c r="C2844" s="14" t="s">
        <v>3730</v>
      </c>
      <c r="D2844" s="112" t="s">
        <v>3266</v>
      </c>
      <c r="E2844" s="151" t="s">
        <v>655</v>
      </c>
    </row>
    <row r="2845" spans="1:5">
      <c r="A2845" s="111">
        <v>75955</v>
      </c>
      <c r="B2845" s="111">
        <v>1</v>
      </c>
      <c r="C2845" s="14" t="s">
        <v>3733</v>
      </c>
      <c r="D2845" s="112" t="s">
        <v>3267</v>
      </c>
      <c r="E2845" s="151" t="s">
        <v>662</v>
      </c>
    </row>
    <row r="2846" spans="1:5">
      <c r="A2846" s="111">
        <v>75956</v>
      </c>
      <c r="B2846" s="111">
        <v>1</v>
      </c>
      <c r="C2846" s="14" t="s">
        <v>4318</v>
      </c>
      <c r="D2846" s="112" t="s">
        <v>3268</v>
      </c>
      <c r="E2846" s="151" t="s">
        <v>2283</v>
      </c>
    </row>
    <row r="2847" spans="1:5">
      <c r="A2847" s="111">
        <v>75957</v>
      </c>
      <c r="B2847" s="111">
        <v>1</v>
      </c>
      <c r="C2847" s="14" t="s">
        <v>4319</v>
      </c>
      <c r="D2847" s="112" t="s">
        <v>3269</v>
      </c>
      <c r="E2847" s="151" t="s">
        <v>2285</v>
      </c>
    </row>
    <row r="2848" spans="1:5">
      <c r="A2848" s="111">
        <v>75958</v>
      </c>
      <c r="B2848" s="111">
        <v>1</v>
      </c>
      <c r="C2848" s="14" t="s">
        <v>4613</v>
      </c>
      <c r="D2848" s="112" t="s">
        <v>3270</v>
      </c>
      <c r="E2848" s="151" t="s">
        <v>3271</v>
      </c>
    </row>
    <row r="2849" spans="1:5">
      <c r="A2849" s="111">
        <v>75959</v>
      </c>
      <c r="B2849" s="111">
        <v>1</v>
      </c>
      <c r="C2849" s="14" t="s">
        <v>4614</v>
      </c>
      <c r="D2849" s="112" t="s">
        <v>3272</v>
      </c>
      <c r="E2849" s="151" t="s">
        <v>3273</v>
      </c>
    </row>
    <row r="2850" spans="1:5">
      <c r="A2850" s="111">
        <v>75960</v>
      </c>
      <c r="B2850" s="111">
        <v>1</v>
      </c>
      <c r="C2850" s="14" t="s">
        <v>4615</v>
      </c>
      <c r="D2850" s="112" t="s">
        <v>3274</v>
      </c>
      <c r="E2850" s="151" t="s">
        <v>3275</v>
      </c>
    </row>
    <row r="2851" spans="1:5">
      <c r="A2851" s="1">
        <v>80001</v>
      </c>
      <c r="B2851" s="1">
        <v>1</v>
      </c>
      <c r="C2851" s="14" t="s">
        <v>4251</v>
      </c>
      <c r="D2851" s="2" t="s">
        <v>3276</v>
      </c>
      <c r="E2851" s="3" t="s">
        <v>2094</v>
      </c>
    </row>
    <row r="2852" spans="1:5">
      <c r="A2852" s="1">
        <v>80002</v>
      </c>
      <c r="B2852" s="1">
        <v>1</v>
      </c>
      <c r="C2852" s="14" t="s">
        <v>4311</v>
      </c>
      <c r="D2852" s="2" t="s">
        <v>3277</v>
      </c>
      <c r="E2852" s="3" t="s">
        <v>2247</v>
      </c>
    </row>
    <row r="2853" spans="1:5">
      <c r="A2853" s="1">
        <v>80003</v>
      </c>
      <c r="B2853" s="1">
        <v>1</v>
      </c>
      <c r="C2853" s="14" t="s">
        <v>4253</v>
      </c>
      <c r="D2853" s="2" t="s">
        <v>3278</v>
      </c>
      <c r="E2853" s="3" t="s">
        <v>2100</v>
      </c>
    </row>
    <row r="2854" spans="1:5">
      <c r="A2854" s="1">
        <v>80004</v>
      </c>
      <c r="B2854" s="1">
        <v>1</v>
      </c>
      <c r="C2854" s="14" t="s">
        <v>4616</v>
      </c>
      <c r="D2854" s="2" t="s">
        <v>3279</v>
      </c>
      <c r="E2854" s="3" t="s">
        <v>3280</v>
      </c>
    </row>
    <row r="2855" spans="1:5">
      <c r="A2855" s="1">
        <v>80005</v>
      </c>
      <c r="B2855" s="1">
        <v>1</v>
      </c>
      <c r="C2855" s="14" t="s">
        <v>3863</v>
      </c>
      <c r="D2855" s="2" t="s">
        <v>3281</v>
      </c>
      <c r="E2855" s="3" t="s">
        <v>1178</v>
      </c>
    </row>
    <row r="2856" spans="1:5">
      <c r="A2856" s="1">
        <v>80006</v>
      </c>
      <c r="B2856" s="1">
        <v>1</v>
      </c>
      <c r="C2856" s="14" t="s">
        <v>4617</v>
      </c>
      <c r="D2856" s="2" t="s">
        <v>3282</v>
      </c>
      <c r="E2856" s="3" t="s">
        <v>3283</v>
      </c>
    </row>
    <row r="2857" spans="1:5">
      <c r="A2857" s="1">
        <v>80007</v>
      </c>
      <c r="B2857" s="1">
        <v>1</v>
      </c>
      <c r="C2857" s="14" t="s">
        <v>4256</v>
      </c>
      <c r="D2857" s="2" t="s">
        <v>3284</v>
      </c>
      <c r="E2857" s="3" t="s">
        <v>2111</v>
      </c>
    </row>
    <row r="2858" spans="1:5">
      <c r="A2858" s="1">
        <v>80008</v>
      </c>
      <c r="B2858" s="1">
        <v>1</v>
      </c>
      <c r="C2858" s="14" t="s">
        <v>4618</v>
      </c>
      <c r="D2858" s="2" t="s">
        <v>3285</v>
      </c>
      <c r="E2858" s="3" t="s">
        <v>3286</v>
      </c>
    </row>
    <row r="2859" spans="1:5">
      <c r="A2859" s="1">
        <v>80009</v>
      </c>
      <c r="B2859" s="1">
        <v>1</v>
      </c>
      <c r="C2859" s="14" t="s">
        <v>4169</v>
      </c>
      <c r="D2859" s="2" t="s">
        <v>3287</v>
      </c>
      <c r="E2859" s="3" t="s">
        <v>1840</v>
      </c>
    </row>
    <row r="2860" spans="1:5">
      <c r="A2860" s="1">
        <v>80010</v>
      </c>
      <c r="B2860" s="1">
        <v>1</v>
      </c>
      <c r="C2860" s="14" t="s">
        <v>4619</v>
      </c>
      <c r="D2860" s="2" t="s">
        <v>3288</v>
      </c>
      <c r="E2860" s="3" t="s">
        <v>3289</v>
      </c>
    </row>
    <row r="2861" spans="1:5">
      <c r="A2861" s="1">
        <v>80011</v>
      </c>
      <c r="B2861" s="1">
        <v>1</v>
      </c>
      <c r="C2861" s="14" t="s">
        <v>4620</v>
      </c>
      <c r="D2861" s="2" t="s">
        <v>3290</v>
      </c>
      <c r="E2861" s="3" t="s">
        <v>3291</v>
      </c>
    </row>
    <row r="2862" spans="1:5">
      <c r="A2862" s="1">
        <v>80012</v>
      </c>
      <c r="B2862" s="1">
        <v>1</v>
      </c>
      <c r="C2862" s="14" t="s">
        <v>4620</v>
      </c>
      <c r="D2862" s="2" t="s">
        <v>3292</v>
      </c>
      <c r="E2862" s="3" t="s">
        <v>3291</v>
      </c>
    </row>
    <row r="2863" spans="1:5">
      <c r="A2863" s="1">
        <v>80013</v>
      </c>
      <c r="B2863" s="1">
        <v>1</v>
      </c>
      <c r="C2863" s="14" t="s">
        <v>4620</v>
      </c>
      <c r="D2863" s="2" t="s">
        <v>3293</v>
      </c>
      <c r="E2863" s="3" t="s">
        <v>3291</v>
      </c>
    </row>
    <row r="2864" spans="1:5">
      <c r="A2864" s="1">
        <v>80014</v>
      </c>
      <c r="B2864" s="1">
        <v>1</v>
      </c>
      <c r="C2864" s="14" t="s">
        <v>4620</v>
      </c>
      <c r="D2864" s="2" t="s">
        <v>3294</v>
      </c>
      <c r="E2864" s="3" t="s">
        <v>3291</v>
      </c>
    </row>
    <row r="2865" spans="1:5">
      <c r="A2865" s="1">
        <v>80015</v>
      </c>
      <c r="B2865" s="1">
        <v>1</v>
      </c>
      <c r="C2865" s="14" t="s">
        <v>4620</v>
      </c>
      <c r="D2865" s="2" t="s">
        <v>3295</v>
      </c>
      <c r="E2865" s="3" t="s">
        <v>3291</v>
      </c>
    </row>
    <row r="2866" spans="1:5">
      <c r="A2866" s="1">
        <v>80101</v>
      </c>
      <c r="B2866" s="1">
        <v>1</v>
      </c>
      <c r="C2866" s="14" t="s">
        <v>4621</v>
      </c>
      <c r="D2866" s="2" t="s">
        <v>3296</v>
      </c>
      <c r="E2866" s="3" t="s">
        <v>3297</v>
      </c>
    </row>
    <row r="2867" spans="1:5">
      <c r="A2867" s="1">
        <v>80102</v>
      </c>
      <c r="B2867" s="1">
        <v>1</v>
      </c>
      <c r="C2867" s="14" t="s">
        <v>4622</v>
      </c>
      <c r="D2867" s="2" t="s">
        <v>3298</v>
      </c>
      <c r="E2867" s="3" t="s">
        <v>3299</v>
      </c>
    </row>
    <row r="2868" spans="1:5">
      <c r="A2868" s="1">
        <v>80103</v>
      </c>
      <c r="B2868" s="1">
        <v>1</v>
      </c>
      <c r="C2868" s="14" t="s">
        <v>4623</v>
      </c>
      <c r="D2868" s="2" t="s">
        <v>3300</v>
      </c>
      <c r="E2868" s="3" t="s">
        <v>3301</v>
      </c>
    </row>
    <row r="2869" spans="1:5">
      <c r="A2869" s="1">
        <v>80104</v>
      </c>
      <c r="B2869" s="1">
        <v>1</v>
      </c>
      <c r="C2869" s="14" t="s">
        <v>4624</v>
      </c>
      <c r="D2869" s="2" t="s">
        <v>3302</v>
      </c>
      <c r="E2869" s="3" t="s">
        <v>3303</v>
      </c>
    </row>
    <row r="2870" spans="1:5">
      <c r="A2870" s="1">
        <v>80105</v>
      </c>
      <c r="B2870" s="1">
        <v>1</v>
      </c>
      <c r="C2870" s="14" t="s">
        <v>4332</v>
      </c>
      <c r="D2870" s="2" t="s">
        <v>3304</v>
      </c>
      <c r="E2870" s="3" t="s">
        <v>2323</v>
      </c>
    </row>
    <row r="2871" spans="1:5">
      <c r="A2871" s="1">
        <v>80106</v>
      </c>
      <c r="B2871" s="1">
        <v>1</v>
      </c>
      <c r="C2871" s="14" t="s">
        <v>4625</v>
      </c>
      <c r="D2871" s="2" t="s">
        <v>3305</v>
      </c>
      <c r="E2871" s="3" t="s">
        <v>3306</v>
      </c>
    </row>
    <row r="2872" spans="1:5">
      <c r="A2872" s="1">
        <v>80107</v>
      </c>
      <c r="B2872" s="1">
        <v>1</v>
      </c>
      <c r="C2872" s="14" t="s">
        <v>4333</v>
      </c>
      <c r="D2872" s="2" t="s">
        <v>3307</v>
      </c>
      <c r="E2872" s="3" t="s">
        <v>2324</v>
      </c>
    </row>
    <row r="2873" spans="1:5">
      <c r="A2873" s="1">
        <v>80108</v>
      </c>
      <c r="B2873" s="1">
        <v>1</v>
      </c>
      <c r="C2873" s="14" t="s">
        <v>4626</v>
      </c>
      <c r="D2873" s="2" t="s">
        <v>3308</v>
      </c>
      <c r="E2873" s="3" t="s">
        <v>3309</v>
      </c>
    </row>
    <row r="2874" spans="1:5">
      <c r="A2874" s="1">
        <v>80109</v>
      </c>
      <c r="B2874" s="1">
        <v>1</v>
      </c>
      <c r="C2874" s="14" t="s">
        <v>4627</v>
      </c>
      <c r="D2874" s="2" t="s">
        <v>3310</v>
      </c>
      <c r="E2874" s="3" t="s">
        <v>3311</v>
      </c>
    </row>
    <row r="2875" spans="1:5">
      <c r="A2875" s="1">
        <v>80110</v>
      </c>
      <c r="B2875" s="1">
        <v>1</v>
      </c>
      <c r="C2875" s="14" t="s">
        <v>4628</v>
      </c>
      <c r="D2875" s="2" t="s">
        <v>3312</v>
      </c>
      <c r="E2875" s="3" t="s">
        <v>3313</v>
      </c>
    </row>
    <row r="2876" spans="1:5">
      <c r="A2876" s="1">
        <v>80111</v>
      </c>
      <c r="B2876" s="1">
        <v>1</v>
      </c>
      <c r="C2876" s="14" t="s">
        <v>4629</v>
      </c>
      <c r="D2876" s="2" t="s">
        <v>3314</v>
      </c>
      <c r="E2876" s="3" t="s">
        <v>3315</v>
      </c>
    </row>
    <row r="2877" spans="1:5">
      <c r="A2877" s="1">
        <v>80112</v>
      </c>
      <c r="B2877" s="1">
        <v>1</v>
      </c>
      <c r="C2877" s="14" t="s">
        <v>4630</v>
      </c>
      <c r="D2877" s="2" t="s">
        <v>3316</v>
      </c>
      <c r="E2877" s="3" t="s">
        <v>3317</v>
      </c>
    </row>
    <row r="2878" spans="1:5">
      <c r="A2878" s="1">
        <v>80113</v>
      </c>
      <c r="B2878" s="1">
        <v>1</v>
      </c>
      <c r="C2878" s="14" t="s">
        <v>4631</v>
      </c>
      <c r="D2878" s="2" t="s">
        <v>3318</v>
      </c>
      <c r="E2878" s="3" t="s">
        <v>3319</v>
      </c>
    </row>
    <row r="2879" spans="1:5">
      <c r="A2879" s="1">
        <v>80114</v>
      </c>
      <c r="B2879" s="1">
        <v>1</v>
      </c>
      <c r="C2879" s="14" t="s">
        <v>4632</v>
      </c>
      <c r="D2879" s="2" t="s">
        <v>3320</v>
      </c>
      <c r="E2879" s="3" t="s">
        <v>3321</v>
      </c>
    </row>
    <row r="2880" spans="1:5">
      <c r="A2880" s="1">
        <v>80115</v>
      </c>
      <c r="B2880" s="1">
        <v>1</v>
      </c>
      <c r="C2880" s="14" t="s">
        <v>4633</v>
      </c>
      <c r="D2880" s="2" t="s">
        <v>3322</v>
      </c>
      <c r="E2880" s="3" t="s">
        <v>3323</v>
      </c>
    </row>
    <row r="2881" spans="1:5">
      <c r="A2881" s="1">
        <v>81001</v>
      </c>
      <c r="B2881" s="1">
        <v>1</v>
      </c>
      <c r="C2881" s="14" t="s">
        <v>3324</v>
      </c>
      <c r="D2881" s="2" t="s">
        <v>3325</v>
      </c>
      <c r="E2881" s="3" t="s">
        <v>1377</v>
      </c>
    </row>
    <row r="2882" spans="1:5">
      <c r="A2882" s="1">
        <v>81002</v>
      </c>
      <c r="B2882" s="1">
        <v>1</v>
      </c>
      <c r="C2882" s="14" t="s">
        <v>3326</v>
      </c>
      <c r="D2882" s="2" t="s">
        <v>3327</v>
      </c>
      <c r="E2882" s="3" t="s">
        <v>2117</v>
      </c>
    </row>
    <row r="2883" spans="1:5">
      <c r="A2883" s="1">
        <v>81003</v>
      </c>
      <c r="B2883" s="1">
        <v>1</v>
      </c>
      <c r="C2883" s="14" t="s">
        <v>3328</v>
      </c>
      <c r="D2883" s="2" t="s">
        <v>3329</v>
      </c>
      <c r="E2883" s="3" t="s">
        <v>928</v>
      </c>
    </row>
    <row r="2884" spans="1:5">
      <c r="A2884" s="1">
        <v>81004</v>
      </c>
      <c r="B2884" s="1">
        <v>1</v>
      </c>
      <c r="C2884" s="14" t="s">
        <v>3330</v>
      </c>
      <c r="D2884" s="2" t="s">
        <v>3331</v>
      </c>
      <c r="E2884" s="3" t="s">
        <v>1026</v>
      </c>
    </row>
    <row r="2885" spans="1:5">
      <c r="A2885" s="1">
        <v>81005</v>
      </c>
      <c r="B2885" s="1">
        <v>1</v>
      </c>
      <c r="C2885" s="14" t="s">
        <v>3332</v>
      </c>
      <c r="D2885" s="2" t="s">
        <v>3333</v>
      </c>
      <c r="E2885" s="3" t="s">
        <v>3334</v>
      </c>
    </row>
    <row r="2886" spans="1:5">
      <c r="A2886" s="1">
        <v>81006</v>
      </c>
      <c r="B2886" s="1">
        <v>1</v>
      </c>
      <c r="C2886" s="14" t="s">
        <v>3335</v>
      </c>
      <c r="D2886" s="2" t="s">
        <v>3331</v>
      </c>
      <c r="E2886" s="3" t="s">
        <v>930</v>
      </c>
    </row>
    <row r="2887" spans="1:5">
      <c r="A2887" s="1">
        <v>81007</v>
      </c>
      <c r="B2887" s="1">
        <v>1</v>
      </c>
      <c r="C2887" s="14" t="s">
        <v>3336</v>
      </c>
      <c r="D2887" s="2" t="s">
        <v>3337</v>
      </c>
      <c r="E2887" s="3" t="s">
        <v>2228</v>
      </c>
    </row>
    <row r="2888" spans="1:5">
      <c r="A2888" s="1">
        <v>81008</v>
      </c>
      <c r="B2888" s="1">
        <v>1</v>
      </c>
      <c r="C2888" s="14" t="s">
        <v>3338</v>
      </c>
      <c r="D2888" s="2" t="s">
        <v>3339</v>
      </c>
      <c r="E2888" s="3" t="s">
        <v>937</v>
      </c>
    </row>
    <row r="2889" spans="1:5">
      <c r="A2889" s="1">
        <v>81009</v>
      </c>
      <c r="B2889" s="1">
        <v>1</v>
      </c>
      <c r="C2889" s="14" t="s">
        <v>3340</v>
      </c>
      <c r="D2889" s="2" t="s">
        <v>3333</v>
      </c>
      <c r="E2889" s="3" t="s">
        <v>3341</v>
      </c>
    </row>
    <row r="2890" spans="1:5">
      <c r="A2890" s="1">
        <v>81010</v>
      </c>
      <c r="B2890" s="1">
        <v>1</v>
      </c>
      <c r="C2890" s="14" t="s">
        <v>3342</v>
      </c>
      <c r="D2890" s="2" t="s">
        <v>3343</v>
      </c>
      <c r="E2890" s="3" t="s">
        <v>3344</v>
      </c>
    </row>
    <row r="2891" spans="1:5">
      <c r="A2891" s="1">
        <v>81011</v>
      </c>
      <c r="B2891" s="1">
        <v>1</v>
      </c>
      <c r="C2891" s="14" t="s">
        <v>3345</v>
      </c>
      <c r="D2891" s="2" t="s">
        <v>3339</v>
      </c>
      <c r="E2891" s="3" t="s">
        <v>2689</v>
      </c>
    </row>
    <row r="2892" spans="1:5">
      <c r="A2892" s="1">
        <v>81012</v>
      </c>
      <c r="B2892" s="1">
        <v>1</v>
      </c>
      <c r="C2892" s="14" t="s">
        <v>3346</v>
      </c>
      <c r="D2892" s="2" t="s">
        <v>3343</v>
      </c>
      <c r="E2892" s="3" t="s">
        <v>3347</v>
      </c>
    </row>
    <row r="2893" spans="1:5">
      <c r="A2893" s="1">
        <v>81013</v>
      </c>
      <c r="B2893" s="1">
        <v>1</v>
      </c>
      <c r="C2893" s="14" t="s">
        <v>3348</v>
      </c>
      <c r="D2893" s="2" t="s">
        <v>3349</v>
      </c>
      <c r="E2893" s="3" t="s">
        <v>949</v>
      </c>
    </row>
    <row r="2894" spans="1:5">
      <c r="A2894" s="1">
        <v>81014</v>
      </c>
      <c r="B2894" s="1">
        <v>1</v>
      </c>
      <c r="C2894" s="14" t="s">
        <v>3348</v>
      </c>
      <c r="D2894" s="2" t="s">
        <v>3349</v>
      </c>
      <c r="E2894" s="3" t="s">
        <v>949</v>
      </c>
    </row>
    <row r="2895" spans="1:5">
      <c r="A2895" s="1">
        <v>81015</v>
      </c>
      <c r="B2895" s="1">
        <v>1</v>
      </c>
      <c r="C2895" s="14" t="s">
        <v>3348</v>
      </c>
      <c r="D2895" s="2" t="s">
        <v>3349</v>
      </c>
      <c r="E2895" s="3" t="s">
        <v>949</v>
      </c>
    </row>
    <row r="2896" spans="1:5">
      <c r="A2896" s="124">
        <v>81101</v>
      </c>
      <c r="B2896" s="124">
        <v>1</v>
      </c>
      <c r="C2896" s="14" t="s">
        <v>3350</v>
      </c>
      <c r="D2896" s="125" t="s">
        <v>3351</v>
      </c>
      <c r="E2896" s="126" t="s">
        <v>616</v>
      </c>
    </row>
    <row r="2897" spans="1:5">
      <c r="A2897" s="124">
        <v>81102</v>
      </c>
      <c r="B2897" s="124">
        <v>1</v>
      </c>
      <c r="C2897" s="14" t="s">
        <v>3352</v>
      </c>
      <c r="D2897" s="125" t="s">
        <v>3351</v>
      </c>
      <c r="E2897" s="126" t="s">
        <v>713</v>
      </c>
    </row>
    <row r="2898" spans="1:5">
      <c r="A2898" s="124">
        <v>81103</v>
      </c>
      <c r="B2898" s="124">
        <v>1</v>
      </c>
      <c r="C2898" s="14" t="s">
        <v>3353</v>
      </c>
      <c r="D2898" s="125" t="s">
        <v>3351</v>
      </c>
      <c r="E2898" s="126" t="s">
        <v>1293</v>
      </c>
    </row>
    <row r="2899" spans="1:5">
      <c r="A2899" s="124">
        <v>81104</v>
      </c>
      <c r="B2899" s="124">
        <v>1</v>
      </c>
      <c r="C2899" s="14" t="s">
        <v>3354</v>
      </c>
      <c r="D2899" s="125" t="s">
        <v>3351</v>
      </c>
      <c r="E2899" s="126" t="s">
        <v>782</v>
      </c>
    </row>
    <row r="2900" spans="1:5">
      <c r="A2900" s="124">
        <v>81105</v>
      </c>
      <c r="B2900" s="124">
        <v>1</v>
      </c>
      <c r="C2900" s="14" t="s">
        <v>3355</v>
      </c>
      <c r="D2900" s="125" t="s">
        <v>3351</v>
      </c>
      <c r="E2900" s="126" t="s">
        <v>599</v>
      </c>
    </row>
    <row r="2901" spans="1:5">
      <c r="A2901" s="124">
        <v>81106</v>
      </c>
      <c r="B2901" s="124">
        <v>1</v>
      </c>
      <c r="C2901" s="14" t="s">
        <v>3356</v>
      </c>
      <c r="D2901" s="125" t="s">
        <v>3351</v>
      </c>
      <c r="E2901" s="126" t="s">
        <v>649</v>
      </c>
    </row>
    <row r="2902" spans="1:5">
      <c r="A2902" s="124">
        <v>81107</v>
      </c>
      <c r="B2902" s="124">
        <v>1</v>
      </c>
      <c r="C2902" s="14" t="s">
        <v>3357</v>
      </c>
      <c r="D2902" s="125" t="s">
        <v>3351</v>
      </c>
      <c r="E2902" s="126" t="s">
        <v>1320</v>
      </c>
    </row>
    <row r="2903" spans="1:5">
      <c r="A2903" s="124">
        <v>81108</v>
      </c>
      <c r="B2903" s="124">
        <v>1</v>
      </c>
      <c r="C2903" s="14" t="s">
        <v>3358</v>
      </c>
      <c r="D2903" s="125" t="s">
        <v>3351</v>
      </c>
      <c r="E2903" s="126" t="s">
        <v>1327</v>
      </c>
    </row>
    <row r="2904" spans="1:5">
      <c r="A2904" s="124">
        <v>81109</v>
      </c>
      <c r="B2904" s="124">
        <v>1</v>
      </c>
      <c r="C2904" s="14" t="s">
        <v>3359</v>
      </c>
      <c r="D2904" s="125" t="s">
        <v>3351</v>
      </c>
      <c r="E2904" s="126" t="s">
        <v>1334</v>
      </c>
    </row>
    <row r="2905" spans="1:5">
      <c r="A2905" s="124">
        <v>81110</v>
      </c>
      <c r="B2905" s="124">
        <v>1</v>
      </c>
      <c r="C2905" s="14" t="s">
        <v>3360</v>
      </c>
      <c r="D2905" s="125" t="s">
        <v>3351</v>
      </c>
      <c r="E2905" s="126" t="s">
        <v>604</v>
      </c>
    </row>
    <row r="2906" spans="1:5">
      <c r="A2906" s="124">
        <v>81111</v>
      </c>
      <c r="B2906" s="124">
        <v>1</v>
      </c>
      <c r="C2906" s="14" t="s">
        <v>3361</v>
      </c>
      <c r="D2906" s="125" t="s">
        <v>3351</v>
      </c>
      <c r="E2906" s="126" t="s">
        <v>1349</v>
      </c>
    </row>
    <row r="2907" spans="1:5">
      <c r="A2907" s="124">
        <v>81112</v>
      </c>
      <c r="B2907" s="124">
        <v>1</v>
      </c>
      <c r="C2907" s="14" t="s">
        <v>3362</v>
      </c>
      <c r="D2907" s="125" t="s">
        <v>3351</v>
      </c>
      <c r="E2907" s="126" t="s">
        <v>1357</v>
      </c>
    </row>
    <row r="2908" spans="1:5">
      <c r="A2908" s="124">
        <v>81113</v>
      </c>
      <c r="B2908" s="124">
        <v>1</v>
      </c>
      <c r="C2908" s="14" t="s">
        <v>3363</v>
      </c>
      <c r="D2908" s="125" t="s">
        <v>3351</v>
      </c>
      <c r="E2908" s="126" t="s">
        <v>2056</v>
      </c>
    </row>
    <row r="2909" spans="1:5">
      <c r="A2909" s="124">
        <v>81114</v>
      </c>
      <c r="B2909" s="124">
        <v>1</v>
      </c>
      <c r="C2909" s="14" t="s">
        <v>3364</v>
      </c>
      <c r="D2909" s="125" t="s">
        <v>3351</v>
      </c>
      <c r="E2909" s="126" t="s">
        <v>2061</v>
      </c>
    </row>
    <row r="2910" spans="1:5">
      <c r="A2910" s="124">
        <v>81115</v>
      </c>
      <c r="B2910" s="124">
        <v>1</v>
      </c>
      <c r="C2910" s="14" t="s">
        <v>3365</v>
      </c>
      <c r="D2910" s="125" t="s">
        <v>3351</v>
      </c>
      <c r="E2910" s="126" t="s">
        <v>793</v>
      </c>
    </row>
    <row r="2911" spans="1:5">
      <c r="A2911" s="1">
        <v>81201</v>
      </c>
      <c r="B2911" s="1">
        <v>1</v>
      </c>
      <c r="C2911" s="14" t="s">
        <v>3366</v>
      </c>
      <c r="D2911" s="2" t="s">
        <v>3367</v>
      </c>
      <c r="E2911" s="3" t="s">
        <v>981</v>
      </c>
    </row>
    <row r="2912" spans="1:5">
      <c r="A2912" s="1">
        <v>81202</v>
      </c>
      <c r="B2912" s="1">
        <v>1</v>
      </c>
      <c r="C2912" s="14" t="s">
        <v>3368</v>
      </c>
      <c r="D2912" s="2" t="s">
        <v>3367</v>
      </c>
      <c r="E2912" s="3" t="s">
        <v>983</v>
      </c>
    </row>
    <row r="2913" spans="1:5">
      <c r="A2913" s="1">
        <v>81203</v>
      </c>
      <c r="B2913" s="1">
        <v>1</v>
      </c>
      <c r="C2913" s="14" t="s">
        <v>3369</v>
      </c>
      <c r="D2913" s="2" t="s">
        <v>3367</v>
      </c>
      <c r="E2913" s="3" t="s">
        <v>747</v>
      </c>
    </row>
    <row r="2914" spans="1:5">
      <c r="A2914" s="1">
        <v>81204</v>
      </c>
      <c r="B2914" s="1">
        <v>1</v>
      </c>
      <c r="C2914" s="14" t="s">
        <v>3370</v>
      </c>
      <c r="D2914" s="2" t="s">
        <v>3367</v>
      </c>
      <c r="E2914" s="3" t="s">
        <v>986</v>
      </c>
    </row>
    <row r="2915" spans="1:5">
      <c r="A2915" s="1">
        <v>81205</v>
      </c>
      <c r="B2915" s="1">
        <v>1</v>
      </c>
      <c r="C2915" s="14" t="s">
        <v>3371</v>
      </c>
      <c r="D2915" s="2" t="s">
        <v>3367</v>
      </c>
      <c r="E2915" s="3" t="s">
        <v>751</v>
      </c>
    </row>
    <row r="2916" spans="1:5">
      <c r="A2916" s="1">
        <v>81206</v>
      </c>
      <c r="B2916" s="1">
        <v>1</v>
      </c>
      <c r="C2916" s="14" t="s">
        <v>3372</v>
      </c>
      <c r="D2916" s="2" t="s">
        <v>3367</v>
      </c>
      <c r="E2916" s="3" t="s">
        <v>989</v>
      </c>
    </row>
    <row r="2917" spans="1:5">
      <c r="A2917" s="1">
        <v>81207</v>
      </c>
      <c r="B2917" s="1">
        <v>1</v>
      </c>
      <c r="C2917" s="14" t="s">
        <v>3373</v>
      </c>
      <c r="D2917" s="2" t="s">
        <v>3367</v>
      </c>
      <c r="E2917" s="3" t="s">
        <v>991</v>
      </c>
    </row>
    <row r="2918" spans="1:5">
      <c r="A2918" s="1">
        <v>81208</v>
      </c>
      <c r="B2918" s="1">
        <v>1</v>
      </c>
      <c r="C2918" s="14" t="s">
        <v>3374</v>
      </c>
      <c r="D2918" s="2" t="s">
        <v>3367</v>
      </c>
      <c r="E2918" s="3" t="s">
        <v>993</v>
      </c>
    </row>
    <row r="2919" spans="1:5">
      <c r="A2919" s="1">
        <v>81209</v>
      </c>
      <c r="B2919" s="1">
        <v>1</v>
      </c>
      <c r="C2919" s="14" t="s">
        <v>3375</v>
      </c>
      <c r="D2919" s="2" t="s">
        <v>3367</v>
      </c>
      <c r="E2919" s="3" t="s">
        <v>787</v>
      </c>
    </row>
    <row r="2920" spans="1:5">
      <c r="A2920" s="1">
        <v>81210</v>
      </c>
      <c r="B2920" s="1">
        <v>1</v>
      </c>
      <c r="C2920" s="14" t="s">
        <v>3375</v>
      </c>
      <c r="D2920" s="2" t="s">
        <v>3367</v>
      </c>
      <c r="E2920" s="3" t="s">
        <v>787</v>
      </c>
    </row>
    <row r="2921" spans="1:5">
      <c r="A2921" s="1">
        <v>81211</v>
      </c>
      <c r="B2921" s="1">
        <v>1</v>
      </c>
      <c r="C2921" s="14" t="s">
        <v>3375</v>
      </c>
      <c r="D2921" s="2" t="s">
        <v>3367</v>
      </c>
      <c r="E2921" s="3" t="s">
        <v>787</v>
      </c>
    </row>
    <row r="2922" spans="1:5">
      <c r="A2922" s="1">
        <v>81212</v>
      </c>
      <c r="B2922" s="1">
        <v>1</v>
      </c>
      <c r="C2922" s="14" t="s">
        <v>3375</v>
      </c>
      <c r="D2922" s="2" t="s">
        <v>3367</v>
      </c>
      <c r="E2922" s="3" t="s">
        <v>787</v>
      </c>
    </row>
    <row r="2923" spans="1:5">
      <c r="A2923" s="1">
        <v>81213</v>
      </c>
      <c r="B2923" s="1">
        <v>1</v>
      </c>
      <c r="C2923" s="14" t="s">
        <v>3375</v>
      </c>
      <c r="D2923" s="2" t="s">
        <v>3367</v>
      </c>
      <c r="E2923" s="3" t="s">
        <v>787</v>
      </c>
    </row>
    <row r="2924" spans="1:5">
      <c r="A2924" s="1">
        <v>81214</v>
      </c>
      <c r="B2924" s="1">
        <v>1</v>
      </c>
      <c r="C2924" s="14" t="s">
        <v>3375</v>
      </c>
      <c r="D2924" s="2" t="s">
        <v>3367</v>
      </c>
      <c r="E2924" s="3" t="s">
        <v>787</v>
      </c>
    </row>
    <row r="2925" spans="1:5">
      <c r="A2925" s="1">
        <v>81215</v>
      </c>
      <c r="B2925" s="1">
        <v>1</v>
      </c>
      <c r="C2925" s="14" t="s">
        <v>3375</v>
      </c>
      <c r="D2925" s="2" t="s">
        <v>3367</v>
      </c>
      <c r="E2925" s="3" t="s">
        <v>787</v>
      </c>
    </row>
    <row r="2926" spans="1:5">
      <c r="A2926" s="80">
        <v>82001</v>
      </c>
      <c r="B2926" s="80">
        <v>0</v>
      </c>
      <c r="C2926" s="127" t="s">
        <v>3369</v>
      </c>
      <c r="D2926" s="81" t="s">
        <v>3376</v>
      </c>
      <c r="E2926" s="90" t="s">
        <v>747</v>
      </c>
    </row>
    <row r="2927" spans="1:5">
      <c r="A2927" s="80">
        <v>82002</v>
      </c>
      <c r="B2927" s="80">
        <v>0</v>
      </c>
      <c r="C2927" s="127" t="s">
        <v>4691</v>
      </c>
      <c r="D2927" s="81" t="s">
        <v>3377</v>
      </c>
      <c r="E2927" s="90" t="s">
        <v>991</v>
      </c>
    </row>
    <row r="2928" spans="1:5">
      <c r="A2928" s="80">
        <v>82003</v>
      </c>
      <c r="B2928" s="80">
        <v>0</v>
      </c>
      <c r="C2928" s="127" t="s">
        <v>3378</v>
      </c>
      <c r="D2928" s="81" t="s">
        <v>3379</v>
      </c>
      <c r="E2928" s="90" t="s">
        <v>795</v>
      </c>
    </row>
    <row r="2929" spans="1:5">
      <c r="A2929" s="80">
        <v>82004</v>
      </c>
      <c r="B2929" s="80">
        <v>0</v>
      </c>
      <c r="C2929" s="127" t="s">
        <v>3380</v>
      </c>
      <c r="D2929" s="81" t="s">
        <v>3381</v>
      </c>
      <c r="E2929" s="90" t="s">
        <v>811</v>
      </c>
    </row>
    <row r="2930" spans="1:5">
      <c r="A2930" s="80">
        <v>82005</v>
      </c>
      <c r="B2930" s="80">
        <v>0</v>
      </c>
      <c r="C2930" s="127" t="s">
        <v>3382</v>
      </c>
      <c r="D2930" s="81" t="s">
        <v>3383</v>
      </c>
      <c r="E2930" s="90" t="s">
        <v>769</v>
      </c>
    </row>
    <row r="2931" spans="1:5">
      <c r="A2931" s="80">
        <v>82006</v>
      </c>
      <c r="B2931" s="80">
        <v>0</v>
      </c>
      <c r="C2931" s="127" t="s">
        <v>3384</v>
      </c>
      <c r="D2931" s="81" t="s">
        <v>3385</v>
      </c>
      <c r="E2931" s="90" t="s">
        <v>838</v>
      </c>
    </row>
    <row r="2932" spans="1:5">
      <c r="A2932" s="80">
        <v>82007</v>
      </c>
      <c r="B2932" s="80">
        <v>0</v>
      </c>
      <c r="C2932" s="127" t="s">
        <v>3386</v>
      </c>
      <c r="D2932" s="81" t="s">
        <v>3387</v>
      </c>
      <c r="E2932" s="90" t="s">
        <v>2329</v>
      </c>
    </row>
    <row r="2933" spans="1:5">
      <c r="A2933" s="80">
        <v>82008</v>
      </c>
      <c r="B2933" s="80">
        <v>0</v>
      </c>
      <c r="C2933" s="127" t="s">
        <v>3388</v>
      </c>
      <c r="D2933" s="81" t="s">
        <v>3389</v>
      </c>
      <c r="E2933" s="90" t="s">
        <v>2331</v>
      </c>
    </row>
    <row r="2934" spans="1:5">
      <c r="A2934" s="80">
        <v>82009</v>
      </c>
      <c r="B2934" s="80">
        <v>0</v>
      </c>
      <c r="C2934" s="127" t="s">
        <v>3390</v>
      </c>
      <c r="D2934" s="81" t="s">
        <v>3391</v>
      </c>
      <c r="E2934" s="90" t="s">
        <v>3392</v>
      </c>
    </row>
    <row r="2935" spans="1:5">
      <c r="A2935" s="80">
        <v>82010</v>
      </c>
      <c r="B2935" s="80">
        <v>0</v>
      </c>
      <c r="C2935" s="127" t="s">
        <v>3393</v>
      </c>
      <c r="D2935" s="81" t="s">
        <v>3394</v>
      </c>
      <c r="E2935" s="90" t="s">
        <v>1176</v>
      </c>
    </row>
    <row r="2936" spans="1:5">
      <c r="A2936" s="66">
        <v>82101</v>
      </c>
      <c r="B2936" s="66">
        <v>0</v>
      </c>
      <c r="C2936" s="128" t="s">
        <v>3366</v>
      </c>
      <c r="D2936" s="67" t="s">
        <v>3395</v>
      </c>
      <c r="E2936" s="68" t="s">
        <v>981</v>
      </c>
    </row>
    <row r="2937" spans="1:5">
      <c r="A2937" s="66">
        <v>82102</v>
      </c>
      <c r="B2937" s="66">
        <v>0</v>
      </c>
      <c r="C2937" s="128" t="s">
        <v>3369</v>
      </c>
      <c r="D2937" s="67" t="s">
        <v>3396</v>
      </c>
      <c r="E2937" s="68" t="s">
        <v>747</v>
      </c>
    </row>
    <row r="2938" spans="1:5">
      <c r="A2938" s="66">
        <v>82103</v>
      </c>
      <c r="B2938" s="66">
        <v>0</v>
      </c>
      <c r="C2938" s="128" t="s">
        <v>3371</v>
      </c>
      <c r="D2938" s="67" t="s">
        <v>3397</v>
      </c>
      <c r="E2938" s="68" t="s">
        <v>751</v>
      </c>
    </row>
    <row r="2939" spans="1:5">
      <c r="A2939" s="66">
        <v>82104</v>
      </c>
      <c r="B2939" s="66">
        <v>0</v>
      </c>
      <c r="C2939" s="128" t="s">
        <v>3373</v>
      </c>
      <c r="D2939" s="67" t="s">
        <v>3398</v>
      </c>
      <c r="E2939" s="68" t="s">
        <v>991</v>
      </c>
    </row>
    <row r="2940" spans="1:5">
      <c r="A2940" s="66">
        <v>82105</v>
      </c>
      <c r="B2940" s="66">
        <v>0</v>
      </c>
      <c r="C2940" s="128" t="s">
        <v>3375</v>
      </c>
      <c r="D2940" s="67" t="s">
        <v>3399</v>
      </c>
      <c r="E2940" s="68" t="s">
        <v>787</v>
      </c>
    </row>
    <row r="2941" spans="1:5">
      <c r="A2941" s="66">
        <v>82106</v>
      </c>
      <c r="B2941" s="66">
        <v>0</v>
      </c>
      <c r="C2941" s="128" t="s">
        <v>3382</v>
      </c>
      <c r="D2941" s="67" t="s">
        <v>3400</v>
      </c>
      <c r="E2941" s="68" t="s">
        <v>769</v>
      </c>
    </row>
    <row r="2942" spans="1:5">
      <c r="A2942" s="66">
        <v>82107</v>
      </c>
      <c r="B2942" s="66">
        <v>0</v>
      </c>
      <c r="C2942" s="128" t="s">
        <v>3382</v>
      </c>
      <c r="D2942" s="67" t="s">
        <v>3401</v>
      </c>
      <c r="E2942" s="68" t="s">
        <v>769</v>
      </c>
    </row>
    <row r="2943" spans="1:5">
      <c r="A2943" s="66">
        <v>82108</v>
      </c>
      <c r="B2943" s="66">
        <v>0</v>
      </c>
      <c r="C2943" s="128" t="s">
        <v>3382</v>
      </c>
      <c r="D2943" s="67" t="s">
        <v>3402</v>
      </c>
      <c r="E2943" s="68" t="s">
        <v>769</v>
      </c>
    </row>
    <row r="2944" spans="1:5">
      <c r="A2944" s="66">
        <v>82109</v>
      </c>
      <c r="B2944" s="66">
        <v>0</v>
      </c>
      <c r="C2944" s="128" t="s">
        <v>3382</v>
      </c>
      <c r="D2944" s="67" t="s">
        <v>3403</v>
      </c>
      <c r="E2944" s="68" t="s">
        <v>769</v>
      </c>
    </row>
    <row r="2945" spans="1:5">
      <c r="A2945" s="66">
        <v>82110</v>
      </c>
      <c r="B2945" s="66">
        <v>0</v>
      </c>
      <c r="C2945" s="128" t="s">
        <v>3382</v>
      </c>
      <c r="D2945" s="67" t="s">
        <v>3404</v>
      </c>
      <c r="E2945" s="68" t="s">
        <v>769</v>
      </c>
    </row>
    <row r="2946" spans="1:5">
      <c r="A2946" s="37">
        <v>90001</v>
      </c>
      <c r="B2946" s="37">
        <v>0</v>
      </c>
      <c r="C2946" s="136" t="s">
        <v>4657</v>
      </c>
      <c r="D2946" s="85" t="s">
        <v>4642</v>
      </c>
      <c r="E2946" s="39" t="s">
        <v>616</v>
      </c>
    </row>
    <row r="2947" spans="1:5">
      <c r="A2947" s="37">
        <v>90002</v>
      </c>
      <c r="B2947" s="37">
        <v>0</v>
      </c>
      <c r="C2947" s="136" t="s">
        <v>4658</v>
      </c>
      <c r="D2947" s="85" t="s">
        <v>4643</v>
      </c>
      <c r="E2947" s="39" t="s">
        <v>621</v>
      </c>
    </row>
    <row r="2948" spans="1:5">
      <c r="A2948" s="37">
        <v>90003</v>
      </c>
      <c r="B2948" s="37">
        <v>0</v>
      </c>
      <c r="C2948" s="136" t="s">
        <v>3352</v>
      </c>
      <c r="D2948" s="85" t="s">
        <v>4644</v>
      </c>
      <c r="E2948" s="39" t="s">
        <v>713</v>
      </c>
    </row>
    <row r="2949" spans="1:5">
      <c r="A2949" s="37">
        <v>90004</v>
      </c>
      <c r="B2949" s="37">
        <v>0</v>
      </c>
      <c r="C2949" s="136" t="s">
        <v>3699</v>
      </c>
      <c r="D2949" s="85" t="s">
        <v>4645</v>
      </c>
      <c r="E2949" s="39" t="s">
        <v>628</v>
      </c>
    </row>
    <row r="2950" spans="1:5">
      <c r="A2950" s="37">
        <v>90005</v>
      </c>
      <c r="B2950" s="37">
        <v>0</v>
      </c>
      <c r="C2950" s="136" t="s">
        <v>3353</v>
      </c>
      <c r="D2950" s="85" t="s">
        <v>4646</v>
      </c>
      <c r="E2950" s="39" t="s">
        <v>1293</v>
      </c>
    </row>
    <row r="2951" spans="1:5">
      <c r="A2951" s="37">
        <v>90006</v>
      </c>
      <c r="B2951" s="37">
        <v>0</v>
      </c>
      <c r="C2951" s="136" t="s">
        <v>3724</v>
      </c>
      <c r="D2951" s="85" t="s">
        <v>4647</v>
      </c>
      <c r="E2951" s="39" t="s">
        <v>642</v>
      </c>
    </row>
    <row r="2952" spans="1:5">
      <c r="A2952" s="37">
        <v>90007</v>
      </c>
      <c r="B2952" s="37">
        <v>0</v>
      </c>
      <c r="C2952" s="141" t="s">
        <v>4684</v>
      </c>
      <c r="D2952" s="85" t="s">
        <v>4648</v>
      </c>
      <c r="E2952" s="39" t="s">
        <v>782</v>
      </c>
    </row>
    <row r="2953" spans="1:5">
      <c r="A2953" s="37">
        <v>90008</v>
      </c>
      <c r="B2953" s="37">
        <v>0</v>
      </c>
      <c r="C2953" s="136" t="s">
        <v>4685</v>
      </c>
      <c r="D2953" s="85" t="s">
        <v>4649</v>
      </c>
      <c r="E2953" s="39" t="s">
        <v>645</v>
      </c>
    </row>
    <row r="2954" spans="1:5">
      <c r="A2954" s="37">
        <v>90009</v>
      </c>
      <c r="B2954" s="37">
        <v>0</v>
      </c>
      <c r="C2954" s="136" t="s">
        <v>3355</v>
      </c>
      <c r="D2954" s="85" t="s">
        <v>4650</v>
      </c>
      <c r="E2954" s="39" t="s">
        <v>599</v>
      </c>
    </row>
    <row r="2955" spans="1:5">
      <c r="A2955" s="37">
        <v>90010</v>
      </c>
      <c r="B2955" s="37">
        <v>0</v>
      </c>
      <c r="C2955" s="136" t="s">
        <v>3902</v>
      </c>
      <c r="D2955" s="85" t="s">
        <v>4651</v>
      </c>
      <c r="E2955" s="39" t="s">
        <v>1309</v>
      </c>
    </row>
    <row r="2956" spans="1:5">
      <c r="A2956" s="37">
        <v>90011</v>
      </c>
      <c r="B2956" s="37">
        <v>0</v>
      </c>
      <c r="C2956" s="136" t="s">
        <v>3356</v>
      </c>
      <c r="D2956" s="85" t="s">
        <v>4652</v>
      </c>
      <c r="E2956" s="39" t="s">
        <v>649</v>
      </c>
    </row>
    <row r="2957" spans="1:5">
      <c r="A2957" s="37">
        <v>90012</v>
      </c>
      <c r="B2957" s="37">
        <v>0</v>
      </c>
      <c r="C2957" s="136" t="s">
        <v>3905</v>
      </c>
      <c r="D2957" s="85" t="s">
        <v>4653</v>
      </c>
      <c r="E2957" s="39" t="s">
        <v>1316</v>
      </c>
    </row>
    <row r="2958" spans="1:5">
      <c r="A2958" s="37">
        <v>90013</v>
      </c>
      <c r="B2958" s="37">
        <v>0</v>
      </c>
      <c r="C2958" s="136" t="s">
        <v>3357</v>
      </c>
      <c r="D2958" s="85" t="s">
        <v>4654</v>
      </c>
      <c r="E2958" s="39" t="s">
        <v>1320</v>
      </c>
    </row>
    <row r="2959" spans="1:5">
      <c r="A2959" s="37">
        <v>90014</v>
      </c>
      <c r="B2959" s="37">
        <v>0</v>
      </c>
      <c r="C2959" s="136" t="s">
        <v>3729</v>
      </c>
      <c r="D2959" s="85" t="s">
        <v>4655</v>
      </c>
      <c r="E2959" s="39" t="s">
        <v>653</v>
      </c>
    </row>
    <row r="2960" spans="1:5">
      <c r="A2960" s="37">
        <v>90015</v>
      </c>
      <c r="B2960" s="37">
        <v>0</v>
      </c>
      <c r="C2960" s="136" t="s">
        <v>3358</v>
      </c>
      <c r="D2960" s="85" t="s">
        <v>4656</v>
      </c>
      <c r="E2960" s="39" t="s">
        <v>1327</v>
      </c>
    </row>
    <row r="2961" spans="1:5">
      <c r="A2961" s="129">
        <v>1000001</v>
      </c>
      <c r="B2961" s="129">
        <v>0</v>
      </c>
      <c r="C2961" s="129" t="s">
        <v>3366</v>
      </c>
      <c r="D2961" s="130" t="s">
        <v>3395</v>
      </c>
      <c r="E2961" s="131" t="s">
        <v>981</v>
      </c>
    </row>
    <row r="2962" spans="1:5">
      <c r="A2962" s="129">
        <v>1000002</v>
      </c>
      <c r="B2962" s="129">
        <v>0</v>
      </c>
      <c r="C2962" s="129" t="s">
        <v>3369</v>
      </c>
      <c r="D2962" s="130" t="s">
        <v>3396</v>
      </c>
      <c r="E2962" s="131" t="s">
        <v>747</v>
      </c>
    </row>
    <row r="2963" spans="1:5">
      <c r="A2963" s="129">
        <v>1000003</v>
      </c>
      <c r="B2963" s="129">
        <v>0</v>
      </c>
      <c r="C2963" s="129" t="s">
        <v>3371</v>
      </c>
      <c r="D2963" s="130" t="s">
        <v>3397</v>
      </c>
      <c r="E2963" s="131" t="s">
        <v>751</v>
      </c>
    </row>
    <row r="2964" spans="1:5">
      <c r="A2964" s="129">
        <v>1000004</v>
      </c>
      <c r="B2964" s="129">
        <v>0</v>
      </c>
      <c r="C2964" s="129" t="s">
        <v>3373</v>
      </c>
      <c r="D2964" s="130" t="s">
        <v>3398</v>
      </c>
      <c r="E2964" s="131" t="s">
        <v>991</v>
      </c>
    </row>
    <row r="2965" spans="1:5">
      <c r="A2965" s="129">
        <v>1000005</v>
      </c>
      <c r="B2965" s="129">
        <v>0</v>
      </c>
      <c r="C2965" s="129" t="s">
        <v>3375</v>
      </c>
      <c r="D2965" s="130" t="s">
        <v>3399</v>
      </c>
      <c r="E2965" s="131" t="s">
        <v>787</v>
      </c>
    </row>
    <row r="2966" spans="1:5">
      <c r="A2966" s="129">
        <v>1000006</v>
      </c>
      <c r="B2966" s="129">
        <v>0</v>
      </c>
      <c r="C2966" s="129" t="s">
        <v>3382</v>
      </c>
      <c r="D2966" s="130" t="s">
        <v>3400</v>
      </c>
      <c r="E2966" s="131" t="s">
        <v>769</v>
      </c>
    </row>
    <row r="2967" spans="1:5">
      <c r="A2967" s="129">
        <v>1000007</v>
      </c>
      <c r="B2967" s="129">
        <v>0</v>
      </c>
      <c r="C2967" s="129" t="s">
        <v>3382</v>
      </c>
      <c r="D2967" s="130" t="s">
        <v>3401</v>
      </c>
      <c r="E2967" s="131" t="s">
        <v>769</v>
      </c>
    </row>
    <row r="2968" spans="1:5">
      <c r="A2968" s="129">
        <v>1000008</v>
      </c>
      <c r="B2968" s="129">
        <v>0</v>
      </c>
      <c r="C2968" s="129" t="s">
        <v>3382</v>
      </c>
      <c r="D2968" s="130" t="s">
        <v>3402</v>
      </c>
      <c r="E2968" s="131" t="s">
        <v>769</v>
      </c>
    </row>
    <row r="2969" spans="1:5">
      <c r="A2969" s="142">
        <v>1001000</v>
      </c>
      <c r="B2969" s="142">
        <v>0</v>
      </c>
      <c r="C2969" s="142" t="s">
        <v>3382</v>
      </c>
      <c r="D2969" s="143" t="s">
        <v>4690</v>
      </c>
      <c r="E2969" s="144" t="s">
        <v>4689</v>
      </c>
    </row>
    <row r="2970" spans="1:5">
      <c r="A2970" s="66">
        <v>1001001</v>
      </c>
      <c r="B2970" s="66">
        <v>1</v>
      </c>
      <c r="C2970" s="128" t="s">
        <v>4678</v>
      </c>
      <c r="D2970" s="67" t="s">
        <v>4659</v>
      </c>
      <c r="E2970" s="68" t="s">
        <v>4682</v>
      </c>
    </row>
    <row r="2971" spans="1:5">
      <c r="A2971" s="66">
        <v>1001002</v>
      </c>
      <c r="B2971" s="66">
        <v>1</v>
      </c>
      <c r="C2971" s="128" t="s">
        <v>4678</v>
      </c>
      <c r="D2971" s="67" t="s">
        <v>4660</v>
      </c>
      <c r="E2971" s="68" t="s">
        <v>4674</v>
      </c>
    </row>
    <row r="2972" spans="1:5">
      <c r="A2972" s="66">
        <v>1001003</v>
      </c>
      <c r="B2972" s="66">
        <v>1</v>
      </c>
      <c r="C2972" s="128" t="s">
        <v>4678</v>
      </c>
      <c r="D2972" s="67" t="s">
        <v>4661</v>
      </c>
      <c r="E2972" s="68" t="s">
        <v>4675</v>
      </c>
    </row>
    <row r="2973" spans="1:5">
      <c r="A2973" s="66">
        <v>1001004</v>
      </c>
      <c r="B2973" s="66">
        <v>1</v>
      </c>
      <c r="C2973" s="128" t="s">
        <v>4678</v>
      </c>
      <c r="D2973" s="67" t="s">
        <v>4662</v>
      </c>
      <c r="E2973" s="68" t="s">
        <v>4676</v>
      </c>
    </row>
    <row r="2974" spans="1:5">
      <c r="A2974" s="66">
        <v>1001005</v>
      </c>
      <c r="B2974" s="66">
        <v>1</v>
      </c>
      <c r="C2974" s="128" t="s">
        <v>4678</v>
      </c>
      <c r="D2974" s="67" t="s">
        <v>4663</v>
      </c>
      <c r="E2974" s="68" t="s">
        <v>4677</v>
      </c>
    </row>
    <row r="2975" spans="1:5">
      <c r="A2975" s="137">
        <v>1001101</v>
      </c>
      <c r="B2975" s="137">
        <v>1</v>
      </c>
      <c r="C2975" s="138" t="s">
        <v>4680</v>
      </c>
      <c r="D2975" s="139" t="s">
        <v>4664</v>
      </c>
      <c r="E2975" s="140" t="s">
        <v>4679</v>
      </c>
    </row>
    <row r="2976" spans="1:5">
      <c r="A2976" s="137">
        <v>1001102</v>
      </c>
      <c r="B2976" s="137">
        <v>1</v>
      </c>
      <c r="C2976" s="138" t="s">
        <v>4681</v>
      </c>
      <c r="D2976" s="139" t="s">
        <v>4666</v>
      </c>
      <c r="E2976" s="140" t="s">
        <v>4683</v>
      </c>
    </row>
    <row r="2977" spans="1:5">
      <c r="A2977" s="137">
        <v>1001103</v>
      </c>
      <c r="B2977" s="137">
        <v>1</v>
      </c>
      <c r="C2977" s="138" t="s">
        <v>4680</v>
      </c>
      <c r="D2977" s="139" t="s">
        <v>4667</v>
      </c>
      <c r="E2977" s="140" t="s">
        <v>4679</v>
      </c>
    </row>
    <row r="2978" spans="1:5">
      <c r="A2978" s="137">
        <v>1001104</v>
      </c>
      <c r="B2978" s="137">
        <v>1</v>
      </c>
      <c r="C2978" s="138" t="s">
        <v>4681</v>
      </c>
      <c r="D2978" s="139" t="s">
        <v>4665</v>
      </c>
      <c r="E2978" s="140" t="s">
        <v>667</v>
      </c>
    </row>
    <row r="2979" spans="1:5">
      <c r="A2979" s="137">
        <v>1001105</v>
      </c>
      <c r="B2979" s="137">
        <v>1</v>
      </c>
      <c r="C2979" s="138" t="s">
        <v>4680</v>
      </c>
      <c r="D2979" s="139" t="s">
        <v>4668</v>
      </c>
      <c r="E2979" s="140" t="s">
        <v>4679</v>
      </c>
    </row>
    <row r="2980" spans="1:5">
      <c r="A2980" s="137">
        <v>1001106</v>
      </c>
      <c r="B2980" s="137">
        <v>1</v>
      </c>
      <c r="C2980" s="138" t="s">
        <v>4681</v>
      </c>
      <c r="D2980" s="139" t="s">
        <v>4669</v>
      </c>
      <c r="E2980" s="140" t="s">
        <v>667</v>
      </c>
    </row>
    <row r="2981" spans="1:5">
      <c r="A2981" s="137">
        <v>1001107</v>
      </c>
      <c r="B2981" s="137">
        <v>1</v>
      </c>
      <c r="C2981" s="138" t="s">
        <v>4680</v>
      </c>
      <c r="D2981" s="139" t="s">
        <v>4670</v>
      </c>
      <c r="E2981" s="140" t="s">
        <v>4679</v>
      </c>
    </row>
    <row r="2982" spans="1:5">
      <c r="A2982" s="137">
        <v>1001108</v>
      </c>
      <c r="B2982" s="137">
        <v>1</v>
      </c>
      <c r="C2982" s="138" t="s">
        <v>4681</v>
      </c>
      <c r="D2982" s="139" t="s">
        <v>4671</v>
      </c>
      <c r="E2982" s="140" t="s">
        <v>667</v>
      </c>
    </row>
    <row r="2983" spans="1:5">
      <c r="A2983" s="137">
        <v>1001109</v>
      </c>
      <c r="B2983" s="137">
        <v>1</v>
      </c>
      <c r="C2983" s="138" t="s">
        <v>4680</v>
      </c>
      <c r="D2983" s="139" t="s">
        <v>4672</v>
      </c>
      <c r="E2983" s="140" t="s">
        <v>4679</v>
      </c>
    </row>
    <row r="2984" spans="1:5">
      <c r="A2984" s="137">
        <v>1001110</v>
      </c>
      <c r="B2984" s="137">
        <v>1</v>
      </c>
      <c r="C2984" s="138" t="s">
        <v>4681</v>
      </c>
      <c r="D2984" s="139" t="s">
        <v>4673</v>
      </c>
      <c r="E2984" s="140" t="s">
        <v>667</v>
      </c>
    </row>
    <row r="2985" spans="1:5">
      <c r="A2985" s="22">
        <v>25998</v>
      </c>
      <c r="B2985" s="22">
        <v>1</v>
      </c>
      <c r="C2985" s="14" t="s">
        <v>4686</v>
      </c>
      <c r="D2985" s="23" t="s">
        <v>4688</v>
      </c>
      <c r="E2985" s="24" t="s">
        <v>4687</v>
      </c>
    </row>
    <row r="2986" spans="1:5">
      <c r="A2986" s="13"/>
      <c r="B2986" s="13"/>
      <c r="C2986" s="14"/>
      <c r="D2986" s="15"/>
      <c r="E2986" s="17" t="s">
        <v>3405</v>
      </c>
    </row>
    <row r="2987" spans="1:5">
      <c r="A2987" s="13"/>
      <c r="B2987" s="13"/>
      <c r="C2987" s="14"/>
      <c r="D2987" s="15"/>
      <c r="E2987" s="17" t="s">
        <v>3405</v>
      </c>
    </row>
    <row r="2988" spans="1:5">
      <c r="A2988" s="13"/>
      <c r="B2988" s="13"/>
      <c r="C2988" s="14"/>
      <c r="D2988" s="15"/>
      <c r="E2988" s="17" t="s">
        <v>3405</v>
      </c>
    </row>
    <row r="2989" spans="1:5">
      <c r="A2989" s="13"/>
      <c r="B2989" s="13"/>
      <c r="C2989" s="14"/>
      <c r="D2989" s="15"/>
      <c r="E2989" s="17" t="s">
        <v>3405</v>
      </c>
    </row>
    <row r="2990" spans="1:5">
      <c r="A2990" s="13"/>
      <c r="B2990" s="13"/>
      <c r="C2990" s="14"/>
      <c r="D2990" s="15"/>
      <c r="E2990" s="17" t="s">
        <v>3405</v>
      </c>
    </row>
    <row r="2991" spans="1:5">
      <c r="A2991" s="13"/>
      <c r="B2991" s="13"/>
      <c r="C2991" s="14"/>
      <c r="D2991" s="15"/>
      <c r="E2991" s="17" t="s">
        <v>3405</v>
      </c>
    </row>
    <row r="2992" spans="1:5">
      <c r="A2992" s="13"/>
      <c r="B2992" s="13"/>
      <c r="C2992" s="14"/>
      <c r="D2992" s="15"/>
      <c r="E2992" s="17" t="s">
        <v>3405</v>
      </c>
    </row>
    <row r="2993" spans="1:5">
      <c r="A2993" s="13"/>
      <c r="B2993" s="13"/>
      <c r="C2993" s="14"/>
      <c r="D2993" s="15"/>
      <c r="E2993" s="17" t="s">
        <v>3405</v>
      </c>
    </row>
    <row r="2994" spans="1:5">
      <c r="A2994" s="13"/>
      <c r="B2994" s="13"/>
      <c r="C2994" s="14"/>
      <c r="D2994" s="15"/>
      <c r="E2994" s="17" t="s">
        <v>3405</v>
      </c>
    </row>
    <row r="2995" spans="1:5">
      <c r="A2995" s="13"/>
      <c r="B2995" s="13"/>
      <c r="C2995" s="14"/>
      <c r="D2995" s="15"/>
      <c r="E2995" s="17" t="s">
        <v>3405</v>
      </c>
    </row>
    <row r="2996" spans="1:5">
      <c r="A2996" s="13"/>
      <c r="B2996" s="13"/>
      <c r="C2996" s="14"/>
      <c r="D2996" s="15"/>
      <c r="E2996" s="17" t="s">
        <v>3405</v>
      </c>
    </row>
    <row r="2997" spans="1:5">
      <c r="A2997" s="13"/>
      <c r="B2997" s="13"/>
      <c r="C2997" s="14"/>
      <c r="D2997" s="15"/>
      <c r="E2997" s="17" t="s">
        <v>3405</v>
      </c>
    </row>
    <row r="2998" spans="1:5">
      <c r="A2998" s="13"/>
      <c r="B2998" s="13"/>
      <c r="C2998" s="14"/>
      <c r="D2998" s="15"/>
      <c r="E2998" s="17" t="s">
        <v>3405</v>
      </c>
    </row>
    <row r="2999" spans="1:5">
      <c r="A2999" s="13"/>
      <c r="B2999" s="13"/>
      <c r="C2999" s="14"/>
      <c r="D2999" s="15"/>
      <c r="E2999" s="17" t="s">
        <v>3405</v>
      </c>
    </row>
    <row r="3000" spans="1:5">
      <c r="A3000" s="13"/>
      <c r="B3000" s="13"/>
      <c r="C3000" s="14"/>
      <c r="D3000" s="15"/>
      <c r="E3000" s="17" t="s">
        <v>3405</v>
      </c>
    </row>
    <row r="3001" spans="1:5">
      <c r="A3001" s="13"/>
      <c r="B3001" s="13"/>
      <c r="C3001" s="14"/>
      <c r="D3001" s="15"/>
      <c r="E3001" s="17" t="s">
        <v>3405</v>
      </c>
    </row>
    <row r="3002" spans="1:5">
      <c r="A3002" s="13"/>
      <c r="B3002" s="13"/>
      <c r="C3002" s="14"/>
      <c r="D3002" s="15"/>
      <c r="E3002" s="17" t="s">
        <v>3405</v>
      </c>
    </row>
    <row r="3003" spans="1:5">
      <c r="A3003" s="13"/>
      <c r="B3003" s="13"/>
      <c r="C3003" s="14"/>
      <c r="D3003" s="15"/>
      <c r="E3003" s="17" t="s">
        <v>3405</v>
      </c>
    </row>
    <row r="3004" spans="1:5">
      <c r="A3004" s="13"/>
      <c r="B3004" s="13"/>
      <c r="C3004" s="14"/>
      <c r="D3004" s="15"/>
      <c r="E3004" s="17" t="s">
        <v>3405</v>
      </c>
    </row>
  </sheetData>
  <phoneticPr fontId="1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:M74"/>
  <sheetViews>
    <sheetView topLeftCell="A58" workbookViewId="0">
      <selection activeCell="Q53" sqref="A1:Q53"/>
    </sheetView>
  </sheetViews>
  <sheetFormatPr defaultRowHeight="13.5"/>
  <cols>
    <col min="2" max="2" width="5.25" bestFit="1" customWidth="1"/>
    <col min="3" max="3" width="2.5" bestFit="1" customWidth="1"/>
    <col min="4" max="4" width="7.25" bestFit="1" customWidth="1"/>
    <col min="5" max="5" width="2.5" bestFit="1" customWidth="1"/>
    <col min="7" max="7" width="5.25" bestFit="1" customWidth="1"/>
    <col min="8" max="8" width="10.875" customWidth="1"/>
    <col min="9" max="9" width="2.5" bestFit="1" customWidth="1"/>
    <col min="10" max="10" width="5.25" bestFit="1" customWidth="1"/>
    <col min="11" max="11" width="21.5" customWidth="1"/>
    <col min="12" max="12" width="39.375" bestFit="1" customWidth="1"/>
  </cols>
  <sheetData>
    <row r="1" spans="1:13">
      <c r="B1" s="222" t="s">
        <v>9284</v>
      </c>
      <c r="C1" s="222"/>
      <c r="D1" s="222" t="s">
        <v>9285</v>
      </c>
      <c r="E1" s="222"/>
      <c r="G1" s="222" t="s">
        <v>9286</v>
      </c>
      <c r="J1" s="222" t="s">
        <v>9288</v>
      </c>
    </row>
    <row r="2" spans="1:13">
      <c r="A2" t="str">
        <f>LEFT(F2,2)</f>
        <v>行者</v>
      </c>
      <c r="B2">
        <v>2</v>
      </c>
      <c r="C2" s="222" t="s">
        <v>9287</v>
      </c>
      <c r="D2">
        <v>2001</v>
      </c>
      <c r="E2" s="222" t="s">
        <v>9287</v>
      </c>
      <c r="F2" t="s">
        <v>266</v>
      </c>
      <c r="G2">
        <v>1</v>
      </c>
      <c r="H2" t="str">
        <f>B2&amp;C2&amp;D2&amp;E2&amp;G2</f>
        <v>2|2001|1</v>
      </c>
      <c r="I2" s="222" t="s">
        <v>9287</v>
      </c>
      <c r="J2">
        <v>1</v>
      </c>
      <c r="K2" t="str">
        <f>H2&amp;I2&amp;J2</f>
        <v>2|2001|1|1</v>
      </c>
      <c r="L2" t="str">
        <f>H2</f>
        <v>2|2001|1</v>
      </c>
      <c r="M2" t="str">
        <f>K2</f>
        <v>2|2001|1|1</v>
      </c>
    </row>
    <row r="3" spans="1:13">
      <c r="A3" t="str">
        <f t="shared" ref="A3:A53" si="0">LEFT(F3,2)</f>
        <v>行者</v>
      </c>
      <c r="B3">
        <v>2</v>
      </c>
      <c r="C3" s="222" t="s">
        <v>9287</v>
      </c>
      <c r="D3">
        <v>2002</v>
      </c>
      <c r="E3" s="222" t="s">
        <v>9287</v>
      </c>
      <c r="F3" t="s">
        <v>268</v>
      </c>
      <c r="G3">
        <v>1</v>
      </c>
      <c r="H3" t="str">
        <f t="shared" ref="H3:H53" si="1">B3&amp;C3&amp;D3&amp;E3&amp;G3</f>
        <v>2|2002|1</v>
      </c>
      <c r="I3" s="222" t="s">
        <v>9287</v>
      </c>
      <c r="J3">
        <v>1</v>
      </c>
      <c r="K3" t="str">
        <f t="shared" ref="K3:K53" si="2">H3&amp;I3&amp;J3</f>
        <v>2|2002|1|1</v>
      </c>
      <c r="L3" t="str">
        <f>IF(A3=A2,H3&amp;","&amp;L2,H3)</f>
        <v>2|2002|1,2|2001|1</v>
      </c>
      <c r="M3" t="str">
        <f>IF(A3=A2,K3&amp;","&amp;M2,K3)</f>
        <v>2|2002|1|1,2|2001|1|1</v>
      </c>
    </row>
    <row r="4" spans="1:13">
      <c r="A4" t="str">
        <f t="shared" si="0"/>
        <v>行者</v>
      </c>
      <c r="B4">
        <v>2</v>
      </c>
      <c r="C4" s="222" t="s">
        <v>9287</v>
      </c>
      <c r="D4">
        <v>2003</v>
      </c>
      <c r="E4" s="222" t="s">
        <v>9287</v>
      </c>
      <c r="F4" t="s">
        <v>270</v>
      </c>
      <c r="G4">
        <v>1</v>
      </c>
      <c r="H4" t="str">
        <f t="shared" si="1"/>
        <v>2|2003|1</v>
      </c>
      <c r="I4" s="222" t="s">
        <v>9287</v>
      </c>
      <c r="J4">
        <v>1</v>
      </c>
      <c r="K4" t="str">
        <f t="shared" si="2"/>
        <v>2|2003|1|1</v>
      </c>
      <c r="L4" t="str">
        <f t="shared" ref="L4:L53" si="3">IF(A4=A3,H4&amp;","&amp;L3,H4)</f>
        <v>2|2003|1,2|2002|1,2|2001|1</v>
      </c>
      <c r="M4" t="str">
        <f t="shared" ref="M4:M53" si="4">IF(A4=A3,K4&amp;","&amp;M3,K4)</f>
        <v>2|2003|1|1,2|2002|1|1,2|2001|1|1</v>
      </c>
    </row>
    <row r="5" spans="1:13">
      <c r="A5" t="str">
        <f t="shared" si="0"/>
        <v>行者</v>
      </c>
      <c r="B5">
        <v>2</v>
      </c>
      <c r="C5" s="222" t="s">
        <v>9287</v>
      </c>
      <c r="D5">
        <v>2004</v>
      </c>
      <c r="E5" s="222" t="s">
        <v>9287</v>
      </c>
      <c r="F5" t="s">
        <v>9235</v>
      </c>
      <c r="G5">
        <v>1</v>
      </c>
      <c r="H5" t="str">
        <f t="shared" si="1"/>
        <v>2|2004|1</v>
      </c>
      <c r="I5" s="222" t="s">
        <v>9287</v>
      </c>
      <c r="J5">
        <v>1</v>
      </c>
      <c r="K5" t="str">
        <f t="shared" si="2"/>
        <v>2|2004|1|1</v>
      </c>
      <c r="L5" t="str">
        <f t="shared" si="3"/>
        <v>2|2004|1,2|2003|1,2|2002|1,2|2001|1</v>
      </c>
      <c r="M5" t="str">
        <f t="shared" si="4"/>
        <v>2|2004|1|1,2|2003|1|1,2|2002|1|1,2|2001|1|1</v>
      </c>
    </row>
    <row r="6" spans="1:13">
      <c r="A6" t="str">
        <f t="shared" si="0"/>
        <v>青锋</v>
      </c>
      <c r="B6">
        <v>2</v>
      </c>
      <c r="C6" s="222" t="s">
        <v>9287</v>
      </c>
      <c r="D6">
        <v>2005</v>
      </c>
      <c r="E6" s="222" t="s">
        <v>9287</v>
      </c>
      <c r="F6" t="s">
        <v>9236</v>
      </c>
      <c r="G6">
        <v>1</v>
      </c>
      <c r="H6" t="str">
        <f t="shared" si="1"/>
        <v>2|2005|1</v>
      </c>
      <c r="I6" s="222" t="s">
        <v>9287</v>
      </c>
      <c r="J6">
        <v>1</v>
      </c>
      <c r="K6" t="str">
        <f t="shared" si="2"/>
        <v>2|2005|1|1</v>
      </c>
      <c r="L6" t="str">
        <f t="shared" si="3"/>
        <v>2|2005|1</v>
      </c>
      <c r="M6" t="str">
        <f t="shared" si="4"/>
        <v>2|2005|1|1</v>
      </c>
    </row>
    <row r="7" spans="1:13">
      <c r="A7" t="str">
        <f t="shared" si="0"/>
        <v>青锋</v>
      </c>
      <c r="B7">
        <v>2</v>
      </c>
      <c r="C7" s="222" t="s">
        <v>9287</v>
      </c>
      <c r="D7">
        <v>2006</v>
      </c>
      <c r="E7" s="222" t="s">
        <v>9287</v>
      </c>
      <c r="F7" t="s">
        <v>9237</v>
      </c>
      <c r="G7">
        <v>1</v>
      </c>
      <c r="H7" t="str">
        <f t="shared" si="1"/>
        <v>2|2006|1</v>
      </c>
      <c r="I7" s="222" t="s">
        <v>9287</v>
      </c>
      <c r="J7">
        <v>1</v>
      </c>
      <c r="K7" t="str">
        <f t="shared" si="2"/>
        <v>2|2006|1|1</v>
      </c>
      <c r="L7" t="str">
        <f t="shared" si="3"/>
        <v>2|2006|1,2|2005|1</v>
      </c>
      <c r="M7" t="str">
        <f t="shared" si="4"/>
        <v>2|2006|1|1,2|2005|1|1</v>
      </c>
    </row>
    <row r="8" spans="1:13">
      <c r="A8" t="str">
        <f t="shared" si="0"/>
        <v>青锋</v>
      </c>
      <c r="B8">
        <v>2</v>
      </c>
      <c r="C8" s="222" t="s">
        <v>9287</v>
      </c>
      <c r="D8">
        <v>2007</v>
      </c>
      <c r="E8" s="222" t="s">
        <v>9287</v>
      </c>
      <c r="F8" t="s">
        <v>9238</v>
      </c>
      <c r="G8">
        <v>1</v>
      </c>
      <c r="H8" t="str">
        <f t="shared" si="1"/>
        <v>2|2007|1</v>
      </c>
      <c r="I8" s="222" t="s">
        <v>9287</v>
      </c>
      <c r="J8">
        <v>1</v>
      </c>
      <c r="K8" t="str">
        <f t="shared" si="2"/>
        <v>2|2007|1|1</v>
      </c>
      <c r="L8" t="str">
        <f t="shared" si="3"/>
        <v>2|2007|1,2|2006|1,2|2005|1</v>
      </c>
      <c r="M8" t="str">
        <f t="shared" si="4"/>
        <v>2|2007|1|1,2|2006|1|1,2|2005|1|1</v>
      </c>
    </row>
    <row r="9" spans="1:13">
      <c r="A9" t="str">
        <f t="shared" si="0"/>
        <v>青锋</v>
      </c>
      <c r="B9">
        <v>2</v>
      </c>
      <c r="C9" s="222" t="s">
        <v>9287</v>
      </c>
      <c r="D9">
        <v>2008</v>
      </c>
      <c r="E9" s="222" t="s">
        <v>9287</v>
      </c>
      <c r="F9" t="s">
        <v>9239</v>
      </c>
      <c r="G9">
        <v>1</v>
      </c>
      <c r="H9" t="str">
        <f t="shared" si="1"/>
        <v>2|2008|1</v>
      </c>
      <c r="I9" s="222" t="s">
        <v>9287</v>
      </c>
      <c r="J9">
        <v>1</v>
      </c>
      <c r="K9" t="str">
        <f t="shared" si="2"/>
        <v>2|2008|1|1</v>
      </c>
      <c r="L9" t="str">
        <f t="shared" si="3"/>
        <v>2|2008|1,2|2007|1,2|2006|1,2|2005|1</v>
      </c>
      <c r="M9" t="str">
        <f t="shared" si="4"/>
        <v>2|2008|1|1,2|2007|1|1,2|2006|1|1,2|2005|1|1</v>
      </c>
    </row>
    <row r="10" spans="1:13">
      <c r="A10" t="str">
        <f t="shared" si="0"/>
        <v>赤血</v>
      </c>
      <c r="B10">
        <v>2</v>
      </c>
      <c r="C10" s="222" t="s">
        <v>9287</v>
      </c>
      <c r="D10">
        <v>2009</v>
      </c>
      <c r="E10" s="222" t="s">
        <v>9287</v>
      </c>
      <c r="F10" t="s">
        <v>9240</v>
      </c>
      <c r="G10">
        <v>1</v>
      </c>
      <c r="H10" t="str">
        <f t="shared" si="1"/>
        <v>2|2009|1</v>
      </c>
      <c r="I10" s="222" t="s">
        <v>9287</v>
      </c>
      <c r="J10">
        <v>1</v>
      </c>
      <c r="K10" t="str">
        <f t="shared" si="2"/>
        <v>2|2009|1|1</v>
      </c>
      <c r="L10" t="str">
        <f t="shared" si="3"/>
        <v>2|2009|1</v>
      </c>
      <c r="M10" t="str">
        <f t="shared" si="4"/>
        <v>2|2009|1|1</v>
      </c>
    </row>
    <row r="11" spans="1:13">
      <c r="A11" t="str">
        <f t="shared" si="0"/>
        <v>赤血</v>
      </c>
      <c r="B11">
        <v>2</v>
      </c>
      <c r="C11" s="222" t="s">
        <v>9287</v>
      </c>
      <c r="D11">
        <v>2010</v>
      </c>
      <c r="E11" s="222" t="s">
        <v>9287</v>
      </c>
      <c r="F11" t="s">
        <v>9241</v>
      </c>
      <c r="G11">
        <v>1</v>
      </c>
      <c r="H11" t="str">
        <f t="shared" si="1"/>
        <v>2|2010|1</v>
      </c>
      <c r="I11" s="222" t="s">
        <v>9287</v>
      </c>
      <c r="J11">
        <v>1</v>
      </c>
      <c r="K11" t="str">
        <f t="shared" si="2"/>
        <v>2|2010|1|1</v>
      </c>
      <c r="L11" t="str">
        <f t="shared" si="3"/>
        <v>2|2010|1,2|2009|1</v>
      </c>
      <c r="M11" t="str">
        <f t="shared" si="4"/>
        <v>2|2010|1|1,2|2009|1|1</v>
      </c>
    </row>
    <row r="12" spans="1:13">
      <c r="A12" t="str">
        <f t="shared" si="0"/>
        <v>赤血</v>
      </c>
      <c r="B12">
        <v>2</v>
      </c>
      <c r="C12" s="222" t="s">
        <v>9287</v>
      </c>
      <c r="D12">
        <v>2011</v>
      </c>
      <c r="E12" s="222" t="s">
        <v>9287</v>
      </c>
      <c r="F12" t="s">
        <v>9242</v>
      </c>
      <c r="G12">
        <v>1</v>
      </c>
      <c r="H12" t="str">
        <f t="shared" si="1"/>
        <v>2|2011|1</v>
      </c>
      <c r="I12" s="222" t="s">
        <v>9287</v>
      </c>
      <c r="J12">
        <v>1</v>
      </c>
      <c r="K12" t="str">
        <f t="shared" si="2"/>
        <v>2|2011|1|1</v>
      </c>
      <c r="L12" t="str">
        <f t="shared" si="3"/>
        <v>2|2011|1,2|2010|1,2|2009|1</v>
      </c>
      <c r="M12" t="str">
        <f t="shared" si="4"/>
        <v>2|2011|1|1,2|2010|1|1,2|2009|1|1</v>
      </c>
    </row>
    <row r="13" spans="1:13">
      <c r="A13" t="str">
        <f t="shared" si="0"/>
        <v>赤血</v>
      </c>
      <c r="B13">
        <v>2</v>
      </c>
      <c r="C13" s="222" t="s">
        <v>9287</v>
      </c>
      <c r="D13">
        <v>2012</v>
      </c>
      <c r="E13" s="222" t="s">
        <v>9287</v>
      </c>
      <c r="F13" t="s">
        <v>9243</v>
      </c>
      <c r="G13">
        <v>1</v>
      </c>
      <c r="H13" t="str">
        <f t="shared" si="1"/>
        <v>2|2012|1</v>
      </c>
      <c r="I13" s="222" t="s">
        <v>9287</v>
      </c>
      <c r="J13">
        <v>1</v>
      </c>
      <c r="K13" t="str">
        <f t="shared" si="2"/>
        <v>2|2012|1|1</v>
      </c>
      <c r="L13" t="str">
        <f t="shared" si="3"/>
        <v>2|2012|1,2|2011|1,2|2010|1,2|2009|1</v>
      </c>
      <c r="M13" t="str">
        <f t="shared" si="4"/>
        <v>2|2012|1|1,2|2011|1|1,2|2010|1|1,2|2009|1|1</v>
      </c>
    </row>
    <row r="14" spans="1:13">
      <c r="A14" t="str">
        <f t="shared" si="0"/>
        <v>雁虞</v>
      </c>
      <c r="B14">
        <v>2</v>
      </c>
      <c r="C14" s="222" t="s">
        <v>9287</v>
      </c>
      <c r="D14">
        <v>2021</v>
      </c>
      <c r="E14" s="222" t="s">
        <v>9287</v>
      </c>
      <c r="F14" t="s">
        <v>9244</v>
      </c>
      <c r="G14">
        <v>1</v>
      </c>
      <c r="H14" t="str">
        <f t="shared" si="1"/>
        <v>2|2021|1</v>
      </c>
      <c r="I14" s="222" t="s">
        <v>9287</v>
      </c>
      <c r="J14">
        <v>1</v>
      </c>
      <c r="K14" t="str">
        <f t="shared" si="2"/>
        <v>2|2021|1|1</v>
      </c>
      <c r="L14" t="str">
        <f t="shared" si="3"/>
        <v>2|2021|1</v>
      </c>
      <c r="M14" t="str">
        <f t="shared" si="4"/>
        <v>2|2021|1|1</v>
      </c>
    </row>
    <row r="15" spans="1:13">
      <c r="A15" t="str">
        <f t="shared" si="0"/>
        <v>雁虞</v>
      </c>
      <c r="B15">
        <v>2</v>
      </c>
      <c r="C15" s="222" t="s">
        <v>9287</v>
      </c>
      <c r="D15">
        <v>2022</v>
      </c>
      <c r="E15" s="222" t="s">
        <v>9287</v>
      </c>
      <c r="F15" t="s">
        <v>9245</v>
      </c>
      <c r="G15">
        <v>1</v>
      </c>
      <c r="H15" t="str">
        <f t="shared" si="1"/>
        <v>2|2022|1</v>
      </c>
      <c r="I15" s="222" t="s">
        <v>9287</v>
      </c>
      <c r="J15">
        <v>1</v>
      </c>
      <c r="K15" t="str">
        <f t="shared" si="2"/>
        <v>2|2022|1|1</v>
      </c>
      <c r="L15" t="str">
        <f t="shared" si="3"/>
        <v>2|2022|1,2|2021|1</v>
      </c>
      <c r="M15" t="str">
        <f t="shared" si="4"/>
        <v>2|2022|1|1,2|2021|1|1</v>
      </c>
    </row>
    <row r="16" spans="1:13">
      <c r="A16" t="str">
        <f t="shared" si="0"/>
        <v>雁虞</v>
      </c>
      <c r="B16">
        <v>2</v>
      </c>
      <c r="C16" s="222" t="s">
        <v>9287</v>
      </c>
      <c r="D16">
        <v>2023</v>
      </c>
      <c r="E16" s="222" t="s">
        <v>9287</v>
      </c>
      <c r="F16" t="s">
        <v>9246</v>
      </c>
      <c r="G16">
        <v>1</v>
      </c>
      <c r="H16" t="str">
        <f t="shared" si="1"/>
        <v>2|2023|1</v>
      </c>
      <c r="I16" s="222" t="s">
        <v>9287</v>
      </c>
      <c r="J16">
        <v>1</v>
      </c>
      <c r="K16" t="str">
        <f t="shared" si="2"/>
        <v>2|2023|1|1</v>
      </c>
      <c r="L16" t="str">
        <f t="shared" si="3"/>
        <v>2|2023|1,2|2022|1,2|2021|1</v>
      </c>
      <c r="M16" t="str">
        <f t="shared" si="4"/>
        <v>2|2023|1|1,2|2022|1|1,2|2021|1|1</v>
      </c>
    </row>
    <row r="17" spans="1:13">
      <c r="A17" t="str">
        <f t="shared" si="0"/>
        <v>雁虞</v>
      </c>
      <c r="B17">
        <v>2</v>
      </c>
      <c r="C17" s="222" t="s">
        <v>9287</v>
      </c>
      <c r="D17">
        <v>2024</v>
      </c>
      <c r="E17" s="222" t="s">
        <v>9287</v>
      </c>
      <c r="F17" t="s">
        <v>9247</v>
      </c>
      <c r="G17">
        <v>1</v>
      </c>
      <c r="H17" t="str">
        <f t="shared" si="1"/>
        <v>2|2024|1</v>
      </c>
      <c r="I17" s="222" t="s">
        <v>9287</v>
      </c>
      <c r="J17">
        <v>1</v>
      </c>
      <c r="K17" t="str">
        <f t="shared" si="2"/>
        <v>2|2024|1|1</v>
      </c>
      <c r="L17" t="str">
        <f t="shared" si="3"/>
        <v>2|2024|1,2|2023|1,2|2022|1,2|2021|1</v>
      </c>
      <c r="M17" t="str">
        <f t="shared" si="4"/>
        <v>2|2024|1|1,2|2023|1|1,2|2022|1|1,2|2021|1|1</v>
      </c>
    </row>
    <row r="18" spans="1:13">
      <c r="A18" t="str">
        <f t="shared" si="0"/>
        <v>岚影</v>
      </c>
      <c r="B18">
        <v>2</v>
      </c>
      <c r="C18" s="222" t="s">
        <v>9287</v>
      </c>
      <c r="D18">
        <v>2025</v>
      </c>
      <c r="E18" s="222" t="s">
        <v>9287</v>
      </c>
      <c r="F18" t="s">
        <v>9248</v>
      </c>
      <c r="G18">
        <v>1</v>
      </c>
      <c r="H18" t="str">
        <f t="shared" si="1"/>
        <v>2|2025|1</v>
      </c>
      <c r="I18" s="222" t="s">
        <v>9287</v>
      </c>
      <c r="J18">
        <v>1</v>
      </c>
      <c r="K18" t="str">
        <f t="shared" si="2"/>
        <v>2|2025|1|1</v>
      </c>
      <c r="L18" t="str">
        <f t="shared" si="3"/>
        <v>2|2025|1</v>
      </c>
      <c r="M18" t="str">
        <f t="shared" si="4"/>
        <v>2|2025|1|1</v>
      </c>
    </row>
    <row r="19" spans="1:13">
      <c r="A19" t="str">
        <f t="shared" si="0"/>
        <v>岚影</v>
      </c>
      <c r="B19">
        <v>2</v>
      </c>
      <c r="C19" s="222" t="s">
        <v>9287</v>
      </c>
      <c r="D19">
        <v>2026</v>
      </c>
      <c r="E19" s="222" t="s">
        <v>9287</v>
      </c>
      <c r="F19" t="s">
        <v>9249</v>
      </c>
      <c r="G19">
        <v>1</v>
      </c>
      <c r="H19" t="str">
        <f t="shared" si="1"/>
        <v>2|2026|1</v>
      </c>
      <c r="I19" s="222" t="s">
        <v>9287</v>
      </c>
      <c r="J19">
        <v>1</v>
      </c>
      <c r="K19" t="str">
        <f t="shared" si="2"/>
        <v>2|2026|1|1</v>
      </c>
      <c r="L19" t="str">
        <f t="shared" si="3"/>
        <v>2|2026|1,2|2025|1</v>
      </c>
      <c r="M19" t="str">
        <f t="shared" si="4"/>
        <v>2|2026|1|1,2|2025|1|1</v>
      </c>
    </row>
    <row r="20" spans="1:13">
      <c r="A20" t="str">
        <f t="shared" si="0"/>
        <v>岚影</v>
      </c>
      <c r="B20">
        <v>2</v>
      </c>
      <c r="C20" s="222" t="s">
        <v>9287</v>
      </c>
      <c r="D20">
        <v>2027</v>
      </c>
      <c r="E20" s="222" t="s">
        <v>9287</v>
      </c>
      <c r="F20" t="s">
        <v>9250</v>
      </c>
      <c r="G20">
        <v>1</v>
      </c>
      <c r="H20" t="str">
        <f t="shared" si="1"/>
        <v>2|2027|1</v>
      </c>
      <c r="I20" s="222" t="s">
        <v>9287</v>
      </c>
      <c r="J20">
        <v>1</v>
      </c>
      <c r="K20" t="str">
        <f t="shared" si="2"/>
        <v>2|2027|1|1</v>
      </c>
      <c r="L20" t="str">
        <f t="shared" si="3"/>
        <v>2|2027|1,2|2026|1,2|2025|1</v>
      </c>
      <c r="M20" t="str">
        <f t="shared" si="4"/>
        <v>2|2027|1|1,2|2026|1|1,2|2025|1|1</v>
      </c>
    </row>
    <row r="21" spans="1:13">
      <c r="A21" t="str">
        <f t="shared" si="0"/>
        <v>岚影</v>
      </c>
      <c r="B21">
        <v>2</v>
      </c>
      <c r="C21" s="222" t="s">
        <v>9287</v>
      </c>
      <c r="D21">
        <v>2028</v>
      </c>
      <c r="E21" s="222" t="s">
        <v>9287</v>
      </c>
      <c r="F21" t="s">
        <v>9251</v>
      </c>
      <c r="G21">
        <v>1</v>
      </c>
      <c r="H21" t="str">
        <f t="shared" si="1"/>
        <v>2|2028|1</v>
      </c>
      <c r="I21" s="222" t="s">
        <v>9287</v>
      </c>
      <c r="J21">
        <v>1</v>
      </c>
      <c r="K21" t="str">
        <f t="shared" si="2"/>
        <v>2|2028|1|1</v>
      </c>
      <c r="L21" t="str">
        <f t="shared" si="3"/>
        <v>2|2028|1,2|2027|1,2|2026|1,2|2025|1</v>
      </c>
      <c r="M21" t="str">
        <f t="shared" si="4"/>
        <v>2|2028|1|1,2|2027|1|1,2|2026|1|1,2|2025|1|1</v>
      </c>
    </row>
    <row r="22" spans="1:13">
      <c r="A22" t="str">
        <f t="shared" si="0"/>
        <v>朔雪</v>
      </c>
      <c r="B22">
        <v>2</v>
      </c>
      <c r="C22" s="222" t="s">
        <v>9287</v>
      </c>
      <c r="D22">
        <v>2029</v>
      </c>
      <c r="E22" s="222" t="s">
        <v>9287</v>
      </c>
      <c r="F22" t="s">
        <v>9252</v>
      </c>
      <c r="G22">
        <v>1</v>
      </c>
      <c r="H22" t="str">
        <f t="shared" si="1"/>
        <v>2|2029|1</v>
      </c>
      <c r="I22" s="222" t="s">
        <v>9287</v>
      </c>
      <c r="J22">
        <v>1</v>
      </c>
      <c r="K22" t="str">
        <f t="shared" si="2"/>
        <v>2|2029|1|1</v>
      </c>
      <c r="L22" t="str">
        <f t="shared" si="3"/>
        <v>2|2029|1</v>
      </c>
      <c r="M22" t="str">
        <f t="shared" si="4"/>
        <v>2|2029|1|1</v>
      </c>
    </row>
    <row r="23" spans="1:13">
      <c r="A23" t="str">
        <f t="shared" si="0"/>
        <v>朔雪</v>
      </c>
      <c r="B23">
        <v>2</v>
      </c>
      <c r="C23" s="222" t="s">
        <v>9287</v>
      </c>
      <c r="D23">
        <v>2030</v>
      </c>
      <c r="E23" s="222" t="s">
        <v>9287</v>
      </c>
      <c r="F23" t="s">
        <v>9253</v>
      </c>
      <c r="G23">
        <v>1</v>
      </c>
      <c r="H23" t="str">
        <f t="shared" si="1"/>
        <v>2|2030|1</v>
      </c>
      <c r="I23" s="222" t="s">
        <v>9287</v>
      </c>
      <c r="J23">
        <v>1</v>
      </c>
      <c r="K23" t="str">
        <f t="shared" si="2"/>
        <v>2|2030|1|1</v>
      </c>
      <c r="L23" t="str">
        <f t="shared" si="3"/>
        <v>2|2030|1,2|2029|1</v>
      </c>
      <c r="M23" t="str">
        <f t="shared" si="4"/>
        <v>2|2030|1|1,2|2029|1|1</v>
      </c>
    </row>
    <row r="24" spans="1:13">
      <c r="A24" t="str">
        <f t="shared" si="0"/>
        <v>朔雪</v>
      </c>
      <c r="B24">
        <v>2</v>
      </c>
      <c r="C24" s="222" t="s">
        <v>9287</v>
      </c>
      <c r="D24">
        <v>2031</v>
      </c>
      <c r="E24" s="222" t="s">
        <v>9287</v>
      </c>
      <c r="F24" t="s">
        <v>9254</v>
      </c>
      <c r="G24">
        <v>1</v>
      </c>
      <c r="H24" t="str">
        <f t="shared" si="1"/>
        <v>2|2031|1</v>
      </c>
      <c r="I24" s="222" t="s">
        <v>9287</v>
      </c>
      <c r="J24">
        <v>1</v>
      </c>
      <c r="K24" t="str">
        <f t="shared" si="2"/>
        <v>2|2031|1|1</v>
      </c>
      <c r="L24" t="str">
        <f t="shared" si="3"/>
        <v>2|2031|1,2|2030|1,2|2029|1</v>
      </c>
      <c r="M24" t="str">
        <f t="shared" si="4"/>
        <v>2|2031|1|1,2|2030|1|1,2|2029|1|1</v>
      </c>
    </row>
    <row r="25" spans="1:13">
      <c r="A25" t="str">
        <f t="shared" si="0"/>
        <v>朔雪</v>
      </c>
      <c r="B25">
        <v>2</v>
      </c>
      <c r="C25" s="222" t="s">
        <v>9287</v>
      </c>
      <c r="D25">
        <v>2032</v>
      </c>
      <c r="E25" s="222" t="s">
        <v>9287</v>
      </c>
      <c r="F25" t="s">
        <v>9255</v>
      </c>
      <c r="G25">
        <v>1</v>
      </c>
      <c r="H25" t="str">
        <f t="shared" si="1"/>
        <v>2|2032|1</v>
      </c>
      <c r="I25" s="222" t="s">
        <v>9287</v>
      </c>
      <c r="J25">
        <v>1</v>
      </c>
      <c r="K25" t="str">
        <f t="shared" si="2"/>
        <v>2|2032|1|1</v>
      </c>
      <c r="L25" t="str">
        <f t="shared" si="3"/>
        <v>2|2032|1,2|2031|1,2|2030|1,2|2029|1</v>
      </c>
      <c r="M25" t="str">
        <f t="shared" si="4"/>
        <v>2|2032|1|1,2|2031|1|1,2|2030|1|1,2|2029|1|1</v>
      </c>
    </row>
    <row r="26" spans="1:13">
      <c r="A26" t="str">
        <f t="shared" si="0"/>
        <v>封魂</v>
      </c>
      <c r="B26">
        <v>2</v>
      </c>
      <c r="C26" s="222" t="s">
        <v>9287</v>
      </c>
      <c r="D26">
        <v>2041</v>
      </c>
      <c r="E26" s="222" t="s">
        <v>9287</v>
      </c>
      <c r="F26" t="s">
        <v>9256</v>
      </c>
      <c r="G26">
        <v>1</v>
      </c>
      <c r="H26" t="str">
        <f t="shared" si="1"/>
        <v>2|2041|1</v>
      </c>
      <c r="I26" s="222" t="s">
        <v>9287</v>
      </c>
      <c r="J26">
        <v>1</v>
      </c>
      <c r="K26" t="str">
        <f t="shared" si="2"/>
        <v>2|2041|1|1</v>
      </c>
      <c r="L26" t="str">
        <f t="shared" si="3"/>
        <v>2|2041|1</v>
      </c>
      <c r="M26" t="str">
        <f t="shared" si="4"/>
        <v>2|2041|1|1</v>
      </c>
    </row>
    <row r="27" spans="1:13">
      <c r="A27" t="str">
        <f t="shared" si="0"/>
        <v>封魂</v>
      </c>
      <c r="B27">
        <v>2</v>
      </c>
      <c r="C27" s="222" t="s">
        <v>9287</v>
      </c>
      <c r="D27">
        <v>2042</v>
      </c>
      <c r="E27" s="222" t="s">
        <v>9287</v>
      </c>
      <c r="F27" t="s">
        <v>9257</v>
      </c>
      <c r="G27">
        <v>1</v>
      </c>
      <c r="H27" t="str">
        <f t="shared" si="1"/>
        <v>2|2042|1</v>
      </c>
      <c r="I27" s="222" t="s">
        <v>9287</v>
      </c>
      <c r="J27">
        <v>1</v>
      </c>
      <c r="K27" t="str">
        <f t="shared" si="2"/>
        <v>2|2042|1|1</v>
      </c>
      <c r="L27" t="str">
        <f t="shared" si="3"/>
        <v>2|2042|1,2|2041|1</v>
      </c>
      <c r="M27" t="str">
        <f t="shared" si="4"/>
        <v>2|2042|1|1,2|2041|1|1</v>
      </c>
    </row>
    <row r="28" spans="1:13">
      <c r="A28" t="str">
        <f t="shared" si="0"/>
        <v>封魂</v>
      </c>
      <c r="B28">
        <v>2</v>
      </c>
      <c r="C28" s="222" t="s">
        <v>9287</v>
      </c>
      <c r="D28">
        <v>2043</v>
      </c>
      <c r="E28" s="222" t="s">
        <v>9287</v>
      </c>
      <c r="F28" t="s">
        <v>9258</v>
      </c>
      <c r="G28">
        <v>1</v>
      </c>
      <c r="H28" t="str">
        <f t="shared" si="1"/>
        <v>2|2043|1</v>
      </c>
      <c r="I28" s="222" t="s">
        <v>9287</v>
      </c>
      <c r="J28">
        <v>1</v>
      </c>
      <c r="K28" t="str">
        <f t="shared" si="2"/>
        <v>2|2043|1|1</v>
      </c>
      <c r="L28" t="str">
        <f t="shared" si="3"/>
        <v>2|2043|1,2|2042|1,2|2041|1</v>
      </c>
      <c r="M28" t="str">
        <f t="shared" si="4"/>
        <v>2|2043|1|1,2|2042|1|1,2|2041|1|1</v>
      </c>
    </row>
    <row r="29" spans="1:13">
      <c r="A29" t="str">
        <f t="shared" si="0"/>
        <v>封魂</v>
      </c>
      <c r="B29">
        <v>2</v>
      </c>
      <c r="C29" s="222" t="s">
        <v>9287</v>
      </c>
      <c r="D29">
        <v>2044</v>
      </c>
      <c r="E29" s="222" t="s">
        <v>9287</v>
      </c>
      <c r="F29" t="s">
        <v>9259</v>
      </c>
      <c r="G29">
        <v>1</v>
      </c>
      <c r="H29" t="str">
        <f t="shared" si="1"/>
        <v>2|2044|1</v>
      </c>
      <c r="I29" s="222" t="s">
        <v>9287</v>
      </c>
      <c r="J29">
        <v>1</v>
      </c>
      <c r="K29" t="str">
        <f t="shared" si="2"/>
        <v>2|2044|1|1</v>
      </c>
      <c r="L29" t="str">
        <f t="shared" si="3"/>
        <v>2|2044|1,2|2043|1,2|2042|1,2|2041|1</v>
      </c>
      <c r="M29" t="str">
        <f t="shared" si="4"/>
        <v>2|2044|1|1,2|2043|1|1,2|2042|1|1,2|2041|1|1</v>
      </c>
    </row>
    <row r="30" spans="1:13">
      <c r="A30" t="str">
        <f t="shared" si="0"/>
        <v>游龙</v>
      </c>
      <c r="B30">
        <v>2</v>
      </c>
      <c r="C30" s="222" t="s">
        <v>9287</v>
      </c>
      <c r="D30">
        <v>2045</v>
      </c>
      <c r="E30" s="222" t="s">
        <v>9287</v>
      </c>
      <c r="F30" t="s">
        <v>9260</v>
      </c>
      <c r="G30">
        <v>1</v>
      </c>
      <c r="H30" t="str">
        <f t="shared" si="1"/>
        <v>2|2045|1</v>
      </c>
      <c r="I30" s="222" t="s">
        <v>9287</v>
      </c>
      <c r="J30">
        <v>1</v>
      </c>
      <c r="K30" t="str">
        <f t="shared" si="2"/>
        <v>2|2045|1|1</v>
      </c>
      <c r="L30" t="str">
        <f t="shared" si="3"/>
        <v>2|2045|1</v>
      </c>
      <c r="M30" t="str">
        <f t="shared" si="4"/>
        <v>2|2045|1|1</v>
      </c>
    </row>
    <row r="31" spans="1:13">
      <c r="A31" t="str">
        <f t="shared" si="0"/>
        <v>游龙</v>
      </c>
      <c r="B31">
        <v>2</v>
      </c>
      <c r="C31" s="222" t="s">
        <v>9287</v>
      </c>
      <c r="D31">
        <v>2046</v>
      </c>
      <c r="E31" s="222" t="s">
        <v>9287</v>
      </c>
      <c r="F31" t="s">
        <v>9261</v>
      </c>
      <c r="G31">
        <v>1</v>
      </c>
      <c r="H31" t="str">
        <f t="shared" si="1"/>
        <v>2|2046|1</v>
      </c>
      <c r="I31" s="222" t="s">
        <v>9287</v>
      </c>
      <c r="J31">
        <v>1</v>
      </c>
      <c r="K31" t="str">
        <f t="shared" si="2"/>
        <v>2|2046|1|1</v>
      </c>
      <c r="L31" t="str">
        <f t="shared" si="3"/>
        <v>2|2046|1,2|2045|1</v>
      </c>
      <c r="M31" t="str">
        <f t="shared" si="4"/>
        <v>2|2046|1|1,2|2045|1|1</v>
      </c>
    </row>
    <row r="32" spans="1:13">
      <c r="A32" t="str">
        <f t="shared" si="0"/>
        <v>游龙</v>
      </c>
      <c r="B32">
        <v>2</v>
      </c>
      <c r="C32" s="222" t="s">
        <v>9287</v>
      </c>
      <c r="D32">
        <v>2047</v>
      </c>
      <c r="E32" s="222" t="s">
        <v>9287</v>
      </c>
      <c r="F32" t="s">
        <v>9262</v>
      </c>
      <c r="G32">
        <v>1</v>
      </c>
      <c r="H32" t="str">
        <f t="shared" si="1"/>
        <v>2|2047|1</v>
      </c>
      <c r="I32" s="222" t="s">
        <v>9287</v>
      </c>
      <c r="J32">
        <v>1</v>
      </c>
      <c r="K32" t="str">
        <f t="shared" si="2"/>
        <v>2|2047|1|1</v>
      </c>
      <c r="L32" t="str">
        <f t="shared" si="3"/>
        <v>2|2047|1,2|2046|1,2|2045|1</v>
      </c>
      <c r="M32" t="str">
        <f t="shared" si="4"/>
        <v>2|2047|1|1,2|2046|1|1,2|2045|1|1</v>
      </c>
    </row>
    <row r="33" spans="1:13">
      <c r="A33" t="str">
        <f t="shared" si="0"/>
        <v>游龙</v>
      </c>
      <c r="B33">
        <v>2</v>
      </c>
      <c r="C33" s="222" t="s">
        <v>9287</v>
      </c>
      <c r="D33">
        <v>2048</v>
      </c>
      <c r="E33" s="222" t="s">
        <v>9287</v>
      </c>
      <c r="F33" t="s">
        <v>9263</v>
      </c>
      <c r="G33">
        <v>1</v>
      </c>
      <c r="H33" t="str">
        <f t="shared" si="1"/>
        <v>2|2048|1</v>
      </c>
      <c r="I33" s="222" t="s">
        <v>9287</v>
      </c>
      <c r="J33">
        <v>1</v>
      </c>
      <c r="K33" t="str">
        <f t="shared" si="2"/>
        <v>2|2048|1|1</v>
      </c>
      <c r="L33" t="str">
        <f t="shared" si="3"/>
        <v>2|2048|1,2|2047|1,2|2046|1,2|2045|1</v>
      </c>
      <c r="M33" t="str">
        <f t="shared" si="4"/>
        <v>2|2048|1|1,2|2047|1|1,2|2046|1|1,2|2045|1|1</v>
      </c>
    </row>
    <row r="34" spans="1:13">
      <c r="A34" t="str">
        <f t="shared" si="0"/>
        <v>蚩灵</v>
      </c>
      <c r="B34">
        <v>2</v>
      </c>
      <c r="C34" s="222" t="s">
        <v>9287</v>
      </c>
      <c r="D34">
        <v>2049</v>
      </c>
      <c r="E34" s="222" t="s">
        <v>9287</v>
      </c>
      <c r="F34" t="s">
        <v>9264</v>
      </c>
      <c r="G34">
        <v>1</v>
      </c>
      <c r="H34" t="str">
        <f t="shared" si="1"/>
        <v>2|2049|1</v>
      </c>
      <c r="I34" s="222" t="s">
        <v>9287</v>
      </c>
      <c r="J34">
        <v>1</v>
      </c>
      <c r="K34" t="str">
        <f t="shared" si="2"/>
        <v>2|2049|1|1</v>
      </c>
      <c r="L34" t="str">
        <f t="shared" si="3"/>
        <v>2|2049|1</v>
      </c>
      <c r="M34" t="str">
        <f t="shared" si="4"/>
        <v>2|2049|1|1</v>
      </c>
    </row>
    <row r="35" spans="1:13">
      <c r="A35" t="str">
        <f t="shared" si="0"/>
        <v>蚩灵</v>
      </c>
      <c r="B35">
        <v>2</v>
      </c>
      <c r="C35" s="222" t="s">
        <v>9287</v>
      </c>
      <c r="D35">
        <v>2050</v>
      </c>
      <c r="E35" s="222" t="s">
        <v>9287</v>
      </c>
      <c r="F35" t="s">
        <v>9265</v>
      </c>
      <c r="G35">
        <v>1</v>
      </c>
      <c r="H35" t="str">
        <f t="shared" si="1"/>
        <v>2|2050|1</v>
      </c>
      <c r="I35" s="222" t="s">
        <v>9287</v>
      </c>
      <c r="J35">
        <v>1</v>
      </c>
      <c r="K35" t="str">
        <f t="shared" si="2"/>
        <v>2|2050|1|1</v>
      </c>
      <c r="L35" t="str">
        <f t="shared" si="3"/>
        <v>2|2050|1,2|2049|1</v>
      </c>
      <c r="M35" t="str">
        <f t="shared" si="4"/>
        <v>2|2050|1|1,2|2049|1|1</v>
      </c>
    </row>
    <row r="36" spans="1:13">
      <c r="A36" t="str">
        <f t="shared" si="0"/>
        <v>蚩灵</v>
      </c>
      <c r="B36">
        <v>2</v>
      </c>
      <c r="C36" s="222" t="s">
        <v>9287</v>
      </c>
      <c r="D36">
        <v>2051</v>
      </c>
      <c r="E36" s="222" t="s">
        <v>9287</v>
      </c>
      <c r="F36" t="s">
        <v>9266</v>
      </c>
      <c r="G36">
        <v>1</v>
      </c>
      <c r="H36" t="str">
        <f t="shared" si="1"/>
        <v>2|2051|1</v>
      </c>
      <c r="I36" s="222" t="s">
        <v>9287</v>
      </c>
      <c r="J36">
        <v>1</v>
      </c>
      <c r="K36" t="str">
        <f t="shared" si="2"/>
        <v>2|2051|1|1</v>
      </c>
      <c r="L36" t="str">
        <f t="shared" si="3"/>
        <v>2|2051|1,2|2050|1,2|2049|1</v>
      </c>
      <c r="M36" t="str">
        <f t="shared" si="4"/>
        <v>2|2051|1|1,2|2050|1|1,2|2049|1|1</v>
      </c>
    </row>
    <row r="37" spans="1:13">
      <c r="A37" t="str">
        <f t="shared" si="0"/>
        <v>蚩灵</v>
      </c>
      <c r="B37">
        <v>2</v>
      </c>
      <c r="C37" s="222" t="s">
        <v>9287</v>
      </c>
      <c r="D37">
        <v>2052</v>
      </c>
      <c r="E37" s="222" t="s">
        <v>9287</v>
      </c>
      <c r="F37" t="s">
        <v>9267</v>
      </c>
      <c r="G37">
        <v>1</v>
      </c>
      <c r="H37" t="str">
        <f t="shared" si="1"/>
        <v>2|2052|1</v>
      </c>
      <c r="I37" s="222" t="s">
        <v>9287</v>
      </c>
      <c r="J37">
        <v>1</v>
      </c>
      <c r="K37" t="str">
        <f t="shared" si="2"/>
        <v>2|2052|1|1</v>
      </c>
      <c r="L37" t="str">
        <f t="shared" si="3"/>
        <v>2|2052|1,2|2051|1,2|2050|1,2|2049|1</v>
      </c>
      <c r="M37" t="str">
        <f t="shared" si="4"/>
        <v>2|2052|1|1,2|2051|1|1,2|2050|1|1,2|2049|1|1</v>
      </c>
    </row>
    <row r="38" spans="1:13">
      <c r="A38" t="str">
        <f t="shared" si="0"/>
        <v>破军</v>
      </c>
      <c r="B38">
        <v>2</v>
      </c>
      <c r="C38" s="222" t="s">
        <v>9287</v>
      </c>
      <c r="D38">
        <v>2061</v>
      </c>
      <c r="E38" s="222" t="s">
        <v>9287</v>
      </c>
      <c r="F38" t="s">
        <v>9268</v>
      </c>
      <c r="G38">
        <v>1</v>
      </c>
      <c r="H38" t="str">
        <f t="shared" si="1"/>
        <v>2|2061|1</v>
      </c>
      <c r="I38" s="222" t="s">
        <v>9287</v>
      </c>
      <c r="J38">
        <v>1</v>
      </c>
      <c r="K38" t="str">
        <f t="shared" si="2"/>
        <v>2|2061|1|1</v>
      </c>
      <c r="L38" t="str">
        <f t="shared" si="3"/>
        <v>2|2061|1</v>
      </c>
      <c r="M38" t="str">
        <f t="shared" si="4"/>
        <v>2|2061|1|1</v>
      </c>
    </row>
    <row r="39" spans="1:13">
      <c r="A39" t="str">
        <f t="shared" si="0"/>
        <v>破军</v>
      </c>
      <c r="B39">
        <v>2</v>
      </c>
      <c r="C39" s="222" t="s">
        <v>9287</v>
      </c>
      <c r="D39">
        <v>2062</v>
      </c>
      <c r="E39" s="222" t="s">
        <v>9287</v>
      </c>
      <c r="F39" t="s">
        <v>9269</v>
      </c>
      <c r="G39">
        <v>1</v>
      </c>
      <c r="H39" t="str">
        <f t="shared" si="1"/>
        <v>2|2062|1</v>
      </c>
      <c r="I39" s="222" t="s">
        <v>9287</v>
      </c>
      <c r="J39">
        <v>1</v>
      </c>
      <c r="K39" t="str">
        <f t="shared" si="2"/>
        <v>2|2062|1|1</v>
      </c>
      <c r="L39" t="str">
        <f t="shared" si="3"/>
        <v>2|2062|1,2|2061|1</v>
      </c>
      <c r="M39" t="str">
        <f t="shared" si="4"/>
        <v>2|2062|1|1,2|2061|1|1</v>
      </c>
    </row>
    <row r="40" spans="1:13">
      <c r="A40" t="str">
        <f t="shared" si="0"/>
        <v>破军</v>
      </c>
      <c r="B40">
        <v>2</v>
      </c>
      <c r="C40" s="222" t="s">
        <v>9287</v>
      </c>
      <c r="D40">
        <v>2063</v>
      </c>
      <c r="E40" s="222" t="s">
        <v>9287</v>
      </c>
      <c r="F40" t="s">
        <v>9270</v>
      </c>
      <c r="G40">
        <v>1</v>
      </c>
      <c r="H40" t="str">
        <f t="shared" si="1"/>
        <v>2|2063|1</v>
      </c>
      <c r="I40" s="222" t="s">
        <v>9287</v>
      </c>
      <c r="J40">
        <v>1</v>
      </c>
      <c r="K40" t="str">
        <f t="shared" si="2"/>
        <v>2|2063|1|1</v>
      </c>
      <c r="L40" t="str">
        <f t="shared" si="3"/>
        <v>2|2063|1,2|2062|1,2|2061|1</v>
      </c>
      <c r="M40" t="str">
        <f t="shared" si="4"/>
        <v>2|2063|1|1,2|2062|1|1,2|2061|1|1</v>
      </c>
    </row>
    <row r="41" spans="1:13">
      <c r="A41" t="str">
        <f t="shared" si="0"/>
        <v>破军</v>
      </c>
      <c r="B41">
        <v>2</v>
      </c>
      <c r="C41" s="222" t="s">
        <v>9287</v>
      </c>
      <c r="D41">
        <v>2064</v>
      </c>
      <c r="E41" s="222" t="s">
        <v>9287</v>
      </c>
      <c r="F41" t="s">
        <v>9271</v>
      </c>
      <c r="G41">
        <v>1</v>
      </c>
      <c r="H41" t="str">
        <f t="shared" si="1"/>
        <v>2|2064|1</v>
      </c>
      <c r="I41" s="222" t="s">
        <v>9287</v>
      </c>
      <c r="J41">
        <v>1</v>
      </c>
      <c r="K41" t="str">
        <f t="shared" si="2"/>
        <v>2|2064|1|1</v>
      </c>
      <c r="L41" t="str">
        <f t="shared" si="3"/>
        <v>2|2064|1,2|2063|1,2|2062|1,2|2061|1</v>
      </c>
      <c r="M41" t="str">
        <f t="shared" si="4"/>
        <v>2|2064|1|1,2|2063|1|1,2|2062|1|1,2|2061|1|1</v>
      </c>
    </row>
    <row r="42" spans="1:13">
      <c r="A42" t="str">
        <f t="shared" si="0"/>
        <v>烛天</v>
      </c>
      <c r="B42">
        <v>2</v>
      </c>
      <c r="C42" s="222" t="s">
        <v>9287</v>
      </c>
      <c r="D42">
        <v>2065</v>
      </c>
      <c r="E42" s="222" t="s">
        <v>9287</v>
      </c>
      <c r="F42" t="s">
        <v>9272</v>
      </c>
      <c r="G42">
        <v>1</v>
      </c>
      <c r="H42" t="str">
        <f t="shared" si="1"/>
        <v>2|2065|1</v>
      </c>
      <c r="I42" s="222" t="s">
        <v>9287</v>
      </c>
      <c r="J42">
        <v>1</v>
      </c>
      <c r="K42" t="str">
        <f t="shared" si="2"/>
        <v>2|2065|1|1</v>
      </c>
      <c r="L42" t="str">
        <f t="shared" si="3"/>
        <v>2|2065|1</v>
      </c>
      <c r="M42" t="str">
        <f t="shared" si="4"/>
        <v>2|2065|1|1</v>
      </c>
    </row>
    <row r="43" spans="1:13">
      <c r="A43" t="str">
        <f t="shared" si="0"/>
        <v>烛天</v>
      </c>
      <c r="B43">
        <v>2</v>
      </c>
      <c r="C43" s="222" t="s">
        <v>9287</v>
      </c>
      <c r="D43">
        <v>2066</v>
      </c>
      <c r="E43" s="222" t="s">
        <v>9287</v>
      </c>
      <c r="F43" t="s">
        <v>9273</v>
      </c>
      <c r="G43">
        <v>1</v>
      </c>
      <c r="H43" t="str">
        <f t="shared" si="1"/>
        <v>2|2066|1</v>
      </c>
      <c r="I43" s="222" t="s">
        <v>9287</v>
      </c>
      <c r="J43">
        <v>1</v>
      </c>
      <c r="K43" t="str">
        <f t="shared" si="2"/>
        <v>2|2066|1|1</v>
      </c>
      <c r="L43" t="str">
        <f t="shared" si="3"/>
        <v>2|2066|1,2|2065|1</v>
      </c>
      <c r="M43" t="str">
        <f t="shared" si="4"/>
        <v>2|2066|1|1,2|2065|1|1</v>
      </c>
    </row>
    <row r="44" spans="1:13">
      <c r="A44" t="str">
        <f t="shared" si="0"/>
        <v>烛天</v>
      </c>
      <c r="B44">
        <v>2</v>
      </c>
      <c r="C44" s="222" t="s">
        <v>9287</v>
      </c>
      <c r="D44">
        <v>2067</v>
      </c>
      <c r="E44" s="222" t="s">
        <v>9287</v>
      </c>
      <c r="F44" t="s">
        <v>9274</v>
      </c>
      <c r="G44">
        <v>1</v>
      </c>
      <c r="H44" t="str">
        <f t="shared" si="1"/>
        <v>2|2067|1</v>
      </c>
      <c r="I44" s="222" t="s">
        <v>9287</v>
      </c>
      <c r="J44">
        <v>1</v>
      </c>
      <c r="K44" t="str">
        <f t="shared" si="2"/>
        <v>2|2067|1|1</v>
      </c>
      <c r="L44" t="str">
        <f t="shared" si="3"/>
        <v>2|2067|1,2|2066|1,2|2065|1</v>
      </c>
      <c r="M44" t="str">
        <f t="shared" si="4"/>
        <v>2|2067|1|1,2|2066|1|1,2|2065|1|1</v>
      </c>
    </row>
    <row r="45" spans="1:13">
      <c r="A45" t="str">
        <f t="shared" si="0"/>
        <v>烛天</v>
      </c>
      <c r="B45">
        <v>2</v>
      </c>
      <c r="C45" s="222" t="s">
        <v>9287</v>
      </c>
      <c r="D45">
        <v>2068</v>
      </c>
      <c r="E45" s="222" t="s">
        <v>9287</v>
      </c>
      <c r="F45" t="s">
        <v>9275</v>
      </c>
      <c r="G45">
        <v>1</v>
      </c>
      <c r="H45" t="str">
        <f t="shared" si="1"/>
        <v>2|2068|1</v>
      </c>
      <c r="I45" s="222" t="s">
        <v>9287</v>
      </c>
      <c r="J45">
        <v>1</v>
      </c>
      <c r="K45" t="str">
        <f t="shared" si="2"/>
        <v>2|2068|1|1</v>
      </c>
      <c r="L45" t="str">
        <f t="shared" si="3"/>
        <v>2|2068|1,2|2067|1,2|2066|1,2|2065|1</v>
      </c>
      <c r="M45" t="str">
        <f t="shared" si="4"/>
        <v>2|2068|1|1,2|2067|1|1,2|2066|1|1,2|2065|1|1</v>
      </c>
    </row>
    <row r="46" spans="1:13">
      <c r="A46" t="str">
        <f t="shared" si="0"/>
        <v>太虚</v>
      </c>
      <c r="B46">
        <v>2</v>
      </c>
      <c r="C46" s="222" t="s">
        <v>9287</v>
      </c>
      <c r="D46">
        <v>2069</v>
      </c>
      <c r="E46" s="222" t="s">
        <v>9287</v>
      </c>
      <c r="F46" t="s">
        <v>9276</v>
      </c>
      <c r="G46">
        <v>1</v>
      </c>
      <c r="H46" t="str">
        <f t="shared" si="1"/>
        <v>2|2069|1</v>
      </c>
      <c r="I46" s="222" t="s">
        <v>9287</v>
      </c>
      <c r="J46">
        <v>1</v>
      </c>
      <c r="K46" t="str">
        <f t="shared" si="2"/>
        <v>2|2069|1|1</v>
      </c>
      <c r="L46" t="str">
        <f t="shared" si="3"/>
        <v>2|2069|1</v>
      </c>
      <c r="M46" t="str">
        <f t="shared" si="4"/>
        <v>2|2069|1|1</v>
      </c>
    </row>
    <row r="47" spans="1:13">
      <c r="A47" t="str">
        <f t="shared" si="0"/>
        <v>太虚</v>
      </c>
      <c r="B47">
        <v>2</v>
      </c>
      <c r="C47" s="222" t="s">
        <v>9287</v>
      </c>
      <c r="D47">
        <v>2070</v>
      </c>
      <c r="E47" s="222" t="s">
        <v>9287</v>
      </c>
      <c r="F47" t="s">
        <v>9277</v>
      </c>
      <c r="G47">
        <v>1</v>
      </c>
      <c r="H47" t="str">
        <f t="shared" si="1"/>
        <v>2|2070|1</v>
      </c>
      <c r="I47" s="222" t="s">
        <v>9287</v>
      </c>
      <c r="J47">
        <v>1</v>
      </c>
      <c r="K47" t="str">
        <f t="shared" si="2"/>
        <v>2|2070|1|1</v>
      </c>
      <c r="L47" t="str">
        <f t="shared" si="3"/>
        <v>2|2070|1,2|2069|1</v>
      </c>
      <c r="M47" t="str">
        <f t="shared" si="4"/>
        <v>2|2070|1|1,2|2069|1|1</v>
      </c>
    </row>
    <row r="48" spans="1:13">
      <c r="A48" t="str">
        <f t="shared" si="0"/>
        <v>太虚</v>
      </c>
      <c r="B48">
        <v>2</v>
      </c>
      <c r="C48" s="222" t="s">
        <v>9287</v>
      </c>
      <c r="D48">
        <v>2071</v>
      </c>
      <c r="E48" s="222" t="s">
        <v>9287</v>
      </c>
      <c r="F48" t="s">
        <v>9278</v>
      </c>
      <c r="G48">
        <v>1</v>
      </c>
      <c r="H48" t="str">
        <f t="shared" si="1"/>
        <v>2|2071|1</v>
      </c>
      <c r="I48" s="222" t="s">
        <v>9287</v>
      </c>
      <c r="J48">
        <v>1</v>
      </c>
      <c r="K48" t="str">
        <f t="shared" si="2"/>
        <v>2|2071|1|1</v>
      </c>
      <c r="L48" t="str">
        <f t="shared" si="3"/>
        <v>2|2071|1,2|2070|1,2|2069|1</v>
      </c>
      <c r="M48" t="str">
        <f t="shared" si="4"/>
        <v>2|2071|1|1,2|2070|1|1,2|2069|1|1</v>
      </c>
    </row>
    <row r="49" spans="1:13">
      <c r="A49" t="str">
        <f t="shared" si="0"/>
        <v>太虚</v>
      </c>
      <c r="B49">
        <v>2</v>
      </c>
      <c r="C49" s="222" t="s">
        <v>9287</v>
      </c>
      <c r="D49">
        <v>2072</v>
      </c>
      <c r="E49" s="222" t="s">
        <v>9287</v>
      </c>
      <c r="F49" t="s">
        <v>9279</v>
      </c>
      <c r="G49">
        <v>1</v>
      </c>
      <c r="H49" t="str">
        <f t="shared" si="1"/>
        <v>2|2072|1</v>
      </c>
      <c r="I49" s="222" t="s">
        <v>9287</v>
      </c>
      <c r="J49">
        <v>1</v>
      </c>
      <c r="K49" t="str">
        <f t="shared" si="2"/>
        <v>2|2072|1|1</v>
      </c>
      <c r="L49" t="str">
        <f t="shared" si="3"/>
        <v>2|2072|1,2|2071|1,2|2070|1,2|2069|1</v>
      </c>
      <c r="M49" t="str">
        <f t="shared" si="4"/>
        <v>2|2072|1|1,2|2071|1|1,2|2070|1|1,2|2069|1|1</v>
      </c>
    </row>
    <row r="50" spans="1:13">
      <c r="A50" t="str">
        <f t="shared" si="0"/>
        <v>GM</v>
      </c>
      <c r="B50">
        <v>2</v>
      </c>
      <c r="C50" s="222" t="s">
        <v>9287</v>
      </c>
      <c r="D50">
        <v>2901</v>
      </c>
      <c r="E50" s="222" t="s">
        <v>9287</v>
      </c>
      <c r="F50" t="s">
        <v>9280</v>
      </c>
      <c r="G50">
        <v>1</v>
      </c>
      <c r="H50" t="str">
        <f t="shared" si="1"/>
        <v>2|2901|1</v>
      </c>
      <c r="I50" s="222" t="s">
        <v>9287</v>
      </c>
      <c r="J50">
        <v>1</v>
      </c>
      <c r="K50" t="str">
        <f t="shared" si="2"/>
        <v>2|2901|1|1</v>
      </c>
      <c r="L50" t="str">
        <f t="shared" si="3"/>
        <v>2|2901|1</v>
      </c>
      <c r="M50" t="str">
        <f t="shared" si="4"/>
        <v>2|2901|1|1</v>
      </c>
    </row>
    <row r="51" spans="1:13">
      <c r="A51" t="str">
        <f t="shared" si="0"/>
        <v>GM</v>
      </c>
      <c r="B51">
        <v>2</v>
      </c>
      <c r="C51" s="222" t="s">
        <v>9287</v>
      </c>
      <c r="D51">
        <v>2902</v>
      </c>
      <c r="E51" s="222" t="s">
        <v>9287</v>
      </c>
      <c r="F51" t="s">
        <v>9281</v>
      </c>
      <c r="G51">
        <v>1</v>
      </c>
      <c r="H51" t="str">
        <f t="shared" si="1"/>
        <v>2|2902|1</v>
      </c>
      <c r="I51" s="222" t="s">
        <v>9287</v>
      </c>
      <c r="J51">
        <v>1</v>
      </c>
      <c r="K51" t="str">
        <f t="shared" si="2"/>
        <v>2|2902|1|1</v>
      </c>
      <c r="L51" t="str">
        <f t="shared" si="3"/>
        <v>2|2902|1,2|2901|1</v>
      </c>
      <c r="M51" t="str">
        <f t="shared" si="4"/>
        <v>2|2902|1|1,2|2901|1|1</v>
      </c>
    </row>
    <row r="52" spans="1:13">
      <c r="A52" t="str">
        <f t="shared" si="0"/>
        <v>GM</v>
      </c>
      <c r="B52">
        <v>2</v>
      </c>
      <c r="C52" s="222" t="s">
        <v>9287</v>
      </c>
      <c r="D52">
        <v>2903</v>
      </c>
      <c r="E52" s="222" t="s">
        <v>9287</v>
      </c>
      <c r="F52" t="s">
        <v>9282</v>
      </c>
      <c r="G52">
        <v>1</v>
      </c>
      <c r="H52" t="str">
        <f t="shared" si="1"/>
        <v>2|2903|1</v>
      </c>
      <c r="I52" s="222" t="s">
        <v>9287</v>
      </c>
      <c r="J52">
        <v>1</v>
      </c>
      <c r="K52" t="str">
        <f t="shared" si="2"/>
        <v>2|2903|1|1</v>
      </c>
      <c r="L52" t="str">
        <f t="shared" si="3"/>
        <v>2|2903|1,2|2902|1,2|2901|1</v>
      </c>
      <c r="M52" t="str">
        <f t="shared" si="4"/>
        <v>2|2903|1|1,2|2902|1|1,2|2901|1|1</v>
      </c>
    </row>
    <row r="53" spans="1:13">
      <c r="A53" t="str">
        <f t="shared" si="0"/>
        <v>GM</v>
      </c>
      <c r="B53">
        <v>2</v>
      </c>
      <c r="C53" s="222" t="s">
        <v>9287</v>
      </c>
      <c r="D53">
        <v>2904</v>
      </c>
      <c r="E53" s="222" t="s">
        <v>9287</v>
      </c>
      <c r="F53" t="s">
        <v>9283</v>
      </c>
      <c r="G53">
        <v>1</v>
      </c>
      <c r="H53" t="str">
        <f t="shared" si="1"/>
        <v>2|2904|1</v>
      </c>
      <c r="I53" s="222" t="s">
        <v>9287</v>
      </c>
      <c r="J53">
        <v>1</v>
      </c>
      <c r="K53" t="str">
        <f t="shared" si="2"/>
        <v>2|2904|1|1</v>
      </c>
      <c r="L53" t="str">
        <f t="shared" si="3"/>
        <v>2|2904|1,2|2903|1,2|2902|1,2|2901|1</v>
      </c>
      <c r="M53" t="str">
        <f t="shared" si="4"/>
        <v>2|2904|1|1,2|2903|1|1,2|2902|1|1,2|2901|1|1</v>
      </c>
    </row>
    <row r="57" spans="1:13">
      <c r="A57">
        <v>11025</v>
      </c>
      <c r="B57" t="s">
        <v>9386</v>
      </c>
      <c r="E57">
        <v>1</v>
      </c>
      <c r="F57" s="222" t="s">
        <v>9287</v>
      </c>
      <c r="G57">
        <v>1</v>
      </c>
      <c r="H57" t="str">
        <f>E57&amp;F57&amp;A57&amp;F57&amp;G57</f>
        <v>1|11025|1</v>
      </c>
      <c r="I57" s="222" t="s">
        <v>9398</v>
      </c>
    </row>
    <row r="58" spans="1:13">
      <c r="A58">
        <v>11026</v>
      </c>
      <c r="B58" t="s">
        <v>9387</v>
      </c>
      <c r="E58">
        <v>1</v>
      </c>
      <c r="F58" s="222" t="s">
        <v>9287</v>
      </c>
      <c r="G58">
        <v>1</v>
      </c>
      <c r="H58" t="str">
        <f t="shared" ref="H58:H68" si="5">E58&amp;F58&amp;A58&amp;F58&amp;G58</f>
        <v>1|11026|1</v>
      </c>
      <c r="I58" s="222" t="s">
        <v>9398</v>
      </c>
      <c r="K58" t="str">
        <f>H57&amp;I57&amp;H58</f>
        <v>1|11025|1,1|11026|1</v>
      </c>
    </row>
    <row r="59" spans="1:13">
      <c r="A59">
        <v>11027</v>
      </c>
      <c r="B59" t="s">
        <v>9388</v>
      </c>
      <c r="E59">
        <v>1</v>
      </c>
      <c r="F59" s="222" t="s">
        <v>9287</v>
      </c>
      <c r="G59">
        <v>1</v>
      </c>
      <c r="H59" t="str">
        <f t="shared" si="5"/>
        <v>1|11027|1</v>
      </c>
      <c r="I59" s="222" t="s">
        <v>9398</v>
      </c>
      <c r="K59" t="str">
        <f>K58&amp;I59&amp;H59</f>
        <v>1|11025|1,1|11026|1,1|11027|1</v>
      </c>
    </row>
    <row r="60" spans="1:13">
      <c r="A60">
        <v>11028</v>
      </c>
      <c r="B60" t="s">
        <v>9389</v>
      </c>
      <c r="E60">
        <v>1</v>
      </c>
      <c r="F60" s="222" t="s">
        <v>9287</v>
      </c>
      <c r="G60">
        <v>1</v>
      </c>
      <c r="H60" t="str">
        <f t="shared" si="5"/>
        <v>1|11028|1</v>
      </c>
      <c r="I60" s="222" t="s">
        <v>9398</v>
      </c>
      <c r="K60" t="str">
        <f t="shared" ref="K60:K68" si="6">K59&amp;I60&amp;H60</f>
        <v>1|11025|1,1|11026|1,1|11027|1,1|11028|1</v>
      </c>
    </row>
    <row r="61" spans="1:13">
      <c r="A61">
        <v>11029</v>
      </c>
      <c r="B61" t="s">
        <v>9390</v>
      </c>
      <c r="E61">
        <v>1</v>
      </c>
      <c r="F61" s="222" t="s">
        <v>9287</v>
      </c>
      <c r="G61">
        <v>1</v>
      </c>
      <c r="H61" t="str">
        <f t="shared" si="5"/>
        <v>1|11029|1</v>
      </c>
      <c r="I61" s="222" t="s">
        <v>9398</v>
      </c>
      <c r="K61" t="str">
        <f t="shared" si="6"/>
        <v>1|11025|1,1|11026|1,1|11027|1,1|11028|1,1|11029|1</v>
      </c>
    </row>
    <row r="62" spans="1:13">
      <c r="A62">
        <v>11030</v>
      </c>
      <c r="B62" t="s">
        <v>9391</v>
      </c>
      <c r="E62">
        <v>1</v>
      </c>
      <c r="F62" s="222" t="s">
        <v>9287</v>
      </c>
      <c r="G62">
        <v>1</v>
      </c>
      <c r="H62" t="str">
        <f t="shared" si="5"/>
        <v>1|11030|1</v>
      </c>
      <c r="I62" s="222" t="s">
        <v>9398</v>
      </c>
      <c r="K62" t="str">
        <f t="shared" si="6"/>
        <v>1|11025|1,1|11026|1,1|11027|1,1|11028|1,1|11029|1,1|11030|1</v>
      </c>
    </row>
    <row r="63" spans="1:13">
      <c r="A63">
        <v>11031</v>
      </c>
      <c r="B63" t="s">
        <v>9392</v>
      </c>
      <c r="E63">
        <v>1</v>
      </c>
      <c r="F63" s="222" t="s">
        <v>9287</v>
      </c>
      <c r="G63">
        <v>1</v>
      </c>
      <c r="H63" t="str">
        <f t="shared" si="5"/>
        <v>1|11031|1</v>
      </c>
      <c r="I63" s="222" t="s">
        <v>9398</v>
      </c>
      <c r="K63" t="str">
        <f t="shared" si="6"/>
        <v>1|11025|1,1|11026|1,1|11027|1,1|11028|1,1|11029|1,1|11030|1,1|11031|1</v>
      </c>
    </row>
    <row r="64" spans="1:13">
      <c r="A64">
        <v>11032</v>
      </c>
      <c r="B64" t="s">
        <v>9393</v>
      </c>
      <c r="E64">
        <v>1</v>
      </c>
      <c r="F64" s="222" t="s">
        <v>9287</v>
      </c>
      <c r="G64">
        <v>1</v>
      </c>
      <c r="H64" t="str">
        <f t="shared" si="5"/>
        <v>1|11032|1</v>
      </c>
      <c r="I64" s="222" t="s">
        <v>9398</v>
      </c>
      <c r="K64" t="str">
        <f t="shared" si="6"/>
        <v>1|11025|1,1|11026|1,1|11027|1,1|11028|1,1|11029|1,1|11030|1,1|11031|1,1|11032|1</v>
      </c>
    </row>
    <row r="65" spans="1:11">
      <c r="A65">
        <v>11033</v>
      </c>
      <c r="B65" t="s">
        <v>9394</v>
      </c>
      <c r="E65">
        <v>1</v>
      </c>
      <c r="F65" s="222" t="s">
        <v>9287</v>
      </c>
      <c r="G65">
        <v>1</v>
      </c>
      <c r="H65" t="str">
        <f t="shared" si="5"/>
        <v>1|11033|1</v>
      </c>
      <c r="I65" s="222" t="s">
        <v>9398</v>
      </c>
      <c r="K65" t="str">
        <f t="shared" si="6"/>
        <v>1|11025|1,1|11026|1,1|11027|1,1|11028|1,1|11029|1,1|11030|1,1|11031|1,1|11032|1,1|11033|1</v>
      </c>
    </row>
    <row r="66" spans="1:11">
      <c r="A66">
        <v>11034</v>
      </c>
      <c r="B66" t="s">
        <v>9395</v>
      </c>
      <c r="E66">
        <v>1</v>
      </c>
      <c r="F66" s="222" t="s">
        <v>9287</v>
      </c>
      <c r="G66">
        <v>1</v>
      </c>
      <c r="H66" t="str">
        <f t="shared" si="5"/>
        <v>1|11034|1</v>
      </c>
      <c r="I66" s="222" t="s">
        <v>9398</v>
      </c>
      <c r="K66" t="str">
        <f t="shared" si="6"/>
        <v>1|11025|1,1|11026|1,1|11027|1,1|11028|1,1|11029|1,1|11030|1,1|11031|1,1|11032|1,1|11033|1,1|11034|1</v>
      </c>
    </row>
    <row r="67" spans="1:11">
      <c r="A67">
        <v>11035</v>
      </c>
      <c r="B67" t="s">
        <v>9396</v>
      </c>
      <c r="E67">
        <v>1</v>
      </c>
      <c r="F67" s="222" t="s">
        <v>9287</v>
      </c>
      <c r="G67">
        <v>1</v>
      </c>
      <c r="H67" t="str">
        <f t="shared" si="5"/>
        <v>1|11035|1</v>
      </c>
      <c r="I67" s="222" t="s">
        <v>9398</v>
      </c>
      <c r="K67" t="str">
        <f t="shared" si="6"/>
        <v>1|11025|1,1|11026|1,1|11027|1,1|11028|1,1|11029|1,1|11030|1,1|11031|1,1|11032|1,1|11033|1,1|11034|1,1|11035|1</v>
      </c>
    </row>
    <row r="68" spans="1:11">
      <c r="A68">
        <v>11036</v>
      </c>
      <c r="B68" t="s">
        <v>9397</v>
      </c>
      <c r="E68">
        <v>1</v>
      </c>
      <c r="F68" s="222" t="s">
        <v>9287</v>
      </c>
      <c r="G68">
        <v>1</v>
      </c>
      <c r="H68" t="str">
        <f t="shared" si="5"/>
        <v>1|11036|1</v>
      </c>
      <c r="I68" s="222" t="s">
        <v>9398</v>
      </c>
      <c r="K68" t="str">
        <f t="shared" si="6"/>
        <v>1|11025|1,1|11026|1,1|11027|1,1|11028|1,1|11029|1,1|11030|1,1|11031|1,1|11032|1,1|11033|1,1|11034|1,1|11035|1,1|11036|1</v>
      </c>
    </row>
    <row r="71" spans="1:11" ht="16.5">
      <c r="A71" s="239">
        <v>3011</v>
      </c>
      <c r="B71" s="238" t="s">
        <v>9399</v>
      </c>
      <c r="E71">
        <v>6</v>
      </c>
      <c r="F71" s="222" t="s">
        <v>9287</v>
      </c>
      <c r="G71">
        <v>1</v>
      </c>
      <c r="H71" t="str">
        <f t="shared" ref="H71:H74" si="7">E71&amp;F71&amp;A71&amp;F71&amp;G71</f>
        <v>6|3011|1</v>
      </c>
      <c r="I71" s="222" t="s">
        <v>9398</v>
      </c>
    </row>
    <row r="72" spans="1:11" ht="16.5">
      <c r="A72" s="239">
        <v>3012</v>
      </c>
      <c r="B72" s="238" t="s">
        <v>9400</v>
      </c>
      <c r="E72">
        <v>6</v>
      </c>
      <c r="F72" s="222" t="s">
        <v>9287</v>
      </c>
      <c r="G72">
        <v>1</v>
      </c>
      <c r="H72" t="str">
        <f t="shared" si="7"/>
        <v>6|3012|1</v>
      </c>
      <c r="I72" s="222" t="s">
        <v>9398</v>
      </c>
      <c r="K72" t="str">
        <f>H72&amp;I72&amp;H71</f>
        <v>6|3012|1,6|3011|1</v>
      </c>
    </row>
    <row r="73" spans="1:11" ht="16.5">
      <c r="A73" s="239">
        <v>3013</v>
      </c>
      <c r="B73" s="238" t="s">
        <v>9401</v>
      </c>
      <c r="E73">
        <v>6</v>
      </c>
      <c r="F73" s="222" t="s">
        <v>9287</v>
      </c>
      <c r="G73">
        <v>1</v>
      </c>
      <c r="H73" t="str">
        <f t="shared" si="7"/>
        <v>6|3013|1</v>
      </c>
      <c r="I73" s="222" t="s">
        <v>9398</v>
      </c>
      <c r="K73" t="str">
        <f>K72&amp;I73&amp;H73</f>
        <v>6|3012|1,6|3011|1,6|3013|1</v>
      </c>
    </row>
    <row r="74" spans="1:11" ht="16.5">
      <c r="A74" s="239">
        <v>3014</v>
      </c>
      <c r="B74" s="238" t="s">
        <v>9402</v>
      </c>
      <c r="E74">
        <v>6</v>
      </c>
      <c r="F74" s="222" t="s">
        <v>9287</v>
      </c>
      <c r="G74">
        <v>1</v>
      </c>
      <c r="H74" t="str">
        <f t="shared" si="7"/>
        <v>6|3014|1</v>
      </c>
      <c r="I74" s="222" t="s">
        <v>9398</v>
      </c>
      <c r="K74" t="str">
        <f>K73&amp;I74&amp;H74</f>
        <v>6|3012|1,6|3011|1,6|3013|1,6|3014|1</v>
      </c>
    </row>
  </sheetData>
  <phoneticPr fontId="1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J86"/>
  <sheetViews>
    <sheetView topLeftCell="A16" zoomScale="85" zoomScaleNormal="85" workbookViewId="0">
      <selection activeCell="H18" sqref="H18"/>
    </sheetView>
  </sheetViews>
  <sheetFormatPr defaultRowHeight="16.5"/>
  <cols>
    <col min="1" max="1" width="7.125" style="233" customWidth="1"/>
    <col min="2" max="2" width="8.625" style="233" customWidth="1"/>
    <col min="3" max="3" width="8" style="233" customWidth="1"/>
    <col min="4" max="4" width="12" style="233" customWidth="1"/>
    <col min="6" max="6" width="4.375" style="235" customWidth="1"/>
    <col min="7" max="8" width="4.25" style="235" customWidth="1"/>
    <col min="9" max="9" width="11.625" bestFit="1" customWidth="1"/>
    <col min="10" max="10" width="75.375" customWidth="1"/>
  </cols>
  <sheetData>
    <row r="1" spans="1:10" ht="36.75" customHeight="1">
      <c r="A1" s="223" t="s">
        <v>9290</v>
      </c>
      <c r="B1" s="223" t="s">
        <v>9294</v>
      </c>
      <c r="C1" s="223" t="s">
        <v>9319</v>
      </c>
      <c r="D1" s="234" t="s">
        <v>9316</v>
      </c>
    </row>
    <row r="2" spans="1:10">
      <c r="A2" s="203">
        <v>1103</v>
      </c>
      <c r="B2" s="203" t="s">
        <v>12</v>
      </c>
      <c r="C2" s="203" t="str">
        <f>VLOOKUP(A2,Sheet5!D:J,7,FALSE)</f>
        <v>治疗</v>
      </c>
      <c r="D2" s="203">
        <f>VLOOKUP(A2,Sheet5!D:H,5,FALSE)</f>
        <v>13</v>
      </c>
      <c r="F2" s="236">
        <v>5</v>
      </c>
      <c r="G2" s="237" t="s">
        <v>9287</v>
      </c>
      <c r="H2" s="237">
        <v>1</v>
      </c>
      <c r="I2" t="str">
        <f t="shared" ref="I2:I42" si="0">F2&amp;G2&amp;A2&amp;G2&amp;H2</f>
        <v>5|1103|1</v>
      </c>
      <c r="J2" t="str">
        <f>I2</f>
        <v>5|1103|1</v>
      </c>
    </row>
    <row r="3" spans="1:10">
      <c r="A3" s="111">
        <v>1109</v>
      </c>
      <c r="B3" s="111" t="s">
        <v>24</v>
      </c>
      <c r="C3" s="203" t="str">
        <f>VLOOKUP(A3,Sheet5!D:J,7,FALSE)</f>
        <v>治疗</v>
      </c>
      <c r="D3" s="203">
        <f>VLOOKUP(A3,Sheet5!D:H,5,FALSE)</f>
        <v>13</v>
      </c>
      <c r="F3" s="236">
        <v>5</v>
      </c>
      <c r="G3" s="237" t="s">
        <v>9287</v>
      </c>
      <c r="H3" s="237">
        <v>1</v>
      </c>
      <c r="I3" t="str">
        <f t="shared" si="0"/>
        <v>5|1109|1</v>
      </c>
      <c r="J3" t="str">
        <f>IF(D3=D2,I3&amp;","&amp;J2,I3)</f>
        <v>5|1109|1,5|1103|1</v>
      </c>
    </row>
    <row r="4" spans="1:10">
      <c r="A4" s="203">
        <v>1116</v>
      </c>
      <c r="B4" s="203" t="s">
        <v>38</v>
      </c>
      <c r="C4" s="203" t="str">
        <f>VLOOKUP(A4,Sheet5!D:J,7,FALSE)</f>
        <v>治疗</v>
      </c>
      <c r="D4" s="203">
        <f>VLOOKUP(A4,Sheet5!D:H,5,FALSE)</f>
        <v>13</v>
      </c>
      <c r="F4" s="236">
        <v>5</v>
      </c>
      <c r="G4" s="237" t="s">
        <v>9287</v>
      </c>
      <c r="H4" s="237">
        <v>1</v>
      </c>
      <c r="I4" t="str">
        <f t="shared" si="0"/>
        <v>5|1116|1</v>
      </c>
      <c r="J4" t="str">
        <f t="shared" ref="J4:J42" si="1">IF(D4=D3,I4&amp;","&amp;J3,I4)</f>
        <v>5|1116|1,5|1109|1,5|1103|1</v>
      </c>
    </row>
    <row r="5" spans="1:10">
      <c r="A5" s="111">
        <v>1215</v>
      </c>
      <c r="B5" s="216" t="s">
        <v>9305</v>
      </c>
      <c r="C5" s="203" t="str">
        <f>VLOOKUP(A5,Sheet5!D:J,7,FALSE)</f>
        <v>治疗</v>
      </c>
      <c r="D5" s="203">
        <f>VLOOKUP(A5,Sheet5!D:H,5,FALSE)</f>
        <v>13</v>
      </c>
      <c r="F5" s="236">
        <v>5</v>
      </c>
      <c r="G5" s="237" t="s">
        <v>9287</v>
      </c>
      <c r="H5" s="237">
        <v>1</v>
      </c>
      <c r="I5" t="str">
        <f t="shared" si="0"/>
        <v>5|1215|1</v>
      </c>
      <c r="J5" t="str">
        <f t="shared" si="1"/>
        <v>5|1215|1,5|1116|1,5|1109|1,5|1103|1</v>
      </c>
    </row>
    <row r="6" spans="1:10">
      <c r="A6" s="203">
        <v>1114</v>
      </c>
      <c r="B6" s="203" t="s">
        <v>9306</v>
      </c>
      <c r="C6" s="203" t="str">
        <f>VLOOKUP(A6,Sheet5!D:J,7,FALSE)</f>
        <v>输出</v>
      </c>
      <c r="D6" s="203">
        <f>VLOOKUP(A6,Sheet5!D:H,5,FALSE)</f>
        <v>13</v>
      </c>
      <c r="F6" s="236">
        <v>5</v>
      </c>
      <c r="G6" s="237" t="s">
        <v>9287</v>
      </c>
      <c r="H6" s="237">
        <v>1</v>
      </c>
      <c r="I6" t="str">
        <f t="shared" si="0"/>
        <v>5|1114|1</v>
      </c>
      <c r="J6" t="str">
        <f t="shared" si="1"/>
        <v>5|1114|1,5|1215|1,5|1116|1,5|1109|1,5|1103|1</v>
      </c>
    </row>
    <row r="7" spans="1:10">
      <c r="A7" s="203">
        <v>1110</v>
      </c>
      <c r="B7" s="203" t="s">
        <v>26</v>
      </c>
      <c r="C7" s="203" t="str">
        <f>VLOOKUP(A7,Sheet5!D:J,7,FALSE)</f>
        <v>输出</v>
      </c>
      <c r="D7" s="203">
        <f>VLOOKUP(A7,Sheet5!D:H,5,FALSE)</f>
        <v>13</v>
      </c>
      <c r="F7" s="236">
        <v>5</v>
      </c>
      <c r="G7" s="237" t="s">
        <v>9287</v>
      </c>
      <c r="H7" s="237">
        <v>1</v>
      </c>
      <c r="I7" t="str">
        <f t="shared" si="0"/>
        <v>5|1110|1</v>
      </c>
      <c r="J7" t="str">
        <f t="shared" si="1"/>
        <v>5|1110|1,5|1114|1,5|1215|1,5|1116|1,5|1109|1,5|1103|1</v>
      </c>
    </row>
    <row r="8" spans="1:10">
      <c r="A8" s="203">
        <v>1104</v>
      </c>
      <c r="B8" s="203" t="s">
        <v>14</v>
      </c>
      <c r="C8" s="203" t="str">
        <f>VLOOKUP(A8,Sheet5!D:J,7,FALSE)</f>
        <v>防御</v>
      </c>
      <c r="D8" s="203">
        <f>VLOOKUP(A8,Sheet5!D:H,5,FALSE)</f>
        <v>13</v>
      </c>
      <c r="F8" s="236">
        <v>5</v>
      </c>
      <c r="G8" s="237" t="s">
        <v>9287</v>
      </c>
      <c r="H8" s="237">
        <v>1</v>
      </c>
      <c r="I8" t="str">
        <f t="shared" si="0"/>
        <v>5|1104|1</v>
      </c>
      <c r="J8" t="str">
        <f t="shared" si="1"/>
        <v>5|1104|1,5|1110|1,5|1114|1,5|1215|1,5|1116|1,5|1109|1,5|1103|1</v>
      </c>
    </row>
    <row r="9" spans="1:10">
      <c r="A9" s="203">
        <v>1135</v>
      </c>
      <c r="B9" s="203" t="s">
        <v>72</v>
      </c>
      <c r="C9" s="203" t="str">
        <f>VLOOKUP(A9,Sheet5!D:J,7,FALSE)</f>
        <v>辅助</v>
      </c>
      <c r="D9" s="203">
        <f>VLOOKUP(A9,Sheet5!D:H,5,FALSE)</f>
        <v>13</v>
      </c>
      <c r="F9" s="236">
        <v>5</v>
      </c>
      <c r="G9" s="237" t="s">
        <v>9287</v>
      </c>
      <c r="H9" s="237">
        <v>1</v>
      </c>
      <c r="I9" t="str">
        <f t="shared" si="0"/>
        <v>5|1135|1</v>
      </c>
      <c r="J9" t="str">
        <f t="shared" si="1"/>
        <v>5|1135|1,5|1104|1,5|1110|1,5|1114|1,5|1215|1,5|1116|1,5|1109|1,5|1103|1</v>
      </c>
    </row>
    <row r="10" spans="1:10">
      <c r="A10" s="203">
        <v>1132</v>
      </c>
      <c r="B10" s="203" t="s">
        <v>68</v>
      </c>
      <c r="C10" s="203" t="str">
        <f>VLOOKUP(A10,Sheet5!D:J,7,FALSE)</f>
        <v>防御</v>
      </c>
      <c r="D10" s="203">
        <f>VLOOKUP(A10,Sheet5!D:H,5,FALSE)</f>
        <v>13</v>
      </c>
      <c r="F10" s="236">
        <v>5</v>
      </c>
      <c r="G10" s="237" t="s">
        <v>9287</v>
      </c>
      <c r="H10" s="237">
        <v>1</v>
      </c>
      <c r="I10" t="str">
        <f t="shared" si="0"/>
        <v>5|1132|1</v>
      </c>
      <c r="J10" t="str">
        <f t="shared" si="1"/>
        <v>5|1132|1,5|1135|1,5|1104|1,5|1110|1,5|1114|1,5|1215|1,5|1116|1,5|1109|1,5|1103|1</v>
      </c>
    </row>
    <row r="11" spans="1:10">
      <c r="A11" s="111">
        <v>1125</v>
      </c>
      <c r="B11" s="216" t="s">
        <v>56</v>
      </c>
      <c r="C11" s="203" t="str">
        <f>VLOOKUP(A11,Sheet5!D:J,7,FALSE)</f>
        <v>防御</v>
      </c>
      <c r="D11" s="203">
        <f>VLOOKUP(A11,Sheet5!D:H,5,FALSE)</f>
        <v>13</v>
      </c>
      <c r="F11" s="236">
        <v>5</v>
      </c>
      <c r="G11" s="237" t="s">
        <v>9287</v>
      </c>
      <c r="H11" s="237">
        <v>1</v>
      </c>
      <c r="I11" t="str">
        <f t="shared" si="0"/>
        <v>5|1125|1</v>
      </c>
      <c r="J11" t="str">
        <f t="shared" si="1"/>
        <v>5|1125|1,5|1132|1,5|1135|1,5|1104|1,5|1110|1,5|1114|1,5|1215|1,5|1116|1,5|1109|1,5|1103|1</v>
      </c>
    </row>
    <row r="12" spans="1:10">
      <c r="A12" s="128">
        <v>1202</v>
      </c>
      <c r="B12" s="128" t="s">
        <v>9307</v>
      </c>
      <c r="C12" s="203" t="str">
        <f>VLOOKUP(A12,Sheet5!D:J,7,FALSE)</f>
        <v>输出</v>
      </c>
      <c r="D12" s="203">
        <f>VLOOKUP(A12,Sheet5!D:H,5,FALSE)</f>
        <v>13</v>
      </c>
      <c r="F12" s="236">
        <v>5</v>
      </c>
      <c r="G12" s="237" t="s">
        <v>9287</v>
      </c>
      <c r="H12" s="237">
        <v>1</v>
      </c>
      <c r="I12" t="str">
        <f t="shared" si="0"/>
        <v>5|1202|1</v>
      </c>
      <c r="J12" t="str">
        <f t="shared" si="1"/>
        <v>5|1202|1,5|1125|1,5|1132|1,5|1135|1,5|1104|1,5|1110|1,5|1114|1,5|1215|1,5|1116|1,5|1109|1,5|1103|1</v>
      </c>
    </row>
    <row r="13" spans="1:10">
      <c r="A13" s="203">
        <v>1123</v>
      </c>
      <c r="B13" s="203" t="s">
        <v>52</v>
      </c>
      <c r="C13" s="203" t="str">
        <f>VLOOKUP(A13,Sheet5!D:J,7,FALSE)</f>
        <v>输出</v>
      </c>
      <c r="D13" s="203">
        <f>VLOOKUP(A13,Sheet5!D:H,5,FALSE)</f>
        <v>13</v>
      </c>
      <c r="F13" s="236">
        <v>5</v>
      </c>
      <c r="G13" s="237" t="s">
        <v>9287</v>
      </c>
      <c r="H13" s="237">
        <v>1</v>
      </c>
      <c r="I13" t="str">
        <f t="shared" si="0"/>
        <v>5|1123|1</v>
      </c>
      <c r="J13" t="str">
        <f t="shared" si="1"/>
        <v>5|1123|1,5|1202|1,5|1125|1,5|1132|1,5|1135|1,5|1104|1,5|1110|1,5|1114|1,5|1215|1,5|1116|1,5|1109|1,5|1103|1</v>
      </c>
    </row>
    <row r="14" spans="1:10">
      <c r="A14" s="203">
        <v>1117</v>
      </c>
      <c r="B14" s="203" t="s">
        <v>40</v>
      </c>
      <c r="C14" s="203" t="str">
        <f>VLOOKUP(A14,Sheet5!D:J,7,FALSE)</f>
        <v>输出</v>
      </c>
      <c r="D14" s="203">
        <f>VLOOKUP(A14,Sheet5!D:H,5,FALSE)</f>
        <v>13</v>
      </c>
      <c r="F14" s="236">
        <v>5</v>
      </c>
      <c r="G14" s="237" t="s">
        <v>9287</v>
      </c>
      <c r="H14" s="237">
        <v>1</v>
      </c>
      <c r="I14" t="str">
        <f t="shared" si="0"/>
        <v>5|1117|1</v>
      </c>
      <c r="J14" t="str">
        <f t="shared" si="1"/>
        <v>5|1117|1,5|1123|1,5|1202|1,5|1125|1,5|1132|1,5|1135|1,5|1104|1,5|1110|1,5|1114|1,5|1215|1,5|1116|1,5|1109|1,5|1103|1</v>
      </c>
    </row>
    <row r="15" spans="1:10">
      <c r="A15" s="203">
        <v>1201</v>
      </c>
      <c r="B15" s="203" t="s">
        <v>9308</v>
      </c>
      <c r="C15" s="203" t="str">
        <f>VLOOKUP(A15,Sheet5!D:J,7,FALSE)</f>
        <v>输出</v>
      </c>
      <c r="D15" s="203">
        <f>VLOOKUP(A15,Sheet5!D:H,5,FALSE)</f>
        <v>13</v>
      </c>
      <c r="F15" s="236">
        <v>5</v>
      </c>
      <c r="G15" s="237" t="s">
        <v>9287</v>
      </c>
      <c r="H15" s="237">
        <v>1</v>
      </c>
      <c r="I15" t="str">
        <f t="shared" si="0"/>
        <v>5|1201|1</v>
      </c>
      <c r="J15" t="str">
        <f t="shared" si="1"/>
        <v>5|1201|1,5|1117|1,5|1123|1,5|1202|1,5|1125|1,5|1132|1,5|1135|1,5|1104|1,5|1110|1,5|1114|1,5|1215|1,5|1116|1,5|1109|1,5|1103|1</v>
      </c>
    </row>
    <row r="16" spans="1:10">
      <c r="A16" s="203">
        <v>1131</v>
      </c>
      <c r="B16" s="203" t="s">
        <v>66</v>
      </c>
      <c r="C16" s="203" t="str">
        <f>VLOOKUP(A16,Sheet5!D:J,7,FALSE)</f>
        <v>输出</v>
      </c>
      <c r="D16" s="203">
        <f>VLOOKUP(A16,Sheet5!D:H,5,FALSE)</f>
        <v>13</v>
      </c>
      <c r="F16" s="236">
        <v>5</v>
      </c>
      <c r="G16" s="237" t="s">
        <v>9287</v>
      </c>
      <c r="H16" s="237">
        <v>1</v>
      </c>
      <c r="I16" t="str">
        <f t="shared" si="0"/>
        <v>5|1131|1</v>
      </c>
      <c r="J16" t="str">
        <f t="shared" si="1"/>
        <v>5|1131|1,5|1201|1,5|1117|1,5|1123|1,5|1202|1,5|1125|1,5|1132|1,5|1135|1,5|1104|1,5|1110|1,5|1114|1,5|1215|1,5|1116|1,5|1109|1,5|1103|1</v>
      </c>
    </row>
    <row r="17" spans="1:10">
      <c r="A17" s="203">
        <v>1137</v>
      </c>
      <c r="B17" s="203" t="s">
        <v>76</v>
      </c>
      <c r="C17" s="203" t="str">
        <f>VLOOKUP(A17,Sheet5!D:J,7,FALSE)</f>
        <v>输出</v>
      </c>
      <c r="D17" s="203">
        <f>VLOOKUP(A17,Sheet5!D:H,5,FALSE)</f>
        <v>13</v>
      </c>
      <c r="F17" s="236">
        <v>5</v>
      </c>
      <c r="G17" s="237" t="s">
        <v>9287</v>
      </c>
      <c r="H17" s="237">
        <v>1</v>
      </c>
      <c r="I17" t="str">
        <f t="shared" si="0"/>
        <v>5|1137|1</v>
      </c>
      <c r="J17" t="str">
        <f t="shared" si="1"/>
        <v>5|1137|1,5|1131|1,5|1201|1,5|1117|1,5|1123|1,5|1202|1,5|1125|1,5|1132|1,5|1135|1,5|1104|1,5|1110|1,5|1114|1,5|1215|1,5|1116|1,5|1109|1,5|1103|1</v>
      </c>
    </row>
    <row r="18" spans="1:10">
      <c r="A18" s="128">
        <v>1216</v>
      </c>
      <c r="B18" s="128" t="s">
        <v>9309</v>
      </c>
      <c r="C18" s="203" t="str">
        <f>VLOOKUP(A18,Sheet5!D:J,7,FALSE)</f>
        <v>输出</v>
      </c>
      <c r="D18" s="203">
        <f>VLOOKUP(A18,Sheet5!D:H,5,FALSE)</f>
        <v>13</v>
      </c>
      <c r="F18" s="236">
        <v>5</v>
      </c>
      <c r="G18" s="237" t="s">
        <v>9287</v>
      </c>
      <c r="H18" s="237">
        <v>1</v>
      </c>
      <c r="I18" t="str">
        <f t="shared" si="0"/>
        <v>5|1216|1</v>
      </c>
      <c r="J18" t="str">
        <f t="shared" si="1"/>
        <v>5|1216|1,5|1137|1,5|1131|1,5|1201|1,5|1117|1,5|1123|1,5|1202|1,5|1125|1,5|1132|1,5|1135|1,5|1104|1,5|1110|1,5|1114|1,5|1215|1,5|1116|1,5|1109|1,5|1103|1</v>
      </c>
    </row>
    <row r="19" spans="1:10">
      <c r="A19" s="203">
        <v>1106</v>
      </c>
      <c r="B19" s="203" t="s">
        <v>18</v>
      </c>
      <c r="C19" s="203" t="str">
        <f>VLOOKUP(A19,Sheet5!D:J,7,FALSE)</f>
        <v>辅助</v>
      </c>
      <c r="D19" s="203">
        <f>VLOOKUP(A19,Sheet5!D:H,5,FALSE)</f>
        <v>13</v>
      </c>
      <c r="F19" s="236">
        <v>5</v>
      </c>
      <c r="G19" s="237" t="s">
        <v>9287</v>
      </c>
      <c r="H19" s="237">
        <v>1</v>
      </c>
      <c r="I19" t="str">
        <f t="shared" si="0"/>
        <v>5|1106|1</v>
      </c>
      <c r="J19" t="str">
        <f t="shared" si="1"/>
        <v>5|1106|1,5|1216|1,5|1137|1,5|1131|1,5|1201|1,5|1117|1,5|1123|1,5|1202|1,5|1125|1,5|1132|1,5|1135|1,5|1104|1,5|1110|1,5|1114|1,5|1215|1,5|1116|1,5|1109|1,5|1103|1</v>
      </c>
    </row>
    <row r="20" spans="1:10">
      <c r="A20" s="203">
        <v>1115</v>
      </c>
      <c r="B20" s="203" t="s">
        <v>36</v>
      </c>
      <c r="C20" s="203" t="str">
        <f>VLOOKUP(A20,Sheet5!D:J,7,FALSE)</f>
        <v>治疗</v>
      </c>
      <c r="D20" s="203">
        <f>VLOOKUP(A20,Sheet5!D:H,5,FALSE)</f>
        <v>13</v>
      </c>
      <c r="F20" s="236">
        <v>5</v>
      </c>
      <c r="G20" s="237" t="s">
        <v>9287</v>
      </c>
      <c r="H20" s="237">
        <v>1</v>
      </c>
      <c r="I20" t="str">
        <f t="shared" si="0"/>
        <v>5|1115|1</v>
      </c>
      <c r="J20" t="str">
        <f t="shared" si="1"/>
        <v>5|1115|1,5|1106|1,5|1216|1,5|1137|1,5|1131|1,5|1201|1,5|1117|1,5|1123|1,5|1202|1,5|1125|1,5|1132|1,5|1135|1,5|1104|1,5|1110|1,5|1114|1,5|1215|1,5|1116|1,5|1109|1,5|1103|1</v>
      </c>
    </row>
    <row r="21" spans="1:10">
      <c r="A21" s="111">
        <v>1208</v>
      </c>
      <c r="B21" s="111" t="s">
        <v>9310</v>
      </c>
      <c r="C21" s="203" t="str">
        <f>VLOOKUP(A21,Sheet5!D:J,7,FALSE)</f>
        <v>辅助</v>
      </c>
      <c r="D21" s="203">
        <f>VLOOKUP(A21,Sheet5!D:H,5,FALSE)</f>
        <v>13</v>
      </c>
      <c r="F21" s="236">
        <v>5</v>
      </c>
      <c r="G21" s="237" t="s">
        <v>9287</v>
      </c>
      <c r="H21" s="237">
        <v>1</v>
      </c>
      <c r="I21" t="str">
        <f t="shared" si="0"/>
        <v>5|1208|1</v>
      </c>
      <c r="J21" t="str">
        <f t="shared" si="1"/>
        <v>5|1208|1,5|1115|1,5|1106|1,5|1216|1,5|1137|1,5|1131|1,5|1201|1,5|1117|1,5|1123|1,5|1202|1,5|1125|1,5|1132|1,5|1135|1,5|1104|1,5|1110|1,5|1114|1,5|1215|1,5|1116|1,5|1109|1,5|1103|1</v>
      </c>
    </row>
    <row r="22" spans="1:10">
      <c r="A22" s="203">
        <v>1122</v>
      </c>
      <c r="B22" s="203" t="s">
        <v>50</v>
      </c>
      <c r="C22" s="203" t="str">
        <f>VLOOKUP(A22,Sheet5!D:J,7,FALSE)</f>
        <v>防御</v>
      </c>
      <c r="D22" s="203">
        <f>VLOOKUP(A22,Sheet5!D:H,5,FALSE)</f>
        <v>13</v>
      </c>
      <c r="F22" s="236">
        <v>5</v>
      </c>
      <c r="G22" s="237" t="s">
        <v>9287</v>
      </c>
      <c r="H22" s="237">
        <v>1</v>
      </c>
      <c r="I22" t="str">
        <f t="shared" si="0"/>
        <v>5|1122|1</v>
      </c>
      <c r="J22" t="str">
        <f t="shared" si="1"/>
        <v>5|1122|1,5|1208|1,5|1115|1,5|1106|1,5|1216|1,5|1137|1,5|1131|1,5|1201|1,5|1117|1,5|1123|1,5|1202|1,5|1125|1,5|1132|1,5|1135|1,5|1104|1,5|1110|1,5|1114|1,5|1215|1,5|1116|1,5|1109|1,5|1103|1</v>
      </c>
    </row>
    <row r="23" spans="1:10">
      <c r="A23" s="203">
        <v>1207</v>
      </c>
      <c r="B23" s="203" t="s">
        <v>9311</v>
      </c>
      <c r="C23" s="203" t="str">
        <f>VLOOKUP(A23,Sheet5!D:J,7,FALSE)</f>
        <v>输出</v>
      </c>
      <c r="D23" s="203">
        <f>VLOOKUP(A23,Sheet5!D:H,5,FALSE)</f>
        <v>13</v>
      </c>
      <c r="F23" s="236">
        <v>5</v>
      </c>
      <c r="G23" s="237" t="s">
        <v>9287</v>
      </c>
      <c r="H23" s="237">
        <v>1</v>
      </c>
      <c r="I23" t="str">
        <f t="shared" si="0"/>
        <v>5|1207|1</v>
      </c>
      <c r="J23" t="str">
        <f t="shared" si="1"/>
        <v>5|1207|1,5|1122|1,5|1208|1,5|1115|1,5|1106|1,5|1216|1,5|1137|1,5|1131|1,5|1201|1,5|1117|1,5|1123|1,5|1202|1,5|1125|1,5|1132|1,5|1135|1,5|1104|1,5|1110|1,5|1114|1,5|1215|1,5|1116|1,5|1109|1,5|1103|1</v>
      </c>
    </row>
    <row r="24" spans="1:10">
      <c r="A24" s="128">
        <v>1126</v>
      </c>
      <c r="B24" s="128" t="s">
        <v>58</v>
      </c>
      <c r="C24" s="203" t="str">
        <f>VLOOKUP(A24,Sheet5!D:J,7,FALSE)</f>
        <v>治疗</v>
      </c>
      <c r="D24" s="203">
        <f>VLOOKUP(A24,Sheet5!D:H,5,FALSE)</f>
        <v>13</v>
      </c>
      <c r="F24" s="236">
        <v>5</v>
      </c>
      <c r="G24" s="237" t="s">
        <v>9287</v>
      </c>
      <c r="H24" s="237">
        <v>1</v>
      </c>
      <c r="I24" t="str">
        <f t="shared" si="0"/>
        <v>5|1126|1</v>
      </c>
      <c r="J24" t="str">
        <f t="shared" si="1"/>
        <v>5|1126|1,5|1207|1,5|1122|1,5|1208|1,5|1115|1,5|1106|1,5|1216|1,5|1137|1,5|1131|1,5|1201|1,5|1117|1,5|1123|1,5|1202|1,5|1125|1,5|1132|1,5|1135|1,5|1104|1,5|1110|1,5|1114|1,5|1215|1,5|1116|1,5|1109|1,5|1103|1</v>
      </c>
    </row>
    <row r="25" spans="1:10">
      <c r="A25" s="203">
        <v>1102</v>
      </c>
      <c r="B25" s="203" t="s">
        <v>10</v>
      </c>
      <c r="C25" s="203" t="str">
        <f>VLOOKUP(A25,Sheet5!D:J,7,FALSE)</f>
        <v>输出</v>
      </c>
      <c r="D25" s="203">
        <f>VLOOKUP(A25,Sheet5!D:H,5,FALSE)</f>
        <v>16</v>
      </c>
      <c r="F25" s="236">
        <v>5</v>
      </c>
      <c r="G25" s="237" t="s">
        <v>9287</v>
      </c>
      <c r="H25" s="237">
        <v>1</v>
      </c>
      <c r="I25" t="str">
        <f t="shared" si="0"/>
        <v>5|1102|1</v>
      </c>
      <c r="J25" t="str">
        <f t="shared" si="1"/>
        <v>5|1102|1</v>
      </c>
    </row>
    <row r="26" spans="1:10">
      <c r="A26" s="203">
        <v>1211</v>
      </c>
      <c r="B26" s="203" t="s">
        <v>9295</v>
      </c>
      <c r="C26" s="203" t="str">
        <f>VLOOKUP(A26,Sheet5!D:J,7,FALSE)</f>
        <v>输出</v>
      </c>
      <c r="D26" s="203">
        <f>VLOOKUP(A26,Sheet5!D:H,5,FALSE)</f>
        <v>16</v>
      </c>
      <c r="F26" s="236">
        <v>5</v>
      </c>
      <c r="G26" s="237" t="s">
        <v>9287</v>
      </c>
      <c r="H26" s="237">
        <v>1</v>
      </c>
      <c r="I26" t="str">
        <f t="shared" si="0"/>
        <v>5|1211|1</v>
      </c>
      <c r="J26" t="str">
        <f t="shared" si="1"/>
        <v>5|1211|1,5|1102|1</v>
      </c>
    </row>
    <row r="27" spans="1:10">
      <c r="A27" s="203">
        <v>1101</v>
      </c>
      <c r="B27" s="203" t="s">
        <v>8</v>
      </c>
      <c r="C27" s="203" t="str">
        <f>VLOOKUP(A27,Sheet5!D:J,7,FALSE)</f>
        <v>输出</v>
      </c>
      <c r="D27" s="203">
        <f>VLOOKUP(A27,Sheet5!D:H,5,FALSE)</f>
        <v>16</v>
      </c>
      <c r="F27" s="236">
        <v>5</v>
      </c>
      <c r="G27" s="237" t="s">
        <v>9287</v>
      </c>
      <c r="H27" s="237">
        <v>1</v>
      </c>
      <c r="I27" t="str">
        <f t="shared" si="0"/>
        <v>5|1101|1</v>
      </c>
      <c r="J27" t="str">
        <f t="shared" si="1"/>
        <v>5|1101|1,5|1211|1,5|1102|1</v>
      </c>
    </row>
    <row r="28" spans="1:10">
      <c r="A28" s="128">
        <v>1108</v>
      </c>
      <c r="B28" s="128" t="s">
        <v>9296</v>
      </c>
      <c r="C28" s="203" t="str">
        <f>VLOOKUP(A28,Sheet5!D:J,7,FALSE)</f>
        <v>防御</v>
      </c>
      <c r="D28" s="203">
        <f>VLOOKUP(A28,Sheet5!D:H,5,FALSE)</f>
        <v>16</v>
      </c>
      <c r="F28" s="236">
        <v>5</v>
      </c>
      <c r="G28" s="237" t="s">
        <v>9287</v>
      </c>
      <c r="H28" s="237">
        <v>1</v>
      </c>
      <c r="I28" t="str">
        <f t="shared" si="0"/>
        <v>5|1108|1</v>
      </c>
      <c r="J28" t="str">
        <f t="shared" si="1"/>
        <v>5|1108|1,5|1101|1,5|1211|1,5|1102|1</v>
      </c>
    </row>
    <row r="29" spans="1:10">
      <c r="A29" s="203">
        <v>1113</v>
      </c>
      <c r="B29" s="203" t="s">
        <v>32</v>
      </c>
      <c r="C29" s="203" t="str">
        <f>VLOOKUP(A29,Sheet5!D:J,7,FALSE)</f>
        <v>防御</v>
      </c>
      <c r="D29" s="203">
        <f>VLOOKUP(A29,Sheet5!D:H,5,FALSE)</f>
        <v>16</v>
      </c>
      <c r="F29" s="236">
        <v>5</v>
      </c>
      <c r="G29" s="237" t="s">
        <v>9287</v>
      </c>
      <c r="H29" s="237">
        <v>1</v>
      </c>
      <c r="I29" t="str">
        <f t="shared" si="0"/>
        <v>5|1113|1</v>
      </c>
      <c r="J29" t="str">
        <f t="shared" si="1"/>
        <v>5|1113|1,5|1108|1,5|1101|1,5|1211|1,5|1102|1</v>
      </c>
    </row>
    <row r="30" spans="1:10">
      <c r="A30" s="203">
        <v>1120</v>
      </c>
      <c r="B30" s="203" t="s">
        <v>46</v>
      </c>
      <c r="C30" s="203" t="str">
        <f>VLOOKUP(A30,Sheet5!D:J,7,FALSE)</f>
        <v>防御</v>
      </c>
      <c r="D30" s="203">
        <f>VLOOKUP(A30,Sheet5!D:H,5,FALSE)</f>
        <v>16</v>
      </c>
      <c r="F30" s="236">
        <v>5</v>
      </c>
      <c r="G30" s="237" t="s">
        <v>9287</v>
      </c>
      <c r="H30" s="237">
        <v>1</v>
      </c>
      <c r="I30" t="str">
        <f t="shared" si="0"/>
        <v>5|1120|1</v>
      </c>
      <c r="J30" t="str">
        <f t="shared" si="1"/>
        <v>5|1120|1,5|1113|1,5|1108|1,5|1101|1,5|1211|1,5|1102|1</v>
      </c>
    </row>
    <row r="31" spans="1:10">
      <c r="A31" s="128">
        <v>1127</v>
      </c>
      <c r="B31" s="128" t="s">
        <v>60</v>
      </c>
      <c r="C31" s="203" t="str">
        <f>VLOOKUP(A31,Sheet5!D:J,7,FALSE)</f>
        <v>防御</v>
      </c>
      <c r="D31" s="203">
        <f>VLOOKUP(A31,Sheet5!D:H,5,FALSE)</f>
        <v>16</v>
      </c>
      <c r="F31" s="236">
        <v>5</v>
      </c>
      <c r="G31" s="237" t="s">
        <v>9287</v>
      </c>
      <c r="H31" s="237">
        <v>1</v>
      </c>
      <c r="I31" t="str">
        <f t="shared" si="0"/>
        <v>5|1127|1</v>
      </c>
      <c r="J31" t="str">
        <f t="shared" si="1"/>
        <v>5|1127|1,5|1120|1,5|1113|1,5|1108|1,5|1101|1,5|1211|1,5|1102|1</v>
      </c>
    </row>
    <row r="32" spans="1:10">
      <c r="A32" s="225">
        <v>1212</v>
      </c>
      <c r="B32" s="128" t="s">
        <v>9297</v>
      </c>
      <c r="C32" s="203" t="str">
        <f>VLOOKUP(A32,Sheet5!D:J,7,FALSE)</f>
        <v>防御</v>
      </c>
      <c r="D32" s="203">
        <f>VLOOKUP(A32,Sheet5!D:H,5,FALSE)</f>
        <v>16</v>
      </c>
      <c r="F32" s="236">
        <v>5</v>
      </c>
      <c r="G32" s="237" t="s">
        <v>9287</v>
      </c>
      <c r="H32" s="237">
        <v>1</v>
      </c>
      <c r="I32" t="str">
        <f t="shared" si="0"/>
        <v>5|1212|1</v>
      </c>
      <c r="J32" t="str">
        <f t="shared" si="1"/>
        <v>5|1212|1,5|1127|1,5|1120|1,5|1113|1,5|1108|1,5|1101|1,5|1211|1,5|1102|1</v>
      </c>
    </row>
    <row r="33" spans="1:10">
      <c r="A33" s="226">
        <v>1219</v>
      </c>
      <c r="B33" s="111" t="s">
        <v>9298</v>
      </c>
      <c r="C33" s="203" t="str">
        <f>VLOOKUP(A33,Sheet5!D:J,7,FALSE)</f>
        <v>防御</v>
      </c>
      <c r="D33" s="203">
        <f>VLOOKUP(A33,Sheet5!D:H,5,FALSE)</f>
        <v>16</v>
      </c>
      <c r="F33" s="236">
        <v>5</v>
      </c>
      <c r="G33" s="237" t="s">
        <v>9287</v>
      </c>
      <c r="H33" s="237">
        <v>1</v>
      </c>
      <c r="I33" t="str">
        <f t="shared" si="0"/>
        <v>5|1219|1</v>
      </c>
      <c r="J33" t="str">
        <f t="shared" si="1"/>
        <v>5|1219|1,5|1212|1,5|1127|1,5|1120|1,5|1113|1,5|1108|1,5|1101|1,5|1211|1,5|1102|1</v>
      </c>
    </row>
    <row r="34" spans="1:10">
      <c r="A34" s="203">
        <v>1112</v>
      </c>
      <c r="B34" s="203" t="s">
        <v>9299</v>
      </c>
      <c r="C34" s="203" t="str">
        <f>VLOOKUP(A34,Sheet5!D:J,7,FALSE)</f>
        <v>输出</v>
      </c>
      <c r="D34" s="203">
        <f>VLOOKUP(A34,Sheet5!D:H,5,FALSE)</f>
        <v>16</v>
      </c>
      <c r="F34" s="236">
        <v>5</v>
      </c>
      <c r="G34" s="237" t="s">
        <v>9287</v>
      </c>
      <c r="H34" s="237">
        <v>1</v>
      </c>
      <c r="I34" t="str">
        <f t="shared" si="0"/>
        <v>5|1112|1</v>
      </c>
      <c r="J34" t="str">
        <f t="shared" si="1"/>
        <v>5|1112|1,5|1219|1,5|1212|1,5|1127|1,5|1120|1,5|1113|1,5|1108|1,5|1101|1,5|1211|1,5|1102|1</v>
      </c>
    </row>
    <row r="35" spans="1:10">
      <c r="A35" s="203">
        <v>1119</v>
      </c>
      <c r="B35" s="203" t="s">
        <v>9300</v>
      </c>
      <c r="C35" s="203" t="str">
        <f>VLOOKUP(A35,Sheet5!D:J,7,FALSE)</f>
        <v>输出</v>
      </c>
      <c r="D35" s="203">
        <f>VLOOKUP(A35,Sheet5!D:H,5,FALSE)</f>
        <v>16</v>
      </c>
      <c r="F35" s="236">
        <v>5</v>
      </c>
      <c r="G35" s="237" t="s">
        <v>9287</v>
      </c>
      <c r="H35" s="237">
        <v>1</v>
      </c>
      <c r="I35" t="str">
        <f t="shared" si="0"/>
        <v>5|1119|1</v>
      </c>
      <c r="J35" t="str">
        <f t="shared" si="1"/>
        <v>5|1119|1,5|1112|1,5|1219|1,5|1212|1,5|1127|1,5|1120|1,5|1113|1,5|1108|1,5|1101|1,5|1211|1,5|1102|1</v>
      </c>
    </row>
    <row r="36" spans="1:10">
      <c r="A36" s="203">
        <v>1105</v>
      </c>
      <c r="B36" s="203" t="s">
        <v>16</v>
      </c>
      <c r="C36" s="203" t="str">
        <f>VLOOKUP(A36,Sheet5!D:J,7,FALSE)</f>
        <v>输出</v>
      </c>
      <c r="D36" s="203">
        <f>VLOOKUP(A36,Sheet5!D:H,5,FALSE)</f>
        <v>16</v>
      </c>
      <c r="F36" s="236">
        <v>5</v>
      </c>
      <c r="G36" s="237" t="s">
        <v>9287</v>
      </c>
      <c r="H36" s="237">
        <v>1</v>
      </c>
      <c r="I36" t="str">
        <f t="shared" si="0"/>
        <v>5|1105|1</v>
      </c>
      <c r="J36" t="str">
        <f t="shared" si="1"/>
        <v>5|1105|1,5|1119|1,5|1112|1,5|1219|1,5|1212|1,5|1127|1,5|1120|1,5|1113|1,5|1108|1,5|1101|1,5|1211|1,5|1102|1</v>
      </c>
    </row>
    <row r="37" spans="1:10">
      <c r="A37" s="226">
        <v>1218</v>
      </c>
      <c r="B37" s="111" t="s">
        <v>9301</v>
      </c>
      <c r="C37" s="203" t="str">
        <f>VLOOKUP(A37,Sheet5!D:J,7,FALSE)</f>
        <v>输出</v>
      </c>
      <c r="D37" s="203">
        <f>VLOOKUP(A37,Sheet5!D:H,5,FALSE)</f>
        <v>16</v>
      </c>
      <c r="F37" s="236">
        <v>5</v>
      </c>
      <c r="G37" s="237" t="s">
        <v>9287</v>
      </c>
      <c r="H37" s="237">
        <v>1</v>
      </c>
      <c r="I37" t="str">
        <f t="shared" si="0"/>
        <v>5|1218|1</v>
      </c>
      <c r="J37" t="str">
        <f t="shared" si="1"/>
        <v>5|1218|1,5|1105|1,5|1119|1,5|1112|1,5|1219|1,5|1212|1,5|1127|1,5|1120|1,5|1113|1,5|1108|1,5|1101|1,5|1211|1,5|1102|1</v>
      </c>
    </row>
    <row r="38" spans="1:10">
      <c r="A38" s="203">
        <v>1124</v>
      </c>
      <c r="B38" s="203" t="s">
        <v>9302</v>
      </c>
      <c r="C38" s="203" t="str">
        <f>VLOOKUP(A38,Sheet5!D:J,7,FALSE)</f>
        <v>输出</v>
      </c>
      <c r="D38" s="203">
        <f>VLOOKUP(A38,Sheet5!D:H,5,FALSE)</f>
        <v>16</v>
      </c>
      <c r="F38" s="236">
        <v>5</v>
      </c>
      <c r="G38" s="237" t="s">
        <v>9287</v>
      </c>
      <c r="H38" s="237">
        <v>1</v>
      </c>
      <c r="I38" t="str">
        <f t="shared" si="0"/>
        <v>5|1124|1</v>
      </c>
      <c r="J38" t="str">
        <f t="shared" si="1"/>
        <v>5|1124|1,5|1218|1,5|1105|1,5|1119|1,5|1112|1,5|1219|1,5|1212|1,5|1127|1,5|1120|1,5|1113|1,5|1108|1,5|1101|1,5|1211|1,5|1102|1</v>
      </c>
    </row>
    <row r="39" spans="1:10">
      <c r="A39" s="128">
        <v>1213</v>
      </c>
      <c r="B39" s="128" t="s">
        <v>9303</v>
      </c>
      <c r="C39" s="203" t="str">
        <f>VLOOKUP(A39,Sheet5!D:J,7,FALSE)</f>
        <v>输出</v>
      </c>
      <c r="D39" s="203">
        <f>VLOOKUP(A39,Sheet5!D:H,5,FALSE)</f>
        <v>16</v>
      </c>
      <c r="F39" s="236">
        <v>5</v>
      </c>
      <c r="G39" s="237" t="s">
        <v>9287</v>
      </c>
      <c r="H39" s="237">
        <v>1</v>
      </c>
      <c r="I39" t="str">
        <f t="shared" si="0"/>
        <v>5|1213|1</v>
      </c>
      <c r="J39" t="str">
        <f t="shared" si="1"/>
        <v>5|1213|1,5|1124|1,5|1218|1,5|1105|1,5|1119|1,5|1112|1,5|1219|1,5|1212|1,5|1127|1,5|1120|1,5|1113|1,5|1108|1,5|1101|1,5|1211|1,5|1102|1</v>
      </c>
    </row>
    <row r="40" spans="1:10">
      <c r="A40" s="128">
        <v>1214</v>
      </c>
      <c r="B40" s="128" t="s">
        <v>9304</v>
      </c>
      <c r="C40" s="203" t="str">
        <f>VLOOKUP(A40,Sheet5!D:J,7,FALSE)</f>
        <v>输出</v>
      </c>
      <c r="D40" s="203">
        <f>VLOOKUP(A40,Sheet5!D:H,5,FALSE)</f>
        <v>16</v>
      </c>
      <c r="F40" s="236">
        <v>5</v>
      </c>
      <c r="G40" s="237" t="s">
        <v>9287</v>
      </c>
      <c r="H40" s="237">
        <v>1</v>
      </c>
      <c r="I40" t="str">
        <f t="shared" si="0"/>
        <v>5|1214|1</v>
      </c>
      <c r="J40" t="str">
        <f t="shared" si="1"/>
        <v>5|1214|1,5|1213|1,5|1124|1,5|1218|1,5|1105|1,5|1119|1,5|1112|1,5|1219|1,5|1212|1,5|1127|1,5|1120|1,5|1113|1,5|1108|1,5|1101|1,5|1211|1,5|1102|1</v>
      </c>
    </row>
    <row r="41" spans="1:10">
      <c r="A41" s="203">
        <v>1111</v>
      </c>
      <c r="B41" s="203" t="s">
        <v>28</v>
      </c>
      <c r="C41" s="203" t="str">
        <f>VLOOKUP(A41,Sheet5!D:J,7,FALSE)</f>
        <v>输出</v>
      </c>
      <c r="D41" s="203">
        <f>VLOOKUP(A41,Sheet5!D:H,5,FALSE)</f>
        <v>16</v>
      </c>
      <c r="F41" s="236">
        <v>5</v>
      </c>
      <c r="G41" s="237" t="s">
        <v>9287</v>
      </c>
      <c r="H41" s="237">
        <v>1</v>
      </c>
      <c r="I41" t="str">
        <f t="shared" si="0"/>
        <v>5|1111|1</v>
      </c>
      <c r="J41" t="str">
        <f t="shared" si="1"/>
        <v>5|1111|1,5|1214|1,5|1213|1,5|1124|1,5|1218|1,5|1105|1,5|1119|1,5|1112|1,5|1219|1,5|1212|1,5|1127|1,5|1120|1,5|1113|1,5|1108|1,5|1101|1,5|1211|1,5|1102|1</v>
      </c>
    </row>
    <row r="42" spans="1:10">
      <c r="A42" s="203">
        <v>1121</v>
      </c>
      <c r="B42" s="203" t="s">
        <v>48</v>
      </c>
      <c r="C42" s="203" t="str">
        <f>VLOOKUP(A42,Sheet5!D:J,7,FALSE)</f>
        <v>输出</v>
      </c>
      <c r="D42" s="203">
        <f>VLOOKUP(A42,Sheet5!D:H,5,FALSE)</f>
        <v>16</v>
      </c>
      <c r="F42" s="236">
        <v>5</v>
      </c>
      <c r="G42" s="237" t="s">
        <v>9287</v>
      </c>
      <c r="H42" s="237">
        <v>1</v>
      </c>
      <c r="I42" t="str">
        <f t="shared" si="0"/>
        <v>5|1121|1</v>
      </c>
      <c r="J42" t="str">
        <f t="shared" si="1"/>
        <v>5|1121|1,5|1111|1,5|1214|1,5|1213|1,5|1124|1,5|1218|1,5|1105|1,5|1119|1,5|1112|1,5|1219|1,5|1212|1,5|1127|1,5|1120|1,5|1113|1,5|1108|1,5|1101|1,5|1211|1,5|1102|1</v>
      </c>
    </row>
    <row r="43" spans="1:10">
      <c r="A43" s="208"/>
      <c r="B43" s="208"/>
      <c r="C43" s="208"/>
      <c r="D43" s="208"/>
    </row>
    <row r="45" spans="1:10">
      <c r="A45" s="203">
        <v>1104</v>
      </c>
      <c r="B45" s="203" t="s">
        <v>14</v>
      </c>
      <c r="C45" s="203" t="str">
        <f>VLOOKUP(A45,Sheet5!D:J,7,FALSE)</f>
        <v>防御</v>
      </c>
      <c r="D45" s="203">
        <f>VLOOKUP(A45,Sheet5!D:H,5,FALSE)</f>
        <v>13</v>
      </c>
      <c r="E45" s="222"/>
      <c r="F45" s="236">
        <v>5</v>
      </c>
      <c r="G45" s="237" t="s">
        <v>9287</v>
      </c>
      <c r="H45" s="237">
        <v>1</v>
      </c>
      <c r="I45" t="str">
        <f t="shared" ref="I45:I67" si="2">F45&amp;G45&amp;A45&amp;G45&amp;H45</f>
        <v>5|1104|1</v>
      </c>
      <c r="J45" t="str">
        <f>I45</f>
        <v>5|1104|1</v>
      </c>
    </row>
    <row r="46" spans="1:10">
      <c r="A46" s="203">
        <v>1132</v>
      </c>
      <c r="B46" s="203" t="s">
        <v>68</v>
      </c>
      <c r="C46" s="203" t="str">
        <f>VLOOKUP(A46,Sheet5!D:J,7,FALSE)</f>
        <v>防御</v>
      </c>
      <c r="D46" s="203">
        <f>VLOOKUP(A46,Sheet5!D:H,5,FALSE)</f>
        <v>13</v>
      </c>
      <c r="E46" s="222"/>
      <c r="F46" s="236">
        <v>5</v>
      </c>
      <c r="G46" s="237" t="s">
        <v>9287</v>
      </c>
      <c r="H46" s="237">
        <v>1</v>
      </c>
      <c r="I46" t="str">
        <f t="shared" si="2"/>
        <v>5|1132|1</v>
      </c>
      <c r="J46" t="str">
        <f>IF(C46=C45,I46&amp;","&amp;J45,I46)</f>
        <v>5|1132|1,5|1104|1</v>
      </c>
    </row>
    <row r="47" spans="1:10">
      <c r="A47" s="111">
        <v>1125</v>
      </c>
      <c r="B47" s="216" t="s">
        <v>56</v>
      </c>
      <c r="C47" s="203" t="str">
        <f>VLOOKUP(A47,Sheet5!D:J,7,FALSE)</f>
        <v>防御</v>
      </c>
      <c r="D47" s="203">
        <f>VLOOKUP(A47,Sheet5!D:H,5,FALSE)</f>
        <v>13</v>
      </c>
      <c r="E47" s="222"/>
      <c r="F47" s="236">
        <v>5</v>
      </c>
      <c r="G47" s="237" t="s">
        <v>9287</v>
      </c>
      <c r="H47" s="237">
        <v>1</v>
      </c>
      <c r="I47" t="str">
        <f t="shared" si="2"/>
        <v>5|1125|1</v>
      </c>
      <c r="J47" t="str">
        <f t="shared" ref="J47:J67" si="3">IF(C47=C46,I47&amp;","&amp;J46,I47)</f>
        <v>5|1125|1,5|1132|1,5|1104|1</v>
      </c>
    </row>
    <row r="48" spans="1:10">
      <c r="A48" s="203">
        <v>1122</v>
      </c>
      <c r="B48" s="203" t="s">
        <v>50</v>
      </c>
      <c r="C48" s="203" t="str">
        <f>VLOOKUP(A48,Sheet5!D:J,7,FALSE)</f>
        <v>防御</v>
      </c>
      <c r="D48" s="203">
        <f>VLOOKUP(A48,Sheet5!D:H,5,FALSE)</f>
        <v>13</v>
      </c>
      <c r="E48" s="222"/>
      <c r="F48" s="236">
        <v>5</v>
      </c>
      <c r="G48" s="237" t="s">
        <v>9287</v>
      </c>
      <c r="H48" s="237">
        <v>1</v>
      </c>
      <c r="I48" t="str">
        <f t="shared" si="2"/>
        <v>5|1122|1</v>
      </c>
      <c r="J48" t="str">
        <f t="shared" si="3"/>
        <v>5|1122|1,5|1125|1,5|1132|1,5|1104|1</v>
      </c>
    </row>
    <row r="49" spans="1:10">
      <c r="A49" s="203">
        <v>1114</v>
      </c>
      <c r="B49" s="203" t="s">
        <v>9306</v>
      </c>
      <c r="C49" s="203" t="str">
        <f>VLOOKUP(A49,Sheet5!D:J,7,FALSE)</f>
        <v>输出</v>
      </c>
      <c r="D49" s="203">
        <f>VLOOKUP(A49,Sheet5!D:H,5,FALSE)</f>
        <v>13</v>
      </c>
      <c r="E49" s="222"/>
      <c r="F49" s="236">
        <v>5</v>
      </c>
      <c r="G49" s="237" t="s">
        <v>9287</v>
      </c>
      <c r="H49" s="237">
        <v>1</v>
      </c>
      <c r="I49" t="str">
        <f t="shared" si="2"/>
        <v>5|1114|1</v>
      </c>
      <c r="J49" t="str">
        <f t="shared" si="3"/>
        <v>5|1114|1</v>
      </c>
    </row>
    <row r="50" spans="1:10">
      <c r="A50" s="203">
        <v>1110</v>
      </c>
      <c r="B50" s="203" t="s">
        <v>26</v>
      </c>
      <c r="C50" s="203" t="str">
        <f>VLOOKUP(A50,Sheet5!D:J,7,FALSE)</f>
        <v>输出</v>
      </c>
      <c r="D50" s="203">
        <f>VLOOKUP(A50,Sheet5!D:H,5,FALSE)</f>
        <v>13</v>
      </c>
      <c r="E50" s="222"/>
      <c r="F50" s="236">
        <v>5</v>
      </c>
      <c r="G50" s="237" t="s">
        <v>9287</v>
      </c>
      <c r="H50" s="237">
        <v>1</v>
      </c>
      <c r="I50" t="str">
        <f t="shared" si="2"/>
        <v>5|1110|1</v>
      </c>
      <c r="J50" t="str">
        <f t="shared" si="3"/>
        <v>5|1110|1,5|1114|1</v>
      </c>
    </row>
    <row r="51" spans="1:10">
      <c r="A51" s="128">
        <v>1202</v>
      </c>
      <c r="B51" s="128" t="s">
        <v>9307</v>
      </c>
      <c r="C51" s="203" t="str">
        <f>VLOOKUP(A51,Sheet5!D:J,7,FALSE)</f>
        <v>输出</v>
      </c>
      <c r="D51" s="203">
        <f>VLOOKUP(A51,Sheet5!D:H,5,FALSE)</f>
        <v>13</v>
      </c>
      <c r="E51" s="222"/>
      <c r="F51" s="236">
        <v>5</v>
      </c>
      <c r="G51" s="237" t="s">
        <v>9287</v>
      </c>
      <c r="H51" s="237">
        <v>1</v>
      </c>
      <c r="I51" t="str">
        <f t="shared" si="2"/>
        <v>5|1202|1</v>
      </c>
      <c r="J51" t="str">
        <f t="shared" si="3"/>
        <v>5|1202|1,5|1110|1,5|1114|1</v>
      </c>
    </row>
    <row r="52" spans="1:10">
      <c r="A52" s="203">
        <v>1123</v>
      </c>
      <c r="B52" s="203" t="s">
        <v>52</v>
      </c>
      <c r="C52" s="203" t="str">
        <f>VLOOKUP(A52,Sheet5!D:J,7,FALSE)</f>
        <v>输出</v>
      </c>
      <c r="D52" s="203">
        <f>VLOOKUP(A52,Sheet5!D:H,5,FALSE)</f>
        <v>13</v>
      </c>
      <c r="E52" s="222"/>
      <c r="F52" s="236">
        <v>5</v>
      </c>
      <c r="G52" s="237" t="s">
        <v>9287</v>
      </c>
      <c r="H52" s="237">
        <v>1</v>
      </c>
      <c r="I52" t="str">
        <f t="shared" si="2"/>
        <v>5|1123|1</v>
      </c>
      <c r="J52" t="str">
        <f t="shared" si="3"/>
        <v>5|1123|1,5|1202|1,5|1110|1,5|1114|1</v>
      </c>
    </row>
    <row r="53" spans="1:10">
      <c r="A53" s="203">
        <v>1117</v>
      </c>
      <c r="B53" s="203" t="s">
        <v>40</v>
      </c>
      <c r="C53" s="203" t="str">
        <f>VLOOKUP(A53,Sheet5!D:J,7,FALSE)</f>
        <v>输出</v>
      </c>
      <c r="D53" s="203">
        <f>VLOOKUP(A53,Sheet5!D:H,5,FALSE)</f>
        <v>13</v>
      </c>
      <c r="E53" s="222"/>
      <c r="F53" s="236">
        <v>5</v>
      </c>
      <c r="G53" s="237" t="s">
        <v>9287</v>
      </c>
      <c r="H53" s="237">
        <v>1</v>
      </c>
      <c r="I53" t="str">
        <f t="shared" si="2"/>
        <v>5|1117|1</v>
      </c>
      <c r="J53" t="str">
        <f t="shared" si="3"/>
        <v>5|1117|1,5|1123|1,5|1202|1,5|1110|1,5|1114|1</v>
      </c>
    </row>
    <row r="54" spans="1:10">
      <c r="A54" s="203">
        <v>1201</v>
      </c>
      <c r="B54" s="203" t="s">
        <v>9308</v>
      </c>
      <c r="C54" s="203" t="str">
        <f>VLOOKUP(A54,Sheet5!D:J,7,FALSE)</f>
        <v>输出</v>
      </c>
      <c r="D54" s="203">
        <f>VLOOKUP(A54,Sheet5!D:H,5,FALSE)</f>
        <v>13</v>
      </c>
      <c r="E54" s="222"/>
      <c r="F54" s="236">
        <v>5</v>
      </c>
      <c r="G54" s="237" t="s">
        <v>9287</v>
      </c>
      <c r="H54" s="237">
        <v>1</v>
      </c>
      <c r="I54" t="str">
        <f t="shared" si="2"/>
        <v>5|1201|1</v>
      </c>
      <c r="J54" t="str">
        <f t="shared" si="3"/>
        <v>5|1201|1,5|1117|1,5|1123|1,5|1202|1,5|1110|1,5|1114|1</v>
      </c>
    </row>
    <row r="55" spans="1:10">
      <c r="A55" s="203">
        <v>1131</v>
      </c>
      <c r="B55" s="203" t="s">
        <v>66</v>
      </c>
      <c r="C55" s="203" t="str">
        <f>VLOOKUP(A55,Sheet5!D:J,7,FALSE)</f>
        <v>输出</v>
      </c>
      <c r="D55" s="203">
        <f>VLOOKUP(A55,Sheet5!D:H,5,FALSE)</f>
        <v>13</v>
      </c>
      <c r="E55" s="222"/>
      <c r="F55" s="236">
        <v>5</v>
      </c>
      <c r="G55" s="237" t="s">
        <v>9287</v>
      </c>
      <c r="H55" s="237">
        <v>1</v>
      </c>
      <c r="I55" t="str">
        <f t="shared" si="2"/>
        <v>5|1131|1</v>
      </c>
      <c r="J55" t="str">
        <f t="shared" si="3"/>
        <v>5|1131|1,5|1201|1,5|1117|1,5|1123|1,5|1202|1,5|1110|1,5|1114|1</v>
      </c>
    </row>
    <row r="56" spans="1:10">
      <c r="A56" s="203">
        <v>1137</v>
      </c>
      <c r="B56" s="203" t="s">
        <v>76</v>
      </c>
      <c r="C56" s="203" t="str">
        <f>VLOOKUP(A56,Sheet5!D:J,7,FALSE)</f>
        <v>输出</v>
      </c>
      <c r="D56" s="203">
        <f>VLOOKUP(A56,Sheet5!D:H,5,FALSE)</f>
        <v>13</v>
      </c>
      <c r="E56" s="222"/>
      <c r="F56" s="236">
        <v>5</v>
      </c>
      <c r="G56" s="237" t="s">
        <v>9287</v>
      </c>
      <c r="H56" s="237">
        <v>1</v>
      </c>
      <c r="I56" t="str">
        <f t="shared" si="2"/>
        <v>5|1137|1</v>
      </c>
      <c r="J56" t="str">
        <f t="shared" si="3"/>
        <v>5|1137|1,5|1131|1,5|1201|1,5|1117|1,5|1123|1,5|1202|1,5|1110|1,5|1114|1</v>
      </c>
    </row>
    <row r="57" spans="1:10">
      <c r="A57" s="128">
        <v>1216</v>
      </c>
      <c r="B57" s="128" t="s">
        <v>9309</v>
      </c>
      <c r="C57" s="203" t="str">
        <f>VLOOKUP(A57,Sheet5!D:J,7,FALSE)</f>
        <v>输出</v>
      </c>
      <c r="D57" s="203">
        <f>VLOOKUP(A57,Sheet5!D:H,5,FALSE)</f>
        <v>13</v>
      </c>
      <c r="E57" s="222"/>
      <c r="F57" s="236">
        <v>5</v>
      </c>
      <c r="G57" s="237" t="s">
        <v>9287</v>
      </c>
      <c r="H57" s="237">
        <v>1</v>
      </c>
      <c r="I57" t="str">
        <f t="shared" si="2"/>
        <v>5|1216|1</v>
      </c>
      <c r="J57" t="str">
        <f t="shared" si="3"/>
        <v>5|1216|1,5|1137|1,5|1131|1,5|1201|1,5|1117|1,5|1123|1,5|1202|1,5|1110|1,5|1114|1</v>
      </c>
    </row>
    <row r="58" spans="1:10">
      <c r="A58" s="203">
        <v>1207</v>
      </c>
      <c r="B58" s="203" t="s">
        <v>9311</v>
      </c>
      <c r="C58" s="203" t="str">
        <f>VLOOKUP(A58,Sheet5!D:J,7,FALSE)</f>
        <v>输出</v>
      </c>
      <c r="D58" s="203">
        <f>VLOOKUP(A58,Sheet5!D:H,5,FALSE)</f>
        <v>13</v>
      </c>
      <c r="E58" s="222"/>
      <c r="F58" s="236">
        <v>5</v>
      </c>
      <c r="G58" s="237" t="s">
        <v>9287</v>
      </c>
      <c r="H58" s="237">
        <v>1</v>
      </c>
      <c r="I58" t="str">
        <f t="shared" si="2"/>
        <v>5|1207|1</v>
      </c>
      <c r="J58" t="str">
        <f t="shared" si="3"/>
        <v>5|1207|1,5|1216|1,5|1137|1,5|1131|1,5|1201|1,5|1117|1,5|1123|1,5|1202|1,5|1110|1,5|1114|1</v>
      </c>
    </row>
    <row r="59" spans="1:10">
      <c r="A59" s="203">
        <v>1103</v>
      </c>
      <c r="B59" s="203" t="s">
        <v>12</v>
      </c>
      <c r="C59" s="203" t="str">
        <f>VLOOKUP(A59,Sheet5!D:J,7,FALSE)</f>
        <v>治疗</v>
      </c>
      <c r="D59" s="203">
        <f>VLOOKUP(A59,Sheet5!D:H,5,FALSE)</f>
        <v>13</v>
      </c>
      <c r="E59" s="222"/>
      <c r="F59" s="236">
        <v>5</v>
      </c>
      <c r="G59" s="237" t="s">
        <v>9287</v>
      </c>
      <c r="H59" s="237">
        <v>1</v>
      </c>
      <c r="I59" t="str">
        <f t="shared" si="2"/>
        <v>5|1103|1</v>
      </c>
      <c r="J59" t="str">
        <f t="shared" si="3"/>
        <v>5|1103|1</v>
      </c>
    </row>
    <row r="60" spans="1:10">
      <c r="A60" s="111">
        <v>1109</v>
      </c>
      <c r="B60" s="111" t="s">
        <v>24</v>
      </c>
      <c r="C60" s="203" t="str">
        <f>VLOOKUP(A60,Sheet5!D:J,7,FALSE)</f>
        <v>治疗</v>
      </c>
      <c r="D60" s="203">
        <f>VLOOKUP(A60,Sheet5!D:H,5,FALSE)</f>
        <v>13</v>
      </c>
      <c r="E60" s="222"/>
      <c r="F60" s="236">
        <v>5</v>
      </c>
      <c r="G60" s="237" t="s">
        <v>9287</v>
      </c>
      <c r="H60" s="237">
        <v>1</v>
      </c>
      <c r="I60" t="str">
        <f t="shared" si="2"/>
        <v>5|1109|1</v>
      </c>
      <c r="J60" t="str">
        <f t="shared" si="3"/>
        <v>5|1109|1,5|1103|1</v>
      </c>
    </row>
    <row r="61" spans="1:10">
      <c r="A61" s="203">
        <v>1116</v>
      </c>
      <c r="B61" s="203" t="s">
        <v>38</v>
      </c>
      <c r="C61" s="203" t="str">
        <f>VLOOKUP(A61,Sheet5!D:J,7,FALSE)</f>
        <v>治疗</v>
      </c>
      <c r="D61" s="203">
        <f>VLOOKUP(A61,Sheet5!D:H,5,FALSE)</f>
        <v>13</v>
      </c>
      <c r="E61" s="222"/>
      <c r="F61" s="236">
        <v>5</v>
      </c>
      <c r="G61" s="237" t="s">
        <v>9287</v>
      </c>
      <c r="H61" s="237">
        <v>1</v>
      </c>
      <c r="I61" t="str">
        <f t="shared" si="2"/>
        <v>5|1116|1</v>
      </c>
      <c r="J61" t="str">
        <f t="shared" si="3"/>
        <v>5|1116|1,5|1109|1,5|1103|1</v>
      </c>
    </row>
    <row r="62" spans="1:10">
      <c r="A62" s="111">
        <v>1215</v>
      </c>
      <c r="B62" s="216" t="s">
        <v>9305</v>
      </c>
      <c r="C62" s="203" t="str">
        <f>VLOOKUP(A62,Sheet5!D:J,7,FALSE)</f>
        <v>治疗</v>
      </c>
      <c r="D62" s="203">
        <f>VLOOKUP(A62,Sheet5!D:H,5,FALSE)</f>
        <v>13</v>
      </c>
      <c r="E62" s="222"/>
      <c r="F62" s="236">
        <v>5</v>
      </c>
      <c r="G62" s="237" t="s">
        <v>9287</v>
      </c>
      <c r="H62" s="237">
        <v>1</v>
      </c>
      <c r="I62" t="str">
        <f t="shared" si="2"/>
        <v>5|1215|1</v>
      </c>
      <c r="J62" t="str">
        <f t="shared" si="3"/>
        <v>5|1215|1,5|1116|1,5|1109|1,5|1103|1</v>
      </c>
    </row>
    <row r="63" spans="1:10">
      <c r="A63" s="203">
        <v>1115</v>
      </c>
      <c r="B63" s="203" t="s">
        <v>36</v>
      </c>
      <c r="C63" s="203" t="str">
        <f>VLOOKUP(A63,Sheet5!D:J,7,FALSE)</f>
        <v>治疗</v>
      </c>
      <c r="D63" s="203">
        <f>VLOOKUP(A63,Sheet5!D:H,5,FALSE)</f>
        <v>13</v>
      </c>
      <c r="E63" s="222"/>
      <c r="F63" s="236">
        <v>5</v>
      </c>
      <c r="G63" s="237" t="s">
        <v>9287</v>
      </c>
      <c r="H63" s="237">
        <v>1</v>
      </c>
      <c r="I63" t="str">
        <f t="shared" si="2"/>
        <v>5|1115|1</v>
      </c>
      <c r="J63" t="str">
        <f>IF(C63=C62,I63&amp;","&amp;J62,I63)</f>
        <v>5|1115|1,5|1215|1,5|1116|1,5|1109|1,5|1103|1</v>
      </c>
    </row>
    <row r="64" spans="1:10">
      <c r="A64" s="128">
        <v>1126</v>
      </c>
      <c r="B64" s="128" t="s">
        <v>58</v>
      </c>
      <c r="C64" s="203" t="str">
        <f>VLOOKUP(A64,Sheet5!D:J,7,FALSE)</f>
        <v>治疗</v>
      </c>
      <c r="D64" s="203">
        <f>VLOOKUP(A64,Sheet5!D:H,5,FALSE)</f>
        <v>13</v>
      </c>
      <c r="E64" s="222"/>
      <c r="F64" s="236">
        <v>5</v>
      </c>
      <c r="G64" s="237" t="s">
        <v>9287</v>
      </c>
      <c r="H64" s="237">
        <v>1</v>
      </c>
      <c r="I64" t="str">
        <f t="shared" si="2"/>
        <v>5|1126|1</v>
      </c>
      <c r="J64" t="str">
        <f t="shared" si="3"/>
        <v>5|1126|1,5|1115|1,5|1215|1,5|1116|1,5|1109|1,5|1103|1</v>
      </c>
    </row>
    <row r="65" spans="1:10">
      <c r="A65" s="203">
        <v>1135</v>
      </c>
      <c r="B65" s="203" t="s">
        <v>72</v>
      </c>
      <c r="C65" s="203" t="s">
        <v>9379</v>
      </c>
      <c r="D65" s="203">
        <f>VLOOKUP(A65,Sheet5!D:H,5,FALSE)</f>
        <v>13</v>
      </c>
      <c r="E65" s="222"/>
      <c r="F65" s="236">
        <v>5</v>
      </c>
      <c r="G65" s="237" t="s">
        <v>9287</v>
      </c>
      <c r="H65" s="237">
        <v>1</v>
      </c>
      <c r="I65" t="str">
        <f t="shared" si="2"/>
        <v>5|1135|1</v>
      </c>
      <c r="J65" t="str">
        <f t="shared" si="3"/>
        <v>5|1135|1,5|1126|1,5|1115|1,5|1215|1,5|1116|1,5|1109|1,5|1103|1</v>
      </c>
    </row>
    <row r="66" spans="1:10">
      <c r="A66" s="203">
        <v>1106</v>
      </c>
      <c r="B66" s="203" t="s">
        <v>18</v>
      </c>
      <c r="C66" s="203" t="s">
        <v>9379</v>
      </c>
      <c r="D66" s="203">
        <f>VLOOKUP(A66,Sheet5!D:H,5,FALSE)</f>
        <v>13</v>
      </c>
      <c r="E66" s="222"/>
      <c r="F66" s="236">
        <v>5</v>
      </c>
      <c r="G66" s="237" t="s">
        <v>9287</v>
      </c>
      <c r="H66" s="237">
        <v>1</v>
      </c>
      <c r="I66" t="str">
        <f t="shared" si="2"/>
        <v>5|1106|1</v>
      </c>
      <c r="J66" t="str">
        <f t="shared" si="3"/>
        <v>5|1106|1,5|1135|1,5|1126|1,5|1115|1,5|1215|1,5|1116|1,5|1109|1,5|1103|1</v>
      </c>
    </row>
    <row r="67" spans="1:10">
      <c r="A67" s="111">
        <v>1208</v>
      </c>
      <c r="B67" s="111" t="s">
        <v>9310</v>
      </c>
      <c r="C67" s="203" t="s">
        <v>9379</v>
      </c>
      <c r="D67" s="203">
        <f>VLOOKUP(A67,Sheet5!D:H,5,FALSE)</f>
        <v>13</v>
      </c>
      <c r="E67" s="222"/>
      <c r="F67" s="236">
        <v>5</v>
      </c>
      <c r="G67" s="237" t="s">
        <v>9287</v>
      </c>
      <c r="H67" s="237">
        <v>1</v>
      </c>
      <c r="I67" t="str">
        <f t="shared" si="2"/>
        <v>5|1208|1</v>
      </c>
      <c r="J67" t="str">
        <f t="shared" si="3"/>
        <v>5|1208|1,5|1106|1,5|1135|1,5|1126|1,5|1115|1,5|1215|1,5|1116|1,5|1109|1,5|1103|1</v>
      </c>
    </row>
    <row r="68" spans="1:10" ht="13.5">
      <c r="A68"/>
      <c r="B68"/>
      <c r="C68"/>
      <c r="D68"/>
    </row>
    <row r="69" spans="1:10">
      <c r="A69" s="128">
        <v>1108</v>
      </c>
      <c r="B69" s="128" t="s">
        <v>9296</v>
      </c>
      <c r="C69" s="203" t="str">
        <f>VLOOKUP(A69,Sheet5!D:J,7,FALSE)</f>
        <v>防御</v>
      </c>
      <c r="D69" s="203">
        <f>VLOOKUP(A69,Sheet5!D:H,5,FALSE)</f>
        <v>16</v>
      </c>
      <c r="F69" s="236">
        <v>5</v>
      </c>
      <c r="G69" s="237" t="s">
        <v>9287</v>
      </c>
      <c r="H69" s="237">
        <v>1</v>
      </c>
      <c r="I69" t="str">
        <f>F69&amp;G69&amp;A69&amp;G69&amp;H69</f>
        <v>5|1108|1</v>
      </c>
      <c r="J69" t="str">
        <f>I69</f>
        <v>5|1108|1</v>
      </c>
    </row>
    <row r="70" spans="1:10">
      <c r="A70" s="203">
        <v>1113</v>
      </c>
      <c r="B70" s="203" t="s">
        <v>32</v>
      </c>
      <c r="C70" s="203" t="str">
        <f>VLOOKUP(A70,Sheet5!D:J,7,FALSE)</f>
        <v>防御</v>
      </c>
      <c r="D70" s="203">
        <f>VLOOKUP(A70,Sheet5!D:H,5,FALSE)</f>
        <v>16</v>
      </c>
      <c r="F70" s="236">
        <v>5</v>
      </c>
      <c r="G70" s="237" t="s">
        <v>9287</v>
      </c>
      <c r="H70" s="237">
        <v>1</v>
      </c>
      <c r="I70" t="str">
        <f t="shared" ref="I70:I86" si="4">F70&amp;G70&amp;A70&amp;G70&amp;H70</f>
        <v>5|1113|1</v>
      </c>
      <c r="J70" t="str">
        <f>IF(C70=C69,I70&amp;","&amp;J69,I70)</f>
        <v>5|1113|1,5|1108|1</v>
      </c>
    </row>
    <row r="71" spans="1:10">
      <c r="A71" s="203">
        <v>1120</v>
      </c>
      <c r="B71" s="203" t="s">
        <v>46</v>
      </c>
      <c r="C71" s="203" t="str">
        <f>VLOOKUP(A71,Sheet5!D:J,7,FALSE)</f>
        <v>防御</v>
      </c>
      <c r="D71" s="203">
        <f>VLOOKUP(A71,Sheet5!D:H,5,FALSE)</f>
        <v>16</v>
      </c>
      <c r="F71" s="236">
        <v>5</v>
      </c>
      <c r="G71" s="237" t="s">
        <v>9287</v>
      </c>
      <c r="H71" s="237">
        <v>1</v>
      </c>
      <c r="I71" t="str">
        <f t="shared" si="4"/>
        <v>5|1120|1</v>
      </c>
      <c r="J71" t="str">
        <f t="shared" ref="J71:J86" si="5">IF(C71=C70,I71&amp;","&amp;J70,I71)</f>
        <v>5|1120|1,5|1113|1,5|1108|1</v>
      </c>
    </row>
    <row r="72" spans="1:10">
      <c r="A72" s="128">
        <v>1127</v>
      </c>
      <c r="B72" s="128" t="s">
        <v>60</v>
      </c>
      <c r="C72" s="203" t="str">
        <f>VLOOKUP(A72,Sheet5!D:J,7,FALSE)</f>
        <v>防御</v>
      </c>
      <c r="D72" s="203">
        <f>VLOOKUP(A72,Sheet5!D:H,5,FALSE)</f>
        <v>16</v>
      </c>
      <c r="F72" s="236">
        <v>5</v>
      </c>
      <c r="G72" s="237" t="s">
        <v>9287</v>
      </c>
      <c r="H72" s="237">
        <v>1</v>
      </c>
      <c r="I72" t="str">
        <f t="shared" si="4"/>
        <v>5|1127|1</v>
      </c>
      <c r="J72" t="str">
        <f t="shared" si="5"/>
        <v>5|1127|1,5|1120|1,5|1113|1,5|1108|1</v>
      </c>
    </row>
    <row r="73" spans="1:10">
      <c r="A73" s="225">
        <v>1212</v>
      </c>
      <c r="B73" s="128" t="s">
        <v>9297</v>
      </c>
      <c r="C73" s="203" t="str">
        <f>VLOOKUP(A73,Sheet5!D:J,7,FALSE)</f>
        <v>防御</v>
      </c>
      <c r="D73" s="203">
        <f>VLOOKUP(A73,Sheet5!D:H,5,FALSE)</f>
        <v>16</v>
      </c>
      <c r="F73" s="236">
        <v>5</v>
      </c>
      <c r="G73" s="237" t="s">
        <v>9287</v>
      </c>
      <c r="H73" s="237">
        <v>1</v>
      </c>
      <c r="I73" t="str">
        <f t="shared" si="4"/>
        <v>5|1212|1</v>
      </c>
      <c r="J73" t="str">
        <f t="shared" si="5"/>
        <v>5|1212|1,5|1127|1,5|1120|1,5|1113|1,5|1108|1</v>
      </c>
    </row>
    <row r="74" spans="1:10">
      <c r="A74" s="226">
        <v>1219</v>
      </c>
      <c r="B74" s="111" t="s">
        <v>9298</v>
      </c>
      <c r="C74" s="203" t="str">
        <f>VLOOKUP(A74,Sheet5!D:J,7,FALSE)</f>
        <v>防御</v>
      </c>
      <c r="D74" s="203">
        <f>VLOOKUP(A74,Sheet5!D:H,5,FALSE)</f>
        <v>16</v>
      </c>
      <c r="F74" s="236">
        <v>5</v>
      </c>
      <c r="G74" s="237" t="s">
        <v>9287</v>
      </c>
      <c r="H74" s="237">
        <v>1</v>
      </c>
      <c r="I74" t="str">
        <f t="shared" si="4"/>
        <v>5|1219|1</v>
      </c>
      <c r="J74" t="str">
        <f t="shared" si="5"/>
        <v>5|1219|1,5|1212|1,5|1127|1,5|1120|1,5|1113|1,5|1108|1</v>
      </c>
    </row>
    <row r="75" spans="1:10">
      <c r="A75" s="203">
        <v>1102</v>
      </c>
      <c r="B75" s="203" t="s">
        <v>10</v>
      </c>
      <c r="C75" s="203" t="str">
        <f>VLOOKUP(A75,Sheet5!D:J,7,FALSE)</f>
        <v>输出</v>
      </c>
      <c r="D75" s="203">
        <f>VLOOKUP(A75,Sheet5!D:H,5,FALSE)</f>
        <v>16</v>
      </c>
      <c r="F75" s="236">
        <v>5</v>
      </c>
      <c r="G75" s="237" t="s">
        <v>9287</v>
      </c>
      <c r="H75" s="237">
        <v>1</v>
      </c>
      <c r="I75" t="str">
        <f t="shared" si="4"/>
        <v>5|1102|1</v>
      </c>
      <c r="J75" t="str">
        <f t="shared" si="5"/>
        <v>5|1102|1</v>
      </c>
    </row>
    <row r="76" spans="1:10">
      <c r="A76" s="203">
        <v>1211</v>
      </c>
      <c r="B76" s="203" t="s">
        <v>9295</v>
      </c>
      <c r="C76" s="203" t="str">
        <f>VLOOKUP(A76,Sheet5!D:J,7,FALSE)</f>
        <v>输出</v>
      </c>
      <c r="D76" s="203">
        <f>VLOOKUP(A76,Sheet5!D:H,5,FALSE)</f>
        <v>16</v>
      </c>
      <c r="F76" s="236">
        <v>5</v>
      </c>
      <c r="G76" s="237" t="s">
        <v>9287</v>
      </c>
      <c r="H76" s="237">
        <v>1</v>
      </c>
      <c r="I76" t="str">
        <f t="shared" si="4"/>
        <v>5|1211|1</v>
      </c>
      <c r="J76" t="str">
        <f t="shared" si="5"/>
        <v>5|1211|1,5|1102|1</v>
      </c>
    </row>
    <row r="77" spans="1:10">
      <c r="A77" s="203">
        <v>1101</v>
      </c>
      <c r="B77" s="203" t="s">
        <v>8</v>
      </c>
      <c r="C77" s="203" t="str">
        <f>VLOOKUP(A77,Sheet5!D:J,7,FALSE)</f>
        <v>输出</v>
      </c>
      <c r="D77" s="203">
        <f>VLOOKUP(A77,Sheet5!D:H,5,FALSE)</f>
        <v>16</v>
      </c>
      <c r="F77" s="236">
        <v>5</v>
      </c>
      <c r="G77" s="237" t="s">
        <v>9287</v>
      </c>
      <c r="H77" s="237">
        <v>1</v>
      </c>
      <c r="I77" t="str">
        <f t="shared" si="4"/>
        <v>5|1101|1</v>
      </c>
      <c r="J77" t="str">
        <f t="shared" si="5"/>
        <v>5|1101|1,5|1211|1,5|1102|1</v>
      </c>
    </row>
    <row r="78" spans="1:10">
      <c r="A78" s="203">
        <v>1112</v>
      </c>
      <c r="B78" s="203" t="s">
        <v>9299</v>
      </c>
      <c r="C78" s="203" t="str">
        <f>VLOOKUP(A78,Sheet5!D:J,7,FALSE)</f>
        <v>输出</v>
      </c>
      <c r="D78" s="203">
        <f>VLOOKUP(A78,Sheet5!D:H,5,FALSE)</f>
        <v>16</v>
      </c>
      <c r="F78" s="236">
        <v>5</v>
      </c>
      <c r="G78" s="237" t="s">
        <v>9287</v>
      </c>
      <c r="H78" s="237">
        <v>1</v>
      </c>
      <c r="I78" t="str">
        <f t="shared" si="4"/>
        <v>5|1112|1</v>
      </c>
      <c r="J78" t="str">
        <f t="shared" si="5"/>
        <v>5|1112|1,5|1101|1,5|1211|1,5|1102|1</v>
      </c>
    </row>
    <row r="79" spans="1:10">
      <c r="A79" s="203">
        <v>1119</v>
      </c>
      <c r="B79" s="203" t="s">
        <v>9300</v>
      </c>
      <c r="C79" s="203" t="str">
        <f>VLOOKUP(A79,Sheet5!D:J,7,FALSE)</f>
        <v>输出</v>
      </c>
      <c r="D79" s="203">
        <f>VLOOKUP(A79,Sheet5!D:H,5,FALSE)</f>
        <v>16</v>
      </c>
      <c r="F79" s="236">
        <v>5</v>
      </c>
      <c r="G79" s="237" t="s">
        <v>9287</v>
      </c>
      <c r="H79" s="237">
        <v>1</v>
      </c>
      <c r="I79" t="str">
        <f t="shared" si="4"/>
        <v>5|1119|1</v>
      </c>
      <c r="J79" t="str">
        <f t="shared" si="5"/>
        <v>5|1119|1,5|1112|1,5|1101|1,5|1211|1,5|1102|1</v>
      </c>
    </row>
    <row r="80" spans="1:10">
      <c r="A80" s="203">
        <v>1105</v>
      </c>
      <c r="B80" s="203" t="s">
        <v>16</v>
      </c>
      <c r="C80" s="203" t="str">
        <f>VLOOKUP(A80,Sheet5!D:J,7,FALSE)</f>
        <v>输出</v>
      </c>
      <c r="D80" s="203">
        <f>VLOOKUP(A80,Sheet5!D:H,5,FALSE)</f>
        <v>16</v>
      </c>
      <c r="F80" s="236">
        <v>5</v>
      </c>
      <c r="G80" s="237" t="s">
        <v>9287</v>
      </c>
      <c r="H80" s="237">
        <v>1</v>
      </c>
      <c r="I80" t="str">
        <f t="shared" si="4"/>
        <v>5|1105|1</v>
      </c>
      <c r="J80" t="str">
        <f t="shared" si="5"/>
        <v>5|1105|1,5|1119|1,5|1112|1,5|1101|1,5|1211|1,5|1102|1</v>
      </c>
    </row>
    <row r="81" spans="1:10">
      <c r="A81" s="226">
        <v>1218</v>
      </c>
      <c r="B81" s="111" t="s">
        <v>9301</v>
      </c>
      <c r="C81" s="203" t="str">
        <f>VLOOKUP(A81,Sheet5!D:J,7,FALSE)</f>
        <v>输出</v>
      </c>
      <c r="D81" s="203">
        <f>VLOOKUP(A81,Sheet5!D:H,5,FALSE)</f>
        <v>16</v>
      </c>
      <c r="F81" s="236">
        <v>5</v>
      </c>
      <c r="G81" s="237" t="s">
        <v>9287</v>
      </c>
      <c r="H81" s="237">
        <v>1</v>
      </c>
      <c r="I81" t="str">
        <f t="shared" si="4"/>
        <v>5|1218|1</v>
      </c>
      <c r="J81" t="str">
        <f t="shared" si="5"/>
        <v>5|1218|1,5|1105|1,5|1119|1,5|1112|1,5|1101|1,5|1211|1,5|1102|1</v>
      </c>
    </row>
    <row r="82" spans="1:10">
      <c r="A82" s="203">
        <v>1124</v>
      </c>
      <c r="B82" s="203" t="s">
        <v>9302</v>
      </c>
      <c r="C82" s="203" t="str">
        <f>VLOOKUP(A82,Sheet5!D:J,7,FALSE)</f>
        <v>输出</v>
      </c>
      <c r="D82" s="203">
        <f>VLOOKUP(A82,Sheet5!D:H,5,FALSE)</f>
        <v>16</v>
      </c>
      <c r="F82" s="236">
        <v>5</v>
      </c>
      <c r="G82" s="237" t="s">
        <v>9287</v>
      </c>
      <c r="H82" s="237">
        <v>1</v>
      </c>
      <c r="I82" t="str">
        <f t="shared" si="4"/>
        <v>5|1124|1</v>
      </c>
      <c r="J82" t="str">
        <f t="shared" si="5"/>
        <v>5|1124|1,5|1218|1,5|1105|1,5|1119|1,5|1112|1,5|1101|1,5|1211|1,5|1102|1</v>
      </c>
    </row>
    <row r="83" spans="1:10">
      <c r="A83" s="128">
        <v>1213</v>
      </c>
      <c r="B83" s="128" t="s">
        <v>9303</v>
      </c>
      <c r="C83" s="203" t="str">
        <f>VLOOKUP(A83,Sheet5!D:J,7,FALSE)</f>
        <v>输出</v>
      </c>
      <c r="D83" s="203">
        <f>VLOOKUP(A83,Sheet5!D:H,5,FALSE)</f>
        <v>16</v>
      </c>
      <c r="F83" s="236">
        <v>5</v>
      </c>
      <c r="G83" s="237" t="s">
        <v>9287</v>
      </c>
      <c r="H83" s="237">
        <v>1</v>
      </c>
      <c r="I83" t="str">
        <f t="shared" si="4"/>
        <v>5|1213|1</v>
      </c>
      <c r="J83" t="str">
        <f t="shared" si="5"/>
        <v>5|1213|1,5|1124|1,5|1218|1,5|1105|1,5|1119|1,5|1112|1,5|1101|1,5|1211|1,5|1102|1</v>
      </c>
    </row>
    <row r="84" spans="1:10">
      <c r="A84" s="128">
        <v>1214</v>
      </c>
      <c r="B84" s="128" t="s">
        <v>9304</v>
      </c>
      <c r="C84" s="203" t="str">
        <f>VLOOKUP(A84,Sheet5!D:J,7,FALSE)</f>
        <v>输出</v>
      </c>
      <c r="D84" s="203">
        <f>VLOOKUP(A84,Sheet5!D:H,5,FALSE)</f>
        <v>16</v>
      </c>
      <c r="F84" s="236">
        <v>5</v>
      </c>
      <c r="G84" s="237" t="s">
        <v>9287</v>
      </c>
      <c r="H84" s="237">
        <v>1</v>
      </c>
      <c r="I84" t="str">
        <f t="shared" si="4"/>
        <v>5|1214|1</v>
      </c>
      <c r="J84" t="str">
        <f t="shared" si="5"/>
        <v>5|1214|1,5|1213|1,5|1124|1,5|1218|1,5|1105|1,5|1119|1,5|1112|1,5|1101|1,5|1211|1,5|1102|1</v>
      </c>
    </row>
    <row r="85" spans="1:10">
      <c r="A85" s="203">
        <v>1111</v>
      </c>
      <c r="B85" s="203" t="s">
        <v>28</v>
      </c>
      <c r="C85" s="203" t="str">
        <f>VLOOKUP(A85,Sheet5!D:J,7,FALSE)</f>
        <v>输出</v>
      </c>
      <c r="D85" s="203">
        <f>VLOOKUP(A85,Sheet5!D:H,5,FALSE)</f>
        <v>16</v>
      </c>
      <c r="F85" s="236">
        <v>5</v>
      </c>
      <c r="G85" s="237" t="s">
        <v>9287</v>
      </c>
      <c r="H85" s="237">
        <v>1</v>
      </c>
      <c r="I85" t="str">
        <f t="shared" si="4"/>
        <v>5|1111|1</v>
      </c>
      <c r="J85" t="str">
        <f t="shared" si="5"/>
        <v>5|1111|1,5|1214|1,5|1213|1,5|1124|1,5|1218|1,5|1105|1,5|1119|1,5|1112|1,5|1101|1,5|1211|1,5|1102|1</v>
      </c>
    </row>
    <row r="86" spans="1:10">
      <c r="A86" s="203">
        <v>1121</v>
      </c>
      <c r="B86" s="203" t="s">
        <v>48</v>
      </c>
      <c r="C86" s="203" t="str">
        <f>VLOOKUP(A86,Sheet5!D:J,7,FALSE)</f>
        <v>输出</v>
      </c>
      <c r="D86" s="203">
        <f>VLOOKUP(A86,Sheet5!D:H,5,FALSE)</f>
        <v>16</v>
      </c>
      <c r="F86" s="236">
        <v>5</v>
      </c>
      <c r="G86" s="237" t="s">
        <v>9287</v>
      </c>
      <c r="H86" s="237">
        <v>1</v>
      </c>
      <c r="I86" t="str">
        <f t="shared" si="4"/>
        <v>5|1121|1</v>
      </c>
      <c r="J86" t="str">
        <f t="shared" si="5"/>
        <v>5|1121|1,5|1111|1,5|1214|1,5|1213|1,5|1124|1,5|1218|1,5|1105|1,5|1119|1,5|1112|1,5|1101|1,5|1211|1,5|1102|1</v>
      </c>
    </row>
  </sheetData>
  <sortState ref="A69:D86">
    <sortCondition ref="C69"/>
  </sortState>
  <phoneticPr fontId="1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K130"/>
  <sheetViews>
    <sheetView topLeftCell="A61" workbookViewId="0">
      <selection activeCell="D116" sqref="D116"/>
    </sheetView>
  </sheetViews>
  <sheetFormatPr defaultRowHeight="16.5"/>
  <cols>
    <col min="1" max="1" width="21.375" style="233" bestFit="1" customWidth="1"/>
    <col min="2" max="2" width="16.375" style="233" customWidth="1"/>
  </cols>
  <sheetData>
    <row r="1" spans="1:11" ht="148.5">
      <c r="A1" s="223" t="s">
        <v>9290</v>
      </c>
      <c r="B1" s="223" t="s">
        <v>9320</v>
      </c>
      <c r="D1" t="s">
        <v>9326</v>
      </c>
      <c r="E1" t="s">
        <v>9327</v>
      </c>
      <c r="F1" t="s">
        <v>9328</v>
      </c>
      <c r="G1" t="s">
        <v>9329</v>
      </c>
      <c r="H1" t="s">
        <v>9330</v>
      </c>
      <c r="I1" t="s">
        <v>9331</v>
      </c>
      <c r="J1" t="s">
        <v>9332</v>
      </c>
      <c r="K1" t="s">
        <v>9333</v>
      </c>
    </row>
    <row r="2" spans="1:11">
      <c r="A2" s="224" t="s">
        <v>9291</v>
      </c>
      <c r="B2" s="224" t="s">
        <v>9321</v>
      </c>
      <c r="D2">
        <v>1211</v>
      </c>
      <c r="E2" t="s">
        <v>9334</v>
      </c>
      <c r="F2" t="s">
        <v>9335</v>
      </c>
      <c r="G2">
        <v>4</v>
      </c>
      <c r="H2">
        <v>16</v>
      </c>
      <c r="I2" t="s">
        <v>9336</v>
      </c>
      <c r="J2" t="s">
        <v>9325</v>
      </c>
      <c r="K2" t="s">
        <v>9337</v>
      </c>
    </row>
    <row r="3" spans="1:11">
      <c r="A3" s="224" t="s">
        <v>6</v>
      </c>
      <c r="B3" s="224" t="s">
        <v>6</v>
      </c>
      <c r="D3">
        <v>1121</v>
      </c>
      <c r="E3" t="s">
        <v>48</v>
      </c>
      <c r="F3" t="s">
        <v>9335</v>
      </c>
      <c r="G3">
        <v>4</v>
      </c>
      <c r="H3">
        <v>16</v>
      </c>
      <c r="I3" t="s">
        <v>9338</v>
      </c>
      <c r="J3" t="s">
        <v>9325</v>
      </c>
      <c r="K3" t="s">
        <v>9339</v>
      </c>
    </row>
    <row r="4" spans="1:11">
      <c r="A4" s="203" t="s">
        <v>9292</v>
      </c>
      <c r="B4" s="203">
        <v>2</v>
      </c>
      <c r="D4">
        <v>1127</v>
      </c>
      <c r="E4" t="s">
        <v>60</v>
      </c>
      <c r="F4" t="s">
        <v>9335</v>
      </c>
      <c r="G4">
        <v>4</v>
      </c>
      <c r="H4">
        <v>16</v>
      </c>
      <c r="I4" t="s">
        <v>9336</v>
      </c>
      <c r="J4" t="s">
        <v>9318</v>
      </c>
      <c r="K4" t="s">
        <v>9340</v>
      </c>
    </row>
    <row r="5" spans="1:11">
      <c r="A5" s="203" t="s">
        <v>9293</v>
      </c>
      <c r="B5" s="203">
        <v>2</v>
      </c>
      <c r="D5">
        <v>1212</v>
      </c>
      <c r="E5" t="s">
        <v>9297</v>
      </c>
      <c r="F5" t="s">
        <v>9335</v>
      </c>
      <c r="G5">
        <v>4</v>
      </c>
      <c r="H5">
        <v>16</v>
      </c>
      <c r="I5" t="s">
        <v>9338</v>
      </c>
      <c r="J5" t="s">
        <v>9318</v>
      </c>
      <c r="K5" t="s">
        <v>9341</v>
      </c>
    </row>
    <row r="6" spans="1:11">
      <c r="A6" s="203">
        <v>1102</v>
      </c>
      <c r="B6" s="203">
        <v>5</v>
      </c>
      <c r="D6">
        <v>1213</v>
      </c>
      <c r="E6" t="s">
        <v>9303</v>
      </c>
      <c r="F6" t="s">
        <v>9335</v>
      </c>
      <c r="G6">
        <v>4</v>
      </c>
      <c r="H6">
        <v>16</v>
      </c>
      <c r="I6" t="s">
        <v>9338</v>
      </c>
      <c r="J6" t="s">
        <v>9325</v>
      </c>
      <c r="K6" t="s">
        <v>9342</v>
      </c>
    </row>
    <row r="7" spans="1:11">
      <c r="A7" s="203">
        <v>1211</v>
      </c>
      <c r="B7" s="203">
        <v>5</v>
      </c>
      <c r="D7">
        <v>1214</v>
      </c>
      <c r="E7" t="s">
        <v>9343</v>
      </c>
      <c r="F7" t="s">
        <v>9335</v>
      </c>
      <c r="G7">
        <v>4</v>
      </c>
      <c r="H7">
        <v>16</v>
      </c>
      <c r="I7" t="s">
        <v>9336</v>
      </c>
      <c r="J7" t="s">
        <v>9325</v>
      </c>
      <c r="K7" t="s">
        <v>9337</v>
      </c>
    </row>
    <row r="8" spans="1:11">
      <c r="A8" s="203">
        <v>1101</v>
      </c>
      <c r="B8" s="203">
        <v>3</v>
      </c>
      <c r="D8">
        <v>1215</v>
      </c>
      <c r="E8" t="s">
        <v>9322</v>
      </c>
      <c r="F8" t="s">
        <v>9335</v>
      </c>
      <c r="G8">
        <v>4</v>
      </c>
      <c r="H8">
        <v>13</v>
      </c>
      <c r="I8" t="s">
        <v>9338</v>
      </c>
      <c r="J8" t="s">
        <v>9344</v>
      </c>
      <c r="K8" t="s">
        <v>9344</v>
      </c>
    </row>
    <row r="9" spans="1:11">
      <c r="A9" s="128">
        <v>1108</v>
      </c>
      <c r="B9" s="203">
        <v>4</v>
      </c>
      <c r="D9">
        <v>1126</v>
      </c>
      <c r="E9" t="s">
        <v>58</v>
      </c>
      <c r="F9" t="s">
        <v>9335</v>
      </c>
      <c r="G9">
        <v>4</v>
      </c>
      <c r="H9">
        <v>13</v>
      </c>
      <c r="I9" t="s">
        <v>9338</v>
      </c>
      <c r="J9" t="s">
        <v>9344</v>
      </c>
      <c r="K9" t="s">
        <v>9344</v>
      </c>
    </row>
    <row r="10" spans="1:11">
      <c r="A10" s="203">
        <v>1113</v>
      </c>
      <c r="B10" s="203">
        <v>4</v>
      </c>
      <c r="D10">
        <v>1122</v>
      </c>
      <c r="E10" t="s">
        <v>50</v>
      </c>
      <c r="F10" t="s">
        <v>9335</v>
      </c>
      <c r="G10">
        <v>4</v>
      </c>
      <c r="H10">
        <v>13</v>
      </c>
      <c r="I10" t="s">
        <v>9338</v>
      </c>
      <c r="J10" t="s">
        <v>9318</v>
      </c>
      <c r="K10" t="s">
        <v>9345</v>
      </c>
    </row>
    <row r="11" spans="1:11">
      <c r="A11" s="203">
        <v>1120</v>
      </c>
      <c r="B11" s="203">
        <v>4</v>
      </c>
      <c r="D11">
        <v>1125</v>
      </c>
      <c r="E11" t="s">
        <v>56</v>
      </c>
      <c r="F11" t="s">
        <v>9335</v>
      </c>
      <c r="G11">
        <v>4</v>
      </c>
      <c r="H11">
        <v>13</v>
      </c>
      <c r="I11" t="s">
        <v>9336</v>
      </c>
      <c r="J11" t="s">
        <v>9318</v>
      </c>
      <c r="K11" t="s">
        <v>9346</v>
      </c>
    </row>
    <row r="12" spans="1:11">
      <c r="A12" s="128">
        <v>1127</v>
      </c>
      <c r="B12" s="203">
        <v>4</v>
      </c>
      <c r="D12">
        <v>1110</v>
      </c>
      <c r="E12" t="s">
        <v>26</v>
      </c>
      <c r="F12" t="s">
        <v>9335</v>
      </c>
      <c r="G12">
        <v>4</v>
      </c>
      <c r="H12">
        <v>13</v>
      </c>
      <c r="I12" t="s">
        <v>9336</v>
      </c>
      <c r="J12" t="s">
        <v>9325</v>
      </c>
      <c r="K12" t="s">
        <v>9347</v>
      </c>
    </row>
    <row r="13" spans="1:11">
      <c r="A13" s="225">
        <v>1212</v>
      </c>
      <c r="B13" s="129">
        <v>4</v>
      </c>
      <c r="D13">
        <v>1216</v>
      </c>
      <c r="E13" t="s">
        <v>9309</v>
      </c>
      <c r="F13" t="s">
        <v>9335</v>
      </c>
      <c r="G13">
        <v>4</v>
      </c>
      <c r="H13">
        <v>13</v>
      </c>
      <c r="I13" t="s">
        <v>9338</v>
      </c>
      <c r="J13" t="s">
        <v>9325</v>
      </c>
      <c r="K13" t="s">
        <v>9348</v>
      </c>
    </row>
    <row r="14" spans="1:11">
      <c r="A14" s="226">
        <v>1219</v>
      </c>
      <c r="B14" s="226">
        <v>4</v>
      </c>
      <c r="D14">
        <v>1202</v>
      </c>
      <c r="E14" t="s">
        <v>9323</v>
      </c>
      <c r="F14" t="s">
        <v>9335</v>
      </c>
      <c r="G14">
        <v>4</v>
      </c>
      <c r="H14">
        <v>13</v>
      </c>
      <c r="I14" t="s">
        <v>9336</v>
      </c>
      <c r="J14" t="s">
        <v>9325</v>
      </c>
      <c r="K14" t="s">
        <v>9349</v>
      </c>
    </row>
    <row r="15" spans="1:11">
      <c r="A15" s="203">
        <v>1112</v>
      </c>
      <c r="B15" s="203">
        <v>3</v>
      </c>
      <c r="D15">
        <v>1207</v>
      </c>
      <c r="E15" t="s">
        <v>9311</v>
      </c>
      <c r="F15" t="s">
        <v>9335</v>
      </c>
      <c r="G15">
        <v>4</v>
      </c>
      <c r="H15">
        <v>13</v>
      </c>
      <c r="I15" t="s">
        <v>9338</v>
      </c>
      <c r="J15" t="s">
        <v>9325</v>
      </c>
      <c r="K15" t="s">
        <v>9350</v>
      </c>
    </row>
    <row r="16" spans="1:11">
      <c r="A16" s="203">
        <v>1119</v>
      </c>
      <c r="B16" s="203">
        <v>3</v>
      </c>
      <c r="D16">
        <v>1130</v>
      </c>
      <c r="E16" t="s">
        <v>64</v>
      </c>
      <c r="F16" t="s">
        <v>9335</v>
      </c>
      <c r="G16">
        <v>3</v>
      </c>
      <c r="H16">
        <v>11</v>
      </c>
      <c r="I16" t="s">
        <v>9336</v>
      </c>
      <c r="J16" t="s">
        <v>9318</v>
      </c>
      <c r="K16" t="s">
        <v>9351</v>
      </c>
    </row>
    <row r="17" spans="1:11">
      <c r="A17" s="203">
        <v>1105</v>
      </c>
      <c r="B17" s="203">
        <v>2</v>
      </c>
      <c r="D17">
        <v>1118</v>
      </c>
      <c r="E17" t="s">
        <v>42</v>
      </c>
      <c r="F17" t="s">
        <v>9335</v>
      </c>
      <c r="G17">
        <v>3</v>
      </c>
      <c r="H17">
        <v>11</v>
      </c>
      <c r="I17" t="s">
        <v>9336</v>
      </c>
      <c r="J17" t="s">
        <v>9325</v>
      </c>
      <c r="K17" t="s">
        <v>9349</v>
      </c>
    </row>
    <row r="18" spans="1:11">
      <c r="A18" s="226">
        <v>1218</v>
      </c>
      <c r="B18" s="226">
        <v>2</v>
      </c>
      <c r="D18">
        <v>1136</v>
      </c>
      <c r="E18" t="s">
        <v>74</v>
      </c>
      <c r="F18" t="s">
        <v>9335</v>
      </c>
      <c r="G18">
        <v>3</v>
      </c>
      <c r="H18">
        <v>11</v>
      </c>
      <c r="I18" t="s">
        <v>9338</v>
      </c>
      <c r="J18" t="s">
        <v>9317</v>
      </c>
      <c r="K18" t="s">
        <v>9344</v>
      </c>
    </row>
    <row r="19" spans="1:11">
      <c r="A19" s="203">
        <v>1124</v>
      </c>
      <c r="B19" s="203">
        <v>2</v>
      </c>
      <c r="D19">
        <v>1128</v>
      </c>
      <c r="E19" t="s">
        <v>62</v>
      </c>
      <c r="F19" t="s">
        <v>9335</v>
      </c>
      <c r="G19">
        <v>3</v>
      </c>
      <c r="H19">
        <v>11</v>
      </c>
      <c r="I19" t="s">
        <v>9338</v>
      </c>
      <c r="J19" t="s">
        <v>9317</v>
      </c>
      <c r="K19" t="s">
        <v>9352</v>
      </c>
    </row>
    <row r="20" spans="1:11">
      <c r="A20" s="128">
        <v>1126</v>
      </c>
      <c r="B20" s="203">
        <v>1</v>
      </c>
      <c r="D20">
        <v>1192</v>
      </c>
      <c r="E20" t="s">
        <v>9315</v>
      </c>
      <c r="F20" t="s">
        <v>9335</v>
      </c>
      <c r="G20">
        <v>3</v>
      </c>
      <c r="H20">
        <v>11</v>
      </c>
      <c r="I20" t="s">
        <v>9338</v>
      </c>
      <c r="J20" t="s">
        <v>9317</v>
      </c>
      <c r="K20" t="s">
        <v>9325</v>
      </c>
    </row>
    <row r="21" spans="1:11">
      <c r="A21" s="128">
        <v>1213</v>
      </c>
      <c r="B21" s="203">
        <v>2</v>
      </c>
      <c r="D21">
        <v>1152</v>
      </c>
      <c r="E21" t="s">
        <v>96</v>
      </c>
      <c r="F21" t="s">
        <v>9335</v>
      </c>
      <c r="G21">
        <v>3</v>
      </c>
      <c r="H21">
        <v>11</v>
      </c>
      <c r="I21" t="s">
        <v>9336</v>
      </c>
      <c r="J21" t="s">
        <v>9318</v>
      </c>
      <c r="K21" t="s">
        <v>9345</v>
      </c>
    </row>
    <row r="22" spans="1:11">
      <c r="A22" s="128">
        <v>1214</v>
      </c>
      <c r="B22" s="203">
        <v>2</v>
      </c>
      <c r="D22">
        <v>1101</v>
      </c>
      <c r="E22" t="s">
        <v>8</v>
      </c>
      <c r="F22" t="s">
        <v>9353</v>
      </c>
      <c r="G22">
        <v>4</v>
      </c>
      <c r="H22">
        <v>16</v>
      </c>
      <c r="I22" t="s">
        <v>9336</v>
      </c>
      <c r="J22" t="s">
        <v>9325</v>
      </c>
      <c r="K22" t="s">
        <v>9354</v>
      </c>
    </row>
    <row r="23" spans="1:11">
      <c r="A23" s="203">
        <v>1103</v>
      </c>
      <c r="B23" s="203">
        <v>1</v>
      </c>
      <c r="D23">
        <v>1105</v>
      </c>
      <c r="E23" t="s">
        <v>16</v>
      </c>
      <c r="F23" t="s">
        <v>9353</v>
      </c>
      <c r="G23">
        <v>4</v>
      </c>
      <c r="H23">
        <v>16</v>
      </c>
      <c r="I23" t="s">
        <v>9338</v>
      </c>
      <c r="J23" t="s">
        <v>9325</v>
      </c>
      <c r="K23" t="s">
        <v>9337</v>
      </c>
    </row>
    <row r="24" spans="1:11">
      <c r="A24" s="111">
        <v>1109</v>
      </c>
      <c r="B24" s="111">
        <v>1</v>
      </c>
      <c r="D24">
        <v>1108</v>
      </c>
      <c r="E24" t="s">
        <v>22</v>
      </c>
      <c r="F24" t="s">
        <v>9353</v>
      </c>
      <c r="G24">
        <v>4</v>
      </c>
      <c r="H24">
        <v>16</v>
      </c>
      <c r="I24" t="s">
        <v>9336</v>
      </c>
      <c r="J24" t="s">
        <v>9318</v>
      </c>
      <c r="K24" t="s">
        <v>9340</v>
      </c>
    </row>
    <row r="25" spans="1:11">
      <c r="A25" s="203">
        <v>1111</v>
      </c>
      <c r="B25" s="203">
        <v>2</v>
      </c>
      <c r="D25">
        <v>1219</v>
      </c>
      <c r="E25" t="s">
        <v>9298</v>
      </c>
      <c r="F25" t="s">
        <v>9353</v>
      </c>
      <c r="G25">
        <v>4</v>
      </c>
      <c r="H25">
        <v>16</v>
      </c>
      <c r="I25" t="s">
        <v>9336</v>
      </c>
      <c r="J25" t="s">
        <v>9318</v>
      </c>
      <c r="K25" t="s">
        <v>9355</v>
      </c>
    </row>
    <row r="26" spans="1:11">
      <c r="A26" s="203">
        <v>1116</v>
      </c>
      <c r="B26" s="203">
        <v>1</v>
      </c>
      <c r="D26">
        <v>1102</v>
      </c>
      <c r="E26" t="s">
        <v>10</v>
      </c>
      <c r="F26" t="s">
        <v>9353</v>
      </c>
      <c r="G26">
        <v>4</v>
      </c>
      <c r="H26">
        <v>16</v>
      </c>
      <c r="I26" t="s">
        <v>9336</v>
      </c>
      <c r="J26" t="s">
        <v>9325</v>
      </c>
      <c r="K26" t="s">
        <v>9337</v>
      </c>
    </row>
    <row r="27" spans="1:11">
      <c r="A27" s="203">
        <v>1121</v>
      </c>
      <c r="B27" s="203">
        <v>2</v>
      </c>
      <c r="D27">
        <v>1218</v>
      </c>
      <c r="E27" t="s">
        <v>9301</v>
      </c>
      <c r="F27" t="s">
        <v>9353</v>
      </c>
      <c r="G27">
        <v>4</v>
      </c>
      <c r="H27">
        <v>16</v>
      </c>
      <c r="I27" t="s">
        <v>9338</v>
      </c>
      <c r="J27" t="s">
        <v>9325</v>
      </c>
      <c r="K27" t="s">
        <v>9354</v>
      </c>
    </row>
    <row r="28" spans="1:11">
      <c r="A28" s="111">
        <v>1215</v>
      </c>
      <c r="B28" s="111">
        <v>1</v>
      </c>
      <c r="D28">
        <v>1103</v>
      </c>
      <c r="E28" t="s">
        <v>12</v>
      </c>
      <c r="F28" t="s">
        <v>9353</v>
      </c>
      <c r="G28">
        <v>4</v>
      </c>
      <c r="H28">
        <v>13</v>
      </c>
      <c r="I28" t="s">
        <v>9338</v>
      </c>
      <c r="J28" t="s">
        <v>9344</v>
      </c>
      <c r="K28" t="s">
        <v>9356</v>
      </c>
    </row>
    <row r="29" spans="1:11">
      <c r="A29" s="203">
        <v>1114</v>
      </c>
      <c r="B29" s="203">
        <v>5</v>
      </c>
      <c r="D29">
        <v>1109</v>
      </c>
      <c r="E29" t="s">
        <v>24</v>
      </c>
      <c r="F29" t="s">
        <v>9353</v>
      </c>
      <c r="G29">
        <v>4</v>
      </c>
      <c r="H29">
        <v>13</v>
      </c>
      <c r="I29" t="s">
        <v>9338</v>
      </c>
      <c r="J29" t="s">
        <v>9344</v>
      </c>
      <c r="K29" t="s">
        <v>9357</v>
      </c>
    </row>
    <row r="30" spans="1:11">
      <c r="A30" s="203">
        <v>1110</v>
      </c>
      <c r="B30" s="203">
        <v>5</v>
      </c>
      <c r="D30">
        <v>1104</v>
      </c>
      <c r="E30" t="s">
        <v>14</v>
      </c>
      <c r="F30" t="s">
        <v>9353</v>
      </c>
      <c r="G30">
        <v>4</v>
      </c>
      <c r="H30">
        <v>13</v>
      </c>
      <c r="I30" t="s">
        <v>9338</v>
      </c>
      <c r="J30" t="s">
        <v>9318</v>
      </c>
      <c r="K30" t="s">
        <v>9358</v>
      </c>
    </row>
    <row r="31" spans="1:11">
      <c r="A31" s="203">
        <v>1104</v>
      </c>
      <c r="B31" s="203">
        <v>4</v>
      </c>
      <c r="D31">
        <v>1107</v>
      </c>
      <c r="E31" t="s">
        <v>20</v>
      </c>
      <c r="F31" t="s">
        <v>9353</v>
      </c>
      <c r="G31">
        <v>4</v>
      </c>
      <c r="H31">
        <v>13</v>
      </c>
      <c r="I31" t="s">
        <v>9336</v>
      </c>
      <c r="J31" t="s">
        <v>9318</v>
      </c>
      <c r="K31" t="s">
        <v>9359</v>
      </c>
    </row>
    <row r="32" spans="1:11">
      <c r="A32" s="203">
        <v>1135</v>
      </c>
      <c r="B32" s="203">
        <v>4</v>
      </c>
      <c r="D32">
        <v>1135</v>
      </c>
      <c r="E32" t="s">
        <v>72</v>
      </c>
      <c r="F32" t="s">
        <v>9353</v>
      </c>
      <c r="G32">
        <v>4</v>
      </c>
      <c r="H32">
        <v>13</v>
      </c>
      <c r="I32" t="s">
        <v>9336</v>
      </c>
      <c r="J32" t="s">
        <v>9317</v>
      </c>
      <c r="K32" t="s">
        <v>9360</v>
      </c>
    </row>
    <row r="33" spans="1:11">
      <c r="A33" s="203">
        <v>1132</v>
      </c>
      <c r="B33" s="203">
        <v>4</v>
      </c>
      <c r="D33">
        <v>1123</v>
      </c>
      <c r="E33" t="s">
        <v>52</v>
      </c>
      <c r="F33" t="s">
        <v>9353</v>
      </c>
      <c r="G33">
        <v>4</v>
      </c>
      <c r="H33">
        <v>13</v>
      </c>
      <c r="I33" t="s">
        <v>9336</v>
      </c>
      <c r="J33" t="s">
        <v>9325</v>
      </c>
      <c r="K33" t="s">
        <v>9336</v>
      </c>
    </row>
    <row r="34" spans="1:11">
      <c r="A34" s="111">
        <v>1125</v>
      </c>
      <c r="B34" s="111">
        <v>4</v>
      </c>
      <c r="D34">
        <v>1201</v>
      </c>
      <c r="E34" t="s">
        <v>9308</v>
      </c>
      <c r="F34" t="s">
        <v>9353</v>
      </c>
      <c r="G34">
        <v>4</v>
      </c>
      <c r="H34">
        <v>13</v>
      </c>
      <c r="I34" t="s">
        <v>9338</v>
      </c>
      <c r="J34" t="s">
        <v>9325</v>
      </c>
      <c r="K34" t="s">
        <v>9338</v>
      </c>
    </row>
    <row r="35" spans="1:11">
      <c r="A35" s="128">
        <v>1202</v>
      </c>
      <c r="B35" s="203">
        <v>4</v>
      </c>
      <c r="D35">
        <v>1106</v>
      </c>
      <c r="E35" t="s">
        <v>18</v>
      </c>
      <c r="F35" t="s">
        <v>9353</v>
      </c>
      <c r="G35">
        <v>4</v>
      </c>
      <c r="H35">
        <v>13</v>
      </c>
      <c r="I35" t="s">
        <v>9338</v>
      </c>
      <c r="J35" t="s">
        <v>9317</v>
      </c>
      <c r="K35" t="s">
        <v>9344</v>
      </c>
    </row>
    <row r="36" spans="1:11">
      <c r="A36" s="203">
        <v>1123</v>
      </c>
      <c r="B36" s="203">
        <v>3</v>
      </c>
      <c r="D36">
        <v>1134</v>
      </c>
      <c r="E36" t="s">
        <v>70</v>
      </c>
      <c r="F36" t="s">
        <v>9353</v>
      </c>
      <c r="G36">
        <v>3</v>
      </c>
      <c r="H36">
        <v>11</v>
      </c>
      <c r="I36" t="s">
        <v>9336</v>
      </c>
      <c r="J36" t="s">
        <v>9318</v>
      </c>
      <c r="K36" t="s">
        <v>9361</v>
      </c>
    </row>
    <row r="37" spans="1:11">
      <c r="A37" s="203">
        <v>1117</v>
      </c>
      <c r="B37" s="203">
        <v>3</v>
      </c>
      <c r="D37">
        <v>1133</v>
      </c>
      <c r="E37" t="s">
        <v>9314</v>
      </c>
      <c r="F37" t="s">
        <v>9353</v>
      </c>
      <c r="G37">
        <v>3</v>
      </c>
      <c r="H37">
        <v>11</v>
      </c>
      <c r="I37" t="s">
        <v>9338</v>
      </c>
      <c r="J37" t="s">
        <v>9325</v>
      </c>
      <c r="K37" t="s">
        <v>9362</v>
      </c>
    </row>
    <row r="38" spans="1:11">
      <c r="A38" s="203">
        <v>1201</v>
      </c>
      <c r="B38" s="203">
        <v>2</v>
      </c>
      <c r="D38">
        <v>1203</v>
      </c>
      <c r="E38" t="s">
        <v>9363</v>
      </c>
      <c r="F38" t="s">
        <v>9353</v>
      </c>
      <c r="G38">
        <v>3</v>
      </c>
      <c r="H38">
        <v>11</v>
      </c>
      <c r="I38" t="s">
        <v>9338</v>
      </c>
      <c r="J38" t="s">
        <v>9325</v>
      </c>
      <c r="K38" t="s">
        <v>9325</v>
      </c>
    </row>
    <row r="39" spans="1:11">
      <c r="A39" s="203">
        <v>1131</v>
      </c>
      <c r="B39" s="203">
        <v>2</v>
      </c>
      <c r="D39">
        <v>1204</v>
      </c>
      <c r="E39" t="s">
        <v>9364</v>
      </c>
      <c r="F39" t="s">
        <v>9353</v>
      </c>
      <c r="G39">
        <v>3</v>
      </c>
      <c r="H39">
        <v>11</v>
      </c>
      <c r="I39" t="s">
        <v>9338</v>
      </c>
      <c r="J39" t="s">
        <v>9325</v>
      </c>
      <c r="K39" t="s">
        <v>9325</v>
      </c>
    </row>
    <row r="40" spans="1:11">
      <c r="A40" s="203">
        <v>1137</v>
      </c>
      <c r="B40" s="203">
        <v>2</v>
      </c>
      <c r="D40">
        <v>1206</v>
      </c>
      <c r="E40" t="s">
        <v>9312</v>
      </c>
      <c r="F40" t="s">
        <v>9365</v>
      </c>
      <c r="G40">
        <v>3</v>
      </c>
      <c r="H40">
        <v>11</v>
      </c>
      <c r="I40" t="s">
        <v>9336</v>
      </c>
      <c r="J40" t="s">
        <v>9318</v>
      </c>
      <c r="K40" t="s">
        <v>9366</v>
      </c>
    </row>
    <row r="41" spans="1:11">
      <c r="A41" s="128">
        <v>1216</v>
      </c>
      <c r="B41" s="203">
        <v>2</v>
      </c>
      <c r="D41">
        <v>1205</v>
      </c>
      <c r="E41" t="s">
        <v>9313</v>
      </c>
      <c r="F41" t="s">
        <v>9365</v>
      </c>
      <c r="G41">
        <v>3</v>
      </c>
      <c r="H41">
        <v>11</v>
      </c>
      <c r="I41" t="s">
        <v>9336</v>
      </c>
      <c r="J41" t="s">
        <v>9325</v>
      </c>
      <c r="K41" t="s">
        <v>9325</v>
      </c>
    </row>
    <row r="42" spans="1:11">
      <c r="A42" s="203">
        <v>1106</v>
      </c>
      <c r="B42" s="203">
        <v>1</v>
      </c>
      <c r="D42">
        <v>1112</v>
      </c>
      <c r="E42" t="s">
        <v>30</v>
      </c>
      <c r="F42" t="s">
        <v>9365</v>
      </c>
      <c r="G42">
        <v>4</v>
      </c>
      <c r="H42">
        <v>16</v>
      </c>
      <c r="I42" t="s">
        <v>9336</v>
      </c>
      <c r="J42" t="s">
        <v>9325</v>
      </c>
      <c r="K42" t="s">
        <v>9337</v>
      </c>
    </row>
    <row r="43" spans="1:11">
      <c r="A43" s="203">
        <v>1115</v>
      </c>
      <c r="B43" s="203">
        <v>1</v>
      </c>
      <c r="D43">
        <v>1119</v>
      </c>
      <c r="E43" t="s">
        <v>44</v>
      </c>
      <c r="F43" t="s">
        <v>9365</v>
      </c>
      <c r="G43">
        <v>4</v>
      </c>
      <c r="H43">
        <v>16</v>
      </c>
      <c r="I43" t="s">
        <v>9336</v>
      </c>
      <c r="J43" t="s">
        <v>9325</v>
      </c>
      <c r="K43" t="s">
        <v>9337</v>
      </c>
    </row>
    <row r="44" spans="1:11">
      <c r="A44" s="111">
        <v>1208</v>
      </c>
      <c r="B44" s="111">
        <v>1</v>
      </c>
      <c r="D44">
        <v>1113</v>
      </c>
      <c r="E44" t="s">
        <v>32</v>
      </c>
      <c r="F44" t="s">
        <v>9365</v>
      </c>
      <c r="G44">
        <v>4</v>
      </c>
      <c r="H44">
        <v>16</v>
      </c>
      <c r="I44" t="s">
        <v>9338</v>
      </c>
      <c r="J44" t="s">
        <v>9318</v>
      </c>
      <c r="K44" t="s">
        <v>9340</v>
      </c>
    </row>
    <row r="45" spans="1:11">
      <c r="A45" s="203">
        <v>1122</v>
      </c>
      <c r="B45" s="203">
        <v>1</v>
      </c>
      <c r="D45">
        <v>1120</v>
      </c>
      <c r="E45" t="s">
        <v>46</v>
      </c>
      <c r="F45" t="s">
        <v>9365</v>
      </c>
      <c r="G45">
        <v>4</v>
      </c>
      <c r="H45">
        <v>16</v>
      </c>
      <c r="I45" t="s">
        <v>9336</v>
      </c>
      <c r="J45" t="s">
        <v>9318</v>
      </c>
      <c r="K45" t="s">
        <v>9367</v>
      </c>
    </row>
    <row r="46" spans="1:11">
      <c r="A46" s="203">
        <v>1207</v>
      </c>
      <c r="B46" s="203">
        <v>1</v>
      </c>
      <c r="D46">
        <v>1124</v>
      </c>
      <c r="E46" t="s">
        <v>54</v>
      </c>
      <c r="F46" t="s">
        <v>9365</v>
      </c>
      <c r="G46">
        <v>4</v>
      </c>
      <c r="H46">
        <v>16</v>
      </c>
      <c r="I46" t="s">
        <v>9338</v>
      </c>
      <c r="J46" t="s">
        <v>9325</v>
      </c>
      <c r="K46" t="s">
        <v>9354</v>
      </c>
    </row>
    <row r="47" spans="1:11">
      <c r="A47" s="227">
        <v>1139</v>
      </c>
      <c r="B47" s="227">
        <v>5</v>
      </c>
      <c r="D47">
        <v>1111</v>
      </c>
      <c r="E47" t="s">
        <v>28</v>
      </c>
      <c r="F47" t="s">
        <v>9365</v>
      </c>
      <c r="G47">
        <v>4</v>
      </c>
      <c r="H47">
        <v>16</v>
      </c>
      <c r="I47" t="s">
        <v>9338</v>
      </c>
      <c r="J47" t="s">
        <v>9325</v>
      </c>
      <c r="K47" t="s">
        <v>9354</v>
      </c>
    </row>
    <row r="48" spans="1:11">
      <c r="A48" s="203">
        <v>1140</v>
      </c>
      <c r="B48" s="203">
        <v>5</v>
      </c>
      <c r="D48">
        <v>1115</v>
      </c>
      <c r="E48" t="s">
        <v>36</v>
      </c>
      <c r="F48" t="s">
        <v>9365</v>
      </c>
      <c r="G48">
        <v>4</v>
      </c>
      <c r="H48">
        <v>13</v>
      </c>
      <c r="I48" t="s">
        <v>9338</v>
      </c>
      <c r="J48" t="s">
        <v>9344</v>
      </c>
      <c r="K48" t="s">
        <v>9357</v>
      </c>
    </row>
    <row r="49" spans="1:11">
      <c r="A49" s="128">
        <v>1107</v>
      </c>
      <c r="B49" s="203">
        <v>4</v>
      </c>
      <c r="D49">
        <v>1116</v>
      </c>
      <c r="E49" t="s">
        <v>38</v>
      </c>
      <c r="F49" t="s">
        <v>9365</v>
      </c>
      <c r="G49">
        <v>4</v>
      </c>
      <c r="H49">
        <v>13</v>
      </c>
      <c r="I49" t="s">
        <v>9336</v>
      </c>
      <c r="J49" t="s">
        <v>9344</v>
      </c>
      <c r="K49" t="s">
        <v>9356</v>
      </c>
    </row>
    <row r="50" spans="1:11">
      <c r="A50" s="203">
        <v>1134</v>
      </c>
      <c r="B50" s="203">
        <v>4</v>
      </c>
      <c r="D50">
        <v>1117</v>
      </c>
      <c r="E50" t="s">
        <v>40</v>
      </c>
      <c r="F50" t="s">
        <v>9365</v>
      </c>
      <c r="G50">
        <v>4</v>
      </c>
      <c r="H50">
        <v>13</v>
      </c>
      <c r="I50" t="s">
        <v>9336</v>
      </c>
      <c r="J50" t="s">
        <v>9325</v>
      </c>
      <c r="K50" t="s">
        <v>9368</v>
      </c>
    </row>
    <row r="51" spans="1:11">
      <c r="A51" s="203">
        <v>1206</v>
      </c>
      <c r="B51" s="203">
        <v>4</v>
      </c>
      <c r="D51">
        <v>1114</v>
      </c>
      <c r="E51" t="s">
        <v>34</v>
      </c>
      <c r="F51" t="s">
        <v>9365</v>
      </c>
      <c r="G51">
        <v>4</v>
      </c>
      <c r="H51">
        <v>13</v>
      </c>
      <c r="I51" t="s">
        <v>9336</v>
      </c>
      <c r="J51" t="s">
        <v>9325</v>
      </c>
      <c r="K51" t="s">
        <v>9369</v>
      </c>
    </row>
    <row r="52" spans="1:11">
      <c r="A52" s="111">
        <v>1130</v>
      </c>
      <c r="B52" s="111">
        <v>4</v>
      </c>
      <c r="D52">
        <v>1132</v>
      </c>
      <c r="E52" t="s">
        <v>68</v>
      </c>
      <c r="F52" t="s">
        <v>9365</v>
      </c>
      <c r="G52">
        <v>4</v>
      </c>
      <c r="H52">
        <v>13</v>
      </c>
      <c r="I52" t="s">
        <v>9336</v>
      </c>
      <c r="J52" t="s">
        <v>9318</v>
      </c>
      <c r="K52" t="s">
        <v>9370</v>
      </c>
    </row>
    <row r="53" spans="1:11">
      <c r="A53" s="203">
        <v>1203</v>
      </c>
      <c r="B53" s="203">
        <v>3</v>
      </c>
      <c r="D53">
        <v>1131</v>
      </c>
      <c r="E53" t="s">
        <v>66</v>
      </c>
      <c r="F53" t="s">
        <v>9365</v>
      </c>
      <c r="G53">
        <v>4</v>
      </c>
      <c r="H53">
        <v>13</v>
      </c>
      <c r="I53" t="s">
        <v>9338</v>
      </c>
      <c r="J53" t="s">
        <v>9325</v>
      </c>
      <c r="K53" t="s">
        <v>9371</v>
      </c>
    </row>
    <row r="54" spans="1:11">
      <c r="A54" s="203">
        <v>1205</v>
      </c>
      <c r="B54" s="203">
        <v>3</v>
      </c>
      <c r="D54">
        <v>1137</v>
      </c>
      <c r="E54" t="s">
        <v>76</v>
      </c>
      <c r="F54" t="s">
        <v>9365</v>
      </c>
      <c r="G54">
        <v>4</v>
      </c>
      <c r="H54">
        <v>13</v>
      </c>
      <c r="I54" t="s">
        <v>9336</v>
      </c>
      <c r="J54" t="s">
        <v>9325</v>
      </c>
      <c r="K54" t="s">
        <v>9372</v>
      </c>
    </row>
    <row r="55" spans="1:11">
      <c r="A55" s="203">
        <v>1133</v>
      </c>
      <c r="B55" s="203">
        <v>2</v>
      </c>
      <c r="D55">
        <v>1208</v>
      </c>
      <c r="E55" t="s">
        <v>9324</v>
      </c>
      <c r="F55" t="s">
        <v>9365</v>
      </c>
      <c r="G55">
        <v>4</v>
      </c>
      <c r="H55">
        <v>13</v>
      </c>
      <c r="I55" t="s">
        <v>9338</v>
      </c>
      <c r="J55" t="s">
        <v>9317</v>
      </c>
      <c r="K55" t="s">
        <v>9352</v>
      </c>
    </row>
    <row r="56" spans="1:11">
      <c r="A56" s="203">
        <v>1204</v>
      </c>
      <c r="B56" s="203">
        <v>2</v>
      </c>
      <c r="D56">
        <v>1139</v>
      </c>
      <c r="E56" t="s">
        <v>80</v>
      </c>
      <c r="F56" t="s">
        <v>9365</v>
      </c>
      <c r="G56">
        <v>3</v>
      </c>
      <c r="H56">
        <v>11</v>
      </c>
      <c r="I56" t="s">
        <v>9336</v>
      </c>
      <c r="J56" t="s">
        <v>9325</v>
      </c>
      <c r="K56" t="s">
        <v>9373</v>
      </c>
    </row>
    <row r="57" spans="1:11">
      <c r="A57" s="128">
        <v>1128</v>
      </c>
      <c r="B57" s="203">
        <v>2</v>
      </c>
      <c r="D57">
        <v>1140</v>
      </c>
      <c r="E57" t="s">
        <v>82</v>
      </c>
      <c r="F57" t="s">
        <v>9365</v>
      </c>
      <c r="G57">
        <v>3</v>
      </c>
      <c r="H57">
        <v>11</v>
      </c>
      <c r="I57" t="s">
        <v>9336</v>
      </c>
      <c r="J57" t="s">
        <v>9325</v>
      </c>
      <c r="K57" t="s">
        <v>9374</v>
      </c>
    </row>
    <row r="58" spans="1:11">
      <c r="A58" s="203">
        <v>1118</v>
      </c>
      <c r="B58" s="203">
        <v>2</v>
      </c>
      <c r="D58">
        <v>1138</v>
      </c>
      <c r="E58" t="s">
        <v>78</v>
      </c>
      <c r="F58" t="s">
        <v>9365</v>
      </c>
      <c r="G58">
        <v>3</v>
      </c>
      <c r="H58">
        <v>11</v>
      </c>
      <c r="I58" t="s">
        <v>9338</v>
      </c>
      <c r="J58" t="s">
        <v>9325</v>
      </c>
      <c r="K58" t="s">
        <v>9375</v>
      </c>
    </row>
    <row r="59" spans="1:11">
      <c r="A59" s="203">
        <v>1136</v>
      </c>
      <c r="B59" s="203">
        <v>2</v>
      </c>
      <c r="D59">
        <v>1226</v>
      </c>
      <c r="E59" t="s">
        <v>9376</v>
      </c>
      <c r="F59" t="s">
        <v>9365</v>
      </c>
      <c r="G59">
        <v>3</v>
      </c>
      <c r="H59">
        <v>11</v>
      </c>
      <c r="I59" t="s">
        <v>9338</v>
      </c>
      <c r="J59" t="s">
        <v>9317</v>
      </c>
      <c r="K59" t="s">
        <v>9344</v>
      </c>
    </row>
    <row r="60" spans="1:11">
      <c r="A60" s="203">
        <v>1141</v>
      </c>
      <c r="B60" s="203">
        <v>1</v>
      </c>
      <c r="D60">
        <v>1141</v>
      </c>
      <c r="E60" t="s">
        <v>9377</v>
      </c>
      <c r="F60" t="s">
        <v>9365</v>
      </c>
      <c r="G60">
        <v>3</v>
      </c>
      <c r="H60">
        <v>11</v>
      </c>
      <c r="I60" t="s">
        <v>9338</v>
      </c>
      <c r="J60" t="s">
        <v>9344</v>
      </c>
      <c r="K60" t="s">
        <v>9344</v>
      </c>
    </row>
    <row r="61" spans="1:11">
      <c r="A61" s="203">
        <v>1138</v>
      </c>
      <c r="B61" s="203">
        <v>1</v>
      </c>
      <c r="D61">
        <v>1504</v>
      </c>
      <c r="E61" t="s">
        <v>9378</v>
      </c>
      <c r="F61" t="s">
        <v>9365</v>
      </c>
      <c r="G61">
        <v>3</v>
      </c>
      <c r="H61">
        <v>11</v>
      </c>
      <c r="I61" t="s">
        <v>9336</v>
      </c>
      <c r="J61" t="s">
        <v>9318</v>
      </c>
    </row>
    <row r="62" spans="1:11">
      <c r="A62" s="203">
        <v>1152</v>
      </c>
      <c r="B62" s="203">
        <v>3</v>
      </c>
    </row>
    <row r="63" spans="1:11">
      <c r="A63" s="203">
        <v>1192</v>
      </c>
      <c r="B63" s="203">
        <v>2</v>
      </c>
    </row>
    <row r="64" spans="1:11">
      <c r="A64" s="203">
        <v>1504</v>
      </c>
      <c r="B64" s="203">
        <v>4</v>
      </c>
    </row>
    <row r="65" spans="1:2">
      <c r="A65" s="228">
        <v>1142</v>
      </c>
      <c r="B65" s="228">
        <v>4</v>
      </c>
    </row>
    <row r="66" spans="1:2">
      <c r="A66" s="203">
        <v>1143</v>
      </c>
      <c r="B66" s="203">
        <v>4</v>
      </c>
    </row>
    <row r="67" spans="1:2">
      <c r="A67" s="203">
        <v>1146</v>
      </c>
      <c r="B67" s="203">
        <v>4</v>
      </c>
    </row>
    <row r="68" spans="1:2">
      <c r="A68" s="203">
        <v>1147</v>
      </c>
      <c r="B68" s="203">
        <v>4</v>
      </c>
    </row>
    <row r="69" spans="1:2">
      <c r="A69" s="203">
        <v>1148</v>
      </c>
      <c r="B69" s="203">
        <v>4</v>
      </c>
    </row>
    <row r="70" spans="1:2">
      <c r="A70" s="203">
        <v>1155</v>
      </c>
      <c r="B70" s="203">
        <v>3</v>
      </c>
    </row>
    <row r="71" spans="1:2">
      <c r="A71" s="203">
        <v>1156</v>
      </c>
      <c r="B71" s="203">
        <v>3</v>
      </c>
    </row>
    <row r="72" spans="1:2">
      <c r="A72" s="203">
        <v>1157</v>
      </c>
      <c r="B72" s="203">
        <v>3</v>
      </c>
    </row>
    <row r="73" spans="1:2">
      <c r="A73" s="203">
        <v>1158</v>
      </c>
      <c r="B73" s="203">
        <v>3</v>
      </c>
    </row>
    <row r="74" spans="1:2">
      <c r="A74" s="203">
        <v>1159</v>
      </c>
      <c r="B74" s="203">
        <v>3</v>
      </c>
    </row>
    <row r="75" spans="1:2">
      <c r="A75" s="203">
        <v>1162</v>
      </c>
      <c r="B75" s="203">
        <v>2</v>
      </c>
    </row>
    <row r="76" spans="1:2">
      <c r="A76" s="203">
        <v>1163</v>
      </c>
      <c r="B76" s="203">
        <v>2</v>
      </c>
    </row>
    <row r="77" spans="1:2">
      <c r="A77" s="203">
        <v>1153</v>
      </c>
      <c r="B77" s="203">
        <v>3</v>
      </c>
    </row>
    <row r="78" spans="1:2">
      <c r="A78" s="203">
        <v>1154</v>
      </c>
      <c r="B78" s="203">
        <v>3</v>
      </c>
    </row>
    <row r="79" spans="1:2">
      <c r="A79" s="203">
        <v>1164</v>
      </c>
      <c r="B79" s="203">
        <v>3</v>
      </c>
    </row>
    <row r="80" spans="1:2">
      <c r="A80" s="203">
        <v>1165</v>
      </c>
      <c r="B80" s="203">
        <v>3</v>
      </c>
    </row>
    <row r="81" spans="1:2">
      <c r="A81" s="203">
        <v>1166</v>
      </c>
      <c r="B81" s="203">
        <v>3</v>
      </c>
    </row>
    <row r="82" spans="1:2">
      <c r="A82" s="203">
        <v>1167</v>
      </c>
      <c r="B82" s="203">
        <v>4</v>
      </c>
    </row>
    <row r="83" spans="1:2">
      <c r="A83" s="203">
        <v>1168</v>
      </c>
      <c r="B83" s="203">
        <v>4</v>
      </c>
    </row>
    <row r="84" spans="1:2">
      <c r="A84" s="203">
        <v>1169</v>
      </c>
      <c r="B84" s="203">
        <v>4</v>
      </c>
    </row>
    <row r="85" spans="1:2">
      <c r="A85" s="203">
        <v>1170</v>
      </c>
      <c r="B85" s="203">
        <v>4</v>
      </c>
    </row>
    <row r="86" spans="1:2">
      <c r="A86" s="203">
        <v>1171</v>
      </c>
      <c r="B86" s="203">
        <v>4</v>
      </c>
    </row>
    <row r="87" spans="1:2">
      <c r="A87" s="203">
        <v>1176</v>
      </c>
      <c r="B87" s="203">
        <v>3</v>
      </c>
    </row>
    <row r="88" spans="1:2">
      <c r="A88" s="203">
        <v>1177</v>
      </c>
      <c r="B88" s="203">
        <v>3</v>
      </c>
    </row>
    <row r="89" spans="1:2">
      <c r="A89" s="203">
        <v>1178</v>
      </c>
      <c r="B89" s="203">
        <v>3</v>
      </c>
    </row>
    <row r="90" spans="1:2">
      <c r="A90" s="203">
        <v>1179</v>
      </c>
      <c r="B90" s="203">
        <v>3</v>
      </c>
    </row>
    <row r="91" spans="1:2">
      <c r="A91" s="203">
        <v>1180</v>
      </c>
      <c r="B91" s="203">
        <v>2</v>
      </c>
    </row>
    <row r="92" spans="1:2">
      <c r="A92" s="203">
        <v>1181</v>
      </c>
      <c r="B92" s="203">
        <v>2</v>
      </c>
    </row>
    <row r="93" spans="1:2">
      <c r="A93" s="203">
        <v>1182</v>
      </c>
      <c r="B93" s="203">
        <v>2</v>
      </c>
    </row>
    <row r="94" spans="1:2">
      <c r="A94" s="203">
        <v>1185</v>
      </c>
      <c r="B94" s="203">
        <v>3</v>
      </c>
    </row>
    <row r="95" spans="1:2">
      <c r="A95" s="203">
        <v>1186</v>
      </c>
      <c r="B95" s="203">
        <v>3</v>
      </c>
    </row>
    <row r="96" spans="1:2">
      <c r="A96" s="203">
        <v>1187</v>
      </c>
      <c r="B96" s="203">
        <v>3</v>
      </c>
    </row>
    <row r="97" spans="1:2">
      <c r="A97" s="203">
        <v>1188</v>
      </c>
      <c r="B97" s="203">
        <v>3</v>
      </c>
    </row>
    <row r="98" spans="1:2">
      <c r="A98" s="203">
        <v>1193</v>
      </c>
      <c r="B98" s="203">
        <v>3</v>
      </c>
    </row>
    <row r="99" spans="1:2">
      <c r="A99" s="203">
        <v>1194</v>
      </c>
      <c r="B99" s="203">
        <v>3</v>
      </c>
    </row>
    <row r="100" spans="1:2">
      <c r="A100" s="203">
        <v>1217</v>
      </c>
      <c r="B100" s="203">
        <v>3</v>
      </c>
    </row>
    <row r="101" spans="1:2">
      <c r="A101" s="203">
        <v>1501</v>
      </c>
      <c r="B101" s="203">
        <v>2</v>
      </c>
    </row>
    <row r="102" spans="1:2">
      <c r="A102" s="203">
        <v>1502</v>
      </c>
      <c r="B102" s="203">
        <v>3</v>
      </c>
    </row>
    <row r="103" spans="1:2">
      <c r="A103" s="203">
        <v>1503</v>
      </c>
      <c r="B103" s="203">
        <v>3</v>
      </c>
    </row>
    <row r="104" spans="1:2">
      <c r="A104" s="203">
        <v>1505</v>
      </c>
      <c r="B104" s="203">
        <v>3</v>
      </c>
    </row>
    <row r="105" spans="1:2">
      <c r="A105" s="203">
        <v>1506</v>
      </c>
      <c r="B105" s="203">
        <v>3</v>
      </c>
    </row>
    <row r="106" spans="1:2">
      <c r="A106" s="203">
        <v>1507</v>
      </c>
      <c r="B106" s="203">
        <v>2</v>
      </c>
    </row>
    <row r="107" spans="1:2">
      <c r="A107" s="203">
        <v>1508</v>
      </c>
      <c r="B107" s="203">
        <v>3</v>
      </c>
    </row>
    <row r="108" spans="1:2">
      <c r="A108" s="203">
        <v>2018</v>
      </c>
      <c r="B108" s="203">
        <v>3</v>
      </c>
    </row>
    <row r="109" spans="1:2">
      <c r="A109" s="229">
        <v>1220</v>
      </c>
      <c r="B109" s="229">
        <v>2</v>
      </c>
    </row>
    <row r="110" spans="1:2">
      <c r="A110" s="229">
        <v>1221</v>
      </c>
      <c r="B110" s="229">
        <v>2</v>
      </c>
    </row>
    <row r="111" spans="1:2">
      <c r="A111" s="229">
        <v>1222</v>
      </c>
      <c r="B111" s="229">
        <v>2</v>
      </c>
    </row>
    <row r="112" spans="1:2">
      <c r="A112" s="111">
        <v>1223</v>
      </c>
      <c r="B112" s="111">
        <v>2</v>
      </c>
    </row>
    <row r="113" spans="1:2">
      <c r="A113" s="229">
        <v>1224</v>
      </c>
      <c r="B113" s="229">
        <v>2</v>
      </c>
    </row>
    <row r="114" spans="1:2">
      <c r="A114" s="229">
        <v>1225</v>
      </c>
      <c r="B114" s="229">
        <v>2</v>
      </c>
    </row>
    <row r="115" spans="1:2">
      <c r="A115" s="203">
        <v>1226</v>
      </c>
      <c r="B115" s="203">
        <v>2</v>
      </c>
    </row>
    <row r="116" spans="1:2">
      <c r="A116" s="229">
        <v>1227</v>
      </c>
      <c r="B116" s="229">
        <v>2</v>
      </c>
    </row>
    <row r="117" spans="1:2">
      <c r="A117" s="230">
        <v>1801</v>
      </c>
      <c r="B117" s="230">
        <v>3</v>
      </c>
    </row>
    <row r="118" spans="1:2">
      <c r="A118" s="230">
        <v>1802</v>
      </c>
      <c r="B118" s="230">
        <v>3</v>
      </c>
    </row>
    <row r="119" spans="1:2">
      <c r="A119" s="231">
        <v>1803</v>
      </c>
      <c r="B119" s="231">
        <v>3</v>
      </c>
    </row>
    <row r="120" spans="1:2">
      <c r="A120" s="208"/>
      <c r="B120" s="208"/>
    </row>
    <row r="121" spans="1:2">
      <c r="A121" s="232"/>
      <c r="B121" s="232"/>
    </row>
    <row r="122" spans="1:2">
      <c r="A122" s="232"/>
      <c r="B122" s="232"/>
    </row>
    <row r="123" spans="1:2">
      <c r="A123" s="232"/>
      <c r="B123" s="232"/>
    </row>
    <row r="124" spans="1:2">
      <c r="A124" s="232"/>
      <c r="B124" s="232"/>
    </row>
    <row r="125" spans="1:2">
      <c r="A125" s="232"/>
      <c r="B125" s="232"/>
    </row>
    <row r="126" spans="1:2">
      <c r="A126" s="232"/>
      <c r="B126" s="232"/>
    </row>
    <row r="127" spans="1:2">
      <c r="A127" s="232"/>
      <c r="B127" s="232"/>
    </row>
    <row r="128" spans="1:2">
      <c r="A128" s="232"/>
      <c r="B128" s="232"/>
    </row>
    <row r="129" spans="1:2">
      <c r="A129" s="232"/>
      <c r="B129" s="232"/>
    </row>
    <row r="130" spans="1:2">
      <c r="A130" s="232"/>
      <c r="B130" s="232"/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1"/>
  <dimension ref="A1:R705"/>
  <sheetViews>
    <sheetView topLeftCell="M1" zoomScale="115" zoomScaleNormal="115" workbookViewId="0">
      <selection activeCell="M45" sqref="M45:M660"/>
    </sheetView>
  </sheetViews>
  <sheetFormatPr defaultRowHeight="13.5"/>
  <cols>
    <col min="6" max="6" width="14.125" customWidth="1"/>
    <col min="8" max="8" width="15.375" customWidth="1"/>
    <col min="11" max="11" width="27.75" customWidth="1"/>
    <col min="12" max="12" width="78.375" customWidth="1"/>
    <col min="13" max="13" width="125.375" customWidth="1"/>
    <col min="17" max="17" width="43.375" customWidth="1"/>
  </cols>
  <sheetData>
    <row r="1" spans="1:18">
      <c r="B1" s="222" t="s">
        <v>9284</v>
      </c>
      <c r="C1" s="222"/>
      <c r="D1" s="222" t="s">
        <v>9285</v>
      </c>
      <c r="E1" s="222"/>
      <c r="G1" s="222" t="s">
        <v>9286</v>
      </c>
      <c r="J1" s="222" t="s">
        <v>9288</v>
      </c>
      <c r="N1" s="222" t="s">
        <v>9285</v>
      </c>
    </row>
    <row r="2" spans="1:18" ht="16.5" hidden="1">
      <c r="A2" t="str">
        <f>LEFT(F2,3)</f>
        <v>a01</v>
      </c>
      <c r="B2">
        <v>2</v>
      </c>
      <c r="C2" s="222" t="s">
        <v>9287</v>
      </c>
      <c r="D2">
        <f>VLOOKUP(F2,Sheet7!$B:$G,6,0)</f>
        <v>2100</v>
      </c>
      <c r="E2" s="222" t="s">
        <v>9287</v>
      </c>
      <c r="F2" s="331" t="s">
        <v>15746</v>
      </c>
      <c r="G2">
        <v>1</v>
      </c>
      <c r="H2" t="str">
        <f>B2&amp;C2&amp;D2&amp;E2&amp;G2</f>
        <v>2|2100|1</v>
      </c>
      <c r="I2" s="222" t="s">
        <v>9287</v>
      </c>
      <c r="J2">
        <v>10</v>
      </c>
      <c r="K2" t="str">
        <f>H2&amp;I2&amp;J2</f>
        <v>2|2100|1|10</v>
      </c>
      <c r="L2" t="str">
        <f>H2</f>
        <v>2|2100|1</v>
      </c>
      <c r="M2" t="str">
        <f>K2</f>
        <v>2|2100|1|10</v>
      </c>
      <c r="N2" s="336">
        <v>181</v>
      </c>
      <c r="R2" t="str">
        <f>RIGHT(F2,4)</f>
        <v>蚩尤战甲</v>
      </c>
    </row>
    <row r="3" spans="1:18" ht="16.5" hidden="1">
      <c r="A3" t="str">
        <f t="shared" ref="A3:A66" si="0">LEFT(F3,3)</f>
        <v>a01</v>
      </c>
      <c r="B3">
        <v>2</v>
      </c>
      <c r="C3" s="222" t="s">
        <v>9287</v>
      </c>
      <c r="D3">
        <f>VLOOKUP(F3,Sheet7!$B:$G,6,0)</f>
        <v>2114</v>
      </c>
      <c r="E3" s="222" t="s">
        <v>9287</v>
      </c>
      <c r="F3" s="331" t="s">
        <v>15761</v>
      </c>
      <c r="G3">
        <v>1</v>
      </c>
      <c r="H3" t="str">
        <f t="shared" ref="H3:H54" si="1">B3&amp;C3&amp;D3&amp;E3&amp;G3</f>
        <v>2|2114|1</v>
      </c>
      <c r="I3" s="222" t="s">
        <v>9287</v>
      </c>
      <c r="J3">
        <v>10</v>
      </c>
      <c r="K3" t="str">
        <f t="shared" ref="K3:K54" si="2">H3&amp;I3&amp;J3</f>
        <v>2|2114|1|10</v>
      </c>
      <c r="L3" t="str">
        <f>IF(A3=A2,H3&amp;","&amp;L2,H3)</f>
        <v>2|2114|1,2|2100|1</v>
      </c>
      <c r="M3" t="str">
        <f>IF(A3=A2,K3&amp;","&amp;M2,K3)</f>
        <v>2|2114|1|10,2|2100|1|10</v>
      </c>
      <c r="N3" s="336">
        <v>182</v>
      </c>
      <c r="R3" t="str">
        <f t="shared" ref="R3:R66" si="3">RIGHT(F3,4)</f>
        <v>蚩尤长剑</v>
      </c>
    </row>
    <row r="4" spans="1:18" ht="16.5" hidden="1">
      <c r="A4" t="str">
        <f t="shared" si="0"/>
        <v>a01</v>
      </c>
      <c r="B4">
        <v>2</v>
      </c>
      <c r="C4" s="222" t="s">
        <v>9287</v>
      </c>
      <c r="D4">
        <f>VLOOKUP(F4,Sheet7!$B:$G,6,0)</f>
        <v>2128</v>
      </c>
      <c r="E4" s="222" t="s">
        <v>9287</v>
      </c>
      <c r="F4" s="331" t="s">
        <v>15776</v>
      </c>
      <c r="G4">
        <v>1</v>
      </c>
      <c r="H4" t="str">
        <f t="shared" si="1"/>
        <v>2|2128|1</v>
      </c>
      <c r="I4" s="222" t="s">
        <v>9287</v>
      </c>
      <c r="J4">
        <v>10</v>
      </c>
      <c r="K4" t="str">
        <f t="shared" si="2"/>
        <v>2|2128|1|10</v>
      </c>
      <c r="L4" t="str">
        <f t="shared" ref="L4:L67" si="4">IF(A4=A3,H4&amp;","&amp;L3,H4)</f>
        <v>2|2128|1,2|2114|1,2|2100|1</v>
      </c>
      <c r="M4" t="str">
        <f t="shared" ref="M4:M67" si="5">IF(A4=A3,K4&amp;","&amp;M3,K4)</f>
        <v>2|2128|1|10,2|2114|1|10,2|2100|1|10</v>
      </c>
      <c r="N4" s="336">
        <v>183</v>
      </c>
      <c r="R4" t="str">
        <f t="shared" si="3"/>
        <v>蚩尤头盔</v>
      </c>
    </row>
    <row r="5" spans="1:18" ht="16.5" hidden="1">
      <c r="A5" t="str">
        <f t="shared" si="0"/>
        <v>a01</v>
      </c>
      <c r="B5">
        <v>2</v>
      </c>
      <c r="C5" s="222" t="s">
        <v>9287</v>
      </c>
      <c r="D5">
        <f>VLOOKUP(F5,Sheet7!$B:$G,6,0)</f>
        <v>2142</v>
      </c>
      <c r="E5" s="222" t="s">
        <v>9287</v>
      </c>
      <c r="F5" s="331" t="s">
        <v>15791</v>
      </c>
      <c r="G5">
        <v>1</v>
      </c>
      <c r="H5" t="str">
        <f t="shared" si="1"/>
        <v>2|2142|1</v>
      </c>
      <c r="I5" s="222" t="s">
        <v>9287</v>
      </c>
      <c r="J5">
        <v>10</v>
      </c>
      <c r="K5" t="str">
        <f t="shared" si="2"/>
        <v>2|2142|1|10</v>
      </c>
      <c r="L5" t="str">
        <f t="shared" si="4"/>
        <v>2|2142|1,2|2128|1,2|2114|1,2|2100|1</v>
      </c>
      <c r="M5" t="str">
        <f t="shared" si="5"/>
        <v>2|2142|1|10,2|2128|1|10,2|2114|1|10,2|2100|1|10</v>
      </c>
      <c r="N5" s="336">
        <v>184</v>
      </c>
      <c r="R5" t="str">
        <f t="shared" si="3"/>
        <v>蚩尤战靴</v>
      </c>
    </row>
    <row r="6" spans="1:18" ht="16.5" hidden="1">
      <c r="A6" t="str">
        <f t="shared" si="0"/>
        <v>a01</v>
      </c>
      <c r="B6">
        <v>2</v>
      </c>
      <c r="C6" s="222" t="s">
        <v>9287</v>
      </c>
      <c r="D6">
        <f>VLOOKUP(F6,Sheet7!$B:$G,6,0)</f>
        <v>2156</v>
      </c>
      <c r="E6" s="222" t="s">
        <v>9287</v>
      </c>
      <c r="F6" s="331" t="s">
        <v>15806</v>
      </c>
      <c r="G6">
        <v>1</v>
      </c>
      <c r="H6" t="str">
        <f t="shared" si="1"/>
        <v>2|2156|1</v>
      </c>
      <c r="I6" s="222" t="s">
        <v>9287</v>
      </c>
      <c r="J6">
        <v>20</v>
      </c>
      <c r="K6" t="str">
        <f t="shared" si="2"/>
        <v>2|2156|1|20</v>
      </c>
      <c r="L6" t="str">
        <f t="shared" si="4"/>
        <v>2|2156|1,2|2142|1,2|2128|1,2|2114|1,2|2100|1</v>
      </c>
      <c r="M6" t="str">
        <f t="shared" si="5"/>
        <v>2|2156|1|20,2|2142|1|10,2|2128|1|10,2|2114|1|10,2|2100|1|10</v>
      </c>
      <c r="N6" s="336">
        <v>185</v>
      </c>
      <c r="R6" t="str">
        <f t="shared" si="3"/>
        <v>天罡战甲</v>
      </c>
    </row>
    <row r="7" spans="1:18" ht="16.5" hidden="1">
      <c r="A7" t="str">
        <f t="shared" si="0"/>
        <v>a01</v>
      </c>
      <c r="B7">
        <v>2</v>
      </c>
      <c r="C7" s="222" t="s">
        <v>9287</v>
      </c>
      <c r="D7">
        <f>VLOOKUP(F7,Sheet7!$B:$G,6,0)</f>
        <v>2170</v>
      </c>
      <c r="E7" s="222" t="s">
        <v>9287</v>
      </c>
      <c r="F7" s="331" t="s">
        <v>15821</v>
      </c>
      <c r="G7">
        <v>1</v>
      </c>
      <c r="H7" t="str">
        <f t="shared" si="1"/>
        <v>2|2170|1</v>
      </c>
      <c r="I7" s="222" t="s">
        <v>9287</v>
      </c>
      <c r="J7">
        <v>20</v>
      </c>
      <c r="K7" t="str">
        <f t="shared" si="2"/>
        <v>2|2170|1|20</v>
      </c>
      <c r="L7" t="str">
        <f t="shared" si="4"/>
        <v>2|2170|1,2|2156|1,2|2142|1,2|2128|1,2|2114|1,2|2100|1</v>
      </c>
      <c r="M7" t="str">
        <f t="shared" si="5"/>
        <v>2|2170|1|20,2|2156|1|20,2|2142|1|10,2|2128|1|10,2|2114|1|10,2|2100|1|10</v>
      </c>
      <c r="N7" s="336">
        <v>186</v>
      </c>
      <c r="R7" t="str">
        <f t="shared" si="3"/>
        <v>天罡长剑</v>
      </c>
    </row>
    <row r="8" spans="1:18" ht="16.5" hidden="1">
      <c r="A8" t="str">
        <f t="shared" si="0"/>
        <v>a01</v>
      </c>
      <c r="B8">
        <v>2</v>
      </c>
      <c r="C8" s="222" t="s">
        <v>9287</v>
      </c>
      <c r="D8">
        <f>VLOOKUP(F8,Sheet7!$B:$G,6,0)</f>
        <v>2184</v>
      </c>
      <c r="E8" s="222" t="s">
        <v>9287</v>
      </c>
      <c r="F8" s="331" t="s">
        <v>15836</v>
      </c>
      <c r="G8">
        <v>1</v>
      </c>
      <c r="H8" t="str">
        <f t="shared" si="1"/>
        <v>2|2184|1</v>
      </c>
      <c r="I8" s="222" t="s">
        <v>9287</v>
      </c>
      <c r="J8">
        <v>20</v>
      </c>
      <c r="K8" t="str">
        <f t="shared" si="2"/>
        <v>2|2184|1|20</v>
      </c>
      <c r="L8" t="str">
        <f t="shared" si="4"/>
        <v>2|2184|1,2|2170|1,2|2156|1,2|2142|1,2|2128|1,2|2114|1,2|2100|1</v>
      </c>
      <c r="M8" t="str">
        <f t="shared" si="5"/>
        <v>2|2184|1|20,2|2170|1|20,2|2156|1|20,2|2142|1|10,2|2128|1|10,2|2114|1|10,2|2100|1|10</v>
      </c>
      <c r="N8" s="336">
        <v>187</v>
      </c>
      <c r="R8" t="str">
        <f t="shared" si="3"/>
        <v>天罡头盔</v>
      </c>
    </row>
    <row r="9" spans="1:18" ht="16.5" hidden="1">
      <c r="A9" t="str">
        <f t="shared" si="0"/>
        <v>a01</v>
      </c>
      <c r="B9">
        <v>2</v>
      </c>
      <c r="C9" s="222" t="s">
        <v>9287</v>
      </c>
      <c r="D9">
        <f>VLOOKUP(F9,Sheet7!$B:$G,6,0)</f>
        <v>2198</v>
      </c>
      <c r="E9" s="222" t="s">
        <v>9287</v>
      </c>
      <c r="F9" s="331" t="s">
        <v>15851</v>
      </c>
      <c r="G9">
        <v>1</v>
      </c>
      <c r="H9" t="str">
        <f t="shared" si="1"/>
        <v>2|2198|1</v>
      </c>
      <c r="I9" s="222" t="s">
        <v>9287</v>
      </c>
      <c r="J9">
        <v>20</v>
      </c>
      <c r="K9" t="str">
        <f t="shared" si="2"/>
        <v>2|2198|1|20</v>
      </c>
      <c r="L9" t="str">
        <f t="shared" si="4"/>
        <v>2|2198|1,2|2184|1,2|2170|1,2|2156|1,2|2142|1,2|2128|1,2|2114|1,2|2100|1</v>
      </c>
      <c r="M9" t="str">
        <f t="shared" si="5"/>
        <v>2|2198|1|20,2|2184|1|20,2|2170|1|20,2|2156|1|20,2|2142|1|10,2|2128|1|10,2|2114|1|10,2|2100|1|10</v>
      </c>
      <c r="N9" s="336">
        <v>2081</v>
      </c>
      <c r="R9" t="str">
        <f t="shared" si="3"/>
        <v>天罡战靴</v>
      </c>
    </row>
    <row r="10" spans="1:18" ht="16.5" hidden="1">
      <c r="A10" t="str">
        <f t="shared" si="0"/>
        <v>a01</v>
      </c>
      <c r="B10">
        <v>2</v>
      </c>
      <c r="C10" s="222" t="s">
        <v>9287</v>
      </c>
      <c r="D10">
        <f>VLOOKUP(F10,Sheet7!$B:$G,6,0)</f>
        <v>2212</v>
      </c>
      <c r="E10" s="222" t="s">
        <v>9287</v>
      </c>
      <c r="F10" s="331" t="s">
        <v>15866</v>
      </c>
      <c r="G10">
        <v>1</v>
      </c>
      <c r="H10" t="str">
        <f t="shared" si="1"/>
        <v>2|2212|1</v>
      </c>
      <c r="I10" s="222" t="s">
        <v>9287</v>
      </c>
      <c r="J10">
        <v>20</v>
      </c>
      <c r="K10" t="str">
        <f t="shared" si="2"/>
        <v>2|2212|1|20</v>
      </c>
      <c r="L10" t="str">
        <f t="shared" si="4"/>
        <v>2|2212|1,2|2198|1,2|2184|1,2|2170|1,2|2156|1,2|2142|1,2|2128|1,2|2114|1,2|2100|1</v>
      </c>
      <c r="M10" t="str">
        <f t="shared" si="5"/>
        <v>2|2212|1|20,2|2198|1|20,2|2184|1|20,2|2170|1|20,2|2156|1|20,2|2142|1|10,2|2128|1|10,2|2114|1|10,2|2100|1|10</v>
      </c>
      <c r="N10" s="336">
        <v>20811</v>
      </c>
      <c r="R10" t="str">
        <f t="shared" si="3"/>
        <v>降魔战甲</v>
      </c>
    </row>
    <row r="11" spans="1:18" ht="16.5" hidden="1">
      <c r="A11" t="str">
        <f t="shared" si="0"/>
        <v>a01</v>
      </c>
      <c r="B11">
        <v>2</v>
      </c>
      <c r="C11" s="222" t="s">
        <v>9287</v>
      </c>
      <c r="D11">
        <f>VLOOKUP(F11,Sheet7!$B:$G,6,0)</f>
        <v>2226</v>
      </c>
      <c r="E11" s="222" t="s">
        <v>9287</v>
      </c>
      <c r="F11" s="331" t="s">
        <v>15881</v>
      </c>
      <c r="G11">
        <v>1</v>
      </c>
      <c r="H11" t="str">
        <f t="shared" si="1"/>
        <v>2|2226|1</v>
      </c>
      <c r="I11" s="222" t="s">
        <v>9287</v>
      </c>
      <c r="J11">
        <v>20</v>
      </c>
      <c r="K11" t="str">
        <f t="shared" si="2"/>
        <v>2|2226|1|20</v>
      </c>
      <c r="L11" t="str">
        <f t="shared" si="4"/>
        <v>2|2226|1,2|2212|1,2|2198|1,2|2184|1,2|2170|1,2|2156|1,2|2142|1,2|2128|1,2|2114|1,2|2100|1</v>
      </c>
      <c r="M11" t="str">
        <f t="shared" si="5"/>
        <v>2|2226|1|20,2|2212|1|20,2|2198|1|20,2|2184|1|20,2|2170|1|20,2|2156|1|20,2|2142|1|10,2|2128|1|10,2|2114|1|10,2|2100|1|10</v>
      </c>
      <c r="N11" s="336">
        <v>20812</v>
      </c>
      <c r="R11" t="str">
        <f t="shared" si="3"/>
        <v>降魔长剑</v>
      </c>
    </row>
    <row r="12" spans="1:18" ht="16.5" hidden="1">
      <c r="A12" t="str">
        <f t="shared" si="0"/>
        <v>a01</v>
      </c>
      <c r="B12">
        <v>2</v>
      </c>
      <c r="C12" s="222" t="s">
        <v>9287</v>
      </c>
      <c r="D12">
        <f>VLOOKUP(F12,Sheet7!$B:$G,6,0)</f>
        <v>2240</v>
      </c>
      <c r="E12" s="222" t="s">
        <v>9287</v>
      </c>
      <c r="F12" s="331" t="s">
        <v>15896</v>
      </c>
      <c r="G12">
        <v>1</v>
      </c>
      <c r="H12" t="str">
        <f t="shared" si="1"/>
        <v>2|2240|1</v>
      </c>
      <c r="I12" s="222" t="s">
        <v>9287</v>
      </c>
      <c r="J12">
        <v>20</v>
      </c>
      <c r="K12" t="str">
        <f t="shared" si="2"/>
        <v>2|2240|1|20</v>
      </c>
      <c r="L12" t="str">
        <f t="shared" si="4"/>
        <v>2|2240|1,2|2226|1,2|2212|1,2|2198|1,2|2184|1,2|2170|1,2|2156|1,2|2142|1,2|2128|1,2|2114|1,2|2100|1</v>
      </c>
      <c r="M12" t="str">
        <f t="shared" si="5"/>
        <v>2|2240|1|20,2|2226|1|20,2|2212|1|20,2|2198|1|20,2|2184|1|20,2|2170|1|20,2|2156|1|20,2|2142|1|10,2|2128|1|10,2|2114|1|10,2|2100|1|10</v>
      </c>
      <c r="N12" s="336">
        <v>20813</v>
      </c>
      <c r="R12" t="str">
        <f t="shared" si="3"/>
        <v>降魔头盔</v>
      </c>
    </row>
    <row r="13" spans="1:18" ht="16.5" hidden="1">
      <c r="A13" t="str">
        <f t="shared" si="0"/>
        <v>a01</v>
      </c>
      <c r="B13">
        <v>2</v>
      </c>
      <c r="C13" s="222" t="s">
        <v>9287</v>
      </c>
      <c r="D13">
        <f>VLOOKUP(F13,Sheet7!$B:$G,6,0)</f>
        <v>2254</v>
      </c>
      <c r="E13" s="222" t="s">
        <v>9287</v>
      </c>
      <c r="F13" s="331" t="s">
        <v>15911</v>
      </c>
      <c r="G13">
        <v>1</v>
      </c>
      <c r="H13" t="str">
        <f t="shared" si="1"/>
        <v>2|2254|1</v>
      </c>
      <c r="I13" s="222" t="s">
        <v>9287</v>
      </c>
      <c r="J13">
        <v>20</v>
      </c>
      <c r="K13" t="str">
        <f t="shared" si="2"/>
        <v>2|2254|1|20</v>
      </c>
      <c r="L13" t="str">
        <f t="shared" si="4"/>
        <v>2|2254|1,2|2240|1,2|2226|1,2|2212|1,2|2198|1,2|2184|1,2|2170|1,2|2156|1,2|2142|1,2|2128|1,2|2114|1,2|2100|1</v>
      </c>
      <c r="M13" t="str">
        <f t="shared" si="5"/>
        <v>2|2254|1|20,2|2240|1|20,2|2226|1|20,2|2212|1|20,2|2198|1|20,2|2184|1|20,2|2170|1|20,2|2156|1|20,2|2142|1|10,2|2128|1|10,2|2114|1|10,2|2100|1|10</v>
      </c>
      <c r="N13" s="336">
        <v>20814</v>
      </c>
      <c r="R13" t="str">
        <f t="shared" si="3"/>
        <v>降魔战靴</v>
      </c>
    </row>
    <row r="14" spans="1:18" ht="16.5" hidden="1">
      <c r="A14" t="str">
        <f t="shared" si="0"/>
        <v>a01</v>
      </c>
      <c r="B14">
        <v>2</v>
      </c>
      <c r="C14" s="222" t="s">
        <v>9287</v>
      </c>
      <c r="D14">
        <f>VLOOKUP(F14,Sheet7!$B:$G,6,0)</f>
        <v>2268</v>
      </c>
      <c r="E14" s="222" t="s">
        <v>9287</v>
      </c>
      <c r="F14" s="331" t="s">
        <v>15926</v>
      </c>
      <c r="G14">
        <v>1</v>
      </c>
      <c r="H14" t="str">
        <f t="shared" si="1"/>
        <v>2|2268|1</v>
      </c>
      <c r="I14" s="222" t="s">
        <v>9287</v>
      </c>
      <c r="J14">
        <v>20</v>
      </c>
      <c r="K14" t="str">
        <f t="shared" si="2"/>
        <v>2|2268|1|20</v>
      </c>
      <c r="L14" t="str">
        <f t="shared" si="4"/>
        <v>2|2268|1,2|2254|1,2|2240|1,2|2226|1,2|2212|1,2|2198|1,2|2184|1,2|2170|1,2|2156|1,2|2142|1,2|2128|1,2|2114|1,2|2100|1</v>
      </c>
      <c r="M14" t="str">
        <f t="shared" si="5"/>
        <v>2|2268|1|20,2|2254|1|20,2|2240|1|20,2|2226|1|20,2|2212|1|20,2|2198|1|20,2|2184|1|20,2|2170|1|20,2|2156|1|20,2|2142|1|10,2|2128|1|10,2|2114|1|10,2|2100|1|10</v>
      </c>
      <c r="N14" s="336">
        <v>20815</v>
      </c>
      <c r="R14" t="str">
        <f t="shared" si="3"/>
        <v>血魔战甲</v>
      </c>
    </row>
    <row r="15" spans="1:18" ht="16.5" hidden="1">
      <c r="A15" t="str">
        <f t="shared" si="0"/>
        <v>a01</v>
      </c>
      <c r="B15">
        <v>2</v>
      </c>
      <c r="C15" s="222" t="s">
        <v>9287</v>
      </c>
      <c r="D15">
        <f>VLOOKUP(F15,Sheet7!$B:$G,6,0)</f>
        <v>2282</v>
      </c>
      <c r="E15" s="222" t="s">
        <v>9287</v>
      </c>
      <c r="F15" s="331" t="s">
        <v>15941</v>
      </c>
      <c r="G15">
        <v>1</v>
      </c>
      <c r="H15" t="str">
        <f t="shared" si="1"/>
        <v>2|2282|1</v>
      </c>
      <c r="I15" s="222" t="s">
        <v>9287</v>
      </c>
      <c r="J15">
        <v>20</v>
      </c>
      <c r="K15" t="str">
        <f t="shared" si="2"/>
        <v>2|2282|1|20</v>
      </c>
      <c r="L15" t="str">
        <f t="shared" si="4"/>
        <v>2|2282|1,2|2268|1,2|2254|1,2|2240|1,2|2226|1,2|2212|1,2|2198|1,2|2184|1,2|2170|1,2|2156|1,2|2142|1,2|2128|1,2|2114|1,2|2100|1</v>
      </c>
      <c r="M15" t="str">
        <f t="shared" si="5"/>
        <v>2|2282|1|20,2|2268|1|20,2|2254|1|20,2|2240|1|20,2|2226|1|20,2|2212|1|20,2|2198|1|20,2|2184|1|20,2|2170|1|20,2|2156|1|20,2|2142|1|10,2|2128|1|10,2|2114|1|10,2|2100|1|10</v>
      </c>
      <c r="N15" s="336">
        <v>20816</v>
      </c>
      <c r="R15" t="str">
        <f t="shared" si="3"/>
        <v>赤霄长剑</v>
      </c>
    </row>
    <row r="16" spans="1:18" ht="16.5" hidden="1">
      <c r="A16" t="str">
        <f t="shared" si="0"/>
        <v>a01</v>
      </c>
      <c r="B16">
        <v>2</v>
      </c>
      <c r="C16" s="222" t="s">
        <v>9287</v>
      </c>
      <c r="D16">
        <f>VLOOKUP(F16,Sheet7!$B:$G,6,0)</f>
        <v>2296</v>
      </c>
      <c r="E16" s="222" t="s">
        <v>9287</v>
      </c>
      <c r="F16" s="331" t="s">
        <v>15956</v>
      </c>
      <c r="G16">
        <v>1</v>
      </c>
      <c r="H16" t="str">
        <f t="shared" si="1"/>
        <v>2|2296|1</v>
      </c>
      <c r="I16" s="222" t="s">
        <v>9287</v>
      </c>
      <c r="J16">
        <v>20</v>
      </c>
      <c r="K16" t="str">
        <f t="shared" si="2"/>
        <v>2|2296|1|20</v>
      </c>
      <c r="L16" t="str">
        <f t="shared" si="4"/>
        <v>2|2296|1,2|2282|1,2|2268|1,2|2254|1,2|2240|1,2|2226|1,2|2212|1,2|2198|1,2|2184|1,2|2170|1,2|2156|1,2|2142|1,2|2128|1,2|2114|1,2|2100|1</v>
      </c>
      <c r="M16" t="str">
        <f t="shared" si="5"/>
        <v>2|2296|1|20,2|2282|1|20,2|2268|1|20,2|2254|1|20,2|2240|1|20,2|2226|1|20,2|2212|1|20,2|2198|1|20,2|2184|1|20,2|2170|1|20,2|2156|1|20,2|2142|1|10,2|2128|1|10,2|2114|1|10,2|2100|1|10</v>
      </c>
      <c r="N16" s="336">
        <v>20817</v>
      </c>
      <c r="R16" t="str">
        <f t="shared" si="3"/>
        <v>麒麟头盔</v>
      </c>
    </row>
    <row r="17" spans="1:18" ht="16.5" hidden="1">
      <c r="A17" t="str">
        <f t="shared" si="0"/>
        <v>a01</v>
      </c>
      <c r="B17">
        <v>2</v>
      </c>
      <c r="C17" s="222" t="s">
        <v>9287</v>
      </c>
      <c r="D17">
        <f>VLOOKUP(F17,Sheet7!$B:$G,6,0)</f>
        <v>2310</v>
      </c>
      <c r="E17" s="222" t="s">
        <v>9287</v>
      </c>
      <c r="F17" s="331" t="s">
        <v>15971</v>
      </c>
      <c r="G17">
        <v>1</v>
      </c>
      <c r="H17" t="str">
        <f t="shared" si="1"/>
        <v>2|2310|1</v>
      </c>
      <c r="I17" s="222" t="s">
        <v>9287</v>
      </c>
      <c r="J17">
        <v>20</v>
      </c>
      <c r="K17" t="str">
        <f t="shared" si="2"/>
        <v>2|2310|1|20</v>
      </c>
      <c r="L17" t="str">
        <f t="shared" si="4"/>
        <v>2|2310|1,2|2296|1,2|2282|1,2|2268|1,2|2254|1,2|2240|1,2|2226|1,2|2212|1,2|2198|1,2|2184|1,2|2170|1,2|2156|1,2|2142|1,2|2128|1,2|2114|1,2|2100|1</v>
      </c>
      <c r="M17" t="str">
        <f t="shared" si="5"/>
        <v>2|2310|1|20,2|2296|1|20,2|2282|1|20,2|2268|1|20,2|2254|1|20,2|2240|1|20,2|2226|1|20,2|2212|1|20,2|2198|1|20,2|2184|1|20,2|2170|1|20,2|2156|1|20,2|2142|1|10,2|2128|1|10,2|2114|1|10,2|2100|1|10</v>
      </c>
      <c r="N17" s="336">
        <v>281</v>
      </c>
      <c r="R17" t="str">
        <f t="shared" si="3"/>
        <v>兽魂战靴</v>
      </c>
    </row>
    <row r="18" spans="1:18" ht="16.5" hidden="1">
      <c r="A18" t="str">
        <f t="shared" si="0"/>
        <v>a01</v>
      </c>
      <c r="B18">
        <v>2</v>
      </c>
      <c r="C18" s="222" t="s">
        <v>9287</v>
      </c>
      <c r="D18">
        <f>VLOOKUP(F18,Sheet7!$B:$G,6,0)</f>
        <v>2324</v>
      </c>
      <c r="E18" s="222" t="s">
        <v>9287</v>
      </c>
      <c r="F18" s="331" t="s">
        <v>15986</v>
      </c>
      <c r="G18">
        <v>1</v>
      </c>
      <c r="H18" t="str">
        <f t="shared" si="1"/>
        <v>2|2324|1</v>
      </c>
      <c r="I18" s="222" t="s">
        <v>9287</v>
      </c>
      <c r="J18">
        <v>40</v>
      </c>
      <c r="K18" t="str">
        <f t="shared" si="2"/>
        <v>2|2324|1|40</v>
      </c>
      <c r="L18" t="str">
        <f t="shared" si="4"/>
        <v>2|2324|1,2|2310|1,2|2296|1,2|2282|1,2|2268|1,2|2254|1,2|2240|1,2|2226|1,2|2212|1,2|2198|1,2|2184|1,2|2170|1,2|2156|1,2|2142|1,2|2128|1,2|2114|1,2|2100|1</v>
      </c>
      <c r="M18" t="str">
        <f t="shared" si="5"/>
        <v>2|2324|1|40,2|2310|1|20,2|2296|1|20,2|2282|1|20,2|2268|1|20,2|2254|1|20,2|2240|1|20,2|2226|1|20,2|2212|1|20,2|2198|1|20,2|2184|1|20,2|2170|1|20,2|2156|1|20,2|2142|1|10,2|2128|1|10,2|2114|1|10,2|2100|1|10</v>
      </c>
      <c r="N18" s="336">
        <v>282</v>
      </c>
      <c r="R18" t="str">
        <f t="shared" si="3"/>
        <v>磐石战甲</v>
      </c>
    </row>
    <row r="19" spans="1:18" ht="16.5" hidden="1">
      <c r="A19" t="str">
        <f t="shared" si="0"/>
        <v>a01</v>
      </c>
      <c r="B19">
        <v>2</v>
      </c>
      <c r="C19" s="222" t="s">
        <v>9287</v>
      </c>
      <c r="D19">
        <f>VLOOKUP(F19,Sheet7!$B:$G,6,0)</f>
        <v>2338</v>
      </c>
      <c r="E19" s="222" t="s">
        <v>9287</v>
      </c>
      <c r="F19" s="331" t="s">
        <v>16001</v>
      </c>
      <c r="G19">
        <v>1</v>
      </c>
      <c r="H19" t="str">
        <f t="shared" si="1"/>
        <v>2|2338|1</v>
      </c>
      <c r="I19" s="222" t="s">
        <v>9287</v>
      </c>
      <c r="J19">
        <v>40</v>
      </c>
      <c r="K19" t="str">
        <f t="shared" si="2"/>
        <v>2|2338|1|40</v>
      </c>
      <c r="L19" t="str">
        <f t="shared" si="4"/>
        <v>2|2338|1,2|2324|1,2|2310|1,2|2296|1,2|2282|1,2|2268|1,2|2254|1,2|2240|1,2|2226|1,2|2212|1,2|2198|1,2|2184|1,2|2170|1,2|2156|1,2|2142|1,2|2128|1,2|2114|1,2|2100|1</v>
      </c>
      <c r="M19" t="str">
        <f t="shared" si="5"/>
        <v>2|2338|1|40,2|2324|1|40,2|2310|1|20,2|2296|1|20,2|2282|1|20,2|2268|1|20,2|2254|1|20,2|2240|1|20,2|2226|1|20,2|2212|1|20,2|2198|1|20,2|2184|1|20,2|2170|1|20,2|2156|1|20,2|2142|1|10,2|2128|1|10,2|2114|1|10,2|2100|1|10</v>
      </c>
      <c r="N19" s="336">
        <v>283</v>
      </c>
      <c r="R19" t="str">
        <f t="shared" si="3"/>
        <v>磐石长剑</v>
      </c>
    </row>
    <row r="20" spans="1:18" ht="16.5" hidden="1">
      <c r="A20" t="str">
        <f t="shared" si="0"/>
        <v>a01</v>
      </c>
      <c r="B20">
        <v>2</v>
      </c>
      <c r="C20" s="222" t="s">
        <v>9287</v>
      </c>
      <c r="D20">
        <f>VLOOKUP(F20,Sheet7!$B:$G,6,0)</f>
        <v>2352</v>
      </c>
      <c r="E20" s="222" t="s">
        <v>9287</v>
      </c>
      <c r="F20" s="331" t="s">
        <v>16016</v>
      </c>
      <c r="G20">
        <v>1</v>
      </c>
      <c r="H20" t="str">
        <f t="shared" si="1"/>
        <v>2|2352|1</v>
      </c>
      <c r="I20" s="222" t="s">
        <v>9287</v>
      </c>
      <c r="J20">
        <v>40</v>
      </c>
      <c r="K20" t="str">
        <f t="shared" si="2"/>
        <v>2|2352|1|40</v>
      </c>
      <c r="L20" t="str">
        <f t="shared" si="4"/>
        <v>2|2352|1,2|2338|1,2|2324|1,2|2310|1,2|2296|1,2|2282|1,2|2268|1,2|2254|1,2|2240|1,2|2226|1,2|2212|1,2|2198|1,2|2184|1,2|2170|1,2|2156|1,2|2142|1,2|2128|1,2|2114|1,2|2100|1</v>
      </c>
      <c r="M20" t="str">
        <f t="shared" si="5"/>
        <v>2|2352|1|40,2|2338|1|40,2|2324|1|40,2|2310|1|20,2|2296|1|20,2|2282|1|20,2|2268|1|20,2|2254|1|20,2|2240|1|20,2|2226|1|20,2|2212|1|20,2|2198|1|20,2|2184|1|20,2|2170|1|20,2|2156|1|20,2|2142|1|10,2|2128|1|10,2|2114|1|10,2|2100|1|10</v>
      </c>
      <c r="N20" s="336">
        <v>284</v>
      </c>
      <c r="R20" t="str">
        <f t="shared" si="3"/>
        <v>磐石头盔</v>
      </c>
    </row>
    <row r="21" spans="1:18" ht="16.5" hidden="1">
      <c r="A21" t="str">
        <f t="shared" si="0"/>
        <v>a01</v>
      </c>
      <c r="B21">
        <v>2</v>
      </c>
      <c r="C21" s="222" t="s">
        <v>9287</v>
      </c>
      <c r="D21">
        <f>VLOOKUP(F21,Sheet7!$B:$G,6,0)</f>
        <v>2366</v>
      </c>
      <c r="E21" s="222" t="s">
        <v>9287</v>
      </c>
      <c r="F21" s="331" t="s">
        <v>16031</v>
      </c>
      <c r="G21">
        <v>1</v>
      </c>
      <c r="H21" t="str">
        <f t="shared" si="1"/>
        <v>2|2366|1</v>
      </c>
      <c r="I21" s="222" t="s">
        <v>9287</v>
      </c>
      <c r="J21">
        <v>40</v>
      </c>
      <c r="K21" t="str">
        <f t="shared" si="2"/>
        <v>2|2366|1|40</v>
      </c>
      <c r="L21" t="str">
        <f t="shared" si="4"/>
        <v>2|2366|1,2|2352|1,2|2338|1,2|2324|1,2|2310|1,2|2296|1,2|2282|1,2|2268|1,2|2254|1,2|2240|1,2|2226|1,2|2212|1,2|2198|1,2|2184|1,2|2170|1,2|2156|1,2|2142|1,2|2128|1,2|2114|1,2|2100|1</v>
      </c>
      <c r="M21" t="str">
        <f t="shared" si="5"/>
        <v>2|2366|1|40,2|2352|1|40,2|2338|1|40,2|2324|1|40,2|2310|1|20,2|2296|1|20,2|2282|1|20,2|2268|1|20,2|2254|1|20,2|2240|1|20,2|2226|1|20,2|2212|1|20,2|2198|1|20,2|2184|1|20,2|2170|1|20,2|2156|1|20,2|2142|1|10,2|2128|1|10,2|2114|1|10,2|2100|1|10</v>
      </c>
      <c r="N21" s="336">
        <v>285</v>
      </c>
      <c r="R21" t="str">
        <f t="shared" si="3"/>
        <v>磐石战靴</v>
      </c>
    </row>
    <row r="22" spans="1:18" ht="16.5" hidden="1">
      <c r="A22" t="str">
        <f t="shared" si="0"/>
        <v>a01</v>
      </c>
      <c r="B22">
        <v>2</v>
      </c>
      <c r="C22" s="222" t="s">
        <v>9287</v>
      </c>
      <c r="D22">
        <f>VLOOKUP(F22,Sheet7!$B:$G,6,0)</f>
        <v>2380</v>
      </c>
      <c r="E22" s="222" t="s">
        <v>9287</v>
      </c>
      <c r="F22" s="331" t="s">
        <v>16046</v>
      </c>
      <c r="G22">
        <v>1</v>
      </c>
      <c r="H22" t="str">
        <f t="shared" si="1"/>
        <v>2|2380|1</v>
      </c>
      <c r="I22" s="222" t="s">
        <v>9287</v>
      </c>
      <c r="J22">
        <v>40</v>
      </c>
      <c r="K22" t="str">
        <f t="shared" si="2"/>
        <v>2|2380|1|40</v>
      </c>
      <c r="L22" t="str">
        <f t="shared" si="4"/>
        <v>2|2380|1,2|2366|1,2|2352|1,2|2338|1,2|2324|1,2|2310|1,2|2296|1,2|2282|1,2|2268|1,2|2254|1,2|2240|1,2|2226|1,2|2212|1,2|2198|1,2|2184|1,2|2170|1,2|2156|1,2|2142|1,2|2128|1,2|2114|1,2|2100|1</v>
      </c>
      <c r="M22" t="str">
        <f t="shared" si="5"/>
        <v>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2" s="336">
        <v>286</v>
      </c>
      <c r="R22" t="str">
        <f t="shared" si="3"/>
        <v>连云战甲</v>
      </c>
    </row>
    <row r="23" spans="1:18" ht="16.5" hidden="1">
      <c r="A23" t="str">
        <f t="shared" si="0"/>
        <v>a01</v>
      </c>
      <c r="B23">
        <v>2</v>
      </c>
      <c r="C23" s="222" t="s">
        <v>9287</v>
      </c>
      <c r="D23">
        <f>VLOOKUP(F23,Sheet7!$B:$G,6,0)</f>
        <v>2394</v>
      </c>
      <c r="E23" s="222" t="s">
        <v>9287</v>
      </c>
      <c r="F23" s="331" t="s">
        <v>16061</v>
      </c>
      <c r="G23">
        <v>1</v>
      </c>
      <c r="H23" t="str">
        <f t="shared" si="1"/>
        <v>2|2394|1</v>
      </c>
      <c r="I23" s="222" t="s">
        <v>9287</v>
      </c>
      <c r="J23">
        <v>40</v>
      </c>
      <c r="K23" t="str">
        <f t="shared" si="2"/>
        <v>2|2394|1|40</v>
      </c>
      <c r="L23" t="str">
        <f t="shared" si="4"/>
        <v>2|2394|1,2|2380|1,2|2366|1,2|2352|1,2|2338|1,2|2324|1,2|2310|1,2|2296|1,2|2282|1,2|2268|1,2|2254|1,2|2240|1,2|2226|1,2|2212|1,2|2198|1,2|2184|1,2|2170|1,2|2156|1,2|2142|1,2|2128|1,2|2114|1,2|2100|1</v>
      </c>
      <c r="M23" t="str">
        <f t="shared" si="5"/>
        <v>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3" s="336">
        <v>287</v>
      </c>
      <c r="R23" t="str">
        <f t="shared" si="3"/>
        <v>紫阳长剑</v>
      </c>
    </row>
    <row r="24" spans="1:18" ht="16.5" hidden="1">
      <c r="A24" t="str">
        <f t="shared" si="0"/>
        <v>a01</v>
      </c>
      <c r="B24">
        <v>2</v>
      </c>
      <c r="C24" s="222" t="s">
        <v>9287</v>
      </c>
      <c r="D24">
        <f>VLOOKUP(F24,Sheet7!$B:$G,6,0)</f>
        <v>2408</v>
      </c>
      <c r="E24" s="222" t="s">
        <v>9287</v>
      </c>
      <c r="F24" s="331" t="s">
        <v>16076</v>
      </c>
      <c r="G24">
        <v>1</v>
      </c>
      <c r="H24" t="str">
        <f t="shared" si="1"/>
        <v>2|2408|1</v>
      </c>
      <c r="I24" s="222" t="s">
        <v>9287</v>
      </c>
      <c r="J24">
        <v>40</v>
      </c>
      <c r="K24" t="str">
        <f t="shared" si="2"/>
        <v>2|2408|1|40</v>
      </c>
      <c r="L24" t="str">
        <f t="shared" si="4"/>
        <v>2|2408|1,2|2394|1,2|2380|1,2|2366|1,2|2352|1,2|2338|1,2|2324|1,2|2310|1,2|2296|1,2|2282|1,2|2268|1,2|2254|1,2|2240|1,2|2226|1,2|2212|1,2|2198|1,2|2184|1,2|2170|1,2|2156|1,2|2142|1,2|2128|1,2|2114|1,2|2100|1</v>
      </c>
      <c r="M24" t="str">
        <f t="shared" si="5"/>
        <v>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4" s="336">
        <v>2082</v>
      </c>
      <c r="R24" t="str">
        <f t="shared" si="3"/>
        <v>耀日头盔</v>
      </c>
    </row>
    <row r="25" spans="1:18" ht="16.5" hidden="1">
      <c r="A25" t="str">
        <f t="shared" si="0"/>
        <v>a01</v>
      </c>
      <c r="B25">
        <v>2</v>
      </c>
      <c r="C25" s="222" t="s">
        <v>9287</v>
      </c>
      <c r="D25">
        <f>VLOOKUP(F25,Sheet7!$B:$G,6,0)</f>
        <v>2422</v>
      </c>
      <c r="E25" s="222" t="s">
        <v>9287</v>
      </c>
      <c r="F25" s="331" t="s">
        <v>16091</v>
      </c>
      <c r="G25">
        <v>1</v>
      </c>
      <c r="H25" t="str">
        <f t="shared" si="1"/>
        <v>2|2422|1</v>
      </c>
      <c r="I25" s="222" t="s">
        <v>9287</v>
      </c>
      <c r="J25">
        <v>40</v>
      </c>
      <c r="K25" t="str">
        <f t="shared" si="2"/>
        <v>2|2422|1|40</v>
      </c>
      <c r="L25" t="str">
        <f t="shared" si="4"/>
        <v>2|2422|1,2|2408|1,2|2394|1,2|2380|1,2|2366|1,2|2352|1,2|2338|1,2|2324|1,2|2310|1,2|2296|1,2|2282|1,2|2268|1,2|2254|1,2|2240|1,2|2226|1,2|2212|1,2|2198|1,2|2184|1,2|2170|1,2|2156|1,2|2142|1,2|2128|1,2|2114|1,2|2100|1</v>
      </c>
      <c r="M25" t="str">
        <f t="shared" si="5"/>
        <v>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5" s="336">
        <v>20821</v>
      </c>
      <c r="R25" t="str">
        <f t="shared" si="3"/>
        <v>雷霆战靴</v>
      </c>
    </row>
    <row r="26" spans="1:18" ht="16.5" hidden="1">
      <c r="A26" t="str">
        <f t="shared" si="0"/>
        <v>a01</v>
      </c>
      <c r="B26">
        <v>2</v>
      </c>
      <c r="C26" s="222" t="s">
        <v>9287</v>
      </c>
      <c r="D26">
        <f>VLOOKUP(F26,Sheet7!$B:$G,6,0)</f>
        <v>2436</v>
      </c>
      <c r="E26" s="222" t="s">
        <v>9287</v>
      </c>
      <c r="F26" s="331" t="s">
        <v>16106</v>
      </c>
      <c r="G26">
        <v>1</v>
      </c>
      <c r="H26" t="str">
        <f t="shared" si="1"/>
        <v>2|2436|1</v>
      </c>
      <c r="I26" s="222" t="s">
        <v>9287</v>
      </c>
      <c r="J26">
        <v>40</v>
      </c>
      <c r="K26" t="str">
        <f t="shared" si="2"/>
        <v>2|2436|1|40</v>
      </c>
      <c r="L26" t="str">
        <f t="shared" si="4"/>
        <v>2|2436|1,2|2422|1,2|2408|1,2|2394|1,2|2380|1,2|2366|1,2|2352|1,2|2338|1,2|2324|1,2|2310|1,2|2296|1,2|2282|1,2|2268|1,2|2254|1,2|2240|1,2|2226|1,2|2212|1,2|2198|1,2|2184|1,2|2170|1,2|2156|1,2|2142|1,2|2128|1,2|2114|1,2|2100|1</v>
      </c>
      <c r="M26" t="str">
        <f t="shared" si="5"/>
        <v>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6" s="336">
        <v>20822</v>
      </c>
      <c r="R26" t="str">
        <f t="shared" si="3"/>
        <v>护卫战甲</v>
      </c>
    </row>
    <row r="27" spans="1:18" ht="16.5" hidden="1">
      <c r="A27" t="str">
        <f t="shared" si="0"/>
        <v>a01</v>
      </c>
      <c r="B27">
        <v>2</v>
      </c>
      <c r="C27" s="222" t="s">
        <v>9287</v>
      </c>
      <c r="D27">
        <f>VLOOKUP(F27,Sheet7!$B:$G,6,0)</f>
        <v>2450</v>
      </c>
      <c r="E27" s="222" t="s">
        <v>9287</v>
      </c>
      <c r="F27" s="331" t="s">
        <v>16121</v>
      </c>
      <c r="G27">
        <v>1</v>
      </c>
      <c r="H27" t="str">
        <f t="shared" si="1"/>
        <v>2|2450|1</v>
      </c>
      <c r="I27" s="222" t="s">
        <v>9287</v>
      </c>
      <c r="J27">
        <v>40</v>
      </c>
      <c r="K27" t="str">
        <f t="shared" si="2"/>
        <v>2|2450|1|40</v>
      </c>
      <c r="L27" t="str">
        <f t="shared" si="4"/>
        <v>2|2450|1,2|2436|1,2|2422|1,2|2408|1,2|2394|1,2|2380|1,2|2366|1,2|2352|1,2|2338|1,2|2324|1,2|2310|1,2|2296|1,2|2282|1,2|2268|1,2|2254|1,2|2240|1,2|2226|1,2|2212|1,2|2198|1,2|2184|1,2|2170|1,2|2156|1,2|2142|1,2|2128|1,2|2114|1,2|2100|1</v>
      </c>
      <c r="M27" t="str">
        <f t="shared" si="5"/>
        <v>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7" s="336">
        <v>20823</v>
      </c>
      <c r="R27" t="str">
        <f t="shared" si="3"/>
        <v>护卫长剑</v>
      </c>
    </row>
    <row r="28" spans="1:18" ht="16.5" hidden="1">
      <c r="A28" t="str">
        <f t="shared" si="0"/>
        <v>a01</v>
      </c>
      <c r="B28">
        <v>2</v>
      </c>
      <c r="C28" s="222" t="s">
        <v>9287</v>
      </c>
      <c r="D28">
        <f>VLOOKUP(F28,Sheet7!$B:$G,6,0)</f>
        <v>2464</v>
      </c>
      <c r="E28" s="222" t="s">
        <v>9287</v>
      </c>
      <c r="F28" s="331" t="s">
        <v>16136</v>
      </c>
      <c r="G28">
        <v>1</v>
      </c>
      <c r="H28" t="str">
        <f t="shared" si="1"/>
        <v>2|2464|1</v>
      </c>
      <c r="I28" s="222" t="s">
        <v>9287</v>
      </c>
      <c r="J28">
        <v>40</v>
      </c>
      <c r="K28" t="str">
        <f t="shared" si="2"/>
        <v>2|2464|1|40</v>
      </c>
      <c r="L28" t="str">
        <f t="shared" si="4"/>
        <v>2|2464|1,2|2450|1,2|2436|1,2|2422|1,2|2408|1,2|2394|1,2|2380|1,2|2366|1,2|2352|1,2|2338|1,2|2324|1,2|2310|1,2|2296|1,2|2282|1,2|2268|1,2|2254|1,2|2240|1,2|2226|1,2|2212|1,2|2198|1,2|2184|1,2|2170|1,2|2156|1,2|2142|1,2|2128|1,2|2114|1,2|2100|1</v>
      </c>
      <c r="M28" t="str">
        <f t="shared" si="5"/>
        <v>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8" s="336">
        <v>20824</v>
      </c>
      <c r="R28" t="str">
        <f t="shared" si="3"/>
        <v>护卫头盔</v>
      </c>
    </row>
    <row r="29" spans="1:18" ht="16.5" hidden="1">
      <c r="A29" t="str">
        <f t="shared" si="0"/>
        <v>a01</v>
      </c>
      <c r="B29">
        <v>2</v>
      </c>
      <c r="C29" s="222" t="s">
        <v>9287</v>
      </c>
      <c r="D29">
        <f>VLOOKUP(F29,Sheet7!$B:$G,6,0)</f>
        <v>2478</v>
      </c>
      <c r="E29" s="222" t="s">
        <v>9287</v>
      </c>
      <c r="F29" s="331" t="s">
        <v>16151</v>
      </c>
      <c r="G29">
        <v>1</v>
      </c>
      <c r="H29" t="str">
        <f t="shared" si="1"/>
        <v>2|2478|1</v>
      </c>
      <c r="I29" s="222" t="s">
        <v>9287</v>
      </c>
      <c r="J29">
        <v>40</v>
      </c>
      <c r="K29" t="str">
        <f t="shared" si="2"/>
        <v>2|2478|1|40</v>
      </c>
      <c r="L29" t="str">
        <f t="shared" si="4"/>
        <v>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29" t="str">
        <f t="shared" si="5"/>
        <v>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29" s="336">
        <v>20825</v>
      </c>
      <c r="R29" t="str">
        <f t="shared" si="3"/>
        <v>护卫战靴</v>
      </c>
    </row>
    <row r="30" spans="1:18" ht="16.5" hidden="1">
      <c r="A30" t="str">
        <f t="shared" si="0"/>
        <v>a01</v>
      </c>
      <c r="B30">
        <v>2</v>
      </c>
      <c r="C30" s="222" t="s">
        <v>9287</v>
      </c>
      <c r="D30">
        <f>VLOOKUP(F30,Sheet7!$B:$G,6,0)</f>
        <v>2492</v>
      </c>
      <c r="E30" s="222" t="s">
        <v>9287</v>
      </c>
      <c r="F30" s="331" t="s">
        <v>16166</v>
      </c>
      <c r="G30">
        <v>1</v>
      </c>
      <c r="H30" t="str">
        <f t="shared" si="1"/>
        <v>2|2492|1</v>
      </c>
      <c r="I30" s="222" t="s">
        <v>9287</v>
      </c>
      <c r="J30">
        <v>40</v>
      </c>
      <c r="K30" t="str">
        <f t="shared" si="2"/>
        <v>2|2492|1|40</v>
      </c>
      <c r="L30" t="str">
        <f t="shared" si="4"/>
        <v>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0" t="str">
        <f t="shared" si="5"/>
        <v>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0" s="336">
        <v>20826</v>
      </c>
      <c r="R30" t="str">
        <f t="shared" si="3"/>
        <v>破魔战甲</v>
      </c>
    </row>
    <row r="31" spans="1:18" ht="16.5" hidden="1">
      <c r="A31" t="str">
        <f t="shared" si="0"/>
        <v>a01</v>
      </c>
      <c r="B31">
        <v>2</v>
      </c>
      <c r="C31" s="222" t="s">
        <v>9287</v>
      </c>
      <c r="D31">
        <f>VLOOKUP(F31,Sheet7!$B:$G,6,0)</f>
        <v>2506</v>
      </c>
      <c r="E31" s="222" t="s">
        <v>9287</v>
      </c>
      <c r="F31" s="331" t="s">
        <v>16181</v>
      </c>
      <c r="G31">
        <v>1</v>
      </c>
      <c r="H31" t="str">
        <f t="shared" si="1"/>
        <v>2|2506|1</v>
      </c>
      <c r="I31" s="222" t="s">
        <v>9287</v>
      </c>
      <c r="J31">
        <v>40</v>
      </c>
      <c r="K31" t="str">
        <f t="shared" si="2"/>
        <v>2|2506|1|40</v>
      </c>
      <c r="L31" t="str">
        <f t="shared" si="4"/>
        <v>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1" t="str">
        <f t="shared" si="5"/>
        <v>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1" s="336">
        <v>20827</v>
      </c>
      <c r="R31" t="str">
        <f t="shared" si="3"/>
        <v>破魔长剑</v>
      </c>
    </row>
    <row r="32" spans="1:18" ht="16.5" hidden="1">
      <c r="A32" t="str">
        <f t="shared" si="0"/>
        <v>a01</v>
      </c>
      <c r="B32">
        <v>2</v>
      </c>
      <c r="C32" s="222" t="s">
        <v>9287</v>
      </c>
      <c r="D32">
        <f>VLOOKUP(F32,Sheet7!$B:$G,6,0)</f>
        <v>2520</v>
      </c>
      <c r="E32" s="222" t="s">
        <v>9287</v>
      </c>
      <c r="F32" s="331" t="s">
        <v>16196</v>
      </c>
      <c r="G32">
        <v>1</v>
      </c>
      <c r="H32" t="str">
        <f t="shared" si="1"/>
        <v>2|2520|1</v>
      </c>
      <c r="I32" s="222" t="s">
        <v>9287</v>
      </c>
      <c r="J32">
        <v>40</v>
      </c>
      <c r="K32" t="str">
        <f t="shared" si="2"/>
        <v>2|2520|1|40</v>
      </c>
      <c r="L32" t="str">
        <f t="shared" si="4"/>
        <v>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2" t="str">
        <f t="shared" si="5"/>
        <v>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2" s="336">
        <v>381</v>
      </c>
      <c r="R32" t="str">
        <f t="shared" si="3"/>
        <v>破魔头盔</v>
      </c>
    </row>
    <row r="33" spans="1:18" ht="16.5" hidden="1">
      <c r="A33" t="str">
        <f t="shared" si="0"/>
        <v>a01</v>
      </c>
      <c r="B33">
        <v>2</v>
      </c>
      <c r="C33" s="222" t="s">
        <v>9287</v>
      </c>
      <c r="D33">
        <f>VLOOKUP(F33,Sheet7!$B:$G,6,0)</f>
        <v>2534</v>
      </c>
      <c r="E33" s="222" t="s">
        <v>9287</v>
      </c>
      <c r="F33" s="331" t="s">
        <v>16211</v>
      </c>
      <c r="G33">
        <v>1</v>
      </c>
      <c r="H33" t="str">
        <f t="shared" si="1"/>
        <v>2|2534|1</v>
      </c>
      <c r="I33" s="222" t="s">
        <v>9287</v>
      </c>
      <c r="J33">
        <v>40</v>
      </c>
      <c r="K33" t="str">
        <f t="shared" si="2"/>
        <v>2|2534|1|40</v>
      </c>
      <c r="L33" t="str">
        <f t="shared" si="4"/>
        <v>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3" t="str">
        <f t="shared" si="5"/>
        <v>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3" s="336">
        <v>382</v>
      </c>
      <c r="R33" t="str">
        <f t="shared" si="3"/>
        <v>破魔战靴</v>
      </c>
    </row>
    <row r="34" spans="1:18" ht="16.5" hidden="1">
      <c r="A34" t="str">
        <f t="shared" si="0"/>
        <v>a01</v>
      </c>
      <c r="B34">
        <v>2</v>
      </c>
      <c r="C34" s="222" t="s">
        <v>9287</v>
      </c>
      <c r="D34">
        <f>VLOOKUP(F34,Sheet7!$B:$G,6,0)</f>
        <v>2548</v>
      </c>
      <c r="E34" s="222" t="s">
        <v>9287</v>
      </c>
      <c r="F34" s="331" t="s">
        <v>16226</v>
      </c>
      <c r="G34">
        <v>1</v>
      </c>
      <c r="H34" t="str">
        <f t="shared" si="1"/>
        <v>2|2548|1</v>
      </c>
      <c r="I34" s="222" t="s">
        <v>9287</v>
      </c>
      <c r="J34">
        <v>40</v>
      </c>
      <c r="K34" t="str">
        <f t="shared" si="2"/>
        <v>2|2548|1|40</v>
      </c>
      <c r="L34" t="str">
        <f t="shared" si="4"/>
        <v>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4" t="str">
        <f t="shared" si="5"/>
        <v>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4" s="336">
        <v>383</v>
      </c>
      <c r="R34" t="str">
        <f t="shared" si="3"/>
        <v>赤血战甲</v>
      </c>
    </row>
    <row r="35" spans="1:18" ht="16.5" hidden="1">
      <c r="A35" t="str">
        <f t="shared" si="0"/>
        <v>a01</v>
      </c>
      <c r="B35">
        <v>2</v>
      </c>
      <c r="C35" s="222" t="s">
        <v>9287</v>
      </c>
      <c r="D35">
        <f>VLOOKUP(F35,Sheet7!$B:$G,6,0)</f>
        <v>2562</v>
      </c>
      <c r="E35" s="222" t="s">
        <v>9287</v>
      </c>
      <c r="F35" s="331" t="s">
        <v>16241</v>
      </c>
      <c r="G35">
        <v>1</v>
      </c>
      <c r="H35" t="str">
        <f t="shared" si="1"/>
        <v>2|2562|1</v>
      </c>
      <c r="I35" s="222" t="s">
        <v>9287</v>
      </c>
      <c r="J35">
        <v>40</v>
      </c>
      <c r="K35" t="str">
        <f t="shared" si="2"/>
        <v>2|2562|1|40</v>
      </c>
      <c r="L35" t="str">
        <f t="shared" si="4"/>
        <v>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5" t="str">
        <f t="shared" si="5"/>
        <v>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5" s="336">
        <v>384</v>
      </c>
      <c r="R35" t="str">
        <f t="shared" si="3"/>
        <v>青锋长剑</v>
      </c>
    </row>
    <row r="36" spans="1:18" ht="16.5" hidden="1">
      <c r="A36" t="str">
        <f t="shared" si="0"/>
        <v>a01</v>
      </c>
      <c r="B36">
        <v>2</v>
      </c>
      <c r="C36" s="222" t="s">
        <v>9287</v>
      </c>
      <c r="D36">
        <f>VLOOKUP(F36,Sheet7!$B:$G,6,0)</f>
        <v>2576</v>
      </c>
      <c r="E36" s="222" t="s">
        <v>9287</v>
      </c>
      <c r="F36" s="331" t="s">
        <v>16256</v>
      </c>
      <c r="G36">
        <v>1</v>
      </c>
      <c r="H36" t="str">
        <f t="shared" si="1"/>
        <v>2|2576|1</v>
      </c>
      <c r="I36" s="222" t="s">
        <v>9287</v>
      </c>
      <c r="J36">
        <v>40</v>
      </c>
      <c r="K36" t="str">
        <f t="shared" si="2"/>
        <v>2|2576|1|40</v>
      </c>
      <c r="L36" t="str">
        <f t="shared" si="4"/>
        <v>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6" t="str">
        <f t="shared" si="5"/>
        <v>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6" s="336">
        <v>385</v>
      </c>
      <c r="R36" t="str">
        <f t="shared" si="3"/>
        <v>雁虞头盔</v>
      </c>
    </row>
    <row r="37" spans="1:18" ht="16.5" hidden="1">
      <c r="A37" t="str">
        <f t="shared" si="0"/>
        <v>a01</v>
      </c>
      <c r="B37">
        <v>2</v>
      </c>
      <c r="C37" s="222" t="s">
        <v>9287</v>
      </c>
      <c r="D37">
        <f>VLOOKUP(F37,Sheet7!$B:$G,6,0)</f>
        <v>2590</v>
      </c>
      <c r="E37" s="222" t="s">
        <v>9287</v>
      </c>
      <c r="F37" s="331" t="s">
        <v>16271</v>
      </c>
      <c r="G37">
        <v>1</v>
      </c>
      <c r="H37" t="str">
        <f t="shared" si="1"/>
        <v>2|2590|1</v>
      </c>
      <c r="I37" s="222" t="s">
        <v>9287</v>
      </c>
      <c r="J37">
        <v>40</v>
      </c>
      <c r="K37" t="str">
        <f t="shared" si="2"/>
        <v>2|2590|1|40</v>
      </c>
      <c r="L37" t="str">
        <f t="shared" si="4"/>
        <v>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7" t="str">
        <f t="shared" si="5"/>
        <v>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7" s="336">
        <v>386</v>
      </c>
      <c r="R37" t="str">
        <f t="shared" si="3"/>
        <v>无影战靴</v>
      </c>
    </row>
    <row r="38" spans="1:18" ht="16.5" hidden="1">
      <c r="A38" t="str">
        <f t="shared" si="0"/>
        <v>a01</v>
      </c>
      <c r="B38">
        <v>2</v>
      </c>
      <c r="C38" s="222" t="s">
        <v>9287</v>
      </c>
      <c r="D38">
        <f>VLOOKUP(F38,Sheet7!$B:$G,6,0)</f>
        <v>2001</v>
      </c>
      <c r="E38" s="222" t="s">
        <v>9287</v>
      </c>
      <c r="F38" s="331" t="s">
        <v>16286</v>
      </c>
      <c r="G38">
        <v>1</v>
      </c>
      <c r="H38" t="str">
        <f t="shared" si="1"/>
        <v>2|2001|1</v>
      </c>
      <c r="I38" s="222" t="s">
        <v>9287</v>
      </c>
      <c r="J38">
        <v>40</v>
      </c>
      <c r="K38" t="str">
        <f t="shared" si="2"/>
        <v>2|2001|1|40</v>
      </c>
      <c r="L38" t="str">
        <f t="shared" si="4"/>
        <v>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8" t="str">
        <f t="shared" si="5"/>
        <v>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8" s="336">
        <v>387</v>
      </c>
      <c r="R38" t="str">
        <f t="shared" si="3"/>
        <v>行者战甲</v>
      </c>
    </row>
    <row r="39" spans="1:18" ht="16.5" hidden="1">
      <c r="A39" t="str">
        <f t="shared" si="0"/>
        <v>a01</v>
      </c>
      <c r="B39">
        <v>2</v>
      </c>
      <c r="C39" s="222" t="s">
        <v>9287</v>
      </c>
      <c r="D39">
        <f>VLOOKUP(F39,Sheet7!$B:$G,6,0)</f>
        <v>2002</v>
      </c>
      <c r="E39" s="222" t="s">
        <v>9287</v>
      </c>
      <c r="F39" s="331" t="s">
        <v>16301</v>
      </c>
      <c r="G39">
        <v>1</v>
      </c>
      <c r="H39" t="str">
        <f t="shared" si="1"/>
        <v>2|2002|1</v>
      </c>
      <c r="I39" s="222" t="s">
        <v>9287</v>
      </c>
      <c r="J39">
        <v>40</v>
      </c>
      <c r="K39" t="str">
        <f t="shared" si="2"/>
        <v>2|2002|1|40</v>
      </c>
      <c r="L39" t="str">
        <f t="shared" si="4"/>
        <v>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39" t="str">
        <f t="shared" si="5"/>
        <v>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39" s="336">
        <v>2083</v>
      </c>
      <c r="R39" t="str">
        <f t="shared" si="3"/>
        <v>精铁长剑</v>
      </c>
    </row>
    <row r="40" spans="1:18" ht="16.5" hidden="1">
      <c r="A40" t="str">
        <f t="shared" si="0"/>
        <v>a01</v>
      </c>
      <c r="B40">
        <v>2</v>
      </c>
      <c r="C40" s="222" t="s">
        <v>9287</v>
      </c>
      <c r="D40">
        <f>VLOOKUP(F40,Sheet7!$B:$G,6,0)</f>
        <v>2003</v>
      </c>
      <c r="E40" s="222" t="s">
        <v>9287</v>
      </c>
      <c r="F40" s="331" t="s">
        <v>16316</v>
      </c>
      <c r="G40">
        <v>1</v>
      </c>
      <c r="H40" t="str">
        <f t="shared" si="1"/>
        <v>2|2003|1</v>
      </c>
      <c r="I40" s="222" t="s">
        <v>9287</v>
      </c>
      <c r="J40">
        <v>40</v>
      </c>
      <c r="K40" t="str">
        <f t="shared" si="2"/>
        <v>2|2003|1|40</v>
      </c>
      <c r="L40" t="str">
        <f t="shared" si="4"/>
        <v>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40" t="str">
        <f t="shared" si="5"/>
        <v>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40" s="336">
        <v>20831</v>
      </c>
      <c r="R40" t="str">
        <f t="shared" si="3"/>
        <v>虹影头盔</v>
      </c>
    </row>
    <row r="41" spans="1:18" ht="16.5" hidden="1">
      <c r="A41" t="str">
        <f t="shared" si="0"/>
        <v>a01</v>
      </c>
      <c r="B41">
        <v>2</v>
      </c>
      <c r="C41" s="222" t="s">
        <v>9287</v>
      </c>
      <c r="D41">
        <f>VLOOKUP(F41,Sheet7!$B:$G,6,0)</f>
        <v>2004</v>
      </c>
      <c r="E41" s="222" t="s">
        <v>9287</v>
      </c>
      <c r="F41" s="331" t="s">
        <v>16331</v>
      </c>
      <c r="G41">
        <v>1</v>
      </c>
      <c r="H41" t="str">
        <f t="shared" si="1"/>
        <v>2|2004|1</v>
      </c>
      <c r="I41" s="222" t="s">
        <v>9287</v>
      </c>
      <c r="J41">
        <v>40</v>
      </c>
      <c r="K41" t="str">
        <f t="shared" si="2"/>
        <v>2|2004|1|40</v>
      </c>
      <c r="L41" t="str">
        <f t="shared" si="4"/>
        <v>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41" t="str">
        <f t="shared" si="5"/>
        <v>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41" s="336">
        <v>20832</v>
      </c>
      <c r="R41" t="str">
        <f t="shared" si="3"/>
        <v>千里战靴</v>
      </c>
    </row>
    <row r="42" spans="1:18" ht="16.5" hidden="1">
      <c r="A42" t="str">
        <f t="shared" si="0"/>
        <v>a01</v>
      </c>
      <c r="B42">
        <v>2</v>
      </c>
      <c r="C42" s="222" t="s">
        <v>9287</v>
      </c>
      <c r="D42">
        <f>VLOOKUP(F42,Sheet7!$B:$G,6,0)</f>
        <v>2660</v>
      </c>
      <c r="E42" s="222" t="s">
        <v>9287</v>
      </c>
      <c r="F42" s="331" t="s">
        <v>16346</v>
      </c>
      <c r="G42">
        <v>1</v>
      </c>
      <c r="H42" t="str">
        <f t="shared" si="1"/>
        <v>2|2660|1</v>
      </c>
      <c r="I42" s="222" t="s">
        <v>9287</v>
      </c>
      <c r="J42">
        <v>40</v>
      </c>
      <c r="K42" t="str">
        <f t="shared" si="2"/>
        <v>2|2660|1|40</v>
      </c>
      <c r="L42" t="str">
        <f t="shared" si="4"/>
        <v>2|2660|1,2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42" t="str">
        <f t="shared" si="5"/>
        <v>2|2660|1|40,2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42" s="336">
        <v>20833</v>
      </c>
      <c r="R42" t="str">
        <f t="shared" si="3"/>
        <v>封魔战甲</v>
      </c>
    </row>
    <row r="43" spans="1:18" ht="16.5" hidden="1">
      <c r="A43" t="str">
        <f t="shared" si="0"/>
        <v>a01</v>
      </c>
      <c r="B43">
        <v>2</v>
      </c>
      <c r="C43" s="222" t="s">
        <v>9287</v>
      </c>
      <c r="D43">
        <f>VLOOKUP(F43,Sheet7!$B:$G,6,0)</f>
        <v>2674</v>
      </c>
      <c r="E43" s="222" t="s">
        <v>9287</v>
      </c>
      <c r="F43" s="331" t="s">
        <v>16361</v>
      </c>
      <c r="G43">
        <v>1</v>
      </c>
      <c r="H43" t="str">
        <f t="shared" si="1"/>
        <v>2|2674|1</v>
      </c>
      <c r="I43" s="222" t="s">
        <v>9287</v>
      </c>
      <c r="J43">
        <v>40</v>
      </c>
      <c r="K43" t="str">
        <f t="shared" si="2"/>
        <v>2|2674|1|40</v>
      </c>
      <c r="L43" t="str">
        <f t="shared" si="4"/>
        <v>2|2674|1,2|2660|1,2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43" t="str">
        <f t="shared" si="5"/>
        <v>2|2674|1|40,2|2660|1|40,2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43" s="336">
        <v>20834</v>
      </c>
      <c r="R43" t="str">
        <f t="shared" si="3"/>
        <v>封魔长剑</v>
      </c>
    </row>
    <row r="44" spans="1:18" ht="16.5" hidden="1">
      <c r="A44" t="str">
        <f t="shared" si="0"/>
        <v>a01</v>
      </c>
      <c r="B44">
        <v>2</v>
      </c>
      <c r="C44" s="222" t="s">
        <v>9287</v>
      </c>
      <c r="D44">
        <f>VLOOKUP(F44,Sheet7!$B:$G,6,0)</f>
        <v>2688</v>
      </c>
      <c r="E44" s="222" t="s">
        <v>9287</v>
      </c>
      <c r="F44" s="331" t="s">
        <v>16376</v>
      </c>
      <c r="G44">
        <v>1</v>
      </c>
      <c r="H44" t="str">
        <f t="shared" si="1"/>
        <v>2|2688|1</v>
      </c>
      <c r="I44" s="222" t="s">
        <v>9287</v>
      </c>
      <c r="J44">
        <v>40</v>
      </c>
      <c r="K44" t="str">
        <f t="shared" si="2"/>
        <v>2|2688|1|40</v>
      </c>
      <c r="L44" t="str">
        <f t="shared" si="4"/>
        <v>2|2688|1,2|2674|1,2|2660|1,2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44" t="str">
        <f t="shared" si="5"/>
        <v>2|2688|1|40,2|2674|1|40,2|2660|1|40,2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44" s="336">
        <v>20835</v>
      </c>
      <c r="R44" t="str">
        <f t="shared" si="3"/>
        <v>封魔头盔</v>
      </c>
    </row>
    <row r="45" spans="1:18" ht="16.5">
      <c r="A45" t="str">
        <f t="shared" si="0"/>
        <v>a01</v>
      </c>
      <c r="B45">
        <v>2</v>
      </c>
      <c r="C45" s="222" t="s">
        <v>9287</v>
      </c>
      <c r="D45">
        <f>VLOOKUP(F45,Sheet7!$B:$G,6,0)</f>
        <v>2702</v>
      </c>
      <c r="E45" s="222" t="s">
        <v>9287</v>
      </c>
      <c r="F45" s="331" t="s">
        <v>16391</v>
      </c>
      <c r="G45">
        <v>1</v>
      </c>
      <c r="H45" t="str">
        <f t="shared" si="1"/>
        <v>2|2702|1</v>
      </c>
      <c r="I45" s="222" t="s">
        <v>9287</v>
      </c>
      <c r="J45">
        <v>40</v>
      </c>
      <c r="K45" t="str">
        <f t="shared" si="2"/>
        <v>2|2702|1|40</v>
      </c>
      <c r="L45" t="str">
        <f t="shared" si="4"/>
        <v>2|2702|1,2|2688|1,2|2674|1,2|2660|1,2|2004|1,2|2003|1,2|2002|1,2|2001|1,2|2590|1,2|2576|1,2|2562|1,2|2548|1,2|2534|1,2|2520|1,2|2506|1,2|2492|1,2|2478|1,2|2464|1,2|2450|1,2|2436|1,2|2422|1,2|2408|1,2|2394|1,2|2380|1,2|2366|1,2|2352|1,2|2338|1,2|2324|1,2|2310|1,2|2296|1,2|2282|1,2|2268|1,2|2254|1,2|2240|1,2|2226|1,2|2212|1,2|2198|1,2|2184|1,2|2170|1,2|2156|1,2|2142|1,2|2128|1,2|2114|1,2|2100|1</v>
      </c>
      <c r="M45" t="str">
        <f t="shared" si="5"/>
        <v>2|2702|1|40,2|2688|1|40,2|2674|1|40,2|2660|1|40,2|2004|1|40,2|2003|1|40,2|2002|1|40,2|2001|1|40,2|2590|1|40,2|2576|1|40,2|2562|1|40,2|2548|1|40,2|2534|1|40,2|2520|1|40,2|2506|1|40,2|2492|1|40,2|2478|1|40,2|2464|1|40,2|2450|1|40,2|2436|1|40,2|2422|1|40,2|2408|1|40,2|2394|1|40,2|2380|1|40,2|2366|1|40,2|2352|1|40,2|2338|1|40,2|2324|1|40,2|2310|1|20,2|2296|1|20,2|2282|1|20,2|2268|1|20,2|2254|1|20,2|2240|1|20,2|2226|1|20,2|2212|1|20,2|2198|1|20,2|2184|1|20,2|2170|1|20,2|2156|1|20,2|2142|1|10,2|2128|1|10,2|2114|1|10,2|2100|1|10</v>
      </c>
      <c r="N45" s="336">
        <v>20836</v>
      </c>
      <c r="R45" t="str">
        <f t="shared" si="3"/>
        <v>封魔战靴</v>
      </c>
    </row>
    <row r="46" spans="1:18" ht="16.5" hidden="1">
      <c r="A46" t="str">
        <f t="shared" si="0"/>
        <v>a02</v>
      </c>
      <c r="B46">
        <v>2</v>
      </c>
      <c r="C46" s="222" t="s">
        <v>9287</v>
      </c>
      <c r="D46">
        <f>VLOOKUP(F46,Sheet7!$B:$G,6,0)</f>
        <v>2101</v>
      </c>
      <c r="E46" s="222" t="s">
        <v>9287</v>
      </c>
      <c r="F46" s="331" t="s">
        <v>15747</v>
      </c>
      <c r="G46">
        <v>1</v>
      </c>
      <c r="H46" t="str">
        <f t="shared" si="1"/>
        <v>2|2101|1</v>
      </c>
      <c r="I46" s="222" t="s">
        <v>9287</v>
      </c>
      <c r="J46">
        <v>10</v>
      </c>
      <c r="K46" t="str">
        <f t="shared" si="2"/>
        <v>2|2101|1|10</v>
      </c>
      <c r="L46" t="str">
        <f t="shared" si="4"/>
        <v>2|2101|1</v>
      </c>
      <c r="M46" t="str">
        <f t="shared" si="5"/>
        <v>2|2101|1|10</v>
      </c>
      <c r="N46" s="336">
        <v>20837</v>
      </c>
      <c r="R46" t="str">
        <f t="shared" si="3"/>
        <v>蚩尤战甲</v>
      </c>
    </row>
    <row r="47" spans="1:18" ht="16.5" hidden="1">
      <c r="A47" t="str">
        <f t="shared" si="0"/>
        <v>a02</v>
      </c>
      <c r="B47">
        <v>2</v>
      </c>
      <c r="C47" s="222" t="s">
        <v>9287</v>
      </c>
      <c r="D47">
        <f>VLOOKUP(F47,Sheet7!$B:$G,6,0)</f>
        <v>2115</v>
      </c>
      <c r="E47" s="222" t="s">
        <v>9287</v>
      </c>
      <c r="F47" s="331" t="s">
        <v>15762</v>
      </c>
      <c r="G47">
        <v>1</v>
      </c>
      <c r="H47" t="str">
        <f t="shared" si="1"/>
        <v>2|2115|1</v>
      </c>
      <c r="I47" s="222" t="s">
        <v>9287</v>
      </c>
      <c r="J47">
        <v>10</v>
      </c>
      <c r="K47" t="str">
        <f t="shared" si="2"/>
        <v>2|2115|1|10</v>
      </c>
      <c r="L47" t="str">
        <f t="shared" si="4"/>
        <v>2|2115|1,2|2101|1</v>
      </c>
      <c r="M47" t="str">
        <f t="shared" si="5"/>
        <v>2|2115|1|10,2|2101|1|10</v>
      </c>
      <c r="N47" s="336">
        <v>481</v>
      </c>
      <c r="R47" t="str">
        <f t="shared" si="3"/>
        <v>蚩尤长剑</v>
      </c>
    </row>
    <row r="48" spans="1:18" ht="16.5" hidden="1">
      <c r="A48" t="str">
        <f t="shared" si="0"/>
        <v>a02</v>
      </c>
      <c r="B48">
        <v>2</v>
      </c>
      <c r="C48" s="222" t="s">
        <v>9287</v>
      </c>
      <c r="D48">
        <f>VLOOKUP(F48,Sheet7!$B:$G,6,0)</f>
        <v>2129</v>
      </c>
      <c r="E48" s="222" t="s">
        <v>9287</v>
      </c>
      <c r="F48" s="331" t="s">
        <v>15777</v>
      </c>
      <c r="G48">
        <v>1</v>
      </c>
      <c r="H48" t="str">
        <f t="shared" si="1"/>
        <v>2|2129|1</v>
      </c>
      <c r="I48" s="222" t="s">
        <v>9287</v>
      </c>
      <c r="J48">
        <v>10</v>
      </c>
      <c r="K48" t="str">
        <f t="shared" si="2"/>
        <v>2|2129|1|10</v>
      </c>
      <c r="L48" t="str">
        <f t="shared" si="4"/>
        <v>2|2129|1,2|2115|1,2|2101|1</v>
      </c>
      <c r="M48" t="str">
        <f t="shared" si="5"/>
        <v>2|2129|1|10,2|2115|1|10,2|2101|1|10</v>
      </c>
      <c r="N48" s="336">
        <v>482</v>
      </c>
      <c r="R48" t="str">
        <f t="shared" si="3"/>
        <v>蚩尤头盔</v>
      </c>
    </row>
    <row r="49" spans="1:18" ht="16.5" hidden="1">
      <c r="A49" t="str">
        <f t="shared" si="0"/>
        <v>a02</v>
      </c>
      <c r="B49">
        <v>2</v>
      </c>
      <c r="C49" s="222" t="s">
        <v>9287</v>
      </c>
      <c r="D49">
        <f>VLOOKUP(F49,Sheet7!$B:$G,6,0)</f>
        <v>2143</v>
      </c>
      <c r="E49" s="222" t="s">
        <v>9287</v>
      </c>
      <c r="F49" s="331" t="s">
        <v>15792</v>
      </c>
      <c r="G49">
        <v>1</v>
      </c>
      <c r="H49" t="str">
        <f t="shared" si="1"/>
        <v>2|2143|1</v>
      </c>
      <c r="I49" s="222" t="s">
        <v>9287</v>
      </c>
      <c r="J49">
        <v>10</v>
      </c>
      <c r="K49" t="str">
        <f t="shared" si="2"/>
        <v>2|2143|1|10</v>
      </c>
      <c r="L49" t="str">
        <f t="shared" si="4"/>
        <v>2|2143|1,2|2129|1,2|2115|1,2|2101|1</v>
      </c>
      <c r="M49" t="str">
        <f t="shared" si="5"/>
        <v>2|2143|1|10,2|2129|1|10,2|2115|1|10,2|2101|1|10</v>
      </c>
      <c r="N49" s="336">
        <v>483</v>
      </c>
      <c r="R49" t="str">
        <f t="shared" si="3"/>
        <v>蚩尤战靴</v>
      </c>
    </row>
    <row r="50" spans="1:18" ht="16.5" hidden="1">
      <c r="A50" t="str">
        <f t="shared" si="0"/>
        <v>a02</v>
      </c>
      <c r="B50">
        <v>2</v>
      </c>
      <c r="C50" s="222" t="s">
        <v>9287</v>
      </c>
      <c r="D50">
        <f>VLOOKUP(F50,Sheet7!$B:$G,6,0)</f>
        <v>2157</v>
      </c>
      <c r="E50" s="222" t="s">
        <v>9287</v>
      </c>
      <c r="F50" s="331" t="s">
        <v>15807</v>
      </c>
      <c r="G50">
        <v>1</v>
      </c>
      <c r="H50" t="str">
        <f t="shared" si="1"/>
        <v>2|2157|1</v>
      </c>
      <c r="I50" s="222" t="s">
        <v>9287</v>
      </c>
      <c r="J50">
        <v>20</v>
      </c>
      <c r="K50" t="str">
        <f t="shared" si="2"/>
        <v>2|2157|1|20</v>
      </c>
      <c r="L50" t="str">
        <f t="shared" si="4"/>
        <v>2|2157|1,2|2143|1,2|2129|1,2|2115|1,2|2101|1</v>
      </c>
      <c r="M50" t="str">
        <f t="shared" si="5"/>
        <v>2|2157|1|20,2|2143|1|10,2|2129|1|10,2|2115|1|10,2|2101|1|10</v>
      </c>
      <c r="N50" s="336">
        <v>484</v>
      </c>
      <c r="R50" t="str">
        <f t="shared" si="3"/>
        <v>天罡战甲</v>
      </c>
    </row>
    <row r="51" spans="1:18" ht="16.5" hidden="1">
      <c r="A51" t="str">
        <f t="shared" si="0"/>
        <v>a02</v>
      </c>
      <c r="B51">
        <v>2</v>
      </c>
      <c r="C51" s="222" t="s">
        <v>9287</v>
      </c>
      <c r="D51">
        <f>VLOOKUP(F51,Sheet7!$B:$G,6,0)</f>
        <v>2171</v>
      </c>
      <c r="E51" s="222" t="s">
        <v>9287</v>
      </c>
      <c r="F51" s="331" t="s">
        <v>15822</v>
      </c>
      <c r="G51">
        <v>1</v>
      </c>
      <c r="H51" t="str">
        <f t="shared" si="1"/>
        <v>2|2171|1</v>
      </c>
      <c r="I51" s="222" t="s">
        <v>9287</v>
      </c>
      <c r="J51">
        <v>20</v>
      </c>
      <c r="K51" t="str">
        <f t="shared" si="2"/>
        <v>2|2171|1|20</v>
      </c>
      <c r="L51" t="str">
        <f t="shared" si="4"/>
        <v>2|2171|1,2|2157|1,2|2143|1,2|2129|1,2|2115|1,2|2101|1</v>
      </c>
      <c r="M51" t="str">
        <f t="shared" si="5"/>
        <v>2|2171|1|20,2|2157|1|20,2|2143|1|10,2|2129|1|10,2|2115|1|10,2|2101|1|10</v>
      </c>
      <c r="N51" s="336">
        <v>485</v>
      </c>
      <c r="R51" t="str">
        <f t="shared" si="3"/>
        <v>天罡长剑</v>
      </c>
    </row>
    <row r="52" spans="1:18" ht="16.5" hidden="1">
      <c r="A52" t="str">
        <f t="shared" si="0"/>
        <v>a02</v>
      </c>
      <c r="B52">
        <v>2</v>
      </c>
      <c r="C52" s="222" t="s">
        <v>9287</v>
      </c>
      <c r="D52">
        <f>VLOOKUP(F52,Sheet7!$B:$G,6,0)</f>
        <v>2185</v>
      </c>
      <c r="E52" s="222" t="s">
        <v>9287</v>
      </c>
      <c r="F52" s="331" t="s">
        <v>15837</v>
      </c>
      <c r="G52">
        <v>1</v>
      </c>
      <c r="H52" t="str">
        <f t="shared" si="1"/>
        <v>2|2185|1</v>
      </c>
      <c r="I52" s="222" t="s">
        <v>9287</v>
      </c>
      <c r="J52">
        <v>20</v>
      </c>
      <c r="K52" t="str">
        <f t="shared" si="2"/>
        <v>2|2185|1|20</v>
      </c>
      <c r="L52" t="str">
        <f t="shared" si="4"/>
        <v>2|2185|1,2|2171|1,2|2157|1,2|2143|1,2|2129|1,2|2115|1,2|2101|1</v>
      </c>
      <c r="M52" t="str">
        <f t="shared" si="5"/>
        <v>2|2185|1|20,2|2171|1|20,2|2157|1|20,2|2143|1|10,2|2129|1|10,2|2115|1|10,2|2101|1|10</v>
      </c>
      <c r="N52" s="336">
        <v>486</v>
      </c>
      <c r="R52" t="str">
        <f t="shared" si="3"/>
        <v>天罡头盔</v>
      </c>
    </row>
    <row r="53" spans="1:18" ht="16.5" hidden="1">
      <c r="A53" t="str">
        <f t="shared" si="0"/>
        <v>a02</v>
      </c>
      <c r="B53">
        <v>2</v>
      </c>
      <c r="C53" s="222" t="s">
        <v>9287</v>
      </c>
      <c r="D53">
        <f>VLOOKUP(F53,Sheet7!$B:$G,6,0)</f>
        <v>2199</v>
      </c>
      <c r="E53" s="222" t="s">
        <v>9287</v>
      </c>
      <c r="F53" s="331" t="s">
        <v>15852</v>
      </c>
      <c r="G53">
        <v>1</v>
      </c>
      <c r="H53" t="str">
        <f t="shared" si="1"/>
        <v>2|2199|1</v>
      </c>
      <c r="I53" s="222" t="s">
        <v>9287</v>
      </c>
      <c r="J53">
        <v>20</v>
      </c>
      <c r="K53" t="str">
        <f t="shared" si="2"/>
        <v>2|2199|1|20</v>
      </c>
      <c r="L53" t="str">
        <f t="shared" si="4"/>
        <v>2|2199|1,2|2185|1,2|2171|1,2|2157|1,2|2143|1,2|2129|1,2|2115|1,2|2101|1</v>
      </c>
      <c r="M53" t="str">
        <f t="shared" si="5"/>
        <v>2|2199|1|20,2|2185|1|20,2|2171|1|20,2|2157|1|20,2|2143|1|10,2|2129|1|10,2|2115|1|10,2|2101|1|10</v>
      </c>
      <c r="N53" s="336">
        <v>487</v>
      </c>
      <c r="R53" t="str">
        <f t="shared" si="3"/>
        <v>天罡战靴</v>
      </c>
    </row>
    <row r="54" spans="1:18" ht="16.5" hidden="1">
      <c r="A54" t="str">
        <f t="shared" si="0"/>
        <v>a02</v>
      </c>
      <c r="B54">
        <v>2</v>
      </c>
      <c r="C54" s="222" t="s">
        <v>9287</v>
      </c>
      <c r="D54">
        <f>VLOOKUP(F54,Sheet7!$B:$G,6,0)</f>
        <v>2213</v>
      </c>
      <c r="E54" s="222" t="s">
        <v>9287</v>
      </c>
      <c r="F54" s="331" t="s">
        <v>15867</v>
      </c>
      <c r="G54">
        <v>1</v>
      </c>
      <c r="H54" t="str">
        <f t="shared" si="1"/>
        <v>2|2213|1</v>
      </c>
      <c r="I54" s="222" t="s">
        <v>9287</v>
      </c>
      <c r="J54">
        <v>20</v>
      </c>
      <c r="K54" t="str">
        <f t="shared" si="2"/>
        <v>2|2213|1|20</v>
      </c>
      <c r="L54" t="str">
        <f t="shared" si="4"/>
        <v>2|2213|1,2|2199|1,2|2185|1,2|2171|1,2|2157|1,2|2143|1,2|2129|1,2|2115|1,2|2101|1</v>
      </c>
      <c r="M54" t="str">
        <f t="shared" si="5"/>
        <v>2|2213|1|20,2|2199|1|20,2|2185|1|20,2|2171|1|20,2|2157|1|20,2|2143|1|10,2|2129|1|10,2|2115|1|10,2|2101|1|10</v>
      </c>
      <c r="N54" s="336">
        <v>2084</v>
      </c>
      <c r="R54" t="str">
        <f t="shared" si="3"/>
        <v>降魔战甲</v>
      </c>
    </row>
    <row r="55" spans="1:18" ht="16.5" hidden="1">
      <c r="A55" t="str">
        <f t="shared" si="0"/>
        <v>a02</v>
      </c>
      <c r="B55">
        <v>2</v>
      </c>
      <c r="C55" s="222" t="s">
        <v>9287</v>
      </c>
      <c r="D55">
        <f>VLOOKUP(F55,Sheet7!$B:$G,6,0)</f>
        <v>2227</v>
      </c>
      <c r="E55" s="222" t="s">
        <v>9287</v>
      </c>
      <c r="F55" s="331" t="s">
        <v>15882</v>
      </c>
      <c r="G55">
        <v>1</v>
      </c>
      <c r="H55" t="str">
        <f t="shared" ref="H55:H118" si="6">B55&amp;C55&amp;D55&amp;E55&amp;G55</f>
        <v>2|2227|1</v>
      </c>
      <c r="I55" s="222" t="s">
        <v>9287</v>
      </c>
      <c r="J55">
        <v>20</v>
      </c>
      <c r="K55" t="str">
        <f t="shared" ref="K55:K118" si="7">H55&amp;I55&amp;J55</f>
        <v>2|2227|1|20</v>
      </c>
      <c r="L55" t="str">
        <f t="shared" si="4"/>
        <v>2|2227|1,2|2213|1,2|2199|1,2|2185|1,2|2171|1,2|2157|1,2|2143|1,2|2129|1,2|2115|1,2|2101|1</v>
      </c>
      <c r="M55" t="str">
        <f t="shared" si="5"/>
        <v>2|2227|1|20,2|2213|1|20,2|2199|1|20,2|2185|1|20,2|2171|1|20,2|2157|1|20,2|2143|1|10,2|2129|1|10,2|2115|1|10,2|2101|1|10</v>
      </c>
      <c r="N55" s="336">
        <v>20841</v>
      </c>
      <c r="R55" t="str">
        <f t="shared" si="3"/>
        <v>降魔长剑</v>
      </c>
    </row>
    <row r="56" spans="1:18" ht="16.5" hidden="1">
      <c r="A56" t="str">
        <f t="shared" si="0"/>
        <v>a02</v>
      </c>
      <c r="B56">
        <v>2</v>
      </c>
      <c r="C56" s="222" t="s">
        <v>9287</v>
      </c>
      <c r="D56">
        <f>VLOOKUP(F56,Sheet7!$B:$G,6,0)</f>
        <v>2241</v>
      </c>
      <c r="E56" s="222" t="s">
        <v>9287</v>
      </c>
      <c r="F56" s="331" t="s">
        <v>15897</v>
      </c>
      <c r="G56">
        <v>1</v>
      </c>
      <c r="H56" t="str">
        <f t="shared" si="6"/>
        <v>2|2241|1</v>
      </c>
      <c r="I56" s="222" t="s">
        <v>9287</v>
      </c>
      <c r="J56">
        <v>20</v>
      </c>
      <c r="K56" t="str">
        <f t="shared" si="7"/>
        <v>2|2241|1|20</v>
      </c>
      <c r="L56" t="str">
        <f t="shared" si="4"/>
        <v>2|2241|1,2|2227|1,2|2213|1,2|2199|1,2|2185|1,2|2171|1,2|2157|1,2|2143|1,2|2129|1,2|2115|1,2|2101|1</v>
      </c>
      <c r="M56" t="str">
        <f t="shared" si="5"/>
        <v>2|2241|1|20,2|2227|1|20,2|2213|1|20,2|2199|1|20,2|2185|1|20,2|2171|1|20,2|2157|1|20,2|2143|1|10,2|2129|1|10,2|2115|1|10,2|2101|1|10</v>
      </c>
      <c r="N56" s="336">
        <v>20842</v>
      </c>
      <c r="R56" t="str">
        <f t="shared" si="3"/>
        <v>降魔头盔</v>
      </c>
    </row>
    <row r="57" spans="1:18" ht="16.5" hidden="1">
      <c r="A57" t="str">
        <f t="shared" si="0"/>
        <v>a02</v>
      </c>
      <c r="B57">
        <v>2</v>
      </c>
      <c r="C57" s="222" t="s">
        <v>9287</v>
      </c>
      <c r="D57">
        <f>VLOOKUP(F57,Sheet7!$B:$G,6,0)</f>
        <v>2255</v>
      </c>
      <c r="E57" s="222" t="s">
        <v>9287</v>
      </c>
      <c r="F57" s="331" t="s">
        <v>15912</v>
      </c>
      <c r="G57">
        <v>1</v>
      </c>
      <c r="H57" t="str">
        <f t="shared" si="6"/>
        <v>2|2255|1</v>
      </c>
      <c r="I57" s="222" t="s">
        <v>9287</v>
      </c>
      <c r="J57">
        <v>20</v>
      </c>
      <c r="K57" t="str">
        <f t="shared" si="7"/>
        <v>2|2255|1|20</v>
      </c>
      <c r="L57" t="str">
        <f t="shared" si="4"/>
        <v>2|2255|1,2|2241|1,2|2227|1,2|2213|1,2|2199|1,2|2185|1,2|2171|1,2|2157|1,2|2143|1,2|2129|1,2|2115|1,2|2101|1</v>
      </c>
      <c r="M57" t="str">
        <f t="shared" si="5"/>
        <v>2|2255|1|20,2|2241|1|20,2|2227|1|20,2|2213|1|20,2|2199|1|20,2|2185|1|20,2|2171|1|20,2|2157|1|20,2|2143|1|10,2|2129|1|10,2|2115|1|10,2|2101|1|10</v>
      </c>
      <c r="N57" s="336">
        <v>20843</v>
      </c>
      <c r="R57" t="str">
        <f t="shared" si="3"/>
        <v>降魔战靴</v>
      </c>
    </row>
    <row r="58" spans="1:18" ht="16.5" hidden="1">
      <c r="A58" t="str">
        <f t="shared" si="0"/>
        <v>a02</v>
      </c>
      <c r="B58">
        <v>2</v>
      </c>
      <c r="C58" s="222" t="s">
        <v>9287</v>
      </c>
      <c r="D58">
        <f>VLOOKUP(F58,Sheet7!$B:$G,6,0)</f>
        <v>2269</v>
      </c>
      <c r="E58" s="222" t="s">
        <v>9287</v>
      </c>
      <c r="F58" s="331" t="s">
        <v>15927</v>
      </c>
      <c r="G58">
        <v>1</v>
      </c>
      <c r="H58" t="str">
        <f t="shared" si="6"/>
        <v>2|2269|1</v>
      </c>
      <c r="I58" s="222" t="s">
        <v>9287</v>
      </c>
      <c r="J58">
        <v>20</v>
      </c>
      <c r="K58" t="str">
        <f t="shared" si="7"/>
        <v>2|2269|1|20</v>
      </c>
      <c r="L58" t="str">
        <f t="shared" si="4"/>
        <v>2|2269|1,2|2255|1,2|2241|1,2|2227|1,2|2213|1,2|2199|1,2|2185|1,2|2171|1,2|2157|1,2|2143|1,2|2129|1,2|2115|1,2|2101|1</v>
      </c>
      <c r="M58" t="str">
        <f t="shared" si="5"/>
        <v>2|2269|1|20,2|2255|1|20,2|2241|1|20,2|2227|1|20,2|2213|1|20,2|2199|1|20,2|2185|1|20,2|2171|1|20,2|2157|1|20,2|2143|1|10,2|2129|1|10,2|2115|1|10,2|2101|1|10</v>
      </c>
      <c r="N58" s="336">
        <v>20844</v>
      </c>
      <c r="R58" t="str">
        <f t="shared" si="3"/>
        <v>血魔战甲</v>
      </c>
    </row>
    <row r="59" spans="1:18" ht="16.5" hidden="1">
      <c r="A59" t="str">
        <f t="shared" si="0"/>
        <v>a02</v>
      </c>
      <c r="B59">
        <v>2</v>
      </c>
      <c r="C59" s="222" t="s">
        <v>9287</v>
      </c>
      <c r="D59">
        <f>VLOOKUP(F59,Sheet7!$B:$G,6,0)</f>
        <v>2283</v>
      </c>
      <c r="E59" s="222" t="s">
        <v>9287</v>
      </c>
      <c r="F59" s="331" t="s">
        <v>15942</v>
      </c>
      <c r="G59">
        <v>1</v>
      </c>
      <c r="H59" t="str">
        <f t="shared" si="6"/>
        <v>2|2283|1</v>
      </c>
      <c r="I59" s="222" t="s">
        <v>9287</v>
      </c>
      <c r="J59">
        <v>20</v>
      </c>
      <c r="K59" t="str">
        <f t="shared" si="7"/>
        <v>2|2283|1|20</v>
      </c>
      <c r="L59" t="str">
        <f t="shared" si="4"/>
        <v>2|2283|1,2|2269|1,2|2255|1,2|2241|1,2|2227|1,2|2213|1,2|2199|1,2|2185|1,2|2171|1,2|2157|1,2|2143|1,2|2129|1,2|2115|1,2|2101|1</v>
      </c>
      <c r="M59" t="str">
        <f t="shared" si="5"/>
        <v>2|2283|1|20,2|2269|1|20,2|2255|1|20,2|2241|1|20,2|2227|1|20,2|2213|1|20,2|2199|1|20,2|2185|1|20,2|2171|1|20,2|2157|1|20,2|2143|1|10,2|2129|1|10,2|2115|1|10,2|2101|1|10</v>
      </c>
      <c r="N59" s="336">
        <v>20845</v>
      </c>
      <c r="R59" t="str">
        <f t="shared" si="3"/>
        <v>赤霄长剑</v>
      </c>
    </row>
    <row r="60" spans="1:18" ht="16.5" hidden="1">
      <c r="A60" t="str">
        <f t="shared" si="0"/>
        <v>a02</v>
      </c>
      <c r="B60">
        <v>2</v>
      </c>
      <c r="C60" s="222" t="s">
        <v>9287</v>
      </c>
      <c r="D60">
        <f>VLOOKUP(F60,Sheet7!$B:$G,6,0)</f>
        <v>2297</v>
      </c>
      <c r="E60" s="222" t="s">
        <v>9287</v>
      </c>
      <c r="F60" s="331" t="s">
        <v>15957</v>
      </c>
      <c r="G60">
        <v>1</v>
      </c>
      <c r="H60" t="str">
        <f t="shared" si="6"/>
        <v>2|2297|1</v>
      </c>
      <c r="I60" s="222" t="s">
        <v>9287</v>
      </c>
      <c r="J60">
        <v>20</v>
      </c>
      <c r="K60" t="str">
        <f t="shared" si="7"/>
        <v>2|2297|1|20</v>
      </c>
      <c r="L60" t="str">
        <f t="shared" si="4"/>
        <v>2|2297|1,2|2283|1,2|2269|1,2|2255|1,2|2241|1,2|2227|1,2|2213|1,2|2199|1,2|2185|1,2|2171|1,2|2157|1,2|2143|1,2|2129|1,2|2115|1,2|2101|1</v>
      </c>
      <c r="M60" t="str">
        <f t="shared" si="5"/>
        <v>2|2297|1|20,2|2283|1|20,2|2269|1|20,2|2255|1|20,2|2241|1|20,2|2227|1|20,2|2213|1|20,2|2199|1|20,2|2185|1|20,2|2171|1|20,2|2157|1|20,2|2143|1|10,2|2129|1|10,2|2115|1|10,2|2101|1|10</v>
      </c>
      <c r="N60" s="336">
        <v>20846</v>
      </c>
      <c r="R60" t="str">
        <f t="shared" si="3"/>
        <v>麒麟头盔</v>
      </c>
    </row>
    <row r="61" spans="1:18" ht="16.5" hidden="1">
      <c r="A61" t="str">
        <f t="shared" si="0"/>
        <v>a02</v>
      </c>
      <c r="B61">
        <v>2</v>
      </c>
      <c r="C61" s="222" t="s">
        <v>9287</v>
      </c>
      <c r="D61">
        <f>VLOOKUP(F61,Sheet7!$B:$G,6,0)</f>
        <v>2311</v>
      </c>
      <c r="E61" s="222" t="s">
        <v>9287</v>
      </c>
      <c r="F61" s="331" t="s">
        <v>15972</v>
      </c>
      <c r="G61">
        <v>1</v>
      </c>
      <c r="H61" t="str">
        <f t="shared" si="6"/>
        <v>2|2311|1</v>
      </c>
      <c r="I61" s="222" t="s">
        <v>9287</v>
      </c>
      <c r="J61">
        <v>20</v>
      </c>
      <c r="K61" t="str">
        <f t="shared" si="7"/>
        <v>2|2311|1|20</v>
      </c>
      <c r="L61" t="str">
        <f t="shared" si="4"/>
        <v>2|2311|1,2|2297|1,2|2283|1,2|2269|1,2|2255|1,2|2241|1,2|2227|1,2|2213|1,2|2199|1,2|2185|1,2|2171|1,2|2157|1,2|2143|1,2|2129|1,2|2115|1,2|2101|1</v>
      </c>
      <c r="M61" t="str">
        <f t="shared" si="5"/>
        <v>2|2311|1|20,2|2297|1|20,2|2283|1|20,2|2269|1|20,2|2255|1|20,2|2241|1|20,2|2227|1|20,2|2213|1|20,2|2199|1|20,2|2185|1|20,2|2171|1|20,2|2157|1|20,2|2143|1|10,2|2129|1|10,2|2115|1|10,2|2101|1|10</v>
      </c>
      <c r="N61" s="336">
        <v>20847</v>
      </c>
      <c r="R61" t="str">
        <f t="shared" si="3"/>
        <v>兽魂战靴</v>
      </c>
    </row>
    <row r="62" spans="1:18" ht="16.5" hidden="1">
      <c r="A62" t="str">
        <f t="shared" si="0"/>
        <v>a02</v>
      </c>
      <c r="B62">
        <v>2</v>
      </c>
      <c r="C62" s="222" t="s">
        <v>9287</v>
      </c>
      <c r="D62">
        <f>VLOOKUP(F62,Sheet7!$B:$G,6,0)</f>
        <v>2325</v>
      </c>
      <c r="E62" s="222" t="s">
        <v>9287</v>
      </c>
      <c r="F62" s="331" t="s">
        <v>15987</v>
      </c>
      <c r="G62">
        <v>1</v>
      </c>
      <c r="H62" t="str">
        <f t="shared" si="6"/>
        <v>2|2325|1</v>
      </c>
      <c r="I62" s="222" t="s">
        <v>9287</v>
      </c>
      <c r="J62">
        <v>40</v>
      </c>
      <c r="K62" t="str">
        <f t="shared" si="7"/>
        <v>2|2325|1|40</v>
      </c>
      <c r="L62" t="str">
        <f t="shared" si="4"/>
        <v>2|2325|1,2|2311|1,2|2297|1,2|2283|1,2|2269|1,2|2255|1,2|2241|1,2|2227|1,2|2213|1,2|2199|1,2|2185|1,2|2171|1,2|2157|1,2|2143|1,2|2129|1,2|2115|1,2|2101|1</v>
      </c>
      <c r="M62" t="str">
        <f t="shared" si="5"/>
        <v>2|2325|1|40,2|2311|1|20,2|2297|1|20,2|2283|1|20,2|2269|1|20,2|2255|1|20,2|2241|1|20,2|2227|1|20,2|2213|1|20,2|2199|1|20,2|2185|1|20,2|2171|1|20,2|2157|1|20,2|2143|1|10,2|2129|1|10,2|2115|1|10,2|2101|1|10</v>
      </c>
      <c r="N62" s="335">
        <v>1691</v>
      </c>
      <c r="R62" t="str">
        <f t="shared" si="3"/>
        <v>磐石战甲</v>
      </c>
    </row>
    <row r="63" spans="1:18" ht="16.5" hidden="1">
      <c r="A63" t="str">
        <f t="shared" si="0"/>
        <v>a02</v>
      </c>
      <c r="B63">
        <v>2</v>
      </c>
      <c r="C63" s="222" t="s">
        <v>9287</v>
      </c>
      <c r="D63">
        <f>VLOOKUP(F63,Sheet7!$B:$G,6,0)</f>
        <v>2339</v>
      </c>
      <c r="E63" s="222" t="s">
        <v>9287</v>
      </c>
      <c r="F63" s="331" t="s">
        <v>16002</v>
      </c>
      <c r="G63">
        <v>1</v>
      </c>
      <c r="H63" t="str">
        <f t="shared" si="6"/>
        <v>2|2339|1</v>
      </c>
      <c r="I63" s="222" t="s">
        <v>9287</v>
      </c>
      <c r="J63">
        <v>40</v>
      </c>
      <c r="K63" t="str">
        <f t="shared" si="7"/>
        <v>2|2339|1|40</v>
      </c>
      <c r="L63" t="str">
        <f t="shared" si="4"/>
        <v>2|2339|1,2|2325|1,2|2311|1,2|2297|1,2|2283|1,2|2269|1,2|2255|1,2|2241|1,2|2227|1,2|2213|1,2|2199|1,2|2185|1,2|2171|1,2|2157|1,2|2143|1,2|2129|1,2|2115|1,2|2101|1</v>
      </c>
      <c r="M63" t="str">
        <f t="shared" si="5"/>
        <v>2|2339|1|40,2|2325|1|40,2|2311|1|20,2|2297|1|20,2|2283|1|20,2|2269|1|20,2|2255|1|20,2|2241|1|20,2|2227|1|20,2|2213|1|20,2|2199|1|20,2|2185|1|20,2|2171|1|20,2|2157|1|20,2|2143|1|10,2|2129|1|10,2|2115|1|10,2|2101|1|10</v>
      </c>
      <c r="N63" s="335">
        <v>1692</v>
      </c>
      <c r="R63" t="str">
        <f t="shared" si="3"/>
        <v>磐石长剑</v>
      </c>
    </row>
    <row r="64" spans="1:18" ht="16.5" hidden="1">
      <c r="A64" t="str">
        <f t="shared" si="0"/>
        <v>a02</v>
      </c>
      <c r="B64">
        <v>2</v>
      </c>
      <c r="C64" s="222" t="s">
        <v>9287</v>
      </c>
      <c r="D64">
        <f>VLOOKUP(F64,Sheet7!$B:$G,6,0)</f>
        <v>2353</v>
      </c>
      <c r="E64" s="222" t="s">
        <v>9287</v>
      </c>
      <c r="F64" s="331" t="s">
        <v>16017</v>
      </c>
      <c r="G64">
        <v>1</v>
      </c>
      <c r="H64" t="str">
        <f t="shared" si="6"/>
        <v>2|2353|1</v>
      </c>
      <c r="I64" s="222" t="s">
        <v>9287</v>
      </c>
      <c r="J64">
        <v>40</v>
      </c>
      <c r="K64" t="str">
        <f t="shared" si="7"/>
        <v>2|2353|1|40</v>
      </c>
      <c r="L64" t="str">
        <f t="shared" si="4"/>
        <v>2|2353|1,2|2339|1,2|2325|1,2|2311|1,2|2297|1,2|2283|1,2|2269|1,2|2255|1,2|2241|1,2|2227|1,2|2213|1,2|2199|1,2|2185|1,2|2171|1,2|2157|1,2|2143|1,2|2129|1,2|2115|1,2|2101|1</v>
      </c>
      <c r="M64" t="str">
        <f t="shared" si="5"/>
        <v>2|2353|1|40,2|2339|1|40,2|2325|1|40,2|2311|1|20,2|2297|1|20,2|2283|1|20,2|2269|1|20,2|2255|1|20,2|2241|1|20,2|2227|1|20,2|2213|1|20,2|2199|1|20,2|2185|1|20,2|2171|1|20,2|2157|1|20,2|2143|1|10,2|2129|1|10,2|2115|1|10,2|2101|1|10</v>
      </c>
      <c r="N64" s="335">
        <v>1693</v>
      </c>
      <c r="R64" t="str">
        <f t="shared" si="3"/>
        <v>磐石头盔</v>
      </c>
    </row>
    <row r="65" spans="1:18" ht="16.5" hidden="1">
      <c r="A65" t="str">
        <f t="shared" si="0"/>
        <v>a02</v>
      </c>
      <c r="B65">
        <v>2</v>
      </c>
      <c r="C65" s="222" t="s">
        <v>9287</v>
      </c>
      <c r="D65">
        <f>VLOOKUP(F65,Sheet7!$B:$G,6,0)</f>
        <v>2367</v>
      </c>
      <c r="E65" s="222" t="s">
        <v>9287</v>
      </c>
      <c r="F65" s="331" t="s">
        <v>16032</v>
      </c>
      <c r="G65">
        <v>1</v>
      </c>
      <c r="H65" t="str">
        <f t="shared" si="6"/>
        <v>2|2367|1</v>
      </c>
      <c r="I65" s="222" t="s">
        <v>9287</v>
      </c>
      <c r="J65">
        <v>40</v>
      </c>
      <c r="K65" t="str">
        <f t="shared" si="7"/>
        <v>2|2367|1|40</v>
      </c>
      <c r="L65" t="str">
        <f t="shared" si="4"/>
        <v>2|2367|1,2|2353|1,2|2339|1,2|2325|1,2|2311|1,2|2297|1,2|2283|1,2|2269|1,2|2255|1,2|2241|1,2|2227|1,2|2213|1,2|2199|1,2|2185|1,2|2171|1,2|2157|1,2|2143|1,2|2129|1,2|2115|1,2|2101|1</v>
      </c>
      <c r="M65" t="str">
        <f t="shared" si="5"/>
        <v>2|2367|1|40,2|2353|1|40,2|2339|1|40,2|2325|1|40,2|2311|1|20,2|2297|1|20,2|2283|1|20,2|2269|1|20,2|2255|1|20,2|2241|1|20,2|2227|1|20,2|2213|1|20,2|2199|1|20,2|2185|1|20,2|2171|1|20,2|2157|1|20,2|2143|1|10,2|2129|1|10,2|2115|1|10,2|2101|1|10</v>
      </c>
      <c r="N65" s="335">
        <v>1694</v>
      </c>
      <c r="R65" t="str">
        <f t="shared" si="3"/>
        <v>磐石战靴</v>
      </c>
    </row>
    <row r="66" spans="1:18" ht="16.5" hidden="1">
      <c r="A66" t="str">
        <f t="shared" si="0"/>
        <v>a02</v>
      </c>
      <c r="B66">
        <v>2</v>
      </c>
      <c r="C66" s="222" t="s">
        <v>9287</v>
      </c>
      <c r="D66">
        <f>VLOOKUP(F66,Sheet7!$B:$G,6,0)</f>
        <v>2381</v>
      </c>
      <c r="E66" s="222" t="s">
        <v>9287</v>
      </c>
      <c r="F66" s="331" t="s">
        <v>16047</v>
      </c>
      <c r="G66">
        <v>1</v>
      </c>
      <c r="H66" t="str">
        <f t="shared" si="6"/>
        <v>2|2381|1</v>
      </c>
      <c r="I66" s="222" t="s">
        <v>9287</v>
      </c>
      <c r="J66">
        <v>40</v>
      </c>
      <c r="K66" t="str">
        <f t="shared" si="7"/>
        <v>2|2381|1|40</v>
      </c>
      <c r="L66" t="str">
        <f t="shared" si="4"/>
        <v>2|2381|1,2|2367|1,2|2353|1,2|2339|1,2|2325|1,2|2311|1,2|2297|1,2|2283|1,2|2269|1,2|2255|1,2|2241|1,2|2227|1,2|2213|1,2|2199|1,2|2185|1,2|2171|1,2|2157|1,2|2143|1,2|2129|1,2|2115|1,2|2101|1</v>
      </c>
      <c r="M66" t="str">
        <f t="shared" si="5"/>
        <v>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66" s="335">
        <v>2069</v>
      </c>
      <c r="R66" t="str">
        <f t="shared" si="3"/>
        <v>连云战甲</v>
      </c>
    </row>
    <row r="67" spans="1:18" ht="16.5" hidden="1">
      <c r="A67" t="str">
        <f t="shared" ref="A67:A130" si="8">LEFT(F67,3)</f>
        <v>a02</v>
      </c>
      <c r="B67">
        <v>2</v>
      </c>
      <c r="C67" s="222" t="s">
        <v>9287</v>
      </c>
      <c r="D67">
        <f>VLOOKUP(F67,Sheet7!$B:$G,6,0)</f>
        <v>2395</v>
      </c>
      <c r="E67" s="222" t="s">
        <v>9287</v>
      </c>
      <c r="F67" s="331" t="s">
        <v>16062</v>
      </c>
      <c r="G67">
        <v>1</v>
      </c>
      <c r="H67" t="str">
        <f t="shared" si="6"/>
        <v>2|2395|1</v>
      </c>
      <c r="I67" s="222" t="s">
        <v>9287</v>
      </c>
      <c r="J67">
        <v>40</v>
      </c>
      <c r="K67" t="str">
        <f t="shared" si="7"/>
        <v>2|2395|1|40</v>
      </c>
      <c r="L67" t="str">
        <f t="shared" si="4"/>
        <v>2|2395|1,2|2381|1,2|2367|1,2|2353|1,2|2339|1,2|2325|1,2|2311|1,2|2297|1,2|2283|1,2|2269|1,2|2255|1,2|2241|1,2|2227|1,2|2213|1,2|2199|1,2|2185|1,2|2171|1,2|2157|1,2|2143|1,2|2129|1,2|2115|1,2|2101|1</v>
      </c>
      <c r="M67" t="str">
        <f t="shared" si="5"/>
        <v>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67" s="335">
        <v>20691</v>
      </c>
      <c r="R67" t="str">
        <f t="shared" ref="R67:R130" si="9">RIGHT(F67,4)</f>
        <v>紫阳长剑</v>
      </c>
    </row>
    <row r="68" spans="1:18" ht="16.5" hidden="1">
      <c r="A68" t="str">
        <f t="shared" si="8"/>
        <v>a02</v>
      </c>
      <c r="B68">
        <v>2</v>
      </c>
      <c r="C68" s="222" t="s">
        <v>9287</v>
      </c>
      <c r="D68">
        <f>VLOOKUP(F68,Sheet7!$B:$G,6,0)</f>
        <v>2409</v>
      </c>
      <c r="E68" s="222" t="s">
        <v>9287</v>
      </c>
      <c r="F68" s="331" t="s">
        <v>16077</v>
      </c>
      <c r="G68">
        <v>1</v>
      </c>
      <c r="H68" t="str">
        <f t="shared" si="6"/>
        <v>2|2409|1</v>
      </c>
      <c r="I68" s="222" t="s">
        <v>9287</v>
      </c>
      <c r="J68">
        <v>40</v>
      </c>
      <c r="K68" t="str">
        <f t="shared" si="7"/>
        <v>2|2409|1|40</v>
      </c>
      <c r="L68" t="str">
        <f t="shared" ref="L68:L131" si="10">IF(A68=A67,H68&amp;","&amp;L67,H68)</f>
        <v>2|2409|1,2|2395|1,2|2381|1,2|2367|1,2|2353|1,2|2339|1,2|2325|1,2|2311|1,2|2297|1,2|2283|1,2|2269|1,2|2255|1,2|2241|1,2|2227|1,2|2213|1,2|2199|1,2|2185|1,2|2171|1,2|2157|1,2|2143|1,2|2129|1,2|2115|1,2|2101|1</v>
      </c>
      <c r="M68" t="str">
        <f t="shared" ref="M68:M131" si="11">IF(A68=A67,K68&amp;","&amp;M67,K68)</f>
        <v>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68" s="335">
        <v>20692</v>
      </c>
      <c r="R68" t="str">
        <f t="shared" si="9"/>
        <v>耀日头盔</v>
      </c>
    </row>
    <row r="69" spans="1:18" ht="16.5" hidden="1">
      <c r="A69" t="str">
        <f t="shared" si="8"/>
        <v>a02</v>
      </c>
      <c r="B69">
        <v>2</v>
      </c>
      <c r="C69" s="222" t="s">
        <v>9287</v>
      </c>
      <c r="D69">
        <f>VLOOKUP(F69,Sheet7!$B:$G,6,0)</f>
        <v>2423</v>
      </c>
      <c r="E69" s="222" t="s">
        <v>9287</v>
      </c>
      <c r="F69" s="331" t="s">
        <v>16092</v>
      </c>
      <c r="G69">
        <v>1</v>
      </c>
      <c r="H69" t="str">
        <f t="shared" si="6"/>
        <v>2|2423|1</v>
      </c>
      <c r="I69" s="222" t="s">
        <v>9287</v>
      </c>
      <c r="J69">
        <v>40</v>
      </c>
      <c r="K69" t="str">
        <f t="shared" si="7"/>
        <v>2|2423|1|40</v>
      </c>
      <c r="L69" t="str">
        <f t="shared" si="10"/>
        <v>2|2423|1,2|2409|1,2|2395|1,2|2381|1,2|2367|1,2|2353|1,2|2339|1,2|2325|1,2|2311|1,2|2297|1,2|2283|1,2|2269|1,2|2255|1,2|2241|1,2|2227|1,2|2213|1,2|2199|1,2|2185|1,2|2171|1,2|2157|1,2|2143|1,2|2129|1,2|2115|1,2|2101|1</v>
      </c>
      <c r="M69" t="str">
        <f t="shared" si="11"/>
        <v>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69" s="335">
        <v>20693</v>
      </c>
      <c r="R69" t="str">
        <f t="shared" si="9"/>
        <v>雷霆战靴</v>
      </c>
    </row>
    <row r="70" spans="1:18" ht="16.5" hidden="1">
      <c r="A70" t="str">
        <f t="shared" si="8"/>
        <v>a02</v>
      </c>
      <c r="B70">
        <v>2</v>
      </c>
      <c r="C70" s="222" t="s">
        <v>9287</v>
      </c>
      <c r="D70">
        <f>VLOOKUP(F70,Sheet7!$B:$G,6,0)</f>
        <v>2029</v>
      </c>
      <c r="E70" s="222" t="s">
        <v>9287</v>
      </c>
      <c r="F70" s="331" t="s">
        <v>16107</v>
      </c>
      <c r="G70">
        <v>1</v>
      </c>
      <c r="H70" t="str">
        <f t="shared" si="6"/>
        <v>2|2029|1</v>
      </c>
      <c r="I70" s="222" t="s">
        <v>9287</v>
      </c>
      <c r="J70">
        <v>40</v>
      </c>
      <c r="K70" t="str">
        <f t="shared" si="7"/>
        <v>2|2029|1|40</v>
      </c>
      <c r="L70" t="str">
        <f t="shared" si="10"/>
        <v>2|2029|1,2|2423|1,2|2409|1,2|2395|1,2|2381|1,2|2367|1,2|2353|1,2|2339|1,2|2325|1,2|2311|1,2|2297|1,2|2283|1,2|2269|1,2|2255|1,2|2241|1,2|2227|1,2|2213|1,2|2199|1,2|2185|1,2|2171|1,2|2157|1,2|2143|1,2|2129|1,2|2115|1,2|2101|1</v>
      </c>
      <c r="M70" t="str">
        <f t="shared" si="11"/>
        <v>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0" s="335">
        <v>20694</v>
      </c>
      <c r="R70" t="str">
        <f t="shared" si="9"/>
        <v>护卫战甲</v>
      </c>
    </row>
    <row r="71" spans="1:18" ht="16.5" hidden="1">
      <c r="A71" t="str">
        <f t="shared" si="8"/>
        <v>a02</v>
      </c>
      <c r="B71">
        <v>2</v>
      </c>
      <c r="C71" s="222" t="s">
        <v>9287</v>
      </c>
      <c r="D71">
        <f>VLOOKUP(F71,Sheet7!$B:$G,6,0)</f>
        <v>2030</v>
      </c>
      <c r="E71" s="222" t="s">
        <v>9287</v>
      </c>
      <c r="F71" s="331" t="s">
        <v>16122</v>
      </c>
      <c r="G71">
        <v>1</v>
      </c>
      <c r="H71" t="str">
        <f t="shared" si="6"/>
        <v>2|2030|1</v>
      </c>
      <c r="I71" s="222" t="s">
        <v>9287</v>
      </c>
      <c r="J71">
        <v>40</v>
      </c>
      <c r="K71" t="str">
        <f t="shared" si="7"/>
        <v>2|2030|1|40</v>
      </c>
      <c r="L71" t="str">
        <f t="shared" si="10"/>
        <v>2|2030|1,2|2029|1,2|2423|1,2|2409|1,2|2395|1,2|2381|1,2|2367|1,2|2353|1,2|2339|1,2|2325|1,2|2311|1,2|2297|1,2|2283|1,2|2269|1,2|2255|1,2|2241|1,2|2227|1,2|2213|1,2|2199|1,2|2185|1,2|2171|1,2|2157|1,2|2143|1,2|2129|1,2|2115|1,2|2101|1</v>
      </c>
      <c r="M71" t="str">
        <f t="shared" si="11"/>
        <v>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1" s="335">
        <v>20695</v>
      </c>
      <c r="R71" t="str">
        <f t="shared" si="9"/>
        <v>护卫长剑</v>
      </c>
    </row>
    <row r="72" spans="1:18" ht="16.5" hidden="1">
      <c r="A72" t="str">
        <f t="shared" si="8"/>
        <v>a02</v>
      </c>
      <c r="B72">
        <v>2</v>
      </c>
      <c r="C72" s="222" t="s">
        <v>9287</v>
      </c>
      <c r="D72">
        <f>VLOOKUP(F72,Sheet7!$B:$G,6,0)</f>
        <v>2031</v>
      </c>
      <c r="E72" s="222" t="s">
        <v>9287</v>
      </c>
      <c r="F72" s="331" t="s">
        <v>16137</v>
      </c>
      <c r="G72">
        <v>1</v>
      </c>
      <c r="H72" t="str">
        <f t="shared" si="6"/>
        <v>2|2031|1</v>
      </c>
      <c r="I72" s="222" t="s">
        <v>9287</v>
      </c>
      <c r="J72">
        <v>40</v>
      </c>
      <c r="K72" t="str">
        <f t="shared" si="7"/>
        <v>2|2031|1|40</v>
      </c>
      <c r="L72" t="str">
        <f t="shared" si="10"/>
        <v>2|2031|1,2|2030|1,2|2029|1,2|2423|1,2|2409|1,2|2395|1,2|2381|1,2|2367|1,2|2353|1,2|2339|1,2|2325|1,2|2311|1,2|2297|1,2|2283|1,2|2269|1,2|2255|1,2|2241|1,2|2227|1,2|2213|1,2|2199|1,2|2185|1,2|2171|1,2|2157|1,2|2143|1,2|2129|1,2|2115|1,2|2101|1</v>
      </c>
      <c r="M72" t="str">
        <f t="shared" si="11"/>
        <v>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2" s="335">
        <v>20696</v>
      </c>
      <c r="R72" t="str">
        <f t="shared" si="9"/>
        <v>护卫头盔</v>
      </c>
    </row>
    <row r="73" spans="1:18" ht="16.5" hidden="1">
      <c r="A73" t="str">
        <f t="shared" si="8"/>
        <v>a02</v>
      </c>
      <c r="B73">
        <v>2</v>
      </c>
      <c r="C73" s="222" t="s">
        <v>9287</v>
      </c>
      <c r="D73">
        <f>VLOOKUP(F73,Sheet7!$B:$G,6,0)</f>
        <v>2032</v>
      </c>
      <c r="E73" s="222" t="s">
        <v>9287</v>
      </c>
      <c r="F73" s="331" t="s">
        <v>16152</v>
      </c>
      <c r="G73">
        <v>1</v>
      </c>
      <c r="H73" t="str">
        <f t="shared" si="6"/>
        <v>2|2032|1</v>
      </c>
      <c r="I73" s="222" t="s">
        <v>9287</v>
      </c>
      <c r="J73">
        <v>40</v>
      </c>
      <c r="K73" t="str">
        <f t="shared" si="7"/>
        <v>2|2032|1|40</v>
      </c>
      <c r="L73" t="str">
        <f t="shared" si="10"/>
        <v>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3" t="str">
        <f t="shared" si="11"/>
        <v>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3" s="335">
        <v>20697</v>
      </c>
      <c r="R73" t="str">
        <f t="shared" si="9"/>
        <v>护卫战靴</v>
      </c>
    </row>
    <row r="74" spans="1:18" ht="16.5" hidden="1">
      <c r="A74" t="str">
        <f t="shared" si="8"/>
        <v>a02</v>
      </c>
      <c r="B74">
        <v>2</v>
      </c>
      <c r="C74" s="222" t="s">
        <v>9287</v>
      </c>
      <c r="D74">
        <f>VLOOKUP(F74,Sheet7!$B:$G,6,0)</f>
        <v>2025</v>
      </c>
      <c r="E74" s="222" t="s">
        <v>9287</v>
      </c>
      <c r="F74" s="331" t="s">
        <v>16167</v>
      </c>
      <c r="G74">
        <v>1</v>
      </c>
      <c r="H74" t="str">
        <f t="shared" si="6"/>
        <v>2|2025|1</v>
      </c>
      <c r="I74" s="222" t="s">
        <v>9287</v>
      </c>
      <c r="J74">
        <v>40</v>
      </c>
      <c r="K74" t="str">
        <f t="shared" si="7"/>
        <v>2|2025|1|40</v>
      </c>
      <c r="L74" t="str">
        <f t="shared" si="10"/>
        <v>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4" t="str">
        <f t="shared" si="11"/>
        <v>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4" s="335">
        <v>20698</v>
      </c>
      <c r="R74" t="str">
        <f t="shared" si="9"/>
        <v>破魔战甲</v>
      </c>
    </row>
    <row r="75" spans="1:18" ht="16.5" hidden="1">
      <c r="A75" t="str">
        <f t="shared" si="8"/>
        <v>a02</v>
      </c>
      <c r="B75">
        <v>2</v>
      </c>
      <c r="C75" s="222" t="s">
        <v>9287</v>
      </c>
      <c r="D75">
        <f>VLOOKUP(F75,Sheet7!$B:$G,6,0)</f>
        <v>2026</v>
      </c>
      <c r="E75" s="222" t="s">
        <v>9287</v>
      </c>
      <c r="F75" s="331" t="s">
        <v>16182</v>
      </c>
      <c r="G75">
        <v>1</v>
      </c>
      <c r="H75" t="str">
        <f t="shared" si="6"/>
        <v>2|2026|1</v>
      </c>
      <c r="I75" s="222" t="s">
        <v>9287</v>
      </c>
      <c r="J75">
        <v>40</v>
      </c>
      <c r="K75" t="str">
        <f t="shared" si="7"/>
        <v>2|2026|1|40</v>
      </c>
      <c r="L75" t="str">
        <f t="shared" si="10"/>
        <v>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5" t="str">
        <f t="shared" si="11"/>
        <v>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5" s="335">
        <v>20699</v>
      </c>
      <c r="R75" t="str">
        <f t="shared" si="9"/>
        <v>破魔长剑</v>
      </c>
    </row>
    <row r="76" spans="1:18" ht="16.5" hidden="1">
      <c r="A76" t="str">
        <f t="shared" si="8"/>
        <v>a02</v>
      </c>
      <c r="B76">
        <v>2</v>
      </c>
      <c r="C76" s="222" t="s">
        <v>9287</v>
      </c>
      <c r="D76">
        <f>VLOOKUP(F76,Sheet7!$B:$G,6,0)</f>
        <v>2027</v>
      </c>
      <c r="E76" s="222" t="s">
        <v>9287</v>
      </c>
      <c r="F76" s="331" t="s">
        <v>16197</v>
      </c>
      <c r="G76">
        <v>1</v>
      </c>
      <c r="H76" t="str">
        <f t="shared" si="6"/>
        <v>2|2027|1</v>
      </c>
      <c r="I76" s="222" t="s">
        <v>9287</v>
      </c>
      <c r="J76">
        <v>40</v>
      </c>
      <c r="K76" t="str">
        <f t="shared" si="7"/>
        <v>2|2027|1|40</v>
      </c>
      <c r="L76" t="str">
        <f t="shared" si="10"/>
        <v>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6" t="str">
        <f t="shared" si="11"/>
        <v>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6" s="335">
        <v>20700</v>
      </c>
      <c r="R76" t="str">
        <f t="shared" si="9"/>
        <v>破魔头盔</v>
      </c>
    </row>
    <row r="77" spans="1:18" ht="16.5" hidden="1">
      <c r="A77" t="str">
        <f t="shared" si="8"/>
        <v>a02</v>
      </c>
      <c r="B77">
        <v>2</v>
      </c>
      <c r="C77" s="222" t="s">
        <v>9287</v>
      </c>
      <c r="D77">
        <f>VLOOKUP(F77,Sheet7!$B:$G,6,0)</f>
        <v>2028</v>
      </c>
      <c r="E77" s="222" t="s">
        <v>9287</v>
      </c>
      <c r="F77" s="331" t="s">
        <v>16212</v>
      </c>
      <c r="G77">
        <v>1</v>
      </c>
      <c r="H77" t="str">
        <f t="shared" si="6"/>
        <v>2|2028|1</v>
      </c>
      <c r="I77" s="222" t="s">
        <v>9287</v>
      </c>
      <c r="J77">
        <v>40</v>
      </c>
      <c r="K77" t="str">
        <f t="shared" si="7"/>
        <v>2|2028|1|40</v>
      </c>
      <c r="L77" t="str">
        <f t="shared" si="10"/>
        <v>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7" t="str">
        <f t="shared" si="11"/>
        <v>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7" s="335">
        <v>1701</v>
      </c>
      <c r="R77" t="str">
        <f t="shared" si="9"/>
        <v>破魔战靴</v>
      </c>
    </row>
    <row r="78" spans="1:18" ht="16.5" hidden="1">
      <c r="A78" t="str">
        <f t="shared" si="8"/>
        <v>a02</v>
      </c>
      <c r="B78">
        <v>2</v>
      </c>
      <c r="C78" s="222" t="s">
        <v>9287</v>
      </c>
      <c r="D78">
        <f>VLOOKUP(F78,Sheet7!$B:$G,6,0)</f>
        <v>2021</v>
      </c>
      <c r="E78" s="222" t="s">
        <v>9287</v>
      </c>
      <c r="F78" s="331" t="s">
        <v>16227</v>
      </c>
      <c r="G78">
        <v>1</v>
      </c>
      <c r="H78" t="str">
        <f t="shared" si="6"/>
        <v>2|2021|1</v>
      </c>
      <c r="I78" s="222" t="s">
        <v>9287</v>
      </c>
      <c r="J78">
        <v>40</v>
      </c>
      <c r="K78" t="str">
        <f t="shared" si="7"/>
        <v>2|2021|1|40</v>
      </c>
      <c r="L78" t="str">
        <f t="shared" si="10"/>
        <v>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8" t="str">
        <f t="shared" si="11"/>
        <v>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8" s="335">
        <v>1702</v>
      </c>
      <c r="R78" t="str">
        <f t="shared" si="9"/>
        <v>赤血战甲</v>
      </c>
    </row>
    <row r="79" spans="1:18" ht="16.5" hidden="1">
      <c r="A79" t="str">
        <f t="shared" si="8"/>
        <v>a02</v>
      </c>
      <c r="B79">
        <v>2</v>
      </c>
      <c r="C79" s="222" t="s">
        <v>9287</v>
      </c>
      <c r="D79">
        <f>VLOOKUP(F79,Sheet7!$B:$G,6,0)</f>
        <v>2022</v>
      </c>
      <c r="E79" s="222" t="s">
        <v>9287</v>
      </c>
      <c r="F79" s="331" t="s">
        <v>16242</v>
      </c>
      <c r="G79">
        <v>1</v>
      </c>
      <c r="H79" t="str">
        <f t="shared" si="6"/>
        <v>2|2022|1</v>
      </c>
      <c r="I79" s="222" t="s">
        <v>9287</v>
      </c>
      <c r="J79">
        <v>40</v>
      </c>
      <c r="K79" t="str">
        <f t="shared" si="7"/>
        <v>2|2022|1|40</v>
      </c>
      <c r="L79" t="str">
        <f t="shared" si="10"/>
        <v>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79" t="str">
        <f t="shared" si="11"/>
        <v>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79" s="335">
        <v>1703</v>
      </c>
      <c r="R79" t="str">
        <f t="shared" si="9"/>
        <v>青锋长剑</v>
      </c>
    </row>
    <row r="80" spans="1:18" ht="16.5" hidden="1">
      <c r="A80" t="str">
        <f t="shared" si="8"/>
        <v>a02</v>
      </c>
      <c r="B80">
        <v>2</v>
      </c>
      <c r="C80" s="222" t="s">
        <v>9287</v>
      </c>
      <c r="D80">
        <f>VLOOKUP(F80,Sheet7!$B:$G,6,0)</f>
        <v>2023</v>
      </c>
      <c r="E80" s="222" t="s">
        <v>9287</v>
      </c>
      <c r="F80" s="331" t="s">
        <v>16257</v>
      </c>
      <c r="G80">
        <v>1</v>
      </c>
      <c r="H80" t="str">
        <f t="shared" si="6"/>
        <v>2|2023|1</v>
      </c>
      <c r="I80" s="222" t="s">
        <v>9287</v>
      </c>
      <c r="J80">
        <v>40</v>
      </c>
      <c r="K80" t="str">
        <f t="shared" si="7"/>
        <v>2|2023|1|40</v>
      </c>
      <c r="L80" t="str">
        <f t="shared" si="10"/>
        <v>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0" t="str">
        <f t="shared" si="11"/>
        <v>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0" s="335">
        <v>1704</v>
      </c>
      <c r="R80" t="str">
        <f t="shared" si="9"/>
        <v>雁虞头盔</v>
      </c>
    </row>
    <row r="81" spans="1:18" ht="16.5" hidden="1">
      <c r="A81" t="str">
        <f t="shared" si="8"/>
        <v>a02</v>
      </c>
      <c r="B81">
        <v>2</v>
      </c>
      <c r="C81" s="222" t="s">
        <v>9287</v>
      </c>
      <c r="D81">
        <f>VLOOKUP(F81,Sheet7!$B:$G,6,0)</f>
        <v>2024</v>
      </c>
      <c r="E81" s="222" t="s">
        <v>9287</v>
      </c>
      <c r="F81" s="331" t="s">
        <v>16272</v>
      </c>
      <c r="G81">
        <v>1</v>
      </c>
      <c r="H81" t="str">
        <f t="shared" si="6"/>
        <v>2|2024|1</v>
      </c>
      <c r="I81" s="222" t="s">
        <v>9287</v>
      </c>
      <c r="J81">
        <v>40</v>
      </c>
      <c r="K81" t="str">
        <f t="shared" si="7"/>
        <v>2|2024|1|40</v>
      </c>
      <c r="L81" t="str">
        <f t="shared" si="10"/>
        <v>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1" t="str">
        <f t="shared" si="11"/>
        <v>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1" s="335">
        <v>2070</v>
      </c>
      <c r="R81" t="str">
        <f t="shared" si="9"/>
        <v>无影战靴</v>
      </c>
    </row>
    <row r="82" spans="1:18" ht="16.5" hidden="1">
      <c r="A82" t="str">
        <f t="shared" si="8"/>
        <v>a02</v>
      </c>
      <c r="B82">
        <v>2</v>
      </c>
      <c r="C82" s="222" t="s">
        <v>9287</v>
      </c>
      <c r="D82">
        <f>VLOOKUP(F82,Sheet7!$B:$G,6,0)</f>
        <v>2604</v>
      </c>
      <c r="E82" s="222" t="s">
        <v>9287</v>
      </c>
      <c r="F82" s="331" t="s">
        <v>16287</v>
      </c>
      <c r="G82">
        <v>1</v>
      </c>
      <c r="H82" t="str">
        <f t="shared" si="6"/>
        <v>2|2604|1</v>
      </c>
      <c r="I82" s="222" t="s">
        <v>9287</v>
      </c>
      <c r="J82">
        <v>40</v>
      </c>
      <c r="K82" t="str">
        <f t="shared" si="7"/>
        <v>2|2604|1|40</v>
      </c>
      <c r="L82" t="str">
        <f t="shared" si="10"/>
        <v>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2" t="str">
        <f t="shared" si="11"/>
        <v>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2" s="335">
        <v>20701</v>
      </c>
      <c r="R82" t="str">
        <f t="shared" si="9"/>
        <v>行者战甲</v>
      </c>
    </row>
    <row r="83" spans="1:18" ht="16.5" hidden="1">
      <c r="A83" t="str">
        <f t="shared" si="8"/>
        <v>a02</v>
      </c>
      <c r="B83">
        <v>2</v>
      </c>
      <c r="C83" s="222" t="s">
        <v>9287</v>
      </c>
      <c r="D83">
        <f>VLOOKUP(F83,Sheet7!$B:$G,6,0)</f>
        <v>2618</v>
      </c>
      <c r="E83" s="222" t="s">
        <v>9287</v>
      </c>
      <c r="F83" s="331" t="s">
        <v>16302</v>
      </c>
      <c r="G83">
        <v>1</v>
      </c>
      <c r="H83" t="str">
        <f t="shared" si="6"/>
        <v>2|2618|1</v>
      </c>
      <c r="I83" s="222" t="s">
        <v>9287</v>
      </c>
      <c r="J83">
        <v>40</v>
      </c>
      <c r="K83" t="str">
        <f t="shared" si="7"/>
        <v>2|2618|1|40</v>
      </c>
      <c r="L83" t="str">
        <f t="shared" si="10"/>
        <v>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3" t="str">
        <f t="shared" si="11"/>
        <v>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3" s="335">
        <v>20702</v>
      </c>
      <c r="R83" t="str">
        <f t="shared" si="9"/>
        <v>精铁长剑</v>
      </c>
    </row>
    <row r="84" spans="1:18" ht="16.5" hidden="1">
      <c r="A84" t="str">
        <f t="shared" si="8"/>
        <v>a02</v>
      </c>
      <c r="B84">
        <v>2</v>
      </c>
      <c r="C84" s="222" t="s">
        <v>9287</v>
      </c>
      <c r="D84">
        <f>VLOOKUP(F84,Sheet7!$B:$G,6,0)</f>
        <v>2632</v>
      </c>
      <c r="E84" s="222" t="s">
        <v>9287</v>
      </c>
      <c r="F84" s="331" t="s">
        <v>16317</v>
      </c>
      <c r="G84">
        <v>1</v>
      </c>
      <c r="H84" t="str">
        <f t="shared" si="6"/>
        <v>2|2632|1</v>
      </c>
      <c r="I84" s="222" t="s">
        <v>9287</v>
      </c>
      <c r="J84">
        <v>40</v>
      </c>
      <c r="K84" t="str">
        <f t="shared" si="7"/>
        <v>2|2632|1|40</v>
      </c>
      <c r="L84" t="str">
        <f t="shared" si="10"/>
        <v>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4" t="str">
        <f t="shared" si="11"/>
        <v>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4" s="335">
        <v>20703</v>
      </c>
      <c r="R84" t="str">
        <f t="shared" si="9"/>
        <v>虹影头盔</v>
      </c>
    </row>
    <row r="85" spans="1:18" ht="16.5" hidden="1">
      <c r="A85" t="str">
        <f t="shared" si="8"/>
        <v>a02</v>
      </c>
      <c r="B85">
        <v>2</v>
      </c>
      <c r="C85" s="222" t="s">
        <v>9287</v>
      </c>
      <c r="D85">
        <f>VLOOKUP(F85,Sheet7!$B:$G,6,0)</f>
        <v>2646</v>
      </c>
      <c r="E85" s="222" t="s">
        <v>9287</v>
      </c>
      <c r="F85" s="331" t="s">
        <v>16332</v>
      </c>
      <c r="G85">
        <v>1</v>
      </c>
      <c r="H85" t="str">
        <f t="shared" si="6"/>
        <v>2|2646|1</v>
      </c>
      <c r="I85" s="222" t="s">
        <v>9287</v>
      </c>
      <c r="J85">
        <v>40</v>
      </c>
      <c r="K85" t="str">
        <f t="shared" si="7"/>
        <v>2|2646|1|40</v>
      </c>
      <c r="L85" t="str">
        <f t="shared" si="10"/>
        <v>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5" t="str">
        <f t="shared" si="11"/>
        <v>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5" s="335">
        <v>20704</v>
      </c>
      <c r="R85" t="str">
        <f t="shared" si="9"/>
        <v>千里战靴</v>
      </c>
    </row>
    <row r="86" spans="1:18" ht="16.5" hidden="1">
      <c r="A86" t="str">
        <f t="shared" si="8"/>
        <v>a02</v>
      </c>
      <c r="B86">
        <v>2</v>
      </c>
      <c r="C86" s="222" t="s">
        <v>9287</v>
      </c>
      <c r="D86">
        <f>VLOOKUP(F86,Sheet7!$B:$G,6,0)</f>
        <v>2661</v>
      </c>
      <c r="E86" s="222" t="s">
        <v>9287</v>
      </c>
      <c r="F86" s="331" t="s">
        <v>16347</v>
      </c>
      <c r="G86">
        <v>1</v>
      </c>
      <c r="H86" t="str">
        <f t="shared" si="6"/>
        <v>2|2661|1</v>
      </c>
      <c r="I86" s="222" t="s">
        <v>9287</v>
      </c>
      <c r="J86">
        <v>40</v>
      </c>
      <c r="K86" t="str">
        <f t="shared" si="7"/>
        <v>2|2661|1|40</v>
      </c>
      <c r="L86" t="str">
        <f t="shared" si="10"/>
        <v>2|2661|1,2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6" t="str">
        <f t="shared" si="11"/>
        <v>2|2661|1|40,2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6" s="335">
        <v>20705</v>
      </c>
      <c r="R86" t="str">
        <f t="shared" si="9"/>
        <v>封魔战甲</v>
      </c>
    </row>
    <row r="87" spans="1:18" ht="16.5" hidden="1">
      <c r="A87" t="str">
        <f t="shared" si="8"/>
        <v>a02</v>
      </c>
      <c r="B87">
        <v>2</v>
      </c>
      <c r="C87" s="222" t="s">
        <v>9287</v>
      </c>
      <c r="D87">
        <f>VLOOKUP(F87,Sheet7!$B:$G,6,0)</f>
        <v>2675</v>
      </c>
      <c r="E87" s="222" t="s">
        <v>9287</v>
      </c>
      <c r="F87" s="331" t="s">
        <v>16362</v>
      </c>
      <c r="G87">
        <v>1</v>
      </c>
      <c r="H87" t="str">
        <f t="shared" si="6"/>
        <v>2|2675|1</v>
      </c>
      <c r="I87" s="222" t="s">
        <v>9287</v>
      </c>
      <c r="J87">
        <v>40</v>
      </c>
      <c r="K87" t="str">
        <f t="shared" si="7"/>
        <v>2|2675|1|40</v>
      </c>
      <c r="L87" t="str">
        <f t="shared" si="10"/>
        <v>2|2675|1,2|2661|1,2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7" t="str">
        <f t="shared" si="11"/>
        <v>2|2675|1|40,2|2661|1|40,2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7" s="335">
        <v>20706</v>
      </c>
      <c r="R87" t="str">
        <f t="shared" si="9"/>
        <v>封魔长剑</v>
      </c>
    </row>
    <row r="88" spans="1:18" ht="16.5" hidden="1">
      <c r="A88" t="str">
        <f t="shared" si="8"/>
        <v>a02</v>
      </c>
      <c r="B88">
        <v>2</v>
      </c>
      <c r="C88" s="222" t="s">
        <v>9287</v>
      </c>
      <c r="D88">
        <f>VLOOKUP(F88,Sheet7!$B:$G,6,0)</f>
        <v>2689</v>
      </c>
      <c r="E88" s="222" t="s">
        <v>9287</v>
      </c>
      <c r="F88" s="331" t="s">
        <v>16377</v>
      </c>
      <c r="G88">
        <v>1</v>
      </c>
      <c r="H88" t="str">
        <f t="shared" si="6"/>
        <v>2|2689|1</v>
      </c>
      <c r="I88" s="222" t="s">
        <v>9287</v>
      </c>
      <c r="J88">
        <v>40</v>
      </c>
      <c r="K88" t="str">
        <f t="shared" si="7"/>
        <v>2|2689|1|40</v>
      </c>
      <c r="L88" t="str">
        <f t="shared" si="10"/>
        <v>2|2689|1,2|2675|1,2|2661|1,2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8" t="str">
        <f t="shared" si="11"/>
        <v>2|2689|1|40,2|2675|1|40,2|2661|1|40,2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8" s="335">
        <v>20707</v>
      </c>
      <c r="R88" t="str">
        <f t="shared" si="9"/>
        <v>封魔头盔</v>
      </c>
    </row>
    <row r="89" spans="1:18" ht="16.5">
      <c r="A89" t="str">
        <f t="shared" si="8"/>
        <v>a02</v>
      </c>
      <c r="B89">
        <v>2</v>
      </c>
      <c r="C89" s="222" t="s">
        <v>9287</v>
      </c>
      <c r="D89">
        <f>VLOOKUP(F89,Sheet7!$B:$G,6,0)</f>
        <v>2703</v>
      </c>
      <c r="E89" s="222" t="s">
        <v>9287</v>
      </c>
      <c r="F89" s="331" t="s">
        <v>16392</v>
      </c>
      <c r="G89">
        <v>1</v>
      </c>
      <c r="H89" t="str">
        <f t="shared" si="6"/>
        <v>2|2703|1</v>
      </c>
      <c r="I89" s="222" t="s">
        <v>9287</v>
      </c>
      <c r="J89">
        <v>40</v>
      </c>
      <c r="K89" t="str">
        <f t="shared" si="7"/>
        <v>2|2703|1|40</v>
      </c>
      <c r="L89" t="str">
        <f t="shared" si="10"/>
        <v>2|2703|1,2|2689|1,2|2675|1,2|2661|1,2|2646|1,2|2632|1,2|2618|1,2|2604|1,2|2024|1,2|2023|1,2|2022|1,2|2021|1,2|2028|1,2|2027|1,2|2026|1,2|2025|1,2|2032|1,2|2031|1,2|2030|1,2|2029|1,2|2423|1,2|2409|1,2|2395|1,2|2381|1,2|2367|1,2|2353|1,2|2339|1,2|2325|1,2|2311|1,2|2297|1,2|2283|1,2|2269|1,2|2255|1,2|2241|1,2|2227|1,2|2213|1,2|2199|1,2|2185|1,2|2171|1,2|2157|1,2|2143|1,2|2129|1,2|2115|1,2|2101|1</v>
      </c>
      <c r="M89" t="str">
        <f t="shared" si="11"/>
        <v>2|2703|1|40,2|2689|1|40,2|2675|1|40,2|2661|1|40,2|2646|1|40,2|2632|1|40,2|2618|1|40,2|2604|1|40,2|2024|1|40,2|2023|1|40,2|2022|1|40,2|2021|1|40,2|2028|1|40,2|2027|1|40,2|2026|1|40,2|2025|1|40,2|2032|1|40,2|2031|1|40,2|2030|1|40,2|2029|1|40,2|2423|1|40,2|2409|1|40,2|2395|1|40,2|2381|1|40,2|2367|1|40,2|2353|1|40,2|2339|1|40,2|2325|1|40,2|2311|1|20,2|2297|1|20,2|2283|1|20,2|2269|1|20,2|2255|1|20,2|2241|1|20,2|2227|1|20,2|2213|1|20,2|2199|1|20,2|2185|1|20,2|2171|1|20,2|2157|1|20,2|2143|1|10,2|2129|1|10,2|2115|1|10,2|2101|1|10</v>
      </c>
      <c r="N89" s="335">
        <v>20708</v>
      </c>
      <c r="R89" t="str">
        <f t="shared" si="9"/>
        <v>封魔战靴</v>
      </c>
    </row>
    <row r="90" spans="1:18" ht="16.5" hidden="1">
      <c r="A90" t="str">
        <f t="shared" si="8"/>
        <v>a03</v>
      </c>
      <c r="B90">
        <v>2</v>
      </c>
      <c r="C90" s="222" t="s">
        <v>9287</v>
      </c>
      <c r="D90">
        <f>VLOOKUP(F90,Sheet7!$B:$G,6,0)</f>
        <v>2102</v>
      </c>
      <c r="E90" s="222" t="s">
        <v>9287</v>
      </c>
      <c r="F90" s="331" t="s">
        <v>15748</v>
      </c>
      <c r="G90">
        <v>1</v>
      </c>
      <c r="H90" t="str">
        <f t="shared" si="6"/>
        <v>2|2102|1</v>
      </c>
      <c r="I90" s="222" t="s">
        <v>9287</v>
      </c>
      <c r="J90">
        <v>10</v>
      </c>
      <c r="K90" t="str">
        <f t="shared" si="7"/>
        <v>2|2102|1|10</v>
      </c>
      <c r="L90" t="str">
        <f t="shared" si="10"/>
        <v>2|2102|1</v>
      </c>
      <c r="M90" t="str">
        <f t="shared" si="11"/>
        <v>2|2102|1|10</v>
      </c>
      <c r="N90" s="335">
        <v>20709</v>
      </c>
      <c r="R90" t="str">
        <f t="shared" si="9"/>
        <v>蚩尤战甲</v>
      </c>
    </row>
    <row r="91" spans="1:18" ht="16.5" hidden="1">
      <c r="A91" t="str">
        <f t="shared" si="8"/>
        <v>a03</v>
      </c>
      <c r="B91">
        <v>2</v>
      </c>
      <c r="C91" s="222" t="s">
        <v>9287</v>
      </c>
      <c r="D91">
        <f>VLOOKUP(F91,Sheet7!$B:$G,6,0)</f>
        <v>2116</v>
      </c>
      <c r="E91" s="222" t="s">
        <v>9287</v>
      </c>
      <c r="F91" s="331" t="s">
        <v>15763</v>
      </c>
      <c r="G91">
        <v>1</v>
      </c>
      <c r="H91" t="str">
        <f t="shared" si="6"/>
        <v>2|2116|1</v>
      </c>
      <c r="I91" s="222" t="s">
        <v>9287</v>
      </c>
      <c r="J91">
        <v>10</v>
      </c>
      <c r="K91" t="str">
        <f t="shared" si="7"/>
        <v>2|2116|1|10</v>
      </c>
      <c r="L91" t="str">
        <f t="shared" si="10"/>
        <v>2|2116|1,2|2102|1</v>
      </c>
      <c r="M91" t="str">
        <f t="shared" si="11"/>
        <v>2|2116|1|10,2|2102|1|10</v>
      </c>
      <c r="N91" s="335">
        <v>20710</v>
      </c>
      <c r="R91" t="str">
        <f t="shared" si="9"/>
        <v>蚩尤长剑</v>
      </c>
    </row>
    <row r="92" spans="1:18" ht="16.5" hidden="1">
      <c r="A92" t="str">
        <f t="shared" si="8"/>
        <v>a03</v>
      </c>
      <c r="B92">
        <v>2</v>
      </c>
      <c r="C92" s="222" t="s">
        <v>9287</v>
      </c>
      <c r="D92">
        <f>VLOOKUP(F92,Sheet7!$B:$G,6,0)</f>
        <v>2130</v>
      </c>
      <c r="E92" s="222" t="s">
        <v>9287</v>
      </c>
      <c r="F92" s="331" t="s">
        <v>15778</v>
      </c>
      <c r="G92">
        <v>1</v>
      </c>
      <c r="H92" t="str">
        <f t="shared" si="6"/>
        <v>2|2130|1</v>
      </c>
      <c r="I92" s="222" t="s">
        <v>9287</v>
      </c>
      <c r="J92">
        <v>10</v>
      </c>
      <c r="K92" t="str">
        <f t="shared" si="7"/>
        <v>2|2130|1|10</v>
      </c>
      <c r="L92" t="str">
        <f t="shared" si="10"/>
        <v>2|2130|1,2|2116|1,2|2102|1</v>
      </c>
      <c r="M92" t="str">
        <f t="shared" si="11"/>
        <v>2|2130|1|10,2|2116|1|10,2|2102|1|10</v>
      </c>
      <c r="N92" s="335">
        <v>1711</v>
      </c>
      <c r="R92" t="str">
        <f t="shared" si="9"/>
        <v>蚩尤头盔</v>
      </c>
    </row>
    <row r="93" spans="1:18" ht="16.5" hidden="1">
      <c r="A93" t="str">
        <f t="shared" si="8"/>
        <v>a03</v>
      </c>
      <c r="B93">
        <v>2</v>
      </c>
      <c r="C93" s="222" t="s">
        <v>9287</v>
      </c>
      <c r="D93">
        <f>VLOOKUP(F93,Sheet7!$B:$G,6,0)</f>
        <v>2144</v>
      </c>
      <c r="E93" s="222" t="s">
        <v>9287</v>
      </c>
      <c r="F93" s="331" t="s">
        <v>15793</v>
      </c>
      <c r="G93">
        <v>1</v>
      </c>
      <c r="H93" t="str">
        <f t="shared" si="6"/>
        <v>2|2144|1</v>
      </c>
      <c r="I93" s="222" t="s">
        <v>9287</v>
      </c>
      <c r="J93">
        <v>10</v>
      </c>
      <c r="K93" t="str">
        <f t="shared" si="7"/>
        <v>2|2144|1|10</v>
      </c>
      <c r="L93" t="str">
        <f t="shared" si="10"/>
        <v>2|2144|1,2|2130|1,2|2116|1,2|2102|1</v>
      </c>
      <c r="M93" t="str">
        <f t="shared" si="11"/>
        <v>2|2144|1|10,2|2130|1|10,2|2116|1|10,2|2102|1|10</v>
      </c>
      <c r="N93" s="335">
        <v>1712</v>
      </c>
      <c r="R93" t="str">
        <f t="shared" si="9"/>
        <v>蚩尤战靴</v>
      </c>
    </row>
    <row r="94" spans="1:18" ht="16.5" hidden="1">
      <c r="A94" t="str">
        <f t="shared" si="8"/>
        <v>a03</v>
      </c>
      <c r="B94">
        <v>2</v>
      </c>
      <c r="C94" s="222" t="s">
        <v>9287</v>
      </c>
      <c r="D94">
        <f>VLOOKUP(F94,Sheet7!$B:$G,6,0)</f>
        <v>2158</v>
      </c>
      <c r="E94" s="222" t="s">
        <v>9287</v>
      </c>
      <c r="F94" s="331" t="s">
        <v>15808</v>
      </c>
      <c r="G94">
        <v>1</v>
      </c>
      <c r="H94" t="str">
        <f t="shared" si="6"/>
        <v>2|2158|1</v>
      </c>
      <c r="I94" s="222" t="s">
        <v>9287</v>
      </c>
      <c r="J94">
        <v>20</v>
      </c>
      <c r="K94" t="str">
        <f t="shared" si="7"/>
        <v>2|2158|1|20</v>
      </c>
      <c r="L94" t="str">
        <f t="shared" si="10"/>
        <v>2|2158|1,2|2144|1,2|2130|1,2|2116|1,2|2102|1</v>
      </c>
      <c r="M94" t="str">
        <f t="shared" si="11"/>
        <v>2|2158|1|20,2|2144|1|10,2|2130|1|10,2|2116|1|10,2|2102|1|10</v>
      </c>
      <c r="N94" s="335">
        <v>1713</v>
      </c>
      <c r="R94" t="str">
        <f t="shared" si="9"/>
        <v>天罡战甲</v>
      </c>
    </row>
    <row r="95" spans="1:18" ht="16.5" hidden="1">
      <c r="A95" t="str">
        <f t="shared" si="8"/>
        <v>a03</v>
      </c>
      <c r="B95">
        <v>2</v>
      </c>
      <c r="C95" s="222" t="s">
        <v>9287</v>
      </c>
      <c r="D95">
        <f>VLOOKUP(F95,Sheet7!$B:$G,6,0)</f>
        <v>2172</v>
      </c>
      <c r="E95" s="222" t="s">
        <v>9287</v>
      </c>
      <c r="F95" s="331" t="s">
        <v>15823</v>
      </c>
      <c r="G95">
        <v>1</v>
      </c>
      <c r="H95" t="str">
        <f t="shared" si="6"/>
        <v>2|2172|1</v>
      </c>
      <c r="I95" s="222" t="s">
        <v>9287</v>
      </c>
      <c r="J95">
        <v>20</v>
      </c>
      <c r="K95" t="str">
        <f t="shared" si="7"/>
        <v>2|2172|1|20</v>
      </c>
      <c r="L95" t="str">
        <f t="shared" si="10"/>
        <v>2|2172|1,2|2158|1,2|2144|1,2|2130|1,2|2116|1,2|2102|1</v>
      </c>
      <c r="M95" t="str">
        <f t="shared" si="11"/>
        <v>2|2172|1|20,2|2158|1|20,2|2144|1|10,2|2130|1|10,2|2116|1|10,2|2102|1|10</v>
      </c>
      <c r="N95" s="335">
        <v>1714</v>
      </c>
      <c r="R95" t="str">
        <f t="shared" si="9"/>
        <v>天罡长剑</v>
      </c>
    </row>
    <row r="96" spans="1:18" ht="16.5" hidden="1">
      <c r="A96" t="str">
        <f t="shared" si="8"/>
        <v>a03</v>
      </c>
      <c r="B96">
        <v>2</v>
      </c>
      <c r="C96" s="222" t="s">
        <v>9287</v>
      </c>
      <c r="D96">
        <f>VLOOKUP(F96,Sheet7!$B:$G,6,0)</f>
        <v>2186</v>
      </c>
      <c r="E96" s="222" t="s">
        <v>9287</v>
      </c>
      <c r="F96" s="331" t="s">
        <v>15838</v>
      </c>
      <c r="G96">
        <v>1</v>
      </c>
      <c r="H96" t="str">
        <f t="shared" si="6"/>
        <v>2|2186|1</v>
      </c>
      <c r="I96" s="222" t="s">
        <v>9287</v>
      </c>
      <c r="J96">
        <v>20</v>
      </c>
      <c r="K96" t="str">
        <f t="shared" si="7"/>
        <v>2|2186|1|20</v>
      </c>
      <c r="L96" t="str">
        <f t="shared" si="10"/>
        <v>2|2186|1,2|2172|1,2|2158|1,2|2144|1,2|2130|1,2|2116|1,2|2102|1</v>
      </c>
      <c r="M96" t="str">
        <f t="shared" si="11"/>
        <v>2|2186|1|20,2|2172|1|20,2|2158|1|20,2|2144|1|10,2|2130|1|10,2|2116|1|10,2|2102|1|10</v>
      </c>
      <c r="N96" s="335">
        <v>2071</v>
      </c>
      <c r="R96" t="str">
        <f t="shared" si="9"/>
        <v>天罡头盔</v>
      </c>
    </row>
    <row r="97" spans="1:18" ht="16.5" hidden="1">
      <c r="A97" t="str">
        <f t="shared" si="8"/>
        <v>a03</v>
      </c>
      <c r="B97">
        <v>2</v>
      </c>
      <c r="C97" s="222" t="s">
        <v>9287</v>
      </c>
      <c r="D97">
        <f>VLOOKUP(F97,Sheet7!$B:$G,6,0)</f>
        <v>2200</v>
      </c>
      <c r="E97" s="222" t="s">
        <v>9287</v>
      </c>
      <c r="F97" s="331" t="s">
        <v>15853</v>
      </c>
      <c r="G97">
        <v>1</v>
      </c>
      <c r="H97" t="str">
        <f t="shared" si="6"/>
        <v>2|2200|1</v>
      </c>
      <c r="I97" s="222" t="s">
        <v>9287</v>
      </c>
      <c r="J97">
        <v>20</v>
      </c>
      <c r="K97" t="str">
        <f t="shared" si="7"/>
        <v>2|2200|1|20</v>
      </c>
      <c r="L97" t="str">
        <f t="shared" si="10"/>
        <v>2|2200|1,2|2186|1,2|2172|1,2|2158|1,2|2144|1,2|2130|1,2|2116|1,2|2102|1</v>
      </c>
      <c r="M97" t="str">
        <f t="shared" si="11"/>
        <v>2|2200|1|20,2|2186|1|20,2|2172|1|20,2|2158|1|20,2|2144|1|10,2|2130|1|10,2|2116|1|10,2|2102|1|10</v>
      </c>
      <c r="N97" s="335">
        <v>20711</v>
      </c>
      <c r="R97" t="str">
        <f t="shared" si="9"/>
        <v>天罡战靴</v>
      </c>
    </row>
    <row r="98" spans="1:18" ht="16.5" hidden="1">
      <c r="A98" t="str">
        <f t="shared" si="8"/>
        <v>a03</v>
      </c>
      <c r="B98">
        <v>2</v>
      </c>
      <c r="C98" s="222" t="s">
        <v>9287</v>
      </c>
      <c r="D98">
        <f>VLOOKUP(F98,Sheet7!$B:$G,6,0)</f>
        <v>2214</v>
      </c>
      <c r="E98" s="222" t="s">
        <v>9287</v>
      </c>
      <c r="F98" s="331" t="s">
        <v>15868</v>
      </c>
      <c r="G98">
        <v>1</v>
      </c>
      <c r="H98" t="str">
        <f t="shared" si="6"/>
        <v>2|2214|1</v>
      </c>
      <c r="I98" s="222" t="s">
        <v>9287</v>
      </c>
      <c r="J98">
        <v>20</v>
      </c>
      <c r="K98" t="str">
        <f t="shared" si="7"/>
        <v>2|2214|1|20</v>
      </c>
      <c r="L98" t="str">
        <f t="shared" si="10"/>
        <v>2|2214|1,2|2200|1,2|2186|1,2|2172|1,2|2158|1,2|2144|1,2|2130|1,2|2116|1,2|2102|1</v>
      </c>
      <c r="M98" t="str">
        <f t="shared" si="11"/>
        <v>2|2214|1|20,2|2200|1|20,2|2186|1|20,2|2172|1|20,2|2158|1|20,2|2144|1|10,2|2130|1|10,2|2116|1|10,2|2102|1|10</v>
      </c>
      <c r="N98" s="335">
        <v>20712</v>
      </c>
      <c r="R98" t="str">
        <f t="shared" si="9"/>
        <v>降魔战甲</v>
      </c>
    </row>
    <row r="99" spans="1:18" ht="16.5" hidden="1">
      <c r="A99" t="str">
        <f t="shared" si="8"/>
        <v>a03</v>
      </c>
      <c r="B99">
        <v>2</v>
      </c>
      <c r="C99" s="222" t="s">
        <v>9287</v>
      </c>
      <c r="D99">
        <f>VLOOKUP(F99,Sheet7!$B:$G,6,0)</f>
        <v>2228</v>
      </c>
      <c r="E99" s="222" t="s">
        <v>9287</v>
      </c>
      <c r="F99" s="331" t="s">
        <v>15883</v>
      </c>
      <c r="G99">
        <v>1</v>
      </c>
      <c r="H99" t="str">
        <f t="shared" si="6"/>
        <v>2|2228|1</v>
      </c>
      <c r="I99" s="222" t="s">
        <v>9287</v>
      </c>
      <c r="J99">
        <v>20</v>
      </c>
      <c r="K99" t="str">
        <f t="shared" si="7"/>
        <v>2|2228|1|20</v>
      </c>
      <c r="L99" t="str">
        <f t="shared" si="10"/>
        <v>2|2228|1,2|2214|1,2|2200|1,2|2186|1,2|2172|1,2|2158|1,2|2144|1,2|2130|1,2|2116|1,2|2102|1</v>
      </c>
      <c r="M99" t="str">
        <f t="shared" si="11"/>
        <v>2|2228|1|20,2|2214|1|20,2|2200|1|20,2|2186|1|20,2|2172|1|20,2|2158|1|20,2|2144|1|10,2|2130|1|10,2|2116|1|10,2|2102|1|10</v>
      </c>
      <c r="N99" s="335">
        <v>20713</v>
      </c>
      <c r="R99" t="str">
        <f t="shared" si="9"/>
        <v>降魔长剑</v>
      </c>
    </row>
    <row r="100" spans="1:18" ht="16.5" hidden="1">
      <c r="A100" t="str">
        <f t="shared" si="8"/>
        <v>a03</v>
      </c>
      <c r="B100">
        <v>2</v>
      </c>
      <c r="C100" s="222" t="s">
        <v>9287</v>
      </c>
      <c r="D100">
        <f>VLOOKUP(F100,Sheet7!$B:$G,6,0)</f>
        <v>2242</v>
      </c>
      <c r="E100" s="222" t="s">
        <v>9287</v>
      </c>
      <c r="F100" s="331" t="s">
        <v>15898</v>
      </c>
      <c r="G100">
        <v>1</v>
      </c>
      <c r="H100" t="str">
        <f t="shared" si="6"/>
        <v>2|2242|1</v>
      </c>
      <c r="I100" s="222" t="s">
        <v>9287</v>
      </c>
      <c r="J100">
        <v>20</v>
      </c>
      <c r="K100" t="str">
        <f t="shared" si="7"/>
        <v>2|2242|1|20</v>
      </c>
      <c r="L100" t="str">
        <f t="shared" si="10"/>
        <v>2|2242|1,2|2228|1,2|2214|1,2|2200|1,2|2186|1,2|2172|1,2|2158|1,2|2144|1,2|2130|1,2|2116|1,2|2102|1</v>
      </c>
      <c r="M100" t="str">
        <f t="shared" si="11"/>
        <v>2|2242|1|20,2|2228|1|20,2|2214|1|20,2|2200|1|20,2|2186|1|20,2|2172|1|20,2|2158|1|20,2|2144|1|10,2|2130|1|10,2|2116|1|10,2|2102|1|10</v>
      </c>
      <c r="N100" s="335">
        <v>20714</v>
      </c>
      <c r="R100" t="str">
        <f t="shared" si="9"/>
        <v>降魔头盔</v>
      </c>
    </row>
    <row r="101" spans="1:18" ht="16.5" hidden="1">
      <c r="A101" t="str">
        <f t="shared" si="8"/>
        <v>a03</v>
      </c>
      <c r="B101">
        <v>2</v>
      </c>
      <c r="C101" s="222" t="s">
        <v>9287</v>
      </c>
      <c r="D101">
        <f>VLOOKUP(F101,Sheet7!$B:$G,6,0)</f>
        <v>2256</v>
      </c>
      <c r="E101" s="222" t="s">
        <v>9287</v>
      </c>
      <c r="F101" s="331" t="s">
        <v>15913</v>
      </c>
      <c r="G101">
        <v>1</v>
      </c>
      <c r="H101" t="str">
        <f t="shared" si="6"/>
        <v>2|2256|1</v>
      </c>
      <c r="I101" s="222" t="s">
        <v>9287</v>
      </c>
      <c r="J101">
        <v>20</v>
      </c>
      <c r="K101" t="str">
        <f t="shared" si="7"/>
        <v>2|2256|1|20</v>
      </c>
      <c r="L101" t="str">
        <f t="shared" si="10"/>
        <v>2|2256|1,2|2242|1,2|2228|1,2|2214|1,2|2200|1,2|2186|1,2|2172|1,2|2158|1,2|2144|1,2|2130|1,2|2116|1,2|2102|1</v>
      </c>
      <c r="M101" t="str">
        <f t="shared" si="11"/>
        <v>2|2256|1|20,2|2242|1|20,2|2228|1|20,2|2214|1|20,2|2200|1|20,2|2186|1|20,2|2172|1|20,2|2158|1|20,2|2144|1|10,2|2130|1|10,2|2116|1|10,2|2102|1|10</v>
      </c>
      <c r="N101" s="335">
        <v>20715</v>
      </c>
      <c r="R101" t="str">
        <f t="shared" si="9"/>
        <v>降魔战靴</v>
      </c>
    </row>
    <row r="102" spans="1:18" ht="16.5" hidden="1">
      <c r="A102" t="str">
        <f t="shared" si="8"/>
        <v>a03</v>
      </c>
      <c r="B102">
        <v>2</v>
      </c>
      <c r="C102" s="222" t="s">
        <v>9287</v>
      </c>
      <c r="D102">
        <f>VLOOKUP(F102,Sheet7!$B:$G,6,0)</f>
        <v>2270</v>
      </c>
      <c r="E102" s="222" t="s">
        <v>9287</v>
      </c>
      <c r="F102" s="331" t="s">
        <v>15928</v>
      </c>
      <c r="G102">
        <v>1</v>
      </c>
      <c r="H102" t="str">
        <f t="shared" si="6"/>
        <v>2|2270|1</v>
      </c>
      <c r="I102" s="222" t="s">
        <v>9287</v>
      </c>
      <c r="J102">
        <v>20</v>
      </c>
      <c r="K102" t="str">
        <f t="shared" si="7"/>
        <v>2|2270|1|20</v>
      </c>
      <c r="L102" t="str">
        <f t="shared" si="10"/>
        <v>2|2270|1,2|2256|1,2|2242|1,2|2228|1,2|2214|1,2|2200|1,2|2186|1,2|2172|1,2|2158|1,2|2144|1,2|2130|1,2|2116|1,2|2102|1</v>
      </c>
      <c r="M102" t="str">
        <f t="shared" si="11"/>
        <v>2|2270|1|20,2|2256|1|20,2|2242|1|20,2|2228|1|20,2|2214|1|20,2|2200|1|20,2|2186|1|20,2|2172|1|20,2|2158|1|20,2|2144|1|10,2|2130|1|10,2|2116|1|10,2|2102|1|10</v>
      </c>
      <c r="N102" s="335">
        <v>20716</v>
      </c>
      <c r="R102" t="str">
        <f t="shared" si="9"/>
        <v>血魔战甲</v>
      </c>
    </row>
    <row r="103" spans="1:18" ht="16.5" hidden="1">
      <c r="A103" t="str">
        <f t="shared" si="8"/>
        <v>a03</v>
      </c>
      <c r="B103">
        <v>2</v>
      </c>
      <c r="C103" s="222" t="s">
        <v>9287</v>
      </c>
      <c r="D103">
        <f>VLOOKUP(F103,Sheet7!$B:$G,6,0)</f>
        <v>2284</v>
      </c>
      <c r="E103" s="222" t="s">
        <v>9287</v>
      </c>
      <c r="F103" s="331" t="s">
        <v>15943</v>
      </c>
      <c r="G103">
        <v>1</v>
      </c>
      <c r="H103" t="str">
        <f t="shared" si="6"/>
        <v>2|2284|1</v>
      </c>
      <c r="I103" s="222" t="s">
        <v>9287</v>
      </c>
      <c r="J103">
        <v>20</v>
      </c>
      <c r="K103" t="str">
        <f t="shared" si="7"/>
        <v>2|2284|1|20</v>
      </c>
      <c r="L103" t="str">
        <f t="shared" si="10"/>
        <v>2|2284|1,2|2270|1,2|2256|1,2|2242|1,2|2228|1,2|2214|1,2|2200|1,2|2186|1,2|2172|1,2|2158|1,2|2144|1,2|2130|1,2|2116|1,2|2102|1</v>
      </c>
      <c r="M103" t="str">
        <f t="shared" si="11"/>
        <v>2|2284|1|20,2|2270|1|20,2|2256|1|20,2|2242|1|20,2|2228|1|20,2|2214|1|20,2|2200|1|20,2|2186|1|20,2|2172|1|20,2|2158|1|20,2|2144|1|10,2|2130|1|10,2|2116|1|10,2|2102|1|10</v>
      </c>
      <c r="N103" s="335">
        <v>20717</v>
      </c>
      <c r="R103" t="str">
        <f t="shared" si="9"/>
        <v>赤霄长剑</v>
      </c>
    </row>
    <row r="104" spans="1:18" ht="16.5" hidden="1">
      <c r="A104" t="str">
        <f t="shared" si="8"/>
        <v>a03</v>
      </c>
      <c r="B104">
        <v>2</v>
      </c>
      <c r="C104" s="222" t="s">
        <v>9287</v>
      </c>
      <c r="D104">
        <f>VLOOKUP(F104,Sheet7!$B:$G,6,0)</f>
        <v>2298</v>
      </c>
      <c r="E104" s="222" t="s">
        <v>9287</v>
      </c>
      <c r="F104" s="331" t="s">
        <v>15958</v>
      </c>
      <c r="G104">
        <v>1</v>
      </c>
      <c r="H104" t="str">
        <f t="shared" si="6"/>
        <v>2|2298|1</v>
      </c>
      <c r="I104" s="222" t="s">
        <v>9287</v>
      </c>
      <c r="J104">
        <v>20</v>
      </c>
      <c r="K104" t="str">
        <f t="shared" si="7"/>
        <v>2|2298|1|20</v>
      </c>
      <c r="L104" t="str">
        <f t="shared" si="10"/>
        <v>2|2298|1,2|2284|1,2|2270|1,2|2256|1,2|2242|1,2|2228|1,2|2214|1,2|2200|1,2|2186|1,2|2172|1,2|2158|1,2|2144|1,2|2130|1,2|2116|1,2|2102|1</v>
      </c>
      <c r="M104" t="str">
        <f t="shared" si="11"/>
        <v>2|2298|1|20,2|2284|1|20,2|2270|1|20,2|2256|1|20,2|2242|1|20,2|2228|1|20,2|2214|1|20,2|2200|1|20,2|2186|1|20,2|2172|1|20,2|2158|1|20,2|2144|1|10,2|2130|1|10,2|2116|1|10,2|2102|1|10</v>
      </c>
      <c r="N104" s="335">
        <v>20718</v>
      </c>
      <c r="R104" t="str">
        <f t="shared" si="9"/>
        <v>麒麟头盔</v>
      </c>
    </row>
    <row r="105" spans="1:18" ht="16.5" hidden="1">
      <c r="A105" t="str">
        <f t="shared" si="8"/>
        <v>a03</v>
      </c>
      <c r="B105">
        <v>2</v>
      </c>
      <c r="C105" s="222" t="s">
        <v>9287</v>
      </c>
      <c r="D105">
        <f>VLOOKUP(F105,Sheet7!$B:$G,6,0)</f>
        <v>2312</v>
      </c>
      <c r="E105" s="222" t="s">
        <v>9287</v>
      </c>
      <c r="F105" s="331" t="s">
        <v>15973</v>
      </c>
      <c r="G105">
        <v>1</v>
      </c>
      <c r="H105" t="str">
        <f t="shared" si="6"/>
        <v>2|2312|1</v>
      </c>
      <c r="I105" s="222" t="s">
        <v>9287</v>
      </c>
      <c r="J105">
        <v>20</v>
      </c>
      <c r="K105" t="str">
        <f t="shared" si="7"/>
        <v>2|2312|1|20</v>
      </c>
      <c r="L105" t="str">
        <f t="shared" si="10"/>
        <v>2|2312|1,2|2298|1,2|2284|1,2|2270|1,2|2256|1,2|2242|1,2|2228|1,2|2214|1,2|2200|1,2|2186|1,2|2172|1,2|2158|1,2|2144|1,2|2130|1,2|2116|1,2|2102|1</v>
      </c>
      <c r="M105" t="str">
        <f t="shared" si="11"/>
        <v>2|2312|1|20,2|2298|1|20,2|2284|1|20,2|2270|1|20,2|2256|1|20,2|2242|1|20,2|2228|1|20,2|2214|1|20,2|2200|1|20,2|2186|1|20,2|2172|1|20,2|2158|1|20,2|2144|1|10,2|2130|1|10,2|2116|1|10,2|2102|1|10</v>
      </c>
      <c r="N105" s="335">
        <v>20719</v>
      </c>
      <c r="R105" t="str">
        <f t="shared" si="9"/>
        <v>兽魂战靴</v>
      </c>
    </row>
    <row r="106" spans="1:18" ht="16.5" hidden="1">
      <c r="A106" t="str">
        <f t="shared" si="8"/>
        <v>a03</v>
      </c>
      <c r="B106">
        <v>2</v>
      </c>
      <c r="C106" s="222" t="s">
        <v>9287</v>
      </c>
      <c r="D106">
        <f>VLOOKUP(F106,Sheet7!$B:$G,6,0)</f>
        <v>2049</v>
      </c>
      <c r="E106" s="222" t="s">
        <v>9287</v>
      </c>
      <c r="F106" s="331" t="s">
        <v>15988</v>
      </c>
      <c r="G106">
        <v>1</v>
      </c>
      <c r="H106" t="str">
        <f t="shared" si="6"/>
        <v>2|2049|1</v>
      </c>
      <c r="I106" s="222" t="s">
        <v>9287</v>
      </c>
      <c r="J106">
        <v>40</v>
      </c>
      <c r="K106" t="str">
        <f t="shared" si="7"/>
        <v>2|2049|1|40</v>
      </c>
      <c r="L106" t="str">
        <f t="shared" si="10"/>
        <v>2|2049|1,2|2312|1,2|2298|1,2|2284|1,2|2270|1,2|2256|1,2|2242|1,2|2228|1,2|2214|1,2|2200|1,2|2186|1,2|2172|1,2|2158|1,2|2144|1,2|2130|1,2|2116|1,2|2102|1</v>
      </c>
      <c r="M106" t="str">
        <f t="shared" si="11"/>
        <v>2|2049|1|40,2|2312|1|20,2|2298|1|20,2|2284|1|20,2|2270|1|20,2|2256|1|20,2|2242|1|20,2|2228|1|20,2|2214|1|20,2|2200|1|20,2|2186|1|20,2|2172|1|20,2|2158|1|20,2|2144|1|10,2|2130|1|10,2|2116|1|10,2|2102|1|10</v>
      </c>
      <c r="N106" s="335">
        <v>20720</v>
      </c>
      <c r="R106" t="str">
        <f t="shared" si="9"/>
        <v>磐石战甲</v>
      </c>
    </row>
    <row r="107" spans="1:18" ht="16.5" hidden="1">
      <c r="A107" t="str">
        <f t="shared" si="8"/>
        <v>a03</v>
      </c>
      <c r="B107">
        <v>2</v>
      </c>
      <c r="C107" s="222" t="s">
        <v>9287</v>
      </c>
      <c r="D107">
        <f>VLOOKUP(F107,Sheet7!$B:$G,6,0)</f>
        <v>2050</v>
      </c>
      <c r="E107" s="222" t="s">
        <v>9287</v>
      </c>
      <c r="F107" s="331" t="s">
        <v>16003</v>
      </c>
      <c r="G107">
        <v>1</v>
      </c>
      <c r="H107" t="str">
        <f t="shared" si="6"/>
        <v>2|2050|1</v>
      </c>
      <c r="I107" s="222" t="s">
        <v>9287</v>
      </c>
      <c r="J107">
        <v>40</v>
      </c>
      <c r="K107" t="str">
        <f t="shared" si="7"/>
        <v>2|2050|1|40</v>
      </c>
      <c r="L107" t="str">
        <f t="shared" si="10"/>
        <v>2|2050|1,2|2049|1,2|2312|1,2|2298|1,2|2284|1,2|2270|1,2|2256|1,2|2242|1,2|2228|1,2|2214|1,2|2200|1,2|2186|1,2|2172|1,2|2158|1,2|2144|1,2|2130|1,2|2116|1,2|2102|1</v>
      </c>
      <c r="M107" t="str">
        <f t="shared" si="11"/>
        <v>2|2050|1|40,2|2049|1|40,2|2312|1|20,2|2298|1|20,2|2284|1|20,2|2270|1|20,2|2256|1|20,2|2242|1|20,2|2228|1|20,2|2214|1|20,2|2200|1|20,2|2186|1|20,2|2172|1|20,2|2158|1|20,2|2144|1|10,2|2130|1|10,2|2116|1|10,2|2102|1|10</v>
      </c>
      <c r="N107" s="335">
        <v>1721</v>
      </c>
      <c r="R107" t="str">
        <f t="shared" si="9"/>
        <v>磐石长剑</v>
      </c>
    </row>
    <row r="108" spans="1:18" ht="16.5" hidden="1">
      <c r="A108" t="str">
        <f t="shared" si="8"/>
        <v>a03</v>
      </c>
      <c r="B108">
        <v>2</v>
      </c>
      <c r="C108" s="222" t="s">
        <v>9287</v>
      </c>
      <c r="D108">
        <f>VLOOKUP(F108,Sheet7!$B:$G,6,0)</f>
        <v>2051</v>
      </c>
      <c r="E108" s="222" t="s">
        <v>9287</v>
      </c>
      <c r="F108" s="331" t="s">
        <v>16018</v>
      </c>
      <c r="G108">
        <v>1</v>
      </c>
      <c r="H108" t="str">
        <f t="shared" si="6"/>
        <v>2|2051|1</v>
      </c>
      <c r="I108" s="222" t="s">
        <v>9287</v>
      </c>
      <c r="J108">
        <v>40</v>
      </c>
      <c r="K108" t="str">
        <f t="shared" si="7"/>
        <v>2|2051|1|40</v>
      </c>
      <c r="L108" t="str">
        <f t="shared" si="10"/>
        <v>2|2051|1,2|2050|1,2|2049|1,2|2312|1,2|2298|1,2|2284|1,2|2270|1,2|2256|1,2|2242|1,2|2228|1,2|2214|1,2|2200|1,2|2186|1,2|2172|1,2|2158|1,2|2144|1,2|2130|1,2|2116|1,2|2102|1</v>
      </c>
      <c r="M108" t="str">
        <f t="shared" si="11"/>
        <v>2|2051|1|40,2|2050|1|40,2|2049|1|40,2|2312|1|20,2|2298|1|20,2|2284|1|20,2|2270|1|20,2|2256|1|20,2|2242|1|20,2|2228|1|20,2|2214|1|20,2|2200|1|20,2|2186|1|20,2|2172|1|20,2|2158|1|20,2|2144|1|10,2|2130|1|10,2|2116|1|10,2|2102|1|10</v>
      </c>
      <c r="N108" s="335">
        <v>1722</v>
      </c>
      <c r="R108" t="str">
        <f t="shared" si="9"/>
        <v>磐石头盔</v>
      </c>
    </row>
    <row r="109" spans="1:18" ht="16.5" hidden="1">
      <c r="A109" t="str">
        <f t="shared" si="8"/>
        <v>a03</v>
      </c>
      <c r="B109">
        <v>2</v>
      </c>
      <c r="C109" s="222" t="s">
        <v>9287</v>
      </c>
      <c r="D109">
        <f>VLOOKUP(F109,Sheet7!$B:$G,6,0)</f>
        <v>2052</v>
      </c>
      <c r="E109" s="222" t="s">
        <v>9287</v>
      </c>
      <c r="F109" s="331" t="s">
        <v>16033</v>
      </c>
      <c r="G109">
        <v>1</v>
      </c>
      <c r="H109" t="str">
        <f t="shared" si="6"/>
        <v>2|2052|1</v>
      </c>
      <c r="I109" s="222" t="s">
        <v>9287</v>
      </c>
      <c r="J109">
        <v>40</v>
      </c>
      <c r="K109" t="str">
        <f t="shared" si="7"/>
        <v>2|2052|1|40</v>
      </c>
      <c r="L109" t="str">
        <f t="shared" si="10"/>
        <v>2|2052|1,2|2051|1,2|2050|1,2|2049|1,2|2312|1,2|2298|1,2|2284|1,2|2270|1,2|2256|1,2|2242|1,2|2228|1,2|2214|1,2|2200|1,2|2186|1,2|2172|1,2|2158|1,2|2144|1,2|2130|1,2|2116|1,2|2102|1</v>
      </c>
      <c r="M109" t="str">
        <f t="shared" si="11"/>
        <v>2|2052|1|40,2|2051|1|40,2|2050|1|40,2|2049|1|40,2|2312|1|20,2|2298|1|20,2|2284|1|20,2|2270|1|20,2|2256|1|20,2|2242|1|20,2|2228|1|20,2|2214|1|20,2|2200|1|20,2|2186|1|20,2|2172|1|20,2|2158|1|20,2|2144|1|10,2|2130|1|10,2|2116|1|10,2|2102|1|10</v>
      </c>
      <c r="N109" s="335">
        <v>1723</v>
      </c>
      <c r="R109" t="str">
        <f t="shared" si="9"/>
        <v>磐石战靴</v>
      </c>
    </row>
    <row r="110" spans="1:18" ht="16.5" hidden="1">
      <c r="A110" t="str">
        <f t="shared" si="8"/>
        <v>a03</v>
      </c>
      <c r="B110">
        <v>2</v>
      </c>
      <c r="C110" s="222" t="s">
        <v>9287</v>
      </c>
      <c r="D110">
        <f>VLOOKUP(F110,Sheet7!$B:$G,6,0)</f>
        <v>2041</v>
      </c>
      <c r="E110" s="222" t="s">
        <v>9287</v>
      </c>
      <c r="F110" s="331" t="s">
        <v>16048</v>
      </c>
      <c r="G110">
        <v>1</v>
      </c>
      <c r="H110" t="str">
        <f t="shared" si="6"/>
        <v>2|2041|1</v>
      </c>
      <c r="I110" s="222" t="s">
        <v>9287</v>
      </c>
      <c r="J110">
        <v>40</v>
      </c>
      <c r="K110" t="str">
        <f t="shared" si="7"/>
        <v>2|2041|1|40</v>
      </c>
      <c r="L110" t="str">
        <f t="shared" si="10"/>
        <v>2|2041|1,2|2052|1,2|2051|1,2|2050|1,2|2049|1,2|2312|1,2|2298|1,2|2284|1,2|2270|1,2|2256|1,2|2242|1,2|2228|1,2|2214|1,2|2200|1,2|2186|1,2|2172|1,2|2158|1,2|2144|1,2|2130|1,2|2116|1,2|2102|1</v>
      </c>
      <c r="M110" t="str">
        <f t="shared" si="11"/>
        <v>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0" s="335">
        <v>1724</v>
      </c>
      <c r="R110" t="str">
        <f t="shared" si="9"/>
        <v>连云战甲</v>
      </c>
    </row>
    <row r="111" spans="1:18" ht="16.5" hidden="1">
      <c r="A111" t="str">
        <f t="shared" si="8"/>
        <v>a03</v>
      </c>
      <c r="B111">
        <v>2</v>
      </c>
      <c r="C111" s="222" t="s">
        <v>9287</v>
      </c>
      <c r="D111">
        <f>VLOOKUP(F111,Sheet7!$B:$G,6,0)</f>
        <v>2042</v>
      </c>
      <c r="E111" s="222" t="s">
        <v>9287</v>
      </c>
      <c r="F111" s="331" t="s">
        <v>16063</v>
      </c>
      <c r="G111">
        <v>1</v>
      </c>
      <c r="H111" t="str">
        <f t="shared" si="6"/>
        <v>2|2042|1</v>
      </c>
      <c r="I111" s="222" t="s">
        <v>9287</v>
      </c>
      <c r="J111">
        <v>40</v>
      </c>
      <c r="K111" t="str">
        <f t="shared" si="7"/>
        <v>2|2042|1|40</v>
      </c>
      <c r="L111" t="str">
        <f t="shared" si="10"/>
        <v>2|2042|1,2|2041|1,2|2052|1,2|2051|1,2|2050|1,2|2049|1,2|2312|1,2|2298|1,2|2284|1,2|2270|1,2|2256|1,2|2242|1,2|2228|1,2|2214|1,2|2200|1,2|2186|1,2|2172|1,2|2158|1,2|2144|1,2|2130|1,2|2116|1,2|2102|1</v>
      </c>
      <c r="M111" t="str">
        <f t="shared" si="11"/>
        <v>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1" s="335">
        <v>2072</v>
      </c>
      <c r="R111" t="str">
        <f t="shared" si="9"/>
        <v>紫阳长剑</v>
      </c>
    </row>
    <row r="112" spans="1:18" ht="16.5" hidden="1">
      <c r="A112" t="str">
        <f t="shared" si="8"/>
        <v>a03</v>
      </c>
      <c r="B112">
        <v>2</v>
      </c>
      <c r="C112" s="222" t="s">
        <v>9287</v>
      </c>
      <c r="D112">
        <f>VLOOKUP(F112,Sheet7!$B:$G,6,0)</f>
        <v>2043</v>
      </c>
      <c r="E112" s="222" t="s">
        <v>9287</v>
      </c>
      <c r="F112" s="331" t="s">
        <v>16078</v>
      </c>
      <c r="G112">
        <v>1</v>
      </c>
      <c r="H112" t="str">
        <f t="shared" si="6"/>
        <v>2|2043|1</v>
      </c>
      <c r="I112" s="222" t="s">
        <v>9287</v>
      </c>
      <c r="J112">
        <v>40</v>
      </c>
      <c r="K112" t="str">
        <f t="shared" si="7"/>
        <v>2|2043|1|40</v>
      </c>
      <c r="L112" t="str">
        <f t="shared" si="10"/>
        <v>2|2043|1,2|2042|1,2|2041|1,2|2052|1,2|2051|1,2|2050|1,2|2049|1,2|2312|1,2|2298|1,2|2284|1,2|2270|1,2|2256|1,2|2242|1,2|2228|1,2|2214|1,2|2200|1,2|2186|1,2|2172|1,2|2158|1,2|2144|1,2|2130|1,2|2116|1,2|2102|1</v>
      </c>
      <c r="M112" t="str">
        <f t="shared" si="11"/>
        <v>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2" s="335">
        <v>20721</v>
      </c>
      <c r="R112" t="str">
        <f t="shared" si="9"/>
        <v>耀日头盔</v>
      </c>
    </row>
    <row r="113" spans="1:18" ht="16.5" hidden="1">
      <c r="A113" t="str">
        <f t="shared" si="8"/>
        <v>a03</v>
      </c>
      <c r="B113">
        <v>2</v>
      </c>
      <c r="C113" s="222" t="s">
        <v>9287</v>
      </c>
      <c r="D113">
        <f>VLOOKUP(F113,Sheet7!$B:$G,6,0)</f>
        <v>2044</v>
      </c>
      <c r="E113" s="222" t="s">
        <v>9287</v>
      </c>
      <c r="F113" s="331" t="s">
        <v>16093</v>
      </c>
      <c r="G113">
        <v>1</v>
      </c>
      <c r="H113" t="str">
        <f t="shared" si="6"/>
        <v>2|2044|1</v>
      </c>
      <c r="I113" s="222" t="s">
        <v>9287</v>
      </c>
      <c r="J113">
        <v>40</v>
      </c>
      <c r="K113" t="str">
        <f t="shared" si="7"/>
        <v>2|2044|1|40</v>
      </c>
      <c r="L113" t="str">
        <f t="shared" si="10"/>
        <v>2|2044|1,2|2043|1,2|2042|1,2|2041|1,2|2052|1,2|2051|1,2|2050|1,2|2049|1,2|2312|1,2|2298|1,2|2284|1,2|2270|1,2|2256|1,2|2242|1,2|2228|1,2|2214|1,2|2200|1,2|2186|1,2|2172|1,2|2158|1,2|2144|1,2|2130|1,2|2116|1,2|2102|1</v>
      </c>
      <c r="M113" t="str">
        <f t="shared" si="11"/>
        <v>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3" s="335">
        <v>20722</v>
      </c>
      <c r="R113" t="str">
        <f t="shared" si="9"/>
        <v>雷霆战靴</v>
      </c>
    </row>
    <row r="114" spans="1:18" ht="16.5" hidden="1">
      <c r="A114" t="str">
        <f t="shared" si="8"/>
        <v>a03</v>
      </c>
      <c r="B114">
        <v>2</v>
      </c>
      <c r="C114" s="222" t="s">
        <v>9287</v>
      </c>
      <c r="D114">
        <f>VLOOKUP(F114,Sheet7!$B:$G,6,0)</f>
        <v>2437</v>
      </c>
      <c r="E114" s="222" t="s">
        <v>9287</v>
      </c>
      <c r="F114" s="331" t="s">
        <v>16108</v>
      </c>
      <c r="G114">
        <v>1</v>
      </c>
      <c r="H114" t="str">
        <f t="shared" si="6"/>
        <v>2|2437|1</v>
      </c>
      <c r="I114" s="222" t="s">
        <v>9287</v>
      </c>
      <c r="J114">
        <v>40</v>
      </c>
      <c r="K114" t="str">
        <f t="shared" si="7"/>
        <v>2|2437|1|40</v>
      </c>
      <c r="L114" t="str">
        <f t="shared" si="10"/>
        <v>2|2437|1,2|2044|1,2|2043|1,2|2042|1,2|2041|1,2|2052|1,2|2051|1,2|2050|1,2|2049|1,2|2312|1,2|2298|1,2|2284|1,2|2270|1,2|2256|1,2|2242|1,2|2228|1,2|2214|1,2|2200|1,2|2186|1,2|2172|1,2|2158|1,2|2144|1,2|2130|1,2|2116|1,2|2102|1</v>
      </c>
      <c r="M114" t="str">
        <f t="shared" si="11"/>
        <v>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4" s="335">
        <v>20723</v>
      </c>
      <c r="R114" t="str">
        <f t="shared" si="9"/>
        <v>护卫战甲</v>
      </c>
    </row>
    <row r="115" spans="1:18" ht="16.5" hidden="1">
      <c r="A115" t="str">
        <f t="shared" si="8"/>
        <v>a03</v>
      </c>
      <c r="B115">
        <v>2</v>
      </c>
      <c r="C115" s="222" t="s">
        <v>9287</v>
      </c>
      <c r="D115">
        <f>VLOOKUP(F115,Sheet7!$B:$G,6,0)</f>
        <v>2451</v>
      </c>
      <c r="E115" s="222" t="s">
        <v>9287</v>
      </c>
      <c r="F115" s="331" t="s">
        <v>16123</v>
      </c>
      <c r="G115">
        <v>1</v>
      </c>
      <c r="H115" t="str">
        <f t="shared" si="6"/>
        <v>2|2451|1</v>
      </c>
      <c r="I115" s="222" t="s">
        <v>9287</v>
      </c>
      <c r="J115">
        <v>40</v>
      </c>
      <c r="K115" t="str">
        <f t="shared" si="7"/>
        <v>2|2451|1|40</v>
      </c>
      <c r="L115" t="str">
        <f t="shared" si="10"/>
        <v>2|2451|1,2|2437|1,2|2044|1,2|2043|1,2|2042|1,2|2041|1,2|2052|1,2|2051|1,2|2050|1,2|2049|1,2|2312|1,2|2298|1,2|2284|1,2|2270|1,2|2256|1,2|2242|1,2|2228|1,2|2214|1,2|2200|1,2|2186|1,2|2172|1,2|2158|1,2|2144|1,2|2130|1,2|2116|1,2|2102|1</v>
      </c>
      <c r="M115" t="str">
        <f t="shared" si="11"/>
        <v>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5" s="335">
        <v>20724</v>
      </c>
      <c r="R115" t="str">
        <f t="shared" si="9"/>
        <v>护卫长剑</v>
      </c>
    </row>
    <row r="116" spans="1:18" ht="16.5" hidden="1">
      <c r="A116" t="str">
        <f t="shared" si="8"/>
        <v>a03</v>
      </c>
      <c r="B116">
        <v>2</v>
      </c>
      <c r="C116" s="222" t="s">
        <v>9287</v>
      </c>
      <c r="D116">
        <f>VLOOKUP(F116,Sheet7!$B:$G,6,0)</f>
        <v>2465</v>
      </c>
      <c r="E116" s="222" t="s">
        <v>9287</v>
      </c>
      <c r="F116" s="331" t="s">
        <v>16138</v>
      </c>
      <c r="G116">
        <v>1</v>
      </c>
      <c r="H116" t="str">
        <f t="shared" si="6"/>
        <v>2|2465|1</v>
      </c>
      <c r="I116" s="222" t="s">
        <v>9287</v>
      </c>
      <c r="J116">
        <v>40</v>
      </c>
      <c r="K116" t="str">
        <f t="shared" si="7"/>
        <v>2|2465|1|40</v>
      </c>
      <c r="L116" t="str">
        <f t="shared" si="10"/>
        <v>2|2465|1,2|2451|1,2|2437|1,2|2044|1,2|2043|1,2|2042|1,2|2041|1,2|2052|1,2|2051|1,2|2050|1,2|2049|1,2|2312|1,2|2298|1,2|2284|1,2|2270|1,2|2256|1,2|2242|1,2|2228|1,2|2214|1,2|2200|1,2|2186|1,2|2172|1,2|2158|1,2|2144|1,2|2130|1,2|2116|1,2|2102|1</v>
      </c>
      <c r="M116" t="str">
        <f t="shared" si="11"/>
        <v>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6" s="335">
        <v>20725</v>
      </c>
      <c r="R116" t="str">
        <f t="shared" si="9"/>
        <v>护卫头盔</v>
      </c>
    </row>
    <row r="117" spans="1:18" ht="16.5" hidden="1">
      <c r="A117" t="str">
        <f t="shared" si="8"/>
        <v>a03</v>
      </c>
      <c r="B117">
        <v>2</v>
      </c>
      <c r="C117" s="222" t="s">
        <v>9287</v>
      </c>
      <c r="D117">
        <f>VLOOKUP(F117,Sheet7!$B:$G,6,0)</f>
        <v>2479</v>
      </c>
      <c r="E117" s="222" t="s">
        <v>9287</v>
      </c>
      <c r="F117" s="331" t="s">
        <v>16153</v>
      </c>
      <c r="G117">
        <v>1</v>
      </c>
      <c r="H117" t="str">
        <f t="shared" si="6"/>
        <v>2|2479|1</v>
      </c>
      <c r="I117" s="222" t="s">
        <v>9287</v>
      </c>
      <c r="J117">
        <v>40</v>
      </c>
      <c r="K117" t="str">
        <f t="shared" si="7"/>
        <v>2|2479|1|40</v>
      </c>
      <c r="L117" t="str">
        <f t="shared" si="10"/>
        <v>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17" t="str">
        <f t="shared" si="11"/>
        <v>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7" s="335">
        <v>20726</v>
      </c>
      <c r="R117" t="str">
        <f t="shared" si="9"/>
        <v>护卫战靴</v>
      </c>
    </row>
    <row r="118" spans="1:18" ht="16.5" hidden="1">
      <c r="A118" t="str">
        <f t="shared" si="8"/>
        <v>a03</v>
      </c>
      <c r="B118">
        <v>2</v>
      </c>
      <c r="C118" s="222" t="s">
        <v>9287</v>
      </c>
      <c r="D118">
        <f>VLOOKUP(F118,Sheet7!$B:$G,6,0)</f>
        <v>2493</v>
      </c>
      <c r="E118" s="222" t="s">
        <v>9287</v>
      </c>
      <c r="F118" s="331" t="s">
        <v>16168</v>
      </c>
      <c r="G118">
        <v>1</v>
      </c>
      <c r="H118" t="str">
        <f t="shared" si="6"/>
        <v>2|2493|1</v>
      </c>
      <c r="I118" s="222" t="s">
        <v>9287</v>
      </c>
      <c r="J118">
        <v>40</v>
      </c>
      <c r="K118" t="str">
        <f t="shared" si="7"/>
        <v>2|2493|1|40</v>
      </c>
      <c r="L118" t="str">
        <f t="shared" si="10"/>
        <v>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18" t="str">
        <f t="shared" si="11"/>
        <v>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8" s="335">
        <v>20727</v>
      </c>
      <c r="R118" t="str">
        <f t="shared" si="9"/>
        <v>破魔战甲</v>
      </c>
    </row>
    <row r="119" spans="1:18" ht="16.5" hidden="1">
      <c r="A119" t="str">
        <f t="shared" si="8"/>
        <v>a03</v>
      </c>
      <c r="B119">
        <v>2</v>
      </c>
      <c r="C119" s="222" t="s">
        <v>9287</v>
      </c>
      <c r="D119">
        <f>VLOOKUP(F119,Sheet7!$B:$G,6,0)</f>
        <v>2507</v>
      </c>
      <c r="E119" s="222" t="s">
        <v>9287</v>
      </c>
      <c r="F119" s="331" t="s">
        <v>16183</v>
      </c>
      <c r="G119">
        <v>1</v>
      </c>
      <c r="H119" t="str">
        <f t="shared" ref="H119:H182" si="12">B119&amp;C119&amp;D119&amp;E119&amp;G119</f>
        <v>2|2507|1</v>
      </c>
      <c r="I119" s="222" t="s">
        <v>9287</v>
      </c>
      <c r="J119">
        <v>40</v>
      </c>
      <c r="K119" t="str">
        <f t="shared" ref="K119:K182" si="13">H119&amp;I119&amp;J119</f>
        <v>2|2507|1|40</v>
      </c>
      <c r="L119" t="str">
        <f t="shared" si="10"/>
        <v>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19" t="str">
        <f t="shared" si="11"/>
        <v>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19" s="335">
        <v>20728</v>
      </c>
      <c r="R119" t="str">
        <f t="shared" si="9"/>
        <v>破魔长剑</v>
      </c>
    </row>
    <row r="120" spans="1:18" ht="16.5" hidden="1">
      <c r="A120" t="str">
        <f t="shared" si="8"/>
        <v>a03</v>
      </c>
      <c r="B120">
        <v>2</v>
      </c>
      <c r="C120" s="222" t="s">
        <v>9287</v>
      </c>
      <c r="D120">
        <f>VLOOKUP(F120,Sheet7!$B:$G,6,0)</f>
        <v>2521</v>
      </c>
      <c r="E120" s="222" t="s">
        <v>9287</v>
      </c>
      <c r="F120" s="331" t="s">
        <v>16198</v>
      </c>
      <c r="G120">
        <v>1</v>
      </c>
      <c r="H120" t="str">
        <f t="shared" si="12"/>
        <v>2|2521|1</v>
      </c>
      <c r="I120" s="222" t="s">
        <v>9287</v>
      </c>
      <c r="J120">
        <v>40</v>
      </c>
      <c r="K120" t="str">
        <f t="shared" si="13"/>
        <v>2|2521|1|40</v>
      </c>
      <c r="L120" t="str">
        <f t="shared" si="10"/>
        <v>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0" t="str">
        <f t="shared" si="11"/>
        <v>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0" s="335">
        <v>20729</v>
      </c>
      <c r="R120" t="str">
        <f t="shared" si="9"/>
        <v>破魔头盔</v>
      </c>
    </row>
    <row r="121" spans="1:18" ht="16.5" hidden="1">
      <c r="A121" t="str">
        <f t="shared" si="8"/>
        <v>a03</v>
      </c>
      <c r="B121">
        <v>2</v>
      </c>
      <c r="C121" s="222" t="s">
        <v>9287</v>
      </c>
      <c r="D121">
        <f>VLOOKUP(F121,Sheet7!$B:$G,6,0)</f>
        <v>2535</v>
      </c>
      <c r="E121" s="222" t="s">
        <v>9287</v>
      </c>
      <c r="F121" s="331" t="s">
        <v>16213</v>
      </c>
      <c r="G121">
        <v>1</v>
      </c>
      <c r="H121" t="str">
        <f t="shared" si="12"/>
        <v>2|2535|1</v>
      </c>
      <c r="I121" s="222" t="s">
        <v>9287</v>
      </c>
      <c r="J121">
        <v>40</v>
      </c>
      <c r="K121" t="str">
        <f t="shared" si="13"/>
        <v>2|2535|1|40</v>
      </c>
      <c r="L121" t="str">
        <f t="shared" si="10"/>
        <v>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1" t="str">
        <f t="shared" si="11"/>
        <v>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1" s="335">
        <v>20730</v>
      </c>
      <c r="R121" t="str">
        <f t="shared" si="9"/>
        <v>破魔战靴</v>
      </c>
    </row>
    <row r="122" spans="1:18" ht="16.5" hidden="1">
      <c r="A122" t="str">
        <f t="shared" si="8"/>
        <v>a03</v>
      </c>
      <c r="B122">
        <v>2</v>
      </c>
      <c r="C122" s="222" t="s">
        <v>9287</v>
      </c>
      <c r="D122">
        <f>VLOOKUP(F122,Sheet7!$B:$G,6,0)</f>
        <v>2549</v>
      </c>
      <c r="E122" s="222" t="s">
        <v>9287</v>
      </c>
      <c r="F122" s="331" t="s">
        <v>16228</v>
      </c>
      <c r="G122">
        <v>1</v>
      </c>
      <c r="H122" t="str">
        <f t="shared" si="12"/>
        <v>2|2549|1</v>
      </c>
      <c r="I122" s="222" t="s">
        <v>9287</v>
      </c>
      <c r="J122">
        <v>40</v>
      </c>
      <c r="K122" t="str">
        <f t="shared" si="13"/>
        <v>2|2549|1|40</v>
      </c>
      <c r="L122" t="str">
        <f t="shared" si="10"/>
        <v>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2" t="str">
        <f t="shared" si="11"/>
        <v>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2" s="334">
        <v>1651</v>
      </c>
      <c r="R122" t="str">
        <f t="shared" si="9"/>
        <v>赤血战甲</v>
      </c>
    </row>
    <row r="123" spans="1:18" ht="16.5" hidden="1">
      <c r="A123" t="str">
        <f t="shared" si="8"/>
        <v>a03</v>
      </c>
      <c r="B123">
        <v>2</v>
      </c>
      <c r="C123" s="222" t="s">
        <v>9287</v>
      </c>
      <c r="D123">
        <f>VLOOKUP(F123,Sheet7!$B:$G,6,0)</f>
        <v>2563</v>
      </c>
      <c r="E123" s="222" t="s">
        <v>9287</v>
      </c>
      <c r="F123" s="331" t="s">
        <v>16243</v>
      </c>
      <c r="G123">
        <v>1</v>
      </c>
      <c r="H123" t="str">
        <f t="shared" si="12"/>
        <v>2|2563|1</v>
      </c>
      <c r="I123" s="222" t="s">
        <v>9287</v>
      </c>
      <c r="J123">
        <v>40</v>
      </c>
      <c r="K123" t="str">
        <f t="shared" si="13"/>
        <v>2|2563|1|40</v>
      </c>
      <c r="L123" t="str">
        <f t="shared" si="10"/>
        <v>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3" t="str">
        <f t="shared" si="11"/>
        <v>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3" s="334">
        <v>1652</v>
      </c>
      <c r="R123" t="str">
        <f t="shared" si="9"/>
        <v>青锋长剑</v>
      </c>
    </row>
    <row r="124" spans="1:18" ht="16.5" hidden="1">
      <c r="A124" t="str">
        <f t="shared" si="8"/>
        <v>a03</v>
      </c>
      <c r="B124">
        <v>2</v>
      </c>
      <c r="C124" s="222" t="s">
        <v>9287</v>
      </c>
      <c r="D124">
        <f>VLOOKUP(F124,Sheet7!$B:$G,6,0)</f>
        <v>2577</v>
      </c>
      <c r="E124" s="222" t="s">
        <v>9287</v>
      </c>
      <c r="F124" s="331" t="s">
        <v>16258</v>
      </c>
      <c r="G124">
        <v>1</v>
      </c>
      <c r="H124" t="str">
        <f t="shared" si="12"/>
        <v>2|2577|1</v>
      </c>
      <c r="I124" s="222" t="s">
        <v>9287</v>
      </c>
      <c r="J124">
        <v>40</v>
      </c>
      <c r="K124" t="str">
        <f t="shared" si="13"/>
        <v>2|2577|1|40</v>
      </c>
      <c r="L124" t="str">
        <f t="shared" si="10"/>
        <v>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4" t="str">
        <f t="shared" si="11"/>
        <v>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4" s="334">
        <v>1653</v>
      </c>
      <c r="R124" t="str">
        <f t="shared" si="9"/>
        <v>雁虞头盔</v>
      </c>
    </row>
    <row r="125" spans="1:18" ht="16.5" hidden="1">
      <c r="A125" t="str">
        <f t="shared" si="8"/>
        <v>a03</v>
      </c>
      <c r="B125">
        <v>2</v>
      </c>
      <c r="C125" s="222" t="s">
        <v>9287</v>
      </c>
      <c r="D125">
        <f>VLOOKUP(F125,Sheet7!$B:$G,6,0)</f>
        <v>2591</v>
      </c>
      <c r="E125" s="222" t="s">
        <v>9287</v>
      </c>
      <c r="F125" s="331" t="s">
        <v>16273</v>
      </c>
      <c r="G125">
        <v>1</v>
      </c>
      <c r="H125" t="str">
        <f t="shared" si="12"/>
        <v>2|2591|1</v>
      </c>
      <c r="I125" s="222" t="s">
        <v>9287</v>
      </c>
      <c r="J125">
        <v>40</v>
      </c>
      <c r="K125" t="str">
        <f t="shared" si="13"/>
        <v>2|2591|1|40</v>
      </c>
      <c r="L125" t="str">
        <f t="shared" si="10"/>
        <v>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5" t="str">
        <f t="shared" si="11"/>
        <v>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5" s="334">
        <v>1654</v>
      </c>
      <c r="R125" t="str">
        <f t="shared" si="9"/>
        <v>无影战靴</v>
      </c>
    </row>
    <row r="126" spans="1:18" ht="16.5" hidden="1">
      <c r="A126" t="str">
        <f t="shared" si="8"/>
        <v>a03</v>
      </c>
      <c r="B126">
        <v>2</v>
      </c>
      <c r="C126" s="222" t="s">
        <v>9287</v>
      </c>
      <c r="D126">
        <f>VLOOKUP(F126,Sheet7!$B:$G,6,0)</f>
        <v>2605</v>
      </c>
      <c r="E126" s="222" t="s">
        <v>9287</v>
      </c>
      <c r="F126" s="331" t="s">
        <v>16288</v>
      </c>
      <c r="G126">
        <v>1</v>
      </c>
      <c r="H126" t="str">
        <f t="shared" si="12"/>
        <v>2|2605|1</v>
      </c>
      <c r="I126" s="222" t="s">
        <v>9287</v>
      </c>
      <c r="J126">
        <v>40</v>
      </c>
      <c r="K126" t="str">
        <f t="shared" si="13"/>
        <v>2|2605|1|40</v>
      </c>
      <c r="L126" t="str">
        <f t="shared" si="10"/>
        <v>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6" t="str">
        <f t="shared" si="11"/>
        <v>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6" s="334">
        <v>2065</v>
      </c>
      <c r="R126" t="str">
        <f t="shared" si="9"/>
        <v>行者战甲</v>
      </c>
    </row>
    <row r="127" spans="1:18" ht="16.5" hidden="1">
      <c r="A127" t="str">
        <f t="shared" si="8"/>
        <v>a03</v>
      </c>
      <c r="B127">
        <v>2</v>
      </c>
      <c r="C127" s="222" t="s">
        <v>9287</v>
      </c>
      <c r="D127">
        <f>VLOOKUP(F127,Sheet7!$B:$G,6,0)</f>
        <v>2619</v>
      </c>
      <c r="E127" s="222" t="s">
        <v>9287</v>
      </c>
      <c r="F127" s="331" t="s">
        <v>16303</v>
      </c>
      <c r="G127">
        <v>1</v>
      </c>
      <c r="H127" t="str">
        <f t="shared" si="12"/>
        <v>2|2619|1</v>
      </c>
      <c r="I127" s="222" t="s">
        <v>9287</v>
      </c>
      <c r="J127">
        <v>40</v>
      </c>
      <c r="K127" t="str">
        <f t="shared" si="13"/>
        <v>2|2619|1|40</v>
      </c>
      <c r="L127" t="str">
        <f t="shared" si="10"/>
        <v>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7" t="str">
        <f t="shared" si="11"/>
        <v>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7" s="334">
        <v>20651</v>
      </c>
      <c r="R127" t="str">
        <f t="shared" si="9"/>
        <v>精铁长剑</v>
      </c>
    </row>
    <row r="128" spans="1:18" ht="16.5" hidden="1">
      <c r="A128" t="str">
        <f t="shared" si="8"/>
        <v>a03</v>
      </c>
      <c r="B128">
        <v>2</v>
      </c>
      <c r="C128" s="222" t="s">
        <v>9287</v>
      </c>
      <c r="D128">
        <f>VLOOKUP(F128,Sheet7!$B:$G,6,0)</f>
        <v>2633</v>
      </c>
      <c r="E128" s="222" t="s">
        <v>9287</v>
      </c>
      <c r="F128" s="331" t="s">
        <v>16318</v>
      </c>
      <c r="G128">
        <v>1</v>
      </c>
      <c r="H128" t="str">
        <f t="shared" si="12"/>
        <v>2|2633|1</v>
      </c>
      <c r="I128" s="222" t="s">
        <v>9287</v>
      </c>
      <c r="J128">
        <v>40</v>
      </c>
      <c r="K128" t="str">
        <f t="shared" si="13"/>
        <v>2|2633|1|40</v>
      </c>
      <c r="L128" t="str">
        <f t="shared" si="10"/>
        <v>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8" t="str">
        <f t="shared" si="11"/>
        <v>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8" s="334">
        <v>20652</v>
      </c>
      <c r="R128" t="str">
        <f t="shared" si="9"/>
        <v>虹影头盔</v>
      </c>
    </row>
    <row r="129" spans="1:18" ht="16.5" hidden="1">
      <c r="A129" t="str">
        <f t="shared" si="8"/>
        <v>a03</v>
      </c>
      <c r="B129">
        <v>2</v>
      </c>
      <c r="C129" s="222" t="s">
        <v>9287</v>
      </c>
      <c r="D129">
        <f>VLOOKUP(F129,Sheet7!$B:$G,6,0)</f>
        <v>2647</v>
      </c>
      <c r="E129" s="222" t="s">
        <v>9287</v>
      </c>
      <c r="F129" s="331" t="s">
        <v>16333</v>
      </c>
      <c r="G129">
        <v>1</v>
      </c>
      <c r="H129" t="str">
        <f t="shared" si="12"/>
        <v>2|2647|1</v>
      </c>
      <c r="I129" s="222" t="s">
        <v>9287</v>
      </c>
      <c r="J129">
        <v>40</v>
      </c>
      <c r="K129" t="str">
        <f t="shared" si="13"/>
        <v>2|2647|1|40</v>
      </c>
      <c r="L129" t="str">
        <f t="shared" si="10"/>
        <v>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29" t="str">
        <f t="shared" si="11"/>
        <v>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29" s="334">
        <v>20653</v>
      </c>
      <c r="R129" t="str">
        <f t="shared" si="9"/>
        <v>千里战靴</v>
      </c>
    </row>
    <row r="130" spans="1:18" ht="16.5" hidden="1">
      <c r="A130" t="str">
        <f t="shared" si="8"/>
        <v>a03</v>
      </c>
      <c r="B130">
        <v>2</v>
      </c>
      <c r="C130" s="222" t="s">
        <v>9287</v>
      </c>
      <c r="D130">
        <f>VLOOKUP(F130,Sheet7!$B:$G,6,0)</f>
        <v>2045</v>
      </c>
      <c r="E130" s="222" t="s">
        <v>9287</v>
      </c>
      <c r="F130" s="331" t="s">
        <v>16348</v>
      </c>
      <c r="G130">
        <v>1</v>
      </c>
      <c r="H130" t="str">
        <f t="shared" si="12"/>
        <v>2|2045|1</v>
      </c>
      <c r="I130" s="222" t="s">
        <v>9287</v>
      </c>
      <c r="J130">
        <v>40</v>
      </c>
      <c r="K130" t="str">
        <f t="shared" si="13"/>
        <v>2|2045|1|40</v>
      </c>
      <c r="L130" t="str">
        <f t="shared" si="10"/>
        <v>2|2045|1,2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30" t="str">
        <f t="shared" si="11"/>
        <v>2|2045|1|40,2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30" s="334">
        <v>20654</v>
      </c>
      <c r="R130" t="str">
        <f t="shared" si="9"/>
        <v>封魔战甲</v>
      </c>
    </row>
    <row r="131" spans="1:18" ht="16.5" hidden="1">
      <c r="A131" t="str">
        <f t="shared" ref="A131:A194" si="14">LEFT(F131,3)</f>
        <v>a03</v>
      </c>
      <c r="B131">
        <v>2</v>
      </c>
      <c r="C131" s="222" t="s">
        <v>9287</v>
      </c>
      <c r="D131">
        <f>VLOOKUP(F131,Sheet7!$B:$G,6,0)</f>
        <v>2046</v>
      </c>
      <c r="E131" s="222" t="s">
        <v>9287</v>
      </c>
      <c r="F131" s="331" t="s">
        <v>16363</v>
      </c>
      <c r="G131">
        <v>1</v>
      </c>
      <c r="H131" t="str">
        <f t="shared" si="12"/>
        <v>2|2046|1</v>
      </c>
      <c r="I131" s="222" t="s">
        <v>9287</v>
      </c>
      <c r="J131">
        <v>40</v>
      </c>
      <c r="K131" t="str">
        <f t="shared" si="13"/>
        <v>2|2046|1|40</v>
      </c>
      <c r="L131" t="str">
        <f t="shared" si="10"/>
        <v>2|2046|1,2|2045|1,2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31" t="str">
        <f t="shared" si="11"/>
        <v>2|2046|1|40,2|2045|1|40,2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31" s="334">
        <v>20655</v>
      </c>
      <c r="R131" t="str">
        <f t="shared" ref="R131:R194" si="15">RIGHT(F131,4)</f>
        <v>封魔长剑</v>
      </c>
    </row>
    <row r="132" spans="1:18" ht="16.5" hidden="1">
      <c r="A132" t="str">
        <f t="shared" si="14"/>
        <v>a03</v>
      </c>
      <c r="B132">
        <v>2</v>
      </c>
      <c r="C132" s="222" t="s">
        <v>9287</v>
      </c>
      <c r="D132">
        <f>VLOOKUP(F132,Sheet7!$B:$G,6,0)</f>
        <v>2047</v>
      </c>
      <c r="E132" s="222" t="s">
        <v>9287</v>
      </c>
      <c r="F132" s="331" t="s">
        <v>16378</v>
      </c>
      <c r="G132">
        <v>1</v>
      </c>
      <c r="H132" t="str">
        <f t="shared" si="12"/>
        <v>2|2047|1</v>
      </c>
      <c r="I132" s="222" t="s">
        <v>9287</v>
      </c>
      <c r="J132">
        <v>40</v>
      </c>
      <c r="K132" t="str">
        <f t="shared" si="13"/>
        <v>2|2047|1|40</v>
      </c>
      <c r="L132" t="str">
        <f t="shared" ref="L132:L195" si="16">IF(A132=A131,H132&amp;","&amp;L131,H132)</f>
        <v>2|2047|1,2|2046|1,2|2045|1,2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32" t="str">
        <f t="shared" ref="M132:M195" si="17">IF(A132=A131,K132&amp;","&amp;M131,K132)</f>
        <v>2|2047|1|40,2|2046|1|40,2|2045|1|40,2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32" s="334">
        <v>20656</v>
      </c>
      <c r="R132" t="str">
        <f t="shared" si="15"/>
        <v>封魔头盔</v>
      </c>
    </row>
    <row r="133" spans="1:18" ht="16.5">
      <c r="A133" t="str">
        <f t="shared" si="14"/>
        <v>a03</v>
      </c>
      <c r="B133">
        <v>2</v>
      </c>
      <c r="C133" s="222" t="s">
        <v>9287</v>
      </c>
      <c r="D133">
        <f>VLOOKUP(F133,Sheet7!$B:$G,6,0)</f>
        <v>2048</v>
      </c>
      <c r="E133" s="222" t="s">
        <v>9287</v>
      </c>
      <c r="F133" s="331" t="s">
        <v>16393</v>
      </c>
      <c r="G133">
        <v>1</v>
      </c>
      <c r="H133" t="str">
        <f t="shared" si="12"/>
        <v>2|2048|1</v>
      </c>
      <c r="I133" s="222" t="s">
        <v>9287</v>
      </c>
      <c r="J133">
        <v>40</v>
      </c>
      <c r="K133" t="str">
        <f t="shared" si="13"/>
        <v>2|2048|1|40</v>
      </c>
      <c r="L133" t="str">
        <f t="shared" si="16"/>
        <v>2|2048|1,2|2047|1,2|2046|1,2|2045|1,2|2647|1,2|2633|1,2|2619|1,2|2605|1,2|2591|1,2|2577|1,2|2563|1,2|2549|1,2|2535|1,2|2521|1,2|2507|1,2|2493|1,2|2479|1,2|2465|1,2|2451|1,2|2437|1,2|2044|1,2|2043|1,2|2042|1,2|2041|1,2|2052|1,2|2051|1,2|2050|1,2|2049|1,2|2312|1,2|2298|1,2|2284|1,2|2270|1,2|2256|1,2|2242|1,2|2228|1,2|2214|1,2|2200|1,2|2186|1,2|2172|1,2|2158|1,2|2144|1,2|2130|1,2|2116|1,2|2102|1</v>
      </c>
      <c r="M133" t="str">
        <f t="shared" si="17"/>
        <v>2|2048|1|40,2|2047|1|40,2|2046|1|40,2|2045|1|40,2|2647|1|40,2|2633|1|40,2|2619|1|40,2|2605|1|40,2|2591|1|40,2|2577|1|40,2|2563|1|40,2|2549|1|40,2|2535|1|40,2|2521|1|40,2|2507|1|40,2|2493|1|40,2|2479|1|40,2|2465|1|40,2|2451|1|40,2|2437|1|40,2|2044|1|40,2|2043|1|40,2|2042|1|40,2|2041|1|40,2|2052|1|40,2|2051|1|40,2|2050|1|40,2|2049|1|40,2|2312|1|20,2|2298|1|20,2|2284|1|20,2|2270|1|20,2|2256|1|20,2|2242|1|20,2|2228|1|20,2|2214|1|20,2|2200|1|20,2|2186|1|20,2|2172|1|20,2|2158|1|20,2|2144|1|10,2|2130|1|10,2|2116|1|10,2|2102|1|10</v>
      </c>
      <c r="N133" s="334">
        <v>20657</v>
      </c>
      <c r="R133" t="str">
        <f t="shared" si="15"/>
        <v>封魔战靴</v>
      </c>
    </row>
    <row r="134" spans="1:18" ht="16.5" hidden="1">
      <c r="A134" t="str">
        <f t="shared" si="14"/>
        <v>a04</v>
      </c>
      <c r="B134">
        <v>2</v>
      </c>
      <c r="C134" s="222" t="s">
        <v>9287</v>
      </c>
      <c r="D134">
        <f>VLOOKUP(F134,Sheet7!$B:$G,6,0)</f>
        <v>2103</v>
      </c>
      <c r="E134" s="222" t="s">
        <v>9287</v>
      </c>
      <c r="F134" s="331" t="s">
        <v>15749</v>
      </c>
      <c r="G134">
        <v>1</v>
      </c>
      <c r="H134" t="str">
        <f t="shared" si="12"/>
        <v>2|2103|1</v>
      </c>
      <c r="I134" s="222" t="s">
        <v>9287</v>
      </c>
      <c r="J134">
        <v>10</v>
      </c>
      <c r="K134" t="str">
        <f t="shared" si="13"/>
        <v>2|2103|1|10</v>
      </c>
      <c r="L134" t="str">
        <f t="shared" si="16"/>
        <v>2|2103|1</v>
      </c>
      <c r="M134" t="str">
        <f t="shared" si="17"/>
        <v>2|2103|1|10</v>
      </c>
      <c r="N134" s="334">
        <v>20658</v>
      </c>
      <c r="R134" t="str">
        <f t="shared" si="15"/>
        <v>蚩尤战甲</v>
      </c>
    </row>
    <row r="135" spans="1:18" ht="16.5" hidden="1">
      <c r="A135" t="str">
        <f t="shared" si="14"/>
        <v>a04</v>
      </c>
      <c r="B135">
        <v>2</v>
      </c>
      <c r="C135" s="222" t="s">
        <v>9287</v>
      </c>
      <c r="D135">
        <f>VLOOKUP(F135,Sheet7!$B:$G,6,0)</f>
        <v>2117</v>
      </c>
      <c r="E135" s="222" t="s">
        <v>9287</v>
      </c>
      <c r="F135" s="331" t="s">
        <v>15764</v>
      </c>
      <c r="G135">
        <v>1</v>
      </c>
      <c r="H135" t="str">
        <f t="shared" si="12"/>
        <v>2|2117|1</v>
      </c>
      <c r="I135" s="222" t="s">
        <v>9287</v>
      </c>
      <c r="J135">
        <v>10</v>
      </c>
      <c r="K135" t="str">
        <f t="shared" si="13"/>
        <v>2|2117|1|10</v>
      </c>
      <c r="L135" t="str">
        <f t="shared" si="16"/>
        <v>2|2117|1,2|2103|1</v>
      </c>
      <c r="M135" t="str">
        <f t="shared" si="17"/>
        <v>2|2117|1|10,2|2103|1|10</v>
      </c>
      <c r="N135" s="334">
        <v>20659</v>
      </c>
      <c r="R135" t="str">
        <f t="shared" si="15"/>
        <v>蚩尤长剑</v>
      </c>
    </row>
    <row r="136" spans="1:18" ht="16.5" hidden="1">
      <c r="A136" t="str">
        <f t="shared" si="14"/>
        <v>a04</v>
      </c>
      <c r="B136">
        <v>2</v>
      </c>
      <c r="C136" s="222" t="s">
        <v>9287</v>
      </c>
      <c r="D136">
        <f>VLOOKUP(F136,Sheet7!$B:$G,6,0)</f>
        <v>2131</v>
      </c>
      <c r="E136" s="222" t="s">
        <v>9287</v>
      </c>
      <c r="F136" s="331" t="s">
        <v>15779</v>
      </c>
      <c r="G136">
        <v>1</v>
      </c>
      <c r="H136" t="str">
        <f t="shared" si="12"/>
        <v>2|2131|1</v>
      </c>
      <c r="I136" s="222" t="s">
        <v>9287</v>
      </c>
      <c r="J136">
        <v>10</v>
      </c>
      <c r="K136" t="str">
        <f t="shared" si="13"/>
        <v>2|2131|1|10</v>
      </c>
      <c r="L136" t="str">
        <f t="shared" si="16"/>
        <v>2|2131|1,2|2117|1,2|2103|1</v>
      </c>
      <c r="M136" t="str">
        <f t="shared" si="17"/>
        <v>2|2131|1|10,2|2117|1|10,2|2103|1|10</v>
      </c>
      <c r="N136" s="334">
        <v>20660</v>
      </c>
      <c r="R136" t="str">
        <f t="shared" si="15"/>
        <v>蚩尤头盔</v>
      </c>
    </row>
    <row r="137" spans="1:18" ht="16.5" hidden="1">
      <c r="A137" t="str">
        <f t="shared" si="14"/>
        <v>a04</v>
      </c>
      <c r="B137">
        <v>2</v>
      </c>
      <c r="C137" s="222" t="s">
        <v>9287</v>
      </c>
      <c r="D137">
        <f>VLOOKUP(F137,Sheet7!$B:$G,6,0)</f>
        <v>2145</v>
      </c>
      <c r="E137" s="222" t="s">
        <v>9287</v>
      </c>
      <c r="F137" s="331" t="s">
        <v>15794</v>
      </c>
      <c r="G137">
        <v>1</v>
      </c>
      <c r="H137" t="str">
        <f t="shared" si="12"/>
        <v>2|2145|1</v>
      </c>
      <c r="I137" s="222" t="s">
        <v>9287</v>
      </c>
      <c r="J137">
        <v>10</v>
      </c>
      <c r="K137" t="str">
        <f t="shared" si="13"/>
        <v>2|2145|1|10</v>
      </c>
      <c r="L137" t="str">
        <f t="shared" si="16"/>
        <v>2|2145|1,2|2131|1,2|2117|1,2|2103|1</v>
      </c>
      <c r="M137" t="str">
        <f t="shared" si="17"/>
        <v>2|2145|1|10,2|2131|1|10,2|2117|1|10,2|2103|1|10</v>
      </c>
      <c r="N137" s="334">
        <v>1661</v>
      </c>
      <c r="R137" t="str">
        <f t="shared" si="15"/>
        <v>蚩尤战靴</v>
      </c>
    </row>
    <row r="138" spans="1:18" ht="16.5" hidden="1">
      <c r="A138" t="str">
        <f t="shared" si="14"/>
        <v>a04</v>
      </c>
      <c r="B138">
        <v>2</v>
      </c>
      <c r="C138" s="222" t="s">
        <v>9287</v>
      </c>
      <c r="D138">
        <f>VLOOKUP(F138,Sheet7!$B:$G,6,0)</f>
        <v>2159</v>
      </c>
      <c r="E138" s="222" t="s">
        <v>9287</v>
      </c>
      <c r="F138" s="331" t="s">
        <v>15809</v>
      </c>
      <c r="G138">
        <v>1</v>
      </c>
      <c r="H138" t="str">
        <f t="shared" si="12"/>
        <v>2|2159|1</v>
      </c>
      <c r="I138" s="222" t="s">
        <v>9287</v>
      </c>
      <c r="J138">
        <v>20</v>
      </c>
      <c r="K138" t="str">
        <f t="shared" si="13"/>
        <v>2|2159|1|20</v>
      </c>
      <c r="L138" t="str">
        <f t="shared" si="16"/>
        <v>2|2159|1,2|2145|1,2|2131|1,2|2117|1,2|2103|1</v>
      </c>
      <c r="M138" t="str">
        <f t="shared" si="17"/>
        <v>2|2159|1|20,2|2145|1|10,2|2131|1|10,2|2117|1|10,2|2103|1|10</v>
      </c>
      <c r="N138" s="334">
        <v>1662</v>
      </c>
      <c r="R138" t="str">
        <f t="shared" si="15"/>
        <v>天罡战甲</v>
      </c>
    </row>
    <row r="139" spans="1:18" ht="16.5" hidden="1">
      <c r="A139" t="str">
        <f t="shared" si="14"/>
        <v>a04</v>
      </c>
      <c r="B139">
        <v>2</v>
      </c>
      <c r="C139" s="222" t="s">
        <v>9287</v>
      </c>
      <c r="D139">
        <f>VLOOKUP(F139,Sheet7!$B:$G,6,0)</f>
        <v>2173</v>
      </c>
      <c r="E139" s="222" t="s">
        <v>9287</v>
      </c>
      <c r="F139" s="331" t="s">
        <v>15824</v>
      </c>
      <c r="G139">
        <v>1</v>
      </c>
      <c r="H139" t="str">
        <f t="shared" si="12"/>
        <v>2|2173|1</v>
      </c>
      <c r="I139" s="222" t="s">
        <v>9287</v>
      </c>
      <c r="J139">
        <v>20</v>
      </c>
      <c r="K139" t="str">
        <f t="shared" si="13"/>
        <v>2|2173|1|20</v>
      </c>
      <c r="L139" t="str">
        <f t="shared" si="16"/>
        <v>2|2173|1,2|2159|1,2|2145|1,2|2131|1,2|2117|1,2|2103|1</v>
      </c>
      <c r="M139" t="str">
        <f t="shared" si="17"/>
        <v>2|2173|1|20,2|2159|1|20,2|2145|1|10,2|2131|1|10,2|2117|1|10,2|2103|1|10</v>
      </c>
      <c r="N139" s="334">
        <v>1663</v>
      </c>
      <c r="R139" t="str">
        <f t="shared" si="15"/>
        <v>天罡长剑</v>
      </c>
    </row>
    <row r="140" spans="1:18" ht="16.5" hidden="1">
      <c r="A140" t="str">
        <f t="shared" si="14"/>
        <v>a04</v>
      </c>
      <c r="B140">
        <v>2</v>
      </c>
      <c r="C140" s="222" t="s">
        <v>9287</v>
      </c>
      <c r="D140">
        <f>VLOOKUP(F140,Sheet7!$B:$G,6,0)</f>
        <v>2187</v>
      </c>
      <c r="E140" s="222" t="s">
        <v>9287</v>
      </c>
      <c r="F140" s="331" t="s">
        <v>15839</v>
      </c>
      <c r="G140">
        <v>1</v>
      </c>
      <c r="H140" t="str">
        <f t="shared" si="12"/>
        <v>2|2187|1</v>
      </c>
      <c r="I140" s="222" t="s">
        <v>9287</v>
      </c>
      <c r="J140">
        <v>20</v>
      </c>
      <c r="K140" t="str">
        <f t="shared" si="13"/>
        <v>2|2187|1|20</v>
      </c>
      <c r="L140" t="str">
        <f t="shared" si="16"/>
        <v>2|2187|1,2|2173|1,2|2159|1,2|2145|1,2|2131|1,2|2117|1,2|2103|1</v>
      </c>
      <c r="M140" t="str">
        <f t="shared" si="17"/>
        <v>2|2187|1|20,2|2173|1|20,2|2159|1|20,2|2145|1|10,2|2131|1|10,2|2117|1|10,2|2103|1|10</v>
      </c>
      <c r="N140" s="334">
        <v>1664</v>
      </c>
      <c r="R140" t="str">
        <f t="shared" si="15"/>
        <v>天罡头盔</v>
      </c>
    </row>
    <row r="141" spans="1:18" ht="16.5" hidden="1">
      <c r="A141" t="str">
        <f t="shared" si="14"/>
        <v>a04</v>
      </c>
      <c r="B141">
        <v>2</v>
      </c>
      <c r="C141" s="222" t="s">
        <v>9287</v>
      </c>
      <c r="D141">
        <f>VLOOKUP(F141,Sheet7!$B:$G,6,0)</f>
        <v>2201</v>
      </c>
      <c r="E141" s="222" t="s">
        <v>9287</v>
      </c>
      <c r="F141" s="331" t="s">
        <v>15854</v>
      </c>
      <c r="G141">
        <v>1</v>
      </c>
      <c r="H141" t="str">
        <f t="shared" si="12"/>
        <v>2|2201|1</v>
      </c>
      <c r="I141" s="222" t="s">
        <v>9287</v>
      </c>
      <c r="J141">
        <v>20</v>
      </c>
      <c r="K141" t="str">
        <f t="shared" si="13"/>
        <v>2|2201|1|20</v>
      </c>
      <c r="L141" t="str">
        <f t="shared" si="16"/>
        <v>2|2201|1,2|2187|1,2|2173|1,2|2159|1,2|2145|1,2|2131|1,2|2117|1,2|2103|1</v>
      </c>
      <c r="M141" t="str">
        <f t="shared" si="17"/>
        <v>2|2201|1|20,2|2187|1|20,2|2173|1|20,2|2159|1|20,2|2145|1|10,2|2131|1|10,2|2117|1|10,2|2103|1|10</v>
      </c>
      <c r="N141" s="334">
        <v>2066</v>
      </c>
      <c r="R141" t="str">
        <f t="shared" si="15"/>
        <v>天罡战靴</v>
      </c>
    </row>
    <row r="142" spans="1:18" ht="16.5" hidden="1">
      <c r="A142" t="str">
        <f t="shared" si="14"/>
        <v>a04</v>
      </c>
      <c r="B142">
        <v>2</v>
      </c>
      <c r="C142" s="222" t="s">
        <v>9287</v>
      </c>
      <c r="D142">
        <f>VLOOKUP(F142,Sheet7!$B:$G,6,0)</f>
        <v>2215</v>
      </c>
      <c r="E142" s="222" t="s">
        <v>9287</v>
      </c>
      <c r="F142" s="331" t="s">
        <v>15869</v>
      </c>
      <c r="G142">
        <v>1</v>
      </c>
      <c r="H142" t="str">
        <f t="shared" si="12"/>
        <v>2|2215|1</v>
      </c>
      <c r="I142" s="222" t="s">
        <v>9287</v>
      </c>
      <c r="J142">
        <v>20</v>
      </c>
      <c r="K142" t="str">
        <f t="shared" si="13"/>
        <v>2|2215|1|20</v>
      </c>
      <c r="L142" t="str">
        <f t="shared" si="16"/>
        <v>2|2215|1,2|2201|1,2|2187|1,2|2173|1,2|2159|1,2|2145|1,2|2131|1,2|2117|1,2|2103|1</v>
      </c>
      <c r="M142" t="str">
        <f t="shared" si="17"/>
        <v>2|2215|1|20,2|2201|1|20,2|2187|1|20,2|2173|1|20,2|2159|1|20,2|2145|1|10,2|2131|1|10,2|2117|1|10,2|2103|1|10</v>
      </c>
      <c r="N142" s="334">
        <v>20661</v>
      </c>
      <c r="R142" t="str">
        <f t="shared" si="15"/>
        <v>降魔战甲</v>
      </c>
    </row>
    <row r="143" spans="1:18" ht="16.5" hidden="1">
      <c r="A143" t="str">
        <f t="shared" si="14"/>
        <v>a04</v>
      </c>
      <c r="B143">
        <v>2</v>
      </c>
      <c r="C143" s="222" t="s">
        <v>9287</v>
      </c>
      <c r="D143">
        <f>VLOOKUP(F143,Sheet7!$B:$G,6,0)</f>
        <v>2229</v>
      </c>
      <c r="E143" s="222" t="s">
        <v>9287</v>
      </c>
      <c r="F143" s="331" t="s">
        <v>15884</v>
      </c>
      <c r="G143">
        <v>1</v>
      </c>
      <c r="H143" t="str">
        <f t="shared" si="12"/>
        <v>2|2229|1</v>
      </c>
      <c r="I143" s="222" t="s">
        <v>9287</v>
      </c>
      <c r="J143">
        <v>20</v>
      </c>
      <c r="K143" t="str">
        <f t="shared" si="13"/>
        <v>2|2229|1|20</v>
      </c>
      <c r="L143" t="str">
        <f t="shared" si="16"/>
        <v>2|2229|1,2|2215|1,2|2201|1,2|2187|1,2|2173|1,2|2159|1,2|2145|1,2|2131|1,2|2117|1,2|2103|1</v>
      </c>
      <c r="M143" t="str">
        <f t="shared" si="17"/>
        <v>2|2229|1|20,2|2215|1|20,2|2201|1|20,2|2187|1|20,2|2173|1|20,2|2159|1|20,2|2145|1|10,2|2131|1|10,2|2117|1|10,2|2103|1|10</v>
      </c>
      <c r="N143" s="334">
        <v>20662</v>
      </c>
      <c r="R143" t="str">
        <f t="shared" si="15"/>
        <v>降魔长剑</v>
      </c>
    </row>
    <row r="144" spans="1:18" ht="16.5" hidden="1">
      <c r="A144" t="str">
        <f t="shared" si="14"/>
        <v>a04</v>
      </c>
      <c r="B144">
        <v>2</v>
      </c>
      <c r="C144" s="222" t="s">
        <v>9287</v>
      </c>
      <c r="D144">
        <f>VLOOKUP(F144,Sheet7!$B:$G,6,0)</f>
        <v>2243</v>
      </c>
      <c r="E144" s="222" t="s">
        <v>9287</v>
      </c>
      <c r="F144" s="331" t="s">
        <v>15899</v>
      </c>
      <c r="G144">
        <v>1</v>
      </c>
      <c r="H144" t="str">
        <f t="shared" si="12"/>
        <v>2|2243|1</v>
      </c>
      <c r="I144" s="222" t="s">
        <v>9287</v>
      </c>
      <c r="J144">
        <v>20</v>
      </c>
      <c r="K144" t="str">
        <f t="shared" si="13"/>
        <v>2|2243|1|20</v>
      </c>
      <c r="L144" t="str">
        <f t="shared" si="16"/>
        <v>2|2243|1,2|2229|1,2|2215|1,2|2201|1,2|2187|1,2|2173|1,2|2159|1,2|2145|1,2|2131|1,2|2117|1,2|2103|1</v>
      </c>
      <c r="M144" t="str">
        <f t="shared" si="17"/>
        <v>2|2243|1|20,2|2229|1|20,2|2215|1|20,2|2201|1|20,2|2187|1|20,2|2173|1|20,2|2159|1|20,2|2145|1|10,2|2131|1|10,2|2117|1|10,2|2103|1|10</v>
      </c>
      <c r="N144" s="334">
        <v>20663</v>
      </c>
      <c r="R144" t="str">
        <f t="shared" si="15"/>
        <v>降魔头盔</v>
      </c>
    </row>
    <row r="145" spans="1:18" ht="16.5" hidden="1">
      <c r="A145" t="str">
        <f t="shared" si="14"/>
        <v>a04</v>
      </c>
      <c r="B145">
        <v>2</v>
      </c>
      <c r="C145" s="222" t="s">
        <v>9287</v>
      </c>
      <c r="D145">
        <f>VLOOKUP(F145,Sheet7!$B:$G,6,0)</f>
        <v>2257</v>
      </c>
      <c r="E145" s="222" t="s">
        <v>9287</v>
      </c>
      <c r="F145" s="331" t="s">
        <v>15914</v>
      </c>
      <c r="G145">
        <v>1</v>
      </c>
      <c r="H145" t="str">
        <f t="shared" si="12"/>
        <v>2|2257|1</v>
      </c>
      <c r="I145" s="222" t="s">
        <v>9287</v>
      </c>
      <c r="J145">
        <v>20</v>
      </c>
      <c r="K145" t="str">
        <f t="shared" si="13"/>
        <v>2|2257|1|20</v>
      </c>
      <c r="L145" t="str">
        <f t="shared" si="16"/>
        <v>2|2257|1,2|2243|1,2|2229|1,2|2215|1,2|2201|1,2|2187|1,2|2173|1,2|2159|1,2|2145|1,2|2131|1,2|2117|1,2|2103|1</v>
      </c>
      <c r="M145" t="str">
        <f t="shared" si="17"/>
        <v>2|2257|1|20,2|2243|1|20,2|2229|1|20,2|2215|1|20,2|2201|1|20,2|2187|1|20,2|2173|1|20,2|2159|1|20,2|2145|1|10,2|2131|1|10,2|2117|1|10,2|2103|1|10</v>
      </c>
      <c r="N145" s="334">
        <v>20664</v>
      </c>
      <c r="R145" t="str">
        <f t="shared" si="15"/>
        <v>降魔战靴</v>
      </c>
    </row>
    <row r="146" spans="1:18" ht="16.5" hidden="1">
      <c r="A146" t="str">
        <f t="shared" si="14"/>
        <v>a04</v>
      </c>
      <c r="B146">
        <v>2</v>
      </c>
      <c r="C146" s="222" t="s">
        <v>9287</v>
      </c>
      <c r="D146">
        <f>VLOOKUP(F146,Sheet7!$B:$G,6,0)</f>
        <v>2061</v>
      </c>
      <c r="E146" s="222" t="s">
        <v>9287</v>
      </c>
      <c r="F146" s="331" t="s">
        <v>15929</v>
      </c>
      <c r="G146">
        <v>1</v>
      </c>
      <c r="H146" t="str">
        <f t="shared" si="12"/>
        <v>2|2061|1</v>
      </c>
      <c r="I146" s="222" t="s">
        <v>9287</v>
      </c>
      <c r="J146">
        <v>20</v>
      </c>
      <c r="K146" t="str">
        <f t="shared" si="13"/>
        <v>2|2061|1|20</v>
      </c>
      <c r="L146" t="str">
        <f t="shared" si="16"/>
        <v>2|2061|1,2|2257|1,2|2243|1,2|2229|1,2|2215|1,2|2201|1,2|2187|1,2|2173|1,2|2159|1,2|2145|1,2|2131|1,2|2117|1,2|2103|1</v>
      </c>
      <c r="M146" t="str">
        <f t="shared" si="17"/>
        <v>2|2061|1|20,2|2257|1|20,2|2243|1|20,2|2229|1|20,2|2215|1|20,2|2201|1|20,2|2187|1|20,2|2173|1|20,2|2159|1|20,2|2145|1|10,2|2131|1|10,2|2117|1|10,2|2103|1|10</v>
      </c>
      <c r="N146" s="334">
        <v>20665</v>
      </c>
      <c r="R146" t="str">
        <f t="shared" si="15"/>
        <v>血魔战甲</v>
      </c>
    </row>
    <row r="147" spans="1:18" ht="16.5" hidden="1">
      <c r="A147" t="str">
        <f t="shared" si="14"/>
        <v>a04</v>
      </c>
      <c r="B147">
        <v>2</v>
      </c>
      <c r="C147" s="222" t="s">
        <v>9287</v>
      </c>
      <c r="D147">
        <f>VLOOKUP(F147,Sheet7!$B:$G,6,0)</f>
        <v>2062</v>
      </c>
      <c r="E147" s="222" t="s">
        <v>9287</v>
      </c>
      <c r="F147" s="331" t="s">
        <v>15944</v>
      </c>
      <c r="G147">
        <v>1</v>
      </c>
      <c r="H147" t="str">
        <f t="shared" si="12"/>
        <v>2|2062|1</v>
      </c>
      <c r="I147" s="222" t="s">
        <v>9287</v>
      </c>
      <c r="J147">
        <v>20</v>
      </c>
      <c r="K147" t="str">
        <f t="shared" si="13"/>
        <v>2|2062|1|20</v>
      </c>
      <c r="L147" t="str">
        <f t="shared" si="16"/>
        <v>2|2062|1,2|2061|1,2|2257|1,2|2243|1,2|2229|1,2|2215|1,2|2201|1,2|2187|1,2|2173|1,2|2159|1,2|2145|1,2|2131|1,2|2117|1,2|2103|1</v>
      </c>
      <c r="M147" t="str">
        <f t="shared" si="17"/>
        <v>2|2062|1|20,2|2061|1|20,2|2257|1|20,2|2243|1|20,2|2229|1|20,2|2215|1|20,2|2201|1|20,2|2187|1|20,2|2173|1|20,2|2159|1|20,2|2145|1|10,2|2131|1|10,2|2117|1|10,2|2103|1|10</v>
      </c>
      <c r="N147" s="334">
        <v>20666</v>
      </c>
      <c r="R147" t="str">
        <f t="shared" si="15"/>
        <v>赤霄长剑</v>
      </c>
    </row>
    <row r="148" spans="1:18" ht="16.5" hidden="1">
      <c r="A148" t="str">
        <f t="shared" si="14"/>
        <v>a04</v>
      </c>
      <c r="B148">
        <v>2</v>
      </c>
      <c r="C148" s="222" t="s">
        <v>9287</v>
      </c>
      <c r="D148">
        <f>VLOOKUP(F148,Sheet7!$B:$G,6,0)</f>
        <v>2063</v>
      </c>
      <c r="E148" s="222" t="s">
        <v>9287</v>
      </c>
      <c r="F148" s="331" t="s">
        <v>15959</v>
      </c>
      <c r="G148">
        <v>1</v>
      </c>
      <c r="H148" t="str">
        <f t="shared" si="12"/>
        <v>2|2063|1</v>
      </c>
      <c r="I148" s="222" t="s">
        <v>9287</v>
      </c>
      <c r="J148">
        <v>20</v>
      </c>
      <c r="K148" t="str">
        <f t="shared" si="13"/>
        <v>2|2063|1|20</v>
      </c>
      <c r="L148" t="str">
        <f t="shared" si="16"/>
        <v>2|2063|1,2|2062|1,2|2061|1,2|2257|1,2|2243|1,2|2229|1,2|2215|1,2|2201|1,2|2187|1,2|2173|1,2|2159|1,2|2145|1,2|2131|1,2|2117|1,2|2103|1</v>
      </c>
      <c r="M148" t="str">
        <f t="shared" si="17"/>
        <v>2|2063|1|20,2|2062|1|20,2|2061|1|20,2|2257|1|20,2|2243|1|20,2|2229|1|20,2|2215|1|20,2|2201|1|20,2|2187|1|20,2|2173|1|20,2|2159|1|20,2|2145|1|10,2|2131|1|10,2|2117|1|10,2|2103|1|10</v>
      </c>
      <c r="N148" s="334">
        <v>20667</v>
      </c>
      <c r="R148" t="str">
        <f t="shared" si="15"/>
        <v>麒麟头盔</v>
      </c>
    </row>
    <row r="149" spans="1:18" ht="16.5" hidden="1">
      <c r="A149" t="str">
        <f t="shared" si="14"/>
        <v>a04</v>
      </c>
      <c r="B149">
        <v>2</v>
      </c>
      <c r="C149" s="222" t="s">
        <v>9287</v>
      </c>
      <c r="D149">
        <f>VLOOKUP(F149,Sheet7!$B:$G,6,0)</f>
        <v>2064</v>
      </c>
      <c r="E149" s="222" t="s">
        <v>9287</v>
      </c>
      <c r="F149" s="331" t="s">
        <v>15974</v>
      </c>
      <c r="G149">
        <v>1</v>
      </c>
      <c r="H149" t="str">
        <f t="shared" si="12"/>
        <v>2|2064|1</v>
      </c>
      <c r="I149" s="222" t="s">
        <v>9287</v>
      </c>
      <c r="J149">
        <v>20</v>
      </c>
      <c r="K149" t="str">
        <f t="shared" si="13"/>
        <v>2|2064|1|20</v>
      </c>
      <c r="L149" t="str">
        <f t="shared" si="16"/>
        <v>2|2064|1,2|2063|1,2|2062|1,2|2061|1,2|2257|1,2|2243|1,2|2229|1,2|2215|1,2|2201|1,2|2187|1,2|2173|1,2|2159|1,2|2145|1,2|2131|1,2|2117|1,2|2103|1</v>
      </c>
      <c r="M149" t="str">
        <f t="shared" si="17"/>
        <v>2|2064|1|20,2|2063|1|20,2|2062|1|20,2|2061|1|20,2|2257|1|20,2|2243|1|20,2|2229|1|20,2|2215|1|20,2|2201|1|20,2|2187|1|20,2|2173|1|20,2|2159|1|20,2|2145|1|10,2|2131|1|10,2|2117|1|10,2|2103|1|10</v>
      </c>
      <c r="N149" s="334">
        <v>20668</v>
      </c>
      <c r="R149" t="str">
        <f t="shared" si="15"/>
        <v>兽魂战靴</v>
      </c>
    </row>
    <row r="150" spans="1:18" ht="16.5" hidden="1">
      <c r="A150" t="str">
        <f t="shared" si="14"/>
        <v>a04</v>
      </c>
      <c r="B150">
        <v>2</v>
      </c>
      <c r="C150" s="222" t="s">
        <v>9287</v>
      </c>
      <c r="D150">
        <f>VLOOKUP(F150,Sheet7!$B:$G,6,0)</f>
        <v>2326</v>
      </c>
      <c r="E150" s="222" t="s">
        <v>9287</v>
      </c>
      <c r="F150" s="331" t="s">
        <v>15989</v>
      </c>
      <c r="G150">
        <v>1</v>
      </c>
      <c r="H150" t="str">
        <f t="shared" si="12"/>
        <v>2|2326|1</v>
      </c>
      <c r="I150" s="222" t="s">
        <v>9287</v>
      </c>
      <c r="J150">
        <v>40</v>
      </c>
      <c r="K150" t="str">
        <f t="shared" si="13"/>
        <v>2|2326|1|40</v>
      </c>
      <c r="L150" t="str">
        <f t="shared" si="16"/>
        <v>2|2326|1,2|2064|1,2|2063|1,2|2062|1,2|2061|1,2|2257|1,2|2243|1,2|2229|1,2|2215|1,2|2201|1,2|2187|1,2|2173|1,2|2159|1,2|2145|1,2|2131|1,2|2117|1,2|2103|1</v>
      </c>
      <c r="M150" t="str">
        <f t="shared" si="17"/>
        <v>2|2326|1|40,2|2064|1|20,2|2063|1|20,2|2062|1|20,2|2061|1|20,2|2257|1|20,2|2243|1|20,2|2229|1|20,2|2215|1|20,2|2201|1|20,2|2187|1|20,2|2173|1|20,2|2159|1|20,2|2145|1|10,2|2131|1|10,2|2117|1|10,2|2103|1|10</v>
      </c>
      <c r="N150" s="334">
        <v>20669</v>
      </c>
      <c r="R150" t="str">
        <f t="shared" si="15"/>
        <v>磐石战甲</v>
      </c>
    </row>
    <row r="151" spans="1:18" ht="16.5" hidden="1">
      <c r="A151" t="str">
        <f t="shared" si="14"/>
        <v>a04</v>
      </c>
      <c r="B151">
        <v>2</v>
      </c>
      <c r="C151" s="222" t="s">
        <v>9287</v>
      </c>
      <c r="D151">
        <f>VLOOKUP(F151,Sheet7!$B:$G,6,0)</f>
        <v>2340</v>
      </c>
      <c r="E151" s="222" t="s">
        <v>9287</v>
      </c>
      <c r="F151" s="331" t="s">
        <v>16004</v>
      </c>
      <c r="G151">
        <v>1</v>
      </c>
      <c r="H151" t="str">
        <f t="shared" si="12"/>
        <v>2|2340|1</v>
      </c>
      <c r="I151" s="222" t="s">
        <v>9287</v>
      </c>
      <c r="J151">
        <v>40</v>
      </c>
      <c r="K151" t="str">
        <f t="shared" si="13"/>
        <v>2|2340|1|40</v>
      </c>
      <c r="L151" t="str">
        <f t="shared" si="16"/>
        <v>2|2340|1,2|2326|1,2|2064|1,2|2063|1,2|2062|1,2|2061|1,2|2257|1,2|2243|1,2|2229|1,2|2215|1,2|2201|1,2|2187|1,2|2173|1,2|2159|1,2|2145|1,2|2131|1,2|2117|1,2|2103|1</v>
      </c>
      <c r="M151" t="str">
        <f t="shared" si="17"/>
        <v>2|2340|1|40,2|2326|1|40,2|2064|1|20,2|2063|1|20,2|2062|1|20,2|2061|1|20,2|2257|1|20,2|2243|1|20,2|2229|1|20,2|2215|1|20,2|2201|1|20,2|2187|1|20,2|2173|1|20,2|2159|1|20,2|2145|1|10,2|2131|1|10,2|2117|1|10,2|2103|1|10</v>
      </c>
      <c r="N151" s="334">
        <v>20670</v>
      </c>
      <c r="R151" t="str">
        <f t="shared" si="15"/>
        <v>磐石长剑</v>
      </c>
    </row>
    <row r="152" spans="1:18" ht="16.5" hidden="1">
      <c r="A152" t="str">
        <f t="shared" si="14"/>
        <v>a04</v>
      </c>
      <c r="B152">
        <v>2</v>
      </c>
      <c r="C152" s="222" t="s">
        <v>9287</v>
      </c>
      <c r="D152">
        <f>VLOOKUP(F152,Sheet7!$B:$G,6,0)</f>
        <v>2354</v>
      </c>
      <c r="E152" s="222" t="s">
        <v>9287</v>
      </c>
      <c r="F152" s="331" t="s">
        <v>16019</v>
      </c>
      <c r="G152">
        <v>1</v>
      </c>
      <c r="H152" t="str">
        <f t="shared" si="12"/>
        <v>2|2354|1</v>
      </c>
      <c r="I152" s="222" t="s">
        <v>9287</v>
      </c>
      <c r="J152">
        <v>40</v>
      </c>
      <c r="K152" t="str">
        <f t="shared" si="13"/>
        <v>2|2354|1|40</v>
      </c>
      <c r="L152" t="str">
        <f t="shared" si="16"/>
        <v>2|2354|1,2|2340|1,2|2326|1,2|2064|1,2|2063|1,2|2062|1,2|2061|1,2|2257|1,2|2243|1,2|2229|1,2|2215|1,2|2201|1,2|2187|1,2|2173|1,2|2159|1,2|2145|1,2|2131|1,2|2117|1,2|2103|1</v>
      </c>
      <c r="M152" t="str">
        <f t="shared" si="17"/>
        <v>2|2354|1|40,2|2340|1|40,2|2326|1|40,2|2064|1|20,2|2063|1|20,2|2062|1|20,2|2061|1|20,2|2257|1|20,2|2243|1|20,2|2229|1|20,2|2215|1|20,2|2201|1|20,2|2187|1|20,2|2173|1|20,2|2159|1|20,2|2145|1|10,2|2131|1|10,2|2117|1|10,2|2103|1|10</v>
      </c>
      <c r="N152" s="334">
        <v>1671</v>
      </c>
      <c r="R152" t="str">
        <f t="shared" si="15"/>
        <v>磐石头盔</v>
      </c>
    </row>
    <row r="153" spans="1:18" ht="16.5" hidden="1">
      <c r="A153" t="str">
        <f t="shared" si="14"/>
        <v>a04</v>
      </c>
      <c r="B153">
        <v>2</v>
      </c>
      <c r="C153" s="222" t="s">
        <v>9287</v>
      </c>
      <c r="D153">
        <f>VLOOKUP(F153,Sheet7!$B:$G,6,0)</f>
        <v>2368</v>
      </c>
      <c r="E153" s="222" t="s">
        <v>9287</v>
      </c>
      <c r="F153" s="331" t="s">
        <v>16034</v>
      </c>
      <c r="G153">
        <v>1</v>
      </c>
      <c r="H153" t="str">
        <f t="shared" si="12"/>
        <v>2|2368|1</v>
      </c>
      <c r="I153" s="222" t="s">
        <v>9287</v>
      </c>
      <c r="J153">
        <v>40</v>
      </c>
      <c r="K153" t="str">
        <f t="shared" si="13"/>
        <v>2|2368|1|40</v>
      </c>
      <c r="L153" t="str">
        <f t="shared" si="16"/>
        <v>2|2368|1,2|2354|1,2|2340|1,2|2326|1,2|2064|1,2|2063|1,2|2062|1,2|2061|1,2|2257|1,2|2243|1,2|2229|1,2|2215|1,2|2201|1,2|2187|1,2|2173|1,2|2159|1,2|2145|1,2|2131|1,2|2117|1,2|2103|1</v>
      </c>
      <c r="M153" t="str">
        <f t="shared" si="17"/>
        <v>2|2368|1|40,2|2354|1|40,2|2340|1|40,2|2326|1|40,2|2064|1|20,2|2063|1|20,2|2062|1|20,2|2061|1|20,2|2257|1|20,2|2243|1|20,2|2229|1|20,2|2215|1|20,2|2201|1|20,2|2187|1|20,2|2173|1|20,2|2159|1|20,2|2145|1|10,2|2131|1|10,2|2117|1|10,2|2103|1|10</v>
      </c>
      <c r="N153" s="334">
        <v>1672</v>
      </c>
      <c r="R153" t="str">
        <f t="shared" si="15"/>
        <v>磐石战靴</v>
      </c>
    </row>
    <row r="154" spans="1:18" ht="16.5" hidden="1">
      <c r="A154" t="str">
        <f t="shared" si="14"/>
        <v>a04</v>
      </c>
      <c r="B154">
        <v>2</v>
      </c>
      <c r="C154" s="222" t="s">
        <v>9287</v>
      </c>
      <c r="D154">
        <f>VLOOKUP(F154,Sheet7!$B:$G,6,0)</f>
        <v>2382</v>
      </c>
      <c r="E154" s="222" t="s">
        <v>9287</v>
      </c>
      <c r="F154" s="331" t="s">
        <v>16049</v>
      </c>
      <c r="G154">
        <v>1</v>
      </c>
      <c r="H154" t="str">
        <f t="shared" si="12"/>
        <v>2|2382|1</v>
      </c>
      <c r="I154" s="222" t="s">
        <v>9287</v>
      </c>
      <c r="J154">
        <v>40</v>
      </c>
      <c r="K154" t="str">
        <f t="shared" si="13"/>
        <v>2|2382|1|40</v>
      </c>
      <c r="L154" t="str">
        <f t="shared" si="16"/>
        <v>2|2382|1,2|2368|1,2|2354|1,2|2340|1,2|2326|1,2|2064|1,2|2063|1,2|2062|1,2|2061|1,2|2257|1,2|2243|1,2|2229|1,2|2215|1,2|2201|1,2|2187|1,2|2173|1,2|2159|1,2|2145|1,2|2131|1,2|2117|1,2|2103|1</v>
      </c>
      <c r="M154" t="str">
        <f t="shared" si="17"/>
        <v>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54" s="334">
        <v>1673</v>
      </c>
      <c r="R154" t="str">
        <f t="shared" si="15"/>
        <v>连云战甲</v>
      </c>
    </row>
    <row r="155" spans="1:18" ht="16.5" hidden="1">
      <c r="A155" t="str">
        <f t="shared" si="14"/>
        <v>a04</v>
      </c>
      <c r="B155">
        <v>2</v>
      </c>
      <c r="C155" s="222" t="s">
        <v>9287</v>
      </c>
      <c r="D155">
        <f>VLOOKUP(F155,Sheet7!$B:$G,6,0)</f>
        <v>2396</v>
      </c>
      <c r="E155" s="222" t="s">
        <v>9287</v>
      </c>
      <c r="F155" s="331" t="s">
        <v>16064</v>
      </c>
      <c r="G155">
        <v>1</v>
      </c>
      <c r="H155" t="str">
        <f t="shared" si="12"/>
        <v>2|2396|1</v>
      </c>
      <c r="I155" s="222" t="s">
        <v>9287</v>
      </c>
      <c r="J155">
        <v>40</v>
      </c>
      <c r="K155" t="str">
        <f t="shared" si="13"/>
        <v>2|2396|1|40</v>
      </c>
      <c r="L155" t="str">
        <f t="shared" si="16"/>
        <v>2|2396|1,2|2382|1,2|2368|1,2|2354|1,2|2340|1,2|2326|1,2|2064|1,2|2063|1,2|2062|1,2|2061|1,2|2257|1,2|2243|1,2|2229|1,2|2215|1,2|2201|1,2|2187|1,2|2173|1,2|2159|1,2|2145|1,2|2131|1,2|2117|1,2|2103|1</v>
      </c>
      <c r="M155" t="str">
        <f t="shared" si="17"/>
        <v>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55" s="334">
        <v>1674</v>
      </c>
      <c r="R155" t="str">
        <f t="shared" si="15"/>
        <v>紫阳长剑</v>
      </c>
    </row>
    <row r="156" spans="1:18" ht="16.5" hidden="1">
      <c r="A156" t="str">
        <f t="shared" si="14"/>
        <v>a04</v>
      </c>
      <c r="B156">
        <v>2</v>
      </c>
      <c r="C156" s="222" t="s">
        <v>9287</v>
      </c>
      <c r="D156">
        <f>VLOOKUP(F156,Sheet7!$B:$G,6,0)</f>
        <v>2410</v>
      </c>
      <c r="E156" s="222" t="s">
        <v>9287</v>
      </c>
      <c r="F156" s="331" t="s">
        <v>16079</v>
      </c>
      <c r="G156">
        <v>1</v>
      </c>
      <c r="H156" t="str">
        <f t="shared" si="12"/>
        <v>2|2410|1</v>
      </c>
      <c r="I156" s="222" t="s">
        <v>9287</v>
      </c>
      <c r="J156">
        <v>40</v>
      </c>
      <c r="K156" t="str">
        <f t="shared" si="13"/>
        <v>2|2410|1|40</v>
      </c>
      <c r="L156" t="str">
        <f t="shared" si="16"/>
        <v>2|2410|1,2|2396|1,2|2382|1,2|2368|1,2|2354|1,2|2340|1,2|2326|1,2|2064|1,2|2063|1,2|2062|1,2|2061|1,2|2257|1,2|2243|1,2|2229|1,2|2215|1,2|2201|1,2|2187|1,2|2173|1,2|2159|1,2|2145|1,2|2131|1,2|2117|1,2|2103|1</v>
      </c>
      <c r="M156" t="str">
        <f t="shared" si="17"/>
        <v>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56" s="334">
        <v>2067</v>
      </c>
      <c r="R156" t="str">
        <f t="shared" si="15"/>
        <v>耀日头盔</v>
      </c>
    </row>
    <row r="157" spans="1:18" ht="16.5" hidden="1">
      <c r="A157" t="str">
        <f t="shared" si="14"/>
        <v>a04</v>
      </c>
      <c r="B157">
        <v>2</v>
      </c>
      <c r="C157" s="222" t="s">
        <v>9287</v>
      </c>
      <c r="D157">
        <f>VLOOKUP(F157,Sheet7!$B:$G,6,0)</f>
        <v>2424</v>
      </c>
      <c r="E157" s="222" t="s">
        <v>9287</v>
      </c>
      <c r="F157" s="331" t="s">
        <v>16094</v>
      </c>
      <c r="G157">
        <v>1</v>
      </c>
      <c r="H157" t="str">
        <f t="shared" si="12"/>
        <v>2|2424|1</v>
      </c>
      <c r="I157" s="222" t="s">
        <v>9287</v>
      </c>
      <c r="J157">
        <v>40</v>
      </c>
      <c r="K157" t="str">
        <f t="shared" si="13"/>
        <v>2|2424|1|40</v>
      </c>
      <c r="L157" t="str">
        <f t="shared" si="16"/>
        <v>2|2424|1,2|2410|1,2|2396|1,2|2382|1,2|2368|1,2|2354|1,2|2340|1,2|2326|1,2|2064|1,2|2063|1,2|2062|1,2|2061|1,2|2257|1,2|2243|1,2|2229|1,2|2215|1,2|2201|1,2|2187|1,2|2173|1,2|2159|1,2|2145|1,2|2131|1,2|2117|1,2|2103|1</v>
      </c>
      <c r="M157" t="str">
        <f t="shared" si="17"/>
        <v>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57" s="334">
        <v>20671</v>
      </c>
      <c r="R157" t="str">
        <f t="shared" si="15"/>
        <v>雷霆战靴</v>
      </c>
    </row>
    <row r="158" spans="1:18" ht="16.5" hidden="1">
      <c r="A158" t="str">
        <f t="shared" si="14"/>
        <v>a04</v>
      </c>
      <c r="B158">
        <v>2</v>
      </c>
      <c r="C158" s="222" t="s">
        <v>9287</v>
      </c>
      <c r="D158">
        <f>VLOOKUP(F158,Sheet7!$B:$G,6,0)</f>
        <v>2438</v>
      </c>
      <c r="E158" s="222" t="s">
        <v>9287</v>
      </c>
      <c r="F158" s="331" t="s">
        <v>16109</v>
      </c>
      <c r="G158">
        <v>1</v>
      </c>
      <c r="H158" t="str">
        <f t="shared" si="12"/>
        <v>2|2438|1</v>
      </c>
      <c r="I158" s="222" t="s">
        <v>9287</v>
      </c>
      <c r="J158">
        <v>40</v>
      </c>
      <c r="K158" t="str">
        <f t="shared" si="13"/>
        <v>2|2438|1|40</v>
      </c>
      <c r="L158" t="str">
        <f t="shared" si="16"/>
        <v>2|2438|1,2|2424|1,2|2410|1,2|2396|1,2|2382|1,2|2368|1,2|2354|1,2|2340|1,2|2326|1,2|2064|1,2|2063|1,2|2062|1,2|2061|1,2|2257|1,2|2243|1,2|2229|1,2|2215|1,2|2201|1,2|2187|1,2|2173|1,2|2159|1,2|2145|1,2|2131|1,2|2117|1,2|2103|1</v>
      </c>
      <c r="M158" t="str">
        <f t="shared" si="17"/>
        <v>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58" s="334">
        <v>20672</v>
      </c>
      <c r="R158" t="str">
        <f t="shared" si="15"/>
        <v>护卫战甲</v>
      </c>
    </row>
    <row r="159" spans="1:18" ht="16.5" hidden="1">
      <c r="A159" t="str">
        <f t="shared" si="14"/>
        <v>a04</v>
      </c>
      <c r="B159">
        <v>2</v>
      </c>
      <c r="C159" s="222" t="s">
        <v>9287</v>
      </c>
      <c r="D159">
        <f>VLOOKUP(F159,Sheet7!$B:$G,6,0)</f>
        <v>2452</v>
      </c>
      <c r="E159" s="222" t="s">
        <v>9287</v>
      </c>
      <c r="F159" s="331" t="s">
        <v>16124</v>
      </c>
      <c r="G159">
        <v>1</v>
      </c>
      <c r="H159" t="str">
        <f t="shared" si="12"/>
        <v>2|2452|1</v>
      </c>
      <c r="I159" s="222" t="s">
        <v>9287</v>
      </c>
      <c r="J159">
        <v>40</v>
      </c>
      <c r="K159" t="str">
        <f t="shared" si="13"/>
        <v>2|2452|1|40</v>
      </c>
      <c r="L159" t="str">
        <f t="shared" si="16"/>
        <v>2|2452|1,2|2438|1,2|2424|1,2|2410|1,2|2396|1,2|2382|1,2|2368|1,2|2354|1,2|2340|1,2|2326|1,2|2064|1,2|2063|1,2|2062|1,2|2061|1,2|2257|1,2|2243|1,2|2229|1,2|2215|1,2|2201|1,2|2187|1,2|2173|1,2|2159|1,2|2145|1,2|2131|1,2|2117|1,2|2103|1</v>
      </c>
      <c r="M159" t="str">
        <f t="shared" si="17"/>
        <v>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59" s="334">
        <v>20673</v>
      </c>
      <c r="R159" t="str">
        <f t="shared" si="15"/>
        <v>护卫长剑</v>
      </c>
    </row>
    <row r="160" spans="1:18" ht="16.5" hidden="1">
      <c r="A160" t="str">
        <f t="shared" si="14"/>
        <v>a04</v>
      </c>
      <c r="B160">
        <v>2</v>
      </c>
      <c r="C160" s="222" t="s">
        <v>9287</v>
      </c>
      <c r="D160">
        <f>VLOOKUP(F160,Sheet7!$B:$G,6,0)</f>
        <v>2466</v>
      </c>
      <c r="E160" s="222" t="s">
        <v>9287</v>
      </c>
      <c r="F160" s="331" t="s">
        <v>16139</v>
      </c>
      <c r="G160">
        <v>1</v>
      </c>
      <c r="H160" t="str">
        <f t="shared" si="12"/>
        <v>2|2466|1</v>
      </c>
      <c r="I160" s="222" t="s">
        <v>9287</v>
      </c>
      <c r="J160">
        <v>40</v>
      </c>
      <c r="K160" t="str">
        <f t="shared" si="13"/>
        <v>2|2466|1|40</v>
      </c>
      <c r="L160" t="str">
        <f t="shared" si="16"/>
        <v>2|2466|1,2|2452|1,2|2438|1,2|2424|1,2|2410|1,2|2396|1,2|2382|1,2|2368|1,2|2354|1,2|2340|1,2|2326|1,2|2064|1,2|2063|1,2|2062|1,2|2061|1,2|2257|1,2|2243|1,2|2229|1,2|2215|1,2|2201|1,2|2187|1,2|2173|1,2|2159|1,2|2145|1,2|2131|1,2|2117|1,2|2103|1</v>
      </c>
      <c r="M160" t="str">
        <f t="shared" si="17"/>
        <v>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0" s="334">
        <v>20674</v>
      </c>
      <c r="R160" t="str">
        <f t="shared" si="15"/>
        <v>护卫头盔</v>
      </c>
    </row>
    <row r="161" spans="1:18" ht="16.5" hidden="1">
      <c r="A161" t="str">
        <f t="shared" si="14"/>
        <v>a04</v>
      </c>
      <c r="B161">
        <v>2</v>
      </c>
      <c r="C161" s="222" t="s">
        <v>9287</v>
      </c>
      <c r="D161">
        <f>VLOOKUP(F161,Sheet7!$B:$G,6,0)</f>
        <v>2480</v>
      </c>
      <c r="E161" s="222" t="s">
        <v>9287</v>
      </c>
      <c r="F161" s="331" t="s">
        <v>16154</v>
      </c>
      <c r="G161">
        <v>1</v>
      </c>
      <c r="H161" t="str">
        <f t="shared" si="12"/>
        <v>2|2480|1</v>
      </c>
      <c r="I161" s="222" t="s">
        <v>9287</v>
      </c>
      <c r="J161">
        <v>40</v>
      </c>
      <c r="K161" t="str">
        <f t="shared" si="13"/>
        <v>2|2480|1|40</v>
      </c>
      <c r="L161" t="str">
        <f t="shared" si="16"/>
        <v>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1" t="str">
        <f t="shared" si="17"/>
        <v>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1" s="334">
        <v>20675</v>
      </c>
      <c r="R161" t="str">
        <f t="shared" si="15"/>
        <v>护卫战靴</v>
      </c>
    </row>
    <row r="162" spans="1:18" ht="16.5" hidden="1">
      <c r="A162" t="str">
        <f t="shared" si="14"/>
        <v>a04</v>
      </c>
      <c r="B162">
        <v>2</v>
      </c>
      <c r="C162" s="222" t="s">
        <v>9287</v>
      </c>
      <c r="D162">
        <f>VLOOKUP(F162,Sheet7!$B:$G,6,0)</f>
        <v>2494</v>
      </c>
      <c r="E162" s="222" t="s">
        <v>9287</v>
      </c>
      <c r="F162" s="331" t="s">
        <v>16169</v>
      </c>
      <c r="G162">
        <v>1</v>
      </c>
      <c r="H162" t="str">
        <f t="shared" si="12"/>
        <v>2|2494|1</v>
      </c>
      <c r="I162" s="222" t="s">
        <v>9287</v>
      </c>
      <c r="J162">
        <v>40</v>
      </c>
      <c r="K162" t="str">
        <f t="shared" si="13"/>
        <v>2|2494|1|40</v>
      </c>
      <c r="L162" t="str">
        <f t="shared" si="16"/>
        <v>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2" t="str">
        <f t="shared" si="17"/>
        <v>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2" s="334">
        <v>20676</v>
      </c>
      <c r="R162" t="str">
        <f t="shared" si="15"/>
        <v>破魔战甲</v>
      </c>
    </row>
    <row r="163" spans="1:18" ht="16.5" hidden="1">
      <c r="A163" t="str">
        <f t="shared" si="14"/>
        <v>a04</v>
      </c>
      <c r="B163">
        <v>2</v>
      </c>
      <c r="C163" s="222" t="s">
        <v>9287</v>
      </c>
      <c r="D163">
        <f>VLOOKUP(F163,Sheet7!$B:$G,6,0)</f>
        <v>2508</v>
      </c>
      <c r="E163" s="222" t="s">
        <v>9287</v>
      </c>
      <c r="F163" s="331" t="s">
        <v>16184</v>
      </c>
      <c r="G163">
        <v>1</v>
      </c>
      <c r="H163" t="str">
        <f t="shared" si="12"/>
        <v>2|2508|1</v>
      </c>
      <c r="I163" s="222" t="s">
        <v>9287</v>
      </c>
      <c r="J163">
        <v>40</v>
      </c>
      <c r="K163" t="str">
        <f t="shared" si="13"/>
        <v>2|2508|1|40</v>
      </c>
      <c r="L163" t="str">
        <f t="shared" si="16"/>
        <v>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3" t="str">
        <f t="shared" si="17"/>
        <v>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3" s="334">
        <v>20677</v>
      </c>
      <c r="R163" t="str">
        <f t="shared" si="15"/>
        <v>破魔长剑</v>
      </c>
    </row>
    <row r="164" spans="1:18" ht="16.5" hidden="1">
      <c r="A164" t="str">
        <f t="shared" si="14"/>
        <v>a04</v>
      </c>
      <c r="B164">
        <v>2</v>
      </c>
      <c r="C164" s="222" t="s">
        <v>9287</v>
      </c>
      <c r="D164">
        <f>VLOOKUP(F164,Sheet7!$B:$G,6,0)</f>
        <v>2522</v>
      </c>
      <c r="E164" s="222" t="s">
        <v>9287</v>
      </c>
      <c r="F164" s="331" t="s">
        <v>16199</v>
      </c>
      <c r="G164">
        <v>1</v>
      </c>
      <c r="H164" t="str">
        <f t="shared" si="12"/>
        <v>2|2522|1</v>
      </c>
      <c r="I164" s="222" t="s">
        <v>9287</v>
      </c>
      <c r="J164">
        <v>40</v>
      </c>
      <c r="K164" t="str">
        <f t="shared" si="13"/>
        <v>2|2522|1|40</v>
      </c>
      <c r="L164" t="str">
        <f t="shared" si="16"/>
        <v>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4" t="str">
        <f t="shared" si="17"/>
        <v>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4" s="334">
        <v>20678</v>
      </c>
      <c r="R164" t="str">
        <f t="shared" si="15"/>
        <v>破魔头盔</v>
      </c>
    </row>
    <row r="165" spans="1:18" ht="16.5" hidden="1">
      <c r="A165" t="str">
        <f t="shared" si="14"/>
        <v>a04</v>
      </c>
      <c r="B165">
        <v>2</v>
      </c>
      <c r="C165" s="222" t="s">
        <v>9287</v>
      </c>
      <c r="D165">
        <f>VLOOKUP(F165,Sheet7!$B:$G,6,0)</f>
        <v>2536</v>
      </c>
      <c r="E165" s="222" t="s">
        <v>9287</v>
      </c>
      <c r="F165" s="331" t="s">
        <v>16214</v>
      </c>
      <c r="G165">
        <v>1</v>
      </c>
      <c r="H165" t="str">
        <f t="shared" si="12"/>
        <v>2|2536|1</v>
      </c>
      <c r="I165" s="222" t="s">
        <v>9287</v>
      </c>
      <c r="J165">
        <v>40</v>
      </c>
      <c r="K165" t="str">
        <f t="shared" si="13"/>
        <v>2|2536|1|40</v>
      </c>
      <c r="L165" t="str">
        <f t="shared" si="16"/>
        <v>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5" t="str">
        <f t="shared" si="17"/>
        <v>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5" s="334">
        <v>20679</v>
      </c>
      <c r="R165" t="str">
        <f t="shared" si="15"/>
        <v>破魔战靴</v>
      </c>
    </row>
    <row r="166" spans="1:18" ht="16.5" hidden="1">
      <c r="A166" t="str">
        <f t="shared" si="14"/>
        <v>a04</v>
      </c>
      <c r="B166">
        <v>2</v>
      </c>
      <c r="C166" s="222" t="s">
        <v>9287</v>
      </c>
      <c r="D166">
        <f>VLOOKUP(F166,Sheet7!$B:$G,6,0)</f>
        <v>2550</v>
      </c>
      <c r="E166" s="222" t="s">
        <v>9287</v>
      </c>
      <c r="F166" s="331" t="s">
        <v>16229</v>
      </c>
      <c r="G166">
        <v>1</v>
      </c>
      <c r="H166" t="str">
        <f t="shared" si="12"/>
        <v>2|2550|1</v>
      </c>
      <c r="I166" s="222" t="s">
        <v>9287</v>
      </c>
      <c r="J166">
        <v>40</v>
      </c>
      <c r="K166" t="str">
        <f t="shared" si="13"/>
        <v>2|2550|1|40</v>
      </c>
      <c r="L166" t="str">
        <f t="shared" si="16"/>
        <v>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6" t="str">
        <f t="shared" si="17"/>
        <v>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6" s="334">
        <v>20680</v>
      </c>
      <c r="R166" t="str">
        <f t="shared" si="15"/>
        <v>赤血战甲</v>
      </c>
    </row>
    <row r="167" spans="1:18" ht="16.5" hidden="1">
      <c r="A167" t="str">
        <f t="shared" si="14"/>
        <v>a04</v>
      </c>
      <c r="B167">
        <v>2</v>
      </c>
      <c r="C167" s="222" t="s">
        <v>9287</v>
      </c>
      <c r="D167">
        <f>VLOOKUP(F167,Sheet7!$B:$G,6,0)</f>
        <v>2564</v>
      </c>
      <c r="E167" s="222" t="s">
        <v>9287</v>
      </c>
      <c r="F167" s="331" t="s">
        <v>16244</v>
      </c>
      <c r="G167">
        <v>1</v>
      </c>
      <c r="H167" t="str">
        <f t="shared" si="12"/>
        <v>2|2564|1</v>
      </c>
      <c r="I167" s="222" t="s">
        <v>9287</v>
      </c>
      <c r="J167">
        <v>40</v>
      </c>
      <c r="K167" t="str">
        <f t="shared" si="13"/>
        <v>2|2564|1|40</v>
      </c>
      <c r="L167" t="str">
        <f t="shared" si="16"/>
        <v>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7" t="str">
        <f t="shared" si="17"/>
        <v>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7" s="334">
        <v>1681</v>
      </c>
      <c r="R167" t="str">
        <f t="shared" si="15"/>
        <v>青锋长剑</v>
      </c>
    </row>
    <row r="168" spans="1:18" ht="16.5" hidden="1">
      <c r="A168" t="str">
        <f t="shared" si="14"/>
        <v>a04</v>
      </c>
      <c r="B168">
        <v>2</v>
      </c>
      <c r="C168" s="222" t="s">
        <v>9287</v>
      </c>
      <c r="D168">
        <f>VLOOKUP(F168,Sheet7!$B:$G,6,0)</f>
        <v>2578</v>
      </c>
      <c r="E168" s="222" t="s">
        <v>9287</v>
      </c>
      <c r="F168" s="331" t="s">
        <v>16259</v>
      </c>
      <c r="G168">
        <v>1</v>
      </c>
      <c r="H168" t="str">
        <f t="shared" si="12"/>
        <v>2|2578|1</v>
      </c>
      <c r="I168" s="222" t="s">
        <v>9287</v>
      </c>
      <c r="J168">
        <v>40</v>
      </c>
      <c r="K168" t="str">
        <f t="shared" si="13"/>
        <v>2|2578|1|40</v>
      </c>
      <c r="L168" t="str">
        <f t="shared" si="16"/>
        <v>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8" t="str">
        <f t="shared" si="17"/>
        <v>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8" s="334">
        <v>1682</v>
      </c>
      <c r="R168" t="str">
        <f t="shared" si="15"/>
        <v>雁虞头盔</v>
      </c>
    </row>
    <row r="169" spans="1:18" ht="16.5" hidden="1">
      <c r="A169" t="str">
        <f t="shared" si="14"/>
        <v>a04</v>
      </c>
      <c r="B169">
        <v>2</v>
      </c>
      <c r="C169" s="222" t="s">
        <v>9287</v>
      </c>
      <c r="D169">
        <f>VLOOKUP(F169,Sheet7!$B:$G,6,0)</f>
        <v>2592</v>
      </c>
      <c r="E169" s="222" t="s">
        <v>9287</v>
      </c>
      <c r="F169" s="331" t="s">
        <v>16274</v>
      </c>
      <c r="G169">
        <v>1</v>
      </c>
      <c r="H169" t="str">
        <f t="shared" si="12"/>
        <v>2|2592|1</v>
      </c>
      <c r="I169" s="222" t="s">
        <v>9287</v>
      </c>
      <c r="J169">
        <v>40</v>
      </c>
      <c r="K169" t="str">
        <f t="shared" si="13"/>
        <v>2|2592|1|40</v>
      </c>
      <c r="L169" t="str">
        <f t="shared" si="16"/>
        <v>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69" t="str">
        <f t="shared" si="17"/>
        <v>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69" s="334">
        <v>1683</v>
      </c>
      <c r="R169" t="str">
        <f t="shared" si="15"/>
        <v>无影战靴</v>
      </c>
    </row>
    <row r="170" spans="1:18" ht="16.5" hidden="1">
      <c r="A170" t="str">
        <f t="shared" si="14"/>
        <v>a04</v>
      </c>
      <c r="B170">
        <v>2</v>
      </c>
      <c r="C170" s="222" t="s">
        <v>9287</v>
      </c>
      <c r="D170">
        <f>VLOOKUP(F170,Sheet7!$B:$G,6,0)</f>
        <v>2606</v>
      </c>
      <c r="E170" s="222" t="s">
        <v>9287</v>
      </c>
      <c r="F170" s="331" t="s">
        <v>16289</v>
      </c>
      <c r="G170">
        <v>1</v>
      </c>
      <c r="H170" t="str">
        <f t="shared" si="12"/>
        <v>2|2606|1</v>
      </c>
      <c r="I170" s="222" t="s">
        <v>9287</v>
      </c>
      <c r="J170">
        <v>40</v>
      </c>
      <c r="K170" t="str">
        <f t="shared" si="13"/>
        <v>2|2606|1|40</v>
      </c>
      <c r="L170" t="str">
        <f t="shared" si="16"/>
        <v>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0" t="str">
        <f t="shared" si="17"/>
        <v>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0" s="334">
        <v>1684</v>
      </c>
      <c r="R170" t="str">
        <f t="shared" si="15"/>
        <v>行者战甲</v>
      </c>
    </row>
    <row r="171" spans="1:18" ht="16.5" hidden="1">
      <c r="A171" t="str">
        <f t="shared" si="14"/>
        <v>a04</v>
      </c>
      <c r="B171">
        <v>2</v>
      </c>
      <c r="C171" s="222" t="s">
        <v>9287</v>
      </c>
      <c r="D171">
        <f>VLOOKUP(F171,Sheet7!$B:$G,6,0)</f>
        <v>2620</v>
      </c>
      <c r="E171" s="222" t="s">
        <v>9287</v>
      </c>
      <c r="F171" s="331" t="s">
        <v>16304</v>
      </c>
      <c r="G171">
        <v>1</v>
      </c>
      <c r="H171" t="str">
        <f t="shared" si="12"/>
        <v>2|2620|1</v>
      </c>
      <c r="I171" s="222" t="s">
        <v>9287</v>
      </c>
      <c r="J171">
        <v>40</v>
      </c>
      <c r="K171" t="str">
        <f t="shared" si="13"/>
        <v>2|2620|1|40</v>
      </c>
      <c r="L171" t="str">
        <f t="shared" si="16"/>
        <v>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1" t="str">
        <f t="shared" si="17"/>
        <v>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1" s="334">
        <v>2068</v>
      </c>
      <c r="R171" t="str">
        <f t="shared" si="15"/>
        <v>精铁长剑</v>
      </c>
    </row>
    <row r="172" spans="1:18" ht="16.5" hidden="1">
      <c r="A172" t="str">
        <f t="shared" si="14"/>
        <v>a04</v>
      </c>
      <c r="B172">
        <v>2</v>
      </c>
      <c r="C172" s="222" t="s">
        <v>9287</v>
      </c>
      <c r="D172">
        <f>VLOOKUP(F172,Sheet7!$B:$G,6,0)</f>
        <v>2634</v>
      </c>
      <c r="E172" s="222" t="s">
        <v>9287</v>
      </c>
      <c r="F172" s="331" t="s">
        <v>16319</v>
      </c>
      <c r="G172">
        <v>1</v>
      </c>
      <c r="H172" t="str">
        <f t="shared" si="12"/>
        <v>2|2634|1</v>
      </c>
      <c r="I172" s="222" t="s">
        <v>9287</v>
      </c>
      <c r="J172">
        <v>40</v>
      </c>
      <c r="K172" t="str">
        <f t="shared" si="13"/>
        <v>2|2634|1|40</v>
      </c>
      <c r="L172" t="str">
        <f t="shared" si="16"/>
        <v>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2" t="str">
        <f t="shared" si="17"/>
        <v>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2" s="334">
        <v>20681</v>
      </c>
      <c r="R172" t="str">
        <f t="shared" si="15"/>
        <v>虹影头盔</v>
      </c>
    </row>
    <row r="173" spans="1:18" ht="16.5" hidden="1">
      <c r="A173" t="str">
        <f t="shared" si="14"/>
        <v>a04</v>
      </c>
      <c r="B173">
        <v>2</v>
      </c>
      <c r="C173" s="222" t="s">
        <v>9287</v>
      </c>
      <c r="D173">
        <f>VLOOKUP(F173,Sheet7!$B:$G,6,0)</f>
        <v>2648</v>
      </c>
      <c r="E173" s="222" t="s">
        <v>9287</v>
      </c>
      <c r="F173" s="331" t="s">
        <v>16334</v>
      </c>
      <c r="G173">
        <v>1</v>
      </c>
      <c r="H173" t="str">
        <f t="shared" si="12"/>
        <v>2|2648|1</v>
      </c>
      <c r="I173" s="222" t="s">
        <v>9287</v>
      </c>
      <c r="J173">
        <v>40</v>
      </c>
      <c r="K173" t="str">
        <f t="shared" si="13"/>
        <v>2|2648|1|40</v>
      </c>
      <c r="L173" t="str">
        <f t="shared" si="16"/>
        <v>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3" t="str">
        <f t="shared" si="17"/>
        <v>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3" s="334">
        <v>20682</v>
      </c>
      <c r="R173" t="str">
        <f t="shared" si="15"/>
        <v>千里战靴</v>
      </c>
    </row>
    <row r="174" spans="1:18" ht="16.5" hidden="1">
      <c r="A174" t="str">
        <f t="shared" si="14"/>
        <v>a04</v>
      </c>
      <c r="B174">
        <v>2</v>
      </c>
      <c r="C174" s="222" t="s">
        <v>9287</v>
      </c>
      <c r="D174">
        <f>VLOOKUP(F174,Sheet7!$B:$G,6,0)</f>
        <v>2662</v>
      </c>
      <c r="E174" s="222" t="s">
        <v>9287</v>
      </c>
      <c r="F174" s="331" t="s">
        <v>16349</v>
      </c>
      <c r="G174">
        <v>1</v>
      </c>
      <c r="H174" t="str">
        <f t="shared" si="12"/>
        <v>2|2662|1</v>
      </c>
      <c r="I174" s="222" t="s">
        <v>9287</v>
      </c>
      <c r="J174">
        <v>40</v>
      </c>
      <c r="K174" t="str">
        <f t="shared" si="13"/>
        <v>2|2662|1|40</v>
      </c>
      <c r="L174" t="str">
        <f t="shared" si="16"/>
        <v>2|2662|1,2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4" t="str">
        <f t="shared" si="17"/>
        <v>2|2662|1|40,2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4" s="334">
        <v>20683</v>
      </c>
      <c r="R174" t="str">
        <f t="shared" si="15"/>
        <v>封魔战甲</v>
      </c>
    </row>
    <row r="175" spans="1:18" ht="16.5" hidden="1">
      <c r="A175" t="str">
        <f t="shared" si="14"/>
        <v>a04</v>
      </c>
      <c r="B175">
        <v>2</v>
      </c>
      <c r="C175" s="222" t="s">
        <v>9287</v>
      </c>
      <c r="D175">
        <f>VLOOKUP(F175,Sheet7!$B:$G,6,0)</f>
        <v>2676</v>
      </c>
      <c r="E175" s="222" t="s">
        <v>9287</v>
      </c>
      <c r="F175" s="331" t="s">
        <v>16364</v>
      </c>
      <c r="G175">
        <v>1</v>
      </c>
      <c r="H175" t="str">
        <f t="shared" si="12"/>
        <v>2|2676|1</v>
      </c>
      <c r="I175" s="222" t="s">
        <v>9287</v>
      </c>
      <c r="J175">
        <v>40</v>
      </c>
      <c r="K175" t="str">
        <f t="shared" si="13"/>
        <v>2|2676|1|40</v>
      </c>
      <c r="L175" t="str">
        <f t="shared" si="16"/>
        <v>2|2676|1,2|2662|1,2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5" t="str">
        <f t="shared" si="17"/>
        <v>2|2676|1|40,2|2662|1|40,2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5" s="334">
        <v>20684</v>
      </c>
      <c r="R175" t="str">
        <f t="shared" si="15"/>
        <v>封魔长剑</v>
      </c>
    </row>
    <row r="176" spans="1:18" ht="16.5" hidden="1">
      <c r="A176" t="str">
        <f t="shared" si="14"/>
        <v>a04</v>
      </c>
      <c r="B176">
        <v>2</v>
      </c>
      <c r="C176" s="222" t="s">
        <v>9287</v>
      </c>
      <c r="D176">
        <f>VLOOKUP(F176,Sheet7!$B:$G,6,0)</f>
        <v>2690</v>
      </c>
      <c r="E176" s="222" t="s">
        <v>9287</v>
      </c>
      <c r="F176" s="331" t="s">
        <v>16379</v>
      </c>
      <c r="G176">
        <v>1</v>
      </c>
      <c r="H176" t="str">
        <f t="shared" si="12"/>
        <v>2|2690|1</v>
      </c>
      <c r="I176" s="222" t="s">
        <v>9287</v>
      </c>
      <c r="J176">
        <v>40</v>
      </c>
      <c r="K176" t="str">
        <f t="shared" si="13"/>
        <v>2|2690|1|40</v>
      </c>
      <c r="L176" t="str">
        <f t="shared" si="16"/>
        <v>2|2690|1,2|2676|1,2|2662|1,2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6" t="str">
        <f t="shared" si="17"/>
        <v>2|2690|1|40,2|2676|1|40,2|2662|1|40,2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6" s="334">
        <v>20685</v>
      </c>
      <c r="R176" t="str">
        <f t="shared" si="15"/>
        <v>封魔头盔</v>
      </c>
    </row>
    <row r="177" spans="1:18" ht="16.5">
      <c r="A177" t="str">
        <f t="shared" si="14"/>
        <v>a04</v>
      </c>
      <c r="B177">
        <v>2</v>
      </c>
      <c r="C177" s="222" t="s">
        <v>9287</v>
      </c>
      <c r="D177">
        <f>VLOOKUP(F177,Sheet7!$B:$G,6,0)</f>
        <v>2704</v>
      </c>
      <c r="E177" s="222" t="s">
        <v>9287</v>
      </c>
      <c r="F177" s="331" t="s">
        <v>16394</v>
      </c>
      <c r="G177">
        <v>1</v>
      </c>
      <c r="H177" t="str">
        <f t="shared" si="12"/>
        <v>2|2704|1</v>
      </c>
      <c r="I177" s="222" t="s">
        <v>9287</v>
      </c>
      <c r="J177">
        <v>40</v>
      </c>
      <c r="K177" t="str">
        <f t="shared" si="13"/>
        <v>2|2704|1|40</v>
      </c>
      <c r="L177" t="str">
        <f t="shared" si="16"/>
        <v>2|2704|1,2|2690|1,2|2676|1,2|2662|1,2|2648|1,2|2634|1,2|2620|1,2|2606|1,2|2592|1,2|2578|1,2|2564|1,2|2550|1,2|2536|1,2|2522|1,2|2508|1,2|2494|1,2|2480|1,2|2466|1,2|2452|1,2|2438|1,2|2424|1,2|2410|1,2|2396|1,2|2382|1,2|2368|1,2|2354|1,2|2340|1,2|2326|1,2|2064|1,2|2063|1,2|2062|1,2|2061|1,2|2257|1,2|2243|1,2|2229|1,2|2215|1,2|2201|1,2|2187|1,2|2173|1,2|2159|1,2|2145|1,2|2131|1,2|2117|1,2|2103|1</v>
      </c>
      <c r="M177" t="str">
        <f t="shared" si="17"/>
        <v>2|2704|1|40,2|2690|1|40,2|2676|1|40,2|2662|1|40,2|2648|1|40,2|2634|1|40,2|2620|1|40,2|2606|1|40,2|2592|1|40,2|2578|1|40,2|2564|1|40,2|2550|1|40,2|2536|1|40,2|2522|1|40,2|2508|1|40,2|2494|1|40,2|2480|1|40,2|2466|1|40,2|2452|1|40,2|2438|1|40,2|2424|1|40,2|2410|1|40,2|2396|1|40,2|2382|1|40,2|2368|1|40,2|2354|1|40,2|2340|1|40,2|2326|1|40,2|2064|1|20,2|2063|1|20,2|2062|1|20,2|2061|1|20,2|2257|1|20,2|2243|1|20,2|2229|1|20,2|2215|1|20,2|2201|1|20,2|2187|1|20,2|2173|1|20,2|2159|1|20,2|2145|1|10,2|2131|1|10,2|2117|1|10,2|2103|1|10</v>
      </c>
      <c r="N177" s="334">
        <v>20686</v>
      </c>
      <c r="R177" t="str">
        <f t="shared" si="15"/>
        <v>封魔战靴</v>
      </c>
    </row>
    <row r="178" spans="1:18" ht="16.5" hidden="1">
      <c r="A178" t="str">
        <f t="shared" si="14"/>
        <v>a05</v>
      </c>
      <c r="B178">
        <v>2</v>
      </c>
      <c r="C178" s="222" t="s">
        <v>9287</v>
      </c>
      <c r="D178">
        <f>VLOOKUP(F178,Sheet7!$B:$G,6,0)</f>
        <v>2104</v>
      </c>
      <c r="E178" s="222" t="s">
        <v>9287</v>
      </c>
      <c r="F178" s="331" t="s">
        <v>15750</v>
      </c>
      <c r="G178">
        <v>1</v>
      </c>
      <c r="H178" t="str">
        <f t="shared" si="12"/>
        <v>2|2104|1</v>
      </c>
      <c r="I178" s="222" t="s">
        <v>9287</v>
      </c>
      <c r="J178">
        <v>10</v>
      </c>
      <c r="K178" t="str">
        <f t="shared" si="13"/>
        <v>2|2104|1|10</v>
      </c>
      <c r="L178" t="str">
        <f t="shared" si="16"/>
        <v>2|2104|1</v>
      </c>
      <c r="M178" t="str">
        <f t="shared" si="17"/>
        <v>2|2104|1|10</v>
      </c>
      <c r="N178" s="334">
        <v>20687</v>
      </c>
      <c r="R178" t="str">
        <f t="shared" si="15"/>
        <v>蚩尤战甲</v>
      </c>
    </row>
    <row r="179" spans="1:18" ht="16.5" hidden="1">
      <c r="A179" t="str">
        <f t="shared" si="14"/>
        <v>a05</v>
      </c>
      <c r="B179">
        <v>2</v>
      </c>
      <c r="C179" s="222" t="s">
        <v>9287</v>
      </c>
      <c r="D179">
        <f>VLOOKUP(F179,Sheet7!$B:$G,6,0)</f>
        <v>2118</v>
      </c>
      <c r="E179" s="222" t="s">
        <v>9287</v>
      </c>
      <c r="F179" s="331" t="s">
        <v>15765</v>
      </c>
      <c r="G179">
        <v>1</v>
      </c>
      <c r="H179" t="str">
        <f t="shared" si="12"/>
        <v>2|2118|1</v>
      </c>
      <c r="I179" s="222" t="s">
        <v>9287</v>
      </c>
      <c r="J179">
        <v>10</v>
      </c>
      <c r="K179" t="str">
        <f t="shared" si="13"/>
        <v>2|2118|1|10</v>
      </c>
      <c r="L179" t="str">
        <f t="shared" si="16"/>
        <v>2|2118|1,2|2104|1</v>
      </c>
      <c r="M179" t="str">
        <f t="shared" si="17"/>
        <v>2|2118|1|10,2|2104|1|10</v>
      </c>
      <c r="N179" s="334">
        <v>20688</v>
      </c>
      <c r="R179" t="str">
        <f t="shared" si="15"/>
        <v>蚩尤长剑</v>
      </c>
    </row>
    <row r="180" spans="1:18" ht="16.5" hidden="1">
      <c r="A180" t="str">
        <f t="shared" si="14"/>
        <v>a05</v>
      </c>
      <c r="B180">
        <v>2</v>
      </c>
      <c r="C180" s="222" t="s">
        <v>9287</v>
      </c>
      <c r="D180">
        <f>VLOOKUP(F180,Sheet7!$B:$G,6,0)</f>
        <v>2132</v>
      </c>
      <c r="E180" s="222" t="s">
        <v>9287</v>
      </c>
      <c r="F180" s="331" t="s">
        <v>15780</v>
      </c>
      <c r="G180">
        <v>1</v>
      </c>
      <c r="H180" t="str">
        <f t="shared" si="12"/>
        <v>2|2132|1</v>
      </c>
      <c r="I180" s="222" t="s">
        <v>9287</v>
      </c>
      <c r="J180">
        <v>10</v>
      </c>
      <c r="K180" t="str">
        <f t="shared" si="13"/>
        <v>2|2132|1|10</v>
      </c>
      <c r="L180" t="str">
        <f t="shared" si="16"/>
        <v>2|2132|1,2|2118|1,2|2104|1</v>
      </c>
      <c r="M180" t="str">
        <f t="shared" si="17"/>
        <v>2|2132|1|10,2|2118|1|10,2|2104|1|10</v>
      </c>
      <c r="N180" s="334">
        <v>20689</v>
      </c>
      <c r="R180" t="str">
        <f t="shared" si="15"/>
        <v>蚩尤头盔</v>
      </c>
    </row>
    <row r="181" spans="1:18" ht="16.5" hidden="1">
      <c r="A181" t="str">
        <f t="shared" si="14"/>
        <v>a05</v>
      </c>
      <c r="B181">
        <v>2</v>
      </c>
      <c r="C181" s="222" t="s">
        <v>9287</v>
      </c>
      <c r="D181">
        <f>VLOOKUP(F181,Sheet7!$B:$G,6,0)</f>
        <v>2146</v>
      </c>
      <c r="E181" s="222" t="s">
        <v>9287</v>
      </c>
      <c r="F181" s="331" t="s">
        <v>15795</v>
      </c>
      <c r="G181">
        <v>1</v>
      </c>
      <c r="H181" t="str">
        <f t="shared" si="12"/>
        <v>2|2146|1</v>
      </c>
      <c r="I181" s="222" t="s">
        <v>9287</v>
      </c>
      <c r="J181">
        <v>10</v>
      </c>
      <c r="K181" t="str">
        <f t="shared" si="13"/>
        <v>2|2146|1|10</v>
      </c>
      <c r="L181" t="str">
        <f t="shared" si="16"/>
        <v>2|2146|1,2|2132|1,2|2118|1,2|2104|1</v>
      </c>
      <c r="M181" t="str">
        <f t="shared" si="17"/>
        <v>2|2146|1|10,2|2132|1|10,2|2118|1|10,2|2104|1|10</v>
      </c>
      <c r="N181" s="334">
        <v>20690</v>
      </c>
      <c r="R181" t="str">
        <f t="shared" si="15"/>
        <v>蚩尤战靴</v>
      </c>
    </row>
    <row r="182" spans="1:18" ht="16.5" hidden="1">
      <c r="A182" t="str">
        <f t="shared" si="14"/>
        <v>a05</v>
      </c>
      <c r="B182">
        <v>2</v>
      </c>
      <c r="C182" s="222" t="s">
        <v>9287</v>
      </c>
      <c r="D182">
        <f>VLOOKUP(F182,Sheet7!$B:$G,6,0)</f>
        <v>2069</v>
      </c>
      <c r="E182" s="222" t="s">
        <v>9287</v>
      </c>
      <c r="F182" s="331" t="s">
        <v>15810</v>
      </c>
      <c r="G182">
        <v>1</v>
      </c>
      <c r="H182" t="str">
        <f t="shared" si="12"/>
        <v>2|2069|1</v>
      </c>
      <c r="I182" s="222" t="s">
        <v>9287</v>
      </c>
      <c r="J182">
        <v>20</v>
      </c>
      <c r="K182" t="str">
        <f t="shared" si="13"/>
        <v>2|2069|1|20</v>
      </c>
      <c r="L182" t="str">
        <f t="shared" si="16"/>
        <v>2|2069|1,2|2146|1,2|2132|1,2|2118|1,2|2104|1</v>
      </c>
      <c r="M182" t="str">
        <f t="shared" si="17"/>
        <v>2|2069|1|20,2|2146|1|10,2|2132|1|10,2|2118|1|10,2|2104|1|10</v>
      </c>
      <c r="N182" s="337">
        <v>1611</v>
      </c>
      <c r="R182" t="str">
        <f t="shared" si="15"/>
        <v>天罡战甲</v>
      </c>
    </row>
    <row r="183" spans="1:18" ht="16.5" hidden="1">
      <c r="A183" t="str">
        <f t="shared" si="14"/>
        <v>a05</v>
      </c>
      <c r="B183">
        <v>2</v>
      </c>
      <c r="C183" s="222" t="s">
        <v>9287</v>
      </c>
      <c r="D183">
        <f>VLOOKUP(F183,Sheet7!$B:$G,6,0)</f>
        <v>2070</v>
      </c>
      <c r="E183" s="222" t="s">
        <v>9287</v>
      </c>
      <c r="F183" s="331" t="s">
        <v>15825</v>
      </c>
      <c r="G183">
        <v>1</v>
      </c>
      <c r="H183" t="str">
        <f t="shared" ref="H183:H246" si="18">B183&amp;C183&amp;D183&amp;E183&amp;G183</f>
        <v>2|2070|1</v>
      </c>
      <c r="I183" s="222" t="s">
        <v>9287</v>
      </c>
      <c r="J183">
        <v>20</v>
      </c>
      <c r="K183" t="str">
        <f t="shared" ref="K183:K246" si="19">H183&amp;I183&amp;J183</f>
        <v>2|2070|1|20</v>
      </c>
      <c r="L183" t="str">
        <f t="shared" si="16"/>
        <v>2|2070|1,2|2069|1,2|2146|1,2|2132|1,2|2118|1,2|2104|1</v>
      </c>
      <c r="M183" t="str">
        <f t="shared" si="17"/>
        <v>2|2070|1|20,2|2069|1|20,2|2146|1|10,2|2132|1|10,2|2118|1|10,2|2104|1|10</v>
      </c>
      <c r="N183" s="337">
        <v>1612</v>
      </c>
      <c r="R183" t="str">
        <f t="shared" si="15"/>
        <v>天罡长剑</v>
      </c>
    </row>
    <row r="184" spans="1:18" ht="16.5" hidden="1">
      <c r="A184" t="str">
        <f t="shared" si="14"/>
        <v>a05</v>
      </c>
      <c r="B184">
        <v>2</v>
      </c>
      <c r="C184" s="222" t="s">
        <v>9287</v>
      </c>
      <c r="D184">
        <f>VLOOKUP(F184,Sheet7!$B:$G,6,0)</f>
        <v>2071</v>
      </c>
      <c r="E184" s="222" t="s">
        <v>9287</v>
      </c>
      <c r="F184" s="331" t="s">
        <v>15840</v>
      </c>
      <c r="G184">
        <v>1</v>
      </c>
      <c r="H184" t="str">
        <f t="shared" si="18"/>
        <v>2|2071|1</v>
      </c>
      <c r="I184" s="222" t="s">
        <v>9287</v>
      </c>
      <c r="J184">
        <v>20</v>
      </c>
      <c r="K184" t="str">
        <f t="shared" si="19"/>
        <v>2|2071|1|20</v>
      </c>
      <c r="L184" t="str">
        <f t="shared" si="16"/>
        <v>2|2071|1,2|2070|1,2|2069|1,2|2146|1,2|2132|1,2|2118|1,2|2104|1</v>
      </c>
      <c r="M184" t="str">
        <f t="shared" si="17"/>
        <v>2|2071|1|20,2|2070|1|20,2|2069|1|20,2|2146|1|10,2|2132|1|10,2|2118|1|10,2|2104|1|10</v>
      </c>
      <c r="N184" s="337">
        <v>1613</v>
      </c>
      <c r="R184" t="str">
        <f t="shared" si="15"/>
        <v>天罡头盔</v>
      </c>
    </row>
    <row r="185" spans="1:18" ht="16.5" hidden="1">
      <c r="A185" t="str">
        <f t="shared" si="14"/>
        <v>a05</v>
      </c>
      <c r="B185">
        <v>2</v>
      </c>
      <c r="C185" s="222" t="s">
        <v>9287</v>
      </c>
      <c r="D185">
        <f>VLOOKUP(F185,Sheet7!$B:$G,6,0)</f>
        <v>2072</v>
      </c>
      <c r="E185" s="222" t="s">
        <v>9287</v>
      </c>
      <c r="F185" s="331" t="s">
        <v>15855</v>
      </c>
      <c r="G185">
        <v>1</v>
      </c>
      <c r="H185" t="str">
        <f t="shared" si="18"/>
        <v>2|2072|1</v>
      </c>
      <c r="I185" s="222" t="s">
        <v>9287</v>
      </c>
      <c r="J185">
        <v>20</v>
      </c>
      <c r="K185" t="str">
        <f t="shared" si="19"/>
        <v>2|2072|1|20</v>
      </c>
      <c r="L185" t="str">
        <f t="shared" si="16"/>
        <v>2|2072|1,2|2071|1,2|2070|1,2|2069|1,2|2146|1,2|2132|1,2|2118|1,2|2104|1</v>
      </c>
      <c r="M185" t="str">
        <f t="shared" si="17"/>
        <v>2|2072|1|20,2|2071|1|20,2|2070|1|20,2|2069|1|20,2|2146|1|10,2|2132|1|10,2|2118|1|10,2|2104|1|10</v>
      </c>
      <c r="N185" s="337">
        <v>2061</v>
      </c>
      <c r="R185" t="str">
        <f t="shared" si="15"/>
        <v>天罡战靴</v>
      </c>
    </row>
    <row r="186" spans="1:18" ht="16.5" hidden="1">
      <c r="A186" t="str">
        <f t="shared" si="14"/>
        <v>a05</v>
      </c>
      <c r="B186">
        <v>2</v>
      </c>
      <c r="C186" s="222" t="s">
        <v>9287</v>
      </c>
      <c r="D186">
        <f>VLOOKUP(F186,Sheet7!$B:$G,6,0)</f>
        <v>2065</v>
      </c>
      <c r="E186" s="222" t="s">
        <v>9287</v>
      </c>
      <c r="F186" s="331" t="s">
        <v>15870</v>
      </c>
      <c r="G186">
        <v>1</v>
      </c>
      <c r="H186" t="str">
        <f t="shared" si="18"/>
        <v>2|2065|1</v>
      </c>
      <c r="I186" s="222" t="s">
        <v>9287</v>
      </c>
      <c r="J186">
        <v>20</v>
      </c>
      <c r="K186" t="str">
        <f t="shared" si="19"/>
        <v>2|2065|1|20</v>
      </c>
      <c r="L186" t="str">
        <f t="shared" si="16"/>
        <v>2|2065|1,2|2072|1,2|2071|1,2|2070|1,2|2069|1,2|2146|1,2|2132|1,2|2118|1,2|2104|1</v>
      </c>
      <c r="M186" t="str">
        <f t="shared" si="17"/>
        <v>2|2065|1|20,2|2072|1|20,2|2071|1|20,2|2070|1|20,2|2069|1|20,2|2146|1|10,2|2132|1|10,2|2118|1|10,2|2104|1|10</v>
      </c>
      <c r="N186" s="337">
        <v>20611</v>
      </c>
      <c r="R186" t="str">
        <f t="shared" si="15"/>
        <v>降魔战甲</v>
      </c>
    </row>
    <row r="187" spans="1:18" ht="16.5" hidden="1">
      <c r="A187" t="str">
        <f t="shared" si="14"/>
        <v>a05</v>
      </c>
      <c r="B187">
        <v>2</v>
      </c>
      <c r="C187" s="222" t="s">
        <v>9287</v>
      </c>
      <c r="D187">
        <f>VLOOKUP(F187,Sheet7!$B:$G,6,0)</f>
        <v>2066</v>
      </c>
      <c r="E187" s="222" t="s">
        <v>9287</v>
      </c>
      <c r="F187" s="331" t="s">
        <v>15885</v>
      </c>
      <c r="G187">
        <v>1</v>
      </c>
      <c r="H187" t="str">
        <f t="shared" si="18"/>
        <v>2|2066|1</v>
      </c>
      <c r="I187" s="222" t="s">
        <v>9287</v>
      </c>
      <c r="J187">
        <v>20</v>
      </c>
      <c r="K187" t="str">
        <f t="shared" si="19"/>
        <v>2|2066|1|20</v>
      </c>
      <c r="L187" t="str">
        <f t="shared" si="16"/>
        <v>2|2066|1,2|2065|1,2|2072|1,2|2071|1,2|2070|1,2|2069|1,2|2146|1,2|2132|1,2|2118|1,2|2104|1</v>
      </c>
      <c r="M187" t="str">
        <f t="shared" si="17"/>
        <v>2|2066|1|20,2|2065|1|20,2|2072|1|20,2|2071|1|20,2|2070|1|20,2|2069|1|20,2|2146|1|10,2|2132|1|10,2|2118|1|10,2|2104|1|10</v>
      </c>
      <c r="N187" s="337">
        <v>20612</v>
      </c>
      <c r="R187" t="str">
        <f t="shared" si="15"/>
        <v>降魔长剑</v>
      </c>
    </row>
    <row r="188" spans="1:18" ht="16.5" hidden="1">
      <c r="A188" t="str">
        <f t="shared" si="14"/>
        <v>a05</v>
      </c>
      <c r="B188">
        <v>2</v>
      </c>
      <c r="C188" s="222" t="s">
        <v>9287</v>
      </c>
      <c r="D188">
        <f>VLOOKUP(F188,Sheet7!$B:$G,6,0)</f>
        <v>2067</v>
      </c>
      <c r="E188" s="222" t="s">
        <v>9287</v>
      </c>
      <c r="F188" s="331" t="s">
        <v>15900</v>
      </c>
      <c r="G188">
        <v>1</v>
      </c>
      <c r="H188" t="str">
        <f t="shared" si="18"/>
        <v>2|2067|1</v>
      </c>
      <c r="I188" s="222" t="s">
        <v>9287</v>
      </c>
      <c r="J188">
        <v>20</v>
      </c>
      <c r="K188" t="str">
        <f t="shared" si="19"/>
        <v>2|2067|1|20</v>
      </c>
      <c r="L188" t="str">
        <f t="shared" si="16"/>
        <v>2|2067|1,2|2066|1,2|2065|1,2|2072|1,2|2071|1,2|2070|1,2|2069|1,2|2146|1,2|2132|1,2|2118|1,2|2104|1</v>
      </c>
      <c r="M188" t="str">
        <f t="shared" si="17"/>
        <v>2|2067|1|20,2|2066|1|20,2|2065|1|20,2|2072|1|20,2|2071|1|20,2|2070|1|20,2|2069|1|20,2|2146|1|10,2|2132|1|10,2|2118|1|10,2|2104|1|10</v>
      </c>
      <c r="N188" s="337">
        <v>20613</v>
      </c>
      <c r="R188" t="str">
        <f t="shared" si="15"/>
        <v>降魔头盔</v>
      </c>
    </row>
    <row r="189" spans="1:18" ht="16.5" hidden="1">
      <c r="A189" t="str">
        <f t="shared" si="14"/>
        <v>a05</v>
      </c>
      <c r="B189">
        <v>2</v>
      </c>
      <c r="C189" s="222" t="s">
        <v>9287</v>
      </c>
      <c r="D189">
        <f>VLOOKUP(F189,Sheet7!$B:$G,6,0)</f>
        <v>2068</v>
      </c>
      <c r="E189" s="222" t="s">
        <v>9287</v>
      </c>
      <c r="F189" s="331" t="s">
        <v>15915</v>
      </c>
      <c r="G189">
        <v>1</v>
      </c>
      <c r="H189" t="str">
        <f t="shared" si="18"/>
        <v>2|2068|1</v>
      </c>
      <c r="I189" s="222" t="s">
        <v>9287</v>
      </c>
      <c r="J189">
        <v>20</v>
      </c>
      <c r="K189" t="str">
        <f t="shared" si="19"/>
        <v>2|2068|1|20</v>
      </c>
      <c r="L189" t="str">
        <f t="shared" si="16"/>
        <v>2|2068|1,2|2067|1,2|2066|1,2|2065|1,2|2072|1,2|2071|1,2|2070|1,2|2069|1,2|2146|1,2|2132|1,2|2118|1,2|2104|1</v>
      </c>
      <c r="M189" t="str">
        <f t="shared" si="17"/>
        <v>2|2068|1|20,2|2067|1|20,2|2066|1|20,2|2065|1|20,2|2072|1|20,2|2071|1|20,2|2070|1|20,2|2069|1|20,2|2146|1|10,2|2132|1|10,2|2118|1|10,2|2104|1|10</v>
      </c>
      <c r="N189" s="337">
        <v>20614</v>
      </c>
      <c r="R189" t="str">
        <f t="shared" si="15"/>
        <v>降魔战靴</v>
      </c>
    </row>
    <row r="190" spans="1:18" ht="16.5" hidden="1">
      <c r="A190" t="str">
        <f t="shared" si="14"/>
        <v>a05</v>
      </c>
      <c r="B190">
        <v>2</v>
      </c>
      <c r="C190" s="222" t="s">
        <v>9287</v>
      </c>
      <c r="D190">
        <f>VLOOKUP(F190,Sheet7!$B:$G,6,0)</f>
        <v>2271</v>
      </c>
      <c r="E190" s="222" t="s">
        <v>9287</v>
      </c>
      <c r="F190" s="331" t="s">
        <v>15930</v>
      </c>
      <c r="G190">
        <v>1</v>
      </c>
      <c r="H190" t="str">
        <f t="shared" si="18"/>
        <v>2|2271|1</v>
      </c>
      <c r="I190" s="222" t="s">
        <v>9287</v>
      </c>
      <c r="J190">
        <v>20</v>
      </c>
      <c r="K190" t="str">
        <f t="shared" si="19"/>
        <v>2|2271|1|20</v>
      </c>
      <c r="L190" t="str">
        <f t="shared" si="16"/>
        <v>2|2271|1,2|2068|1,2|2067|1,2|2066|1,2|2065|1,2|2072|1,2|2071|1,2|2070|1,2|2069|1,2|2146|1,2|2132|1,2|2118|1,2|2104|1</v>
      </c>
      <c r="M190" t="str">
        <f t="shared" si="17"/>
        <v>2|2271|1|20,2|2068|1|20,2|2067|1|20,2|2066|1|20,2|2065|1|20,2|2072|1|20,2|2071|1|20,2|2070|1|20,2|2069|1|20,2|2146|1|10,2|2132|1|10,2|2118|1|10,2|2104|1|10</v>
      </c>
      <c r="N190" s="337">
        <v>20615</v>
      </c>
      <c r="R190" t="str">
        <f t="shared" si="15"/>
        <v>血魔战甲</v>
      </c>
    </row>
    <row r="191" spans="1:18" ht="16.5" hidden="1">
      <c r="A191" t="str">
        <f t="shared" si="14"/>
        <v>a05</v>
      </c>
      <c r="B191">
        <v>2</v>
      </c>
      <c r="C191" s="222" t="s">
        <v>9287</v>
      </c>
      <c r="D191">
        <f>VLOOKUP(F191,Sheet7!$B:$G,6,0)</f>
        <v>2285</v>
      </c>
      <c r="E191" s="222" t="s">
        <v>9287</v>
      </c>
      <c r="F191" s="331" t="s">
        <v>15945</v>
      </c>
      <c r="G191">
        <v>1</v>
      </c>
      <c r="H191" t="str">
        <f t="shared" si="18"/>
        <v>2|2285|1</v>
      </c>
      <c r="I191" s="222" t="s">
        <v>9287</v>
      </c>
      <c r="J191">
        <v>20</v>
      </c>
      <c r="K191" t="str">
        <f t="shared" si="19"/>
        <v>2|2285|1|20</v>
      </c>
      <c r="L191" t="str">
        <f t="shared" si="16"/>
        <v>2|2285|1,2|2271|1,2|2068|1,2|2067|1,2|2066|1,2|2065|1,2|2072|1,2|2071|1,2|2070|1,2|2069|1,2|2146|1,2|2132|1,2|2118|1,2|2104|1</v>
      </c>
      <c r="M191" t="str">
        <f t="shared" si="17"/>
        <v>2|2285|1|20,2|2271|1|20,2|2068|1|20,2|2067|1|20,2|2066|1|20,2|2065|1|20,2|2072|1|20,2|2071|1|20,2|2070|1|20,2|2069|1|20,2|2146|1|10,2|2132|1|10,2|2118|1|10,2|2104|1|10</v>
      </c>
      <c r="N191" s="337">
        <v>20616</v>
      </c>
      <c r="R191" t="str">
        <f t="shared" si="15"/>
        <v>赤霄长剑</v>
      </c>
    </row>
    <row r="192" spans="1:18" ht="16.5" hidden="1">
      <c r="A192" t="str">
        <f t="shared" si="14"/>
        <v>a05</v>
      </c>
      <c r="B192">
        <v>2</v>
      </c>
      <c r="C192" s="222" t="s">
        <v>9287</v>
      </c>
      <c r="D192">
        <f>VLOOKUP(F192,Sheet7!$B:$G,6,0)</f>
        <v>2295</v>
      </c>
      <c r="E192" s="222" t="s">
        <v>9287</v>
      </c>
      <c r="F192" s="331" t="s">
        <v>15960</v>
      </c>
      <c r="G192">
        <v>1</v>
      </c>
      <c r="H192" t="str">
        <f t="shared" si="18"/>
        <v>2|2295|1</v>
      </c>
      <c r="I192" s="222" t="s">
        <v>9287</v>
      </c>
      <c r="J192">
        <v>20</v>
      </c>
      <c r="K192" t="str">
        <f t="shared" si="19"/>
        <v>2|2295|1|20</v>
      </c>
      <c r="L192" t="str">
        <f t="shared" si="16"/>
        <v>2|2295|1,2|2285|1,2|2271|1,2|2068|1,2|2067|1,2|2066|1,2|2065|1,2|2072|1,2|2071|1,2|2070|1,2|2069|1,2|2146|1,2|2132|1,2|2118|1,2|2104|1</v>
      </c>
      <c r="M192" t="str">
        <f t="shared" si="17"/>
        <v>2|2295|1|20,2|2285|1|20,2|2271|1|20,2|2068|1|20,2|2067|1|20,2|2066|1|20,2|2065|1|20,2|2072|1|20,2|2071|1|20,2|2070|1|20,2|2069|1|20,2|2146|1|10,2|2132|1|10,2|2118|1|10,2|2104|1|10</v>
      </c>
      <c r="N192" s="337">
        <v>20617</v>
      </c>
      <c r="R192" t="str">
        <f t="shared" si="15"/>
        <v>麒麟头盔</v>
      </c>
    </row>
    <row r="193" spans="1:18" ht="16.5" hidden="1">
      <c r="A193" t="str">
        <f t="shared" si="14"/>
        <v>a05</v>
      </c>
      <c r="B193">
        <v>2</v>
      </c>
      <c r="C193" s="222" t="s">
        <v>9287</v>
      </c>
      <c r="D193">
        <f>VLOOKUP(F193,Sheet7!$B:$G,6,0)</f>
        <v>2309</v>
      </c>
      <c r="E193" s="222" t="s">
        <v>9287</v>
      </c>
      <c r="F193" s="331" t="s">
        <v>15975</v>
      </c>
      <c r="G193">
        <v>1</v>
      </c>
      <c r="H193" t="str">
        <f t="shared" si="18"/>
        <v>2|2309|1</v>
      </c>
      <c r="I193" s="222" t="s">
        <v>9287</v>
      </c>
      <c r="J193">
        <v>20</v>
      </c>
      <c r="K193" t="str">
        <f t="shared" si="19"/>
        <v>2|2309|1|20</v>
      </c>
      <c r="L193" t="str">
        <f t="shared" si="16"/>
        <v>2|2309|1,2|2295|1,2|2285|1,2|2271|1,2|2068|1,2|2067|1,2|2066|1,2|2065|1,2|2072|1,2|2071|1,2|2070|1,2|2069|1,2|2146|1,2|2132|1,2|2118|1,2|2104|1</v>
      </c>
      <c r="M193" t="str">
        <f t="shared" si="17"/>
        <v>2|2309|1|20,2|2295|1|20,2|2285|1|20,2|2271|1|20,2|2068|1|20,2|2067|1|20,2|2066|1|20,2|2065|1|20,2|2072|1|20,2|2071|1|20,2|2070|1|20,2|2069|1|20,2|2146|1|10,2|2132|1|10,2|2118|1|10,2|2104|1|10</v>
      </c>
      <c r="N193" s="337">
        <v>20618</v>
      </c>
      <c r="R193" t="str">
        <f t="shared" si="15"/>
        <v>兽魂战靴</v>
      </c>
    </row>
    <row r="194" spans="1:18" ht="16.5" hidden="1">
      <c r="A194" t="str">
        <f t="shared" si="14"/>
        <v>a05</v>
      </c>
      <c r="B194">
        <v>2</v>
      </c>
      <c r="C194" s="222" t="s">
        <v>9287</v>
      </c>
      <c r="D194">
        <f>VLOOKUP(F194,Sheet7!$B:$G,6,0)</f>
        <v>2327</v>
      </c>
      <c r="E194" s="222" t="s">
        <v>9287</v>
      </c>
      <c r="F194" s="331" t="s">
        <v>15990</v>
      </c>
      <c r="G194">
        <v>1</v>
      </c>
      <c r="H194" t="str">
        <f t="shared" si="18"/>
        <v>2|2327|1</v>
      </c>
      <c r="I194" s="222" t="s">
        <v>9287</v>
      </c>
      <c r="J194">
        <v>40</v>
      </c>
      <c r="K194" t="str">
        <f t="shared" si="19"/>
        <v>2|2327|1|40</v>
      </c>
      <c r="L194" t="str">
        <f t="shared" si="16"/>
        <v>2|2327|1,2|2309|1,2|2295|1,2|2285|1,2|2271|1,2|2068|1,2|2067|1,2|2066|1,2|2065|1,2|2072|1,2|2071|1,2|2070|1,2|2069|1,2|2146|1,2|2132|1,2|2118|1,2|2104|1</v>
      </c>
      <c r="M194" t="str">
        <f t="shared" si="17"/>
        <v>2|2327|1|40,2|2309|1|20,2|2295|1|20,2|2285|1|20,2|2271|1|20,2|2068|1|20,2|2067|1|20,2|2066|1|20,2|2065|1|20,2|2072|1|20,2|2071|1|20,2|2070|1|20,2|2069|1|20,2|2146|1|10,2|2132|1|10,2|2118|1|10,2|2104|1|10</v>
      </c>
      <c r="N194" s="337">
        <v>20619</v>
      </c>
      <c r="R194" t="str">
        <f t="shared" si="15"/>
        <v>磐石战甲</v>
      </c>
    </row>
    <row r="195" spans="1:18" ht="16.5" hidden="1">
      <c r="A195" t="str">
        <f t="shared" ref="A195:A258" si="20">LEFT(F195,3)</f>
        <v>a05</v>
      </c>
      <c r="B195">
        <v>2</v>
      </c>
      <c r="C195" s="222" t="s">
        <v>9287</v>
      </c>
      <c r="D195">
        <f>VLOOKUP(F195,Sheet7!$B:$G,6,0)</f>
        <v>2341</v>
      </c>
      <c r="E195" s="222" t="s">
        <v>9287</v>
      </c>
      <c r="F195" s="331" t="s">
        <v>16005</v>
      </c>
      <c r="G195">
        <v>1</v>
      </c>
      <c r="H195" t="str">
        <f t="shared" si="18"/>
        <v>2|2341|1</v>
      </c>
      <c r="I195" s="222" t="s">
        <v>9287</v>
      </c>
      <c r="J195">
        <v>40</v>
      </c>
      <c r="K195" t="str">
        <f t="shared" si="19"/>
        <v>2|2341|1|40</v>
      </c>
      <c r="L195" t="str">
        <f t="shared" si="16"/>
        <v>2|2341|1,2|2327|1,2|2309|1,2|2295|1,2|2285|1,2|2271|1,2|2068|1,2|2067|1,2|2066|1,2|2065|1,2|2072|1,2|2071|1,2|2070|1,2|2069|1,2|2146|1,2|2132|1,2|2118|1,2|2104|1</v>
      </c>
      <c r="M195" t="str">
        <f t="shared" si="17"/>
        <v>2|2341|1|40,2|2327|1|40,2|2309|1|20,2|2295|1|20,2|2285|1|20,2|2271|1|20,2|2068|1|20,2|2067|1|20,2|2066|1|20,2|2065|1|20,2|2072|1|20,2|2071|1|20,2|2070|1|20,2|2069|1|20,2|2146|1|10,2|2132|1|10,2|2118|1|10,2|2104|1|10</v>
      </c>
      <c r="N195" s="337">
        <v>20620</v>
      </c>
      <c r="R195" t="str">
        <f t="shared" ref="R195:R258" si="21">RIGHT(F195,4)</f>
        <v>磐石长剑</v>
      </c>
    </row>
    <row r="196" spans="1:18" ht="16.5" hidden="1">
      <c r="A196" t="str">
        <f t="shared" si="20"/>
        <v>a05</v>
      </c>
      <c r="B196">
        <v>2</v>
      </c>
      <c r="C196" s="222" t="s">
        <v>9287</v>
      </c>
      <c r="D196">
        <f>VLOOKUP(F196,Sheet7!$B:$G,6,0)</f>
        <v>2355</v>
      </c>
      <c r="E196" s="222" t="s">
        <v>9287</v>
      </c>
      <c r="F196" s="331" t="s">
        <v>16020</v>
      </c>
      <c r="G196">
        <v>1</v>
      </c>
      <c r="H196" t="str">
        <f t="shared" si="18"/>
        <v>2|2355|1</v>
      </c>
      <c r="I196" s="222" t="s">
        <v>9287</v>
      </c>
      <c r="J196">
        <v>40</v>
      </c>
      <c r="K196" t="str">
        <f t="shared" si="19"/>
        <v>2|2355|1|40</v>
      </c>
      <c r="L196" t="str">
        <f t="shared" ref="L196:L259" si="22">IF(A196=A195,H196&amp;","&amp;L195,H196)</f>
        <v>2|2355|1,2|2341|1,2|2327|1,2|2309|1,2|2295|1,2|2285|1,2|2271|1,2|2068|1,2|2067|1,2|2066|1,2|2065|1,2|2072|1,2|2071|1,2|2070|1,2|2069|1,2|2146|1,2|2132|1,2|2118|1,2|2104|1</v>
      </c>
      <c r="M196" t="str">
        <f t="shared" ref="M196:M259" si="23">IF(A196=A195,K196&amp;","&amp;M195,K196)</f>
        <v>2|2355|1|40,2|2341|1|40,2|2327|1|40,2|2309|1|20,2|2295|1|20,2|2285|1|20,2|2271|1|20,2|2068|1|20,2|2067|1|20,2|2066|1|20,2|2065|1|20,2|2072|1|20,2|2071|1|20,2|2070|1|20,2|2069|1|20,2|2146|1|10,2|2132|1|10,2|2118|1|10,2|2104|1|10</v>
      </c>
      <c r="N196" s="337">
        <v>206211</v>
      </c>
      <c r="R196" t="str">
        <f t="shared" si="21"/>
        <v>磐石头盔</v>
      </c>
    </row>
    <row r="197" spans="1:18" ht="16.5" hidden="1">
      <c r="A197" t="str">
        <f t="shared" si="20"/>
        <v>a05</v>
      </c>
      <c r="B197">
        <v>2</v>
      </c>
      <c r="C197" s="222" t="s">
        <v>9287</v>
      </c>
      <c r="D197">
        <f>VLOOKUP(F197,Sheet7!$B:$G,6,0)</f>
        <v>2369</v>
      </c>
      <c r="E197" s="222" t="s">
        <v>9287</v>
      </c>
      <c r="F197" s="331" t="s">
        <v>16035</v>
      </c>
      <c r="G197">
        <v>1</v>
      </c>
      <c r="H197" t="str">
        <f t="shared" si="18"/>
        <v>2|2369|1</v>
      </c>
      <c r="I197" s="222" t="s">
        <v>9287</v>
      </c>
      <c r="J197">
        <v>40</v>
      </c>
      <c r="K197" t="str">
        <f t="shared" si="19"/>
        <v>2|2369|1|40</v>
      </c>
      <c r="L197" t="str">
        <f t="shared" si="22"/>
        <v>2|2369|1,2|2355|1,2|2341|1,2|2327|1,2|2309|1,2|2295|1,2|2285|1,2|2271|1,2|2068|1,2|2067|1,2|2066|1,2|2065|1,2|2072|1,2|2071|1,2|2070|1,2|2069|1,2|2146|1,2|2132|1,2|2118|1,2|2104|1</v>
      </c>
      <c r="M197" t="str">
        <f t="shared" si="23"/>
        <v>2|2369|1|40,2|2355|1|40,2|2341|1|40,2|2327|1|40,2|2309|1|20,2|2295|1|20,2|2285|1|20,2|2271|1|20,2|2068|1|20,2|2067|1|20,2|2066|1|20,2|2065|1|20,2|2072|1|20,2|2071|1|20,2|2070|1|20,2|2069|1|20,2|2146|1|10,2|2132|1|10,2|2118|1|10,2|2104|1|10</v>
      </c>
      <c r="N197" s="337">
        <v>621</v>
      </c>
      <c r="R197" t="str">
        <f t="shared" si="21"/>
        <v>磐石战靴</v>
      </c>
    </row>
    <row r="198" spans="1:18" ht="16.5" hidden="1">
      <c r="A198" t="str">
        <f t="shared" si="20"/>
        <v>a05</v>
      </c>
      <c r="B198">
        <v>2</v>
      </c>
      <c r="C198" s="222" t="s">
        <v>9287</v>
      </c>
      <c r="D198">
        <f>VLOOKUP(F198,Sheet7!$B:$G,6,0)</f>
        <v>2383</v>
      </c>
      <c r="E198" s="222" t="s">
        <v>9287</v>
      </c>
      <c r="F198" s="331" t="s">
        <v>16050</v>
      </c>
      <c r="G198">
        <v>1</v>
      </c>
      <c r="H198" t="str">
        <f t="shared" si="18"/>
        <v>2|2383|1</v>
      </c>
      <c r="I198" s="222" t="s">
        <v>9287</v>
      </c>
      <c r="J198">
        <v>40</v>
      </c>
      <c r="K198" t="str">
        <f t="shared" si="19"/>
        <v>2|2383|1|40</v>
      </c>
      <c r="L198" t="str">
        <f t="shared" si="22"/>
        <v>2|2383|1,2|2369|1,2|2355|1,2|2341|1,2|2327|1,2|2309|1,2|2295|1,2|2285|1,2|2271|1,2|2068|1,2|2067|1,2|2066|1,2|2065|1,2|2072|1,2|2071|1,2|2070|1,2|2069|1,2|2146|1,2|2132|1,2|2118|1,2|2104|1</v>
      </c>
      <c r="M198" t="str">
        <f t="shared" si="23"/>
        <v>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198" s="337">
        <v>622</v>
      </c>
      <c r="R198" t="str">
        <f t="shared" si="21"/>
        <v>连云战甲</v>
      </c>
    </row>
    <row r="199" spans="1:18" ht="16.5" hidden="1">
      <c r="A199" t="str">
        <f t="shared" si="20"/>
        <v>a05</v>
      </c>
      <c r="B199">
        <v>2</v>
      </c>
      <c r="C199" s="222" t="s">
        <v>9287</v>
      </c>
      <c r="D199">
        <f>VLOOKUP(F199,Sheet7!$B:$G,6,0)</f>
        <v>2397</v>
      </c>
      <c r="E199" s="222" t="s">
        <v>9287</v>
      </c>
      <c r="F199" s="331" t="s">
        <v>16065</v>
      </c>
      <c r="G199">
        <v>1</v>
      </c>
      <c r="H199" t="str">
        <f t="shared" si="18"/>
        <v>2|2397|1</v>
      </c>
      <c r="I199" s="222" t="s">
        <v>9287</v>
      </c>
      <c r="J199">
        <v>40</v>
      </c>
      <c r="K199" t="str">
        <f t="shared" si="19"/>
        <v>2|2397|1|40</v>
      </c>
      <c r="L199" t="str">
        <f t="shared" si="22"/>
        <v>2|2397|1,2|2383|1,2|2369|1,2|2355|1,2|2341|1,2|2327|1,2|2309|1,2|2295|1,2|2285|1,2|2271|1,2|2068|1,2|2067|1,2|2066|1,2|2065|1,2|2072|1,2|2071|1,2|2070|1,2|2069|1,2|2146|1,2|2132|1,2|2118|1,2|2104|1</v>
      </c>
      <c r="M199" t="str">
        <f t="shared" si="23"/>
        <v>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199" s="337">
        <v>623</v>
      </c>
      <c r="R199" t="str">
        <f t="shared" si="21"/>
        <v>紫阳长剑</v>
      </c>
    </row>
    <row r="200" spans="1:18" ht="16.5" hidden="1">
      <c r="A200" t="str">
        <f t="shared" si="20"/>
        <v>a05</v>
      </c>
      <c r="B200">
        <v>2</v>
      </c>
      <c r="C200" s="222" t="s">
        <v>9287</v>
      </c>
      <c r="D200">
        <f>VLOOKUP(F200,Sheet7!$B:$G,6,0)</f>
        <v>2411</v>
      </c>
      <c r="E200" s="222" t="s">
        <v>9287</v>
      </c>
      <c r="F200" s="331" t="s">
        <v>16080</v>
      </c>
      <c r="G200">
        <v>1</v>
      </c>
      <c r="H200" t="str">
        <f t="shared" si="18"/>
        <v>2|2411|1</v>
      </c>
      <c r="I200" s="222" t="s">
        <v>9287</v>
      </c>
      <c r="J200">
        <v>40</v>
      </c>
      <c r="K200" t="str">
        <f t="shared" si="19"/>
        <v>2|2411|1|40</v>
      </c>
      <c r="L200" t="str">
        <f t="shared" si="22"/>
        <v>2|2411|1,2|2397|1,2|2383|1,2|2369|1,2|2355|1,2|2341|1,2|2327|1,2|2309|1,2|2295|1,2|2285|1,2|2271|1,2|2068|1,2|2067|1,2|2066|1,2|2065|1,2|2072|1,2|2071|1,2|2070|1,2|2069|1,2|2146|1,2|2132|1,2|2118|1,2|2104|1</v>
      </c>
      <c r="M200" t="str">
        <f t="shared" si="23"/>
        <v>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0" s="337">
        <v>2062</v>
      </c>
      <c r="R200" t="str">
        <f t="shared" si="21"/>
        <v>耀日头盔</v>
      </c>
    </row>
    <row r="201" spans="1:18" ht="16.5" hidden="1">
      <c r="A201" t="str">
        <f t="shared" si="20"/>
        <v>a05</v>
      </c>
      <c r="B201">
        <v>2</v>
      </c>
      <c r="C201" s="222" t="s">
        <v>9287</v>
      </c>
      <c r="D201">
        <f>VLOOKUP(F201,Sheet7!$B:$G,6,0)</f>
        <v>2425</v>
      </c>
      <c r="E201" s="222" t="s">
        <v>9287</v>
      </c>
      <c r="F201" s="331" t="s">
        <v>16095</v>
      </c>
      <c r="G201">
        <v>1</v>
      </c>
      <c r="H201" t="str">
        <f t="shared" si="18"/>
        <v>2|2425|1</v>
      </c>
      <c r="I201" s="222" t="s">
        <v>9287</v>
      </c>
      <c r="J201">
        <v>40</v>
      </c>
      <c r="K201" t="str">
        <f t="shared" si="19"/>
        <v>2|2425|1|40</v>
      </c>
      <c r="L201" t="str">
        <f t="shared" si="22"/>
        <v>2|2425|1,2|2411|1,2|2397|1,2|2383|1,2|2369|1,2|2355|1,2|2341|1,2|2327|1,2|2309|1,2|2295|1,2|2285|1,2|2271|1,2|2068|1,2|2067|1,2|2066|1,2|2065|1,2|2072|1,2|2071|1,2|2070|1,2|2069|1,2|2146|1,2|2132|1,2|2118|1,2|2104|1</v>
      </c>
      <c r="M201" t="str">
        <f t="shared" si="23"/>
        <v>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1" s="337">
        <v>20621</v>
      </c>
      <c r="R201" t="str">
        <f t="shared" si="21"/>
        <v>雷霆战靴</v>
      </c>
    </row>
    <row r="202" spans="1:18" ht="16.5" hidden="1">
      <c r="A202" t="str">
        <f t="shared" si="20"/>
        <v>a05</v>
      </c>
      <c r="B202">
        <v>2</v>
      </c>
      <c r="C202" s="222" t="s">
        <v>9287</v>
      </c>
      <c r="D202">
        <f>VLOOKUP(F202,Sheet7!$B:$G,6,0)</f>
        <v>2439</v>
      </c>
      <c r="E202" s="222" t="s">
        <v>9287</v>
      </c>
      <c r="F202" s="331" t="s">
        <v>16110</v>
      </c>
      <c r="G202">
        <v>1</v>
      </c>
      <c r="H202" t="str">
        <f t="shared" si="18"/>
        <v>2|2439|1</v>
      </c>
      <c r="I202" s="222" t="s">
        <v>9287</v>
      </c>
      <c r="J202">
        <v>40</v>
      </c>
      <c r="K202" t="str">
        <f t="shared" si="19"/>
        <v>2|2439|1|40</v>
      </c>
      <c r="L202" t="str">
        <f t="shared" si="22"/>
        <v>2|2439|1,2|2425|1,2|2411|1,2|2397|1,2|2383|1,2|2369|1,2|2355|1,2|2341|1,2|2327|1,2|2309|1,2|2295|1,2|2285|1,2|2271|1,2|2068|1,2|2067|1,2|2066|1,2|2065|1,2|2072|1,2|2071|1,2|2070|1,2|2069|1,2|2146|1,2|2132|1,2|2118|1,2|2104|1</v>
      </c>
      <c r="M202" t="str">
        <f t="shared" si="23"/>
        <v>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2" s="337">
        <v>20622</v>
      </c>
      <c r="R202" t="str">
        <f t="shared" si="21"/>
        <v>护卫战甲</v>
      </c>
    </row>
    <row r="203" spans="1:18" ht="16.5" hidden="1">
      <c r="A203" t="str">
        <f t="shared" si="20"/>
        <v>a05</v>
      </c>
      <c r="B203">
        <v>2</v>
      </c>
      <c r="C203" s="222" t="s">
        <v>9287</v>
      </c>
      <c r="D203">
        <f>VLOOKUP(F203,Sheet7!$B:$G,6,0)</f>
        <v>2453</v>
      </c>
      <c r="E203" s="222" t="s">
        <v>9287</v>
      </c>
      <c r="F203" s="331" t="s">
        <v>16125</v>
      </c>
      <c r="G203">
        <v>1</v>
      </c>
      <c r="H203" t="str">
        <f t="shared" si="18"/>
        <v>2|2453|1</v>
      </c>
      <c r="I203" s="222" t="s">
        <v>9287</v>
      </c>
      <c r="J203">
        <v>40</v>
      </c>
      <c r="K203" t="str">
        <f t="shared" si="19"/>
        <v>2|2453|1|40</v>
      </c>
      <c r="L203" t="str">
        <f t="shared" si="22"/>
        <v>2|2453|1,2|2439|1,2|2425|1,2|2411|1,2|2397|1,2|2383|1,2|2369|1,2|2355|1,2|2341|1,2|2327|1,2|2309|1,2|2295|1,2|2285|1,2|2271|1,2|2068|1,2|2067|1,2|2066|1,2|2065|1,2|2072|1,2|2071|1,2|2070|1,2|2069|1,2|2146|1,2|2132|1,2|2118|1,2|2104|1</v>
      </c>
      <c r="M203" t="str">
        <f t="shared" si="23"/>
        <v>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3" s="337">
        <v>20623</v>
      </c>
      <c r="R203" t="str">
        <f t="shared" si="21"/>
        <v>护卫长剑</v>
      </c>
    </row>
    <row r="204" spans="1:18" ht="16.5" hidden="1">
      <c r="A204" t="str">
        <f t="shared" si="20"/>
        <v>a05</v>
      </c>
      <c r="B204">
        <v>2</v>
      </c>
      <c r="C204" s="222" t="s">
        <v>9287</v>
      </c>
      <c r="D204">
        <f>VLOOKUP(F204,Sheet7!$B:$G,6,0)</f>
        <v>2467</v>
      </c>
      <c r="E204" s="222" t="s">
        <v>9287</v>
      </c>
      <c r="F204" s="331" t="s">
        <v>16140</v>
      </c>
      <c r="G204">
        <v>1</v>
      </c>
      <c r="H204" t="str">
        <f t="shared" si="18"/>
        <v>2|2467|1</v>
      </c>
      <c r="I204" s="222" t="s">
        <v>9287</v>
      </c>
      <c r="J204">
        <v>40</v>
      </c>
      <c r="K204" t="str">
        <f t="shared" si="19"/>
        <v>2|2467|1|40</v>
      </c>
      <c r="L204" t="str">
        <f t="shared" si="22"/>
        <v>2|2467|1,2|2453|1,2|2439|1,2|2425|1,2|2411|1,2|2397|1,2|2383|1,2|2369|1,2|2355|1,2|2341|1,2|2327|1,2|2309|1,2|2295|1,2|2285|1,2|2271|1,2|2068|1,2|2067|1,2|2066|1,2|2065|1,2|2072|1,2|2071|1,2|2070|1,2|2069|1,2|2146|1,2|2132|1,2|2118|1,2|2104|1</v>
      </c>
      <c r="M204" t="str">
        <f t="shared" si="23"/>
        <v>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4" s="337">
        <v>20624</v>
      </c>
      <c r="R204" t="str">
        <f t="shared" si="21"/>
        <v>护卫头盔</v>
      </c>
    </row>
    <row r="205" spans="1:18" ht="16.5" hidden="1">
      <c r="A205" t="str">
        <f t="shared" si="20"/>
        <v>a05</v>
      </c>
      <c r="B205">
        <v>2</v>
      </c>
      <c r="C205" s="222" t="s">
        <v>9287</v>
      </c>
      <c r="D205">
        <f>VLOOKUP(F205,Sheet7!$B:$G,6,0)</f>
        <v>2481</v>
      </c>
      <c r="E205" s="222" t="s">
        <v>9287</v>
      </c>
      <c r="F205" s="331" t="s">
        <v>16155</v>
      </c>
      <c r="G205">
        <v>1</v>
      </c>
      <c r="H205" t="str">
        <f t="shared" si="18"/>
        <v>2|2481|1</v>
      </c>
      <c r="I205" s="222" t="s">
        <v>9287</v>
      </c>
      <c r="J205">
        <v>40</v>
      </c>
      <c r="K205" t="str">
        <f t="shared" si="19"/>
        <v>2|2481|1|40</v>
      </c>
      <c r="L205" t="str">
        <f t="shared" si="22"/>
        <v>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05" t="str">
        <f t="shared" si="23"/>
        <v>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5" s="337">
        <v>20625</v>
      </c>
      <c r="R205" t="str">
        <f t="shared" si="21"/>
        <v>护卫战靴</v>
      </c>
    </row>
    <row r="206" spans="1:18" ht="16.5" hidden="1">
      <c r="A206" t="str">
        <f t="shared" si="20"/>
        <v>a05</v>
      </c>
      <c r="B206">
        <v>2</v>
      </c>
      <c r="C206" s="222" t="s">
        <v>9287</v>
      </c>
      <c r="D206">
        <f>VLOOKUP(F206,Sheet7!$B:$G,6,0)</f>
        <v>2495</v>
      </c>
      <c r="E206" s="222" t="s">
        <v>9287</v>
      </c>
      <c r="F206" s="331" t="s">
        <v>16170</v>
      </c>
      <c r="G206">
        <v>1</v>
      </c>
      <c r="H206" t="str">
        <f t="shared" si="18"/>
        <v>2|2495|1</v>
      </c>
      <c r="I206" s="222" t="s">
        <v>9287</v>
      </c>
      <c r="J206">
        <v>40</v>
      </c>
      <c r="K206" t="str">
        <f t="shared" si="19"/>
        <v>2|2495|1|40</v>
      </c>
      <c r="L206" t="str">
        <f t="shared" si="22"/>
        <v>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06" t="str">
        <f t="shared" si="23"/>
        <v>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6" s="337">
        <v>20626</v>
      </c>
      <c r="R206" t="str">
        <f t="shared" si="21"/>
        <v>破魔战甲</v>
      </c>
    </row>
    <row r="207" spans="1:18" ht="16.5" hidden="1">
      <c r="A207" t="str">
        <f t="shared" si="20"/>
        <v>a05</v>
      </c>
      <c r="B207">
        <v>2</v>
      </c>
      <c r="C207" s="222" t="s">
        <v>9287</v>
      </c>
      <c r="D207">
        <f>VLOOKUP(F207,Sheet7!$B:$G,6,0)</f>
        <v>2509</v>
      </c>
      <c r="E207" s="222" t="s">
        <v>9287</v>
      </c>
      <c r="F207" s="331" t="s">
        <v>16185</v>
      </c>
      <c r="G207">
        <v>1</v>
      </c>
      <c r="H207" t="str">
        <f t="shared" si="18"/>
        <v>2|2509|1</v>
      </c>
      <c r="I207" s="222" t="s">
        <v>9287</v>
      </c>
      <c r="J207">
        <v>40</v>
      </c>
      <c r="K207" t="str">
        <f t="shared" si="19"/>
        <v>2|2509|1|40</v>
      </c>
      <c r="L207" t="str">
        <f t="shared" si="22"/>
        <v>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07" t="str">
        <f t="shared" si="23"/>
        <v>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7" s="337">
        <v>20627</v>
      </c>
      <c r="R207" t="str">
        <f t="shared" si="21"/>
        <v>破魔长剑</v>
      </c>
    </row>
    <row r="208" spans="1:18" ht="16.5" hidden="1">
      <c r="A208" t="str">
        <f t="shared" si="20"/>
        <v>a05</v>
      </c>
      <c r="B208">
        <v>2</v>
      </c>
      <c r="C208" s="222" t="s">
        <v>9287</v>
      </c>
      <c r="D208">
        <f>VLOOKUP(F208,Sheet7!$B:$G,6,0)</f>
        <v>2523</v>
      </c>
      <c r="E208" s="222" t="s">
        <v>9287</v>
      </c>
      <c r="F208" s="331" t="s">
        <v>16200</v>
      </c>
      <c r="G208">
        <v>1</v>
      </c>
      <c r="H208" t="str">
        <f t="shared" si="18"/>
        <v>2|2523|1</v>
      </c>
      <c r="I208" s="222" t="s">
        <v>9287</v>
      </c>
      <c r="J208">
        <v>40</v>
      </c>
      <c r="K208" t="str">
        <f t="shared" si="19"/>
        <v>2|2523|1|40</v>
      </c>
      <c r="L208" t="str">
        <f t="shared" si="22"/>
        <v>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08" t="str">
        <f t="shared" si="23"/>
        <v>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8" s="337">
        <v>20628</v>
      </c>
      <c r="R208" t="str">
        <f t="shared" si="21"/>
        <v>破魔头盔</v>
      </c>
    </row>
    <row r="209" spans="1:18" ht="16.5" hidden="1">
      <c r="A209" t="str">
        <f t="shared" si="20"/>
        <v>a05</v>
      </c>
      <c r="B209">
        <v>2</v>
      </c>
      <c r="C209" s="222" t="s">
        <v>9287</v>
      </c>
      <c r="D209">
        <f>VLOOKUP(F209,Sheet7!$B:$G,6,0)</f>
        <v>2537</v>
      </c>
      <c r="E209" s="222" t="s">
        <v>9287</v>
      </c>
      <c r="F209" s="331" t="s">
        <v>16215</v>
      </c>
      <c r="G209">
        <v>1</v>
      </c>
      <c r="H209" t="str">
        <f t="shared" si="18"/>
        <v>2|2537|1</v>
      </c>
      <c r="I209" s="222" t="s">
        <v>9287</v>
      </c>
      <c r="J209">
        <v>40</v>
      </c>
      <c r="K209" t="str">
        <f t="shared" si="19"/>
        <v>2|2537|1|40</v>
      </c>
      <c r="L209" t="str">
        <f t="shared" si="22"/>
        <v>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09" t="str">
        <f t="shared" si="23"/>
        <v>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09" s="337">
        <v>20629</v>
      </c>
      <c r="R209" t="str">
        <f t="shared" si="21"/>
        <v>破魔战靴</v>
      </c>
    </row>
    <row r="210" spans="1:18" ht="16.5" hidden="1">
      <c r="A210" t="str">
        <f t="shared" si="20"/>
        <v>a05</v>
      </c>
      <c r="B210">
        <v>2</v>
      </c>
      <c r="C210" s="222" t="s">
        <v>9287</v>
      </c>
      <c r="D210">
        <f>VLOOKUP(F210,Sheet7!$B:$G,6,0)</f>
        <v>2551</v>
      </c>
      <c r="E210" s="222" t="s">
        <v>9287</v>
      </c>
      <c r="F210" s="331" t="s">
        <v>16230</v>
      </c>
      <c r="G210">
        <v>1</v>
      </c>
      <c r="H210" t="str">
        <f t="shared" si="18"/>
        <v>2|2551|1</v>
      </c>
      <c r="I210" s="222" t="s">
        <v>9287</v>
      </c>
      <c r="J210">
        <v>40</v>
      </c>
      <c r="K210" t="str">
        <f t="shared" si="19"/>
        <v>2|2551|1|40</v>
      </c>
      <c r="L210" t="str">
        <f t="shared" si="22"/>
        <v>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0" t="str">
        <f t="shared" si="23"/>
        <v>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0" s="337">
        <v>20630</v>
      </c>
      <c r="R210" t="str">
        <f t="shared" si="21"/>
        <v>赤血战甲</v>
      </c>
    </row>
    <row r="211" spans="1:18" ht="16.5" hidden="1">
      <c r="A211" t="str">
        <f t="shared" si="20"/>
        <v>a05</v>
      </c>
      <c r="B211">
        <v>2</v>
      </c>
      <c r="C211" s="222" t="s">
        <v>9287</v>
      </c>
      <c r="D211">
        <f>VLOOKUP(F211,Sheet7!$B:$G,6,0)</f>
        <v>2565</v>
      </c>
      <c r="E211" s="222" t="s">
        <v>9287</v>
      </c>
      <c r="F211" s="331" t="s">
        <v>16245</v>
      </c>
      <c r="G211">
        <v>1</v>
      </c>
      <c r="H211" t="str">
        <f t="shared" si="18"/>
        <v>2|2565|1</v>
      </c>
      <c r="I211" s="222" t="s">
        <v>9287</v>
      </c>
      <c r="J211">
        <v>40</v>
      </c>
      <c r="K211" t="str">
        <f t="shared" si="19"/>
        <v>2|2565|1|40</v>
      </c>
      <c r="L211" t="str">
        <f t="shared" si="22"/>
        <v>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1" t="str">
        <f t="shared" si="23"/>
        <v>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1" s="337">
        <v>20631</v>
      </c>
      <c r="R211" t="str">
        <f t="shared" si="21"/>
        <v>青锋长剑</v>
      </c>
    </row>
    <row r="212" spans="1:18" ht="16.5" hidden="1">
      <c r="A212" t="str">
        <f t="shared" si="20"/>
        <v>a05</v>
      </c>
      <c r="B212">
        <v>2</v>
      </c>
      <c r="C212" s="222" t="s">
        <v>9287</v>
      </c>
      <c r="D212">
        <f>VLOOKUP(F212,Sheet7!$B:$G,6,0)</f>
        <v>2579</v>
      </c>
      <c r="E212" s="222" t="s">
        <v>9287</v>
      </c>
      <c r="F212" s="331" t="s">
        <v>16260</v>
      </c>
      <c r="G212">
        <v>1</v>
      </c>
      <c r="H212" t="str">
        <f t="shared" si="18"/>
        <v>2|2579|1</v>
      </c>
      <c r="I212" s="222" t="s">
        <v>9287</v>
      </c>
      <c r="J212">
        <v>40</v>
      </c>
      <c r="K212" t="str">
        <f t="shared" si="19"/>
        <v>2|2579|1|40</v>
      </c>
      <c r="L212" t="str">
        <f t="shared" si="22"/>
        <v>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2" t="str">
        <f t="shared" si="23"/>
        <v>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2" s="337">
        <v>631</v>
      </c>
      <c r="R212" t="str">
        <f t="shared" si="21"/>
        <v>雁虞头盔</v>
      </c>
    </row>
    <row r="213" spans="1:18" ht="16.5" hidden="1">
      <c r="A213" t="str">
        <f t="shared" si="20"/>
        <v>a05</v>
      </c>
      <c r="B213">
        <v>2</v>
      </c>
      <c r="C213" s="222" t="s">
        <v>9287</v>
      </c>
      <c r="D213">
        <f>VLOOKUP(F213,Sheet7!$B:$G,6,0)</f>
        <v>2593</v>
      </c>
      <c r="E213" s="222" t="s">
        <v>9287</v>
      </c>
      <c r="F213" s="331" t="s">
        <v>16275</v>
      </c>
      <c r="G213">
        <v>1</v>
      </c>
      <c r="H213" t="str">
        <f t="shared" si="18"/>
        <v>2|2593|1</v>
      </c>
      <c r="I213" s="222" t="s">
        <v>9287</v>
      </c>
      <c r="J213">
        <v>40</v>
      </c>
      <c r="K213" t="str">
        <f t="shared" si="19"/>
        <v>2|2593|1|40</v>
      </c>
      <c r="L213" t="str">
        <f t="shared" si="22"/>
        <v>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3" t="str">
        <f t="shared" si="23"/>
        <v>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3" s="337">
        <v>632</v>
      </c>
      <c r="R213" t="str">
        <f t="shared" si="21"/>
        <v>无影战靴</v>
      </c>
    </row>
    <row r="214" spans="1:18" ht="16.5" hidden="1">
      <c r="A214" t="str">
        <f t="shared" si="20"/>
        <v>a05</v>
      </c>
      <c r="B214">
        <v>2</v>
      </c>
      <c r="C214" s="222" t="s">
        <v>9287</v>
      </c>
      <c r="D214">
        <f>VLOOKUP(F214,Sheet7!$B:$G,6,0)</f>
        <v>2607</v>
      </c>
      <c r="E214" s="222" t="s">
        <v>9287</v>
      </c>
      <c r="F214" s="331" t="s">
        <v>16290</v>
      </c>
      <c r="G214">
        <v>1</v>
      </c>
      <c r="H214" t="str">
        <f t="shared" si="18"/>
        <v>2|2607|1</v>
      </c>
      <c r="I214" s="222" t="s">
        <v>9287</v>
      </c>
      <c r="J214">
        <v>40</v>
      </c>
      <c r="K214" t="str">
        <f t="shared" si="19"/>
        <v>2|2607|1|40</v>
      </c>
      <c r="L214" t="str">
        <f t="shared" si="22"/>
        <v>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4" t="str">
        <f t="shared" si="23"/>
        <v>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4" s="337">
        <v>633</v>
      </c>
      <c r="R214" t="str">
        <f t="shared" si="21"/>
        <v>行者战甲</v>
      </c>
    </row>
    <row r="215" spans="1:18" ht="16.5" hidden="1">
      <c r="A215" t="str">
        <f t="shared" si="20"/>
        <v>a05</v>
      </c>
      <c r="B215">
        <v>2</v>
      </c>
      <c r="C215" s="222" t="s">
        <v>9287</v>
      </c>
      <c r="D215">
        <f>VLOOKUP(F215,Sheet7!$B:$G,6,0)</f>
        <v>2621</v>
      </c>
      <c r="E215" s="222" t="s">
        <v>9287</v>
      </c>
      <c r="F215" s="331" t="s">
        <v>16305</v>
      </c>
      <c r="G215">
        <v>1</v>
      </c>
      <c r="H215" t="str">
        <f t="shared" si="18"/>
        <v>2|2621|1</v>
      </c>
      <c r="I215" s="222" t="s">
        <v>9287</v>
      </c>
      <c r="J215">
        <v>40</v>
      </c>
      <c r="K215" t="str">
        <f t="shared" si="19"/>
        <v>2|2621|1|40</v>
      </c>
      <c r="L215" t="str">
        <f t="shared" si="22"/>
        <v>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5" t="str">
        <f t="shared" si="23"/>
        <v>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5" s="337">
        <v>2063</v>
      </c>
      <c r="R215" t="str">
        <f t="shared" si="21"/>
        <v>精铁长剑</v>
      </c>
    </row>
    <row r="216" spans="1:18" ht="16.5" hidden="1">
      <c r="A216" t="str">
        <f t="shared" si="20"/>
        <v>a05</v>
      </c>
      <c r="B216">
        <v>2</v>
      </c>
      <c r="C216" s="222" t="s">
        <v>9287</v>
      </c>
      <c r="D216">
        <f>VLOOKUP(F216,Sheet7!$B:$G,6,0)</f>
        <v>2635</v>
      </c>
      <c r="E216" s="222" t="s">
        <v>9287</v>
      </c>
      <c r="F216" s="331" t="s">
        <v>16320</v>
      </c>
      <c r="G216">
        <v>1</v>
      </c>
      <c r="H216" t="str">
        <f t="shared" si="18"/>
        <v>2|2635|1</v>
      </c>
      <c r="I216" s="222" t="s">
        <v>9287</v>
      </c>
      <c r="J216">
        <v>40</v>
      </c>
      <c r="K216" t="str">
        <f t="shared" si="19"/>
        <v>2|2635|1|40</v>
      </c>
      <c r="L216" t="str">
        <f t="shared" si="22"/>
        <v>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6" t="str">
        <f t="shared" si="23"/>
        <v>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6" s="337">
        <v>20631</v>
      </c>
      <c r="R216" t="str">
        <f t="shared" si="21"/>
        <v>虹影头盔</v>
      </c>
    </row>
    <row r="217" spans="1:18" ht="16.5" hidden="1">
      <c r="A217" t="str">
        <f t="shared" si="20"/>
        <v>a05</v>
      </c>
      <c r="B217">
        <v>2</v>
      </c>
      <c r="C217" s="222" t="s">
        <v>9287</v>
      </c>
      <c r="D217">
        <f>VLOOKUP(F217,Sheet7!$B:$G,6,0)</f>
        <v>2649</v>
      </c>
      <c r="E217" s="222" t="s">
        <v>9287</v>
      </c>
      <c r="F217" s="331" t="s">
        <v>16335</v>
      </c>
      <c r="G217">
        <v>1</v>
      </c>
      <c r="H217" t="str">
        <f t="shared" si="18"/>
        <v>2|2649|1</v>
      </c>
      <c r="I217" s="222" t="s">
        <v>9287</v>
      </c>
      <c r="J217">
        <v>40</v>
      </c>
      <c r="K217" t="str">
        <f t="shared" si="19"/>
        <v>2|2649|1|40</v>
      </c>
      <c r="L217" t="str">
        <f t="shared" si="22"/>
        <v>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7" t="str">
        <f t="shared" si="23"/>
        <v>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7" s="337">
        <v>20632</v>
      </c>
      <c r="R217" t="str">
        <f t="shared" si="21"/>
        <v>千里战靴</v>
      </c>
    </row>
    <row r="218" spans="1:18" ht="16.5" hidden="1">
      <c r="A218" t="str">
        <f t="shared" si="20"/>
        <v>a05</v>
      </c>
      <c r="B218">
        <v>2</v>
      </c>
      <c r="C218" s="222" t="s">
        <v>9287</v>
      </c>
      <c r="D218">
        <f>VLOOKUP(F218,Sheet7!$B:$G,6,0)</f>
        <v>2663</v>
      </c>
      <c r="E218" s="222" t="s">
        <v>9287</v>
      </c>
      <c r="F218" s="331" t="s">
        <v>16350</v>
      </c>
      <c r="G218">
        <v>1</v>
      </c>
      <c r="H218" t="str">
        <f t="shared" si="18"/>
        <v>2|2663|1</v>
      </c>
      <c r="I218" s="222" t="s">
        <v>9287</v>
      </c>
      <c r="J218">
        <v>40</v>
      </c>
      <c r="K218" t="str">
        <f t="shared" si="19"/>
        <v>2|2663|1|40</v>
      </c>
      <c r="L218" t="str">
        <f t="shared" si="22"/>
        <v>2|2663|1,2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8" t="str">
        <f t="shared" si="23"/>
        <v>2|2663|1|40,2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8" s="337">
        <v>20633</v>
      </c>
      <c r="R218" t="str">
        <f t="shared" si="21"/>
        <v>封魔战甲</v>
      </c>
    </row>
    <row r="219" spans="1:18" ht="16.5" hidden="1">
      <c r="A219" t="str">
        <f t="shared" si="20"/>
        <v>a05</v>
      </c>
      <c r="B219">
        <v>2</v>
      </c>
      <c r="C219" s="222" t="s">
        <v>9287</v>
      </c>
      <c r="D219">
        <f>VLOOKUP(F219,Sheet7!$B:$G,6,0)</f>
        <v>2677</v>
      </c>
      <c r="E219" s="222" t="s">
        <v>9287</v>
      </c>
      <c r="F219" s="331" t="s">
        <v>16365</v>
      </c>
      <c r="G219">
        <v>1</v>
      </c>
      <c r="H219" t="str">
        <f t="shared" si="18"/>
        <v>2|2677|1</v>
      </c>
      <c r="I219" s="222" t="s">
        <v>9287</v>
      </c>
      <c r="J219">
        <v>40</v>
      </c>
      <c r="K219" t="str">
        <f t="shared" si="19"/>
        <v>2|2677|1|40</v>
      </c>
      <c r="L219" t="str">
        <f t="shared" si="22"/>
        <v>2|2677|1,2|2663|1,2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19" t="str">
        <f t="shared" si="23"/>
        <v>2|2677|1|40,2|2663|1|40,2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19" s="337">
        <v>20634</v>
      </c>
      <c r="R219" t="str">
        <f t="shared" si="21"/>
        <v>封魔长剑</v>
      </c>
    </row>
    <row r="220" spans="1:18" ht="16.5" hidden="1">
      <c r="A220" t="str">
        <f t="shared" si="20"/>
        <v>a05</v>
      </c>
      <c r="B220">
        <v>2</v>
      </c>
      <c r="C220" s="222" t="s">
        <v>9287</v>
      </c>
      <c r="D220">
        <f>VLOOKUP(F220,Sheet7!$B:$G,6,0)</f>
        <v>2691</v>
      </c>
      <c r="E220" s="222" t="s">
        <v>9287</v>
      </c>
      <c r="F220" s="331" t="s">
        <v>16380</v>
      </c>
      <c r="G220">
        <v>1</v>
      </c>
      <c r="H220" t="str">
        <f t="shared" si="18"/>
        <v>2|2691|1</v>
      </c>
      <c r="I220" s="222" t="s">
        <v>9287</v>
      </c>
      <c r="J220">
        <v>40</v>
      </c>
      <c r="K220" t="str">
        <f t="shared" si="19"/>
        <v>2|2691|1|40</v>
      </c>
      <c r="L220" t="str">
        <f t="shared" si="22"/>
        <v>2|2691|1,2|2677|1,2|2663|1,2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20" t="str">
        <f t="shared" si="23"/>
        <v>2|2691|1|40,2|2677|1|40,2|2663|1|40,2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20" s="337">
        <v>20635</v>
      </c>
      <c r="R220" t="str">
        <f t="shared" si="21"/>
        <v>封魔头盔</v>
      </c>
    </row>
    <row r="221" spans="1:18" ht="16.5">
      <c r="A221" t="str">
        <f t="shared" si="20"/>
        <v>a05</v>
      </c>
      <c r="B221">
        <v>2</v>
      </c>
      <c r="C221" s="222" t="s">
        <v>9287</v>
      </c>
      <c r="D221">
        <f>VLOOKUP(F221,Sheet7!$B:$G,6,0)</f>
        <v>2705</v>
      </c>
      <c r="E221" s="222" t="s">
        <v>9287</v>
      </c>
      <c r="F221" s="331" t="s">
        <v>16395</v>
      </c>
      <c r="G221">
        <v>1</v>
      </c>
      <c r="H221" t="str">
        <f t="shared" si="18"/>
        <v>2|2705|1</v>
      </c>
      <c r="I221" s="222" t="s">
        <v>9287</v>
      </c>
      <c r="J221">
        <v>40</v>
      </c>
      <c r="K221" t="str">
        <f t="shared" si="19"/>
        <v>2|2705|1|40</v>
      </c>
      <c r="L221" t="str">
        <f t="shared" si="22"/>
        <v>2|2705|1,2|2691|1,2|2677|1,2|2663|1,2|2649|1,2|2635|1,2|2621|1,2|2607|1,2|2593|1,2|2579|1,2|2565|1,2|2551|1,2|2537|1,2|2523|1,2|2509|1,2|2495|1,2|2481|1,2|2467|1,2|2453|1,2|2439|1,2|2425|1,2|2411|1,2|2397|1,2|2383|1,2|2369|1,2|2355|1,2|2341|1,2|2327|1,2|2309|1,2|2295|1,2|2285|1,2|2271|1,2|2068|1,2|2067|1,2|2066|1,2|2065|1,2|2072|1,2|2071|1,2|2070|1,2|2069|1,2|2146|1,2|2132|1,2|2118|1,2|2104|1</v>
      </c>
      <c r="M221" t="str">
        <f t="shared" si="23"/>
        <v>2|2705|1|40,2|2691|1|40,2|2677|1|40,2|2663|1|40,2|2649|1|40,2|2635|1|40,2|2621|1|40,2|2607|1|40,2|2593|1|40,2|2579|1|40,2|2565|1|40,2|2551|1|40,2|2537|1|40,2|2523|1|40,2|2509|1|40,2|2495|1|40,2|2481|1|40,2|2467|1|40,2|2453|1|40,2|2439|1|40,2|2425|1|40,2|2411|1|40,2|2397|1|40,2|2383|1|40,2|2369|1|40,2|2355|1|40,2|2341|1|40,2|2327|1|40,2|2309|1|20,2|2295|1|20,2|2285|1|20,2|2271|1|20,2|2068|1|20,2|2067|1|20,2|2066|1|20,2|2065|1|20,2|2072|1|20,2|2071|1|20,2|2070|1|20,2|2069|1|20,2|2146|1|10,2|2132|1|10,2|2118|1|10,2|2104|1|10</v>
      </c>
      <c r="N221" s="337">
        <v>20636</v>
      </c>
      <c r="R221" t="str">
        <f t="shared" si="21"/>
        <v>封魔战靴</v>
      </c>
    </row>
    <row r="222" spans="1:18" ht="16.5" hidden="1">
      <c r="A222" t="str">
        <f t="shared" si="20"/>
        <v>a06</v>
      </c>
      <c r="B222">
        <v>2</v>
      </c>
      <c r="C222" s="222" t="s">
        <v>9287</v>
      </c>
      <c r="D222">
        <f>VLOOKUP(F222,Sheet7!$B:$G,6,0)</f>
        <v>2105</v>
      </c>
      <c r="E222" s="222" t="s">
        <v>9287</v>
      </c>
      <c r="F222" s="331" t="s">
        <v>15751</v>
      </c>
      <c r="G222">
        <v>1</v>
      </c>
      <c r="H222" t="str">
        <f t="shared" si="18"/>
        <v>2|2105|1</v>
      </c>
      <c r="I222" s="222" t="s">
        <v>9287</v>
      </c>
      <c r="J222">
        <v>10</v>
      </c>
      <c r="K222" t="str">
        <f t="shared" si="19"/>
        <v>2|2105|1|10</v>
      </c>
      <c r="L222" t="str">
        <f t="shared" si="22"/>
        <v>2|2105|1</v>
      </c>
      <c r="M222" t="str">
        <f t="shared" si="23"/>
        <v>2|2105|1|10</v>
      </c>
      <c r="N222" s="337">
        <v>20637</v>
      </c>
      <c r="R222" t="str">
        <f t="shared" si="21"/>
        <v>蚩尤战甲</v>
      </c>
    </row>
    <row r="223" spans="1:18" ht="16.5" hidden="1">
      <c r="A223" t="str">
        <f t="shared" si="20"/>
        <v>a06</v>
      </c>
      <c r="B223">
        <v>2</v>
      </c>
      <c r="C223" s="222" t="s">
        <v>9287</v>
      </c>
      <c r="D223">
        <f>VLOOKUP(F223,Sheet7!$B:$G,6,0)</f>
        <v>2119</v>
      </c>
      <c r="E223" s="222" t="s">
        <v>9287</v>
      </c>
      <c r="F223" s="331" t="s">
        <v>15766</v>
      </c>
      <c r="G223">
        <v>1</v>
      </c>
      <c r="H223" t="str">
        <f t="shared" si="18"/>
        <v>2|2119|1</v>
      </c>
      <c r="I223" s="222" t="s">
        <v>9287</v>
      </c>
      <c r="J223">
        <v>10</v>
      </c>
      <c r="K223" t="str">
        <f t="shared" si="19"/>
        <v>2|2119|1|10</v>
      </c>
      <c r="L223" t="str">
        <f t="shared" si="22"/>
        <v>2|2119|1,2|2105|1</v>
      </c>
      <c r="M223" t="str">
        <f t="shared" si="23"/>
        <v>2|2119|1|10,2|2105|1|10</v>
      </c>
      <c r="N223" s="337">
        <v>20638</v>
      </c>
      <c r="R223" t="str">
        <f t="shared" si="21"/>
        <v>蚩尤长剑</v>
      </c>
    </row>
    <row r="224" spans="1:18" ht="16.5" hidden="1">
      <c r="A224" t="str">
        <f t="shared" si="20"/>
        <v>a06</v>
      </c>
      <c r="B224">
        <v>2</v>
      </c>
      <c r="C224" s="222" t="s">
        <v>9287</v>
      </c>
      <c r="D224">
        <f>VLOOKUP(F224,Sheet7!$B:$G,6,0)</f>
        <v>2133</v>
      </c>
      <c r="E224" s="222" t="s">
        <v>9287</v>
      </c>
      <c r="F224" s="331" t="s">
        <v>15781</v>
      </c>
      <c r="G224">
        <v>1</v>
      </c>
      <c r="H224" t="str">
        <f t="shared" si="18"/>
        <v>2|2133|1</v>
      </c>
      <c r="I224" s="222" t="s">
        <v>9287</v>
      </c>
      <c r="J224">
        <v>10</v>
      </c>
      <c r="K224" t="str">
        <f t="shared" si="19"/>
        <v>2|2133|1|10</v>
      </c>
      <c r="L224" t="str">
        <f t="shared" si="22"/>
        <v>2|2133|1,2|2119|1,2|2105|1</v>
      </c>
      <c r="M224" t="str">
        <f t="shared" si="23"/>
        <v>2|2133|1|10,2|2119|1|10,2|2105|1|10</v>
      </c>
      <c r="N224" s="337">
        <v>20639</v>
      </c>
      <c r="R224" t="str">
        <f t="shared" si="21"/>
        <v>蚩尤头盔</v>
      </c>
    </row>
    <row r="225" spans="1:18" ht="16.5" hidden="1">
      <c r="A225" t="str">
        <f t="shared" si="20"/>
        <v>a06</v>
      </c>
      <c r="B225">
        <v>2</v>
      </c>
      <c r="C225" s="222" t="s">
        <v>9287</v>
      </c>
      <c r="D225">
        <f>VLOOKUP(F225,Sheet7!$B:$G,6,0)</f>
        <v>2147</v>
      </c>
      <c r="E225" s="222" t="s">
        <v>9287</v>
      </c>
      <c r="F225" s="331" t="s">
        <v>15796</v>
      </c>
      <c r="G225">
        <v>1</v>
      </c>
      <c r="H225" t="str">
        <f t="shared" si="18"/>
        <v>2|2147|1</v>
      </c>
      <c r="I225" s="222" t="s">
        <v>9287</v>
      </c>
      <c r="J225">
        <v>10</v>
      </c>
      <c r="K225" t="str">
        <f t="shared" si="19"/>
        <v>2|2147|1|10</v>
      </c>
      <c r="L225" t="str">
        <f t="shared" si="22"/>
        <v>2|2147|1,2|2133|1,2|2119|1,2|2105|1</v>
      </c>
      <c r="M225" t="str">
        <f t="shared" si="23"/>
        <v>2|2147|1|10,2|2133|1|10,2|2119|1|10,2|2105|1|10</v>
      </c>
      <c r="N225" s="337">
        <v>20640</v>
      </c>
      <c r="R225" t="str">
        <f t="shared" si="21"/>
        <v>蚩尤战靴</v>
      </c>
    </row>
    <row r="226" spans="1:18" ht="16.5" hidden="1">
      <c r="A226" t="str">
        <f t="shared" si="20"/>
        <v>a06</v>
      </c>
      <c r="B226">
        <v>2</v>
      </c>
      <c r="C226" s="222" t="s">
        <v>9287</v>
      </c>
      <c r="D226">
        <f>VLOOKUP(F226,Sheet7!$B:$G,6,0)</f>
        <v>2160</v>
      </c>
      <c r="E226" s="222" t="s">
        <v>9287</v>
      </c>
      <c r="F226" s="331" t="s">
        <v>15811</v>
      </c>
      <c r="G226">
        <v>1</v>
      </c>
      <c r="H226" t="str">
        <f t="shared" si="18"/>
        <v>2|2160|1</v>
      </c>
      <c r="I226" s="222" t="s">
        <v>9287</v>
      </c>
      <c r="J226">
        <v>20</v>
      </c>
      <c r="K226" t="str">
        <f t="shared" si="19"/>
        <v>2|2160|1|20</v>
      </c>
      <c r="L226" t="str">
        <f t="shared" si="22"/>
        <v>2|2160|1,2|2147|1,2|2133|1,2|2119|1,2|2105|1</v>
      </c>
      <c r="M226" t="str">
        <f t="shared" si="23"/>
        <v>2|2160|1|20,2|2147|1|10,2|2133|1|10,2|2119|1|10,2|2105|1|10</v>
      </c>
      <c r="N226" s="337">
        <v>20641</v>
      </c>
      <c r="R226" t="str">
        <f t="shared" si="21"/>
        <v>天罡战甲</v>
      </c>
    </row>
    <row r="227" spans="1:18" ht="16.5" hidden="1">
      <c r="A227" t="str">
        <f t="shared" si="20"/>
        <v>a06</v>
      </c>
      <c r="B227">
        <v>2</v>
      </c>
      <c r="C227" s="222" t="s">
        <v>9287</v>
      </c>
      <c r="D227">
        <f>VLOOKUP(F227,Sheet7!$B:$G,6,0)</f>
        <v>2174</v>
      </c>
      <c r="E227" s="222" t="s">
        <v>9287</v>
      </c>
      <c r="F227" s="331" t="s">
        <v>15826</v>
      </c>
      <c r="G227">
        <v>1</v>
      </c>
      <c r="H227" t="str">
        <f t="shared" si="18"/>
        <v>2|2174|1</v>
      </c>
      <c r="I227" s="222" t="s">
        <v>9287</v>
      </c>
      <c r="J227">
        <v>20</v>
      </c>
      <c r="K227" t="str">
        <f t="shared" si="19"/>
        <v>2|2174|1|20</v>
      </c>
      <c r="L227" t="str">
        <f t="shared" si="22"/>
        <v>2|2174|1,2|2160|1,2|2147|1,2|2133|1,2|2119|1,2|2105|1</v>
      </c>
      <c r="M227" t="str">
        <f t="shared" si="23"/>
        <v>2|2174|1|20,2|2160|1|20,2|2147|1|10,2|2133|1|10,2|2119|1|10,2|2105|1|10</v>
      </c>
      <c r="N227" s="337">
        <v>641</v>
      </c>
      <c r="R227" t="str">
        <f t="shared" si="21"/>
        <v>天罡长剑</v>
      </c>
    </row>
    <row r="228" spans="1:18" ht="16.5" hidden="1">
      <c r="A228" t="str">
        <f t="shared" si="20"/>
        <v>a06</v>
      </c>
      <c r="B228">
        <v>2</v>
      </c>
      <c r="C228" s="222" t="s">
        <v>9287</v>
      </c>
      <c r="D228">
        <f>VLOOKUP(F228,Sheet7!$B:$G,6,0)</f>
        <v>2188</v>
      </c>
      <c r="E228" s="222" t="s">
        <v>9287</v>
      </c>
      <c r="F228" s="331" t="s">
        <v>15841</v>
      </c>
      <c r="G228">
        <v>1</v>
      </c>
      <c r="H228" t="str">
        <f t="shared" si="18"/>
        <v>2|2188|1</v>
      </c>
      <c r="I228" s="222" t="s">
        <v>9287</v>
      </c>
      <c r="J228">
        <v>20</v>
      </c>
      <c r="K228" t="str">
        <f t="shared" si="19"/>
        <v>2|2188|1|20</v>
      </c>
      <c r="L228" t="str">
        <f t="shared" si="22"/>
        <v>2|2188|1,2|2174|1,2|2160|1,2|2147|1,2|2133|1,2|2119|1,2|2105|1</v>
      </c>
      <c r="M228" t="str">
        <f t="shared" si="23"/>
        <v>2|2188|1|20,2|2174|1|20,2|2160|1|20,2|2147|1|10,2|2133|1|10,2|2119|1|10,2|2105|1|10</v>
      </c>
      <c r="N228" s="337">
        <v>642</v>
      </c>
      <c r="R228" t="str">
        <f t="shared" si="21"/>
        <v>天罡头盔</v>
      </c>
    </row>
    <row r="229" spans="1:18" ht="16.5" hidden="1">
      <c r="A229" t="str">
        <f t="shared" si="20"/>
        <v>a06</v>
      </c>
      <c r="B229">
        <v>2</v>
      </c>
      <c r="C229" s="222" t="s">
        <v>9287</v>
      </c>
      <c r="D229">
        <f>VLOOKUP(F229,Sheet7!$B:$G,6,0)</f>
        <v>2202</v>
      </c>
      <c r="E229" s="222" t="s">
        <v>9287</v>
      </c>
      <c r="F229" s="331" t="s">
        <v>15856</v>
      </c>
      <c r="G229">
        <v>1</v>
      </c>
      <c r="H229" t="str">
        <f t="shared" si="18"/>
        <v>2|2202|1</v>
      </c>
      <c r="I229" s="222" t="s">
        <v>9287</v>
      </c>
      <c r="J229">
        <v>20</v>
      </c>
      <c r="K229" t="str">
        <f t="shared" si="19"/>
        <v>2|2202|1|20</v>
      </c>
      <c r="L229" t="str">
        <f t="shared" si="22"/>
        <v>2|2202|1,2|2188|1,2|2174|1,2|2160|1,2|2147|1,2|2133|1,2|2119|1,2|2105|1</v>
      </c>
      <c r="M229" t="str">
        <f t="shared" si="23"/>
        <v>2|2202|1|20,2|2188|1|20,2|2174|1|20,2|2160|1|20,2|2147|1|10,2|2133|1|10,2|2119|1|10,2|2105|1|10</v>
      </c>
      <c r="N229" s="337">
        <v>643</v>
      </c>
      <c r="R229" t="str">
        <f t="shared" si="21"/>
        <v>天罡战靴</v>
      </c>
    </row>
    <row r="230" spans="1:18" ht="16.5" hidden="1">
      <c r="A230" t="str">
        <f t="shared" si="20"/>
        <v>a06</v>
      </c>
      <c r="B230">
        <v>2</v>
      </c>
      <c r="C230" s="222" t="s">
        <v>9287</v>
      </c>
      <c r="D230">
        <f>VLOOKUP(F230,Sheet7!$B:$G,6,0)</f>
        <v>2216</v>
      </c>
      <c r="E230" s="222" t="s">
        <v>9287</v>
      </c>
      <c r="F230" s="331" t="s">
        <v>15871</v>
      </c>
      <c r="G230">
        <v>1</v>
      </c>
      <c r="H230" t="str">
        <f t="shared" si="18"/>
        <v>2|2216|1</v>
      </c>
      <c r="I230" s="222" t="s">
        <v>9287</v>
      </c>
      <c r="J230">
        <v>20</v>
      </c>
      <c r="K230" t="str">
        <f t="shared" si="19"/>
        <v>2|2216|1|20</v>
      </c>
      <c r="L230" t="str">
        <f t="shared" si="22"/>
        <v>2|2216|1,2|2202|1,2|2188|1,2|2174|1,2|2160|1,2|2147|1,2|2133|1,2|2119|1,2|2105|1</v>
      </c>
      <c r="M230" t="str">
        <f t="shared" si="23"/>
        <v>2|2216|1|20,2|2202|1|20,2|2188|1|20,2|2174|1|20,2|2160|1|20,2|2147|1|10,2|2133|1|10,2|2119|1|10,2|2105|1|10</v>
      </c>
      <c r="N230" s="337">
        <v>2064</v>
      </c>
      <c r="R230" t="str">
        <f t="shared" si="21"/>
        <v>降魔战甲</v>
      </c>
    </row>
    <row r="231" spans="1:18" ht="16.5" hidden="1">
      <c r="A231" t="str">
        <f t="shared" si="20"/>
        <v>a06</v>
      </c>
      <c r="B231">
        <v>2</v>
      </c>
      <c r="C231" s="222" t="s">
        <v>9287</v>
      </c>
      <c r="D231">
        <f>VLOOKUP(F231,Sheet7!$B:$G,6,0)</f>
        <v>2230</v>
      </c>
      <c r="E231" s="222" t="s">
        <v>9287</v>
      </c>
      <c r="F231" s="331" t="s">
        <v>15886</v>
      </c>
      <c r="G231">
        <v>1</v>
      </c>
      <c r="H231" t="str">
        <f t="shared" si="18"/>
        <v>2|2230|1</v>
      </c>
      <c r="I231" s="222" t="s">
        <v>9287</v>
      </c>
      <c r="J231">
        <v>20</v>
      </c>
      <c r="K231" t="str">
        <f t="shared" si="19"/>
        <v>2|2230|1|20</v>
      </c>
      <c r="L231" t="str">
        <f t="shared" si="22"/>
        <v>2|2230|1,2|2216|1,2|2202|1,2|2188|1,2|2174|1,2|2160|1,2|2147|1,2|2133|1,2|2119|1,2|2105|1</v>
      </c>
      <c r="M231" t="str">
        <f t="shared" si="23"/>
        <v>2|2230|1|20,2|2216|1|20,2|2202|1|20,2|2188|1|20,2|2174|1|20,2|2160|1|20,2|2147|1|10,2|2133|1|10,2|2119|1|10,2|2105|1|10</v>
      </c>
      <c r="N231" s="337">
        <v>20641</v>
      </c>
      <c r="R231" t="str">
        <f t="shared" si="21"/>
        <v>降魔长剑</v>
      </c>
    </row>
    <row r="232" spans="1:18" ht="16.5" hidden="1">
      <c r="A232" t="str">
        <f t="shared" si="20"/>
        <v>a06</v>
      </c>
      <c r="B232">
        <v>2</v>
      </c>
      <c r="C232" s="222" t="s">
        <v>9287</v>
      </c>
      <c r="D232">
        <f>VLOOKUP(F232,Sheet7!$B:$G,6,0)</f>
        <v>2244</v>
      </c>
      <c r="E232" s="222" t="s">
        <v>9287</v>
      </c>
      <c r="F232" s="331" t="s">
        <v>15901</v>
      </c>
      <c r="G232">
        <v>1</v>
      </c>
      <c r="H232" t="str">
        <f t="shared" si="18"/>
        <v>2|2244|1</v>
      </c>
      <c r="I232" s="222" t="s">
        <v>9287</v>
      </c>
      <c r="J232">
        <v>20</v>
      </c>
      <c r="K232" t="str">
        <f t="shared" si="19"/>
        <v>2|2244|1|20</v>
      </c>
      <c r="L232" t="str">
        <f t="shared" si="22"/>
        <v>2|2244|1,2|2230|1,2|2216|1,2|2202|1,2|2188|1,2|2174|1,2|2160|1,2|2147|1,2|2133|1,2|2119|1,2|2105|1</v>
      </c>
      <c r="M232" t="str">
        <f t="shared" si="23"/>
        <v>2|2244|1|20,2|2230|1|20,2|2216|1|20,2|2202|1|20,2|2188|1|20,2|2174|1|20,2|2160|1|20,2|2147|1|10,2|2133|1|10,2|2119|1|10,2|2105|1|10</v>
      </c>
      <c r="N232" s="337">
        <v>20642</v>
      </c>
      <c r="R232" t="str">
        <f t="shared" si="21"/>
        <v>降魔头盔</v>
      </c>
    </row>
    <row r="233" spans="1:18" ht="16.5" hidden="1">
      <c r="A233" t="str">
        <f t="shared" si="20"/>
        <v>a06</v>
      </c>
      <c r="B233">
        <v>2</v>
      </c>
      <c r="C233" s="222" t="s">
        <v>9287</v>
      </c>
      <c r="D233">
        <f>VLOOKUP(F233,Sheet7!$B:$G,6,0)</f>
        <v>2258</v>
      </c>
      <c r="E233" s="222" t="s">
        <v>9287</v>
      </c>
      <c r="F233" s="331" t="s">
        <v>15916</v>
      </c>
      <c r="G233">
        <v>1</v>
      </c>
      <c r="H233" t="str">
        <f t="shared" si="18"/>
        <v>2|2258|1</v>
      </c>
      <c r="I233" s="222" t="s">
        <v>9287</v>
      </c>
      <c r="J233">
        <v>20</v>
      </c>
      <c r="K233" t="str">
        <f t="shared" si="19"/>
        <v>2|2258|1|20</v>
      </c>
      <c r="L233" t="str">
        <f t="shared" si="22"/>
        <v>2|2258|1,2|2244|1,2|2230|1,2|2216|1,2|2202|1,2|2188|1,2|2174|1,2|2160|1,2|2147|1,2|2133|1,2|2119|1,2|2105|1</v>
      </c>
      <c r="M233" t="str">
        <f t="shared" si="23"/>
        <v>2|2258|1|20,2|2244|1|20,2|2230|1|20,2|2216|1|20,2|2202|1|20,2|2188|1|20,2|2174|1|20,2|2160|1|20,2|2147|1|10,2|2133|1|10,2|2119|1|10,2|2105|1|10</v>
      </c>
      <c r="N233" s="337">
        <v>20643</v>
      </c>
      <c r="R233" t="str">
        <f t="shared" si="21"/>
        <v>降魔战靴</v>
      </c>
    </row>
    <row r="234" spans="1:18" ht="16.5" hidden="1">
      <c r="A234" t="str">
        <f t="shared" si="20"/>
        <v>a06</v>
      </c>
      <c r="B234">
        <v>2</v>
      </c>
      <c r="C234" s="222" t="s">
        <v>9287</v>
      </c>
      <c r="D234">
        <f>VLOOKUP(F234,Sheet7!$B:$G,6,0)</f>
        <v>2272</v>
      </c>
      <c r="E234" s="222" t="s">
        <v>9287</v>
      </c>
      <c r="F234" s="331" t="s">
        <v>15931</v>
      </c>
      <c r="G234">
        <v>1</v>
      </c>
      <c r="H234" t="str">
        <f t="shared" si="18"/>
        <v>2|2272|1</v>
      </c>
      <c r="I234" s="222" t="s">
        <v>9287</v>
      </c>
      <c r="J234">
        <v>20</v>
      </c>
      <c r="K234" t="str">
        <f t="shared" si="19"/>
        <v>2|2272|1|20</v>
      </c>
      <c r="L234" t="str">
        <f t="shared" si="22"/>
        <v>2|2272|1,2|2258|1,2|2244|1,2|2230|1,2|2216|1,2|2202|1,2|2188|1,2|2174|1,2|2160|1,2|2147|1,2|2133|1,2|2119|1,2|2105|1</v>
      </c>
      <c r="M234" t="str">
        <f t="shared" si="23"/>
        <v>2|2272|1|20,2|2258|1|20,2|2244|1|20,2|2230|1|20,2|2216|1|20,2|2202|1|20,2|2188|1|20,2|2174|1|20,2|2160|1|20,2|2147|1|10,2|2133|1|10,2|2119|1|10,2|2105|1|10</v>
      </c>
      <c r="N234" s="337">
        <v>20644</v>
      </c>
      <c r="R234" t="str">
        <f t="shared" si="21"/>
        <v>血魔战甲</v>
      </c>
    </row>
    <row r="235" spans="1:18" ht="16.5" hidden="1">
      <c r="A235" t="str">
        <f t="shared" si="20"/>
        <v>a06</v>
      </c>
      <c r="B235">
        <v>2</v>
      </c>
      <c r="C235" s="222" t="s">
        <v>9287</v>
      </c>
      <c r="D235">
        <f>VLOOKUP(F235,Sheet7!$B:$G,6,0)</f>
        <v>2286</v>
      </c>
      <c r="E235" s="222" t="s">
        <v>9287</v>
      </c>
      <c r="F235" s="331" t="s">
        <v>15946</v>
      </c>
      <c r="G235">
        <v>1</v>
      </c>
      <c r="H235" t="str">
        <f t="shared" si="18"/>
        <v>2|2286|1</v>
      </c>
      <c r="I235" s="222" t="s">
        <v>9287</v>
      </c>
      <c r="J235">
        <v>20</v>
      </c>
      <c r="K235" t="str">
        <f t="shared" si="19"/>
        <v>2|2286|1|20</v>
      </c>
      <c r="L235" t="str">
        <f t="shared" si="22"/>
        <v>2|2286|1,2|2272|1,2|2258|1,2|2244|1,2|2230|1,2|2216|1,2|2202|1,2|2188|1,2|2174|1,2|2160|1,2|2147|1,2|2133|1,2|2119|1,2|2105|1</v>
      </c>
      <c r="M235" t="str">
        <f t="shared" si="23"/>
        <v>2|2286|1|20,2|2272|1|20,2|2258|1|20,2|2244|1|20,2|2230|1|20,2|2216|1|20,2|2202|1|20,2|2188|1|20,2|2174|1|20,2|2160|1|20,2|2147|1|10,2|2133|1|10,2|2119|1|10,2|2105|1|10</v>
      </c>
      <c r="N235" s="337">
        <v>20645</v>
      </c>
      <c r="R235" t="str">
        <f t="shared" si="21"/>
        <v>赤霄长剑</v>
      </c>
    </row>
    <row r="236" spans="1:18" ht="16.5" hidden="1">
      <c r="A236" t="str">
        <f t="shared" si="20"/>
        <v>a06</v>
      </c>
      <c r="B236">
        <v>2</v>
      </c>
      <c r="C236" s="222" t="s">
        <v>9287</v>
      </c>
      <c r="D236">
        <f>VLOOKUP(F236,Sheet7!$B:$G,6,0)</f>
        <v>2300</v>
      </c>
      <c r="E236" s="222" t="s">
        <v>9287</v>
      </c>
      <c r="F236" s="331" t="s">
        <v>15961</v>
      </c>
      <c r="G236">
        <v>1</v>
      </c>
      <c r="H236" t="str">
        <f t="shared" si="18"/>
        <v>2|2300|1</v>
      </c>
      <c r="I236" s="222" t="s">
        <v>9287</v>
      </c>
      <c r="J236">
        <v>20</v>
      </c>
      <c r="K236" t="str">
        <f t="shared" si="19"/>
        <v>2|2300|1|20</v>
      </c>
      <c r="L236" t="str">
        <f t="shared" si="22"/>
        <v>2|2300|1,2|2286|1,2|2272|1,2|2258|1,2|2244|1,2|2230|1,2|2216|1,2|2202|1,2|2188|1,2|2174|1,2|2160|1,2|2147|1,2|2133|1,2|2119|1,2|2105|1</v>
      </c>
      <c r="M236" t="str">
        <f t="shared" si="23"/>
        <v>2|2300|1|20,2|2286|1|20,2|2272|1|20,2|2258|1|20,2|2244|1|20,2|2230|1|20,2|2216|1|20,2|2202|1|20,2|2188|1|20,2|2174|1|20,2|2160|1|20,2|2147|1|10,2|2133|1|10,2|2119|1|10,2|2105|1|10</v>
      </c>
      <c r="N236" s="337">
        <v>20646</v>
      </c>
      <c r="R236" t="str">
        <f t="shared" si="21"/>
        <v>麒麟头盔</v>
      </c>
    </row>
    <row r="237" spans="1:18" ht="16.5" hidden="1">
      <c r="A237" t="str">
        <f t="shared" si="20"/>
        <v>a06</v>
      </c>
      <c r="B237">
        <v>2</v>
      </c>
      <c r="C237" s="222" t="s">
        <v>9287</v>
      </c>
      <c r="D237">
        <f>VLOOKUP(F237,Sheet7!$B:$G,6,0)</f>
        <v>2314</v>
      </c>
      <c r="E237" s="222" t="s">
        <v>9287</v>
      </c>
      <c r="F237" s="331" t="s">
        <v>15976</v>
      </c>
      <c r="G237">
        <v>1</v>
      </c>
      <c r="H237" t="str">
        <f t="shared" si="18"/>
        <v>2|2314|1</v>
      </c>
      <c r="I237" s="222" t="s">
        <v>9287</v>
      </c>
      <c r="J237">
        <v>20</v>
      </c>
      <c r="K237" t="str">
        <f t="shared" si="19"/>
        <v>2|2314|1|20</v>
      </c>
      <c r="L237" t="str">
        <f t="shared" si="22"/>
        <v>2|2314|1,2|2300|1,2|2286|1,2|2272|1,2|2258|1,2|2244|1,2|2230|1,2|2216|1,2|2202|1,2|2188|1,2|2174|1,2|2160|1,2|2147|1,2|2133|1,2|2119|1,2|2105|1</v>
      </c>
      <c r="M237" t="str">
        <f t="shared" si="23"/>
        <v>2|2314|1|20,2|2300|1|20,2|2286|1|20,2|2272|1|20,2|2258|1|20,2|2244|1|20,2|2230|1|20,2|2216|1|20,2|2202|1|20,2|2188|1|20,2|2174|1|20,2|2160|1|20,2|2147|1|10,2|2133|1|10,2|2119|1|10,2|2105|1|10</v>
      </c>
      <c r="N237" s="337">
        <v>20647</v>
      </c>
      <c r="R237" t="str">
        <f t="shared" si="21"/>
        <v>兽魂战靴</v>
      </c>
    </row>
    <row r="238" spans="1:18" ht="16.5" hidden="1">
      <c r="A238" t="str">
        <f t="shared" si="20"/>
        <v>a06</v>
      </c>
      <c r="B238">
        <v>2</v>
      </c>
      <c r="C238" s="222" t="s">
        <v>9287</v>
      </c>
      <c r="D238">
        <f>VLOOKUP(F238,Sheet7!$B:$G,6,0)</f>
        <v>2328</v>
      </c>
      <c r="E238" s="222" t="s">
        <v>9287</v>
      </c>
      <c r="F238" s="331" t="s">
        <v>15991</v>
      </c>
      <c r="G238">
        <v>1</v>
      </c>
      <c r="H238" t="str">
        <f t="shared" si="18"/>
        <v>2|2328|1</v>
      </c>
      <c r="I238" s="222" t="s">
        <v>9287</v>
      </c>
      <c r="J238">
        <v>40</v>
      </c>
      <c r="K238" t="str">
        <f t="shared" si="19"/>
        <v>2|2328|1|40</v>
      </c>
      <c r="L238" t="str">
        <f t="shared" si="22"/>
        <v>2|2328|1,2|2314|1,2|2300|1,2|2286|1,2|2272|1,2|2258|1,2|2244|1,2|2230|1,2|2216|1,2|2202|1,2|2188|1,2|2174|1,2|2160|1,2|2147|1,2|2133|1,2|2119|1,2|2105|1</v>
      </c>
      <c r="M238" t="str">
        <f t="shared" si="23"/>
        <v>2|2328|1|40,2|2314|1|20,2|2300|1|20,2|2286|1|20,2|2272|1|20,2|2258|1|20,2|2244|1|20,2|2230|1|20,2|2216|1|20,2|2202|1|20,2|2188|1|20,2|2174|1|20,2|2160|1|20,2|2147|1|10,2|2133|1|10,2|2119|1|10,2|2105|1|10</v>
      </c>
      <c r="N238" s="337">
        <v>20648</v>
      </c>
      <c r="R238" t="str">
        <f t="shared" si="21"/>
        <v>磐石战甲</v>
      </c>
    </row>
    <row r="239" spans="1:18" ht="16.5" hidden="1">
      <c r="A239" t="str">
        <f t="shared" si="20"/>
        <v>a06</v>
      </c>
      <c r="B239">
        <v>2</v>
      </c>
      <c r="C239" s="222" t="s">
        <v>9287</v>
      </c>
      <c r="D239">
        <f>VLOOKUP(F239,Sheet7!$B:$G,6,0)</f>
        <v>2342</v>
      </c>
      <c r="E239" s="222" t="s">
        <v>9287</v>
      </c>
      <c r="F239" s="331" t="s">
        <v>16006</v>
      </c>
      <c r="G239">
        <v>1</v>
      </c>
      <c r="H239" t="str">
        <f t="shared" si="18"/>
        <v>2|2342|1</v>
      </c>
      <c r="I239" s="222" t="s">
        <v>9287</v>
      </c>
      <c r="J239">
        <v>40</v>
      </c>
      <c r="K239" t="str">
        <f t="shared" si="19"/>
        <v>2|2342|1|40</v>
      </c>
      <c r="L239" t="str">
        <f t="shared" si="22"/>
        <v>2|2342|1,2|2328|1,2|2314|1,2|2300|1,2|2286|1,2|2272|1,2|2258|1,2|2244|1,2|2230|1,2|2216|1,2|2202|1,2|2188|1,2|2174|1,2|2160|1,2|2147|1,2|2133|1,2|2119|1,2|2105|1</v>
      </c>
      <c r="M239" t="str">
        <f t="shared" si="23"/>
        <v>2|2342|1|40,2|2328|1|40,2|2314|1|20,2|2300|1|20,2|2286|1|20,2|2272|1|20,2|2258|1|20,2|2244|1|20,2|2230|1|20,2|2216|1|20,2|2202|1|20,2|2188|1|20,2|2174|1|20,2|2160|1|20,2|2147|1|10,2|2133|1|10,2|2119|1|10,2|2105|1|10</v>
      </c>
      <c r="N239" s="337">
        <v>20649</v>
      </c>
      <c r="R239" t="str">
        <f t="shared" si="21"/>
        <v>磐石长剑</v>
      </c>
    </row>
    <row r="240" spans="1:18" ht="16.5" hidden="1">
      <c r="A240" t="str">
        <f t="shared" si="20"/>
        <v>a06</v>
      </c>
      <c r="B240">
        <v>2</v>
      </c>
      <c r="C240" s="222" t="s">
        <v>9287</v>
      </c>
      <c r="D240">
        <f>VLOOKUP(F240,Sheet7!$B:$G,6,0)</f>
        <v>2356</v>
      </c>
      <c r="E240" s="222" t="s">
        <v>9287</v>
      </c>
      <c r="F240" s="331" t="s">
        <v>16021</v>
      </c>
      <c r="G240">
        <v>1</v>
      </c>
      <c r="H240" t="str">
        <f t="shared" si="18"/>
        <v>2|2356|1</v>
      </c>
      <c r="I240" s="222" t="s">
        <v>9287</v>
      </c>
      <c r="J240">
        <v>40</v>
      </c>
      <c r="K240" t="str">
        <f t="shared" si="19"/>
        <v>2|2356|1|40</v>
      </c>
      <c r="L240" t="str">
        <f t="shared" si="22"/>
        <v>2|2356|1,2|2342|1,2|2328|1,2|2314|1,2|2300|1,2|2286|1,2|2272|1,2|2258|1,2|2244|1,2|2230|1,2|2216|1,2|2202|1,2|2188|1,2|2174|1,2|2160|1,2|2147|1,2|2133|1,2|2119|1,2|2105|1</v>
      </c>
      <c r="M240" t="str">
        <f t="shared" si="23"/>
        <v>2|2356|1|40,2|2342|1|40,2|2328|1|40,2|2314|1|20,2|2300|1|20,2|2286|1|20,2|2272|1|20,2|2258|1|20,2|2244|1|20,2|2230|1|20,2|2216|1|20,2|2202|1|20,2|2188|1|20,2|2174|1|20,2|2160|1|20,2|2147|1|10,2|2133|1|10,2|2119|1|10,2|2105|1|10</v>
      </c>
      <c r="N240" s="337">
        <v>20650</v>
      </c>
      <c r="R240" t="str">
        <f t="shared" si="21"/>
        <v>磐石头盔</v>
      </c>
    </row>
    <row r="241" spans="1:18" ht="16.5" hidden="1">
      <c r="A241" t="str">
        <f t="shared" si="20"/>
        <v>a06</v>
      </c>
      <c r="B241">
        <v>2</v>
      </c>
      <c r="C241" s="222" t="s">
        <v>9287</v>
      </c>
      <c r="D241">
        <f>VLOOKUP(F241,Sheet7!$B:$G,6,0)</f>
        <v>2370</v>
      </c>
      <c r="E241" s="222" t="s">
        <v>9287</v>
      </c>
      <c r="F241" s="331" t="s">
        <v>16036</v>
      </c>
      <c r="G241">
        <v>1</v>
      </c>
      <c r="H241" t="str">
        <f t="shared" si="18"/>
        <v>2|2370|1</v>
      </c>
      <c r="I241" s="222" t="s">
        <v>9287</v>
      </c>
      <c r="J241">
        <v>40</v>
      </c>
      <c r="K241" t="str">
        <f t="shared" si="19"/>
        <v>2|2370|1|40</v>
      </c>
      <c r="L241" t="str">
        <f t="shared" si="22"/>
        <v>2|2370|1,2|2356|1,2|2342|1,2|2328|1,2|2314|1,2|2300|1,2|2286|1,2|2272|1,2|2258|1,2|2244|1,2|2230|1,2|2216|1,2|2202|1,2|2188|1,2|2174|1,2|2160|1,2|2147|1,2|2133|1,2|2119|1,2|2105|1</v>
      </c>
      <c r="M241" t="str">
        <f t="shared" si="23"/>
        <v>2|2370|1|40,2|2356|1|40,2|2342|1|40,2|2328|1|40,2|2314|1|20,2|2300|1|20,2|2286|1|20,2|2272|1|20,2|2258|1|20,2|2244|1|20,2|2230|1|20,2|2216|1|20,2|2202|1|20,2|2188|1|20,2|2174|1|20,2|2160|1|20,2|2147|1|10,2|2133|1|10,2|2119|1|10,2|2105|1|10</v>
      </c>
      <c r="N241" s="337">
        <v>20651</v>
      </c>
      <c r="R241" t="str">
        <f t="shared" si="21"/>
        <v>磐石战靴</v>
      </c>
    </row>
    <row r="242" spans="1:18" ht="16.5" hidden="1">
      <c r="A242" t="str">
        <f t="shared" si="20"/>
        <v>a06</v>
      </c>
      <c r="B242">
        <v>2</v>
      </c>
      <c r="C242" s="222" t="s">
        <v>9287</v>
      </c>
      <c r="D242">
        <f>VLOOKUP(F242,Sheet7!$B:$G,6,0)</f>
        <v>2384</v>
      </c>
      <c r="E242" s="222" t="s">
        <v>9287</v>
      </c>
      <c r="F242" s="331" t="s">
        <v>16051</v>
      </c>
      <c r="G242">
        <v>1</v>
      </c>
      <c r="H242" t="str">
        <f t="shared" si="18"/>
        <v>2|2384|1</v>
      </c>
      <c r="I242" s="222" t="s">
        <v>9287</v>
      </c>
      <c r="J242">
        <v>40</v>
      </c>
      <c r="K242" t="str">
        <f t="shared" si="19"/>
        <v>2|2384|1|40</v>
      </c>
      <c r="L242" t="str">
        <f t="shared" si="22"/>
        <v>2|2384|1,2|2370|1,2|2356|1,2|2342|1,2|2328|1,2|2314|1,2|2300|1,2|2286|1,2|2272|1,2|2258|1,2|2244|1,2|2230|1,2|2216|1,2|2202|1,2|2188|1,2|2174|1,2|2160|1,2|2147|1,2|2133|1,2|2119|1,2|2105|1</v>
      </c>
      <c r="M242" t="str">
        <f t="shared" si="23"/>
        <v>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2" s="339">
        <v>491</v>
      </c>
      <c r="R242" t="str">
        <f t="shared" si="21"/>
        <v>连云战甲</v>
      </c>
    </row>
    <row r="243" spans="1:18" ht="16.5" hidden="1">
      <c r="A243" t="str">
        <f t="shared" si="20"/>
        <v>a06</v>
      </c>
      <c r="B243">
        <v>2</v>
      </c>
      <c r="C243" s="222" t="s">
        <v>9287</v>
      </c>
      <c r="D243">
        <f>VLOOKUP(F243,Sheet7!$B:$G,6,0)</f>
        <v>2398</v>
      </c>
      <c r="E243" s="222" t="s">
        <v>9287</v>
      </c>
      <c r="F243" s="331" t="s">
        <v>16066</v>
      </c>
      <c r="G243">
        <v>1</v>
      </c>
      <c r="H243" t="str">
        <f t="shared" si="18"/>
        <v>2|2398|1</v>
      </c>
      <c r="I243" s="222" t="s">
        <v>9287</v>
      </c>
      <c r="J243">
        <v>40</v>
      </c>
      <c r="K243" t="str">
        <f t="shared" si="19"/>
        <v>2|2398|1|40</v>
      </c>
      <c r="L243" t="str">
        <f t="shared" si="22"/>
        <v>2|2398|1,2|2384|1,2|2370|1,2|2356|1,2|2342|1,2|2328|1,2|2314|1,2|2300|1,2|2286|1,2|2272|1,2|2258|1,2|2244|1,2|2230|1,2|2216|1,2|2202|1,2|2188|1,2|2174|1,2|2160|1,2|2147|1,2|2133|1,2|2119|1,2|2105|1</v>
      </c>
      <c r="M243" t="str">
        <f t="shared" si="23"/>
        <v>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3" s="339">
        <v>492</v>
      </c>
      <c r="R243" t="str">
        <f t="shared" si="21"/>
        <v>紫阳长剑</v>
      </c>
    </row>
    <row r="244" spans="1:18" ht="16.5" hidden="1">
      <c r="A244" t="str">
        <f t="shared" si="20"/>
        <v>a06</v>
      </c>
      <c r="B244">
        <v>2</v>
      </c>
      <c r="C244" s="222" t="s">
        <v>9287</v>
      </c>
      <c r="D244">
        <f>VLOOKUP(F244,Sheet7!$B:$G,6,0)</f>
        <v>2412</v>
      </c>
      <c r="E244" s="222" t="s">
        <v>9287</v>
      </c>
      <c r="F244" s="331" t="s">
        <v>16081</v>
      </c>
      <c r="G244">
        <v>1</v>
      </c>
      <c r="H244" t="str">
        <f t="shared" si="18"/>
        <v>2|2412|1</v>
      </c>
      <c r="I244" s="222" t="s">
        <v>9287</v>
      </c>
      <c r="J244">
        <v>40</v>
      </c>
      <c r="K244" t="str">
        <f t="shared" si="19"/>
        <v>2|2412|1|40</v>
      </c>
      <c r="L244" t="str">
        <f t="shared" si="22"/>
        <v>2|2412|1,2|2398|1,2|2384|1,2|2370|1,2|2356|1,2|2342|1,2|2328|1,2|2314|1,2|2300|1,2|2286|1,2|2272|1,2|2258|1,2|2244|1,2|2230|1,2|2216|1,2|2202|1,2|2188|1,2|2174|1,2|2160|1,2|2147|1,2|2133|1,2|2119|1,2|2105|1</v>
      </c>
      <c r="M244" t="str">
        <f t="shared" si="23"/>
        <v>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4" s="339">
        <v>2049</v>
      </c>
      <c r="R244" t="str">
        <f t="shared" si="21"/>
        <v>耀日头盔</v>
      </c>
    </row>
    <row r="245" spans="1:18" ht="16.5" hidden="1">
      <c r="A245" t="str">
        <f t="shared" si="20"/>
        <v>a06</v>
      </c>
      <c r="B245">
        <v>2</v>
      </c>
      <c r="C245" s="222" t="s">
        <v>9287</v>
      </c>
      <c r="D245">
        <f>VLOOKUP(F245,Sheet7!$B:$G,6,0)</f>
        <v>2426</v>
      </c>
      <c r="E245" s="222" t="s">
        <v>9287</v>
      </c>
      <c r="F245" s="331" t="s">
        <v>16096</v>
      </c>
      <c r="G245">
        <v>1</v>
      </c>
      <c r="H245" t="str">
        <f t="shared" si="18"/>
        <v>2|2426|1</v>
      </c>
      <c r="I245" s="222" t="s">
        <v>9287</v>
      </c>
      <c r="J245">
        <v>40</v>
      </c>
      <c r="K245" t="str">
        <f t="shared" si="19"/>
        <v>2|2426|1|40</v>
      </c>
      <c r="L245" t="str">
        <f t="shared" si="22"/>
        <v>2|2426|1,2|2412|1,2|2398|1,2|2384|1,2|2370|1,2|2356|1,2|2342|1,2|2328|1,2|2314|1,2|2300|1,2|2286|1,2|2272|1,2|2258|1,2|2244|1,2|2230|1,2|2216|1,2|2202|1,2|2188|1,2|2174|1,2|2160|1,2|2147|1,2|2133|1,2|2119|1,2|2105|1</v>
      </c>
      <c r="M245" t="str">
        <f t="shared" si="23"/>
        <v>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5" s="339">
        <v>20491</v>
      </c>
      <c r="R245" t="str">
        <f t="shared" si="21"/>
        <v>雷霆战靴</v>
      </c>
    </row>
    <row r="246" spans="1:18" ht="16.5" hidden="1">
      <c r="A246" t="str">
        <f t="shared" si="20"/>
        <v>a06</v>
      </c>
      <c r="B246">
        <v>2</v>
      </c>
      <c r="C246" s="222" t="s">
        <v>9287</v>
      </c>
      <c r="D246">
        <f>VLOOKUP(F246,Sheet7!$B:$G,6,0)</f>
        <v>2440</v>
      </c>
      <c r="E246" s="222" t="s">
        <v>9287</v>
      </c>
      <c r="F246" s="331" t="s">
        <v>16111</v>
      </c>
      <c r="G246">
        <v>1</v>
      </c>
      <c r="H246" t="str">
        <f t="shared" si="18"/>
        <v>2|2440|1</v>
      </c>
      <c r="I246" s="222" t="s">
        <v>9287</v>
      </c>
      <c r="J246">
        <v>40</v>
      </c>
      <c r="K246" t="str">
        <f t="shared" si="19"/>
        <v>2|2440|1|40</v>
      </c>
      <c r="L246" t="str">
        <f t="shared" si="22"/>
        <v>2|2440|1,2|2426|1,2|2412|1,2|2398|1,2|2384|1,2|2370|1,2|2356|1,2|2342|1,2|2328|1,2|2314|1,2|2300|1,2|2286|1,2|2272|1,2|2258|1,2|2244|1,2|2230|1,2|2216|1,2|2202|1,2|2188|1,2|2174|1,2|2160|1,2|2147|1,2|2133|1,2|2119|1,2|2105|1</v>
      </c>
      <c r="M246" t="str">
        <f t="shared" si="23"/>
        <v>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6" s="339">
        <v>20492</v>
      </c>
      <c r="R246" t="str">
        <f t="shared" si="21"/>
        <v>护卫战甲</v>
      </c>
    </row>
    <row r="247" spans="1:18" ht="16.5" hidden="1">
      <c r="A247" t="str">
        <f t="shared" si="20"/>
        <v>a06</v>
      </c>
      <c r="B247">
        <v>2</v>
      </c>
      <c r="C247" s="222" t="s">
        <v>9287</v>
      </c>
      <c r="D247">
        <f>VLOOKUP(F247,Sheet7!$B:$G,6,0)</f>
        <v>2454</v>
      </c>
      <c r="E247" s="222" t="s">
        <v>9287</v>
      </c>
      <c r="F247" s="331" t="s">
        <v>16126</v>
      </c>
      <c r="G247">
        <v>1</v>
      </c>
      <c r="H247" t="str">
        <f t="shared" ref="H247:H265" si="24">B247&amp;C247&amp;D247&amp;E247&amp;G247</f>
        <v>2|2454|1</v>
      </c>
      <c r="I247" s="222" t="s">
        <v>9287</v>
      </c>
      <c r="J247">
        <v>40</v>
      </c>
      <c r="K247" t="str">
        <f t="shared" ref="K247:K265" si="25">H247&amp;I247&amp;J247</f>
        <v>2|2454|1|40</v>
      </c>
      <c r="L247" t="str">
        <f t="shared" si="22"/>
        <v>2|2454|1,2|2440|1,2|2426|1,2|2412|1,2|2398|1,2|2384|1,2|2370|1,2|2356|1,2|2342|1,2|2328|1,2|2314|1,2|2300|1,2|2286|1,2|2272|1,2|2258|1,2|2244|1,2|2230|1,2|2216|1,2|2202|1,2|2188|1,2|2174|1,2|2160|1,2|2147|1,2|2133|1,2|2119|1,2|2105|1</v>
      </c>
      <c r="M247" t="str">
        <f t="shared" si="23"/>
        <v>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7" s="339">
        <v>20493</v>
      </c>
      <c r="R247" t="str">
        <f t="shared" si="21"/>
        <v>护卫长剑</v>
      </c>
    </row>
    <row r="248" spans="1:18" ht="16.5" hidden="1">
      <c r="A248" t="str">
        <f t="shared" si="20"/>
        <v>a06</v>
      </c>
      <c r="B248">
        <v>2</v>
      </c>
      <c r="C248" s="222" t="s">
        <v>9287</v>
      </c>
      <c r="D248">
        <f>VLOOKUP(F248,Sheet7!$B:$G,6,0)</f>
        <v>2468</v>
      </c>
      <c r="E248" s="222" t="s">
        <v>9287</v>
      </c>
      <c r="F248" s="331" t="s">
        <v>16141</v>
      </c>
      <c r="G248">
        <v>1</v>
      </c>
      <c r="H248" t="str">
        <f t="shared" si="24"/>
        <v>2|2468|1</v>
      </c>
      <c r="I248" s="222" t="s">
        <v>9287</v>
      </c>
      <c r="J248">
        <v>40</v>
      </c>
      <c r="K248" t="str">
        <f t="shared" si="25"/>
        <v>2|2468|1|40</v>
      </c>
      <c r="L248" t="str">
        <f t="shared" si="22"/>
        <v>2|2468|1,2|2454|1,2|2440|1,2|2426|1,2|2412|1,2|2398|1,2|2384|1,2|2370|1,2|2356|1,2|2342|1,2|2328|1,2|2314|1,2|2300|1,2|2286|1,2|2272|1,2|2258|1,2|2244|1,2|2230|1,2|2216|1,2|2202|1,2|2188|1,2|2174|1,2|2160|1,2|2147|1,2|2133|1,2|2119|1,2|2105|1</v>
      </c>
      <c r="M248" t="str">
        <f t="shared" si="23"/>
        <v>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8" s="339">
        <v>20494</v>
      </c>
      <c r="R248" t="str">
        <f t="shared" si="21"/>
        <v>护卫头盔</v>
      </c>
    </row>
    <row r="249" spans="1:18" ht="16.5" hidden="1">
      <c r="A249" t="str">
        <f t="shared" si="20"/>
        <v>a06</v>
      </c>
      <c r="B249">
        <v>2</v>
      </c>
      <c r="C249" s="222" t="s">
        <v>9287</v>
      </c>
      <c r="D249">
        <f>VLOOKUP(F249,Sheet7!$B:$G,6,0)</f>
        <v>2482</v>
      </c>
      <c r="E249" s="222" t="s">
        <v>9287</v>
      </c>
      <c r="F249" s="331" t="s">
        <v>16156</v>
      </c>
      <c r="G249">
        <v>1</v>
      </c>
      <c r="H249" t="str">
        <f t="shared" si="24"/>
        <v>2|2482|1</v>
      </c>
      <c r="I249" s="222" t="s">
        <v>9287</v>
      </c>
      <c r="J249">
        <v>40</v>
      </c>
      <c r="K249" t="str">
        <f t="shared" si="25"/>
        <v>2|2482|1|40</v>
      </c>
      <c r="L249" t="str">
        <f t="shared" si="22"/>
        <v>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49" t="str">
        <f t="shared" si="23"/>
        <v>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49" s="339">
        <v>20495</v>
      </c>
      <c r="R249" t="str">
        <f t="shared" si="21"/>
        <v>护卫战靴</v>
      </c>
    </row>
    <row r="250" spans="1:18" ht="16.5" hidden="1">
      <c r="A250" t="str">
        <f t="shared" si="20"/>
        <v>a06</v>
      </c>
      <c r="B250">
        <v>2</v>
      </c>
      <c r="C250" s="222" t="s">
        <v>9287</v>
      </c>
      <c r="D250">
        <f>VLOOKUP(F250,Sheet7!$B:$G,6,0)</f>
        <v>2496</v>
      </c>
      <c r="E250" s="222" t="s">
        <v>9287</v>
      </c>
      <c r="F250" s="331" t="s">
        <v>16171</v>
      </c>
      <c r="G250">
        <v>1</v>
      </c>
      <c r="H250" t="str">
        <f t="shared" si="24"/>
        <v>2|2496|1</v>
      </c>
      <c r="I250" s="222" t="s">
        <v>9287</v>
      </c>
      <c r="J250">
        <v>40</v>
      </c>
      <c r="K250" t="str">
        <f t="shared" si="25"/>
        <v>2|2496|1|40</v>
      </c>
      <c r="L250" t="str">
        <f t="shared" si="22"/>
        <v>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0" t="str">
        <f t="shared" si="23"/>
        <v>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0" s="339">
        <v>20496</v>
      </c>
      <c r="R250" t="str">
        <f t="shared" si="21"/>
        <v>破魔战甲</v>
      </c>
    </row>
    <row r="251" spans="1:18" ht="16.5" hidden="1">
      <c r="A251" t="str">
        <f t="shared" si="20"/>
        <v>a06</v>
      </c>
      <c r="B251">
        <v>2</v>
      </c>
      <c r="C251" s="222" t="s">
        <v>9287</v>
      </c>
      <c r="D251">
        <f>VLOOKUP(F251,Sheet7!$B:$G,6,0)</f>
        <v>2510</v>
      </c>
      <c r="E251" s="222" t="s">
        <v>9287</v>
      </c>
      <c r="F251" s="331" t="s">
        <v>16186</v>
      </c>
      <c r="G251">
        <v>1</v>
      </c>
      <c r="H251" t="str">
        <f t="shared" si="24"/>
        <v>2|2510|1</v>
      </c>
      <c r="I251" s="222" t="s">
        <v>9287</v>
      </c>
      <c r="J251">
        <v>40</v>
      </c>
      <c r="K251" t="str">
        <f t="shared" si="25"/>
        <v>2|2510|1|40</v>
      </c>
      <c r="L251" t="str">
        <f t="shared" si="22"/>
        <v>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1" t="str">
        <f t="shared" si="23"/>
        <v>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1" s="339">
        <v>20497</v>
      </c>
      <c r="R251" t="str">
        <f t="shared" si="21"/>
        <v>破魔长剑</v>
      </c>
    </row>
    <row r="252" spans="1:18" ht="16.5" hidden="1">
      <c r="A252" t="str">
        <f t="shared" si="20"/>
        <v>a06</v>
      </c>
      <c r="B252">
        <v>2</v>
      </c>
      <c r="C252" s="222" t="s">
        <v>9287</v>
      </c>
      <c r="D252">
        <f>VLOOKUP(F252,Sheet7!$B:$G,6,0)</f>
        <v>2524</v>
      </c>
      <c r="E252" s="222" t="s">
        <v>9287</v>
      </c>
      <c r="F252" s="331" t="s">
        <v>16201</v>
      </c>
      <c r="G252">
        <v>1</v>
      </c>
      <c r="H252" t="str">
        <f t="shared" si="24"/>
        <v>2|2524|1</v>
      </c>
      <c r="I252" s="222" t="s">
        <v>9287</v>
      </c>
      <c r="J252">
        <v>40</v>
      </c>
      <c r="K252" t="str">
        <f t="shared" si="25"/>
        <v>2|2524|1|40</v>
      </c>
      <c r="L252" t="str">
        <f t="shared" si="22"/>
        <v>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2" t="str">
        <f t="shared" si="23"/>
        <v>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2" s="339">
        <v>20498</v>
      </c>
      <c r="R252" t="str">
        <f t="shared" si="21"/>
        <v>破魔头盔</v>
      </c>
    </row>
    <row r="253" spans="1:18" ht="16.5" hidden="1">
      <c r="A253" t="str">
        <f t="shared" si="20"/>
        <v>a06</v>
      </c>
      <c r="B253">
        <v>2</v>
      </c>
      <c r="C253" s="222" t="s">
        <v>9287</v>
      </c>
      <c r="D253">
        <f>VLOOKUP(F253,Sheet7!$B:$G,6,0)</f>
        <v>2538</v>
      </c>
      <c r="E253" s="222" t="s">
        <v>9287</v>
      </c>
      <c r="F253" s="331" t="s">
        <v>16216</v>
      </c>
      <c r="G253">
        <v>1</v>
      </c>
      <c r="H253" t="str">
        <f t="shared" si="24"/>
        <v>2|2538|1</v>
      </c>
      <c r="I253" s="222" t="s">
        <v>9287</v>
      </c>
      <c r="J253">
        <v>40</v>
      </c>
      <c r="K253" t="str">
        <f t="shared" si="25"/>
        <v>2|2538|1|40</v>
      </c>
      <c r="L253" t="str">
        <f t="shared" si="22"/>
        <v>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3" t="str">
        <f t="shared" si="23"/>
        <v>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3" s="339">
        <v>20499</v>
      </c>
      <c r="R253" t="str">
        <f t="shared" si="21"/>
        <v>破魔战靴</v>
      </c>
    </row>
    <row r="254" spans="1:18" ht="16.5" hidden="1">
      <c r="A254" t="str">
        <f t="shared" si="20"/>
        <v>a06</v>
      </c>
      <c r="B254">
        <v>2</v>
      </c>
      <c r="C254" s="222" t="s">
        <v>9287</v>
      </c>
      <c r="D254">
        <f>VLOOKUP(F254,Sheet7!$B:$G,6,0)</f>
        <v>2552</v>
      </c>
      <c r="E254" s="222" t="s">
        <v>9287</v>
      </c>
      <c r="F254" s="331" t="s">
        <v>16231</v>
      </c>
      <c r="G254">
        <v>1</v>
      </c>
      <c r="H254" t="str">
        <f t="shared" si="24"/>
        <v>2|2552|1</v>
      </c>
      <c r="I254" s="222" t="s">
        <v>9287</v>
      </c>
      <c r="J254">
        <v>40</v>
      </c>
      <c r="K254" t="str">
        <f t="shared" si="25"/>
        <v>2|2552|1|40</v>
      </c>
      <c r="L254" t="str">
        <f t="shared" si="22"/>
        <v>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4" t="str">
        <f t="shared" si="23"/>
        <v>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4" s="339">
        <v>20500</v>
      </c>
      <c r="R254" t="str">
        <f t="shared" si="21"/>
        <v>赤血战甲</v>
      </c>
    </row>
    <row r="255" spans="1:18" ht="16.5" hidden="1">
      <c r="A255" t="str">
        <f t="shared" si="20"/>
        <v>a06</v>
      </c>
      <c r="B255">
        <v>2</v>
      </c>
      <c r="C255" s="222" t="s">
        <v>9287</v>
      </c>
      <c r="D255">
        <f>VLOOKUP(F255,Sheet7!$B:$G,6,0)</f>
        <v>2566</v>
      </c>
      <c r="E255" s="222" t="s">
        <v>9287</v>
      </c>
      <c r="F255" s="331" t="s">
        <v>16246</v>
      </c>
      <c r="G255">
        <v>1</v>
      </c>
      <c r="H255" t="str">
        <f t="shared" si="24"/>
        <v>2|2566|1</v>
      </c>
      <c r="I255" s="222" t="s">
        <v>9287</v>
      </c>
      <c r="J255">
        <v>40</v>
      </c>
      <c r="K255" t="str">
        <f t="shared" si="25"/>
        <v>2|2566|1|40</v>
      </c>
      <c r="L255" t="str">
        <f t="shared" si="22"/>
        <v>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5" t="str">
        <f t="shared" si="23"/>
        <v>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5" s="339">
        <v>205011</v>
      </c>
      <c r="R255" t="str">
        <f t="shared" si="21"/>
        <v>青锋长剑</v>
      </c>
    </row>
    <row r="256" spans="1:18" ht="16.5" hidden="1">
      <c r="A256" t="str">
        <f t="shared" si="20"/>
        <v>a06</v>
      </c>
      <c r="B256">
        <v>2</v>
      </c>
      <c r="C256" s="222" t="s">
        <v>9287</v>
      </c>
      <c r="D256">
        <f>VLOOKUP(F256,Sheet7!$B:$G,6,0)</f>
        <v>2580</v>
      </c>
      <c r="E256" s="222" t="s">
        <v>9287</v>
      </c>
      <c r="F256" s="331" t="s">
        <v>16261</v>
      </c>
      <c r="G256">
        <v>1</v>
      </c>
      <c r="H256" t="str">
        <f t="shared" si="24"/>
        <v>2|2580|1</v>
      </c>
      <c r="I256" s="222" t="s">
        <v>9287</v>
      </c>
      <c r="J256">
        <v>40</v>
      </c>
      <c r="K256" t="str">
        <f t="shared" si="25"/>
        <v>2|2580|1|40</v>
      </c>
      <c r="L256" t="str">
        <f t="shared" si="22"/>
        <v>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6" t="str">
        <f t="shared" si="23"/>
        <v>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6" s="339">
        <v>205012</v>
      </c>
      <c r="R256" t="str">
        <f t="shared" si="21"/>
        <v>雁虞头盔</v>
      </c>
    </row>
    <row r="257" spans="1:18" ht="16.5" hidden="1">
      <c r="A257" t="str">
        <f t="shared" si="20"/>
        <v>a06</v>
      </c>
      <c r="B257">
        <v>2</v>
      </c>
      <c r="C257" s="222" t="s">
        <v>9287</v>
      </c>
      <c r="D257">
        <f>VLOOKUP(F257,Sheet7!$B:$G,6,0)</f>
        <v>2594</v>
      </c>
      <c r="E257" s="222" t="s">
        <v>9287</v>
      </c>
      <c r="F257" s="331" t="s">
        <v>16276</v>
      </c>
      <c r="G257">
        <v>1</v>
      </c>
      <c r="H257" t="str">
        <f t="shared" si="24"/>
        <v>2|2594|1</v>
      </c>
      <c r="I257" s="222" t="s">
        <v>9287</v>
      </c>
      <c r="J257">
        <v>40</v>
      </c>
      <c r="K257" t="str">
        <f t="shared" si="25"/>
        <v>2|2594|1|40</v>
      </c>
      <c r="L257" t="str">
        <f t="shared" si="22"/>
        <v>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7" t="str">
        <f t="shared" si="23"/>
        <v>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7" s="339">
        <v>501</v>
      </c>
      <c r="R257" t="str">
        <f t="shared" si="21"/>
        <v>无影战靴</v>
      </c>
    </row>
    <row r="258" spans="1:18" ht="16.5" hidden="1">
      <c r="A258" t="str">
        <f t="shared" si="20"/>
        <v>a06</v>
      </c>
      <c r="B258">
        <v>2</v>
      </c>
      <c r="C258" s="222" t="s">
        <v>9287</v>
      </c>
      <c r="D258">
        <f>VLOOKUP(F258,Sheet7!$B:$G,6,0)</f>
        <v>2608</v>
      </c>
      <c r="E258" s="222" t="s">
        <v>9287</v>
      </c>
      <c r="F258" s="331" t="s">
        <v>16291</v>
      </c>
      <c r="G258">
        <v>1</v>
      </c>
      <c r="H258" t="str">
        <f t="shared" si="24"/>
        <v>2|2608|1</v>
      </c>
      <c r="I258" s="222" t="s">
        <v>9287</v>
      </c>
      <c r="J258">
        <v>40</v>
      </c>
      <c r="K258" t="str">
        <f t="shared" si="25"/>
        <v>2|2608|1|40</v>
      </c>
      <c r="L258" t="str">
        <f t="shared" si="22"/>
        <v>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8" t="str">
        <f t="shared" si="23"/>
        <v>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8" s="339">
        <v>502</v>
      </c>
      <c r="R258" t="str">
        <f t="shared" si="21"/>
        <v>行者战甲</v>
      </c>
    </row>
    <row r="259" spans="1:18" ht="16.5" hidden="1">
      <c r="A259" t="str">
        <f t="shared" ref="A259:A277" si="26">LEFT(F259,3)</f>
        <v>a06</v>
      </c>
      <c r="B259">
        <v>2</v>
      </c>
      <c r="C259" s="222" t="s">
        <v>9287</v>
      </c>
      <c r="D259">
        <f>VLOOKUP(F259,Sheet7!$B:$G,6,0)</f>
        <v>2622</v>
      </c>
      <c r="E259" s="222" t="s">
        <v>9287</v>
      </c>
      <c r="F259" s="331" t="s">
        <v>16306</v>
      </c>
      <c r="G259">
        <v>1</v>
      </c>
      <c r="H259" t="str">
        <f t="shared" si="24"/>
        <v>2|2622|1</v>
      </c>
      <c r="I259" s="222" t="s">
        <v>9287</v>
      </c>
      <c r="J259">
        <v>40</v>
      </c>
      <c r="K259" t="str">
        <f t="shared" si="25"/>
        <v>2|2622|1|40</v>
      </c>
      <c r="L259" t="str">
        <f t="shared" si="22"/>
        <v>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59" t="str">
        <f t="shared" si="23"/>
        <v>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59" s="339">
        <v>2050</v>
      </c>
      <c r="R259" t="str">
        <f t="shared" ref="R259:R277" si="27">RIGHT(F259,4)</f>
        <v>精铁长剑</v>
      </c>
    </row>
    <row r="260" spans="1:18" ht="16.5" hidden="1">
      <c r="A260" t="str">
        <f t="shared" si="26"/>
        <v>a06</v>
      </c>
      <c r="B260">
        <v>2</v>
      </c>
      <c r="C260" s="222" t="s">
        <v>9287</v>
      </c>
      <c r="D260">
        <f>VLOOKUP(F260,Sheet7!$B:$G,6,0)</f>
        <v>2636</v>
      </c>
      <c r="E260" s="222" t="s">
        <v>9287</v>
      </c>
      <c r="F260" s="331" t="s">
        <v>16321</v>
      </c>
      <c r="G260">
        <v>1</v>
      </c>
      <c r="H260" t="str">
        <f t="shared" si="24"/>
        <v>2|2636|1</v>
      </c>
      <c r="I260" s="222" t="s">
        <v>9287</v>
      </c>
      <c r="J260">
        <v>40</v>
      </c>
      <c r="K260" t="str">
        <f t="shared" si="25"/>
        <v>2|2636|1|40</v>
      </c>
      <c r="L260" t="str">
        <f t="shared" ref="L260:L323" si="28">IF(A260=A259,H260&amp;","&amp;L259,H260)</f>
        <v>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60" t="str">
        <f t="shared" ref="M260:M323" si="29">IF(A260=A259,K260&amp;","&amp;M259,K260)</f>
        <v>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60" s="339">
        <v>20501</v>
      </c>
      <c r="R260" t="str">
        <f t="shared" si="27"/>
        <v>虹影头盔</v>
      </c>
    </row>
    <row r="261" spans="1:18" ht="16.5" hidden="1">
      <c r="A261" t="str">
        <f t="shared" si="26"/>
        <v>a06</v>
      </c>
      <c r="B261">
        <v>2</v>
      </c>
      <c r="C261" s="222" t="s">
        <v>9287</v>
      </c>
      <c r="D261">
        <f>VLOOKUP(F261,Sheet7!$B:$G,6,0)</f>
        <v>2650</v>
      </c>
      <c r="E261" s="222" t="s">
        <v>9287</v>
      </c>
      <c r="F261" s="331" t="s">
        <v>16336</v>
      </c>
      <c r="G261">
        <v>1</v>
      </c>
      <c r="H261" t="str">
        <f t="shared" si="24"/>
        <v>2|2650|1</v>
      </c>
      <c r="I261" s="222" t="s">
        <v>9287</v>
      </c>
      <c r="J261">
        <v>40</v>
      </c>
      <c r="K261" t="str">
        <f t="shared" si="25"/>
        <v>2|2650|1|40</v>
      </c>
      <c r="L261" t="str">
        <f t="shared" si="28"/>
        <v>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61" t="str">
        <f t="shared" si="29"/>
        <v>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61" s="339">
        <v>20502</v>
      </c>
      <c r="R261" t="str">
        <f t="shared" si="27"/>
        <v>千里战靴</v>
      </c>
    </row>
    <row r="262" spans="1:18" ht="16.5" hidden="1">
      <c r="A262" t="str">
        <f t="shared" si="26"/>
        <v>a06</v>
      </c>
      <c r="B262">
        <v>2</v>
      </c>
      <c r="C262" s="222" t="s">
        <v>9287</v>
      </c>
      <c r="D262">
        <f>VLOOKUP(F262,Sheet7!$B:$G,6,0)</f>
        <v>2664</v>
      </c>
      <c r="E262" s="222" t="s">
        <v>9287</v>
      </c>
      <c r="F262" s="331" t="s">
        <v>16351</v>
      </c>
      <c r="G262">
        <v>1</v>
      </c>
      <c r="H262" t="str">
        <f t="shared" si="24"/>
        <v>2|2664|1</v>
      </c>
      <c r="I262" s="222" t="s">
        <v>9287</v>
      </c>
      <c r="J262">
        <v>40</v>
      </c>
      <c r="K262" t="str">
        <f t="shared" si="25"/>
        <v>2|2664|1|40</v>
      </c>
      <c r="L262" t="str">
        <f t="shared" si="28"/>
        <v>2|2664|1,2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62" t="str">
        <f t="shared" si="29"/>
        <v>2|2664|1|40,2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62" s="339">
        <v>20503</v>
      </c>
      <c r="R262" t="str">
        <f t="shared" si="27"/>
        <v>封魔战甲</v>
      </c>
    </row>
    <row r="263" spans="1:18" ht="16.5" hidden="1">
      <c r="A263" t="str">
        <f t="shared" si="26"/>
        <v>a06</v>
      </c>
      <c r="B263">
        <v>2</v>
      </c>
      <c r="C263" s="222" t="s">
        <v>9287</v>
      </c>
      <c r="D263">
        <f>VLOOKUP(F263,Sheet7!$B:$G,6,0)</f>
        <v>2678</v>
      </c>
      <c r="E263" s="222" t="s">
        <v>9287</v>
      </c>
      <c r="F263" s="331" t="s">
        <v>16366</v>
      </c>
      <c r="G263">
        <v>1</v>
      </c>
      <c r="H263" t="str">
        <f t="shared" si="24"/>
        <v>2|2678|1</v>
      </c>
      <c r="I263" s="222" t="s">
        <v>9287</v>
      </c>
      <c r="J263">
        <v>40</v>
      </c>
      <c r="K263" t="str">
        <f t="shared" si="25"/>
        <v>2|2678|1|40</v>
      </c>
      <c r="L263" t="str">
        <f t="shared" si="28"/>
        <v>2|2678|1,2|2664|1,2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63" t="str">
        <f t="shared" si="29"/>
        <v>2|2678|1|40,2|2664|1|40,2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63" s="339">
        <v>20504</v>
      </c>
      <c r="R263" t="str">
        <f t="shared" si="27"/>
        <v>封魔长剑</v>
      </c>
    </row>
    <row r="264" spans="1:18" ht="16.5" hidden="1">
      <c r="A264" t="str">
        <f t="shared" si="26"/>
        <v>a06</v>
      </c>
      <c r="B264">
        <v>2</v>
      </c>
      <c r="C264" s="222" t="s">
        <v>9287</v>
      </c>
      <c r="D264">
        <f>VLOOKUP(F264,Sheet7!$B:$G,6,0)</f>
        <v>2692</v>
      </c>
      <c r="E264" s="222" t="s">
        <v>9287</v>
      </c>
      <c r="F264" s="331" t="s">
        <v>16381</v>
      </c>
      <c r="G264">
        <v>1</v>
      </c>
      <c r="H264" t="str">
        <f t="shared" si="24"/>
        <v>2|2692|1</v>
      </c>
      <c r="I264" s="222" t="s">
        <v>9287</v>
      </c>
      <c r="J264">
        <v>40</v>
      </c>
      <c r="K264" t="str">
        <f t="shared" si="25"/>
        <v>2|2692|1|40</v>
      </c>
      <c r="L264" t="str">
        <f t="shared" si="28"/>
        <v>2|2692|1,2|2678|1,2|2664|1,2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64" t="str">
        <f t="shared" si="29"/>
        <v>2|2692|1|40,2|2678|1|40,2|2664|1|40,2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64" s="339">
        <v>20505</v>
      </c>
      <c r="R264" t="str">
        <f t="shared" si="27"/>
        <v>封魔头盔</v>
      </c>
    </row>
    <row r="265" spans="1:18" ht="16.5">
      <c r="A265" t="str">
        <f t="shared" si="26"/>
        <v>a06</v>
      </c>
      <c r="B265">
        <v>2</v>
      </c>
      <c r="C265" s="222" t="s">
        <v>9287</v>
      </c>
      <c r="D265">
        <f>VLOOKUP(F265,Sheet7!$B:$G,6,0)</f>
        <v>2706</v>
      </c>
      <c r="E265" s="222" t="s">
        <v>9287</v>
      </c>
      <c r="F265" s="331" t="s">
        <v>16396</v>
      </c>
      <c r="G265">
        <v>1</v>
      </c>
      <c r="H265" t="str">
        <f t="shared" si="24"/>
        <v>2|2706|1</v>
      </c>
      <c r="I265" s="222" t="s">
        <v>9287</v>
      </c>
      <c r="J265">
        <v>40</v>
      </c>
      <c r="K265" t="str">
        <f t="shared" si="25"/>
        <v>2|2706|1|40</v>
      </c>
      <c r="L265" t="str">
        <f t="shared" si="28"/>
        <v>2|2706|1,2|2692|1,2|2678|1,2|2664|1,2|2650|1,2|2636|1,2|2622|1,2|2608|1,2|2594|1,2|2580|1,2|2566|1,2|2552|1,2|2538|1,2|2524|1,2|2510|1,2|2496|1,2|2482|1,2|2468|1,2|2454|1,2|2440|1,2|2426|1,2|2412|1,2|2398|1,2|2384|1,2|2370|1,2|2356|1,2|2342|1,2|2328|1,2|2314|1,2|2300|1,2|2286|1,2|2272|1,2|2258|1,2|2244|1,2|2230|1,2|2216|1,2|2202|1,2|2188|1,2|2174|1,2|2160|1,2|2147|1,2|2133|1,2|2119|1,2|2105|1</v>
      </c>
      <c r="M265" t="str">
        <f t="shared" si="29"/>
        <v>2|2706|1|40,2|2692|1|40,2|2678|1|40,2|2664|1|40,2|2650|1|40,2|2636|1|40,2|2622|1|40,2|2608|1|40,2|2594|1|40,2|2580|1|40,2|2566|1|40,2|2552|1|40,2|2538|1|40,2|2524|1|40,2|2510|1|40,2|2496|1|40,2|2482|1|40,2|2468|1|40,2|2454|1|40,2|2440|1|40,2|2426|1|40,2|2412|1|40,2|2398|1|40,2|2384|1|40,2|2370|1|40,2|2356|1|40,2|2342|1|40,2|2328|1|40,2|2314|1|20,2|2300|1|20,2|2286|1|20,2|2272|1|20,2|2258|1|20,2|2244|1|20,2|2230|1|20,2|2216|1|20,2|2202|1|20,2|2188|1|20,2|2174|1|20,2|2160|1|20,2|2147|1|10,2|2133|1|10,2|2119|1|10,2|2105|1|10</v>
      </c>
      <c r="N265" s="339">
        <v>20506</v>
      </c>
      <c r="R265" t="str">
        <f t="shared" si="27"/>
        <v>封魔战靴</v>
      </c>
    </row>
    <row r="266" spans="1:18" ht="16.5" hidden="1">
      <c r="A266" t="str">
        <f t="shared" si="26"/>
        <v>a07</v>
      </c>
      <c r="B266">
        <v>2</v>
      </c>
      <c r="C266" s="222" t="s">
        <v>9287</v>
      </c>
      <c r="D266">
        <f>VLOOKUP(F266,Sheet7!$B:$G,6,0)</f>
        <v>2120</v>
      </c>
      <c r="E266" s="222" t="s">
        <v>9287</v>
      </c>
      <c r="F266" s="331" t="s">
        <v>15767</v>
      </c>
      <c r="G266">
        <v>1</v>
      </c>
      <c r="H266" t="str">
        <f t="shared" ref="H266:H329" si="30">B266&amp;C266&amp;D266&amp;E266&amp;G266</f>
        <v>2|2120|1</v>
      </c>
      <c r="I266" s="222" t="s">
        <v>9287</v>
      </c>
      <c r="J266">
        <v>10</v>
      </c>
      <c r="K266" t="str">
        <f t="shared" ref="K266:K329" si="31">H266&amp;I266&amp;J266</f>
        <v>2|2120|1|10</v>
      </c>
      <c r="L266" t="str">
        <f t="shared" si="28"/>
        <v>2|2120|1</v>
      </c>
      <c r="M266" t="str">
        <f t="shared" si="29"/>
        <v>2|2120|1|10</v>
      </c>
      <c r="N266" s="338">
        <v>20417</v>
      </c>
      <c r="R266" t="str">
        <f t="shared" si="27"/>
        <v>蚩尤长剑</v>
      </c>
    </row>
    <row r="267" spans="1:18" ht="16.5" hidden="1">
      <c r="A267" t="str">
        <f t="shared" si="26"/>
        <v>a07</v>
      </c>
      <c r="B267">
        <v>2</v>
      </c>
      <c r="C267" s="222" t="s">
        <v>9287</v>
      </c>
      <c r="D267">
        <f>VLOOKUP(F267,Sheet7!$B:$G,6,0)</f>
        <v>2134</v>
      </c>
      <c r="E267" s="222" t="s">
        <v>9287</v>
      </c>
      <c r="F267" s="331" t="s">
        <v>15782</v>
      </c>
      <c r="G267">
        <v>1</v>
      </c>
      <c r="H267" t="str">
        <f t="shared" si="30"/>
        <v>2|2134|1</v>
      </c>
      <c r="I267" s="222" t="s">
        <v>9287</v>
      </c>
      <c r="J267">
        <v>10</v>
      </c>
      <c r="K267" t="str">
        <f t="shared" si="31"/>
        <v>2|2134|1|10</v>
      </c>
      <c r="L267" t="str">
        <f t="shared" si="28"/>
        <v>2|2134|1,2|2120|1</v>
      </c>
      <c r="M267" t="str">
        <f t="shared" si="29"/>
        <v>2|2134|1|10,2|2120|1|10</v>
      </c>
      <c r="N267" s="338">
        <v>20418</v>
      </c>
      <c r="R267" t="str">
        <f t="shared" si="27"/>
        <v>蚩尤头盔</v>
      </c>
    </row>
    <row r="268" spans="1:18" ht="16.5" hidden="1">
      <c r="A268" t="str">
        <f t="shared" si="26"/>
        <v>a07</v>
      </c>
      <c r="B268">
        <v>2</v>
      </c>
      <c r="C268" s="222" t="s">
        <v>9287</v>
      </c>
      <c r="D268">
        <f>VLOOKUP(F268,Sheet7!$B:$G,6,0)</f>
        <v>2148</v>
      </c>
      <c r="E268" s="222" t="s">
        <v>9287</v>
      </c>
      <c r="F268" s="331" t="s">
        <v>15797</v>
      </c>
      <c r="G268">
        <v>1</v>
      </c>
      <c r="H268" t="str">
        <f t="shared" si="30"/>
        <v>2|2148|1</v>
      </c>
      <c r="I268" s="222" t="s">
        <v>9287</v>
      </c>
      <c r="J268">
        <v>10</v>
      </c>
      <c r="K268" t="str">
        <f t="shared" si="31"/>
        <v>2|2148|1|10</v>
      </c>
      <c r="L268" t="str">
        <f t="shared" si="28"/>
        <v>2|2148|1,2|2134|1,2|2120|1</v>
      </c>
      <c r="M268" t="str">
        <f t="shared" si="29"/>
        <v>2|2148|1|10,2|2134|1|10,2|2120|1|10</v>
      </c>
      <c r="N268" s="338">
        <v>20419</v>
      </c>
      <c r="R268" t="str">
        <f t="shared" si="27"/>
        <v>蚩尤战靴</v>
      </c>
    </row>
    <row r="269" spans="1:18" ht="16.5" hidden="1">
      <c r="A269" t="str">
        <f t="shared" si="26"/>
        <v>a07</v>
      </c>
      <c r="B269">
        <v>2</v>
      </c>
      <c r="C269" s="222" t="s">
        <v>9287</v>
      </c>
      <c r="D269">
        <f>VLOOKUP(F269,Sheet7!$B:$G,6,0)</f>
        <v>2161</v>
      </c>
      <c r="E269" s="222" t="s">
        <v>9287</v>
      </c>
      <c r="F269" s="331" t="s">
        <v>15812</v>
      </c>
      <c r="G269">
        <v>1</v>
      </c>
      <c r="H269" t="str">
        <f t="shared" si="30"/>
        <v>2|2161|1</v>
      </c>
      <c r="I269" s="222" t="s">
        <v>9287</v>
      </c>
      <c r="J269">
        <v>20</v>
      </c>
      <c r="K269" t="str">
        <f t="shared" si="31"/>
        <v>2|2161|1|20</v>
      </c>
      <c r="L269" t="str">
        <f t="shared" si="28"/>
        <v>2|2161|1,2|2148|1,2|2134|1,2|2120|1</v>
      </c>
      <c r="M269" t="str">
        <f t="shared" si="29"/>
        <v>2|2161|1|20,2|2148|1|10,2|2134|1|10,2|2120|1|10</v>
      </c>
      <c r="N269" s="338">
        <v>20420</v>
      </c>
      <c r="R269" t="str">
        <f t="shared" si="27"/>
        <v>天罡战甲</v>
      </c>
    </row>
    <row r="270" spans="1:18" ht="16.5" hidden="1">
      <c r="A270" t="str">
        <f t="shared" si="26"/>
        <v>a07</v>
      </c>
      <c r="B270">
        <v>2</v>
      </c>
      <c r="C270" s="222" t="s">
        <v>9287</v>
      </c>
      <c r="D270">
        <f>VLOOKUP(F270,Sheet7!$B:$G,6,0)</f>
        <v>2175</v>
      </c>
      <c r="E270" s="222" t="s">
        <v>9287</v>
      </c>
      <c r="F270" s="331" t="s">
        <v>15827</v>
      </c>
      <c r="G270">
        <v>1</v>
      </c>
      <c r="H270" t="str">
        <f t="shared" si="30"/>
        <v>2|2175|1</v>
      </c>
      <c r="I270" s="222" t="s">
        <v>9287</v>
      </c>
      <c r="J270">
        <v>20</v>
      </c>
      <c r="K270" t="str">
        <f t="shared" si="31"/>
        <v>2|2175|1|20</v>
      </c>
      <c r="L270" t="str">
        <f t="shared" si="28"/>
        <v>2|2175|1,2|2161|1,2|2148|1,2|2134|1,2|2120|1</v>
      </c>
      <c r="M270" t="str">
        <f t="shared" si="29"/>
        <v>2|2175|1|20,2|2161|1|20,2|2148|1|10,2|2134|1|10,2|2120|1|10</v>
      </c>
      <c r="N270" s="338">
        <v>204211</v>
      </c>
      <c r="R270" t="str">
        <f t="shared" si="27"/>
        <v>天罡长剑</v>
      </c>
    </row>
    <row r="271" spans="1:18" ht="16.5" hidden="1">
      <c r="A271" t="str">
        <f t="shared" si="26"/>
        <v>a07</v>
      </c>
      <c r="B271">
        <v>2</v>
      </c>
      <c r="C271" s="222" t="s">
        <v>9287</v>
      </c>
      <c r="D271">
        <f>VLOOKUP(F271,Sheet7!$B:$G,6,0)</f>
        <v>2189</v>
      </c>
      <c r="E271" s="222" t="s">
        <v>9287</v>
      </c>
      <c r="F271" s="331" t="s">
        <v>15842</v>
      </c>
      <c r="G271">
        <v>1</v>
      </c>
      <c r="H271" t="str">
        <f t="shared" si="30"/>
        <v>2|2189|1</v>
      </c>
      <c r="I271" s="222" t="s">
        <v>9287</v>
      </c>
      <c r="J271">
        <v>20</v>
      </c>
      <c r="K271" t="str">
        <f t="shared" si="31"/>
        <v>2|2189|1|20</v>
      </c>
      <c r="L271" t="str">
        <f t="shared" si="28"/>
        <v>2|2189|1,2|2175|1,2|2161|1,2|2148|1,2|2134|1,2|2120|1</v>
      </c>
      <c r="M271" t="str">
        <f t="shared" si="29"/>
        <v>2|2189|1|20,2|2175|1|20,2|2161|1|20,2|2148|1|10,2|2134|1|10,2|2120|1|10</v>
      </c>
      <c r="N271" s="338">
        <v>204212</v>
      </c>
      <c r="R271" t="str">
        <f t="shared" si="27"/>
        <v>天罡头盔</v>
      </c>
    </row>
    <row r="272" spans="1:18" ht="16.5" hidden="1">
      <c r="A272" t="str">
        <f t="shared" si="26"/>
        <v>a07</v>
      </c>
      <c r="B272">
        <v>2</v>
      </c>
      <c r="C272" s="222" t="s">
        <v>9287</v>
      </c>
      <c r="D272">
        <f>VLOOKUP(F272,Sheet7!$B:$G,6,0)</f>
        <v>2203</v>
      </c>
      <c r="E272" s="222" t="s">
        <v>9287</v>
      </c>
      <c r="F272" s="331" t="s">
        <v>15857</v>
      </c>
      <c r="G272">
        <v>1</v>
      </c>
      <c r="H272" t="str">
        <f t="shared" si="30"/>
        <v>2|2203|1</v>
      </c>
      <c r="I272" s="222" t="s">
        <v>9287</v>
      </c>
      <c r="J272">
        <v>20</v>
      </c>
      <c r="K272" t="str">
        <f t="shared" si="31"/>
        <v>2|2203|1|20</v>
      </c>
      <c r="L272" t="str">
        <f t="shared" si="28"/>
        <v>2|2203|1,2|2189|1,2|2175|1,2|2161|1,2|2148|1,2|2134|1,2|2120|1</v>
      </c>
      <c r="M272" t="str">
        <f t="shared" si="29"/>
        <v>2|2203|1|20,2|2189|1|20,2|2175|1|20,2|2161|1|20,2|2148|1|10,2|2134|1|10,2|2120|1|10</v>
      </c>
      <c r="N272" s="338">
        <v>421</v>
      </c>
      <c r="R272" t="str">
        <f t="shared" si="27"/>
        <v>天罡战靴</v>
      </c>
    </row>
    <row r="273" spans="1:18" ht="16.5" hidden="1">
      <c r="A273" t="str">
        <f t="shared" si="26"/>
        <v>a07</v>
      </c>
      <c r="B273">
        <v>2</v>
      </c>
      <c r="C273" s="222" t="s">
        <v>9287</v>
      </c>
      <c r="D273">
        <f>VLOOKUP(F273,Sheet7!$B:$G,6,0)</f>
        <v>2217</v>
      </c>
      <c r="E273" s="222" t="s">
        <v>9287</v>
      </c>
      <c r="F273" s="331" t="s">
        <v>15872</v>
      </c>
      <c r="G273">
        <v>1</v>
      </c>
      <c r="H273" t="str">
        <f t="shared" si="30"/>
        <v>2|2217|1</v>
      </c>
      <c r="I273" s="222" t="s">
        <v>9287</v>
      </c>
      <c r="J273">
        <v>20</v>
      </c>
      <c r="K273" t="str">
        <f t="shared" si="31"/>
        <v>2|2217|1|20</v>
      </c>
      <c r="L273" t="str">
        <f t="shared" si="28"/>
        <v>2|2217|1,2|2203|1,2|2189|1,2|2175|1,2|2161|1,2|2148|1,2|2134|1,2|2120|1</v>
      </c>
      <c r="M273" t="str">
        <f t="shared" si="29"/>
        <v>2|2217|1|20,2|2203|1|20,2|2189|1|20,2|2175|1|20,2|2161|1|20,2|2148|1|10,2|2134|1|10,2|2120|1|10</v>
      </c>
      <c r="N273" s="338">
        <v>422</v>
      </c>
      <c r="R273" t="str">
        <f t="shared" si="27"/>
        <v>降魔战甲</v>
      </c>
    </row>
    <row r="274" spans="1:18" ht="16.5" hidden="1">
      <c r="A274" t="str">
        <f t="shared" si="26"/>
        <v>a07</v>
      </c>
      <c r="B274">
        <v>2</v>
      </c>
      <c r="C274" s="222" t="s">
        <v>9287</v>
      </c>
      <c r="D274">
        <f>VLOOKUP(F274,Sheet7!$B:$G,6,0)</f>
        <v>2231</v>
      </c>
      <c r="E274" s="222" t="s">
        <v>9287</v>
      </c>
      <c r="F274" s="331" t="s">
        <v>15887</v>
      </c>
      <c r="G274">
        <v>1</v>
      </c>
      <c r="H274" t="str">
        <f t="shared" si="30"/>
        <v>2|2231|1</v>
      </c>
      <c r="I274" s="222" t="s">
        <v>9287</v>
      </c>
      <c r="J274">
        <v>20</v>
      </c>
      <c r="K274" t="str">
        <f t="shared" si="31"/>
        <v>2|2231|1|20</v>
      </c>
      <c r="L274" t="str">
        <f t="shared" si="28"/>
        <v>2|2231|1,2|2217|1,2|2203|1,2|2189|1,2|2175|1,2|2161|1,2|2148|1,2|2134|1,2|2120|1</v>
      </c>
      <c r="M274" t="str">
        <f t="shared" si="29"/>
        <v>2|2231|1|20,2|2217|1|20,2|2203|1|20,2|2189|1|20,2|2175|1|20,2|2161|1|20,2|2148|1|10,2|2134|1|10,2|2120|1|10</v>
      </c>
      <c r="N274" s="338">
        <v>2042</v>
      </c>
      <c r="R274" t="str">
        <f t="shared" si="27"/>
        <v>降魔长剑</v>
      </c>
    </row>
    <row r="275" spans="1:18" ht="16.5" hidden="1">
      <c r="A275" t="str">
        <f t="shared" si="26"/>
        <v>a07</v>
      </c>
      <c r="B275">
        <v>2</v>
      </c>
      <c r="C275" s="222" t="s">
        <v>9287</v>
      </c>
      <c r="D275">
        <f>VLOOKUP(F275,Sheet7!$B:$G,6,0)</f>
        <v>2245</v>
      </c>
      <c r="E275" s="222" t="s">
        <v>9287</v>
      </c>
      <c r="F275" s="331" t="s">
        <v>15902</v>
      </c>
      <c r="G275">
        <v>1</v>
      </c>
      <c r="H275" t="str">
        <f t="shared" si="30"/>
        <v>2|2245|1</v>
      </c>
      <c r="I275" s="222" t="s">
        <v>9287</v>
      </c>
      <c r="J275">
        <v>20</v>
      </c>
      <c r="K275" t="str">
        <f t="shared" si="31"/>
        <v>2|2245|1|20</v>
      </c>
      <c r="L275" t="str">
        <f t="shared" si="28"/>
        <v>2|2245|1,2|2231|1,2|2217|1,2|2203|1,2|2189|1,2|2175|1,2|2161|1,2|2148|1,2|2134|1,2|2120|1</v>
      </c>
      <c r="M275" t="str">
        <f t="shared" si="29"/>
        <v>2|2245|1|20,2|2231|1|20,2|2217|1|20,2|2203|1|20,2|2189|1|20,2|2175|1|20,2|2161|1|20,2|2148|1|10,2|2134|1|10,2|2120|1|10</v>
      </c>
      <c r="N275" s="338">
        <v>20421</v>
      </c>
      <c r="R275" t="str">
        <f t="shared" si="27"/>
        <v>降魔头盔</v>
      </c>
    </row>
    <row r="276" spans="1:18" ht="16.5" hidden="1">
      <c r="A276" t="str">
        <f t="shared" si="26"/>
        <v>a07</v>
      </c>
      <c r="B276">
        <v>2</v>
      </c>
      <c r="C276" s="222" t="s">
        <v>9287</v>
      </c>
      <c r="D276">
        <f>VLOOKUP(F276,Sheet7!$B:$G,6,0)</f>
        <v>2259</v>
      </c>
      <c r="E276" s="222" t="s">
        <v>9287</v>
      </c>
      <c r="F276" s="331" t="s">
        <v>15917</v>
      </c>
      <c r="G276">
        <v>1</v>
      </c>
      <c r="H276" t="str">
        <f t="shared" si="30"/>
        <v>2|2259|1</v>
      </c>
      <c r="I276" s="222" t="s">
        <v>9287</v>
      </c>
      <c r="J276">
        <v>20</v>
      </c>
      <c r="K276" t="str">
        <f t="shared" si="31"/>
        <v>2|2259|1|20</v>
      </c>
      <c r="L276" t="str">
        <f t="shared" si="28"/>
        <v>2|2259|1,2|2245|1,2|2231|1,2|2217|1,2|2203|1,2|2189|1,2|2175|1,2|2161|1,2|2148|1,2|2134|1,2|2120|1</v>
      </c>
      <c r="M276" t="str">
        <f t="shared" si="29"/>
        <v>2|2259|1|20,2|2245|1|20,2|2231|1|20,2|2217|1|20,2|2203|1|20,2|2189|1|20,2|2175|1|20,2|2161|1|20,2|2148|1|10,2|2134|1|10,2|2120|1|10</v>
      </c>
      <c r="N276" s="338">
        <v>20422</v>
      </c>
      <c r="R276" t="str">
        <f t="shared" si="27"/>
        <v>降魔战靴</v>
      </c>
    </row>
    <row r="277" spans="1:18" ht="16.5" hidden="1">
      <c r="A277" t="str">
        <f t="shared" si="26"/>
        <v>a07</v>
      </c>
      <c r="B277">
        <v>2</v>
      </c>
      <c r="C277" s="222" t="s">
        <v>9287</v>
      </c>
      <c r="D277">
        <f>VLOOKUP(F277,Sheet7!$B:$G,6,0)</f>
        <v>2273</v>
      </c>
      <c r="E277" s="222" t="s">
        <v>9287</v>
      </c>
      <c r="F277" s="331" t="s">
        <v>15932</v>
      </c>
      <c r="G277">
        <v>1</v>
      </c>
      <c r="H277" t="str">
        <f t="shared" si="30"/>
        <v>2|2273|1</v>
      </c>
      <c r="I277" s="222" t="s">
        <v>9287</v>
      </c>
      <c r="J277">
        <v>20</v>
      </c>
      <c r="K277" t="str">
        <f t="shared" si="31"/>
        <v>2|2273|1|20</v>
      </c>
      <c r="L277" t="str">
        <f t="shared" si="28"/>
        <v>2|2273|1,2|2259|1,2|2245|1,2|2231|1,2|2217|1,2|2203|1,2|2189|1,2|2175|1,2|2161|1,2|2148|1,2|2134|1,2|2120|1</v>
      </c>
      <c r="M277" t="str">
        <f t="shared" si="29"/>
        <v>2|2273|1|20,2|2259|1|20,2|2245|1|20,2|2231|1|20,2|2217|1|20,2|2203|1|20,2|2189|1|20,2|2175|1|20,2|2161|1|20,2|2148|1|10,2|2134|1|10,2|2120|1|10</v>
      </c>
      <c r="N277" s="338">
        <v>20423</v>
      </c>
      <c r="R277" t="str">
        <f t="shared" si="27"/>
        <v>血魔战甲</v>
      </c>
    </row>
    <row r="278" spans="1:18" ht="16.5" hidden="1">
      <c r="A278" t="str">
        <f t="shared" ref="A278:A341" si="32">LEFT(F278,3)</f>
        <v>a07</v>
      </c>
      <c r="B278">
        <v>2</v>
      </c>
      <c r="C278" s="222" t="s">
        <v>9287</v>
      </c>
      <c r="D278">
        <f>VLOOKUP(F278,Sheet7!$B:$G,6,0)</f>
        <v>2287</v>
      </c>
      <c r="E278" s="222" t="s">
        <v>9287</v>
      </c>
      <c r="F278" s="331" t="s">
        <v>15947</v>
      </c>
      <c r="G278">
        <v>1</v>
      </c>
      <c r="H278" t="str">
        <f t="shared" si="30"/>
        <v>2|2287|1</v>
      </c>
      <c r="I278" s="222" t="s">
        <v>9287</v>
      </c>
      <c r="J278">
        <v>20</v>
      </c>
      <c r="K278" t="str">
        <f t="shared" si="31"/>
        <v>2|2287|1|20</v>
      </c>
      <c r="L278" t="str">
        <f t="shared" si="28"/>
        <v>2|2287|1,2|2273|1,2|2259|1,2|2245|1,2|2231|1,2|2217|1,2|2203|1,2|2189|1,2|2175|1,2|2161|1,2|2148|1,2|2134|1,2|2120|1</v>
      </c>
      <c r="M278" t="str">
        <f t="shared" si="29"/>
        <v>2|2287|1|20,2|2273|1|20,2|2259|1|20,2|2245|1|20,2|2231|1|20,2|2217|1|20,2|2203|1|20,2|2189|1|20,2|2175|1|20,2|2161|1|20,2|2148|1|10,2|2134|1|10,2|2120|1|10</v>
      </c>
      <c r="N278" s="338">
        <v>20424</v>
      </c>
      <c r="R278" t="str">
        <f t="shared" ref="R278:R341" si="33">RIGHT(F278,4)</f>
        <v>赤霄长剑</v>
      </c>
    </row>
    <row r="279" spans="1:18" ht="16.5" hidden="1">
      <c r="A279" t="str">
        <f t="shared" si="32"/>
        <v>a07</v>
      </c>
      <c r="B279">
        <v>2</v>
      </c>
      <c r="C279" s="222" t="s">
        <v>9287</v>
      </c>
      <c r="D279">
        <f>VLOOKUP(F279,Sheet7!$B:$G,6,0)</f>
        <v>2301</v>
      </c>
      <c r="E279" s="222" t="s">
        <v>9287</v>
      </c>
      <c r="F279" s="331" t="s">
        <v>15962</v>
      </c>
      <c r="G279">
        <v>1</v>
      </c>
      <c r="H279" t="str">
        <f t="shared" si="30"/>
        <v>2|2301|1</v>
      </c>
      <c r="I279" s="222" t="s">
        <v>9287</v>
      </c>
      <c r="J279">
        <v>20</v>
      </c>
      <c r="K279" t="str">
        <f t="shared" si="31"/>
        <v>2|2301|1|20</v>
      </c>
      <c r="L279" t="str">
        <f t="shared" si="28"/>
        <v>2|2301|1,2|2287|1,2|2273|1,2|2259|1,2|2245|1,2|2231|1,2|2217|1,2|2203|1,2|2189|1,2|2175|1,2|2161|1,2|2148|1,2|2134|1,2|2120|1</v>
      </c>
      <c r="M279" t="str">
        <f t="shared" si="29"/>
        <v>2|2301|1|20,2|2287|1|20,2|2273|1|20,2|2259|1|20,2|2245|1|20,2|2231|1|20,2|2217|1|20,2|2203|1|20,2|2189|1|20,2|2175|1|20,2|2161|1|20,2|2148|1|10,2|2134|1|10,2|2120|1|10</v>
      </c>
      <c r="N279" s="338">
        <v>20425</v>
      </c>
      <c r="R279" t="str">
        <f t="shared" si="33"/>
        <v>麒麟头盔</v>
      </c>
    </row>
    <row r="280" spans="1:18" ht="16.5" hidden="1">
      <c r="A280" t="str">
        <f t="shared" si="32"/>
        <v>a07</v>
      </c>
      <c r="B280">
        <v>2</v>
      </c>
      <c r="C280" s="222" t="s">
        <v>9287</v>
      </c>
      <c r="D280">
        <f>VLOOKUP(F280,Sheet7!$B:$G,6,0)</f>
        <v>2315</v>
      </c>
      <c r="E280" s="222" t="s">
        <v>9287</v>
      </c>
      <c r="F280" s="331" t="s">
        <v>15977</v>
      </c>
      <c r="G280">
        <v>1</v>
      </c>
      <c r="H280" t="str">
        <f t="shared" si="30"/>
        <v>2|2315|1</v>
      </c>
      <c r="I280" s="222" t="s">
        <v>9287</v>
      </c>
      <c r="J280">
        <v>20</v>
      </c>
      <c r="K280" t="str">
        <f t="shared" si="31"/>
        <v>2|2315|1|20</v>
      </c>
      <c r="L280" t="str">
        <f t="shared" si="28"/>
        <v>2|2315|1,2|2301|1,2|2287|1,2|2273|1,2|2259|1,2|2245|1,2|2231|1,2|2217|1,2|2203|1,2|2189|1,2|2175|1,2|2161|1,2|2148|1,2|2134|1,2|2120|1</v>
      </c>
      <c r="M280" t="str">
        <f t="shared" si="29"/>
        <v>2|2315|1|20,2|2301|1|20,2|2287|1|20,2|2273|1|20,2|2259|1|20,2|2245|1|20,2|2231|1|20,2|2217|1|20,2|2203|1|20,2|2189|1|20,2|2175|1|20,2|2161|1|20,2|2148|1|10,2|2134|1|10,2|2120|1|10</v>
      </c>
      <c r="N280" s="338">
        <v>20426</v>
      </c>
      <c r="R280" t="str">
        <f t="shared" si="33"/>
        <v>兽魂战靴</v>
      </c>
    </row>
    <row r="281" spans="1:18" ht="16.5" hidden="1">
      <c r="A281" t="str">
        <f t="shared" si="32"/>
        <v>a07</v>
      </c>
      <c r="B281">
        <v>2</v>
      </c>
      <c r="C281" s="222" t="s">
        <v>9287</v>
      </c>
      <c r="D281">
        <f>VLOOKUP(F281,Sheet7!$B:$G,6,0)</f>
        <v>2329</v>
      </c>
      <c r="E281" s="222" t="s">
        <v>9287</v>
      </c>
      <c r="F281" s="331" t="s">
        <v>15992</v>
      </c>
      <c r="G281">
        <v>1</v>
      </c>
      <c r="H281" t="str">
        <f t="shared" si="30"/>
        <v>2|2329|1</v>
      </c>
      <c r="I281" s="222" t="s">
        <v>9287</v>
      </c>
      <c r="J281">
        <v>40</v>
      </c>
      <c r="K281" t="str">
        <f t="shared" si="31"/>
        <v>2|2329|1|40</v>
      </c>
      <c r="L281" t="str">
        <f t="shared" si="28"/>
        <v>2|2329|1,2|2315|1,2|2301|1,2|2287|1,2|2273|1,2|2259|1,2|2245|1,2|2231|1,2|2217|1,2|2203|1,2|2189|1,2|2175|1,2|2161|1,2|2148|1,2|2134|1,2|2120|1</v>
      </c>
      <c r="M281" t="str">
        <f t="shared" si="29"/>
        <v>2|2329|1|40,2|2315|1|20,2|2301|1|20,2|2287|1|20,2|2273|1|20,2|2259|1|20,2|2245|1|20,2|2231|1|20,2|2217|1|20,2|2203|1|20,2|2189|1|20,2|2175|1|20,2|2161|1|20,2|2148|1|10,2|2134|1|10,2|2120|1|10</v>
      </c>
      <c r="N281" s="338">
        <v>20427</v>
      </c>
      <c r="R281" t="str">
        <f t="shared" si="33"/>
        <v>磐石战甲</v>
      </c>
    </row>
    <row r="282" spans="1:18" ht="16.5" hidden="1">
      <c r="A282" t="str">
        <f t="shared" si="32"/>
        <v>a07</v>
      </c>
      <c r="B282">
        <v>2</v>
      </c>
      <c r="C282" s="222" t="s">
        <v>9287</v>
      </c>
      <c r="D282">
        <f>VLOOKUP(F282,Sheet7!$B:$G,6,0)</f>
        <v>2343</v>
      </c>
      <c r="E282" s="222" t="s">
        <v>9287</v>
      </c>
      <c r="F282" s="331" t="s">
        <v>16007</v>
      </c>
      <c r="G282">
        <v>1</v>
      </c>
      <c r="H282" t="str">
        <f t="shared" si="30"/>
        <v>2|2343|1</v>
      </c>
      <c r="I282" s="222" t="s">
        <v>9287</v>
      </c>
      <c r="J282">
        <v>40</v>
      </c>
      <c r="K282" t="str">
        <f t="shared" si="31"/>
        <v>2|2343|1|40</v>
      </c>
      <c r="L282" t="str">
        <f t="shared" si="28"/>
        <v>2|2343|1,2|2329|1,2|2315|1,2|2301|1,2|2287|1,2|2273|1,2|2259|1,2|2245|1,2|2231|1,2|2217|1,2|2203|1,2|2189|1,2|2175|1,2|2161|1,2|2148|1,2|2134|1,2|2120|1</v>
      </c>
      <c r="M282" t="str">
        <f t="shared" si="29"/>
        <v>2|2343|1|40,2|2329|1|40,2|2315|1|20,2|2301|1|20,2|2287|1|20,2|2273|1|20,2|2259|1|20,2|2245|1|20,2|2231|1|20,2|2217|1|20,2|2203|1|20,2|2189|1|20,2|2175|1|20,2|2161|1|20,2|2148|1|10,2|2134|1|10,2|2120|1|10</v>
      </c>
      <c r="N282" s="338">
        <v>20428</v>
      </c>
      <c r="R282" t="str">
        <f t="shared" si="33"/>
        <v>磐石长剑</v>
      </c>
    </row>
    <row r="283" spans="1:18" ht="16.5" hidden="1">
      <c r="A283" t="str">
        <f t="shared" si="32"/>
        <v>a07</v>
      </c>
      <c r="B283">
        <v>2</v>
      </c>
      <c r="C283" s="222" t="s">
        <v>9287</v>
      </c>
      <c r="D283">
        <f>VLOOKUP(F283,Sheet7!$B:$G,6,0)</f>
        <v>2357</v>
      </c>
      <c r="E283" s="222" t="s">
        <v>9287</v>
      </c>
      <c r="F283" s="331" t="s">
        <v>16022</v>
      </c>
      <c r="G283">
        <v>1</v>
      </c>
      <c r="H283" t="str">
        <f t="shared" si="30"/>
        <v>2|2357|1</v>
      </c>
      <c r="I283" s="222" t="s">
        <v>9287</v>
      </c>
      <c r="J283">
        <v>40</v>
      </c>
      <c r="K283" t="str">
        <f t="shared" si="31"/>
        <v>2|2357|1|40</v>
      </c>
      <c r="L283" t="str">
        <f t="shared" si="28"/>
        <v>2|2357|1,2|2343|1,2|2329|1,2|2315|1,2|2301|1,2|2287|1,2|2273|1,2|2259|1,2|2245|1,2|2231|1,2|2217|1,2|2203|1,2|2189|1,2|2175|1,2|2161|1,2|2148|1,2|2134|1,2|2120|1</v>
      </c>
      <c r="M283" t="str">
        <f t="shared" si="29"/>
        <v>2|2357|1|40,2|2343|1|40,2|2329|1|40,2|2315|1|20,2|2301|1|20,2|2287|1|20,2|2273|1|20,2|2259|1|20,2|2245|1|20,2|2231|1|20,2|2217|1|20,2|2203|1|20,2|2189|1|20,2|2175|1|20,2|2161|1|20,2|2148|1|10,2|2134|1|10,2|2120|1|10</v>
      </c>
      <c r="N283" s="338">
        <v>20429</v>
      </c>
      <c r="R283" t="str">
        <f t="shared" si="33"/>
        <v>磐石头盔</v>
      </c>
    </row>
    <row r="284" spans="1:18" ht="16.5" hidden="1">
      <c r="A284" t="str">
        <f t="shared" si="32"/>
        <v>a07</v>
      </c>
      <c r="B284">
        <v>2</v>
      </c>
      <c r="C284" s="222" t="s">
        <v>9287</v>
      </c>
      <c r="D284">
        <f>VLOOKUP(F284,Sheet7!$B:$G,6,0)</f>
        <v>2371</v>
      </c>
      <c r="E284" s="222" t="s">
        <v>9287</v>
      </c>
      <c r="F284" s="331" t="s">
        <v>16037</v>
      </c>
      <c r="G284">
        <v>1</v>
      </c>
      <c r="H284" t="str">
        <f t="shared" si="30"/>
        <v>2|2371|1</v>
      </c>
      <c r="I284" s="222" t="s">
        <v>9287</v>
      </c>
      <c r="J284">
        <v>40</v>
      </c>
      <c r="K284" t="str">
        <f t="shared" si="31"/>
        <v>2|2371|1|40</v>
      </c>
      <c r="L284" t="str">
        <f t="shared" si="28"/>
        <v>2|2371|1,2|2357|1,2|2343|1,2|2329|1,2|2315|1,2|2301|1,2|2287|1,2|2273|1,2|2259|1,2|2245|1,2|2231|1,2|2217|1,2|2203|1,2|2189|1,2|2175|1,2|2161|1,2|2148|1,2|2134|1,2|2120|1</v>
      </c>
      <c r="M284" t="str">
        <f t="shared" si="29"/>
        <v>2|2371|1|40,2|2357|1|40,2|2343|1|40,2|2329|1|40,2|2315|1|20,2|2301|1|20,2|2287|1|20,2|2273|1|20,2|2259|1|20,2|2245|1|20,2|2231|1|20,2|2217|1|20,2|2203|1|20,2|2189|1|20,2|2175|1|20,2|2161|1|20,2|2148|1|10,2|2134|1|10,2|2120|1|10</v>
      </c>
      <c r="N284" s="338">
        <v>20430</v>
      </c>
      <c r="R284" t="str">
        <f t="shared" si="33"/>
        <v>磐石战靴</v>
      </c>
    </row>
    <row r="285" spans="1:18" ht="16.5" hidden="1">
      <c r="A285" t="str">
        <f t="shared" si="32"/>
        <v>a07</v>
      </c>
      <c r="B285">
        <v>2</v>
      </c>
      <c r="C285" s="222" t="s">
        <v>9287</v>
      </c>
      <c r="D285">
        <f>VLOOKUP(F285,Sheet7!$B:$G,6,0)</f>
        <v>2385</v>
      </c>
      <c r="E285" s="222" t="s">
        <v>9287</v>
      </c>
      <c r="F285" s="331" t="s">
        <v>16052</v>
      </c>
      <c r="G285">
        <v>1</v>
      </c>
      <c r="H285" t="str">
        <f t="shared" si="30"/>
        <v>2|2385|1</v>
      </c>
      <c r="I285" s="222" t="s">
        <v>9287</v>
      </c>
      <c r="J285">
        <v>40</v>
      </c>
      <c r="K285" t="str">
        <f t="shared" si="31"/>
        <v>2|2385|1|40</v>
      </c>
      <c r="L285" t="str">
        <f t="shared" si="28"/>
        <v>2|2385|1,2|2371|1,2|2357|1,2|2343|1,2|2329|1,2|2315|1,2|2301|1,2|2287|1,2|2273|1,2|2259|1,2|2245|1,2|2231|1,2|2217|1,2|2203|1,2|2189|1,2|2175|1,2|2161|1,2|2148|1,2|2134|1,2|2120|1</v>
      </c>
      <c r="M285" t="str">
        <f t="shared" si="29"/>
        <v>2|2385|1|40,2|2371|1|40,2|2357|1|40,2|2343|1|40,2|2329|1|40,2|2315|1|20,2|2301|1|20,2|2287|1|20,2|2273|1|20,2|2259|1|20,2|2245|1|20,2|2231|1|20,2|2217|1|20,2|2203|1|20,2|2189|1|20,2|2175|1|20,2|2161|1|20,2|2148|1|10,2|2134|1|10,2|2120|1|10</v>
      </c>
      <c r="N285" s="338">
        <v>204311</v>
      </c>
      <c r="R285" t="str">
        <f t="shared" si="33"/>
        <v>连云战甲</v>
      </c>
    </row>
    <row r="286" spans="1:18" ht="16.5" hidden="1">
      <c r="A286" t="str">
        <f t="shared" si="32"/>
        <v>a07</v>
      </c>
      <c r="B286">
        <v>2</v>
      </c>
      <c r="C286" s="222" t="s">
        <v>9287</v>
      </c>
      <c r="D286">
        <f>VLOOKUP(F286,Sheet7!$B:$G,6,0)</f>
        <v>2399</v>
      </c>
      <c r="E286" s="222" t="s">
        <v>9287</v>
      </c>
      <c r="F286" s="331" t="s">
        <v>16067</v>
      </c>
      <c r="G286">
        <v>1</v>
      </c>
      <c r="H286" t="str">
        <f t="shared" si="30"/>
        <v>2|2399|1</v>
      </c>
      <c r="I286" s="222" t="s">
        <v>9287</v>
      </c>
      <c r="J286">
        <v>40</v>
      </c>
      <c r="K286" t="str">
        <f t="shared" si="31"/>
        <v>2|2399|1|40</v>
      </c>
      <c r="L286" t="str">
        <f t="shared" si="28"/>
        <v>2|2399|1,2|2385|1,2|2371|1,2|2357|1,2|2343|1,2|2329|1,2|2315|1,2|2301|1,2|2287|1,2|2273|1,2|2259|1,2|2245|1,2|2231|1,2|2217|1,2|2203|1,2|2189|1,2|2175|1,2|2161|1,2|2148|1,2|2134|1,2|2120|1</v>
      </c>
      <c r="M286" t="str">
        <f t="shared" si="29"/>
        <v>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86" s="338">
        <v>204312</v>
      </c>
      <c r="R286" t="str">
        <f t="shared" si="33"/>
        <v>紫阳长剑</v>
      </c>
    </row>
    <row r="287" spans="1:18" ht="16.5" hidden="1">
      <c r="A287" t="str">
        <f t="shared" si="32"/>
        <v>a07</v>
      </c>
      <c r="B287">
        <v>2</v>
      </c>
      <c r="C287" s="222" t="s">
        <v>9287</v>
      </c>
      <c r="D287">
        <f>VLOOKUP(F287,Sheet7!$B:$G,6,0)</f>
        <v>2413</v>
      </c>
      <c r="E287" s="222" t="s">
        <v>9287</v>
      </c>
      <c r="F287" s="331" t="s">
        <v>16082</v>
      </c>
      <c r="G287">
        <v>1</v>
      </c>
      <c r="H287" t="str">
        <f t="shared" si="30"/>
        <v>2|2413|1</v>
      </c>
      <c r="I287" s="222" t="s">
        <v>9287</v>
      </c>
      <c r="J287">
        <v>40</v>
      </c>
      <c r="K287" t="str">
        <f t="shared" si="31"/>
        <v>2|2413|1|40</v>
      </c>
      <c r="L287" t="str">
        <f t="shared" si="28"/>
        <v>2|2413|1,2|2399|1,2|2385|1,2|2371|1,2|2357|1,2|2343|1,2|2329|1,2|2315|1,2|2301|1,2|2287|1,2|2273|1,2|2259|1,2|2245|1,2|2231|1,2|2217|1,2|2203|1,2|2189|1,2|2175|1,2|2161|1,2|2148|1,2|2134|1,2|2120|1</v>
      </c>
      <c r="M287" t="str">
        <f t="shared" si="29"/>
        <v>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87" s="338">
        <v>431</v>
      </c>
      <c r="R287" t="str">
        <f t="shared" si="33"/>
        <v>耀日头盔</v>
      </c>
    </row>
    <row r="288" spans="1:18" ht="16.5" hidden="1">
      <c r="A288" t="str">
        <f t="shared" si="32"/>
        <v>a07</v>
      </c>
      <c r="B288">
        <v>2</v>
      </c>
      <c r="C288" s="222" t="s">
        <v>9287</v>
      </c>
      <c r="D288">
        <f>VLOOKUP(F288,Sheet7!$B:$G,6,0)</f>
        <v>2427</v>
      </c>
      <c r="E288" s="222" t="s">
        <v>9287</v>
      </c>
      <c r="F288" s="331" t="s">
        <v>16097</v>
      </c>
      <c r="G288">
        <v>1</v>
      </c>
      <c r="H288" t="str">
        <f t="shared" si="30"/>
        <v>2|2427|1</v>
      </c>
      <c r="I288" s="222" t="s">
        <v>9287</v>
      </c>
      <c r="J288">
        <v>40</v>
      </c>
      <c r="K288" t="str">
        <f t="shared" si="31"/>
        <v>2|2427|1|40</v>
      </c>
      <c r="L288" t="str">
        <f t="shared" si="28"/>
        <v>2|2427|1,2|2413|1,2|2399|1,2|2385|1,2|2371|1,2|2357|1,2|2343|1,2|2329|1,2|2315|1,2|2301|1,2|2287|1,2|2273|1,2|2259|1,2|2245|1,2|2231|1,2|2217|1,2|2203|1,2|2189|1,2|2175|1,2|2161|1,2|2148|1,2|2134|1,2|2120|1</v>
      </c>
      <c r="M288" t="str">
        <f t="shared" si="29"/>
        <v>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88" s="338">
        <v>432</v>
      </c>
      <c r="R288" t="str">
        <f t="shared" si="33"/>
        <v>雷霆战靴</v>
      </c>
    </row>
    <row r="289" spans="1:18" ht="16.5" hidden="1">
      <c r="A289" t="str">
        <f t="shared" si="32"/>
        <v>a07</v>
      </c>
      <c r="B289">
        <v>2</v>
      </c>
      <c r="C289" s="222" t="s">
        <v>9287</v>
      </c>
      <c r="D289">
        <f>VLOOKUP(F289,Sheet7!$B:$G,6,0)</f>
        <v>2441</v>
      </c>
      <c r="E289" s="222" t="s">
        <v>9287</v>
      </c>
      <c r="F289" s="331" t="s">
        <v>16112</v>
      </c>
      <c r="G289">
        <v>1</v>
      </c>
      <c r="H289" t="str">
        <f t="shared" si="30"/>
        <v>2|2441|1</v>
      </c>
      <c r="I289" s="222" t="s">
        <v>9287</v>
      </c>
      <c r="J289">
        <v>40</v>
      </c>
      <c r="K289" t="str">
        <f t="shared" si="31"/>
        <v>2|2441|1|40</v>
      </c>
      <c r="L289" t="str">
        <f t="shared" si="28"/>
        <v>2|2441|1,2|2427|1,2|2413|1,2|2399|1,2|2385|1,2|2371|1,2|2357|1,2|2343|1,2|2329|1,2|2315|1,2|2301|1,2|2287|1,2|2273|1,2|2259|1,2|2245|1,2|2231|1,2|2217|1,2|2203|1,2|2189|1,2|2175|1,2|2161|1,2|2148|1,2|2134|1,2|2120|1</v>
      </c>
      <c r="M289" t="str">
        <f t="shared" si="29"/>
        <v>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89" s="338">
        <v>2043</v>
      </c>
      <c r="R289" t="str">
        <f t="shared" si="33"/>
        <v>护卫战甲</v>
      </c>
    </row>
    <row r="290" spans="1:18" ht="16.5" hidden="1">
      <c r="A290" t="str">
        <f t="shared" si="32"/>
        <v>a07</v>
      </c>
      <c r="B290">
        <v>2</v>
      </c>
      <c r="C290" s="222" t="s">
        <v>9287</v>
      </c>
      <c r="D290">
        <f>VLOOKUP(F290,Sheet7!$B:$G,6,0)</f>
        <v>2455</v>
      </c>
      <c r="E290" s="222" t="s">
        <v>9287</v>
      </c>
      <c r="F290" s="331" t="s">
        <v>16127</v>
      </c>
      <c r="G290">
        <v>1</v>
      </c>
      <c r="H290" t="str">
        <f t="shared" si="30"/>
        <v>2|2455|1</v>
      </c>
      <c r="I290" s="222" t="s">
        <v>9287</v>
      </c>
      <c r="J290">
        <v>40</v>
      </c>
      <c r="K290" t="str">
        <f t="shared" si="31"/>
        <v>2|2455|1|40</v>
      </c>
      <c r="L290" t="str">
        <f t="shared" si="28"/>
        <v>2|2455|1,2|2441|1,2|2427|1,2|2413|1,2|2399|1,2|2385|1,2|2371|1,2|2357|1,2|2343|1,2|2329|1,2|2315|1,2|2301|1,2|2287|1,2|2273|1,2|2259|1,2|2245|1,2|2231|1,2|2217|1,2|2203|1,2|2189|1,2|2175|1,2|2161|1,2|2148|1,2|2134|1,2|2120|1</v>
      </c>
      <c r="M290" t="str">
        <f t="shared" si="29"/>
        <v>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0" s="338">
        <v>20431</v>
      </c>
      <c r="R290" t="str">
        <f t="shared" si="33"/>
        <v>护卫长剑</v>
      </c>
    </row>
    <row r="291" spans="1:18" ht="16.5" hidden="1">
      <c r="A291" t="str">
        <f t="shared" si="32"/>
        <v>a07</v>
      </c>
      <c r="B291">
        <v>2</v>
      </c>
      <c r="C291" s="222" t="s">
        <v>9287</v>
      </c>
      <c r="D291">
        <f>VLOOKUP(F291,Sheet7!$B:$G,6,0)</f>
        <v>2469</v>
      </c>
      <c r="E291" s="222" t="s">
        <v>9287</v>
      </c>
      <c r="F291" s="331" t="s">
        <v>16142</v>
      </c>
      <c r="G291">
        <v>1</v>
      </c>
      <c r="H291" t="str">
        <f t="shared" si="30"/>
        <v>2|2469|1</v>
      </c>
      <c r="I291" s="222" t="s">
        <v>9287</v>
      </c>
      <c r="J291">
        <v>40</v>
      </c>
      <c r="K291" t="str">
        <f t="shared" si="31"/>
        <v>2|2469|1|40</v>
      </c>
      <c r="L291" t="str">
        <f t="shared" si="28"/>
        <v>2|2469|1,2|2455|1,2|2441|1,2|2427|1,2|2413|1,2|2399|1,2|2385|1,2|2371|1,2|2357|1,2|2343|1,2|2329|1,2|2315|1,2|2301|1,2|2287|1,2|2273|1,2|2259|1,2|2245|1,2|2231|1,2|2217|1,2|2203|1,2|2189|1,2|2175|1,2|2161|1,2|2148|1,2|2134|1,2|2120|1</v>
      </c>
      <c r="M291" t="str">
        <f t="shared" si="29"/>
        <v>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1" s="338">
        <v>20432</v>
      </c>
      <c r="R291" t="str">
        <f t="shared" si="33"/>
        <v>护卫头盔</v>
      </c>
    </row>
    <row r="292" spans="1:18" ht="16.5" hidden="1">
      <c r="A292" t="str">
        <f t="shared" si="32"/>
        <v>a07</v>
      </c>
      <c r="B292">
        <v>2</v>
      </c>
      <c r="C292" s="222" t="s">
        <v>9287</v>
      </c>
      <c r="D292">
        <f>VLOOKUP(F292,Sheet7!$B:$G,6,0)</f>
        <v>2483</v>
      </c>
      <c r="E292" s="222" t="s">
        <v>9287</v>
      </c>
      <c r="F292" s="331" t="s">
        <v>16157</v>
      </c>
      <c r="G292">
        <v>1</v>
      </c>
      <c r="H292" t="str">
        <f t="shared" si="30"/>
        <v>2|2483|1</v>
      </c>
      <c r="I292" s="222" t="s">
        <v>9287</v>
      </c>
      <c r="J292">
        <v>40</v>
      </c>
      <c r="K292" t="str">
        <f t="shared" si="31"/>
        <v>2|2483|1|40</v>
      </c>
      <c r="L292" t="str">
        <f t="shared" si="28"/>
        <v>2|2483|1,2|2469|1,2|2455|1,2|2441|1,2|2427|1,2|2413|1,2|2399|1,2|2385|1,2|2371|1,2|2357|1,2|2343|1,2|2329|1,2|2315|1,2|2301|1,2|2287|1,2|2273|1,2|2259|1,2|2245|1,2|2231|1,2|2217|1,2|2203|1,2|2189|1,2|2175|1,2|2161|1,2|2148|1,2|2134|1,2|2120|1</v>
      </c>
      <c r="M292" t="str">
        <f t="shared" si="29"/>
        <v>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2" s="338">
        <v>20433</v>
      </c>
      <c r="R292" t="str">
        <f t="shared" si="33"/>
        <v>护卫战靴</v>
      </c>
    </row>
    <row r="293" spans="1:18" ht="16.5" hidden="1">
      <c r="A293" t="str">
        <f t="shared" si="32"/>
        <v>a07</v>
      </c>
      <c r="B293">
        <v>2</v>
      </c>
      <c r="C293" s="222" t="s">
        <v>9287</v>
      </c>
      <c r="D293">
        <f>VLOOKUP(F293,Sheet7!$B:$G,6,0)</f>
        <v>2497</v>
      </c>
      <c r="E293" s="222" t="s">
        <v>9287</v>
      </c>
      <c r="F293" s="331" t="s">
        <v>16172</v>
      </c>
      <c r="G293">
        <v>1</v>
      </c>
      <c r="H293" t="str">
        <f t="shared" si="30"/>
        <v>2|2497|1</v>
      </c>
      <c r="I293" s="222" t="s">
        <v>9287</v>
      </c>
      <c r="J293">
        <v>40</v>
      </c>
      <c r="K293" t="str">
        <f t="shared" si="31"/>
        <v>2|2497|1|40</v>
      </c>
      <c r="L293" t="str">
        <f t="shared" si="28"/>
        <v>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3" t="str">
        <f t="shared" si="29"/>
        <v>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3" s="338">
        <v>20434</v>
      </c>
      <c r="R293" t="str">
        <f t="shared" si="33"/>
        <v>破魔战甲</v>
      </c>
    </row>
    <row r="294" spans="1:18" ht="16.5" hidden="1">
      <c r="A294" t="str">
        <f t="shared" si="32"/>
        <v>a07</v>
      </c>
      <c r="B294">
        <v>2</v>
      </c>
      <c r="C294" s="222" t="s">
        <v>9287</v>
      </c>
      <c r="D294">
        <f>VLOOKUP(F294,Sheet7!$B:$G,6,0)</f>
        <v>2511</v>
      </c>
      <c r="E294" s="222" t="s">
        <v>9287</v>
      </c>
      <c r="F294" s="331" t="s">
        <v>16187</v>
      </c>
      <c r="G294">
        <v>1</v>
      </c>
      <c r="H294" t="str">
        <f t="shared" si="30"/>
        <v>2|2511|1</v>
      </c>
      <c r="I294" s="222" t="s">
        <v>9287</v>
      </c>
      <c r="J294">
        <v>40</v>
      </c>
      <c r="K294" t="str">
        <f t="shared" si="31"/>
        <v>2|2511|1|40</v>
      </c>
      <c r="L294" t="str">
        <f t="shared" si="28"/>
        <v>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4" t="str">
        <f t="shared" si="29"/>
        <v>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4" s="338">
        <v>20435</v>
      </c>
      <c r="R294" t="str">
        <f t="shared" si="33"/>
        <v>破魔长剑</v>
      </c>
    </row>
    <row r="295" spans="1:18" ht="16.5" hidden="1">
      <c r="A295" t="str">
        <f t="shared" si="32"/>
        <v>a07</v>
      </c>
      <c r="B295">
        <v>2</v>
      </c>
      <c r="C295" s="222" t="s">
        <v>9287</v>
      </c>
      <c r="D295">
        <f>VLOOKUP(F295,Sheet7!$B:$G,6,0)</f>
        <v>2525</v>
      </c>
      <c r="E295" s="222" t="s">
        <v>9287</v>
      </c>
      <c r="F295" s="331" t="s">
        <v>16202</v>
      </c>
      <c r="G295">
        <v>1</v>
      </c>
      <c r="H295" t="str">
        <f t="shared" si="30"/>
        <v>2|2525|1</v>
      </c>
      <c r="I295" s="222" t="s">
        <v>9287</v>
      </c>
      <c r="J295">
        <v>40</v>
      </c>
      <c r="K295" t="str">
        <f t="shared" si="31"/>
        <v>2|2525|1|40</v>
      </c>
      <c r="L295" t="str">
        <f t="shared" si="28"/>
        <v>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5" t="str">
        <f t="shared" si="29"/>
        <v>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5" s="338">
        <v>20436</v>
      </c>
      <c r="R295" t="str">
        <f t="shared" si="33"/>
        <v>破魔头盔</v>
      </c>
    </row>
    <row r="296" spans="1:18" ht="16.5" hidden="1">
      <c r="A296" t="str">
        <f t="shared" si="32"/>
        <v>a07</v>
      </c>
      <c r="B296">
        <v>2</v>
      </c>
      <c r="C296" s="222" t="s">
        <v>9287</v>
      </c>
      <c r="D296">
        <f>VLOOKUP(F296,Sheet7!$B:$G,6,0)</f>
        <v>2539</v>
      </c>
      <c r="E296" s="222" t="s">
        <v>9287</v>
      </c>
      <c r="F296" s="331" t="s">
        <v>16217</v>
      </c>
      <c r="G296">
        <v>1</v>
      </c>
      <c r="H296" t="str">
        <f t="shared" si="30"/>
        <v>2|2539|1</v>
      </c>
      <c r="I296" s="222" t="s">
        <v>9287</v>
      </c>
      <c r="J296">
        <v>40</v>
      </c>
      <c r="K296" t="str">
        <f t="shared" si="31"/>
        <v>2|2539|1|40</v>
      </c>
      <c r="L296" t="str">
        <f t="shared" si="28"/>
        <v>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6" t="str">
        <f t="shared" si="29"/>
        <v>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6" s="338">
        <v>20437</v>
      </c>
      <c r="R296" t="str">
        <f t="shared" si="33"/>
        <v>破魔战靴</v>
      </c>
    </row>
    <row r="297" spans="1:18" ht="16.5" hidden="1">
      <c r="A297" t="str">
        <f t="shared" si="32"/>
        <v>a07</v>
      </c>
      <c r="B297">
        <v>2</v>
      </c>
      <c r="C297" s="222" t="s">
        <v>9287</v>
      </c>
      <c r="D297">
        <f>VLOOKUP(F297,Sheet7!$B:$G,6,0)</f>
        <v>2553</v>
      </c>
      <c r="E297" s="222" t="s">
        <v>9287</v>
      </c>
      <c r="F297" s="331" t="s">
        <v>16232</v>
      </c>
      <c r="G297">
        <v>1</v>
      </c>
      <c r="H297" t="str">
        <f t="shared" si="30"/>
        <v>2|2553|1</v>
      </c>
      <c r="I297" s="222" t="s">
        <v>9287</v>
      </c>
      <c r="J297">
        <v>40</v>
      </c>
      <c r="K297" t="str">
        <f t="shared" si="31"/>
        <v>2|2553|1|40</v>
      </c>
      <c r="L297" t="str">
        <f t="shared" si="28"/>
        <v>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7" t="str">
        <f t="shared" si="29"/>
        <v>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7" s="338">
        <v>20438</v>
      </c>
      <c r="R297" t="str">
        <f t="shared" si="33"/>
        <v>赤血战甲</v>
      </c>
    </row>
    <row r="298" spans="1:18" ht="16.5" hidden="1">
      <c r="A298" t="str">
        <f t="shared" si="32"/>
        <v>a07</v>
      </c>
      <c r="B298">
        <v>2</v>
      </c>
      <c r="C298" s="222" t="s">
        <v>9287</v>
      </c>
      <c r="D298">
        <f>VLOOKUP(F298,Sheet7!$B:$G,6,0)</f>
        <v>2567</v>
      </c>
      <c r="E298" s="222" t="s">
        <v>9287</v>
      </c>
      <c r="F298" s="331" t="s">
        <v>16247</v>
      </c>
      <c r="G298">
        <v>1</v>
      </c>
      <c r="H298" t="str">
        <f t="shared" si="30"/>
        <v>2|2567|1</v>
      </c>
      <c r="I298" s="222" t="s">
        <v>9287</v>
      </c>
      <c r="J298">
        <v>40</v>
      </c>
      <c r="K298" t="str">
        <f t="shared" si="31"/>
        <v>2|2567|1|40</v>
      </c>
      <c r="L298" t="str">
        <f t="shared" si="28"/>
        <v>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8" t="str">
        <f t="shared" si="29"/>
        <v>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8" s="338">
        <v>20439</v>
      </c>
      <c r="R298" t="str">
        <f t="shared" si="33"/>
        <v>青锋长剑</v>
      </c>
    </row>
    <row r="299" spans="1:18" ht="16.5" hidden="1">
      <c r="A299" t="str">
        <f t="shared" si="32"/>
        <v>a07</v>
      </c>
      <c r="B299">
        <v>2</v>
      </c>
      <c r="C299" s="222" t="s">
        <v>9287</v>
      </c>
      <c r="D299">
        <f>VLOOKUP(F299,Sheet7!$B:$G,6,0)</f>
        <v>2581</v>
      </c>
      <c r="E299" s="222" t="s">
        <v>9287</v>
      </c>
      <c r="F299" s="331" t="s">
        <v>16262</v>
      </c>
      <c r="G299">
        <v>1</v>
      </c>
      <c r="H299" t="str">
        <f t="shared" si="30"/>
        <v>2|2581|1</v>
      </c>
      <c r="I299" s="222" t="s">
        <v>9287</v>
      </c>
      <c r="J299">
        <v>40</v>
      </c>
      <c r="K299" t="str">
        <f t="shared" si="31"/>
        <v>2|2581|1|40</v>
      </c>
      <c r="L299" t="str">
        <f t="shared" si="28"/>
        <v>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299" t="str">
        <f t="shared" si="29"/>
        <v>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299" s="338">
        <v>20440</v>
      </c>
      <c r="R299" t="str">
        <f t="shared" si="33"/>
        <v>雁虞头盔</v>
      </c>
    </row>
    <row r="300" spans="1:18" ht="16.5" hidden="1">
      <c r="A300" t="str">
        <f t="shared" si="32"/>
        <v>a07</v>
      </c>
      <c r="B300">
        <v>2</v>
      </c>
      <c r="C300" s="222" t="s">
        <v>9287</v>
      </c>
      <c r="D300">
        <f>VLOOKUP(F300,Sheet7!$B:$G,6,0)</f>
        <v>2595</v>
      </c>
      <c r="E300" s="222" t="s">
        <v>9287</v>
      </c>
      <c r="F300" s="331" t="s">
        <v>16277</v>
      </c>
      <c r="G300">
        <v>1</v>
      </c>
      <c r="H300" t="str">
        <f t="shared" si="30"/>
        <v>2|2595|1</v>
      </c>
      <c r="I300" s="222" t="s">
        <v>9287</v>
      </c>
      <c r="J300">
        <v>40</v>
      </c>
      <c r="K300" t="str">
        <f t="shared" si="31"/>
        <v>2|2595|1|40</v>
      </c>
      <c r="L300" t="str">
        <f t="shared" si="28"/>
        <v>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0" t="str">
        <f t="shared" si="29"/>
        <v>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0" s="338">
        <v>204411</v>
      </c>
      <c r="R300" t="str">
        <f t="shared" si="33"/>
        <v>无影战靴</v>
      </c>
    </row>
    <row r="301" spans="1:18" ht="16.5" hidden="1">
      <c r="A301" t="str">
        <f t="shared" si="32"/>
        <v>a07</v>
      </c>
      <c r="B301">
        <v>2</v>
      </c>
      <c r="C301" s="222" t="s">
        <v>9287</v>
      </c>
      <c r="D301">
        <f>VLOOKUP(F301,Sheet7!$B:$G,6,0)</f>
        <v>2609</v>
      </c>
      <c r="E301" s="222" t="s">
        <v>9287</v>
      </c>
      <c r="F301" s="331" t="s">
        <v>16292</v>
      </c>
      <c r="G301">
        <v>1</v>
      </c>
      <c r="H301" t="str">
        <f t="shared" si="30"/>
        <v>2|2609|1</v>
      </c>
      <c r="I301" s="222" t="s">
        <v>9287</v>
      </c>
      <c r="J301">
        <v>40</v>
      </c>
      <c r="K301" t="str">
        <f t="shared" si="31"/>
        <v>2|2609|1|40</v>
      </c>
      <c r="L301" t="str">
        <f t="shared" si="28"/>
        <v>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1" t="str">
        <f t="shared" si="29"/>
        <v>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1" s="338">
        <v>204412</v>
      </c>
      <c r="R301" t="str">
        <f t="shared" si="33"/>
        <v>行者战甲</v>
      </c>
    </row>
    <row r="302" spans="1:18" ht="16.5" hidden="1">
      <c r="A302" t="str">
        <f t="shared" si="32"/>
        <v>a07</v>
      </c>
      <c r="B302">
        <v>2</v>
      </c>
      <c r="C302" s="222" t="s">
        <v>9287</v>
      </c>
      <c r="D302">
        <f>VLOOKUP(F302,Sheet7!$B:$G,6,0)</f>
        <v>2623</v>
      </c>
      <c r="E302" s="222" t="s">
        <v>9287</v>
      </c>
      <c r="F302" s="331" t="s">
        <v>16307</v>
      </c>
      <c r="G302">
        <v>1</v>
      </c>
      <c r="H302" t="str">
        <f t="shared" si="30"/>
        <v>2|2623|1</v>
      </c>
      <c r="I302" s="222" t="s">
        <v>9287</v>
      </c>
      <c r="J302">
        <v>40</v>
      </c>
      <c r="K302" t="str">
        <f t="shared" si="31"/>
        <v>2|2623|1|40</v>
      </c>
      <c r="L302" t="str">
        <f t="shared" si="28"/>
        <v>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2" t="str">
        <f t="shared" si="29"/>
        <v>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2" s="338">
        <v>441</v>
      </c>
      <c r="R302" t="str">
        <f t="shared" si="33"/>
        <v>精铁长剑</v>
      </c>
    </row>
    <row r="303" spans="1:18" ht="16.5" hidden="1">
      <c r="A303" t="str">
        <f t="shared" si="32"/>
        <v>a07</v>
      </c>
      <c r="B303">
        <v>2</v>
      </c>
      <c r="C303" s="222" t="s">
        <v>9287</v>
      </c>
      <c r="D303">
        <f>VLOOKUP(F303,Sheet7!$B:$G,6,0)</f>
        <v>2637</v>
      </c>
      <c r="E303" s="222" t="s">
        <v>9287</v>
      </c>
      <c r="F303" s="331" t="s">
        <v>16322</v>
      </c>
      <c r="G303">
        <v>1</v>
      </c>
      <c r="H303" t="str">
        <f t="shared" si="30"/>
        <v>2|2637|1</v>
      </c>
      <c r="I303" s="222" t="s">
        <v>9287</v>
      </c>
      <c r="J303">
        <v>40</v>
      </c>
      <c r="K303" t="str">
        <f t="shared" si="31"/>
        <v>2|2637|1|40</v>
      </c>
      <c r="L303" t="str">
        <f t="shared" si="28"/>
        <v>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3" t="str">
        <f t="shared" si="29"/>
        <v>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3" s="338">
        <v>442</v>
      </c>
      <c r="R303" t="str">
        <f t="shared" si="33"/>
        <v>虹影头盔</v>
      </c>
    </row>
    <row r="304" spans="1:18" ht="16.5" hidden="1">
      <c r="A304" t="str">
        <f t="shared" si="32"/>
        <v>a07</v>
      </c>
      <c r="B304">
        <v>2</v>
      </c>
      <c r="C304" s="222" t="s">
        <v>9287</v>
      </c>
      <c r="D304">
        <f>VLOOKUP(F304,Sheet7!$B:$G,6,0)</f>
        <v>2651</v>
      </c>
      <c r="E304" s="222" t="s">
        <v>9287</v>
      </c>
      <c r="F304" s="331" t="s">
        <v>16337</v>
      </c>
      <c r="G304">
        <v>1</v>
      </c>
      <c r="H304" t="str">
        <f t="shared" si="30"/>
        <v>2|2651|1</v>
      </c>
      <c r="I304" s="222" t="s">
        <v>9287</v>
      </c>
      <c r="J304">
        <v>40</v>
      </c>
      <c r="K304" t="str">
        <f t="shared" si="31"/>
        <v>2|2651|1|40</v>
      </c>
      <c r="L304" t="str">
        <f t="shared" si="28"/>
        <v>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4" t="str">
        <f t="shared" si="29"/>
        <v>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4" s="338">
        <v>2044</v>
      </c>
      <c r="R304" t="str">
        <f t="shared" si="33"/>
        <v>千里战靴</v>
      </c>
    </row>
    <row r="305" spans="1:18" ht="16.5" hidden="1">
      <c r="A305" t="str">
        <f t="shared" si="32"/>
        <v>a07</v>
      </c>
      <c r="B305">
        <v>2</v>
      </c>
      <c r="C305" s="222" t="s">
        <v>9287</v>
      </c>
      <c r="D305">
        <f>VLOOKUP(F305,Sheet7!$B:$G,6,0)</f>
        <v>2665</v>
      </c>
      <c r="E305" s="222" t="s">
        <v>9287</v>
      </c>
      <c r="F305" s="331" t="s">
        <v>16352</v>
      </c>
      <c r="G305">
        <v>1</v>
      </c>
      <c r="H305" t="str">
        <f t="shared" si="30"/>
        <v>2|2665|1</v>
      </c>
      <c r="I305" s="222" t="s">
        <v>9287</v>
      </c>
      <c r="J305">
        <v>40</v>
      </c>
      <c r="K305" t="str">
        <f t="shared" si="31"/>
        <v>2|2665|1|40</v>
      </c>
      <c r="L305" t="str">
        <f t="shared" si="28"/>
        <v>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5" t="str">
        <f t="shared" si="29"/>
        <v>2|2665|1|40,2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5" s="338">
        <v>20441</v>
      </c>
      <c r="R305" t="str">
        <f t="shared" si="33"/>
        <v>封魔战甲</v>
      </c>
    </row>
    <row r="306" spans="1:18" ht="16.5" hidden="1">
      <c r="A306" t="str">
        <f t="shared" si="32"/>
        <v>a07</v>
      </c>
      <c r="B306">
        <v>2</v>
      </c>
      <c r="C306" s="222" t="s">
        <v>9287</v>
      </c>
      <c r="D306">
        <f>VLOOKUP(F306,Sheet7!$B:$G,6,0)</f>
        <v>2679</v>
      </c>
      <c r="E306" s="222" t="s">
        <v>9287</v>
      </c>
      <c r="F306" s="331" t="s">
        <v>16367</v>
      </c>
      <c r="G306">
        <v>1</v>
      </c>
      <c r="H306" t="str">
        <f t="shared" si="30"/>
        <v>2|2679|1</v>
      </c>
      <c r="I306" s="222" t="s">
        <v>9287</v>
      </c>
      <c r="J306">
        <v>40</v>
      </c>
      <c r="K306" t="str">
        <f t="shared" si="31"/>
        <v>2|2679|1|40</v>
      </c>
      <c r="L306" t="str">
        <f t="shared" si="28"/>
        <v>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6" t="str">
        <f t="shared" si="29"/>
        <v>2|2679|1|40,2|2665|1|40,2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6" s="338">
        <v>20442</v>
      </c>
      <c r="R306" t="str">
        <f t="shared" si="33"/>
        <v>封魔长剑</v>
      </c>
    </row>
    <row r="307" spans="1:18" ht="16.5" hidden="1">
      <c r="A307" t="str">
        <f t="shared" si="32"/>
        <v>a07</v>
      </c>
      <c r="B307">
        <v>2</v>
      </c>
      <c r="C307" s="222" t="s">
        <v>9287</v>
      </c>
      <c r="D307">
        <f>VLOOKUP(F307,Sheet7!$B:$G,6,0)</f>
        <v>2693</v>
      </c>
      <c r="E307" s="222" t="s">
        <v>9287</v>
      </c>
      <c r="F307" s="331" t="s">
        <v>16382</v>
      </c>
      <c r="G307">
        <v>1</v>
      </c>
      <c r="H307" t="str">
        <f t="shared" si="30"/>
        <v>2|2693|1</v>
      </c>
      <c r="I307" s="222" t="s">
        <v>9287</v>
      </c>
      <c r="J307">
        <v>40</v>
      </c>
      <c r="K307" t="str">
        <f t="shared" si="31"/>
        <v>2|2693|1|40</v>
      </c>
      <c r="L307" t="str">
        <f t="shared" si="28"/>
        <v>2|2693|1,2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7" t="str">
        <f t="shared" si="29"/>
        <v>2|2693|1|40,2|2679|1|40,2|2665|1|40,2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7" s="338">
        <v>20443</v>
      </c>
      <c r="R307" t="str">
        <f t="shared" si="33"/>
        <v>封魔头盔</v>
      </c>
    </row>
    <row r="308" spans="1:18" ht="16.5">
      <c r="A308" t="str">
        <f t="shared" si="32"/>
        <v>a07</v>
      </c>
      <c r="B308">
        <v>2</v>
      </c>
      <c r="C308" s="222" t="s">
        <v>9287</v>
      </c>
      <c r="D308">
        <f>VLOOKUP(F308,Sheet7!$B:$G,6,0)</f>
        <v>2707</v>
      </c>
      <c r="E308" s="222" t="s">
        <v>9287</v>
      </c>
      <c r="F308" s="331" t="s">
        <v>16397</v>
      </c>
      <c r="G308">
        <v>1</v>
      </c>
      <c r="H308" t="str">
        <f t="shared" si="30"/>
        <v>2|2707|1</v>
      </c>
      <c r="I308" s="222" t="s">
        <v>9287</v>
      </c>
      <c r="J308">
        <v>40</v>
      </c>
      <c r="K308" t="str">
        <f t="shared" si="31"/>
        <v>2|2707|1|40</v>
      </c>
      <c r="L308" t="str">
        <f t="shared" si="28"/>
        <v>2|2707|1,2|2693|1,2|2679|1,2|2665|1,2|2651|1,2|2637|1,2|2623|1,2|2609|1,2|2595|1,2|2581|1,2|2567|1,2|2553|1,2|2539|1,2|2525|1,2|2511|1,2|2497|1,2|2483|1,2|2469|1,2|2455|1,2|2441|1,2|2427|1,2|2413|1,2|2399|1,2|2385|1,2|2371|1,2|2357|1,2|2343|1,2|2329|1,2|2315|1,2|2301|1,2|2287|1,2|2273|1,2|2259|1,2|2245|1,2|2231|1,2|2217|1,2|2203|1,2|2189|1,2|2175|1,2|2161|1,2|2148|1,2|2134|1,2|2120|1</v>
      </c>
      <c r="M308" t="str">
        <f t="shared" si="29"/>
        <v>2|2707|1|40,2|2693|1|40,2|2679|1|40,2|2665|1|40,2|2651|1|40,2|2637|1|40,2|2623|1|40,2|2609|1|40,2|2595|1|40,2|2581|1|40,2|2567|1|40,2|2553|1|40,2|2539|1|40,2|2525|1|40,2|2511|1|40,2|2497|1|40,2|2483|1|40,2|2469|1|40,2|2455|1|40,2|2441|1|40,2|2427|1|40,2|2413|1|40,2|2399|1|40,2|2385|1|40,2|2371|1|40,2|2357|1|40,2|2343|1|40,2|2329|1|40,2|2315|1|20,2|2301|1|20,2|2287|1|20,2|2273|1|20,2|2259|1|20,2|2245|1|20,2|2231|1|20,2|2217|1|20,2|2203|1|20,2|2189|1|20,2|2175|1|20,2|2161|1|20,2|2148|1|10,2|2134|1|10,2|2120|1|10</v>
      </c>
      <c r="N308" s="338">
        <v>20444</v>
      </c>
      <c r="R308" t="str">
        <f t="shared" si="33"/>
        <v>封魔战靴</v>
      </c>
    </row>
    <row r="309" spans="1:18" ht="16.5" hidden="1">
      <c r="A309" t="str">
        <f t="shared" si="32"/>
        <v>a08</v>
      </c>
      <c r="B309">
        <v>2</v>
      </c>
      <c r="C309" s="222" t="s">
        <v>9287</v>
      </c>
      <c r="D309">
        <f>VLOOKUP(F309,Sheet7!$B:$G,6,0)</f>
        <v>2081</v>
      </c>
      <c r="E309" s="222" t="s">
        <v>9287</v>
      </c>
      <c r="F309" s="331" t="s">
        <v>15753</v>
      </c>
      <c r="G309">
        <v>1</v>
      </c>
      <c r="H309" t="str">
        <f t="shared" si="30"/>
        <v>2|2081|1</v>
      </c>
      <c r="I309" s="222" t="s">
        <v>9287</v>
      </c>
      <c r="J309">
        <v>10</v>
      </c>
      <c r="K309" t="str">
        <f t="shared" si="31"/>
        <v>2|2081|1|10</v>
      </c>
      <c r="L309" t="str">
        <f t="shared" si="28"/>
        <v>2|2081|1</v>
      </c>
      <c r="M309" t="str">
        <f t="shared" si="29"/>
        <v>2|2081|1|10</v>
      </c>
      <c r="N309" s="338">
        <v>20445</v>
      </c>
      <c r="R309" t="str">
        <f t="shared" si="33"/>
        <v>蚩尤战甲</v>
      </c>
    </row>
    <row r="310" spans="1:18" ht="16.5" hidden="1">
      <c r="A310" t="str">
        <f t="shared" si="32"/>
        <v>a08</v>
      </c>
      <c r="B310">
        <v>2</v>
      </c>
      <c r="C310" s="222" t="s">
        <v>9287</v>
      </c>
      <c r="D310">
        <f>VLOOKUP(F310,Sheet7!$B:$G,6,0)</f>
        <v>2082</v>
      </c>
      <c r="E310" s="222" t="s">
        <v>9287</v>
      </c>
      <c r="F310" s="331" t="s">
        <v>15768</v>
      </c>
      <c r="G310">
        <v>1</v>
      </c>
      <c r="H310" t="str">
        <f t="shared" si="30"/>
        <v>2|2082|1</v>
      </c>
      <c r="I310" s="222" t="s">
        <v>9287</v>
      </c>
      <c r="J310">
        <v>10</v>
      </c>
      <c r="K310" t="str">
        <f t="shared" si="31"/>
        <v>2|2082|1|10</v>
      </c>
      <c r="L310" t="str">
        <f t="shared" si="28"/>
        <v>2|2082|1,2|2081|1</v>
      </c>
      <c r="M310" t="str">
        <f t="shared" si="29"/>
        <v>2|2082|1|10,2|2081|1|10</v>
      </c>
      <c r="N310" s="338">
        <v>20446</v>
      </c>
      <c r="R310" t="str">
        <f t="shared" si="33"/>
        <v>蚩尤长剑</v>
      </c>
    </row>
    <row r="311" spans="1:18" ht="16.5" hidden="1">
      <c r="A311" t="str">
        <f t="shared" si="32"/>
        <v>a08</v>
      </c>
      <c r="B311">
        <v>2</v>
      </c>
      <c r="C311" s="222" t="s">
        <v>9287</v>
      </c>
      <c r="D311">
        <f>VLOOKUP(F311,Sheet7!$B:$G,6,0)</f>
        <v>2083</v>
      </c>
      <c r="E311" s="222" t="s">
        <v>9287</v>
      </c>
      <c r="F311" s="331" t="s">
        <v>15783</v>
      </c>
      <c r="G311">
        <v>1</v>
      </c>
      <c r="H311" t="str">
        <f t="shared" si="30"/>
        <v>2|2083|1</v>
      </c>
      <c r="I311" s="222" t="s">
        <v>9287</v>
      </c>
      <c r="J311">
        <v>10</v>
      </c>
      <c r="K311" t="str">
        <f t="shared" si="31"/>
        <v>2|2083|1|10</v>
      </c>
      <c r="L311" t="str">
        <f t="shared" si="28"/>
        <v>2|2083|1,2|2082|1,2|2081|1</v>
      </c>
      <c r="M311" t="str">
        <f t="shared" si="29"/>
        <v>2|2083|1|10,2|2082|1|10,2|2081|1|10</v>
      </c>
      <c r="N311" s="338">
        <v>20447</v>
      </c>
      <c r="R311" t="str">
        <f t="shared" si="33"/>
        <v>蚩尤头盔</v>
      </c>
    </row>
    <row r="312" spans="1:18" ht="16.5" hidden="1">
      <c r="A312" t="str">
        <f t="shared" si="32"/>
        <v>a08</v>
      </c>
      <c r="B312">
        <v>2</v>
      </c>
      <c r="C312" s="222" t="s">
        <v>9287</v>
      </c>
      <c r="D312">
        <f>VLOOKUP(F312,Sheet7!$B:$G,6,0)</f>
        <v>2084</v>
      </c>
      <c r="E312" s="222" t="s">
        <v>9287</v>
      </c>
      <c r="F312" s="331" t="s">
        <v>15798</v>
      </c>
      <c r="G312">
        <v>1</v>
      </c>
      <c r="H312" t="str">
        <f t="shared" si="30"/>
        <v>2|2084|1</v>
      </c>
      <c r="I312" s="222" t="s">
        <v>9287</v>
      </c>
      <c r="J312">
        <v>10</v>
      </c>
      <c r="K312" t="str">
        <f t="shared" si="31"/>
        <v>2|2084|1|10</v>
      </c>
      <c r="L312" t="str">
        <f t="shared" si="28"/>
        <v>2|2084|1,2|2083|1,2|2082|1,2|2081|1</v>
      </c>
      <c r="M312" t="str">
        <f t="shared" si="29"/>
        <v>2|2084|1|10,2|2083|1|10,2|2082|1|10,2|2081|1|10</v>
      </c>
      <c r="N312" s="338">
        <v>20448</v>
      </c>
      <c r="R312" t="str">
        <f t="shared" si="33"/>
        <v>蚩尤战靴</v>
      </c>
    </row>
    <row r="313" spans="1:18" ht="16.5" hidden="1">
      <c r="A313" t="str">
        <f t="shared" si="32"/>
        <v>a08</v>
      </c>
      <c r="B313">
        <v>2</v>
      </c>
      <c r="C313" s="222" t="s">
        <v>9287</v>
      </c>
      <c r="D313">
        <f>VLOOKUP(F313,Sheet7!$B:$G,6,0)</f>
        <v>2162</v>
      </c>
      <c r="E313" s="222" t="s">
        <v>9287</v>
      </c>
      <c r="F313" s="331" t="s">
        <v>15813</v>
      </c>
      <c r="G313">
        <v>1</v>
      </c>
      <c r="H313" t="str">
        <f t="shared" si="30"/>
        <v>2|2162|1</v>
      </c>
      <c r="I313" s="222" t="s">
        <v>9287</v>
      </c>
      <c r="J313">
        <v>20</v>
      </c>
      <c r="K313" t="str">
        <f t="shared" si="31"/>
        <v>2|2162|1|20</v>
      </c>
      <c r="L313" t="str">
        <f t="shared" si="28"/>
        <v>2|2162|1,2|2084|1,2|2083|1,2|2082|1,2|2081|1</v>
      </c>
      <c r="M313" t="str">
        <f t="shared" si="29"/>
        <v>2|2162|1|20,2|2084|1|10,2|2083|1|10,2|2082|1|10,2|2081|1|10</v>
      </c>
      <c r="N313" s="338">
        <v>20449</v>
      </c>
      <c r="R313" t="str">
        <f t="shared" si="33"/>
        <v>天罡战甲</v>
      </c>
    </row>
    <row r="314" spans="1:18" ht="16.5" hidden="1">
      <c r="A314" t="str">
        <f t="shared" si="32"/>
        <v>a08</v>
      </c>
      <c r="B314">
        <v>2</v>
      </c>
      <c r="C314" s="222" t="s">
        <v>9287</v>
      </c>
      <c r="D314">
        <f>VLOOKUP(F314,Sheet7!$B:$G,6,0)</f>
        <v>2176</v>
      </c>
      <c r="E314" s="222" t="s">
        <v>9287</v>
      </c>
      <c r="F314" s="331" t="s">
        <v>15828</v>
      </c>
      <c r="G314">
        <v>1</v>
      </c>
      <c r="H314" t="str">
        <f t="shared" si="30"/>
        <v>2|2176|1</v>
      </c>
      <c r="I314" s="222" t="s">
        <v>9287</v>
      </c>
      <c r="J314">
        <v>20</v>
      </c>
      <c r="K314" t="str">
        <f t="shared" si="31"/>
        <v>2|2176|1|20</v>
      </c>
      <c r="L314" t="str">
        <f t="shared" si="28"/>
        <v>2|2176|1,2|2162|1,2|2084|1,2|2083|1,2|2082|1,2|2081|1</v>
      </c>
      <c r="M314" t="str">
        <f t="shared" si="29"/>
        <v>2|2176|1|20,2|2162|1|20,2|2084|1|10,2|2083|1|10,2|2082|1|10,2|2081|1|10</v>
      </c>
      <c r="N314" s="338">
        <v>20450</v>
      </c>
      <c r="R314" t="str">
        <f t="shared" si="33"/>
        <v>天罡长剑</v>
      </c>
    </row>
    <row r="315" spans="1:18" ht="16.5" hidden="1">
      <c r="A315" t="str">
        <f t="shared" si="32"/>
        <v>a08</v>
      </c>
      <c r="B315">
        <v>2</v>
      </c>
      <c r="C315" s="222" t="s">
        <v>9287</v>
      </c>
      <c r="D315">
        <f>VLOOKUP(F315,Sheet7!$B:$G,6,0)</f>
        <v>2190</v>
      </c>
      <c r="E315" s="222" t="s">
        <v>9287</v>
      </c>
      <c r="F315" s="331" t="s">
        <v>15843</v>
      </c>
      <c r="G315">
        <v>1</v>
      </c>
      <c r="H315" t="str">
        <f t="shared" si="30"/>
        <v>2|2190|1</v>
      </c>
      <c r="I315" s="222" t="s">
        <v>9287</v>
      </c>
      <c r="J315">
        <v>20</v>
      </c>
      <c r="K315" t="str">
        <f t="shared" si="31"/>
        <v>2|2190|1|20</v>
      </c>
      <c r="L315" t="str">
        <f t="shared" si="28"/>
        <v>2|2190|1,2|2176|1,2|2162|1,2|2084|1,2|2083|1,2|2082|1,2|2081|1</v>
      </c>
      <c r="M315" t="str">
        <f t="shared" si="29"/>
        <v>2|2190|1|20,2|2176|1|20,2|2162|1|20,2|2084|1|10,2|2083|1|10,2|2082|1|10,2|2081|1|10</v>
      </c>
      <c r="N315" s="338">
        <v>204511</v>
      </c>
      <c r="R315" t="str">
        <f t="shared" si="33"/>
        <v>天罡头盔</v>
      </c>
    </row>
    <row r="316" spans="1:18" ht="16.5" hidden="1">
      <c r="A316" t="str">
        <f t="shared" si="32"/>
        <v>a08</v>
      </c>
      <c r="B316">
        <v>2</v>
      </c>
      <c r="C316" s="222" t="s">
        <v>9287</v>
      </c>
      <c r="D316">
        <f>VLOOKUP(F316,Sheet7!$B:$G,6,0)</f>
        <v>2204</v>
      </c>
      <c r="E316" s="222" t="s">
        <v>9287</v>
      </c>
      <c r="F316" s="331" t="s">
        <v>15858</v>
      </c>
      <c r="G316">
        <v>1</v>
      </c>
      <c r="H316" t="str">
        <f t="shared" si="30"/>
        <v>2|2204|1</v>
      </c>
      <c r="I316" s="222" t="s">
        <v>9287</v>
      </c>
      <c r="J316">
        <v>20</v>
      </c>
      <c r="K316" t="str">
        <f t="shared" si="31"/>
        <v>2|2204|1|20</v>
      </c>
      <c r="L316" t="str">
        <f t="shared" si="28"/>
        <v>2|2204|1,2|2190|1,2|2176|1,2|2162|1,2|2084|1,2|2083|1,2|2082|1,2|2081|1</v>
      </c>
      <c r="M316" t="str">
        <f t="shared" si="29"/>
        <v>2|2204|1|20,2|2190|1|20,2|2176|1|20,2|2162|1|20,2|2084|1|10,2|2083|1|10,2|2082|1|10,2|2081|1|10</v>
      </c>
      <c r="N316" s="338">
        <v>204512</v>
      </c>
      <c r="R316" t="str">
        <f t="shared" si="33"/>
        <v>天罡战靴</v>
      </c>
    </row>
    <row r="317" spans="1:18" ht="16.5" hidden="1">
      <c r="A317" t="str">
        <f t="shared" si="32"/>
        <v>a08</v>
      </c>
      <c r="B317">
        <v>2</v>
      </c>
      <c r="C317" s="222" t="s">
        <v>9287</v>
      </c>
      <c r="D317">
        <f>VLOOKUP(F317,Sheet7!$B:$G,6,0)</f>
        <v>2218</v>
      </c>
      <c r="E317" s="222" t="s">
        <v>9287</v>
      </c>
      <c r="F317" s="331" t="s">
        <v>15873</v>
      </c>
      <c r="G317">
        <v>1</v>
      </c>
      <c r="H317" t="str">
        <f t="shared" si="30"/>
        <v>2|2218|1</v>
      </c>
      <c r="I317" s="222" t="s">
        <v>9287</v>
      </c>
      <c r="J317">
        <v>20</v>
      </c>
      <c r="K317" t="str">
        <f t="shared" si="31"/>
        <v>2|2218|1|20</v>
      </c>
      <c r="L317" t="str">
        <f t="shared" si="28"/>
        <v>2|2218|1,2|2204|1,2|2190|1,2|2176|1,2|2162|1,2|2084|1,2|2083|1,2|2082|1,2|2081|1</v>
      </c>
      <c r="M317" t="str">
        <f t="shared" si="29"/>
        <v>2|2218|1|20,2|2204|1|20,2|2190|1|20,2|2176|1|20,2|2162|1|20,2|2084|1|10,2|2083|1|10,2|2082|1|10,2|2081|1|10</v>
      </c>
      <c r="N317" s="332">
        <v>29</v>
      </c>
      <c r="R317" t="str">
        <f t="shared" si="33"/>
        <v>降魔战甲</v>
      </c>
    </row>
    <row r="318" spans="1:18" ht="16.5" hidden="1">
      <c r="A318" t="str">
        <f t="shared" si="32"/>
        <v>a08</v>
      </c>
      <c r="B318">
        <v>2</v>
      </c>
      <c r="C318" s="222" t="s">
        <v>9287</v>
      </c>
      <c r="D318">
        <f>VLOOKUP(F318,Sheet7!$B:$G,6,0)</f>
        <v>2232</v>
      </c>
      <c r="E318" s="222" t="s">
        <v>9287</v>
      </c>
      <c r="F318" s="331" t="s">
        <v>15888</v>
      </c>
      <c r="G318">
        <v>1</v>
      </c>
      <c r="H318" t="str">
        <f t="shared" si="30"/>
        <v>2|2232|1</v>
      </c>
      <c r="I318" s="222" t="s">
        <v>9287</v>
      </c>
      <c r="J318">
        <v>20</v>
      </c>
      <c r="K318" t="str">
        <f t="shared" si="31"/>
        <v>2|2232|1|20</v>
      </c>
      <c r="L318" t="str">
        <f t="shared" si="28"/>
        <v>2|2232|1,2|2218|1,2|2204|1,2|2190|1,2|2176|1,2|2162|1,2|2084|1,2|2083|1,2|2082|1,2|2081|1</v>
      </c>
      <c r="M318" t="str">
        <f t="shared" si="29"/>
        <v>2|2232|1|20,2|2218|1|20,2|2204|1|20,2|2190|1|20,2|2176|1|20,2|2162|1|20,2|2084|1|10,2|2083|1|10,2|2082|1|10,2|2081|1|10</v>
      </c>
      <c r="N318" s="332">
        <v>2029</v>
      </c>
      <c r="R318" t="str">
        <f t="shared" si="33"/>
        <v>降魔长剑</v>
      </c>
    </row>
    <row r="319" spans="1:18" ht="16.5" hidden="1">
      <c r="A319" t="str">
        <f t="shared" si="32"/>
        <v>a08</v>
      </c>
      <c r="B319">
        <v>2</v>
      </c>
      <c r="C319" s="222" t="s">
        <v>9287</v>
      </c>
      <c r="D319">
        <f>VLOOKUP(F319,Sheet7!$B:$G,6,0)</f>
        <v>2246</v>
      </c>
      <c r="E319" s="222" t="s">
        <v>9287</v>
      </c>
      <c r="F319" s="331" t="s">
        <v>15903</v>
      </c>
      <c r="G319">
        <v>1</v>
      </c>
      <c r="H319" t="str">
        <f t="shared" si="30"/>
        <v>2|2246|1</v>
      </c>
      <c r="I319" s="222" t="s">
        <v>9287</v>
      </c>
      <c r="J319">
        <v>20</v>
      </c>
      <c r="K319" t="str">
        <f t="shared" si="31"/>
        <v>2|2246|1|20</v>
      </c>
      <c r="L319" t="str">
        <f t="shared" si="28"/>
        <v>2|2246|1,2|2232|1,2|2218|1,2|2204|1,2|2190|1,2|2176|1,2|2162|1,2|2084|1,2|2083|1,2|2082|1,2|2081|1</v>
      </c>
      <c r="M319" t="str">
        <f t="shared" si="29"/>
        <v>2|2246|1|20,2|2232|1|20,2|2218|1|20,2|2204|1|20,2|2190|1|20,2|2176|1|20,2|2162|1|20,2|2084|1|10,2|2083|1|10,2|2082|1|10,2|2081|1|10</v>
      </c>
      <c r="N319" s="332">
        <v>20291</v>
      </c>
      <c r="R319" t="str">
        <f t="shared" si="33"/>
        <v>降魔头盔</v>
      </c>
    </row>
    <row r="320" spans="1:18" ht="16.5" hidden="1">
      <c r="A320" t="str">
        <f t="shared" si="32"/>
        <v>a08</v>
      </c>
      <c r="B320">
        <v>2</v>
      </c>
      <c r="C320" s="222" t="s">
        <v>9287</v>
      </c>
      <c r="D320">
        <f>VLOOKUP(F320,Sheet7!$B:$G,6,0)</f>
        <v>2260</v>
      </c>
      <c r="E320" s="222" t="s">
        <v>9287</v>
      </c>
      <c r="F320" s="331" t="s">
        <v>15918</v>
      </c>
      <c r="G320">
        <v>1</v>
      </c>
      <c r="H320" t="str">
        <f t="shared" si="30"/>
        <v>2|2260|1</v>
      </c>
      <c r="I320" s="222" t="s">
        <v>9287</v>
      </c>
      <c r="J320">
        <v>20</v>
      </c>
      <c r="K320" t="str">
        <f t="shared" si="31"/>
        <v>2|2260|1|20</v>
      </c>
      <c r="L320" t="str">
        <f t="shared" si="28"/>
        <v>2|2260|1,2|2246|1,2|2232|1,2|2218|1,2|2204|1,2|2190|1,2|2176|1,2|2162|1,2|2084|1,2|2083|1,2|2082|1,2|2081|1</v>
      </c>
      <c r="M320" t="str">
        <f t="shared" si="29"/>
        <v>2|2260|1|20,2|2246|1|20,2|2232|1|20,2|2218|1|20,2|2204|1|20,2|2190|1|20,2|2176|1|20,2|2162|1|20,2|2084|1|10,2|2083|1|10,2|2082|1|10,2|2081|1|10</v>
      </c>
      <c r="N320" s="332">
        <v>20292</v>
      </c>
      <c r="R320" t="str">
        <f t="shared" si="33"/>
        <v>降魔战靴</v>
      </c>
    </row>
    <row r="321" spans="1:18" ht="16.5" hidden="1">
      <c r="A321" t="str">
        <f t="shared" si="32"/>
        <v>a08</v>
      </c>
      <c r="B321">
        <v>2</v>
      </c>
      <c r="C321" s="222" t="s">
        <v>9287</v>
      </c>
      <c r="D321">
        <f>VLOOKUP(F321,Sheet7!$B:$G,6,0)</f>
        <v>2274</v>
      </c>
      <c r="E321" s="222" t="s">
        <v>9287</v>
      </c>
      <c r="F321" s="331" t="s">
        <v>15933</v>
      </c>
      <c r="G321">
        <v>1</v>
      </c>
      <c r="H321" t="str">
        <f t="shared" si="30"/>
        <v>2|2274|1</v>
      </c>
      <c r="I321" s="222" t="s">
        <v>9287</v>
      </c>
      <c r="J321">
        <v>20</v>
      </c>
      <c r="K321" t="str">
        <f t="shared" si="31"/>
        <v>2|2274|1|20</v>
      </c>
      <c r="L321" t="str">
        <f t="shared" si="28"/>
        <v>2|2274|1,2|2260|1,2|2246|1,2|2232|1,2|2218|1,2|2204|1,2|2190|1,2|2176|1,2|2162|1,2|2084|1,2|2083|1,2|2082|1,2|2081|1</v>
      </c>
      <c r="M321" t="str">
        <f t="shared" si="29"/>
        <v>2|2274|1|20,2|2260|1|20,2|2246|1|20,2|2232|1|20,2|2218|1|20,2|2204|1|20,2|2190|1|20,2|2176|1|20,2|2162|1|20,2|2084|1|10,2|2083|1|10,2|2082|1|10,2|2081|1|10</v>
      </c>
      <c r="N321" s="332">
        <v>20293</v>
      </c>
      <c r="R321" t="str">
        <f t="shared" si="33"/>
        <v>血魔战甲</v>
      </c>
    </row>
    <row r="322" spans="1:18" ht="16.5" hidden="1">
      <c r="A322" t="str">
        <f t="shared" si="32"/>
        <v>a08</v>
      </c>
      <c r="B322">
        <v>2</v>
      </c>
      <c r="C322" s="222" t="s">
        <v>9287</v>
      </c>
      <c r="D322">
        <f>VLOOKUP(F322,Sheet7!$B:$G,6,0)</f>
        <v>2288</v>
      </c>
      <c r="E322" s="222" t="s">
        <v>9287</v>
      </c>
      <c r="F322" s="331" t="s">
        <v>15948</v>
      </c>
      <c r="G322">
        <v>1</v>
      </c>
      <c r="H322" t="str">
        <f t="shared" si="30"/>
        <v>2|2288|1</v>
      </c>
      <c r="I322" s="222" t="s">
        <v>9287</v>
      </c>
      <c r="J322">
        <v>20</v>
      </c>
      <c r="K322" t="str">
        <f t="shared" si="31"/>
        <v>2|2288|1|20</v>
      </c>
      <c r="L322" t="str">
        <f t="shared" si="28"/>
        <v>2|2288|1,2|2274|1,2|2260|1,2|2246|1,2|2232|1,2|2218|1,2|2204|1,2|2190|1,2|2176|1,2|2162|1,2|2084|1,2|2083|1,2|2082|1,2|2081|1</v>
      </c>
      <c r="M322" t="str">
        <f t="shared" si="29"/>
        <v>2|2288|1|20,2|2274|1|20,2|2260|1|20,2|2246|1|20,2|2232|1|20,2|2218|1|20,2|2204|1|20,2|2190|1|20,2|2176|1|20,2|2162|1|20,2|2084|1|10,2|2083|1|10,2|2082|1|10,2|2081|1|10</v>
      </c>
      <c r="N322" s="332">
        <v>20294</v>
      </c>
      <c r="R322" t="str">
        <f t="shared" si="33"/>
        <v>赤霄长剑</v>
      </c>
    </row>
    <row r="323" spans="1:18" ht="16.5" hidden="1">
      <c r="A323" t="str">
        <f t="shared" si="32"/>
        <v>a08</v>
      </c>
      <c r="B323">
        <v>2</v>
      </c>
      <c r="C323" s="222" t="s">
        <v>9287</v>
      </c>
      <c r="D323">
        <f>VLOOKUP(F323,Sheet7!$B:$G,6,0)</f>
        <v>2302</v>
      </c>
      <c r="E323" s="222" t="s">
        <v>9287</v>
      </c>
      <c r="F323" s="331" t="s">
        <v>15963</v>
      </c>
      <c r="G323">
        <v>1</v>
      </c>
      <c r="H323" t="str">
        <f t="shared" si="30"/>
        <v>2|2302|1</v>
      </c>
      <c r="I323" s="222" t="s">
        <v>9287</v>
      </c>
      <c r="J323">
        <v>20</v>
      </c>
      <c r="K323" t="str">
        <f t="shared" si="31"/>
        <v>2|2302|1|20</v>
      </c>
      <c r="L323" t="str">
        <f t="shared" si="28"/>
        <v>2|2302|1,2|2288|1,2|2274|1,2|2260|1,2|2246|1,2|2232|1,2|2218|1,2|2204|1,2|2190|1,2|2176|1,2|2162|1,2|2084|1,2|2083|1,2|2082|1,2|2081|1</v>
      </c>
      <c r="M323" t="str">
        <f t="shared" si="29"/>
        <v>2|2302|1|20,2|2288|1|20,2|2274|1|20,2|2260|1|20,2|2246|1|20,2|2232|1|20,2|2218|1|20,2|2204|1|20,2|2190|1|20,2|2176|1|20,2|2162|1|20,2|2084|1|10,2|2083|1|10,2|2082|1|10,2|2081|1|10</v>
      </c>
      <c r="N323" s="332">
        <v>20295</v>
      </c>
      <c r="R323" t="str">
        <f t="shared" si="33"/>
        <v>麒麟头盔</v>
      </c>
    </row>
    <row r="324" spans="1:18" ht="16.5" hidden="1">
      <c r="A324" t="str">
        <f t="shared" si="32"/>
        <v>a08</v>
      </c>
      <c r="B324">
        <v>2</v>
      </c>
      <c r="C324" s="222" t="s">
        <v>9287</v>
      </c>
      <c r="D324">
        <f>VLOOKUP(F324,Sheet7!$B:$G,6,0)</f>
        <v>2316</v>
      </c>
      <c r="E324" s="222" t="s">
        <v>9287</v>
      </c>
      <c r="F324" s="331" t="s">
        <v>15978</v>
      </c>
      <c r="G324">
        <v>1</v>
      </c>
      <c r="H324" t="str">
        <f t="shared" si="30"/>
        <v>2|2316|1</v>
      </c>
      <c r="I324" s="222" t="s">
        <v>9287</v>
      </c>
      <c r="J324">
        <v>20</v>
      </c>
      <c r="K324" t="str">
        <f t="shared" si="31"/>
        <v>2|2316|1|20</v>
      </c>
      <c r="L324" t="str">
        <f t="shared" ref="L324:L387" si="34">IF(A324=A323,H324&amp;","&amp;L323,H324)</f>
        <v>2|2316|1,2|2302|1,2|2288|1,2|2274|1,2|2260|1,2|2246|1,2|2232|1,2|2218|1,2|2204|1,2|2190|1,2|2176|1,2|2162|1,2|2084|1,2|2083|1,2|2082|1,2|2081|1</v>
      </c>
      <c r="M324" t="str">
        <f t="shared" ref="M324:M387" si="35">IF(A324=A323,K324&amp;","&amp;M323,K324)</f>
        <v>2|2316|1|20,2|2302|1|20,2|2288|1|20,2|2274|1|20,2|2260|1|20,2|2246|1|20,2|2232|1|20,2|2218|1|20,2|2204|1|20,2|2190|1|20,2|2176|1|20,2|2162|1|20,2|2084|1|10,2|2083|1|10,2|2082|1|10,2|2081|1|10</v>
      </c>
      <c r="N324" s="332">
        <v>20296</v>
      </c>
      <c r="R324" t="str">
        <f t="shared" si="33"/>
        <v>兽魂战靴</v>
      </c>
    </row>
    <row r="325" spans="1:18" ht="16.5" hidden="1">
      <c r="A325" t="str">
        <f t="shared" si="32"/>
        <v>a08</v>
      </c>
      <c r="B325">
        <v>2</v>
      </c>
      <c r="C325" s="222" t="s">
        <v>9287</v>
      </c>
      <c r="D325">
        <f>VLOOKUP(F325,Sheet7!$B:$G,6,0)</f>
        <v>2330</v>
      </c>
      <c r="E325" s="222" t="s">
        <v>9287</v>
      </c>
      <c r="F325" s="331" t="s">
        <v>15993</v>
      </c>
      <c r="G325">
        <v>1</v>
      </c>
      <c r="H325" t="str">
        <f t="shared" si="30"/>
        <v>2|2330|1</v>
      </c>
      <c r="I325" s="222" t="s">
        <v>9287</v>
      </c>
      <c r="J325">
        <v>40</v>
      </c>
      <c r="K325" t="str">
        <f t="shared" si="31"/>
        <v>2|2330|1|40</v>
      </c>
      <c r="L325" t="str">
        <f t="shared" si="34"/>
        <v>2|2330|1,2|2316|1,2|2302|1,2|2288|1,2|2274|1,2|2260|1,2|2246|1,2|2232|1,2|2218|1,2|2204|1,2|2190|1,2|2176|1,2|2162|1,2|2084|1,2|2083|1,2|2082|1,2|2081|1</v>
      </c>
      <c r="M325" t="str">
        <f t="shared" si="35"/>
        <v>2|2330|1|40,2|2316|1|20,2|2302|1|20,2|2288|1|20,2|2274|1|20,2|2260|1|20,2|2246|1|20,2|2232|1|20,2|2218|1|20,2|2204|1|20,2|2190|1|20,2|2176|1|20,2|2162|1|20,2|2084|1|10,2|2083|1|10,2|2082|1|10,2|2081|1|10</v>
      </c>
      <c r="N325" s="332">
        <v>20297</v>
      </c>
      <c r="R325" t="str">
        <f t="shared" si="33"/>
        <v>磐石战甲</v>
      </c>
    </row>
    <row r="326" spans="1:18" ht="16.5" hidden="1">
      <c r="A326" t="str">
        <f t="shared" si="32"/>
        <v>a08</v>
      </c>
      <c r="B326">
        <v>2</v>
      </c>
      <c r="C326" s="222" t="s">
        <v>9287</v>
      </c>
      <c r="D326">
        <f>VLOOKUP(F326,Sheet7!$B:$G,6,0)</f>
        <v>2344</v>
      </c>
      <c r="E326" s="222" t="s">
        <v>9287</v>
      </c>
      <c r="F326" s="331" t="s">
        <v>16008</v>
      </c>
      <c r="G326">
        <v>1</v>
      </c>
      <c r="H326" t="str">
        <f t="shared" si="30"/>
        <v>2|2344|1</v>
      </c>
      <c r="I326" s="222" t="s">
        <v>9287</v>
      </c>
      <c r="J326">
        <v>40</v>
      </c>
      <c r="K326" t="str">
        <f t="shared" si="31"/>
        <v>2|2344|1|40</v>
      </c>
      <c r="L326" t="str">
        <f t="shared" si="34"/>
        <v>2|2344|1,2|2330|1,2|2316|1,2|2302|1,2|2288|1,2|2274|1,2|2260|1,2|2246|1,2|2232|1,2|2218|1,2|2204|1,2|2190|1,2|2176|1,2|2162|1,2|2084|1,2|2083|1,2|2082|1,2|2081|1</v>
      </c>
      <c r="M326" t="str">
        <f t="shared" si="35"/>
        <v>2|2344|1|40,2|2330|1|40,2|2316|1|20,2|2302|1|20,2|2288|1|20,2|2274|1|20,2|2260|1|20,2|2246|1|20,2|2232|1|20,2|2218|1|20,2|2204|1|20,2|2190|1|20,2|2176|1|20,2|2162|1|20,2|2084|1|10,2|2083|1|10,2|2082|1|10,2|2081|1|10</v>
      </c>
      <c r="N326" s="332">
        <v>20298</v>
      </c>
      <c r="R326" t="str">
        <f t="shared" si="33"/>
        <v>磐石长剑</v>
      </c>
    </row>
    <row r="327" spans="1:18" ht="16.5" hidden="1">
      <c r="A327" t="str">
        <f t="shared" si="32"/>
        <v>a08</v>
      </c>
      <c r="B327">
        <v>2</v>
      </c>
      <c r="C327" s="222" t="s">
        <v>9287</v>
      </c>
      <c r="D327">
        <f>VLOOKUP(F327,Sheet7!$B:$G,6,0)</f>
        <v>2358</v>
      </c>
      <c r="E327" s="222" t="s">
        <v>9287</v>
      </c>
      <c r="F327" s="331" t="s">
        <v>16023</v>
      </c>
      <c r="G327">
        <v>1</v>
      </c>
      <c r="H327" t="str">
        <f t="shared" si="30"/>
        <v>2|2358|1</v>
      </c>
      <c r="I327" s="222" t="s">
        <v>9287</v>
      </c>
      <c r="J327">
        <v>40</v>
      </c>
      <c r="K327" t="str">
        <f t="shared" si="31"/>
        <v>2|2358|1|40</v>
      </c>
      <c r="L327" t="str">
        <f t="shared" si="34"/>
        <v>2|2358|1,2|2344|1,2|2330|1,2|2316|1,2|2302|1,2|2288|1,2|2274|1,2|2260|1,2|2246|1,2|2232|1,2|2218|1,2|2204|1,2|2190|1,2|2176|1,2|2162|1,2|2084|1,2|2083|1,2|2082|1,2|2081|1</v>
      </c>
      <c r="M327" t="str">
        <f t="shared" si="35"/>
        <v>2|2358|1|40,2|2344|1|40,2|2330|1|40,2|2316|1|20,2|2302|1|20,2|2288|1|20,2|2274|1|20,2|2260|1|20,2|2246|1|20,2|2232|1|20,2|2218|1|20,2|2204|1|20,2|2190|1|20,2|2176|1|20,2|2162|1|20,2|2084|1|10,2|2083|1|10,2|2082|1|10,2|2081|1|10</v>
      </c>
      <c r="N327" s="332">
        <v>20299</v>
      </c>
      <c r="R327" t="str">
        <f t="shared" si="33"/>
        <v>磐石头盔</v>
      </c>
    </row>
    <row r="328" spans="1:18" ht="16.5" hidden="1">
      <c r="A328" t="str">
        <f t="shared" si="32"/>
        <v>a08</v>
      </c>
      <c r="B328">
        <v>2</v>
      </c>
      <c r="C328" s="222" t="s">
        <v>9287</v>
      </c>
      <c r="D328">
        <f>VLOOKUP(F328,Sheet7!$B:$G,6,0)</f>
        <v>2372</v>
      </c>
      <c r="E328" s="222" t="s">
        <v>9287</v>
      </c>
      <c r="F328" s="331" t="s">
        <v>16038</v>
      </c>
      <c r="G328">
        <v>1</v>
      </c>
      <c r="H328" t="str">
        <f t="shared" si="30"/>
        <v>2|2372|1</v>
      </c>
      <c r="I328" s="222" t="s">
        <v>9287</v>
      </c>
      <c r="J328">
        <v>40</v>
      </c>
      <c r="K328" t="str">
        <f t="shared" si="31"/>
        <v>2|2372|1|40</v>
      </c>
      <c r="L328" t="str">
        <f t="shared" si="34"/>
        <v>2|2372|1,2|2358|1,2|2344|1,2|2330|1,2|2316|1,2|2302|1,2|2288|1,2|2274|1,2|2260|1,2|2246|1,2|2232|1,2|2218|1,2|2204|1,2|2190|1,2|2176|1,2|2162|1,2|2084|1,2|2083|1,2|2082|1,2|2081|1</v>
      </c>
      <c r="M328" t="str">
        <f t="shared" si="35"/>
        <v>2|2372|1|40,2|2358|1|40,2|2344|1|40,2|2330|1|40,2|2316|1|20,2|2302|1|20,2|2288|1|20,2|2274|1|20,2|2260|1|20,2|2246|1|20,2|2232|1|20,2|2218|1|20,2|2204|1|20,2|2190|1|20,2|2176|1|20,2|2162|1|20,2|2084|1|10,2|2083|1|10,2|2082|1|10,2|2081|1|10</v>
      </c>
      <c r="N328" s="332">
        <v>20300</v>
      </c>
      <c r="R328" t="str">
        <f t="shared" si="33"/>
        <v>磐石战靴</v>
      </c>
    </row>
    <row r="329" spans="1:18" ht="16.5" hidden="1">
      <c r="A329" t="str">
        <f t="shared" si="32"/>
        <v>a08</v>
      </c>
      <c r="B329">
        <v>2</v>
      </c>
      <c r="C329" s="222" t="s">
        <v>9287</v>
      </c>
      <c r="D329">
        <f>VLOOKUP(F329,Sheet7!$B:$G,6,0)</f>
        <v>2386</v>
      </c>
      <c r="E329" s="222" t="s">
        <v>9287</v>
      </c>
      <c r="F329" s="331" t="s">
        <v>16053</v>
      </c>
      <c r="G329">
        <v>1</v>
      </c>
      <c r="H329" t="str">
        <f t="shared" si="30"/>
        <v>2|2386|1</v>
      </c>
      <c r="I329" s="222" t="s">
        <v>9287</v>
      </c>
      <c r="J329">
        <v>40</v>
      </c>
      <c r="K329" t="str">
        <f t="shared" si="31"/>
        <v>2|2386|1|40</v>
      </c>
      <c r="L329" t="str">
        <f t="shared" si="34"/>
        <v>2|2386|1,2|2372|1,2|2358|1,2|2344|1,2|2330|1,2|2316|1,2|2302|1,2|2288|1,2|2274|1,2|2260|1,2|2246|1,2|2232|1,2|2218|1,2|2204|1,2|2190|1,2|2176|1,2|2162|1,2|2084|1,2|2083|1,2|2082|1,2|2081|1</v>
      </c>
      <c r="M329" t="str">
        <f t="shared" si="35"/>
        <v>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29" s="332">
        <v>203011</v>
      </c>
      <c r="R329" t="str">
        <f t="shared" si="33"/>
        <v>连云战甲</v>
      </c>
    </row>
    <row r="330" spans="1:18" ht="16.5" hidden="1">
      <c r="A330" t="str">
        <f t="shared" si="32"/>
        <v>a08</v>
      </c>
      <c r="B330">
        <v>2</v>
      </c>
      <c r="C330" s="222" t="s">
        <v>9287</v>
      </c>
      <c r="D330">
        <f>VLOOKUP(F330,Sheet7!$B:$G,6,0)</f>
        <v>2400</v>
      </c>
      <c r="E330" s="222" t="s">
        <v>9287</v>
      </c>
      <c r="F330" s="331" t="s">
        <v>16068</v>
      </c>
      <c r="G330">
        <v>1</v>
      </c>
      <c r="H330" t="str">
        <f t="shared" ref="H330:H393" si="36">B330&amp;C330&amp;D330&amp;E330&amp;G330</f>
        <v>2|2400|1</v>
      </c>
      <c r="I330" s="222" t="s">
        <v>9287</v>
      </c>
      <c r="J330">
        <v>40</v>
      </c>
      <c r="K330" t="str">
        <f t="shared" ref="K330:K393" si="37">H330&amp;I330&amp;J330</f>
        <v>2|2400|1|40</v>
      </c>
      <c r="L330" t="str">
        <f t="shared" si="34"/>
        <v>2|2400|1,2|2386|1,2|2372|1,2|2358|1,2|2344|1,2|2330|1,2|2316|1,2|2302|1,2|2288|1,2|2274|1,2|2260|1,2|2246|1,2|2232|1,2|2218|1,2|2204|1,2|2190|1,2|2176|1,2|2162|1,2|2084|1,2|2083|1,2|2082|1,2|2081|1</v>
      </c>
      <c r="M330" t="str">
        <f t="shared" si="35"/>
        <v>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0" s="332">
        <v>203012</v>
      </c>
      <c r="R330" t="str">
        <f t="shared" si="33"/>
        <v>紫阳长剑</v>
      </c>
    </row>
    <row r="331" spans="1:18" ht="16.5" hidden="1">
      <c r="A331" t="str">
        <f t="shared" si="32"/>
        <v>a08</v>
      </c>
      <c r="B331">
        <v>2</v>
      </c>
      <c r="C331" s="222" t="s">
        <v>9287</v>
      </c>
      <c r="D331">
        <f>VLOOKUP(F331,Sheet7!$B:$G,6,0)</f>
        <v>2414</v>
      </c>
      <c r="E331" s="222" t="s">
        <v>9287</v>
      </c>
      <c r="F331" s="331" t="s">
        <v>16083</v>
      </c>
      <c r="G331">
        <v>1</v>
      </c>
      <c r="H331" t="str">
        <f t="shared" si="36"/>
        <v>2|2414|1</v>
      </c>
      <c r="I331" s="222" t="s">
        <v>9287</v>
      </c>
      <c r="J331">
        <v>40</v>
      </c>
      <c r="K331" t="str">
        <f t="shared" si="37"/>
        <v>2|2414|1|40</v>
      </c>
      <c r="L331" t="str">
        <f t="shared" si="34"/>
        <v>2|2414|1,2|2400|1,2|2386|1,2|2372|1,2|2358|1,2|2344|1,2|2330|1,2|2316|1,2|2302|1,2|2288|1,2|2274|1,2|2260|1,2|2246|1,2|2232|1,2|2218|1,2|2204|1,2|2190|1,2|2176|1,2|2162|1,2|2084|1,2|2083|1,2|2082|1,2|2081|1</v>
      </c>
      <c r="M331" t="str">
        <f t="shared" si="35"/>
        <v>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1" s="332">
        <v>203013</v>
      </c>
      <c r="R331" t="str">
        <f t="shared" si="33"/>
        <v>耀日头盔</v>
      </c>
    </row>
    <row r="332" spans="1:18" ht="16.5" hidden="1">
      <c r="A332" t="str">
        <f t="shared" si="32"/>
        <v>a08</v>
      </c>
      <c r="B332">
        <v>2</v>
      </c>
      <c r="C332" s="222" t="s">
        <v>9287</v>
      </c>
      <c r="D332">
        <f>VLOOKUP(F332,Sheet7!$B:$G,6,0)</f>
        <v>2428</v>
      </c>
      <c r="E332" s="222" t="s">
        <v>9287</v>
      </c>
      <c r="F332" s="331" t="s">
        <v>16098</v>
      </c>
      <c r="G332">
        <v>1</v>
      </c>
      <c r="H332" t="str">
        <f t="shared" si="36"/>
        <v>2|2428|1</v>
      </c>
      <c r="I332" s="222" t="s">
        <v>9287</v>
      </c>
      <c r="J332">
        <v>40</v>
      </c>
      <c r="K332" t="str">
        <f t="shared" si="37"/>
        <v>2|2428|1|40</v>
      </c>
      <c r="L332" t="str">
        <f t="shared" si="34"/>
        <v>2|2428|1,2|2414|1,2|2400|1,2|2386|1,2|2372|1,2|2358|1,2|2344|1,2|2330|1,2|2316|1,2|2302|1,2|2288|1,2|2274|1,2|2260|1,2|2246|1,2|2232|1,2|2218|1,2|2204|1,2|2190|1,2|2176|1,2|2162|1,2|2084|1,2|2083|1,2|2082|1,2|2081|1</v>
      </c>
      <c r="M332" t="str">
        <f t="shared" si="35"/>
        <v>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2" s="332">
        <v>30</v>
      </c>
      <c r="R332" t="str">
        <f t="shared" si="33"/>
        <v>雷霆战靴</v>
      </c>
    </row>
    <row r="333" spans="1:18" ht="16.5" hidden="1">
      <c r="A333" t="str">
        <f t="shared" si="32"/>
        <v>a08</v>
      </c>
      <c r="B333">
        <v>2</v>
      </c>
      <c r="C333" s="222" t="s">
        <v>9287</v>
      </c>
      <c r="D333">
        <f>VLOOKUP(F333,Sheet7!$B:$G,6,0)</f>
        <v>2442</v>
      </c>
      <c r="E333" s="222" t="s">
        <v>9287</v>
      </c>
      <c r="F333" s="331" t="s">
        <v>16113</v>
      </c>
      <c r="G333">
        <v>1</v>
      </c>
      <c r="H333" t="str">
        <f t="shared" si="36"/>
        <v>2|2442|1</v>
      </c>
      <c r="I333" s="222" t="s">
        <v>9287</v>
      </c>
      <c r="J333">
        <v>40</v>
      </c>
      <c r="K333" t="str">
        <f t="shared" si="37"/>
        <v>2|2442|1|40</v>
      </c>
      <c r="L333" t="str">
        <f t="shared" si="34"/>
        <v>2|2442|1,2|2428|1,2|2414|1,2|2400|1,2|2386|1,2|2372|1,2|2358|1,2|2344|1,2|2330|1,2|2316|1,2|2302|1,2|2288|1,2|2274|1,2|2260|1,2|2246|1,2|2232|1,2|2218|1,2|2204|1,2|2190|1,2|2176|1,2|2162|1,2|2084|1,2|2083|1,2|2082|1,2|2081|1</v>
      </c>
      <c r="M333" t="str">
        <f t="shared" si="35"/>
        <v>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3" s="332">
        <v>2030</v>
      </c>
      <c r="R333" t="str">
        <f t="shared" si="33"/>
        <v>护卫战甲</v>
      </c>
    </row>
    <row r="334" spans="1:18" ht="16.5" hidden="1">
      <c r="A334" t="str">
        <f t="shared" si="32"/>
        <v>a08</v>
      </c>
      <c r="B334">
        <v>2</v>
      </c>
      <c r="C334" s="222" t="s">
        <v>9287</v>
      </c>
      <c r="D334">
        <f>VLOOKUP(F334,Sheet7!$B:$G,6,0)</f>
        <v>2456</v>
      </c>
      <c r="E334" s="222" t="s">
        <v>9287</v>
      </c>
      <c r="F334" s="331" t="s">
        <v>16128</v>
      </c>
      <c r="G334">
        <v>1</v>
      </c>
      <c r="H334" t="str">
        <f t="shared" si="36"/>
        <v>2|2456|1</v>
      </c>
      <c r="I334" s="222" t="s">
        <v>9287</v>
      </c>
      <c r="J334">
        <v>40</v>
      </c>
      <c r="K334" t="str">
        <f t="shared" si="37"/>
        <v>2|2456|1|40</v>
      </c>
      <c r="L334" t="str">
        <f t="shared" si="34"/>
        <v>2|2456|1,2|2442|1,2|2428|1,2|2414|1,2|2400|1,2|2386|1,2|2372|1,2|2358|1,2|2344|1,2|2330|1,2|2316|1,2|2302|1,2|2288|1,2|2274|1,2|2260|1,2|2246|1,2|2232|1,2|2218|1,2|2204|1,2|2190|1,2|2176|1,2|2162|1,2|2084|1,2|2083|1,2|2082|1,2|2081|1</v>
      </c>
      <c r="M334" t="str">
        <f t="shared" si="35"/>
        <v>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4" s="332">
        <v>20301</v>
      </c>
      <c r="R334" t="str">
        <f t="shared" si="33"/>
        <v>护卫长剑</v>
      </c>
    </row>
    <row r="335" spans="1:18" ht="16.5" hidden="1">
      <c r="A335" t="str">
        <f t="shared" si="32"/>
        <v>a08</v>
      </c>
      <c r="B335">
        <v>2</v>
      </c>
      <c r="C335" s="222" t="s">
        <v>9287</v>
      </c>
      <c r="D335">
        <f>VLOOKUP(F335,Sheet7!$B:$G,6,0)</f>
        <v>2470</v>
      </c>
      <c r="E335" s="222" t="s">
        <v>9287</v>
      </c>
      <c r="F335" s="331" t="s">
        <v>16143</v>
      </c>
      <c r="G335">
        <v>1</v>
      </c>
      <c r="H335" t="str">
        <f t="shared" si="36"/>
        <v>2|2470|1</v>
      </c>
      <c r="I335" s="222" t="s">
        <v>9287</v>
      </c>
      <c r="J335">
        <v>40</v>
      </c>
      <c r="K335" t="str">
        <f t="shared" si="37"/>
        <v>2|2470|1|40</v>
      </c>
      <c r="L335" t="str">
        <f t="shared" si="34"/>
        <v>2|2470|1,2|2456|1,2|2442|1,2|2428|1,2|2414|1,2|2400|1,2|2386|1,2|2372|1,2|2358|1,2|2344|1,2|2330|1,2|2316|1,2|2302|1,2|2288|1,2|2274|1,2|2260|1,2|2246|1,2|2232|1,2|2218|1,2|2204|1,2|2190|1,2|2176|1,2|2162|1,2|2084|1,2|2083|1,2|2082|1,2|2081|1</v>
      </c>
      <c r="M335" t="str">
        <f t="shared" si="35"/>
        <v>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5" s="332">
        <v>20302</v>
      </c>
      <c r="R335" t="str">
        <f t="shared" si="33"/>
        <v>护卫头盔</v>
      </c>
    </row>
    <row r="336" spans="1:18" ht="16.5" hidden="1">
      <c r="A336" t="str">
        <f t="shared" si="32"/>
        <v>a08</v>
      </c>
      <c r="B336">
        <v>2</v>
      </c>
      <c r="C336" s="222" t="s">
        <v>9287</v>
      </c>
      <c r="D336">
        <f>VLOOKUP(F336,Sheet7!$B:$G,6,0)</f>
        <v>2484</v>
      </c>
      <c r="E336" s="222" t="s">
        <v>9287</v>
      </c>
      <c r="F336" s="331" t="s">
        <v>16158</v>
      </c>
      <c r="G336">
        <v>1</v>
      </c>
      <c r="H336" t="str">
        <f t="shared" si="36"/>
        <v>2|2484|1</v>
      </c>
      <c r="I336" s="222" t="s">
        <v>9287</v>
      </c>
      <c r="J336">
        <v>40</v>
      </c>
      <c r="K336" t="str">
        <f t="shared" si="37"/>
        <v>2|2484|1|40</v>
      </c>
      <c r="L336" t="str">
        <f t="shared" si="34"/>
        <v>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36" t="str">
        <f t="shared" si="35"/>
        <v>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6" s="332">
        <v>20303</v>
      </c>
      <c r="R336" t="str">
        <f t="shared" si="33"/>
        <v>护卫战靴</v>
      </c>
    </row>
    <row r="337" spans="1:18" ht="16.5" hidden="1">
      <c r="A337" t="str">
        <f t="shared" si="32"/>
        <v>a08</v>
      </c>
      <c r="B337">
        <v>2</v>
      </c>
      <c r="C337" s="222" t="s">
        <v>9287</v>
      </c>
      <c r="D337">
        <f>VLOOKUP(F337,Sheet7!$B:$G,6,0)</f>
        <v>2498</v>
      </c>
      <c r="E337" s="222" t="s">
        <v>9287</v>
      </c>
      <c r="F337" s="331" t="s">
        <v>16173</v>
      </c>
      <c r="G337">
        <v>1</v>
      </c>
      <c r="H337" t="str">
        <f t="shared" si="36"/>
        <v>2|2498|1</v>
      </c>
      <c r="I337" s="222" t="s">
        <v>9287</v>
      </c>
      <c r="J337">
        <v>40</v>
      </c>
      <c r="K337" t="str">
        <f t="shared" si="37"/>
        <v>2|2498|1|40</v>
      </c>
      <c r="L337" t="str">
        <f t="shared" si="34"/>
        <v>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37" t="str">
        <f t="shared" si="35"/>
        <v>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7" s="332">
        <v>20304</v>
      </c>
      <c r="R337" t="str">
        <f t="shared" si="33"/>
        <v>破魔战甲</v>
      </c>
    </row>
    <row r="338" spans="1:18" ht="16.5" hidden="1">
      <c r="A338" t="str">
        <f t="shared" si="32"/>
        <v>a08</v>
      </c>
      <c r="B338">
        <v>2</v>
      </c>
      <c r="C338" s="222" t="s">
        <v>9287</v>
      </c>
      <c r="D338">
        <f>VLOOKUP(F338,Sheet7!$B:$G,6,0)</f>
        <v>2512</v>
      </c>
      <c r="E338" s="222" t="s">
        <v>9287</v>
      </c>
      <c r="F338" s="331" t="s">
        <v>16188</v>
      </c>
      <c r="G338">
        <v>1</v>
      </c>
      <c r="H338" t="str">
        <f t="shared" si="36"/>
        <v>2|2512|1</v>
      </c>
      <c r="I338" s="222" t="s">
        <v>9287</v>
      </c>
      <c r="J338">
        <v>40</v>
      </c>
      <c r="K338" t="str">
        <f t="shared" si="37"/>
        <v>2|2512|1|40</v>
      </c>
      <c r="L338" t="str">
        <f t="shared" si="34"/>
        <v>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38" t="str">
        <f t="shared" si="35"/>
        <v>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8" s="332">
        <v>20305</v>
      </c>
      <c r="R338" t="str">
        <f t="shared" si="33"/>
        <v>破魔长剑</v>
      </c>
    </row>
    <row r="339" spans="1:18" ht="16.5" hidden="1">
      <c r="A339" t="str">
        <f t="shared" si="32"/>
        <v>a08</v>
      </c>
      <c r="B339">
        <v>2</v>
      </c>
      <c r="C339" s="222" t="s">
        <v>9287</v>
      </c>
      <c r="D339">
        <f>VLOOKUP(F339,Sheet7!$B:$G,6,0)</f>
        <v>2526</v>
      </c>
      <c r="E339" s="222" t="s">
        <v>9287</v>
      </c>
      <c r="F339" s="331" t="s">
        <v>16203</v>
      </c>
      <c r="G339">
        <v>1</v>
      </c>
      <c r="H339" t="str">
        <f t="shared" si="36"/>
        <v>2|2526|1</v>
      </c>
      <c r="I339" s="222" t="s">
        <v>9287</v>
      </c>
      <c r="J339">
        <v>40</v>
      </c>
      <c r="K339" t="str">
        <f t="shared" si="37"/>
        <v>2|2526|1|40</v>
      </c>
      <c r="L339" t="str">
        <f t="shared" si="34"/>
        <v>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39" t="str">
        <f t="shared" si="35"/>
        <v>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39" s="332">
        <v>20306</v>
      </c>
      <c r="R339" t="str">
        <f t="shared" si="33"/>
        <v>破魔头盔</v>
      </c>
    </row>
    <row r="340" spans="1:18" ht="16.5" hidden="1">
      <c r="A340" t="str">
        <f t="shared" si="32"/>
        <v>a08</v>
      </c>
      <c r="B340">
        <v>2</v>
      </c>
      <c r="C340" s="222" t="s">
        <v>9287</v>
      </c>
      <c r="D340">
        <f>VLOOKUP(F340,Sheet7!$B:$G,6,0)</f>
        <v>2540</v>
      </c>
      <c r="E340" s="222" t="s">
        <v>9287</v>
      </c>
      <c r="F340" s="331" t="s">
        <v>16218</v>
      </c>
      <c r="G340">
        <v>1</v>
      </c>
      <c r="H340" t="str">
        <f t="shared" si="36"/>
        <v>2|2540|1</v>
      </c>
      <c r="I340" s="222" t="s">
        <v>9287</v>
      </c>
      <c r="J340">
        <v>40</v>
      </c>
      <c r="K340" t="str">
        <f t="shared" si="37"/>
        <v>2|2540|1|40</v>
      </c>
      <c r="L340" t="str">
        <f t="shared" si="34"/>
        <v>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0" t="str">
        <f t="shared" si="35"/>
        <v>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0" s="332">
        <v>20307</v>
      </c>
      <c r="R340" t="str">
        <f t="shared" si="33"/>
        <v>破魔战靴</v>
      </c>
    </row>
    <row r="341" spans="1:18" ht="16.5" hidden="1">
      <c r="A341" t="str">
        <f t="shared" si="32"/>
        <v>a08</v>
      </c>
      <c r="B341">
        <v>2</v>
      </c>
      <c r="C341" s="222" t="s">
        <v>9287</v>
      </c>
      <c r="D341">
        <f>VLOOKUP(F341,Sheet7!$B:$G,6,0)</f>
        <v>2554</v>
      </c>
      <c r="E341" s="222" t="s">
        <v>9287</v>
      </c>
      <c r="F341" s="331" t="s">
        <v>16233</v>
      </c>
      <c r="G341">
        <v>1</v>
      </c>
      <c r="H341" t="str">
        <f t="shared" si="36"/>
        <v>2|2554|1</v>
      </c>
      <c r="I341" s="222" t="s">
        <v>9287</v>
      </c>
      <c r="J341">
        <v>40</v>
      </c>
      <c r="K341" t="str">
        <f t="shared" si="37"/>
        <v>2|2554|1|40</v>
      </c>
      <c r="L341" t="str">
        <f t="shared" si="34"/>
        <v>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1" t="str">
        <f t="shared" si="35"/>
        <v>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1" s="332">
        <v>20308</v>
      </c>
      <c r="R341" t="str">
        <f t="shared" si="33"/>
        <v>赤血战甲</v>
      </c>
    </row>
    <row r="342" spans="1:18" ht="16.5" hidden="1">
      <c r="A342" t="str">
        <f t="shared" ref="A342:A405" si="38">LEFT(F342,3)</f>
        <v>a08</v>
      </c>
      <c r="B342">
        <v>2</v>
      </c>
      <c r="C342" s="222" t="s">
        <v>9287</v>
      </c>
      <c r="D342">
        <f>VLOOKUP(F342,Sheet7!$B:$G,6,0)</f>
        <v>2568</v>
      </c>
      <c r="E342" s="222" t="s">
        <v>9287</v>
      </c>
      <c r="F342" s="331" t="s">
        <v>16248</v>
      </c>
      <c r="G342">
        <v>1</v>
      </c>
      <c r="H342" t="str">
        <f t="shared" si="36"/>
        <v>2|2568|1</v>
      </c>
      <c r="I342" s="222" t="s">
        <v>9287</v>
      </c>
      <c r="J342">
        <v>40</v>
      </c>
      <c r="K342" t="str">
        <f t="shared" si="37"/>
        <v>2|2568|1|40</v>
      </c>
      <c r="L342" t="str">
        <f t="shared" si="34"/>
        <v>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2" t="str">
        <f t="shared" si="35"/>
        <v>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2" s="332">
        <v>20309</v>
      </c>
      <c r="R342" t="str">
        <f t="shared" ref="R342:R405" si="39">RIGHT(F342,4)</f>
        <v>青锋长剑</v>
      </c>
    </row>
    <row r="343" spans="1:18" ht="16.5" hidden="1">
      <c r="A343" t="str">
        <f t="shared" si="38"/>
        <v>a08</v>
      </c>
      <c r="B343">
        <v>2</v>
      </c>
      <c r="C343" s="222" t="s">
        <v>9287</v>
      </c>
      <c r="D343">
        <f>VLOOKUP(F343,Sheet7!$B:$G,6,0)</f>
        <v>2582</v>
      </c>
      <c r="E343" s="222" t="s">
        <v>9287</v>
      </c>
      <c r="F343" s="331" t="s">
        <v>16263</v>
      </c>
      <c r="G343">
        <v>1</v>
      </c>
      <c r="H343" t="str">
        <f t="shared" si="36"/>
        <v>2|2582|1</v>
      </c>
      <c r="I343" s="222" t="s">
        <v>9287</v>
      </c>
      <c r="J343">
        <v>40</v>
      </c>
      <c r="K343" t="str">
        <f t="shared" si="37"/>
        <v>2|2582|1|40</v>
      </c>
      <c r="L343" t="str">
        <f t="shared" si="34"/>
        <v>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3" t="str">
        <f t="shared" si="35"/>
        <v>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3" s="332">
        <v>20310</v>
      </c>
      <c r="R343" t="str">
        <f t="shared" si="39"/>
        <v>雁虞头盔</v>
      </c>
    </row>
    <row r="344" spans="1:18" ht="16.5" hidden="1">
      <c r="A344" t="str">
        <f t="shared" si="38"/>
        <v>a08</v>
      </c>
      <c r="B344">
        <v>2</v>
      </c>
      <c r="C344" s="222" t="s">
        <v>9287</v>
      </c>
      <c r="D344">
        <f>VLOOKUP(F344,Sheet7!$B:$G,6,0)</f>
        <v>2596</v>
      </c>
      <c r="E344" s="222" t="s">
        <v>9287</v>
      </c>
      <c r="F344" s="331" t="s">
        <v>16278</v>
      </c>
      <c r="G344">
        <v>1</v>
      </c>
      <c r="H344" t="str">
        <f t="shared" si="36"/>
        <v>2|2596|1</v>
      </c>
      <c r="I344" s="222" t="s">
        <v>9287</v>
      </c>
      <c r="J344">
        <v>40</v>
      </c>
      <c r="K344" t="str">
        <f t="shared" si="37"/>
        <v>2|2596|1|40</v>
      </c>
      <c r="L344" t="str">
        <f t="shared" si="34"/>
        <v>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4" t="str">
        <f t="shared" si="35"/>
        <v>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4" s="332">
        <v>203111</v>
      </c>
      <c r="R344" t="str">
        <f t="shared" si="39"/>
        <v>无影战靴</v>
      </c>
    </row>
    <row r="345" spans="1:18" ht="16.5" hidden="1">
      <c r="A345" t="str">
        <f t="shared" si="38"/>
        <v>a08</v>
      </c>
      <c r="B345">
        <v>2</v>
      </c>
      <c r="C345" s="222" t="s">
        <v>9287</v>
      </c>
      <c r="D345">
        <f>VLOOKUP(F345,Sheet7!$B:$G,6,0)</f>
        <v>2610</v>
      </c>
      <c r="E345" s="222" t="s">
        <v>9287</v>
      </c>
      <c r="F345" s="331" t="s">
        <v>16293</v>
      </c>
      <c r="G345">
        <v>1</v>
      </c>
      <c r="H345" t="str">
        <f t="shared" si="36"/>
        <v>2|2610|1</v>
      </c>
      <c r="I345" s="222" t="s">
        <v>9287</v>
      </c>
      <c r="J345">
        <v>40</v>
      </c>
      <c r="K345" t="str">
        <f t="shared" si="37"/>
        <v>2|2610|1|40</v>
      </c>
      <c r="L345" t="str">
        <f t="shared" si="34"/>
        <v>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5" t="str">
        <f t="shared" si="35"/>
        <v>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5" s="332">
        <v>203112</v>
      </c>
      <c r="R345" t="str">
        <f t="shared" si="39"/>
        <v>行者战甲</v>
      </c>
    </row>
    <row r="346" spans="1:18" ht="16.5" hidden="1">
      <c r="A346" t="str">
        <f t="shared" si="38"/>
        <v>a08</v>
      </c>
      <c r="B346">
        <v>2</v>
      </c>
      <c r="C346" s="222" t="s">
        <v>9287</v>
      </c>
      <c r="D346">
        <f>VLOOKUP(F346,Sheet7!$B:$G,6,0)</f>
        <v>2624</v>
      </c>
      <c r="E346" s="222" t="s">
        <v>9287</v>
      </c>
      <c r="F346" s="331" t="s">
        <v>16308</v>
      </c>
      <c r="G346">
        <v>1</v>
      </c>
      <c r="H346" t="str">
        <f t="shared" si="36"/>
        <v>2|2624|1</v>
      </c>
      <c r="I346" s="222" t="s">
        <v>9287</v>
      </c>
      <c r="J346">
        <v>40</v>
      </c>
      <c r="K346" t="str">
        <f t="shared" si="37"/>
        <v>2|2624|1|40</v>
      </c>
      <c r="L346" t="str">
        <f t="shared" si="34"/>
        <v>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6" t="str">
        <f t="shared" si="35"/>
        <v>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6" s="332">
        <v>203113</v>
      </c>
      <c r="R346" t="str">
        <f t="shared" si="39"/>
        <v>精铁长剑</v>
      </c>
    </row>
    <row r="347" spans="1:18" ht="16.5" hidden="1">
      <c r="A347" t="str">
        <f t="shared" si="38"/>
        <v>a08</v>
      </c>
      <c r="B347">
        <v>2</v>
      </c>
      <c r="C347" s="222" t="s">
        <v>9287</v>
      </c>
      <c r="D347">
        <f>VLOOKUP(F347,Sheet7!$B:$G,6,0)</f>
        <v>2638</v>
      </c>
      <c r="E347" s="222" t="s">
        <v>9287</v>
      </c>
      <c r="F347" s="331" t="s">
        <v>16323</v>
      </c>
      <c r="G347">
        <v>1</v>
      </c>
      <c r="H347" t="str">
        <f t="shared" si="36"/>
        <v>2|2638|1</v>
      </c>
      <c r="I347" s="222" t="s">
        <v>9287</v>
      </c>
      <c r="J347">
        <v>40</v>
      </c>
      <c r="K347" t="str">
        <f t="shared" si="37"/>
        <v>2|2638|1|40</v>
      </c>
      <c r="L347" t="str">
        <f t="shared" si="34"/>
        <v>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7" t="str">
        <f t="shared" si="35"/>
        <v>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7" s="332">
        <v>31</v>
      </c>
      <c r="R347" t="str">
        <f t="shared" si="39"/>
        <v>虹影头盔</v>
      </c>
    </row>
    <row r="348" spans="1:18" ht="16.5" hidden="1">
      <c r="A348" t="str">
        <f t="shared" si="38"/>
        <v>a08</v>
      </c>
      <c r="B348">
        <v>2</v>
      </c>
      <c r="C348" s="222" t="s">
        <v>9287</v>
      </c>
      <c r="D348">
        <f>VLOOKUP(F348,Sheet7!$B:$G,6,0)</f>
        <v>2652</v>
      </c>
      <c r="E348" s="222" t="s">
        <v>9287</v>
      </c>
      <c r="F348" s="331" t="s">
        <v>16338</v>
      </c>
      <c r="G348">
        <v>1</v>
      </c>
      <c r="H348" t="str">
        <f t="shared" si="36"/>
        <v>2|2652|1</v>
      </c>
      <c r="I348" s="222" t="s">
        <v>9287</v>
      </c>
      <c r="J348">
        <v>40</v>
      </c>
      <c r="K348" t="str">
        <f t="shared" si="37"/>
        <v>2|2652|1|40</v>
      </c>
      <c r="L348" t="str">
        <f t="shared" si="34"/>
        <v>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8" t="str">
        <f t="shared" si="35"/>
        <v>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8" s="332">
        <v>2031</v>
      </c>
      <c r="R348" t="str">
        <f t="shared" si="39"/>
        <v>千里战靴</v>
      </c>
    </row>
    <row r="349" spans="1:18" ht="16.5" hidden="1">
      <c r="A349" t="str">
        <f t="shared" si="38"/>
        <v>a08</v>
      </c>
      <c r="B349">
        <v>2</v>
      </c>
      <c r="C349" s="222" t="s">
        <v>9287</v>
      </c>
      <c r="D349">
        <f>VLOOKUP(F349,Sheet7!$B:$G,6,0)</f>
        <v>2666</v>
      </c>
      <c r="E349" s="222" t="s">
        <v>9287</v>
      </c>
      <c r="F349" s="331" t="s">
        <v>16353</v>
      </c>
      <c r="G349">
        <v>1</v>
      </c>
      <c r="H349" t="str">
        <f t="shared" si="36"/>
        <v>2|2666|1</v>
      </c>
      <c r="I349" s="222" t="s">
        <v>9287</v>
      </c>
      <c r="J349">
        <v>40</v>
      </c>
      <c r="K349" t="str">
        <f t="shared" si="37"/>
        <v>2|2666|1|40</v>
      </c>
      <c r="L349" t="str">
        <f t="shared" si="34"/>
        <v>2|2666|1,2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49" t="str">
        <f t="shared" si="35"/>
        <v>2|2666|1|40,2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49" s="332">
        <v>20311</v>
      </c>
      <c r="R349" t="str">
        <f t="shared" si="39"/>
        <v>封魔战甲</v>
      </c>
    </row>
    <row r="350" spans="1:18" ht="16.5" hidden="1">
      <c r="A350" t="str">
        <f t="shared" si="38"/>
        <v>a08</v>
      </c>
      <c r="B350">
        <v>2</v>
      </c>
      <c r="C350" s="222" t="s">
        <v>9287</v>
      </c>
      <c r="D350">
        <f>VLOOKUP(F350,Sheet7!$B:$G,6,0)</f>
        <v>2680</v>
      </c>
      <c r="E350" s="222" t="s">
        <v>9287</v>
      </c>
      <c r="F350" s="331" t="s">
        <v>16368</v>
      </c>
      <c r="G350">
        <v>1</v>
      </c>
      <c r="H350" t="str">
        <f t="shared" si="36"/>
        <v>2|2680|1</v>
      </c>
      <c r="I350" s="222" t="s">
        <v>9287</v>
      </c>
      <c r="J350">
        <v>40</v>
      </c>
      <c r="K350" t="str">
        <f t="shared" si="37"/>
        <v>2|2680|1|40</v>
      </c>
      <c r="L350" t="str">
        <f t="shared" si="34"/>
        <v>2|2680|1,2|2666|1,2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50" t="str">
        <f t="shared" si="35"/>
        <v>2|2680|1|40,2|2666|1|40,2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50" s="332">
        <v>20312</v>
      </c>
      <c r="R350" t="str">
        <f t="shared" si="39"/>
        <v>封魔长剑</v>
      </c>
    </row>
    <row r="351" spans="1:18" ht="16.5" hidden="1">
      <c r="A351" t="str">
        <f t="shared" si="38"/>
        <v>a08</v>
      </c>
      <c r="B351">
        <v>2</v>
      </c>
      <c r="C351" s="222" t="s">
        <v>9287</v>
      </c>
      <c r="D351">
        <f>VLOOKUP(F351,Sheet7!$B:$G,6,0)</f>
        <v>2694</v>
      </c>
      <c r="E351" s="222" t="s">
        <v>9287</v>
      </c>
      <c r="F351" s="331" t="s">
        <v>16383</v>
      </c>
      <c r="G351">
        <v>1</v>
      </c>
      <c r="H351" t="str">
        <f t="shared" si="36"/>
        <v>2|2694|1</v>
      </c>
      <c r="I351" s="222" t="s">
        <v>9287</v>
      </c>
      <c r="J351">
        <v>40</v>
      </c>
      <c r="K351" t="str">
        <f t="shared" si="37"/>
        <v>2|2694|1|40</v>
      </c>
      <c r="L351" t="str">
        <f t="shared" si="34"/>
        <v>2|2694|1,2|2680|1,2|2666|1,2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51" t="str">
        <f t="shared" si="35"/>
        <v>2|2694|1|40,2|2680|1|40,2|2666|1|40,2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51" s="332">
        <v>20313</v>
      </c>
      <c r="R351" t="str">
        <f t="shared" si="39"/>
        <v>封魔头盔</v>
      </c>
    </row>
    <row r="352" spans="1:18" ht="16.5">
      <c r="A352" t="str">
        <f t="shared" si="38"/>
        <v>a08</v>
      </c>
      <c r="B352">
        <v>2</v>
      </c>
      <c r="C352" s="222" t="s">
        <v>9287</v>
      </c>
      <c r="D352">
        <f>VLOOKUP(F352,Sheet7!$B:$G,6,0)</f>
        <v>2708</v>
      </c>
      <c r="E352" s="222" t="s">
        <v>9287</v>
      </c>
      <c r="F352" s="331" t="s">
        <v>16398</v>
      </c>
      <c r="G352">
        <v>1</v>
      </c>
      <c r="H352" t="str">
        <f t="shared" si="36"/>
        <v>2|2708|1</v>
      </c>
      <c r="I352" s="222" t="s">
        <v>9287</v>
      </c>
      <c r="J352">
        <v>40</v>
      </c>
      <c r="K352" t="str">
        <f t="shared" si="37"/>
        <v>2|2708|1|40</v>
      </c>
      <c r="L352" t="str">
        <f t="shared" si="34"/>
        <v>2|2708|1,2|2694|1,2|2680|1,2|2666|1,2|2652|1,2|2638|1,2|2624|1,2|2610|1,2|2596|1,2|2582|1,2|2568|1,2|2554|1,2|2540|1,2|2526|1,2|2512|1,2|2498|1,2|2484|1,2|2470|1,2|2456|1,2|2442|1,2|2428|1,2|2414|1,2|2400|1,2|2386|1,2|2372|1,2|2358|1,2|2344|1,2|2330|1,2|2316|1,2|2302|1,2|2288|1,2|2274|1,2|2260|1,2|2246|1,2|2232|1,2|2218|1,2|2204|1,2|2190|1,2|2176|1,2|2162|1,2|2084|1,2|2083|1,2|2082|1,2|2081|1</v>
      </c>
      <c r="M352" t="str">
        <f t="shared" si="35"/>
        <v>2|2708|1|40,2|2694|1|40,2|2680|1|40,2|2666|1|40,2|2652|1|40,2|2638|1|40,2|2624|1|40,2|2610|1|40,2|2596|1|40,2|2582|1|40,2|2568|1|40,2|2554|1|40,2|2540|1|40,2|2526|1|40,2|2512|1|40,2|2498|1|40,2|2484|1|40,2|2470|1|40,2|2456|1|40,2|2442|1|40,2|2428|1|40,2|2414|1|40,2|2400|1|40,2|2386|1|40,2|2372|1|40,2|2358|1|40,2|2344|1|40,2|2330|1|40,2|2316|1|20,2|2302|1|20,2|2288|1|20,2|2274|1|20,2|2260|1|20,2|2246|1|20,2|2232|1|20,2|2218|1|20,2|2204|1|20,2|2190|1|20,2|2176|1|20,2|2162|1|20,2|2084|1|10,2|2083|1|10,2|2082|1|10,2|2081|1|10</v>
      </c>
      <c r="N352" s="332">
        <v>20314</v>
      </c>
      <c r="R352" t="str">
        <f t="shared" si="39"/>
        <v>封魔战靴</v>
      </c>
    </row>
    <row r="353" spans="1:18" ht="16.5" hidden="1">
      <c r="A353" t="str">
        <f t="shared" si="38"/>
        <v>a09</v>
      </c>
      <c r="B353">
        <v>2</v>
      </c>
      <c r="C353" s="222" t="s">
        <v>9287</v>
      </c>
      <c r="D353">
        <f>VLOOKUP(F353,Sheet7!$B:$G,6,0)</f>
        <v>2107</v>
      </c>
      <c r="E353" s="222" t="s">
        <v>9287</v>
      </c>
      <c r="F353" s="331" t="s">
        <v>15754</v>
      </c>
      <c r="G353">
        <v>1</v>
      </c>
      <c r="H353" t="str">
        <f t="shared" si="36"/>
        <v>2|2107|1</v>
      </c>
      <c r="I353" s="222" t="s">
        <v>9287</v>
      </c>
      <c r="J353">
        <v>10</v>
      </c>
      <c r="K353" t="str">
        <f t="shared" si="37"/>
        <v>2|2107|1|10</v>
      </c>
      <c r="L353" t="str">
        <f t="shared" si="34"/>
        <v>2|2107|1</v>
      </c>
      <c r="M353" t="str">
        <f t="shared" si="35"/>
        <v>2|2107|1|10</v>
      </c>
      <c r="N353" s="332">
        <v>20315</v>
      </c>
      <c r="R353" t="str">
        <f t="shared" si="39"/>
        <v>蚩尤战甲</v>
      </c>
    </row>
    <row r="354" spans="1:18" ht="16.5" hidden="1">
      <c r="A354" t="str">
        <f t="shared" si="38"/>
        <v>a09</v>
      </c>
      <c r="B354">
        <v>2</v>
      </c>
      <c r="C354" s="222" t="s">
        <v>9287</v>
      </c>
      <c r="D354">
        <f>VLOOKUP(F354,Sheet7!$B:$G,6,0)</f>
        <v>2121</v>
      </c>
      <c r="E354" s="222" t="s">
        <v>9287</v>
      </c>
      <c r="F354" s="331" t="s">
        <v>15769</v>
      </c>
      <c r="G354">
        <v>1</v>
      </c>
      <c r="H354" t="str">
        <f t="shared" si="36"/>
        <v>2|2121|1</v>
      </c>
      <c r="I354" s="222" t="s">
        <v>9287</v>
      </c>
      <c r="J354">
        <v>10</v>
      </c>
      <c r="K354" t="str">
        <f t="shared" si="37"/>
        <v>2|2121|1|10</v>
      </c>
      <c r="L354" t="str">
        <f t="shared" si="34"/>
        <v>2|2121|1,2|2107|1</v>
      </c>
      <c r="M354" t="str">
        <f t="shared" si="35"/>
        <v>2|2121|1|10,2|2107|1|10</v>
      </c>
      <c r="N354" s="332">
        <v>20316</v>
      </c>
      <c r="R354" t="str">
        <f t="shared" si="39"/>
        <v>蚩尤长剑</v>
      </c>
    </row>
    <row r="355" spans="1:18" ht="16.5" hidden="1">
      <c r="A355" t="str">
        <f t="shared" si="38"/>
        <v>a09</v>
      </c>
      <c r="B355">
        <v>2</v>
      </c>
      <c r="C355" s="222" t="s">
        <v>9287</v>
      </c>
      <c r="D355">
        <f>VLOOKUP(F355,Sheet7!$B:$G,6,0)</f>
        <v>2135</v>
      </c>
      <c r="E355" s="222" t="s">
        <v>9287</v>
      </c>
      <c r="F355" s="331" t="s">
        <v>15784</v>
      </c>
      <c r="G355">
        <v>1</v>
      </c>
      <c r="H355" t="str">
        <f t="shared" si="36"/>
        <v>2|2135|1</v>
      </c>
      <c r="I355" s="222" t="s">
        <v>9287</v>
      </c>
      <c r="J355">
        <v>10</v>
      </c>
      <c r="K355" t="str">
        <f t="shared" si="37"/>
        <v>2|2135|1|10</v>
      </c>
      <c r="L355" t="str">
        <f t="shared" si="34"/>
        <v>2|2135|1,2|2121|1,2|2107|1</v>
      </c>
      <c r="M355" t="str">
        <f t="shared" si="35"/>
        <v>2|2135|1|10,2|2121|1|10,2|2107|1|10</v>
      </c>
      <c r="N355" s="332">
        <v>20317</v>
      </c>
      <c r="R355" t="str">
        <f t="shared" si="39"/>
        <v>蚩尤头盔</v>
      </c>
    </row>
    <row r="356" spans="1:18" ht="16.5" hidden="1">
      <c r="A356" t="str">
        <f t="shared" si="38"/>
        <v>a09</v>
      </c>
      <c r="B356">
        <v>2</v>
      </c>
      <c r="C356" s="222" t="s">
        <v>9287</v>
      </c>
      <c r="D356">
        <f>VLOOKUP(F356,Sheet7!$B:$G,6,0)</f>
        <v>2149</v>
      </c>
      <c r="E356" s="222" t="s">
        <v>9287</v>
      </c>
      <c r="F356" s="331" t="s">
        <v>15799</v>
      </c>
      <c r="G356">
        <v>1</v>
      </c>
      <c r="H356" t="str">
        <f t="shared" si="36"/>
        <v>2|2149|1</v>
      </c>
      <c r="I356" s="222" t="s">
        <v>9287</v>
      </c>
      <c r="J356">
        <v>10</v>
      </c>
      <c r="K356" t="str">
        <f t="shared" si="37"/>
        <v>2|2149|1|10</v>
      </c>
      <c r="L356" t="str">
        <f t="shared" si="34"/>
        <v>2|2149|1,2|2135|1,2|2121|1,2|2107|1</v>
      </c>
      <c r="M356" t="str">
        <f t="shared" si="35"/>
        <v>2|2149|1|10,2|2135|1|10,2|2121|1|10,2|2107|1|10</v>
      </c>
      <c r="N356" s="332">
        <v>20318</v>
      </c>
      <c r="R356" t="str">
        <f t="shared" si="39"/>
        <v>蚩尤战靴</v>
      </c>
    </row>
    <row r="357" spans="1:18" ht="16.5" hidden="1">
      <c r="A357" t="str">
        <f t="shared" si="38"/>
        <v>a09</v>
      </c>
      <c r="B357">
        <v>2</v>
      </c>
      <c r="C357" s="222" t="s">
        <v>9287</v>
      </c>
      <c r="D357">
        <f>VLOOKUP(F357,Sheet7!$B:$G,6,0)</f>
        <v>2163</v>
      </c>
      <c r="E357" s="222" t="s">
        <v>9287</v>
      </c>
      <c r="F357" s="331" t="s">
        <v>15814</v>
      </c>
      <c r="G357">
        <v>1</v>
      </c>
      <c r="H357" t="str">
        <f t="shared" si="36"/>
        <v>2|2163|1</v>
      </c>
      <c r="I357" s="222" t="s">
        <v>9287</v>
      </c>
      <c r="J357">
        <v>20</v>
      </c>
      <c r="K357" t="str">
        <f t="shared" si="37"/>
        <v>2|2163|1|20</v>
      </c>
      <c r="L357" t="str">
        <f t="shared" si="34"/>
        <v>2|2163|1,2|2149|1,2|2135|1,2|2121|1,2|2107|1</v>
      </c>
      <c r="M357" t="str">
        <f t="shared" si="35"/>
        <v>2|2163|1|20,2|2149|1|10,2|2135|1|10,2|2121|1|10,2|2107|1|10</v>
      </c>
      <c r="N357" s="332">
        <v>20319</v>
      </c>
      <c r="R357" t="str">
        <f t="shared" si="39"/>
        <v>天罡战甲</v>
      </c>
    </row>
    <row r="358" spans="1:18" ht="16.5" hidden="1">
      <c r="A358" t="str">
        <f t="shared" si="38"/>
        <v>a09</v>
      </c>
      <c r="B358">
        <v>2</v>
      </c>
      <c r="C358" s="222" t="s">
        <v>9287</v>
      </c>
      <c r="D358">
        <f>VLOOKUP(F358,Sheet7!$B:$G,6,0)</f>
        <v>2177</v>
      </c>
      <c r="E358" s="222" t="s">
        <v>9287</v>
      </c>
      <c r="F358" s="331" t="s">
        <v>15829</v>
      </c>
      <c r="G358">
        <v>1</v>
      </c>
      <c r="H358" t="str">
        <f t="shared" si="36"/>
        <v>2|2177|1</v>
      </c>
      <c r="I358" s="222" t="s">
        <v>9287</v>
      </c>
      <c r="J358">
        <v>20</v>
      </c>
      <c r="K358" t="str">
        <f t="shared" si="37"/>
        <v>2|2177|1|20</v>
      </c>
      <c r="L358" t="str">
        <f t="shared" si="34"/>
        <v>2|2177|1,2|2163|1,2|2149|1,2|2135|1,2|2121|1,2|2107|1</v>
      </c>
      <c r="M358" t="str">
        <f t="shared" si="35"/>
        <v>2|2177|1|20,2|2163|1|20,2|2149|1|10,2|2135|1|10,2|2121|1|10,2|2107|1|10</v>
      </c>
      <c r="N358" s="332">
        <v>20320</v>
      </c>
      <c r="R358" t="str">
        <f t="shared" si="39"/>
        <v>天罡长剑</v>
      </c>
    </row>
    <row r="359" spans="1:18" ht="16.5" hidden="1">
      <c r="A359" t="str">
        <f t="shared" si="38"/>
        <v>a09</v>
      </c>
      <c r="B359">
        <v>2</v>
      </c>
      <c r="C359" s="222" t="s">
        <v>9287</v>
      </c>
      <c r="D359">
        <f>VLOOKUP(F359,Sheet7!$B:$G,6,0)</f>
        <v>2191</v>
      </c>
      <c r="E359" s="222" t="s">
        <v>9287</v>
      </c>
      <c r="F359" s="331" t="s">
        <v>15844</v>
      </c>
      <c r="G359">
        <v>1</v>
      </c>
      <c r="H359" t="str">
        <f t="shared" si="36"/>
        <v>2|2191|1</v>
      </c>
      <c r="I359" s="222" t="s">
        <v>9287</v>
      </c>
      <c r="J359">
        <v>20</v>
      </c>
      <c r="K359" t="str">
        <f t="shared" si="37"/>
        <v>2|2191|1|20</v>
      </c>
      <c r="L359" t="str">
        <f t="shared" si="34"/>
        <v>2|2191|1,2|2177|1,2|2163|1,2|2149|1,2|2135|1,2|2121|1,2|2107|1</v>
      </c>
      <c r="M359" t="str">
        <f t="shared" si="35"/>
        <v>2|2191|1|20,2|2177|1|20,2|2163|1|20,2|2149|1|10,2|2135|1|10,2|2121|1|10,2|2107|1|10</v>
      </c>
      <c r="N359" s="332">
        <v>203211</v>
      </c>
      <c r="R359" t="str">
        <f t="shared" si="39"/>
        <v>天罡头盔</v>
      </c>
    </row>
    <row r="360" spans="1:18" ht="16.5" hidden="1">
      <c r="A360" t="str">
        <f t="shared" si="38"/>
        <v>a09</v>
      </c>
      <c r="B360">
        <v>2</v>
      </c>
      <c r="C360" s="222" t="s">
        <v>9287</v>
      </c>
      <c r="D360">
        <f>VLOOKUP(F360,Sheet7!$B:$G,6,0)</f>
        <v>2205</v>
      </c>
      <c r="E360" s="222" t="s">
        <v>9287</v>
      </c>
      <c r="F360" s="331" t="s">
        <v>15859</v>
      </c>
      <c r="G360">
        <v>1</v>
      </c>
      <c r="H360" t="str">
        <f t="shared" si="36"/>
        <v>2|2205|1</v>
      </c>
      <c r="I360" s="222" t="s">
        <v>9287</v>
      </c>
      <c r="J360">
        <v>20</v>
      </c>
      <c r="K360" t="str">
        <f t="shared" si="37"/>
        <v>2|2205|1|20</v>
      </c>
      <c r="L360" t="str">
        <f t="shared" si="34"/>
        <v>2|2205|1,2|2191|1,2|2177|1,2|2163|1,2|2149|1,2|2135|1,2|2121|1,2|2107|1</v>
      </c>
      <c r="M360" t="str">
        <f t="shared" si="35"/>
        <v>2|2205|1|20,2|2191|1|20,2|2177|1|20,2|2163|1|20,2|2149|1|10,2|2135|1|10,2|2121|1|10,2|2107|1|10</v>
      </c>
      <c r="N360" s="332">
        <v>203212</v>
      </c>
      <c r="R360" t="str">
        <f t="shared" si="39"/>
        <v>天罡战靴</v>
      </c>
    </row>
    <row r="361" spans="1:18" ht="16.5" hidden="1">
      <c r="A361" t="str">
        <f t="shared" si="38"/>
        <v>a09</v>
      </c>
      <c r="B361">
        <v>2</v>
      </c>
      <c r="C361" s="222" t="s">
        <v>9287</v>
      </c>
      <c r="D361">
        <f>VLOOKUP(F361,Sheet7!$B:$G,6,0)</f>
        <v>2219</v>
      </c>
      <c r="E361" s="222" t="s">
        <v>9287</v>
      </c>
      <c r="F361" s="331" t="s">
        <v>15874</v>
      </c>
      <c r="G361">
        <v>1</v>
      </c>
      <c r="H361" t="str">
        <f t="shared" si="36"/>
        <v>2|2219|1</v>
      </c>
      <c r="I361" s="222" t="s">
        <v>9287</v>
      </c>
      <c r="J361">
        <v>20</v>
      </c>
      <c r="K361" t="str">
        <f t="shared" si="37"/>
        <v>2|2219|1|20</v>
      </c>
      <c r="L361" t="str">
        <f t="shared" si="34"/>
        <v>2|2219|1,2|2205|1,2|2191|1,2|2177|1,2|2163|1,2|2149|1,2|2135|1,2|2121|1,2|2107|1</v>
      </c>
      <c r="M361" t="str">
        <f t="shared" si="35"/>
        <v>2|2219|1|20,2|2205|1|20,2|2191|1|20,2|2177|1|20,2|2163|1|20,2|2149|1|10,2|2135|1|10,2|2121|1|10,2|2107|1|10</v>
      </c>
      <c r="N361" s="332">
        <v>203213</v>
      </c>
      <c r="R361" t="str">
        <f t="shared" si="39"/>
        <v>降魔战甲</v>
      </c>
    </row>
    <row r="362" spans="1:18" ht="16.5" hidden="1">
      <c r="A362" t="str">
        <f t="shared" si="38"/>
        <v>a09</v>
      </c>
      <c r="B362">
        <v>2</v>
      </c>
      <c r="C362" s="222" t="s">
        <v>9287</v>
      </c>
      <c r="D362">
        <f>VLOOKUP(F362,Sheet7!$B:$G,6,0)</f>
        <v>2233</v>
      </c>
      <c r="E362" s="222" t="s">
        <v>9287</v>
      </c>
      <c r="F362" s="331" t="s">
        <v>15889</v>
      </c>
      <c r="G362">
        <v>1</v>
      </c>
      <c r="H362" t="str">
        <f t="shared" si="36"/>
        <v>2|2233|1</v>
      </c>
      <c r="I362" s="222" t="s">
        <v>9287</v>
      </c>
      <c r="J362">
        <v>20</v>
      </c>
      <c r="K362" t="str">
        <f t="shared" si="37"/>
        <v>2|2233|1|20</v>
      </c>
      <c r="L362" t="str">
        <f t="shared" si="34"/>
        <v>2|2233|1,2|2219|1,2|2205|1,2|2191|1,2|2177|1,2|2163|1,2|2149|1,2|2135|1,2|2121|1,2|2107|1</v>
      </c>
      <c r="M362" t="str">
        <f t="shared" si="35"/>
        <v>2|2233|1|20,2|2219|1|20,2|2205|1|20,2|2191|1|20,2|2177|1|20,2|2163|1|20,2|2149|1|10,2|2135|1|10,2|2121|1|10,2|2107|1|10</v>
      </c>
      <c r="N362" s="332">
        <v>32</v>
      </c>
      <c r="R362" t="str">
        <f t="shared" si="39"/>
        <v>降魔长剑</v>
      </c>
    </row>
    <row r="363" spans="1:18" ht="16.5" hidden="1">
      <c r="A363" t="str">
        <f t="shared" si="38"/>
        <v>a09</v>
      </c>
      <c r="B363">
        <v>2</v>
      </c>
      <c r="C363" s="222" t="s">
        <v>9287</v>
      </c>
      <c r="D363">
        <f>VLOOKUP(F363,Sheet7!$B:$G,6,0)</f>
        <v>2247</v>
      </c>
      <c r="E363" s="222" t="s">
        <v>9287</v>
      </c>
      <c r="F363" s="331" t="s">
        <v>15904</v>
      </c>
      <c r="G363">
        <v>1</v>
      </c>
      <c r="H363" t="str">
        <f t="shared" si="36"/>
        <v>2|2247|1</v>
      </c>
      <c r="I363" s="222" t="s">
        <v>9287</v>
      </c>
      <c r="J363">
        <v>20</v>
      </c>
      <c r="K363" t="str">
        <f t="shared" si="37"/>
        <v>2|2247|1|20</v>
      </c>
      <c r="L363" t="str">
        <f t="shared" si="34"/>
        <v>2|2247|1,2|2233|1,2|2219|1,2|2205|1,2|2191|1,2|2177|1,2|2163|1,2|2149|1,2|2135|1,2|2121|1,2|2107|1</v>
      </c>
      <c r="M363" t="str">
        <f t="shared" si="35"/>
        <v>2|2247|1|20,2|2233|1|20,2|2219|1|20,2|2205|1|20,2|2191|1|20,2|2177|1|20,2|2163|1|20,2|2149|1|10,2|2135|1|10,2|2121|1|10,2|2107|1|10</v>
      </c>
      <c r="N363" s="332">
        <v>2032</v>
      </c>
      <c r="R363" t="str">
        <f t="shared" si="39"/>
        <v>降魔头盔</v>
      </c>
    </row>
    <row r="364" spans="1:18" ht="16.5" hidden="1">
      <c r="A364" t="str">
        <f t="shared" si="38"/>
        <v>a09</v>
      </c>
      <c r="B364">
        <v>2</v>
      </c>
      <c r="C364" s="222" t="s">
        <v>9287</v>
      </c>
      <c r="D364">
        <f>VLOOKUP(F364,Sheet7!$B:$G,6,0)</f>
        <v>2261</v>
      </c>
      <c r="E364" s="222" t="s">
        <v>9287</v>
      </c>
      <c r="F364" s="331" t="s">
        <v>15919</v>
      </c>
      <c r="G364">
        <v>1</v>
      </c>
      <c r="H364" t="str">
        <f t="shared" si="36"/>
        <v>2|2261|1</v>
      </c>
      <c r="I364" s="222" t="s">
        <v>9287</v>
      </c>
      <c r="J364">
        <v>20</v>
      </c>
      <c r="K364" t="str">
        <f t="shared" si="37"/>
        <v>2|2261|1|20</v>
      </c>
      <c r="L364" t="str">
        <f t="shared" si="34"/>
        <v>2|2261|1,2|2247|1,2|2233|1,2|2219|1,2|2205|1,2|2191|1,2|2177|1,2|2163|1,2|2149|1,2|2135|1,2|2121|1,2|2107|1</v>
      </c>
      <c r="M364" t="str">
        <f t="shared" si="35"/>
        <v>2|2261|1|20,2|2247|1|20,2|2233|1|20,2|2219|1|20,2|2205|1|20,2|2191|1|20,2|2177|1|20,2|2163|1|20,2|2149|1|10,2|2135|1|10,2|2121|1|10,2|2107|1|10</v>
      </c>
      <c r="N364" s="332">
        <v>20321</v>
      </c>
      <c r="R364" t="str">
        <f t="shared" si="39"/>
        <v>降魔战靴</v>
      </c>
    </row>
    <row r="365" spans="1:18" ht="16.5" hidden="1">
      <c r="A365" t="str">
        <f t="shared" si="38"/>
        <v>a09</v>
      </c>
      <c r="B365">
        <v>2</v>
      </c>
      <c r="C365" s="222" t="s">
        <v>9287</v>
      </c>
      <c r="D365">
        <f>VLOOKUP(F365,Sheet7!$B:$G,6,0)</f>
        <v>2275</v>
      </c>
      <c r="E365" s="222" t="s">
        <v>9287</v>
      </c>
      <c r="F365" s="331" t="s">
        <v>15934</v>
      </c>
      <c r="G365">
        <v>1</v>
      </c>
      <c r="H365" t="str">
        <f t="shared" si="36"/>
        <v>2|2275|1</v>
      </c>
      <c r="I365" s="222" t="s">
        <v>9287</v>
      </c>
      <c r="J365">
        <v>20</v>
      </c>
      <c r="K365" t="str">
        <f t="shared" si="37"/>
        <v>2|2275|1|20</v>
      </c>
      <c r="L365" t="str">
        <f t="shared" si="34"/>
        <v>2|2275|1,2|2261|1,2|2247|1,2|2233|1,2|2219|1,2|2205|1,2|2191|1,2|2177|1,2|2163|1,2|2149|1,2|2135|1,2|2121|1,2|2107|1</v>
      </c>
      <c r="M365" t="str">
        <f t="shared" si="35"/>
        <v>2|2275|1|20,2|2261|1|20,2|2247|1|20,2|2233|1|20,2|2219|1|20,2|2205|1|20,2|2191|1|20,2|2177|1|20,2|2163|1|20,2|2149|1|10,2|2135|1|10,2|2121|1|10,2|2107|1|10</v>
      </c>
      <c r="N365" s="332">
        <v>20322</v>
      </c>
      <c r="R365" t="str">
        <f t="shared" si="39"/>
        <v>血魔战甲</v>
      </c>
    </row>
    <row r="366" spans="1:18" ht="16.5" hidden="1">
      <c r="A366" t="str">
        <f t="shared" si="38"/>
        <v>a09</v>
      </c>
      <c r="B366">
        <v>2</v>
      </c>
      <c r="C366" s="222" t="s">
        <v>9287</v>
      </c>
      <c r="D366">
        <f>VLOOKUP(F366,Sheet7!$B:$G,6,0)</f>
        <v>2289</v>
      </c>
      <c r="E366" s="222" t="s">
        <v>9287</v>
      </c>
      <c r="F366" s="331" t="s">
        <v>15949</v>
      </c>
      <c r="G366">
        <v>1</v>
      </c>
      <c r="H366" t="str">
        <f t="shared" si="36"/>
        <v>2|2289|1</v>
      </c>
      <c r="I366" s="222" t="s">
        <v>9287</v>
      </c>
      <c r="J366">
        <v>20</v>
      </c>
      <c r="K366" t="str">
        <f t="shared" si="37"/>
        <v>2|2289|1|20</v>
      </c>
      <c r="L366" t="str">
        <f t="shared" si="34"/>
        <v>2|2289|1,2|2275|1,2|2261|1,2|2247|1,2|2233|1,2|2219|1,2|2205|1,2|2191|1,2|2177|1,2|2163|1,2|2149|1,2|2135|1,2|2121|1,2|2107|1</v>
      </c>
      <c r="M366" t="str">
        <f t="shared" si="35"/>
        <v>2|2289|1|20,2|2275|1|20,2|2261|1|20,2|2247|1|20,2|2233|1|20,2|2219|1|20,2|2205|1|20,2|2191|1|20,2|2177|1|20,2|2163|1|20,2|2149|1|10,2|2135|1|10,2|2121|1|10,2|2107|1|10</v>
      </c>
      <c r="N366" s="332">
        <v>20323</v>
      </c>
      <c r="R366" t="str">
        <f t="shared" si="39"/>
        <v>赤霄长剑</v>
      </c>
    </row>
    <row r="367" spans="1:18" ht="16.5" hidden="1">
      <c r="A367" t="str">
        <f t="shared" si="38"/>
        <v>a09</v>
      </c>
      <c r="B367">
        <v>2</v>
      </c>
      <c r="C367" s="222" t="s">
        <v>9287</v>
      </c>
      <c r="D367">
        <f>VLOOKUP(F367,Sheet7!$B:$G,6,0)</f>
        <v>2303</v>
      </c>
      <c r="E367" s="222" t="s">
        <v>9287</v>
      </c>
      <c r="F367" s="331" t="s">
        <v>15964</v>
      </c>
      <c r="G367">
        <v>1</v>
      </c>
      <c r="H367" t="str">
        <f t="shared" si="36"/>
        <v>2|2303|1</v>
      </c>
      <c r="I367" s="222" t="s">
        <v>9287</v>
      </c>
      <c r="J367">
        <v>20</v>
      </c>
      <c r="K367" t="str">
        <f t="shared" si="37"/>
        <v>2|2303|1|20</v>
      </c>
      <c r="L367" t="str">
        <f t="shared" si="34"/>
        <v>2|2303|1,2|2289|1,2|2275|1,2|2261|1,2|2247|1,2|2233|1,2|2219|1,2|2205|1,2|2191|1,2|2177|1,2|2163|1,2|2149|1,2|2135|1,2|2121|1,2|2107|1</v>
      </c>
      <c r="M367" t="str">
        <f t="shared" si="35"/>
        <v>2|2303|1|20,2|2289|1|20,2|2275|1|20,2|2261|1|20,2|2247|1|20,2|2233|1|20,2|2219|1|20,2|2205|1|20,2|2191|1|20,2|2177|1|20,2|2163|1|20,2|2149|1|10,2|2135|1|10,2|2121|1|10,2|2107|1|10</v>
      </c>
      <c r="N367" s="332">
        <v>20324</v>
      </c>
      <c r="R367" t="str">
        <f t="shared" si="39"/>
        <v>麒麟头盔</v>
      </c>
    </row>
    <row r="368" spans="1:18" ht="16.5" hidden="1">
      <c r="A368" t="str">
        <f t="shared" si="38"/>
        <v>a09</v>
      </c>
      <c r="B368">
        <v>2</v>
      </c>
      <c r="C368" s="222" t="s">
        <v>9287</v>
      </c>
      <c r="D368">
        <f>VLOOKUP(F368,Sheet7!$B:$G,6,0)</f>
        <v>2317</v>
      </c>
      <c r="E368" s="222" t="s">
        <v>9287</v>
      </c>
      <c r="F368" s="331" t="s">
        <v>15979</v>
      </c>
      <c r="G368">
        <v>1</v>
      </c>
      <c r="H368" t="str">
        <f t="shared" si="36"/>
        <v>2|2317|1</v>
      </c>
      <c r="I368" s="222" t="s">
        <v>9287</v>
      </c>
      <c r="J368">
        <v>20</v>
      </c>
      <c r="K368" t="str">
        <f t="shared" si="37"/>
        <v>2|2317|1|20</v>
      </c>
      <c r="L368" t="str">
        <f t="shared" si="34"/>
        <v>2|2317|1,2|2303|1,2|2289|1,2|2275|1,2|2261|1,2|2247|1,2|2233|1,2|2219|1,2|2205|1,2|2191|1,2|2177|1,2|2163|1,2|2149|1,2|2135|1,2|2121|1,2|2107|1</v>
      </c>
      <c r="M368" t="str">
        <f t="shared" si="35"/>
        <v>2|2317|1|20,2|2303|1|20,2|2289|1|20,2|2275|1|20,2|2261|1|20,2|2247|1|20,2|2233|1|20,2|2219|1|20,2|2205|1|20,2|2191|1|20,2|2177|1|20,2|2163|1|20,2|2149|1|10,2|2135|1|10,2|2121|1|10,2|2107|1|10</v>
      </c>
      <c r="N368" s="332">
        <v>20325</v>
      </c>
      <c r="R368" t="str">
        <f t="shared" si="39"/>
        <v>兽魂战靴</v>
      </c>
    </row>
    <row r="369" spans="1:18" ht="16.5" hidden="1">
      <c r="A369" t="str">
        <f t="shared" si="38"/>
        <v>a09</v>
      </c>
      <c r="B369">
        <v>2</v>
      </c>
      <c r="C369" s="222" t="s">
        <v>9287</v>
      </c>
      <c r="D369">
        <f>VLOOKUP(F369,Sheet7!$B:$G,6,0)</f>
        <v>2331</v>
      </c>
      <c r="E369" s="222" t="s">
        <v>9287</v>
      </c>
      <c r="F369" s="331" t="s">
        <v>15994</v>
      </c>
      <c r="G369">
        <v>1</v>
      </c>
      <c r="H369" t="str">
        <f t="shared" si="36"/>
        <v>2|2331|1</v>
      </c>
      <c r="I369" s="222" t="s">
        <v>9287</v>
      </c>
      <c r="J369">
        <v>40</v>
      </c>
      <c r="K369" t="str">
        <f t="shared" si="37"/>
        <v>2|2331|1|40</v>
      </c>
      <c r="L369" t="str">
        <f t="shared" si="34"/>
        <v>2|2331|1,2|2317|1,2|2303|1,2|2289|1,2|2275|1,2|2261|1,2|2247|1,2|2233|1,2|2219|1,2|2205|1,2|2191|1,2|2177|1,2|2163|1,2|2149|1,2|2135|1,2|2121|1,2|2107|1</v>
      </c>
      <c r="M369" t="str">
        <f t="shared" si="35"/>
        <v>2|2331|1|40,2|2317|1|20,2|2303|1|20,2|2289|1|20,2|2275|1|20,2|2261|1|20,2|2247|1|20,2|2233|1|20,2|2219|1|20,2|2205|1|20,2|2191|1|20,2|2177|1|20,2|2163|1|20,2|2149|1|10,2|2135|1|10,2|2121|1|10,2|2107|1|10</v>
      </c>
      <c r="N369" s="332">
        <v>20326</v>
      </c>
      <c r="R369" t="str">
        <f t="shared" si="39"/>
        <v>磐石战甲</v>
      </c>
    </row>
    <row r="370" spans="1:18" ht="16.5" hidden="1">
      <c r="A370" t="str">
        <f t="shared" si="38"/>
        <v>a09</v>
      </c>
      <c r="B370">
        <v>2</v>
      </c>
      <c r="C370" s="222" t="s">
        <v>9287</v>
      </c>
      <c r="D370">
        <f>VLOOKUP(F370,Sheet7!$B:$G,6,0)</f>
        <v>2345</v>
      </c>
      <c r="E370" s="222" t="s">
        <v>9287</v>
      </c>
      <c r="F370" s="331" t="s">
        <v>16009</v>
      </c>
      <c r="G370">
        <v>1</v>
      </c>
      <c r="H370" t="str">
        <f t="shared" si="36"/>
        <v>2|2345|1</v>
      </c>
      <c r="I370" s="222" t="s">
        <v>9287</v>
      </c>
      <c r="J370">
        <v>40</v>
      </c>
      <c r="K370" t="str">
        <f t="shared" si="37"/>
        <v>2|2345|1|40</v>
      </c>
      <c r="L370" t="str">
        <f t="shared" si="34"/>
        <v>2|2345|1,2|2331|1,2|2317|1,2|2303|1,2|2289|1,2|2275|1,2|2261|1,2|2247|1,2|2233|1,2|2219|1,2|2205|1,2|2191|1,2|2177|1,2|2163|1,2|2149|1,2|2135|1,2|2121|1,2|2107|1</v>
      </c>
      <c r="M370" t="str">
        <f t="shared" si="35"/>
        <v>2|2345|1|40,2|2331|1|40,2|2317|1|20,2|2303|1|20,2|2289|1|20,2|2275|1|20,2|2261|1|20,2|2247|1|20,2|2233|1|20,2|2219|1|20,2|2205|1|20,2|2191|1|20,2|2177|1|20,2|2163|1|20,2|2149|1|10,2|2135|1|10,2|2121|1|10,2|2107|1|10</v>
      </c>
      <c r="N370" s="332">
        <v>20327</v>
      </c>
      <c r="R370" t="str">
        <f t="shared" si="39"/>
        <v>磐石长剑</v>
      </c>
    </row>
    <row r="371" spans="1:18" ht="16.5" hidden="1">
      <c r="A371" t="str">
        <f t="shared" si="38"/>
        <v>a09</v>
      </c>
      <c r="B371">
        <v>2</v>
      </c>
      <c r="C371" s="222" t="s">
        <v>9287</v>
      </c>
      <c r="D371">
        <f>VLOOKUP(F371,Sheet7!$B:$G,6,0)</f>
        <v>2359</v>
      </c>
      <c r="E371" s="222" t="s">
        <v>9287</v>
      </c>
      <c r="F371" s="331" t="s">
        <v>16024</v>
      </c>
      <c r="G371">
        <v>1</v>
      </c>
      <c r="H371" t="str">
        <f t="shared" si="36"/>
        <v>2|2359|1</v>
      </c>
      <c r="I371" s="222" t="s">
        <v>9287</v>
      </c>
      <c r="J371">
        <v>40</v>
      </c>
      <c r="K371" t="str">
        <f t="shared" si="37"/>
        <v>2|2359|1|40</v>
      </c>
      <c r="L371" t="str">
        <f t="shared" si="34"/>
        <v>2|2359|1,2|2345|1,2|2331|1,2|2317|1,2|2303|1,2|2289|1,2|2275|1,2|2261|1,2|2247|1,2|2233|1,2|2219|1,2|2205|1,2|2191|1,2|2177|1,2|2163|1,2|2149|1,2|2135|1,2|2121|1,2|2107|1</v>
      </c>
      <c r="M371" t="str">
        <f t="shared" si="35"/>
        <v>2|2359|1|40,2|2345|1|40,2|2331|1|40,2|2317|1|20,2|2303|1|20,2|2289|1|20,2|2275|1|20,2|2261|1|20,2|2247|1|20,2|2233|1|20,2|2219|1|20,2|2205|1|20,2|2191|1|20,2|2177|1|20,2|2163|1|20,2|2149|1|10,2|2135|1|10,2|2121|1|10,2|2107|1|10</v>
      </c>
      <c r="N371" s="332">
        <v>20328</v>
      </c>
      <c r="R371" t="str">
        <f t="shared" si="39"/>
        <v>磐石头盔</v>
      </c>
    </row>
    <row r="372" spans="1:18" ht="16.5" hidden="1">
      <c r="A372" t="str">
        <f t="shared" si="38"/>
        <v>a09</v>
      </c>
      <c r="B372">
        <v>2</v>
      </c>
      <c r="C372" s="222" t="s">
        <v>9287</v>
      </c>
      <c r="D372">
        <f>VLOOKUP(F372,Sheet7!$B:$G,6,0)</f>
        <v>2373</v>
      </c>
      <c r="E372" s="222" t="s">
        <v>9287</v>
      </c>
      <c r="F372" s="331" t="s">
        <v>16039</v>
      </c>
      <c r="G372">
        <v>1</v>
      </c>
      <c r="H372" t="str">
        <f t="shared" si="36"/>
        <v>2|2373|1</v>
      </c>
      <c r="I372" s="222" t="s">
        <v>9287</v>
      </c>
      <c r="J372">
        <v>40</v>
      </c>
      <c r="K372" t="str">
        <f t="shared" si="37"/>
        <v>2|2373|1|40</v>
      </c>
      <c r="L372" t="str">
        <f t="shared" si="34"/>
        <v>2|2373|1,2|2359|1,2|2345|1,2|2331|1,2|2317|1,2|2303|1,2|2289|1,2|2275|1,2|2261|1,2|2247|1,2|2233|1,2|2219|1,2|2205|1,2|2191|1,2|2177|1,2|2163|1,2|2149|1,2|2135|1,2|2121|1,2|2107|1</v>
      </c>
      <c r="M372" t="str">
        <f t="shared" si="35"/>
        <v>2|2373|1|40,2|2359|1|40,2|2345|1|40,2|2331|1|40,2|2317|1|20,2|2303|1|20,2|2289|1|20,2|2275|1|20,2|2261|1|20,2|2247|1|20,2|2233|1|20,2|2219|1|20,2|2205|1|20,2|2191|1|20,2|2177|1|20,2|2163|1|20,2|2149|1|10,2|2135|1|10,2|2121|1|10,2|2107|1|10</v>
      </c>
      <c r="N372" s="332">
        <v>20329</v>
      </c>
      <c r="R372" t="str">
        <f t="shared" si="39"/>
        <v>磐石战靴</v>
      </c>
    </row>
    <row r="373" spans="1:18" ht="16.5" hidden="1">
      <c r="A373" t="str">
        <f t="shared" si="38"/>
        <v>a09</v>
      </c>
      <c r="B373">
        <v>2</v>
      </c>
      <c r="C373" s="222" t="s">
        <v>9287</v>
      </c>
      <c r="D373">
        <f>VLOOKUP(F373,Sheet7!$B:$G,6,0)</f>
        <v>2387</v>
      </c>
      <c r="E373" s="222" t="s">
        <v>9287</v>
      </c>
      <c r="F373" s="331" t="s">
        <v>16054</v>
      </c>
      <c r="G373">
        <v>1</v>
      </c>
      <c r="H373" t="str">
        <f t="shared" si="36"/>
        <v>2|2387|1</v>
      </c>
      <c r="I373" s="222" t="s">
        <v>9287</v>
      </c>
      <c r="J373">
        <v>40</v>
      </c>
      <c r="K373" t="str">
        <f t="shared" si="37"/>
        <v>2|2387|1|40</v>
      </c>
      <c r="L373" t="str">
        <f t="shared" si="34"/>
        <v>2|2387|1,2|2373|1,2|2359|1,2|2345|1,2|2331|1,2|2317|1,2|2303|1,2|2289|1,2|2275|1,2|2261|1,2|2247|1,2|2233|1,2|2219|1,2|2205|1,2|2191|1,2|2177|1,2|2163|1,2|2149|1,2|2135|1,2|2121|1,2|2107|1</v>
      </c>
      <c r="M373" t="str">
        <f t="shared" si="35"/>
        <v>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3" s="332">
        <v>20330</v>
      </c>
      <c r="R373" t="str">
        <f t="shared" si="39"/>
        <v>连云战甲</v>
      </c>
    </row>
    <row r="374" spans="1:18" ht="16.5" hidden="1">
      <c r="A374" t="str">
        <f t="shared" si="38"/>
        <v>a09</v>
      </c>
      <c r="B374">
        <v>2</v>
      </c>
      <c r="C374" s="222" t="s">
        <v>9287</v>
      </c>
      <c r="D374">
        <f>VLOOKUP(F374,Sheet7!$B:$G,6,0)</f>
        <v>2401</v>
      </c>
      <c r="E374" s="222" t="s">
        <v>9287</v>
      </c>
      <c r="F374" s="331" t="s">
        <v>16069</v>
      </c>
      <c r="G374">
        <v>1</v>
      </c>
      <c r="H374" t="str">
        <f t="shared" si="36"/>
        <v>2|2401|1</v>
      </c>
      <c r="I374" s="222" t="s">
        <v>9287</v>
      </c>
      <c r="J374">
        <v>40</v>
      </c>
      <c r="K374" t="str">
        <f t="shared" si="37"/>
        <v>2|2401|1|40</v>
      </c>
      <c r="L374" t="str">
        <f t="shared" si="34"/>
        <v>2|2401|1,2|2387|1,2|2373|1,2|2359|1,2|2345|1,2|2331|1,2|2317|1,2|2303|1,2|2289|1,2|2275|1,2|2261|1,2|2247|1,2|2233|1,2|2219|1,2|2205|1,2|2191|1,2|2177|1,2|2163|1,2|2149|1,2|2135|1,2|2121|1,2|2107|1</v>
      </c>
      <c r="M374" t="str">
        <f t="shared" si="35"/>
        <v>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4" s="332">
        <v>203311</v>
      </c>
      <c r="R374" t="str">
        <f t="shared" si="39"/>
        <v>紫阳长剑</v>
      </c>
    </row>
    <row r="375" spans="1:18" ht="16.5" hidden="1">
      <c r="A375" t="str">
        <f t="shared" si="38"/>
        <v>a09</v>
      </c>
      <c r="B375">
        <v>2</v>
      </c>
      <c r="C375" s="222" t="s">
        <v>9287</v>
      </c>
      <c r="D375">
        <f>VLOOKUP(F375,Sheet7!$B:$G,6,0)</f>
        <v>2415</v>
      </c>
      <c r="E375" s="222" t="s">
        <v>9287</v>
      </c>
      <c r="F375" s="331" t="s">
        <v>16084</v>
      </c>
      <c r="G375">
        <v>1</v>
      </c>
      <c r="H375" t="str">
        <f t="shared" si="36"/>
        <v>2|2415|1</v>
      </c>
      <c r="I375" s="222" t="s">
        <v>9287</v>
      </c>
      <c r="J375">
        <v>40</v>
      </c>
      <c r="K375" t="str">
        <f t="shared" si="37"/>
        <v>2|2415|1|40</v>
      </c>
      <c r="L375" t="str">
        <f t="shared" si="34"/>
        <v>2|2415|1,2|2401|1,2|2387|1,2|2373|1,2|2359|1,2|2345|1,2|2331|1,2|2317|1,2|2303|1,2|2289|1,2|2275|1,2|2261|1,2|2247|1,2|2233|1,2|2219|1,2|2205|1,2|2191|1,2|2177|1,2|2163|1,2|2149|1,2|2135|1,2|2121|1,2|2107|1</v>
      </c>
      <c r="M375" t="str">
        <f t="shared" si="35"/>
        <v>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5" s="332">
        <v>203312</v>
      </c>
      <c r="R375" t="str">
        <f t="shared" si="39"/>
        <v>耀日头盔</v>
      </c>
    </row>
    <row r="376" spans="1:18" ht="16.5" hidden="1">
      <c r="A376" t="str">
        <f t="shared" si="38"/>
        <v>a09</v>
      </c>
      <c r="B376">
        <v>2</v>
      </c>
      <c r="C376" s="222" t="s">
        <v>9287</v>
      </c>
      <c r="D376">
        <f>VLOOKUP(F376,Sheet7!$B:$G,6,0)</f>
        <v>2429</v>
      </c>
      <c r="E376" s="222" t="s">
        <v>9287</v>
      </c>
      <c r="F376" s="331" t="s">
        <v>16099</v>
      </c>
      <c r="G376">
        <v>1</v>
      </c>
      <c r="H376" t="str">
        <f t="shared" si="36"/>
        <v>2|2429|1</v>
      </c>
      <c r="I376" s="222" t="s">
        <v>9287</v>
      </c>
      <c r="J376">
        <v>40</v>
      </c>
      <c r="K376" t="str">
        <f t="shared" si="37"/>
        <v>2|2429|1|40</v>
      </c>
      <c r="L376" t="str">
        <f t="shared" si="34"/>
        <v>2|2429|1,2|2415|1,2|2401|1,2|2387|1,2|2373|1,2|2359|1,2|2345|1,2|2331|1,2|2317|1,2|2303|1,2|2289|1,2|2275|1,2|2261|1,2|2247|1,2|2233|1,2|2219|1,2|2205|1,2|2191|1,2|2177|1,2|2163|1,2|2149|1,2|2135|1,2|2121|1,2|2107|1</v>
      </c>
      <c r="M376" t="str">
        <f t="shared" si="35"/>
        <v>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6" s="332">
        <v>203313</v>
      </c>
      <c r="R376" t="str">
        <f t="shared" si="39"/>
        <v>雷霆战靴</v>
      </c>
    </row>
    <row r="377" spans="1:18" ht="16.5" hidden="1">
      <c r="A377" t="str">
        <f t="shared" si="38"/>
        <v>a09</v>
      </c>
      <c r="B377">
        <v>2</v>
      </c>
      <c r="C377" s="222" t="s">
        <v>9287</v>
      </c>
      <c r="D377">
        <f>VLOOKUP(F377,Sheet7!$B:$G,6,0)</f>
        <v>2443</v>
      </c>
      <c r="E377" s="222" t="s">
        <v>9287</v>
      </c>
      <c r="F377" s="331" t="s">
        <v>16114</v>
      </c>
      <c r="G377">
        <v>1</v>
      </c>
      <c r="H377" t="str">
        <f t="shared" si="36"/>
        <v>2|2443|1</v>
      </c>
      <c r="I377" s="222" t="s">
        <v>9287</v>
      </c>
      <c r="J377">
        <v>40</v>
      </c>
      <c r="K377" t="str">
        <f t="shared" si="37"/>
        <v>2|2443|1|40</v>
      </c>
      <c r="L377" t="str">
        <f t="shared" si="34"/>
        <v>2|2443|1,2|2429|1,2|2415|1,2|2401|1,2|2387|1,2|2373|1,2|2359|1,2|2345|1,2|2331|1,2|2317|1,2|2303|1,2|2289|1,2|2275|1,2|2261|1,2|2247|1,2|2233|1,2|2219|1,2|2205|1,2|2191|1,2|2177|1,2|2163|1,2|2149|1,2|2135|1,2|2121|1,2|2107|1</v>
      </c>
      <c r="M377" t="str">
        <f t="shared" si="35"/>
        <v>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7" s="332">
        <v>25</v>
      </c>
      <c r="R377" t="str">
        <f t="shared" si="39"/>
        <v>护卫战甲</v>
      </c>
    </row>
    <row r="378" spans="1:18" ht="16.5" hidden="1">
      <c r="A378" t="str">
        <f t="shared" si="38"/>
        <v>a09</v>
      </c>
      <c r="B378">
        <v>2</v>
      </c>
      <c r="C378" s="222" t="s">
        <v>9287</v>
      </c>
      <c r="D378">
        <f>VLOOKUP(F378,Sheet7!$B:$G,6,0)</f>
        <v>2457</v>
      </c>
      <c r="E378" s="222" t="s">
        <v>9287</v>
      </c>
      <c r="F378" s="331" t="s">
        <v>16129</v>
      </c>
      <c r="G378">
        <v>1</v>
      </c>
      <c r="H378" t="str">
        <f t="shared" si="36"/>
        <v>2|2457|1</v>
      </c>
      <c r="I378" s="222" t="s">
        <v>9287</v>
      </c>
      <c r="J378">
        <v>40</v>
      </c>
      <c r="K378" t="str">
        <f t="shared" si="37"/>
        <v>2|2457|1|40</v>
      </c>
      <c r="L378" t="str">
        <f t="shared" si="34"/>
        <v>2|2457|1,2|2443|1,2|2429|1,2|2415|1,2|2401|1,2|2387|1,2|2373|1,2|2359|1,2|2345|1,2|2331|1,2|2317|1,2|2303|1,2|2289|1,2|2275|1,2|2261|1,2|2247|1,2|2233|1,2|2219|1,2|2205|1,2|2191|1,2|2177|1,2|2163|1,2|2149|1,2|2135|1,2|2121|1,2|2107|1</v>
      </c>
      <c r="M378" t="str">
        <f t="shared" si="35"/>
        <v>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8" s="332">
        <v>2025</v>
      </c>
      <c r="R378" t="str">
        <f t="shared" si="39"/>
        <v>护卫长剑</v>
      </c>
    </row>
    <row r="379" spans="1:18" ht="16.5" hidden="1">
      <c r="A379" t="str">
        <f t="shared" si="38"/>
        <v>a09</v>
      </c>
      <c r="B379">
        <v>2</v>
      </c>
      <c r="C379" s="222" t="s">
        <v>9287</v>
      </c>
      <c r="D379">
        <f>VLOOKUP(F379,Sheet7!$B:$G,6,0)</f>
        <v>2471</v>
      </c>
      <c r="E379" s="222" t="s">
        <v>9287</v>
      </c>
      <c r="F379" s="331" t="s">
        <v>16144</v>
      </c>
      <c r="G379">
        <v>1</v>
      </c>
      <c r="H379" t="str">
        <f t="shared" si="36"/>
        <v>2|2471|1</v>
      </c>
      <c r="I379" s="222" t="s">
        <v>9287</v>
      </c>
      <c r="J379">
        <v>40</v>
      </c>
      <c r="K379" t="str">
        <f t="shared" si="37"/>
        <v>2|2471|1|40</v>
      </c>
      <c r="L379" t="str">
        <f t="shared" si="34"/>
        <v>2|2471|1,2|2457|1,2|2443|1,2|2429|1,2|2415|1,2|2401|1,2|2387|1,2|2373|1,2|2359|1,2|2345|1,2|2331|1,2|2317|1,2|2303|1,2|2289|1,2|2275|1,2|2261|1,2|2247|1,2|2233|1,2|2219|1,2|2205|1,2|2191|1,2|2177|1,2|2163|1,2|2149|1,2|2135|1,2|2121|1,2|2107|1</v>
      </c>
      <c r="M379" t="str">
        <f t="shared" si="35"/>
        <v>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79" s="332">
        <v>20251</v>
      </c>
      <c r="R379" t="str">
        <f t="shared" si="39"/>
        <v>护卫头盔</v>
      </c>
    </row>
    <row r="380" spans="1:18" ht="16.5" hidden="1">
      <c r="A380" t="str">
        <f t="shared" si="38"/>
        <v>a09</v>
      </c>
      <c r="B380">
        <v>2</v>
      </c>
      <c r="C380" s="222" t="s">
        <v>9287</v>
      </c>
      <c r="D380">
        <f>VLOOKUP(F380,Sheet7!$B:$G,6,0)</f>
        <v>2485</v>
      </c>
      <c r="E380" s="222" t="s">
        <v>9287</v>
      </c>
      <c r="F380" s="331" t="s">
        <v>16159</v>
      </c>
      <c r="G380">
        <v>1</v>
      </c>
      <c r="H380" t="str">
        <f t="shared" si="36"/>
        <v>2|2485|1</v>
      </c>
      <c r="I380" s="222" t="s">
        <v>9287</v>
      </c>
      <c r="J380">
        <v>40</v>
      </c>
      <c r="K380" t="str">
        <f t="shared" si="37"/>
        <v>2|2485|1|40</v>
      </c>
      <c r="L380" t="str">
        <f t="shared" si="34"/>
        <v>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0" t="str">
        <f t="shared" si="35"/>
        <v>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0" s="332">
        <v>20252</v>
      </c>
      <c r="R380" t="str">
        <f t="shared" si="39"/>
        <v>护卫战靴</v>
      </c>
    </row>
    <row r="381" spans="1:18" ht="16.5" hidden="1">
      <c r="A381" t="str">
        <f t="shared" si="38"/>
        <v>a09</v>
      </c>
      <c r="B381">
        <v>2</v>
      </c>
      <c r="C381" s="222" t="s">
        <v>9287</v>
      </c>
      <c r="D381">
        <f>VLOOKUP(F381,Sheet7!$B:$G,6,0)</f>
        <v>2499</v>
      </c>
      <c r="E381" s="222" t="s">
        <v>9287</v>
      </c>
      <c r="F381" s="331" t="s">
        <v>16174</v>
      </c>
      <c r="G381">
        <v>1</v>
      </c>
      <c r="H381" t="str">
        <f t="shared" si="36"/>
        <v>2|2499|1</v>
      </c>
      <c r="I381" s="222" t="s">
        <v>9287</v>
      </c>
      <c r="J381">
        <v>40</v>
      </c>
      <c r="K381" t="str">
        <f t="shared" si="37"/>
        <v>2|2499|1|40</v>
      </c>
      <c r="L381" t="str">
        <f t="shared" si="34"/>
        <v>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1" t="str">
        <f t="shared" si="35"/>
        <v>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1" s="332">
        <v>20253</v>
      </c>
      <c r="R381" t="str">
        <f t="shared" si="39"/>
        <v>破魔战甲</v>
      </c>
    </row>
    <row r="382" spans="1:18" ht="16.5" hidden="1">
      <c r="A382" t="str">
        <f t="shared" si="38"/>
        <v>a09</v>
      </c>
      <c r="B382">
        <v>2</v>
      </c>
      <c r="C382" s="222" t="s">
        <v>9287</v>
      </c>
      <c r="D382">
        <f>VLOOKUP(F382,Sheet7!$B:$G,6,0)</f>
        <v>2513</v>
      </c>
      <c r="E382" s="222" t="s">
        <v>9287</v>
      </c>
      <c r="F382" s="331" t="s">
        <v>16189</v>
      </c>
      <c r="G382">
        <v>1</v>
      </c>
      <c r="H382" t="str">
        <f t="shared" si="36"/>
        <v>2|2513|1</v>
      </c>
      <c r="I382" s="222" t="s">
        <v>9287</v>
      </c>
      <c r="J382">
        <v>40</v>
      </c>
      <c r="K382" t="str">
        <f t="shared" si="37"/>
        <v>2|2513|1|40</v>
      </c>
      <c r="L382" t="str">
        <f t="shared" si="34"/>
        <v>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2" t="str">
        <f t="shared" si="35"/>
        <v>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2" s="332">
        <v>20254</v>
      </c>
      <c r="R382" t="str">
        <f t="shared" si="39"/>
        <v>破魔长剑</v>
      </c>
    </row>
    <row r="383" spans="1:18" ht="16.5" hidden="1">
      <c r="A383" t="str">
        <f t="shared" si="38"/>
        <v>a09</v>
      </c>
      <c r="B383">
        <v>2</v>
      </c>
      <c r="C383" s="222" t="s">
        <v>9287</v>
      </c>
      <c r="D383">
        <f>VLOOKUP(F383,Sheet7!$B:$G,6,0)</f>
        <v>2527</v>
      </c>
      <c r="E383" s="222" t="s">
        <v>9287</v>
      </c>
      <c r="F383" s="331" t="s">
        <v>16204</v>
      </c>
      <c r="G383">
        <v>1</v>
      </c>
      <c r="H383" t="str">
        <f t="shared" si="36"/>
        <v>2|2527|1</v>
      </c>
      <c r="I383" s="222" t="s">
        <v>9287</v>
      </c>
      <c r="J383">
        <v>40</v>
      </c>
      <c r="K383" t="str">
        <f t="shared" si="37"/>
        <v>2|2527|1|40</v>
      </c>
      <c r="L383" t="str">
        <f t="shared" si="34"/>
        <v>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3" t="str">
        <f t="shared" si="35"/>
        <v>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3" s="332">
        <v>20255</v>
      </c>
      <c r="R383" t="str">
        <f t="shared" si="39"/>
        <v>破魔头盔</v>
      </c>
    </row>
    <row r="384" spans="1:18" ht="16.5" hidden="1">
      <c r="A384" t="str">
        <f t="shared" si="38"/>
        <v>a09</v>
      </c>
      <c r="B384">
        <v>2</v>
      </c>
      <c r="C384" s="222" t="s">
        <v>9287</v>
      </c>
      <c r="D384">
        <f>VLOOKUP(F384,Sheet7!$B:$G,6,0)</f>
        <v>2541</v>
      </c>
      <c r="E384" s="222" t="s">
        <v>9287</v>
      </c>
      <c r="F384" s="331" t="s">
        <v>16219</v>
      </c>
      <c r="G384">
        <v>1</v>
      </c>
      <c r="H384" t="str">
        <f t="shared" si="36"/>
        <v>2|2541|1</v>
      </c>
      <c r="I384" s="222" t="s">
        <v>9287</v>
      </c>
      <c r="J384">
        <v>40</v>
      </c>
      <c r="K384" t="str">
        <f t="shared" si="37"/>
        <v>2|2541|1|40</v>
      </c>
      <c r="L384" t="str">
        <f t="shared" si="34"/>
        <v>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4" t="str">
        <f t="shared" si="35"/>
        <v>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4" s="332">
        <v>20256</v>
      </c>
      <c r="R384" t="str">
        <f t="shared" si="39"/>
        <v>破魔战靴</v>
      </c>
    </row>
    <row r="385" spans="1:18" ht="16.5" hidden="1">
      <c r="A385" t="str">
        <f t="shared" si="38"/>
        <v>a09</v>
      </c>
      <c r="B385">
        <v>2</v>
      </c>
      <c r="C385" s="222" t="s">
        <v>9287</v>
      </c>
      <c r="D385">
        <f>VLOOKUP(F385,Sheet7!$B:$G,6,0)</f>
        <v>2555</v>
      </c>
      <c r="E385" s="222" t="s">
        <v>9287</v>
      </c>
      <c r="F385" s="331" t="s">
        <v>16234</v>
      </c>
      <c r="G385">
        <v>1</v>
      </c>
      <c r="H385" t="str">
        <f t="shared" si="36"/>
        <v>2|2555|1</v>
      </c>
      <c r="I385" s="222" t="s">
        <v>9287</v>
      </c>
      <c r="J385">
        <v>40</v>
      </c>
      <c r="K385" t="str">
        <f t="shared" si="37"/>
        <v>2|2555|1|40</v>
      </c>
      <c r="L385" t="str">
        <f t="shared" si="34"/>
        <v>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5" t="str">
        <f t="shared" si="35"/>
        <v>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5" s="332">
        <v>20257</v>
      </c>
      <c r="R385" t="str">
        <f t="shared" si="39"/>
        <v>赤血战甲</v>
      </c>
    </row>
    <row r="386" spans="1:18" ht="16.5" hidden="1">
      <c r="A386" t="str">
        <f t="shared" si="38"/>
        <v>a09</v>
      </c>
      <c r="B386">
        <v>2</v>
      </c>
      <c r="C386" s="222" t="s">
        <v>9287</v>
      </c>
      <c r="D386">
        <f>VLOOKUP(F386,Sheet7!$B:$G,6,0)</f>
        <v>2569</v>
      </c>
      <c r="E386" s="222" t="s">
        <v>9287</v>
      </c>
      <c r="F386" s="331" t="s">
        <v>16249</v>
      </c>
      <c r="G386">
        <v>1</v>
      </c>
      <c r="H386" t="str">
        <f t="shared" si="36"/>
        <v>2|2569|1</v>
      </c>
      <c r="I386" s="222" t="s">
        <v>9287</v>
      </c>
      <c r="J386">
        <v>40</v>
      </c>
      <c r="K386" t="str">
        <f t="shared" si="37"/>
        <v>2|2569|1|40</v>
      </c>
      <c r="L386" t="str">
        <f t="shared" si="34"/>
        <v>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6" t="str">
        <f t="shared" si="35"/>
        <v>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6" s="332">
        <v>20258</v>
      </c>
      <c r="R386" t="str">
        <f t="shared" si="39"/>
        <v>青锋长剑</v>
      </c>
    </row>
    <row r="387" spans="1:18" ht="16.5" hidden="1">
      <c r="A387" t="str">
        <f t="shared" si="38"/>
        <v>a09</v>
      </c>
      <c r="B387">
        <v>2</v>
      </c>
      <c r="C387" s="222" t="s">
        <v>9287</v>
      </c>
      <c r="D387">
        <f>VLOOKUP(F387,Sheet7!$B:$G,6,0)</f>
        <v>2583</v>
      </c>
      <c r="E387" s="222" t="s">
        <v>9287</v>
      </c>
      <c r="F387" s="331" t="s">
        <v>16264</v>
      </c>
      <c r="G387">
        <v>1</v>
      </c>
      <c r="H387" t="str">
        <f t="shared" si="36"/>
        <v>2|2583|1</v>
      </c>
      <c r="I387" s="222" t="s">
        <v>9287</v>
      </c>
      <c r="J387">
        <v>40</v>
      </c>
      <c r="K387" t="str">
        <f t="shared" si="37"/>
        <v>2|2583|1|40</v>
      </c>
      <c r="L387" t="str">
        <f t="shared" si="34"/>
        <v>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7" t="str">
        <f t="shared" si="35"/>
        <v>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7" s="332">
        <v>20259</v>
      </c>
      <c r="R387" t="str">
        <f t="shared" si="39"/>
        <v>雁虞头盔</v>
      </c>
    </row>
    <row r="388" spans="1:18" ht="16.5" hidden="1">
      <c r="A388" t="str">
        <f t="shared" si="38"/>
        <v>a09</v>
      </c>
      <c r="B388">
        <v>2</v>
      </c>
      <c r="C388" s="222" t="s">
        <v>9287</v>
      </c>
      <c r="D388">
        <f>VLOOKUP(F388,Sheet7!$B:$G,6,0)</f>
        <v>2597</v>
      </c>
      <c r="E388" s="222" t="s">
        <v>9287</v>
      </c>
      <c r="F388" s="331" t="s">
        <v>16279</v>
      </c>
      <c r="G388">
        <v>1</v>
      </c>
      <c r="H388" t="str">
        <f t="shared" si="36"/>
        <v>2|2597|1</v>
      </c>
      <c r="I388" s="222" t="s">
        <v>9287</v>
      </c>
      <c r="J388">
        <v>40</v>
      </c>
      <c r="K388" t="str">
        <f t="shared" si="37"/>
        <v>2|2597|1|40</v>
      </c>
      <c r="L388" t="str">
        <f t="shared" ref="L388:L451" si="40">IF(A388=A387,H388&amp;","&amp;L387,H388)</f>
        <v>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8" t="str">
        <f t="shared" ref="M388:M451" si="41">IF(A388=A387,K388&amp;","&amp;M387,K388)</f>
        <v>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8" s="332">
        <v>20260</v>
      </c>
      <c r="R388" t="str">
        <f t="shared" si="39"/>
        <v>无影战靴</v>
      </c>
    </row>
    <row r="389" spans="1:18" ht="16.5" hidden="1">
      <c r="A389" t="str">
        <f t="shared" si="38"/>
        <v>a09</v>
      </c>
      <c r="B389">
        <v>2</v>
      </c>
      <c r="C389" s="222" t="s">
        <v>9287</v>
      </c>
      <c r="D389">
        <f>VLOOKUP(F389,Sheet7!$B:$G,6,0)</f>
        <v>2611</v>
      </c>
      <c r="E389" s="222" t="s">
        <v>9287</v>
      </c>
      <c r="F389" s="331" t="s">
        <v>16294</v>
      </c>
      <c r="G389">
        <v>1</v>
      </c>
      <c r="H389" t="str">
        <f t="shared" si="36"/>
        <v>2|2611|1</v>
      </c>
      <c r="I389" s="222" t="s">
        <v>9287</v>
      </c>
      <c r="J389">
        <v>40</v>
      </c>
      <c r="K389" t="str">
        <f t="shared" si="37"/>
        <v>2|2611|1|40</v>
      </c>
      <c r="L389" t="str">
        <f t="shared" si="40"/>
        <v>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89" t="str">
        <f t="shared" si="41"/>
        <v>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89" s="332">
        <v>202611</v>
      </c>
      <c r="R389" t="str">
        <f t="shared" si="39"/>
        <v>行者战甲</v>
      </c>
    </row>
    <row r="390" spans="1:18" ht="16.5" hidden="1">
      <c r="A390" t="str">
        <f t="shared" si="38"/>
        <v>a09</v>
      </c>
      <c r="B390">
        <v>2</v>
      </c>
      <c r="C390" s="222" t="s">
        <v>9287</v>
      </c>
      <c r="D390">
        <f>VLOOKUP(F390,Sheet7!$B:$G,6,0)</f>
        <v>2625</v>
      </c>
      <c r="E390" s="222" t="s">
        <v>9287</v>
      </c>
      <c r="F390" s="331" t="s">
        <v>16309</v>
      </c>
      <c r="G390">
        <v>1</v>
      </c>
      <c r="H390" t="str">
        <f t="shared" si="36"/>
        <v>2|2625|1</v>
      </c>
      <c r="I390" s="222" t="s">
        <v>9287</v>
      </c>
      <c r="J390">
        <v>40</v>
      </c>
      <c r="K390" t="str">
        <f t="shared" si="37"/>
        <v>2|2625|1|40</v>
      </c>
      <c r="L390" t="str">
        <f t="shared" si="40"/>
        <v>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0" t="str">
        <f t="shared" si="41"/>
        <v>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0" s="332">
        <v>202612</v>
      </c>
      <c r="R390" t="str">
        <f t="shared" si="39"/>
        <v>精铁长剑</v>
      </c>
    </row>
    <row r="391" spans="1:18" ht="16.5" hidden="1">
      <c r="A391" t="str">
        <f t="shared" si="38"/>
        <v>a09</v>
      </c>
      <c r="B391">
        <v>2</v>
      </c>
      <c r="C391" s="222" t="s">
        <v>9287</v>
      </c>
      <c r="D391">
        <f>VLOOKUP(F391,Sheet7!$B:$G,6,0)</f>
        <v>2639</v>
      </c>
      <c r="E391" s="222" t="s">
        <v>9287</v>
      </c>
      <c r="F391" s="331" t="s">
        <v>16324</v>
      </c>
      <c r="G391">
        <v>1</v>
      </c>
      <c r="H391" t="str">
        <f t="shared" si="36"/>
        <v>2|2639|1</v>
      </c>
      <c r="I391" s="222" t="s">
        <v>9287</v>
      </c>
      <c r="J391">
        <v>40</v>
      </c>
      <c r="K391" t="str">
        <f t="shared" si="37"/>
        <v>2|2639|1|40</v>
      </c>
      <c r="L391" t="str">
        <f t="shared" si="40"/>
        <v>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1" t="str">
        <f t="shared" si="41"/>
        <v>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1" s="332">
        <v>202613</v>
      </c>
      <c r="R391" t="str">
        <f t="shared" si="39"/>
        <v>虹影头盔</v>
      </c>
    </row>
    <row r="392" spans="1:18" ht="16.5" hidden="1">
      <c r="A392" t="str">
        <f t="shared" si="38"/>
        <v>a09</v>
      </c>
      <c r="B392">
        <v>2</v>
      </c>
      <c r="C392" s="222" t="s">
        <v>9287</v>
      </c>
      <c r="D392">
        <f>VLOOKUP(F392,Sheet7!$B:$G,6,0)</f>
        <v>2653</v>
      </c>
      <c r="E392" s="222" t="s">
        <v>9287</v>
      </c>
      <c r="F392" s="331" t="s">
        <v>16339</v>
      </c>
      <c r="G392">
        <v>1</v>
      </c>
      <c r="H392" t="str">
        <f t="shared" si="36"/>
        <v>2|2653|1</v>
      </c>
      <c r="I392" s="222" t="s">
        <v>9287</v>
      </c>
      <c r="J392">
        <v>40</v>
      </c>
      <c r="K392" t="str">
        <f t="shared" si="37"/>
        <v>2|2653|1|40</v>
      </c>
      <c r="L392" t="str">
        <f t="shared" si="40"/>
        <v>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2" t="str">
        <f t="shared" si="41"/>
        <v>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2" s="332">
        <v>26</v>
      </c>
      <c r="R392" t="str">
        <f t="shared" si="39"/>
        <v>千里战靴</v>
      </c>
    </row>
    <row r="393" spans="1:18" ht="16.5" hidden="1">
      <c r="A393" t="str">
        <f t="shared" si="38"/>
        <v>a09</v>
      </c>
      <c r="B393">
        <v>2</v>
      </c>
      <c r="C393" s="222" t="s">
        <v>9287</v>
      </c>
      <c r="D393">
        <f>VLOOKUP(F393,Sheet7!$B:$G,6,0)</f>
        <v>2667</v>
      </c>
      <c r="E393" s="222" t="s">
        <v>9287</v>
      </c>
      <c r="F393" s="331" t="s">
        <v>16354</v>
      </c>
      <c r="G393">
        <v>1</v>
      </c>
      <c r="H393" t="str">
        <f t="shared" si="36"/>
        <v>2|2667|1</v>
      </c>
      <c r="I393" s="222" t="s">
        <v>9287</v>
      </c>
      <c r="J393">
        <v>40</v>
      </c>
      <c r="K393" t="str">
        <f t="shared" si="37"/>
        <v>2|2667|1|40</v>
      </c>
      <c r="L393" t="str">
        <f t="shared" si="40"/>
        <v>2|2667|1,2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3" t="str">
        <f t="shared" si="41"/>
        <v>2|2667|1|40,2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3" s="332">
        <v>2026</v>
      </c>
      <c r="R393" t="str">
        <f t="shared" si="39"/>
        <v>封魔战甲</v>
      </c>
    </row>
    <row r="394" spans="1:18" ht="16.5" hidden="1">
      <c r="A394" t="str">
        <f t="shared" si="38"/>
        <v>a09</v>
      </c>
      <c r="B394">
        <v>2</v>
      </c>
      <c r="C394" s="222" t="s">
        <v>9287</v>
      </c>
      <c r="D394">
        <f>VLOOKUP(F394,Sheet7!$B:$G,6,0)</f>
        <v>2681</v>
      </c>
      <c r="E394" s="222" t="s">
        <v>9287</v>
      </c>
      <c r="F394" s="331" t="s">
        <v>16369</v>
      </c>
      <c r="G394">
        <v>1</v>
      </c>
      <c r="H394" t="str">
        <f t="shared" ref="H394:H457" si="42">B394&amp;C394&amp;D394&amp;E394&amp;G394</f>
        <v>2|2681|1</v>
      </c>
      <c r="I394" s="222" t="s">
        <v>9287</v>
      </c>
      <c r="J394">
        <v>40</v>
      </c>
      <c r="K394" t="str">
        <f t="shared" ref="K394:K457" si="43">H394&amp;I394&amp;J394</f>
        <v>2|2681|1|40</v>
      </c>
      <c r="L394" t="str">
        <f t="shared" si="40"/>
        <v>2|2681|1,2|2667|1,2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4" t="str">
        <f t="shared" si="41"/>
        <v>2|2681|1|40,2|2667|1|40,2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4" s="332">
        <v>20261</v>
      </c>
      <c r="R394" t="str">
        <f t="shared" si="39"/>
        <v>封魔长剑</v>
      </c>
    </row>
    <row r="395" spans="1:18" ht="16.5" hidden="1">
      <c r="A395" t="str">
        <f t="shared" si="38"/>
        <v>a09</v>
      </c>
      <c r="B395">
        <v>2</v>
      </c>
      <c r="C395" s="222" t="s">
        <v>9287</v>
      </c>
      <c r="D395">
        <f>VLOOKUP(F395,Sheet7!$B:$G,6,0)</f>
        <v>2695</v>
      </c>
      <c r="E395" s="222" t="s">
        <v>9287</v>
      </c>
      <c r="F395" s="331" t="s">
        <v>16384</v>
      </c>
      <c r="G395">
        <v>1</v>
      </c>
      <c r="H395" t="str">
        <f t="shared" si="42"/>
        <v>2|2695|1</v>
      </c>
      <c r="I395" s="222" t="s">
        <v>9287</v>
      </c>
      <c r="J395">
        <v>40</v>
      </c>
      <c r="K395" t="str">
        <f t="shared" si="43"/>
        <v>2|2695|1|40</v>
      </c>
      <c r="L395" t="str">
        <f t="shared" si="40"/>
        <v>2|2695|1,2|2681|1,2|2667|1,2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5" t="str">
        <f t="shared" si="41"/>
        <v>2|2695|1|40,2|2681|1|40,2|2667|1|40,2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5" s="332">
        <v>20262</v>
      </c>
      <c r="R395" t="str">
        <f t="shared" si="39"/>
        <v>封魔头盔</v>
      </c>
    </row>
    <row r="396" spans="1:18" ht="16.5">
      <c r="A396" t="str">
        <f t="shared" si="38"/>
        <v>a09</v>
      </c>
      <c r="B396">
        <v>2</v>
      </c>
      <c r="C396" s="222" t="s">
        <v>9287</v>
      </c>
      <c r="D396">
        <f>VLOOKUP(F396,Sheet7!$B:$G,6,0)</f>
        <v>2709</v>
      </c>
      <c r="E396" s="222" t="s">
        <v>9287</v>
      </c>
      <c r="F396" s="331" t="s">
        <v>16399</v>
      </c>
      <c r="G396">
        <v>1</v>
      </c>
      <c r="H396" t="str">
        <f t="shared" si="42"/>
        <v>2|2709|1</v>
      </c>
      <c r="I396" s="222" t="s">
        <v>9287</v>
      </c>
      <c r="J396">
        <v>40</v>
      </c>
      <c r="K396" t="str">
        <f t="shared" si="43"/>
        <v>2|2709|1|40</v>
      </c>
      <c r="L396" t="str">
        <f t="shared" si="40"/>
        <v>2|2709|1,2|2695|1,2|2681|1,2|2667|1,2|2653|1,2|2639|1,2|2625|1,2|2611|1,2|2597|1,2|2583|1,2|2569|1,2|2555|1,2|2541|1,2|2527|1,2|2513|1,2|2499|1,2|2485|1,2|2471|1,2|2457|1,2|2443|1,2|2429|1,2|2415|1,2|2401|1,2|2387|1,2|2373|1,2|2359|1,2|2345|1,2|2331|1,2|2317|1,2|2303|1,2|2289|1,2|2275|1,2|2261|1,2|2247|1,2|2233|1,2|2219|1,2|2205|1,2|2191|1,2|2177|1,2|2163|1,2|2149|1,2|2135|1,2|2121|1,2|2107|1</v>
      </c>
      <c r="M396" t="str">
        <f t="shared" si="41"/>
        <v>2|2709|1|40,2|2695|1|40,2|2681|1|40,2|2667|1|40,2|2653|1|40,2|2639|1|40,2|2625|1|40,2|2611|1|40,2|2597|1|40,2|2583|1|40,2|2569|1|40,2|2555|1|40,2|2541|1|40,2|2527|1|40,2|2513|1|40,2|2499|1|40,2|2485|1|40,2|2471|1|40,2|2457|1|40,2|2443|1|40,2|2429|1|40,2|2415|1|40,2|2401|1|40,2|2387|1|40,2|2373|1|40,2|2359|1|40,2|2345|1|40,2|2331|1|40,2|2317|1|20,2|2303|1|20,2|2289|1|20,2|2275|1|20,2|2261|1|20,2|2247|1|20,2|2233|1|20,2|2219|1|20,2|2205|1|20,2|2191|1|20,2|2177|1|20,2|2163|1|20,2|2149|1|10,2|2135|1|10,2|2121|1|10,2|2107|1|10</v>
      </c>
      <c r="N396" s="332">
        <v>20263</v>
      </c>
      <c r="R396" t="str">
        <f t="shared" si="39"/>
        <v>封魔战靴</v>
      </c>
    </row>
    <row r="397" spans="1:18" ht="16.5" hidden="1">
      <c r="A397" t="str">
        <f t="shared" si="38"/>
        <v>a10</v>
      </c>
      <c r="B397">
        <v>2</v>
      </c>
      <c r="C397" s="222" t="s">
        <v>9287</v>
      </c>
      <c r="D397">
        <f>VLOOKUP(F397,Sheet7!$B:$G,6,0)</f>
        <v>2108</v>
      </c>
      <c r="E397" s="222" t="s">
        <v>9287</v>
      </c>
      <c r="F397" s="331" t="s">
        <v>15755</v>
      </c>
      <c r="G397">
        <v>1</v>
      </c>
      <c r="H397" t="str">
        <f t="shared" si="42"/>
        <v>2|2108|1</v>
      </c>
      <c r="I397" s="222" t="s">
        <v>9287</v>
      </c>
      <c r="J397">
        <v>10</v>
      </c>
      <c r="K397" t="str">
        <f t="shared" si="43"/>
        <v>2|2108|1|10</v>
      </c>
      <c r="L397" t="str">
        <f t="shared" si="40"/>
        <v>2|2108|1</v>
      </c>
      <c r="M397" t="str">
        <f t="shared" si="41"/>
        <v>2|2108|1|10</v>
      </c>
      <c r="N397" s="332">
        <v>20264</v>
      </c>
      <c r="R397" t="str">
        <f t="shared" si="39"/>
        <v>蚩尤战甲</v>
      </c>
    </row>
    <row r="398" spans="1:18" ht="16.5" hidden="1">
      <c r="A398" t="str">
        <f t="shared" si="38"/>
        <v>a10</v>
      </c>
      <c r="B398">
        <v>2</v>
      </c>
      <c r="C398" s="222" t="s">
        <v>9287</v>
      </c>
      <c r="D398">
        <f>VLOOKUP(F398,Sheet7!$B:$G,6,0)</f>
        <v>2122</v>
      </c>
      <c r="E398" s="222" t="s">
        <v>9287</v>
      </c>
      <c r="F398" s="331" t="s">
        <v>15770</v>
      </c>
      <c r="G398">
        <v>1</v>
      </c>
      <c r="H398" t="str">
        <f t="shared" si="42"/>
        <v>2|2122|1</v>
      </c>
      <c r="I398" s="222" t="s">
        <v>9287</v>
      </c>
      <c r="J398">
        <v>10</v>
      </c>
      <c r="K398" t="str">
        <f t="shared" si="43"/>
        <v>2|2122|1|10</v>
      </c>
      <c r="L398" t="str">
        <f t="shared" si="40"/>
        <v>2|2122|1,2|2108|1</v>
      </c>
      <c r="M398" t="str">
        <f t="shared" si="41"/>
        <v>2|2122|1|10,2|2108|1|10</v>
      </c>
      <c r="N398" s="332">
        <v>20265</v>
      </c>
      <c r="R398" t="str">
        <f t="shared" si="39"/>
        <v>蚩尤长剑</v>
      </c>
    </row>
    <row r="399" spans="1:18" ht="16.5" hidden="1">
      <c r="A399" t="str">
        <f t="shared" si="38"/>
        <v>a10</v>
      </c>
      <c r="B399">
        <v>2</v>
      </c>
      <c r="C399" s="222" t="s">
        <v>9287</v>
      </c>
      <c r="D399">
        <f>VLOOKUP(F399,Sheet7!$B:$G,6,0)</f>
        <v>2136</v>
      </c>
      <c r="E399" s="222" t="s">
        <v>9287</v>
      </c>
      <c r="F399" s="331" t="s">
        <v>15785</v>
      </c>
      <c r="G399">
        <v>1</v>
      </c>
      <c r="H399" t="str">
        <f t="shared" si="42"/>
        <v>2|2136|1</v>
      </c>
      <c r="I399" s="222" t="s">
        <v>9287</v>
      </c>
      <c r="J399">
        <v>10</v>
      </c>
      <c r="K399" t="str">
        <f t="shared" si="43"/>
        <v>2|2136|1|10</v>
      </c>
      <c r="L399" t="str">
        <f t="shared" si="40"/>
        <v>2|2136|1,2|2122|1,2|2108|1</v>
      </c>
      <c r="M399" t="str">
        <f t="shared" si="41"/>
        <v>2|2136|1|10,2|2122|1|10,2|2108|1|10</v>
      </c>
      <c r="N399" s="332">
        <v>20266</v>
      </c>
      <c r="R399" t="str">
        <f t="shared" si="39"/>
        <v>蚩尤头盔</v>
      </c>
    </row>
    <row r="400" spans="1:18" ht="16.5" hidden="1">
      <c r="A400" t="str">
        <f t="shared" si="38"/>
        <v>a10</v>
      </c>
      <c r="B400">
        <v>2</v>
      </c>
      <c r="C400" s="222" t="s">
        <v>9287</v>
      </c>
      <c r="D400">
        <f>VLOOKUP(F400,Sheet7!$B:$G,6,0)</f>
        <v>2150</v>
      </c>
      <c r="E400" s="222" t="s">
        <v>9287</v>
      </c>
      <c r="F400" s="331" t="s">
        <v>15800</v>
      </c>
      <c r="G400">
        <v>1</v>
      </c>
      <c r="H400" t="str">
        <f t="shared" si="42"/>
        <v>2|2150|1</v>
      </c>
      <c r="I400" s="222" t="s">
        <v>9287</v>
      </c>
      <c r="J400">
        <v>10</v>
      </c>
      <c r="K400" t="str">
        <f t="shared" si="43"/>
        <v>2|2150|1|10</v>
      </c>
      <c r="L400" t="str">
        <f t="shared" si="40"/>
        <v>2|2150|1,2|2136|1,2|2122|1,2|2108|1</v>
      </c>
      <c r="M400" t="str">
        <f t="shared" si="41"/>
        <v>2|2150|1|10,2|2136|1|10,2|2122|1|10,2|2108|1|10</v>
      </c>
      <c r="N400" s="332">
        <v>20267</v>
      </c>
      <c r="R400" t="str">
        <f t="shared" si="39"/>
        <v>蚩尤战靴</v>
      </c>
    </row>
    <row r="401" spans="1:18" ht="16.5" hidden="1">
      <c r="A401" t="str">
        <f t="shared" si="38"/>
        <v>a10</v>
      </c>
      <c r="B401">
        <v>2</v>
      </c>
      <c r="C401" s="222" t="s">
        <v>9287</v>
      </c>
      <c r="D401">
        <f>VLOOKUP(F401,Sheet7!$B:$G,6,0)</f>
        <v>2164</v>
      </c>
      <c r="E401" s="222" t="s">
        <v>9287</v>
      </c>
      <c r="F401" s="331" t="s">
        <v>15815</v>
      </c>
      <c r="G401">
        <v>1</v>
      </c>
      <c r="H401" t="str">
        <f t="shared" si="42"/>
        <v>2|2164|1</v>
      </c>
      <c r="I401" s="222" t="s">
        <v>9287</v>
      </c>
      <c r="J401">
        <v>20</v>
      </c>
      <c r="K401" t="str">
        <f t="shared" si="43"/>
        <v>2|2164|1|20</v>
      </c>
      <c r="L401" t="str">
        <f t="shared" si="40"/>
        <v>2|2164|1,2|2150|1,2|2136|1,2|2122|1,2|2108|1</v>
      </c>
      <c r="M401" t="str">
        <f t="shared" si="41"/>
        <v>2|2164|1|20,2|2150|1|10,2|2136|1|10,2|2122|1|10,2|2108|1|10</v>
      </c>
      <c r="N401" s="332">
        <v>20268</v>
      </c>
      <c r="R401" t="str">
        <f t="shared" si="39"/>
        <v>天罡战甲</v>
      </c>
    </row>
    <row r="402" spans="1:18" ht="16.5" hidden="1">
      <c r="A402" t="str">
        <f t="shared" si="38"/>
        <v>a10</v>
      </c>
      <c r="B402">
        <v>2</v>
      </c>
      <c r="C402" s="222" t="s">
        <v>9287</v>
      </c>
      <c r="D402">
        <f>VLOOKUP(F402,Sheet7!$B:$G,6,0)</f>
        <v>2178</v>
      </c>
      <c r="E402" s="222" t="s">
        <v>9287</v>
      </c>
      <c r="F402" s="331" t="s">
        <v>15830</v>
      </c>
      <c r="G402">
        <v>1</v>
      </c>
      <c r="H402" t="str">
        <f t="shared" si="42"/>
        <v>2|2178|1</v>
      </c>
      <c r="I402" s="222" t="s">
        <v>9287</v>
      </c>
      <c r="J402">
        <v>20</v>
      </c>
      <c r="K402" t="str">
        <f t="shared" si="43"/>
        <v>2|2178|1|20</v>
      </c>
      <c r="L402" t="str">
        <f t="shared" si="40"/>
        <v>2|2178|1,2|2164|1,2|2150|1,2|2136|1,2|2122|1,2|2108|1</v>
      </c>
      <c r="M402" t="str">
        <f t="shared" si="41"/>
        <v>2|2178|1|20,2|2164|1|20,2|2150|1|10,2|2136|1|10,2|2122|1|10,2|2108|1|10</v>
      </c>
      <c r="N402" s="332">
        <v>20269</v>
      </c>
      <c r="R402" t="str">
        <f t="shared" si="39"/>
        <v>天罡长剑</v>
      </c>
    </row>
    <row r="403" spans="1:18" ht="16.5" hidden="1">
      <c r="A403" t="str">
        <f t="shared" si="38"/>
        <v>a10</v>
      </c>
      <c r="B403">
        <v>2</v>
      </c>
      <c r="C403" s="222" t="s">
        <v>9287</v>
      </c>
      <c r="D403">
        <f>VLOOKUP(F403,Sheet7!$B:$G,6,0)</f>
        <v>2192</v>
      </c>
      <c r="E403" s="222" t="s">
        <v>9287</v>
      </c>
      <c r="F403" s="331" t="s">
        <v>15845</v>
      </c>
      <c r="G403">
        <v>1</v>
      </c>
      <c r="H403" t="str">
        <f t="shared" si="42"/>
        <v>2|2192|1</v>
      </c>
      <c r="I403" s="222" t="s">
        <v>9287</v>
      </c>
      <c r="J403">
        <v>20</v>
      </c>
      <c r="K403" t="str">
        <f t="shared" si="43"/>
        <v>2|2192|1|20</v>
      </c>
      <c r="L403" t="str">
        <f t="shared" si="40"/>
        <v>2|2192|1,2|2178|1,2|2164|1,2|2150|1,2|2136|1,2|2122|1,2|2108|1</v>
      </c>
      <c r="M403" t="str">
        <f t="shared" si="41"/>
        <v>2|2192|1|20,2|2178|1|20,2|2164|1|20,2|2150|1|10,2|2136|1|10,2|2122|1|10,2|2108|1|10</v>
      </c>
      <c r="N403" s="332">
        <v>20270</v>
      </c>
      <c r="R403" t="str">
        <f t="shared" si="39"/>
        <v>天罡头盔</v>
      </c>
    </row>
    <row r="404" spans="1:18" ht="16.5" hidden="1">
      <c r="A404" t="str">
        <f t="shared" si="38"/>
        <v>a10</v>
      </c>
      <c r="B404">
        <v>2</v>
      </c>
      <c r="C404" s="222" t="s">
        <v>9287</v>
      </c>
      <c r="D404">
        <f>VLOOKUP(F404,Sheet7!$B:$G,6,0)</f>
        <v>2206</v>
      </c>
      <c r="E404" s="222" t="s">
        <v>9287</v>
      </c>
      <c r="F404" s="331" t="s">
        <v>15860</v>
      </c>
      <c r="G404">
        <v>1</v>
      </c>
      <c r="H404" t="str">
        <f t="shared" si="42"/>
        <v>2|2206|1</v>
      </c>
      <c r="I404" s="222" t="s">
        <v>9287</v>
      </c>
      <c r="J404">
        <v>20</v>
      </c>
      <c r="K404" t="str">
        <f t="shared" si="43"/>
        <v>2|2206|1|20</v>
      </c>
      <c r="L404" t="str">
        <f t="shared" si="40"/>
        <v>2|2206|1,2|2192|1,2|2178|1,2|2164|1,2|2150|1,2|2136|1,2|2122|1,2|2108|1</v>
      </c>
      <c r="M404" t="str">
        <f t="shared" si="41"/>
        <v>2|2206|1|20,2|2192|1|20,2|2178|1|20,2|2164|1|20,2|2150|1|10,2|2136|1|10,2|2122|1|10,2|2108|1|10</v>
      </c>
      <c r="N404" s="332">
        <v>202711</v>
      </c>
      <c r="R404" t="str">
        <f t="shared" si="39"/>
        <v>天罡战靴</v>
      </c>
    </row>
    <row r="405" spans="1:18" ht="16.5" hidden="1">
      <c r="A405" t="str">
        <f t="shared" si="38"/>
        <v>a10</v>
      </c>
      <c r="B405">
        <v>2</v>
      </c>
      <c r="C405" s="222" t="s">
        <v>9287</v>
      </c>
      <c r="D405">
        <f>VLOOKUP(F405,Sheet7!$B:$G,6,0)</f>
        <v>2220</v>
      </c>
      <c r="E405" s="222" t="s">
        <v>9287</v>
      </c>
      <c r="F405" s="331" t="s">
        <v>15875</v>
      </c>
      <c r="G405">
        <v>1</v>
      </c>
      <c r="H405" t="str">
        <f t="shared" si="42"/>
        <v>2|2220|1</v>
      </c>
      <c r="I405" s="222" t="s">
        <v>9287</v>
      </c>
      <c r="J405">
        <v>20</v>
      </c>
      <c r="K405" t="str">
        <f t="shared" si="43"/>
        <v>2|2220|1|20</v>
      </c>
      <c r="L405" t="str">
        <f t="shared" si="40"/>
        <v>2|2220|1,2|2206|1,2|2192|1,2|2178|1,2|2164|1,2|2150|1,2|2136|1,2|2122|1,2|2108|1</v>
      </c>
      <c r="M405" t="str">
        <f t="shared" si="41"/>
        <v>2|2220|1|20,2|2206|1|20,2|2192|1|20,2|2178|1|20,2|2164|1|20,2|2150|1|10,2|2136|1|10,2|2122|1|10,2|2108|1|10</v>
      </c>
      <c r="N405" s="332">
        <v>202712</v>
      </c>
      <c r="R405" t="str">
        <f t="shared" si="39"/>
        <v>降魔战甲</v>
      </c>
    </row>
    <row r="406" spans="1:18" ht="16.5" hidden="1">
      <c r="A406" t="str">
        <f t="shared" ref="A406:A469" si="44">LEFT(F406,3)</f>
        <v>a10</v>
      </c>
      <c r="B406">
        <v>2</v>
      </c>
      <c r="C406" s="222" t="s">
        <v>9287</v>
      </c>
      <c r="D406">
        <f>VLOOKUP(F406,Sheet7!$B:$G,6,0)</f>
        <v>2234</v>
      </c>
      <c r="E406" s="222" t="s">
        <v>9287</v>
      </c>
      <c r="F406" s="331" t="s">
        <v>15890</v>
      </c>
      <c r="G406">
        <v>1</v>
      </c>
      <c r="H406" t="str">
        <f t="shared" si="42"/>
        <v>2|2234|1</v>
      </c>
      <c r="I406" s="222" t="s">
        <v>9287</v>
      </c>
      <c r="J406">
        <v>20</v>
      </c>
      <c r="K406" t="str">
        <f t="shared" si="43"/>
        <v>2|2234|1|20</v>
      </c>
      <c r="L406" t="str">
        <f t="shared" si="40"/>
        <v>2|2234|1,2|2220|1,2|2206|1,2|2192|1,2|2178|1,2|2164|1,2|2150|1,2|2136|1,2|2122|1,2|2108|1</v>
      </c>
      <c r="M406" t="str">
        <f t="shared" si="41"/>
        <v>2|2234|1|20,2|2220|1|20,2|2206|1|20,2|2192|1|20,2|2178|1|20,2|2164|1|20,2|2150|1|10,2|2136|1|10,2|2122|1|10,2|2108|1|10</v>
      </c>
      <c r="N406" s="332">
        <v>202713</v>
      </c>
      <c r="R406" t="str">
        <f t="shared" ref="R406:R469" si="45">RIGHT(F406,4)</f>
        <v>降魔长剑</v>
      </c>
    </row>
    <row r="407" spans="1:18" ht="16.5" hidden="1">
      <c r="A407" t="str">
        <f t="shared" si="44"/>
        <v>a10</v>
      </c>
      <c r="B407">
        <v>2</v>
      </c>
      <c r="C407" s="222" t="s">
        <v>9287</v>
      </c>
      <c r="D407">
        <f>VLOOKUP(F407,Sheet7!$B:$G,6,0)</f>
        <v>2248</v>
      </c>
      <c r="E407" s="222" t="s">
        <v>9287</v>
      </c>
      <c r="F407" s="331" t="s">
        <v>15905</v>
      </c>
      <c r="G407">
        <v>1</v>
      </c>
      <c r="H407" t="str">
        <f t="shared" si="42"/>
        <v>2|2248|1</v>
      </c>
      <c r="I407" s="222" t="s">
        <v>9287</v>
      </c>
      <c r="J407">
        <v>20</v>
      </c>
      <c r="K407" t="str">
        <f t="shared" si="43"/>
        <v>2|2248|1|20</v>
      </c>
      <c r="L407" t="str">
        <f t="shared" si="40"/>
        <v>2|2248|1,2|2234|1,2|2220|1,2|2206|1,2|2192|1,2|2178|1,2|2164|1,2|2150|1,2|2136|1,2|2122|1,2|2108|1</v>
      </c>
      <c r="M407" t="str">
        <f t="shared" si="41"/>
        <v>2|2248|1|20,2|2234|1|20,2|2220|1|20,2|2206|1|20,2|2192|1|20,2|2178|1|20,2|2164|1|20,2|2150|1|10,2|2136|1|10,2|2122|1|10,2|2108|1|10</v>
      </c>
      <c r="N407" s="332">
        <v>27</v>
      </c>
      <c r="R407" t="str">
        <f t="shared" si="45"/>
        <v>降魔头盔</v>
      </c>
    </row>
    <row r="408" spans="1:18" ht="16.5" hidden="1">
      <c r="A408" t="str">
        <f t="shared" si="44"/>
        <v>a10</v>
      </c>
      <c r="B408">
        <v>2</v>
      </c>
      <c r="C408" s="222" t="s">
        <v>9287</v>
      </c>
      <c r="D408">
        <f>VLOOKUP(F408,Sheet7!$B:$G,6,0)</f>
        <v>2262</v>
      </c>
      <c r="E408" s="222" t="s">
        <v>9287</v>
      </c>
      <c r="F408" s="331" t="s">
        <v>15920</v>
      </c>
      <c r="G408">
        <v>1</v>
      </c>
      <c r="H408" t="str">
        <f t="shared" si="42"/>
        <v>2|2262|1</v>
      </c>
      <c r="I408" s="222" t="s">
        <v>9287</v>
      </c>
      <c r="J408">
        <v>20</v>
      </c>
      <c r="K408" t="str">
        <f t="shared" si="43"/>
        <v>2|2262|1|20</v>
      </c>
      <c r="L408" t="str">
        <f t="shared" si="40"/>
        <v>2|2262|1,2|2248|1,2|2234|1,2|2220|1,2|2206|1,2|2192|1,2|2178|1,2|2164|1,2|2150|1,2|2136|1,2|2122|1,2|2108|1</v>
      </c>
      <c r="M408" t="str">
        <f t="shared" si="41"/>
        <v>2|2262|1|20,2|2248|1|20,2|2234|1|20,2|2220|1|20,2|2206|1|20,2|2192|1|20,2|2178|1|20,2|2164|1|20,2|2150|1|10,2|2136|1|10,2|2122|1|10,2|2108|1|10</v>
      </c>
      <c r="N408" s="332">
        <v>2027</v>
      </c>
      <c r="R408" t="str">
        <f t="shared" si="45"/>
        <v>降魔战靴</v>
      </c>
    </row>
    <row r="409" spans="1:18" ht="16.5" hidden="1">
      <c r="A409" t="str">
        <f t="shared" si="44"/>
        <v>a10</v>
      </c>
      <c r="B409">
        <v>2</v>
      </c>
      <c r="C409" s="222" t="s">
        <v>9287</v>
      </c>
      <c r="D409">
        <f>VLOOKUP(F409,Sheet7!$B:$G,6,0)</f>
        <v>2276</v>
      </c>
      <c r="E409" s="222" t="s">
        <v>9287</v>
      </c>
      <c r="F409" s="331" t="s">
        <v>15935</v>
      </c>
      <c r="G409">
        <v>1</v>
      </c>
      <c r="H409" t="str">
        <f t="shared" si="42"/>
        <v>2|2276|1</v>
      </c>
      <c r="I409" s="222" t="s">
        <v>9287</v>
      </c>
      <c r="J409">
        <v>20</v>
      </c>
      <c r="K409" t="str">
        <f t="shared" si="43"/>
        <v>2|2276|1|20</v>
      </c>
      <c r="L409" t="str">
        <f t="shared" si="40"/>
        <v>2|2276|1,2|2262|1,2|2248|1,2|2234|1,2|2220|1,2|2206|1,2|2192|1,2|2178|1,2|2164|1,2|2150|1,2|2136|1,2|2122|1,2|2108|1</v>
      </c>
      <c r="M409" t="str">
        <f t="shared" si="41"/>
        <v>2|2276|1|20,2|2262|1|20,2|2248|1|20,2|2234|1|20,2|2220|1|20,2|2206|1|20,2|2192|1|20,2|2178|1|20,2|2164|1|20,2|2150|1|10,2|2136|1|10,2|2122|1|10,2|2108|1|10</v>
      </c>
      <c r="N409" s="332">
        <v>20271</v>
      </c>
      <c r="R409" t="str">
        <f t="shared" si="45"/>
        <v>血魔战甲</v>
      </c>
    </row>
    <row r="410" spans="1:18" ht="16.5" hidden="1">
      <c r="A410" t="str">
        <f t="shared" si="44"/>
        <v>a10</v>
      </c>
      <c r="B410">
        <v>2</v>
      </c>
      <c r="C410" s="222" t="s">
        <v>9287</v>
      </c>
      <c r="D410">
        <f>VLOOKUP(F410,Sheet7!$B:$G,6,0)</f>
        <v>2290</v>
      </c>
      <c r="E410" s="222" t="s">
        <v>9287</v>
      </c>
      <c r="F410" s="331" t="s">
        <v>15950</v>
      </c>
      <c r="G410">
        <v>1</v>
      </c>
      <c r="H410" t="str">
        <f t="shared" si="42"/>
        <v>2|2290|1</v>
      </c>
      <c r="I410" s="222" t="s">
        <v>9287</v>
      </c>
      <c r="J410">
        <v>20</v>
      </c>
      <c r="K410" t="str">
        <f t="shared" si="43"/>
        <v>2|2290|1|20</v>
      </c>
      <c r="L410" t="str">
        <f t="shared" si="40"/>
        <v>2|2290|1,2|2276|1,2|2262|1,2|2248|1,2|2234|1,2|2220|1,2|2206|1,2|2192|1,2|2178|1,2|2164|1,2|2150|1,2|2136|1,2|2122|1,2|2108|1</v>
      </c>
      <c r="M410" t="str">
        <f t="shared" si="41"/>
        <v>2|2290|1|20,2|2276|1|20,2|2262|1|20,2|2248|1|20,2|2234|1|20,2|2220|1|20,2|2206|1|20,2|2192|1|20,2|2178|1|20,2|2164|1|20,2|2150|1|10,2|2136|1|10,2|2122|1|10,2|2108|1|10</v>
      </c>
      <c r="N410" s="332">
        <v>20272</v>
      </c>
      <c r="R410" t="str">
        <f t="shared" si="45"/>
        <v>赤霄长剑</v>
      </c>
    </row>
    <row r="411" spans="1:18" ht="16.5" hidden="1">
      <c r="A411" t="str">
        <f t="shared" si="44"/>
        <v>a10</v>
      </c>
      <c r="B411">
        <v>2</v>
      </c>
      <c r="C411" s="222" t="s">
        <v>9287</v>
      </c>
      <c r="D411">
        <f>VLOOKUP(F411,Sheet7!$B:$G,6,0)</f>
        <v>2304</v>
      </c>
      <c r="E411" s="222" t="s">
        <v>9287</v>
      </c>
      <c r="F411" s="331" t="s">
        <v>15965</v>
      </c>
      <c r="G411">
        <v>1</v>
      </c>
      <c r="H411" t="str">
        <f t="shared" si="42"/>
        <v>2|2304|1</v>
      </c>
      <c r="I411" s="222" t="s">
        <v>9287</v>
      </c>
      <c r="J411">
        <v>20</v>
      </c>
      <c r="K411" t="str">
        <f t="shared" si="43"/>
        <v>2|2304|1|20</v>
      </c>
      <c r="L411" t="str">
        <f t="shared" si="40"/>
        <v>2|2304|1,2|2290|1,2|2276|1,2|2262|1,2|2248|1,2|2234|1,2|2220|1,2|2206|1,2|2192|1,2|2178|1,2|2164|1,2|2150|1,2|2136|1,2|2122|1,2|2108|1</v>
      </c>
      <c r="M411" t="str">
        <f t="shared" si="41"/>
        <v>2|2304|1|20,2|2290|1|20,2|2276|1|20,2|2262|1|20,2|2248|1|20,2|2234|1|20,2|2220|1|20,2|2206|1|20,2|2192|1|20,2|2178|1|20,2|2164|1|20,2|2150|1|10,2|2136|1|10,2|2122|1|10,2|2108|1|10</v>
      </c>
      <c r="N411" s="332">
        <v>20273</v>
      </c>
      <c r="R411" t="str">
        <f t="shared" si="45"/>
        <v>麒麟头盔</v>
      </c>
    </row>
    <row r="412" spans="1:18" ht="16.5" hidden="1">
      <c r="A412" t="str">
        <f t="shared" si="44"/>
        <v>a10</v>
      </c>
      <c r="B412">
        <v>2</v>
      </c>
      <c r="C412" s="222" t="s">
        <v>9287</v>
      </c>
      <c r="D412">
        <f>VLOOKUP(F412,Sheet7!$B:$G,6,0)</f>
        <v>2318</v>
      </c>
      <c r="E412" s="222" t="s">
        <v>9287</v>
      </c>
      <c r="F412" s="331" t="s">
        <v>15980</v>
      </c>
      <c r="G412">
        <v>1</v>
      </c>
      <c r="H412" t="str">
        <f t="shared" si="42"/>
        <v>2|2318|1</v>
      </c>
      <c r="I412" s="222" t="s">
        <v>9287</v>
      </c>
      <c r="J412">
        <v>20</v>
      </c>
      <c r="K412" t="str">
        <f t="shared" si="43"/>
        <v>2|2318|1|20</v>
      </c>
      <c r="L412" t="str">
        <f t="shared" si="40"/>
        <v>2|2318|1,2|2304|1,2|2290|1,2|2276|1,2|2262|1,2|2248|1,2|2234|1,2|2220|1,2|2206|1,2|2192|1,2|2178|1,2|2164|1,2|2150|1,2|2136|1,2|2122|1,2|2108|1</v>
      </c>
      <c r="M412" t="str">
        <f t="shared" si="41"/>
        <v>2|2318|1|20,2|2304|1|20,2|2290|1|20,2|2276|1|20,2|2262|1|20,2|2248|1|20,2|2234|1|20,2|2220|1|20,2|2206|1|20,2|2192|1|20,2|2178|1|20,2|2164|1|20,2|2150|1|10,2|2136|1|10,2|2122|1|10,2|2108|1|10</v>
      </c>
      <c r="N412" s="332">
        <v>20274</v>
      </c>
      <c r="R412" t="str">
        <f t="shared" si="45"/>
        <v>兽魂战靴</v>
      </c>
    </row>
    <row r="413" spans="1:18" ht="16.5" hidden="1">
      <c r="A413" t="str">
        <f t="shared" si="44"/>
        <v>a10</v>
      </c>
      <c r="B413">
        <v>2</v>
      </c>
      <c r="C413" s="222" t="s">
        <v>9287</v>
      </c>
      <c r="D413">
        <f>VLOOKUP(F413,Sheet7!$B:$G,6,0)</f>
        <v>2332</v>
      </c>
      <c r="E413" s="222" t="s">
        <v>9287</v>
      </c>
      <c r="F413" s="331" t="s">
        <v>15995</v>
      </c>
      <c r="G413">
        <v>1</v>
      </c>
      <c r="H413" t="str">
        <f t="shared" si="42"/>
        <v>2|2332|1</v>
      </c>
      <c r="I413" s="222" t="s">
        <v>9287</v>
      </c>
      <c r="J413">
        <v>40</v>
      </c>
      <c r="K413" t="str">
        <f t="shared" si="43"/>
        <v>2|2332|1|40</v>
      </c>
      <c r="L413" t="str">
        <f t="shared" si="40"/>
        <v>2|2332|1,2|2318|1,2|2304|1,2|2290|1,2|2276|1,2|2262|1,2|2248|1,2|2234|1,2|2220|1,2|2206|1,2|2192|1,2|2178|1,2|2164|1,2|2150|1,2|2136|1,2|2122|1,2|2108|1</v>
      </c>
      <c r="M413" t="str">
        <f t="shared" si="41"/>
        <v>2|2332|1|40,2|2318|1|20,2|2304|1|20,2|2290|1|20,2|2276|1|20,2|2262|1|20,2|2248|1|20,2|2234|1|20,2|2220|1|20,2|2206|1|20,2|2192|1|20,2|2178|1|20,2|2164|1|20,2|2150|1|10,2|2136|1|10,2|2122|1|10,2|2108|1|10</v>
      </c>
      <c r="N413" s="332">
        <v>20275</v>
      </c>
      <c r="R413" t="str">
        <f t="shared" si="45"/>
        <v>磐石战甲</v>
      </c>
    </row>
    <row r="414" spans="1:18" ht="16.5" hidden="1">
      <c r="A414" t="str">
        <f t="shared" si="44"/>
        <v>a10</v>
      </c>
      <c r="B414">
        <v>2</v>
      </c>
      <c r="C414" s="222" t="s">
        <v>9287</v>
      </c>
      <c r="D414">
        <f>VLOOKUP(F414,Sheet7!$B:$G,6,0)</f>
        <v>2346</v>
      </c>
      <c r="E414" s="222" t="s">
        <v>9287</v>
      </c>
      <c r="F414" s="331" t="s">
        <v>16010</v>
      </c>
      <c r="G414">
        <v>1</v>
      </c>
      <c r="H414" t="str">
        <f t="shared" si="42"/>
        <v>2|2346|1</v>
      </c>
      <c r="I414" s="222" t="s">
        <v>9287</v>
      </c>
      <c r="J414">
        <v>40</v>
      </c>
      <c r="K414" t="str">
        <f t="shared" si="43"/>
        <v>2|2346|1|40</v>
      </c>
      <c r="L414" t="str">
        <f t="shared" si="40"/>
        <v>2|2346|1,2|2332|1,2|2318|1,2|2304|1,2|2290|1,2|2276|1,2|2262|1,2|2248|1,2|2234|1,2|2220|1,2|2206|1,2|2192|1,2|2178|1,2|2164|1,2|2150|1,2|2136|1,2|2122|1,2|2108|1</v>
      </c>
      <c r="M414" t="str">
        <f t="shared" si="41"/>
        <v>2|2346|1|40,2|2332|1|40,2|2318|1|20,2|2304|1|20,2|2290|1|20,2|2276|1|20,2|2262|1|20,2|2248|1|20,2|2234|1|20,2|2220|1|20,2|2206|1|20,2|2192|1|20,2|2178|1|20,2|2164|1|20,2|2150|1|10,2|2136|1|10,2|2122|1|10,2|2108|1|10</v>
      </c>
      <c r="N414" s="332">
        <v>20276</v>
      </c>
      <c r="R414" t="str">
        <f t="shared" si="45"/>
        <v>磐石长剑</v>
      </c>
    </row>
    <row r="415" spans="1:18" ht="16.5" hidden="1">
      <c r="A415" t="str">
        <f t="shared" si="44"/>
        <v>a10</v>
      </c>
      <c r="B415">
        <v>2</v>
      </c>
      <c r="C415" s="222" t="s">
        <v>9287</v>
      </c>
      <c r="D415">
        <f>VLOOKUP(F415,Sheet7!$B:$G,6,0)</f>
        <v>2360</v>
      </c>
      <c r="E415" s="222" t="s">
        <v>9287</v>
      </c>
      <c r="F415" s="331" t="s">
        <v>16025</v>
      </c>
      <c r="G415">
        <v>1</v>
      </c>
      <c r="H415" t="str">
        <f t="shared" si="42"/>
        <v>2|2360|1</v>
      </c>
      <c r="I415" s="222" t="s">
        <v>9287</v>
      </c>
      <c r="J415">
        <v>40</v>
      </c>
      <c r="K415" t="str">
        <f t="shared" si="43"/>
        <v>2|2360|1|40</v>
      </c>
      <c r="L415" t="str">
        <f t="shared" si="40"/>
        <v>2|2360|1,2|2346|1,2|2332|1,2|2318|1,2|2304|1,2|2290|1,2|2276|1,2|2262|1,2|2248|1,2|2234|1,2|2220|1,2|2206|1,2|2192|1,2|2178|1,2|2164|1,2|2150|1,2|2136|1,2|2122|1,2|2108|1</v>
      </c>
      <c r="M415" t="str">
        <f t="shared" si="41"/>
        <v>2|2360|1|40,2|2346|1|40,2|2332|1|40,2|2318|1|20,2|2304|1|20,2|2290|1|20,2|2276|1|20,2|2262|1|20,2|2248|1|20,2|2234|1|20,2|2220|1|20,2|2206|1|20,2|2192|1|20,2|2178|1|20,2|2164|1|20,2|2150|1|10,2|2136|1|10,2|2122|1|10,2|2108|1|10</v>
      </c>
      <c r="N415" s="332">
        <v>20277</v>
      </c>
      <c r="R415" t="str">
        <f t="shared" si="45"/>
        <v>磐石头盔</v>
      </c>
    </row>
    <row r="416" spans="1:18" ht="16.5" hidden="1">
      <c r="A416" t="str">
        <f t="shared" si="44"/>
        <v>a10</v>
      </c>
      <c r="B416">
        <v>2</v>
      </c>
      <c r="C416" s="222" t="s">
        <v>9287</v>
      </c>
      <c r="D416">
        <f>VLOOKUP(F416,Sheet7!$B:$G,6,0)</f>
        <v>2374</v>
      </c>
      <c r="E416" s="222" t="s">
        <v>9287</v>
      </c>
      <c r="F416" s="331" t="s">
        <v>16040</v>
      </c>
      <c r="G416">
        <v>1</v>
      </c>
      <c r="H416" t="str">
        <f t="shared" si="42"/>
        <v>2|2374|1</v>
      </c>
      <c r="I416" s="222" t="s">
        <v>9287</v>
      </c>
      <c r="J416">
        <v>40</v>
      </c>
      <c r="K416" t="str">
        <f t="shared" si="43"/>
        <v>2|2374|1|40</v>
      </c>
      <c r="L416" t="str">
        <f t="shared" si="40"/>
        <v>2|2374|1,2|2360|1,2|2346|1,2|2332|1,2|2318|1,2|2304|1,2|2290|1,2|2276|1,2|2262|1,2|2248|1,2|2234|1,2|2220|1,2|2206|1,2|2192|1,2|2178|1,2|2164|1,2|2150|1,2|2136|1,2|2122|1,2|2108|1</v>
      </c>
      <c r="M416" t="str">
        <f t="shared" si="41"/>
        <v>2|2374|1|40,2|2360|1|40,2|2346|1|40,2|2332|1|40,2|2318|1|20,2|2304|1|20,2|2290|1|20,2|2276|1|20,2|2262|1|20,2|2248|1|20,2|2234|1|20,2|2220|1|20,2|2206|1|20,2|2192|1|20,2|2178|1|20,2|2164|1|20,2|2150|1|10,2|2136|1|10,2|2122|1|10,2|2108|1|10</v>
      </c>
      <c r="N416" s="332">
        <v>20278</v>
      </c>
      <c r="R416" t="str">
        <f t="shared" si="45"/>
        <v>磐石战靴</v>
      </c>
    </row>
    <row r="417" spans="1:18" ht="16.5" hidden="1">
      <c r="A417" t="str">
        <f t="shared" si="44"/>
        <v>a10</v>
      </c>
      <c r="B417">
        <v>2</v>
      </c>
      <c r="C417" s="222" t="s">
        <v>9287</v>
      </c>
      <c r="D417">
        <f>VLOOKUP(F417,Sheet7!$B:$G,6,0)</f>
        <v>2388</v>
      </c>
      <c r="E417" s="222" t="s">
        <v>9287</v>
      </c>
      <c r="F417" s="331" t="s">
        <v>16055</v>
      </c>
      <c r="G417">
        <v>1</v>
      </c>
      <c r="H417" t="str">
        <f t="shared" si="42"/>
        <v>2|2388|1</v>
      </c>
      <c r="I417" s="222" t="s">
        <v>9287</v>
      </c>
      <c r="J417">
        <v>40</v>
      </c>
      <c r="K417" t="str">
        <f t="shared" si="43"/>
        <v>2|2388|1|40</v>
      </c>
      <c r="L417" t="str">
        <f t="shared" si="40"/>
        <v>2|2388|1,2|2374|1,2|2360|1,2|2346|1,2|2332|1,2|2318|1,2|2304|1,2|2290|1,2|2276|1,2|2262|1,2|2248|1,2|2234|1,2|2220|1,2|2206|1,2|2192|1,2|2178|1,2|2164|1,2|2150|1,2|2136|1,2|2122|1,2|2108|1</v>
      </c>
      <c r="M417" t="str">
        <f t="shared" si="41"/>
        <v>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17" s="332">
        <v>20279</v>
      </c>
      <c r="R417" t="str">
        <f t="shared" si="45"/>
        <v>连云战甲</v>
      </c>
    </row>
    <row r="418" spans="1:18" ht="16.5" hidden="1">
      <c r="A418" t="str">
        <f t="shared" si="44"/>
        <v>a10</v>
      </c>
      <c r="B418">
        <v>2</v>
      </c>
      <c r="C418" s="222" t="s">
        <v>9287</v>
      </c>
      <c r="D418">
        <f>VLOOKUP(F418,Sheet7!$B:$G,6,0)</f>
        <v>2402</v>
      </c>
      <c r="E418" s="222" t="s">
        <v>9287</v>
      </c>
      <c r="F418" s="331" t="s">
        <v>16070</v>
      </c>
      <c r="G418">
        <v>1</v>
      </c>
      <c r="H418" t="str">
        <f t="shared" si="42"/>
        <v>2|2402|1</v>
      </c>
      <c r="I418" s="222" t="s">
        <v>9287</v>
      </c>
      <c r="J418">
        <v>40</v>
      </c>
      <c r="K418" t="str">
        <f t="shared" si="43"/>
        <v>2|2402|1|40</v>
      </c>
      <c r="L418" t="str">
        <f t="shared" si="40"/>
        <v>2|2402|1,2|2388|1,2|2374|1,2|2360|1,2|2346|1,2|2332|1,2|2318|1,2|2304|1,2|2290|1,2|2276|1,2|2262|1,2|2248|1,2|2234|1,2|2220|1,2|2206|1,2|2192|1,2|2178|1,2|2164|1,2|2150|1,2|2136|1,2|2122|1,2|2108|1</v>
      </c>
      <c r="M418" t="str">
        <f t="shared" si="41"/>
        <v>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18" s="332">
        <v>20280</v>
      </c>
      <c r="R418" t="str">
        <f t="shared" si="45"/>
        <v>紫阳长剑</v>
      </c>
    </row>
    <row r="419" spans="1:18" ht="16.5" hidden="1">
      <c r="A419" t="str">
        <f t="shared" si="44"/>
        <v>a10</v>
      </c>
      <c r="B419">
        <v>2</v>
      </c>
      <c r="C419" s="222" t="s">
        <v>9287</v>
      </c>
      <c r="D419">
        <f>VLOOKUP(F419,Sheet7!$B:$G,6,0)</f>
        <v>2416</v>
      </c>
      <c r="E419" s="222" t="s">
        <v>9287</v>
      </c>
      <c r="F419" s="331" t="s">
        <v>16085</v>
      </c>
      <c r="G419">
        <v>1</v>
      </c>
      <c r="H419" t="str">
        <f t="shared" si="42"/>
        <v>2|2416|1</v>
      </c>
      <c r="I419" s="222" t="s">
        <v>9287</v>
      </c>
      <c r="J419">
        <v>40</v>
      </c>
      <c r="K419" t="str">
        <f t="shared" si="43"/>
        <v>2|2416|1|40</v>
      </c>
      <c r="L419" t="str">
        <f t="shared" si="40"/>
        <v>2|2416|1,2|2402|1,2|2388|1,2|2374|1,2|2360|1,2|2346|1,2|2332|1,2|2318|1,2|2304|1,2|2290|1,2|2276|1,2|2262|1,2|2248|1,2|2234|1,2|2220|1,2|2206|1,2|2192|1,2|2178|1,2|2164|1,2|2150|1,2|2136|1,2|2122|1,2|2108|1</v>
      </c>
      <c r="M419" t="str">
        <f t="shared" si="41"/>
        <v>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19" s="332">
        <v>202811</v>
      </c>
      <c r="R419" t="str">
        <f t="shared" si="45"/>
        <v>耀日头盔</v>
      </c>
    </row>
    <row r="420" spans="1:18" ht="16.5" hidden="1">
      <c r="A420" t="str">
        <f t="shared" si="44"/>
        <v>a10</v>
      </c>
      <c r="B420">
        <v>2</v>
      </c>
      <c r="C420" s="222" t="s">
        <v>9287</v>
      </c>
      <c r="D420">
        <f>VLOOKUP(F420,Sheet7!$B:$G,6,0)</f>
        <v>2430</v>
      </c>
      <c r="E420" s="222" t="s">
        <v>9287</v>
      </c>
      <c r="F420" s="331" t="s">
        <v>16100</v>
      </c>
      <c r="G420">
        <v>1</v>
      </c>
      <c r="H420" t="str">
        <f t="shared" si="42"/>
        <v>2|2430|1</v>
      </c>
      <c r="I420" s="222" t="s">
        <v>9287</v>
      </c>
      <c r="J420">
        <v>40</v>
      </c>
      <c r="K420" t="str">
        <f t="shared" si="43"/>
        <v>2|2430|1|40</v>
      </c>
      <c r="L420" t="str">
        <f t="shared" si="40"/>
        <v>2|2430|1,2|2416|1,2|2402|1,2|2388|1,2|2374|1,2|2360|1,2|2346|1,2|2332|1,2|2318|1,2|2304|1,2|2290|1,2|2276|1,2|2262|1,2|2248|1,2|2234|1,2|2220|1,2|2206|1,2|2192|1,2|2178|1,2|2164|1,2|2150|1,2|2136|1,2|2122|1,2|2108|1</v>
      </c>
      <c r="M420" t="str">
        <f t="shared" si="41"/>
        <v>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0" s="332">
        <v>202812</v>
      </c>
      <c r="R420" t="str">
        <f t="shared" si="45"/>
        <v>雷霆战靴</v>
      </c>
    </row>
    <row r="421" spans="1:18" ht="16.5" hidden="1">
      <c r="A421" t="str">
        <f t="shared" si="44"/>
        <v>a10</v>
      </c>
      <c r="B421">
        <v>2</v>
      </c>
      <c r="C421" s="222" t="s">
        <v>9287</v>
      </c>
      <c r="D421">
        <f>VLOOKUP(F421,Sheet7!$B:$G,6,0)</f>
        <v>2444</v>
      </c>
      <c r="E421" s="222" t="s">
        <v>9287</v>
      </c>
      <c r="F421" s="331" t="s">
        <v>16115</v>
      </c>
      <c r="G421">
        <v>1</v>
      </c>
      <c r="H421" t="str">
        <f t="shared" si="42"/>
        <v>2|2444|1</v>
      </c>
      <c r="I421" s="222" t="s">
        <v>9287</v>
      </c>
      <c r="J421">
        <v>40</v>
      </c>
      <c r="K421" t="str">
        <f t="shared" si="43"/>
        <v>2|2444|1|40</v>
      </c>
      <c r="L421" t="str">
        <f t="shared" si="40"/>
        <v>2|2444|1,2|2430|1,2|2416|1,2|2402|1,2|2388|1,2|2374|1,2|2360|1,2|2346|1,2|2332|1,2|2318|1,2|2304|1,2|2290|1,2|2276|1,2|2262|1,2|2248|1,2|2234|1,2|2220|1,2|2206|1,2|2192|1,2|2178|1,2|2164|1,2|2150|1,2|2136|1,2|2122|1,2|2108|1</v>
      </c>
      <c r="M421" t="str">
        <f t="shared" si="41"/>
        <v>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1" s="332">
        <v>202813</v>
      </c>
      <c r="R421" t="str">
        <f t="shared" si="45"/>
        <v>护卫战甲</v>
      </c>
    </row>
    <row r="422" spans="1:18" ht="16.5" hidden="1">
      <c r="A422" t="str">
        <f t="shared" si="44"/>
        <v>a10</v>
      </c>
      <c r="B422">
        <v>2</v>
      </c>
      <c r="C422" s="222" t="s">
        <v>9287</v>
      </c>
      <c r="D422">
        <f>VLOOKUP(F422,Sheet7!$B:$G,6,0)</f>
        <v>2458</v>
      </c>
      <c r="E422" s="222" t="s">
        <v>9287</v>
      </c>
      <c r="F422" s="331" t="s">
        <v>16130</v>
      </c>
      <c r="G422">
        <v>1</v>
      </c>
      <c r="H422" t="str">
        <f t="shared" si="42"/>
        <v>2|2458|1</v>
      </c>
      <c r="I422" s="222" t="s">
        <v>9287</v>
      </c>
      <c r="J422">
        <v>40</v>
      </c>
      <c r="K422" t="str">
        <f t="shared" si="43"/>
        <v>2|2458|1|40</v>
      </c>
      <c r="L422" t="str">
        <f t="shared" si="40"/>
        <v>2|2458|1,2|2444|1,2|2430|1,2|2416|1,2|2402|1,2|2388|1,2|2374|1,2|2360|1,2|2346|1,2|2332|1,2|2318|1,2|2304|1,2|2290|1,2|2276|1,2|2262|1,2|2248|1,2|2234|1,2|2220|1,2|2206|1,2|2192|1,2|2178|1,2|2164|1,2|2150|1,2|2136|1,2|2122|1,2|2108|1</v>
      </c>
      <c r="M422" t="str">
        <f t="shared" si="41"/>
        <v>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2" s="332">
        <v>28</v>
      </c>
      <c r="R422" t="str">
        <f t="shared" si="45"/>
        <v>护卫长剑</v>
      </c>
    </row>
    <row r="423" spans="1:18" ht="16.5" hidden="1">
      <c r="A423" t="str">
        <f t="shared" si="44"/>
        <v>a10</v>
      </c>
      <c r="B423">
        <v>2</v>
      </c>
      <c r="C423" s="222" t="s">
        <v>9287</v>
      </c>
      <c r="D423">
        <f>VLOOKUP(F423,Sheet7!$B:$G,6,0)</f>
        <v>2472</v>
      </c>
      <c r="E423" s="222" t="s">
        <v>9287</v>
      </c>
      <c r="F423" s="331" t="s">
        <v>16145</v>
      </c>
      <c r="G423">
        <v>1</v>
      </c>
      <c r="H423" t="str">
        <f t="shared" si="42"/>
        <v>2|2472|1</v>
      </c>
      <c r="I423" s="222" t="s">
        <v>9287</v>
      </c>
      <c r="J423">
        <v>40</v>
      </c>
      <c r="K423" t="str">
        <f t="shared" si="43"/>
        <v>2|2472|1|40</v>
      </c>
      <c r="L423" t="str">
        <f t="shared" si="40"/>
        <v>2|2472|1,2|2458|1,2|2444|1,2|2430|1,2|2416|1,2|2402|1,2|2388|1,2|2374|1,2|2360|1,2|2346|1,2|2332|1,2|2318|1,2|2304|1,2|2290|1,2|2276|1,2|2262|1,2|2248|1,2|2234|1,2|2220|1,2|2206|1,2|2192|1,2|2178|1,2|2164|1,2|2150|1,2|2136|1,2|2122|1,2|2108|1</v>
      </c>
      <c r="M423" t="str">
        <f t="shared" si="41"/>
        <v>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3" s="332">
        <v>2028</v>
      </c>
      <c r="R423" t="str">
        <f t="shared" si="45"/>
        <v>护卫头盔</v>
      </c>
    </row>
    <row r="424" spans="1:18" ht="16.5" hidden="1">
      <c r="A424" t="str">
        <f t="shared" si="44"/>
        <v>a10</v>
      </c>
      <c r="B424">
        <v>2</v>
      </c>
      <c r="C424" s="222" t="s">
        <v>9287</v>
      </c>
      <c r="D424">
        <f>VLOOKUP(F424,Sheet7!$B:$G,6,0)</f>
        <v>2486</v>
      </c>
      <c r="E424" s="222" t="s">
        <v>9287</v>
      </c>
      <c r="F424" s="331" t="s">
        <v>16160</v>
      </c>
      <c r="G424">
        <v>1</v>
      </c>
      <c r="H424" t="str">
        <f t="shared" si="42"/>
        <v>2|2486|1</v>
      </c>
      <c r="I424" s="222" t="s">
        <v>9287</v>
      </c>
      <c r="J424">
        <v>40</v>
      </c>
      <c r="K424" t="str">
        <f t="shared" si="43"/>
        <v>2|2486|1|40</v>
      </c>
      <c r="L424" t="str">
        <f t="shared" si="40"/>
        <v>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24" t="str">
        <f t="shared" si="41"/>
        <v>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4" s="332">
        <v>20281</v>
      </c>
      <c r="R424" t="str">
        <f t="shared" si="45"/>
        <v>护卫战靴</v>
      </c>
    </row>
    <row r="425" spans="1:18" ht="16.5" hidden="1">
      <c r="A425" t="str">
        <f t="shared" si="44"/>
        <v>a10</v>
      </c>
      <c r="B425">
        <v>2</v>
      </c>
      <c r="C425" s="222" t="s">
        <v>9287</v>
      </c>
      <c r="D425">
        <f>VLOOKUP(F425,Sheet7!$B:$G,6,0)</f>
        <v>2500</v>
      </c>
      <c r="E425" s="222" t="s">
        <v>9287</v>
      </c>
      <c r="F425" s="331" t="s">
        <v>16175</v>
      </c>
      <c r="G425">
        <v>1</v>
      </c>
      <c r="H425" t="str">
        <f t="shared" si="42"/>
        <v>2|2500|1</v>
      </c>
      <c r="I425" s="222" t="s">
        <v>9287</v>
      </c>
      <c r="J425">
        <v>40</v>
      </c>
      <c r="K425" t="str">
        <f t="shared" si="43"/>
        <v>2|2500|1|40</v>
      </c>
      <c r="L425" t="str">
        <f t="shared" si="40"/>
        <v>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25" t="str">
        <f t="shared" si="41"/>
        <v>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5" s="332">
        <v>20282</v>
      </c>
      <c r="R425" t="str">
        <f t="shared" si="45"/>
        <v>破魔战甲</v>
      </c>
    </row>
    <row r="426" spans="1:18" ht="16.5" hidden="1">
      <c r="A426" t="str">
        <f t="shared" si="44"/>
        <v>a10</v>
      </c>
      <c r="B426">
        <v>2</v>
      </c>
      <c r="C426" s="222" t="s">
        <v>9287</v>
      </c>
      <c r="D426">
        <f>VLOOKUP(F426,Sheet7!$B:$G,6,0)</f>
        <v>2514</v>
      </c>
      <c r="E426" s="222" t="s">
        <v>9287</v>
      </c>
      <c r="F426" s="331" t="s">
        <v>16190</v>
      </c>
      <c r="G426">
        <v>1</v>
      </c>
      <c r="H426" t="str">
        <f t="shared" si="42"/>
        <v>2|2514|1</v>
      </c>
      <c r="I426" s="222" t="s">
        <v>9287</v>
      </c>
      <c r="J426">
        <v>40</v>
      </c>
      <c r="K426" t="str">
        <f t="shared" si="43"/>
        <v>2|2514|1|40</v>
      </c>
      <c r="L426" t="str">
        <f t="shared" si="40"/>
        <v>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26" t="str">
        <f t="shared" si="41"/>
        <v>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6" s="332">
        <v>20283</v>
      </c>
      <c r="R426" t="str">
        <f t="shared" si="45"/>
        <v>破魔长剑</v>
      </c>
    </row>
    <row r="427" spans="1:18" ht="16.5" hidden="1">
      <c r="A427" t="str">
        <f t="shared" si="44"/>
        <v>a10</v>
      </c>
      <c r="B427">
        <v>2</v>
      </c>
      <c r="C427" s="222" t="s">
        <v>9287</v>
      </c>
      <c r="D427">
        <f>VLOOKUP(F427,Sheet7!$B:$G,6,0)</f>
        <v>2528</v>
      </c>
      <c r="E427" s="222" t="s">
        <v>9287</v>
      </c>
      <c r="F427" s="331" t="s">
        <v>16205</v>
      </c>
      <c r="G427">
        <v>1</v>
      </c>
      <c r="H427" t="str">
        <f t="shared" si="42"/>
        <v>2|2528|1</v>
      </c>
      <c r="I427" s="222" t="s">
        <v>9287</v>
      </c>
      <c r="J427">
        <v>40</v>
      </c>
      <c r="K427" t="str">
        <f t="shared" si="43"/>
        <v>2|2528|1|40</v>
      </c>
      <c r="L427" t="str">
        <f t="shared" si="40"/>
        <v>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27" t="str">
        <f t="shared" si="41"/>
        <v>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7" s="332">
        <v>20284</v>
      </c>
      <c r="R427" t="str">
        <f t="shared" si="45"/>
        <v>破魔头盔</v>
      </c>
    </row>
    <row r="428" spans="1:18" ht="16.5" hidden="1">
      <c r="A428" t="str">
        <f t="shared" si="44"/>
        <v>a10</v>
      </c>
      <c r="B428">
        <v>2</v>
      </c>
      <c r="C428" s="222" t="s">
        <v>9287</v>
      </c>
      <c r="D428">
        <f>VLOOKUP(F428,Sheet7!$B:$G,6,0)</f>
        <v>2542</v>
      </c>
      <c r="E428" s="222" t="s">
        <v>9287</v>
      </c>
      <c r="F428" s="331" t="s">
        <v>16220</v>
      </c>
      <c r="G428">
        <v>1</v>
      </c>
      <c r="H428" t="str">
        <f t="shared" si="42"/>
        <v>2|2542|1</v>
      </c>
      <c r="I428" s="222" t="s">
        <v>9287</v>
      </c>
      <c r="J428">
        <v>40</v>
      </c>
      <c r="K428" t="str">
        <f t="shared" si="43"/>
        <v>2|2542|1|40</v>
      </c>
      <c r="L428" t="str">
        <f t="shared" si="40"/>
        <v>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28" t="str">
        <f t="shared" si="41"/>
        <v>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8" s="332">
        <v>20285</v>
      </c>
      <c r="R428" t="str">
        <f t="shared" si="45"/>
        <v>破魔战靴</v>
      </c>
    </row>
    <row r="429" spans="1:18" ht="16.5" hidden="1">
      <c r="A429" t="str">
        <f t="shared" si="44"/>
        <v>a10</v>
      </c>
      <c r="B429">
        <v>2</v>
      </c>
      <c r="C429" s="222" t="s">
        <v>9287</v>
      </c>
      <c r="D429">
        <f>VLOOKUP(F429,Sheet7!$B:$G,6,0)</f>
        <v>2556</v>
      </c>
      <c r="E429" s="222" t="s">
        <v>9287</v>
      </c>
      <c r="F429" s="331" t="s">
        <v>16235</v>
      </c>
      <c r="G429">
        <v>1</v>
      </c>
      <c r="H429" t="str">
        <f t="shared" si="42"/>
        <v>2|2556|1</v>
      </c>
      <c r="I429" s="222" t="s">
        <v>9287</v>
      </c>
      <c r="J429">
        <v>40</v>
      </c>
      <c r="K429" t="str">
        <f t="shared" si="43"/>
        <v>2|2556|1|40</v>
      </c>
      <c r="L429" t="str">
        <f t="shared" si="40"/>
        <v>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29" t="str">
        <f t="shared" si="41"/>
        <v>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29" s="332">
        <v>20286</v>
      </c>
      <c r="R429" t="str">
        <f t="shared" si="45"/>
        <v>赤血战甲</v>
      </c>
    </row>
    <row r="430" spans="1:18" ht="16.5" hidden="1">
      <c r="A430" t="str">
        <f t="shared" si="44"/>
        <v>a10</v>
      </c>
      <c r="B430">
        <v>2</v>
      </c>
      <c r="C430" s="222" t="s">
        <v>9287</v>
      </c>
      <c r="D430">
        <f>VLOOKUP(F430,Sheet7!$B:$G,6,0)</f>
        <v>2570</v>
      </c>
      <c r="E430" s="222" t="s">
        <v>9287</v>
      </c>
      <c r="F430" s="331" t="s">
        <v>16250</v>
      </c>
      <c r="G430">
        <v>1</v>
      </c>
      <c r="H430" t="str">
        <f t="shared" si="42"/>
        <v>2|2570|1</v>
      </c>
      <c r="I430" s="222" t="s">
        <v>9287</v>
      </c>
      <c r="J430">
        <v>40</v>
      </c>
      <c r="K430" t="str">
        <f t="shared" si="43"/>
        <v>2|2570|1|40</v>
      </c>
      <c r="L430" t="str">
        <f t="shared" si="40"/>
        <v>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0" t="str">
        <f t="shared" si="41"/>
        <v>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0" s="332">
        <v>20287</v>
      </c>
      <c r="R430" t="str">
        <f t="shared" si="45"/>
        <v>青锋长剑</v>
      </c>
    </row>
    <row r="431" spans="1:18" ht="16.5" hidden="1">
      <c r="A431" t="str">
        <f t="shared" si="44"/>
        <v>a10</v>
      </c>
      <c r="B431">
        <v>2</v>
      </c>
      <c r="C431" s="222" t="s">
        <v>9287</v>
      </c>
      <c r="D431">
        <f>VLOOKUP(F431,Sheet7!$B:$G,6,0)</f>
        <v>2584</v>
      </c>
      <c r="E431" s="222" t="s">
        <v>9287</v>
      </c>
      <c r="F431" s="331" t="s">
        <v>16265</v>
      </c>
      <c r="G431">
        <v>1</v>
      </c>
      <c r="H431" t="str">
        <f t="shared" si="42"/>
        <v>2|2584|1</v>
      </c>
      <c r="I431" s="222" t="s">
        <v>9287</v>
      </c>
      <c r="J431">
        <v>40</v>
      </c>
      <c r="K431" t="str">
        <f t="shared" si="43"/>
        <v>2|2584|1|40</v>
      </c>
      <c r="L431" t="str">
        <f t="shared" si="40"/>
        <v>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1" t="str">
        <f t="shared" si="41"/>
        <v>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1" s="332">
        <v>20288</v>
      </c>
      <c r="R431" t="str">
        <f t="shared" si="45"/>
        <v>雁虞头盔</v>
      </c>
    </row>
    <row r="432" spans="1:18" ht="16.5" hidden="1">
      <c r="A432" t="str">
        <f t="shared" si="44"/>
        <v>a10</v>
      </c>
      <c r="B432">
        <v>2</v>
      </c>
      <c r="C432" s="222" t="s">
        <v>9287</v>
      </c>
      <c r="D432">
        <f>VLOOKUP(F432,Sheet7!$B:$G,6,0)</f>
        <v>2598</v>
      </c>
      <c r="E432" s="222" t="s">
        <v>9287</v>
      </c>
      <c r="F432" s="331" t="s">
        <v>16280</v>
      </c>
      <c r="G432">
        <v>1</v>
      </c>
      <c r="H432" t="str">
        <f t="shared" si="42"/>
        <v>2|2598|1</v>
      </c>
      <c r="I432" s="222" t="s">
        <v>9287</v>
      </c>
      <c r="J432">
        <v>40</v>
      </c>
      <c r="K432" t="str">
        <f t="shared" si="43"/>
        <v>2|2598|1|40</v>
      </c>
      <c r="L432" t="str">
        <f t="shared" si="40"/>
        <v>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2" t="str">
        <f t="shared" si="41"/>
        <v>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2" s="332">
        <v>20289</v>
      </c>
      <c r="R432" t="str">
        <f t="shared" si="45"/>
        <v>无影战靴</v>
      </c>
    </row>
    <row r="433" spans="1:18" ht="16.5" hidden="1">
      <c r="A433" t="str">
        <f t="shared" si="44"/>
        <v>a10</v>
      </c>
      <c r="B433">
        <v>2</v>
      </c>
      <c r="C433" s="222" t="s">
        <v>9287</v>
      </c>
      <c r="D433">
        <f>VLOOKUP(F433,Sheet7!$B:$G,6,0)</f>
        <v>2612</v>
      </c>
      <c r="E433" s="222" t="s">
        <v>9287</v>
      </c>
      <c r="F433" s="331" t="s">
        <v>16295</v>
      </c>
      <c r="G433">
        <v>1</v>
      </c>
      <c r="H433" t="str">
        <f t="shared" si="42"/>
        <v>2|2612|1</v>
      </c>
      <c r="I433" s="222" t="s">
        <v>9287</v>
      </c>
      <c r="J433">
        <v>40</v>
      </c>
      <c r="K433" t="str">
        <f t="shared" si="43"/>
        <v>2|2612|1|40</v>
      </c>
      <c r="L433" t="str">
        <f t="shared" si="40"/>
        <v>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3" t="str">
        <f t="shared" si="41"/>
        <v>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3" s="332">
        <v>20290</v>
      </c>
      <c r="R433" t="str">
        <f t="shared" si="45"/>
        <v>行者战甲</v>
      </c>
    </row>
    <row r="434" spans="1:18" ht="16.5" hidden="1">
      <c r="A434" t="str">
        <f t="shared" si="44"/>
        <v>a10</v>
      </c>
      <c r="B434">
        <v>2</v>
      </c>
      <c r="C434" s="222" t="s">
        <v>9287</v>
      </c>
      <c r="D434">
        <f>VLOOKUP(F434,Sheet7!$B:$G,6,0)</f>
        <v>2626</v>
      </c>
      <c r="E434" s="222" t="s">
        <v>9287</v>
      </c>
      <c r="F434" s="331" t="s">
        <v>16310</v>
      </c>
      <c r="G434">
        <v>1</v>
      </c>
      <c r="H434" t="str">
        <f t="shared" si="42"/>
        <v>2|2626|1</v>
      </c>
      <c r="I434" s="222" t="s">
        <v>9287</v>
      </c>
      <c r="J434">
        <v>40</v>
      </c>
      <c r="K434" t="str">
        <f t="shared" si="43"/>
        <v>2|2626|1|40</v>
      </c>
      <c r="L434" t="str">
        <f t="shared" si="40"/>
        <v>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4" t="str">
        <f t="shared" si="41"/>
        <v>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4" s="332">
        <v>202911</v>
      </c>
      <c r="R434" t="str">
        <f t="shared" si="45"/>
        <v>精铁长剑</v>
      </c>
    </row>
    <row r="435" spans="1:18" ht="16.5" hidden="1">
      <c r="A435" t="str">
        <f t="shared" si="44"/>
        <v>a10</v>
      </c>
      <c r="B435">
        <v>2</v>
      </c>
      <c r="C435" s="222" t="s">
        <v>9287</v>
      </c>
      <c r="D435">
        <f>VLOOKUP(F435,Sheet7!$B:$G,6,0)</f>
        <v>2640</v>
      </c>
      <c r="E435" s="222" t="s">
        <v>9287</v>
      </c>
      <c r="F435" s="331" t="s">
        <v>16325</v>
      </c>
      <c r="G435">
        <v>1</v>
      </c>
      <c r="H435" t="str">
        <f t="shared" si="42"/>
        <v>2|2640|1</v>
      </c>
      <c r="I435" s="222" t="s">
        <v>9287</v>
      </c>
      <c r="J435">
        <v>40</v>
      </c>
      <c r="K435" t="str">
        <f t="shared" si="43"/>
        <v>2|2640|1|40</v>
      </c>
      <c r="L435" t="str">
        <f t="shared" si="40"/>
        <v>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5" t="str">
        <f t="shared" si="41"/>
        <v>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5" s="332">
        <v>202912</v>
      </c>
      <c r="R435" t="str">
        <f t="shared" si="45"/>
        <v>虹影头盔</v>
      </c>
    </row>
    <row r="436" spans="1:18" ht="16.5" hidden="1">
      <c r="A436" t="str">
        <f t="shared" si="44"/>
        <v>a10</v>
      </c>
      <c r="B436">
        <v>2</v>
      </c>
      <c r="C436" s="222" t="s">
        <v>9287</v>
      </c>
      <c r="D436">
        <f>VLOOKUP(F436,Sheet7!$B:$G,6,0)</f>
        <v>2654</v>
      </c>
      <c r="E436" s="222" t="s">
        <v>9287</v>
      </c>
      <c r="F436" s="331" t="s">
        <v>16340</v>
      </c>
      <c r="G436">
        <v>1</v>
      </c>
      <c r="H436" t="str">
        <f t="shared" si="42"/>
        <v>2|2654|1</v>
      </c>
      <c r="I436" s="222" t="s">
        <v>9287</v>
      </c>
      <c r="J436">
        <v>40</v>
      </c>
      <c r="K436" t="str">
        <f t="shared" si="43"/>
        <v>2|2654|1|40</v>
      </c>
      <c r="L436" t="str">
        <f t="shared" si="40"/>
        <v>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6" t="str">
        <f t="shared" si="41"/>
        <v>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6" s="332">
        <v>202913</v>
      </c>
      <c r="R436" t="str">
        <f t="shared" si="45"/>
        <v>千里战靴</v>
      </c>
    </row>
    <row r="437" spans="1:18" ht="16.5" hidden="1">
      <c r="A437" t="str">
        <f t="shared" si="44"/>
        <v>a10</v>
      </c>
      <c r="B437">
        <v>2</v>
      </c>
      <c r="C437" s="222" t="s">
        <v>9287</v>
      </c>
      <c r="D437">
        <f>VLOOKUP(F437,Sheet7!$B:$G,6,0)</f>
        <v>2668</v>
      </c>
      <c r="E437" s="222" t="s">
        <v>9287</v>
      </c>
      <c r="F437" s="331" t="s">
        <v>16355</v>
      </c>
      <c r="G437">
        <v>1</v>
      </c>
      <c r="H437" t="str">
        <f t="shared" si="42"/>
        <v>2|2668|1</v>
      </c>
      <c r="I437" s="222" t="s">
        <v>9287</v>
      </c>
      <c r="J437">
        <v>40</v>
      </c>
      <c r="K437" t="str">
        <f t="shared" si="43"/>
        <v>2|2668|1|40</v>
      </c>
      <c r="L437" t="str">
        <f t="shared" si="40"/>
        <v>2|2668|1,2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7" t="str">
        <f t="shared" si="41"/>
        <v>2|2668|1|40,2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7" s="340">
        <v>21</v>
      </c>
      <c r="R437" t="str">
        <f t="shared" si="45"/>
        <v>封魔战甲</v>
      </c>
    </row>
    <row r="438" spans="1:18" ht="16.5" hidden="1">
      <c r="A438" t="str">
        <f t="shared" si="44"/>
        <v>a10</v>
      </c>
      <c r="B438">
        <v>2</v>
      </c>
      <c r="C438" s="222" t="s">
        <v>9287</v>
      </c>
      <c r="D438">
        <f>VLOOKUP(F438,Sheet7!$B:$G,6,0)</f>
        <v>2682</v>
      </c>
      <c r="E438" s="222" t="s">
        <v>9287</v>
      </c>
      <c r="F438" s="331" t="s">
        <v>16370</v>
      </c>
      <c r="G438">
        <v>1</v>
      </c>
      <c r="H438" t="str">
        <f t="shared" si="42"/>
        <v>2|2682|1</v>
      </c>
      <c r="I438" s="222" t="s">
        <v>9287</v>
      </c>
      <c r="J438">
        <v>40</v>
      </c>
      <c r="K438" t="str">
        <f t="shared" si="43"/>
        <v>2|2682|1|40</v>
      </c>
      <c r="L438" t="str">
        <f t="shared" si="40"/>
        <v>2|2682|1,2|2668|1,2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8" t="str">
        <f t="shared" si="41"/>
        <v>2|2682|1|40,2|2668|1|40,2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8" s="340">
        <v>2021</v>
      </c>
      <c r="R438" t="str">
        <f t="shared" si="45"/>
        <v>封魔长剑</v>
      </c>
    </row>
    <row r="439" spans="1:18" ht="16.5" hidden="1">
      <c r="A439" t="str">
        <f t="shared" si="44"/>
        <v>a10</v>
      </c>
      <c r="B439">
        <v>2</v>
      </c>
      <c r="C439" s="222" t="s">
        <v>9287</v>
      </c>
      <c r="D439">
        <f>VLOOKUP(F439,Sheet7!$B:$G,6,0)</f>
        <v>2696</v>
      </c>
      <c r="E439" s="222" t="s">
        <v>9287</v>
      </c>
      <c r="F439" s="331" t="s">
        <v>16385</v>
      </c>
      <c r="G439">
        <v>1</v>
      </c>
      <c r="H439" t="str">
        <f t="shared" si="42"/>
        <v>2|2696|1</v>
      </c>
      <c r="I439" s="222" t="s">
        <v>9287</v>
      </c>
      <c r="J439">
        <v>40</v>
      </c>
      <c r="K439" t="str">
        <f t="shared" si="43"/>
        <v>2|2696|1|40</v>
      </c>
      <c r="L439" t="str">
        <f t="shared" si="40"/>
        <v>2|2696|1,2|2682|1,2|2668|1,2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39" t="str">
        <f t="shared" si="41"/>
        <v>2|2696|1|40,2|2682|1|40,2|2668|1|40,2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39" s="340">
        <v>20211</v>
      </c>
      <c r="R439" t="str">
        <f t="shared" si="45"/>
        <v>封魔头盔</v>
      </c>
    </row>
    <row r="440" spans="1:18" ht="16.5">
      <c r="A440" t="str">
        <f t="shared" si="44"/>
        <v>a10</v>
      </c>
      <c r="B440">
        <v>2</v>
      </c>
      <c r="C440" s="222" t="s">
        <v>9287</v>
      </c>
      <c r="D440">
        <f>VLOOKUP(F440,Sheet7!$B:$G,6,0)</f>
        <v>2710</v>
      </c>
      <c r="E440" s="222" t="s">
        <v>9287</v>
      </c>
      <c r="F440" s="331" t="s">
        <v>16400</v>
      </c>
      <c r="G440">
        <v>1</v>
      </c>
      <c r="H440" t="str">
        <f t="shared" si="42"/>
        <v>2|2710|1</v>
      </c>
      <c r="I440" s="222" t="s">
        <v>9287</v>
      </c>
      <c r="J440">
        <v>40</v>
      </c>
      <c r="K440" t="str">
        <f t="shared" si="43"/>
        <v>2|2710|1|40</v>
      </c>
      <c r="L440" t="str">
        <f t="shared" si="40"/>
        <v>2|2710|1,2|2696|1,2|2682|1,2|2668|1,2|2654|1,2|2640|1,2|2626|1,2|2612|1,2|2598|1,2|2584|1,2|2570|1,2|2556|1,2|2542|1,2|2528|1,2|2514|1,2|2500|1,2|2486|1,2|2472|1,2|2458|1,2|2444|1,2|2430|1,2|2416|1,2|2402|1,2|2388|1,2|2374|1,2|2360|1,2|2346|1,2|2332|1,2|2318|1,2|2304|1,2|2290|1,2|2276|1,2|2262|1,2|2248|1,2|2234|1,2|2220|1,2|2206|1,2|2192|1,2|2178|1,2|2164|1,2|2150|1,2|2136|1,2|2122|1,2|2108|1</v>
      </c>
      <c r="M440" t="str">
        <f t="shared" si="41"/>
        <v>2|2710|1|40,2|2696|1|40,2|2682|1|40,2|2668|1|40,2|2654|1|40,2|2640|1|40,2|2626|1|40,2|2612|1|40,2|2598|1|40,2|2584|1|40,2|2570|1|40,2|2556|1|40,2|2542|1|40,2|2528|1|40,2|2514|1|40,2|2500|1|40,2|2486|1|40,2|2472|1|40,2|2458|1|40,2|2444|1|40,2|2430|1|40,2|2416|1|40,2|2402|1|40,2|2388|1|40,2|2374|1|40,2|2360|1|40,2|2346|1|40,2|2332|1|40,2|2318|1|20,2|2304|1|20,2|2290|1|20,2|2276|1|20,2|2262|1|20,2|2248|1|20,2|2234|1|20,2|2220|1|20,2|2206|1|20,2|2192|1|20,2|2178|1|20,2|2164|1|20,2|2150|1|10,2|2136|1|10,2|2122|1|10,2|2108|1|10</v>
      </c>
      <c r="N440" s="340">
        <v>20212</v>
      </c>
      <c r="R440" t="str">
        <f t="shared" si="45"/>
        <v>封魔战靴</v>
      </c>
    </row>
    <row r="441" spans="1:18" ht="16.5" hidden="1">
      <c r="A441" t="str">
        <f t="shared" si="44"/>
        <v>a11</v>
      </c>
      <c r="B441">
        <v>2</v>
      </c>
      <c r="C441" s="222" t="s">
        <v>9287</v>
      </c>
      <c r="D441">
        <f>VLOOKUP(F441,Sheet7!$B:$G,6,0)</f>
        <v>2109</v>
      </c>
      <c r="E441" s="222" t="s">
        <v>9287</v>
      </c>
      <c r="F441" s="331" t="s">
        <v>15756</v>
      </c>
      <c r="G441">
        <v>1</v>
      </c>
      <c r="H441" t="str">
        <f t="shared" si="42"/>
        <v>2|2109|1</v>
      </c>
      <c r="I441" s="222" t="s">
        <v>9287</v>
      </c>
      <c r="J441">
        <v>10</v>
      </c>
      <c r="K441" t="str">
        <f t="shared" si="43"/>
        <v>2|2109|1|10</v>
      </c>
      <c r="L441" t="str">
        <f t="shared" si="40"/>
        <v>2|2109|1</v>
      </c>
      <c r="M441" t="str">
        <f t="shared" si="41"/>
        <v>2|2109|1|10</v>
      </c>
      <c r="N441" s="340">
        <v>20213</v>
      </c>
      <c r="R441" t="str">
        <f t="shared" si="45"/>
        <v>蚩尤战甲</v>
      </c>
    </row>
    <row r="442" spans="1:18" ht="16.5" hidden="1">
      <c r="A442" t="str">
        <f t="shared" si="44"/>
        <v>a11</v>
      </c>
      <c r="B442">
        <v>2</v>
      </c>
      <c r="C442" s="222" t="s">
        <v>9287</v>
      </c>
      <c r="D442">
        <f>VLOOKUP(F442,Sheet7!$B:$G,6,0)</f>
        <v>2123</v>
      </c>
      <c r="E442" s="222" t="s">
        <v>9287</v>
      </c>
      <c r="F442" s="331" t="s">
        <v>15771</v>
      </c>
      <c r="G442">
        <v>1</v>
      </c>
      <c r="H442" t="str">
        <f t="shared" si="42"/>
        <v>2|2123|1</v>
      </c>
      <c r="I442" s="222" t="s">
        <v>9287</v>
      </c>
      <c r="J442">
        <v>10</v>
      </c>
      <c r="K442" t="str">
        <f t="shared" si="43"/>
        <v>2|2123|1|10</v>
      </c>
      <c r="L442" t="str">
        <f t="shared" si="40"/>
        <v>2|2123|1,2|2109|1</v>
      </c>
      <c r="M442" t="str">
        <f t="shared" si="41"/>
        <v>2|2123|1|10,2|2109|1|10</v>
      </c>
      <c r="N442" s="340">
        <v>20214</v>
      </c>
      <c r="R442" t="str">
        <f t="shared" si="45"/>
        <v>蚩尤长剑</v>
      </c>
    </row>
    <row r="443" spans="1:18" ht="16.5" hidden="1">
      <c r="A443" t="str">
        <f t="shared" si="44"/>
        <v>a11</v>
      </c>
      <c r="B443">
        <v>2</v>
      </c>
      <c r="C443" s="222" t="s">
        <v>9287</v>
      </c>
      <c r="D443">
        <f>VLOOKUP(F443,Sheet7!$B:$G,6,0)</f>
        <v>2137</v>
      </c>
      <c r="E443" s="222" t="s">
        <v>9287</v>
      </c>
      <c r="F443" s="331" t="s">
        <v>15786</v>
      </c>
      <c r="G443">
        <v>1</v>
      </c>
      <c r="H443" t="str">
        <f t="shared" si="42"/>
        <v>2|2137|1</v>
      </c>
      <c r="I443" s="222" t="s">
        <v>9287</v>
      </c>
      <c r="J443">
        <v>10</v>
      </c>
      <c r="K443" t="str">
        <f t="shared" si="43"/>
        <v>2|2137|1|10</v>
      </c>
      <c r="L443" t="str">
        <f t="shared" si="40"/>
        <v>2|2137|1,2|2123|1,2|2109|1</v>
      </c>
      <c r="M443" t="str">
        <f t="shared" si="41"/>
        <v>2|2137|1|10,2|2123|1|10,2|2109|1|10</v>
      </c>
      <c r="N443" s="340">
        <v>20215</v>
      </c>
      <c r="R443" t="str">
        <f t="shared" si="45"/>
        <v>蚩尤头盔</v>
      </c>
    </row>
    <row r="444" spans="1:18" ht="16.5" hidden="1">
      <c r="A444" t="str">
        <f t="shared" si="44"/>
        <v>a11</v>
      </c>
      <c r="B444">
        <v>2</v>
      </c>
      <c r="C444" s="222" t="s">
        <v>9287</v>
      </c>
      <c r="D444">
        <f>VLOOKUP(F444,Sheet7!$B:$G,6,0)</f>
        <v>2151</v>
      </c>
      <c r="E444" s="222" t="s">
        <v>9287</v>
      </c>
      <c r="F444" s="331" t="s">
        <v>15801</v>
      </c>
      <c r="G444">
        <v>1</v>
      </c>
      <c r="H444" t="str">
        <f t="shared" si="42"/>
        <v>2|2151|1</v>
      </c>
      <c r="I444" s="222" t="s">
        <v>9287</v>
      </c>
      <c r="J444">
        <v>10</v>
      </c>
      <c r="K444" t="str">
        <f t="shared" si="43"/>
        <v>2|2151|1|10</v>
      </c>
      <c r="L444" t="str">
        <f t="shared" si="40"/>
        <v>2|2151|1,2|2137|1,2|2123|1,2|2109|1</v>
      </c>
      <c r="M444" t="str">
        <f t="shared" si="41"/>
        <v>2|2151|1|10,2|2137|1|10,2|2123|1|10,2|2109|1|10</v>
      </c>
      <c r="N444" s="340">
        <v>20216</v>
      </c>
      <c r="R444" t="str">
        <f t="shared" si="45"/>
        <v>蚩尤战靴</v>
      </c>
    </row>
    <row r="445" spans="1:18" ht="16.5" hidden="1">
      <c r="A445" t="str">
        <f t="shared" si="44"/>
        <v>a11</v>
      </c>
      <c r="B445">
        <v>2</v>
      </c>
      <c r="C445" s="222" t="s">
        <v>9287</v>
      </c>
      <c r="D445">
        <f>VLOOKUP(F445,Sheet7!$B:$G,6,0)</f>
        <v>2165</v>
      </c>
      <c r="E445" s="222" t="s">
        <v>9287</v>
      </c>
      <c r="F445" s="331" t="s">
        <v>15816</v>
      </c>
      <c r="G445">
        <v>1</v>
      </c>
      <c r="H445" t="str">
        <f t="shared" si="42"/>
        <v>2|2165|1</v>
      </c>
      <c r="I445" s="222" t="s">
        <v>9287</v>
      </c>
      <c r="J445">
        <v>20</v>
      </c>
      <c r="K445" t="str">
        <f t="shared" si="43"/>
        <v>2|2165|1|20</v>
      </c>
      <c r="L445" t="str">
        <f t="shared" si="40"/>
        <v>2|2165|1,2|2151|1,2|2137|1,2|2123|1,2|2109|1</v>
      </c>
      <c r="M445" t="str">
        <f t="shared" si="41"/>
        <v>2|2165|1|20,2|2151|1|10,2|2137|1|10,2|2123|1|10,2|2109|1|10</v>
      </c>
      <c r="N445" s="340">
        <v>20217</v>
      </c>
      <c r="R445" t="str">
        <f t="shared" si="45"/>
        <v>天罡战甲</v>
      </c>
    </row>
    <row r="446" spans="1:18" ht="16.5" hidden="1">
      <c r="A446" t="str">
        <f t="shared" si="44"/>
        <v>a11</v>
      </c>
      <c r="B446">
        <v>2</v>
      </c>
      <c r="C446" s="222" t="s">
        <v>9287</v>
      </c>
      <c r="D446">
        <f>VLOOKUP(F446,Sheet7!$B:$G,6,0)</f>
        <v>2179</v>
      </c>
      <c r="E446" s="222" t="s">
        <v>9287</v>
      </c>
      <c r="F446" s="331" t="s">
        <v>15831</v>
      </c>
      <c r="G446">
        <v>1</v>
      </c>
      <c r="H446" t="str">
        <f t="shared" si="42"/>
        <v>2|2179|1</v>
      </c>
      <c r="I446" s="222" t="s">
        <v>9287</v>
      </c>
      <c r="J446">
        <v>20</v>
      </c>
      <c r="K446" t="str">
        <f t="shared" si="43"/>
        <v>2|2179|1|20</v>
      </c>
      <c r="L446" t="str">
        <f t="shared" si="40"/>
        <v>2|2179|1,2|2165|1,2|2151|1,2|2137|1,2|2123|1,2|2109|1</v>
      </c>
      <c r="M446" t="str">
        <f t="shared" si="41"/>
        <v>2|2179|1|20,2|2165|1|20,2|2151|1|10,2|2137|1|10,2|2123|1|10,2|2109|1|10</v>
      </c>
      <c r="N446" s="340">
        <v>20218</v>
      </c>
      <c r="R446" t="str">
        <f t="shared" si="45"/>
        <v>天罡长剑</v>
      </c>
    </row>
    <row r="447" spans="1:18" ht="16.5" hidden="1">
      <c r="A447" t="str">
        <f t="shared" si="44"/>
        <v>a11</v>
      </c>
      <c r="B447">
        <v>2</v>
      </c>
      <c r="C447" s="222" t="s">
        <v>9287</v>
      </c>
      <c r="D447">
        <f>VLOOKUP(F447,Sheet7!$B:$G,6,0)</f>
        <v>2193</v>
      </c>
      <c r="E447" s="222" t="s">
        <v>9287</v>
      </c>
      <c r="F447" s="331" t="s">
        <v>15846</v>
      </c>
      <c r="G447">
        <v>1</v>
      </c>
      <c r="H447" t="str">
        <f t="shared" si="42"/>
        <v>2|2193|1</v>
      </c>
      <c r="I447" s="222" t="s">
        <v>9287</v>
      </c>
      <c r="J447">
        <v>20</v>
      </c>
      <c r="K447" t="str">
        <f t="shared" si="43"/>
        <v>2|2193|1|20</v>
      </c>
      <c r="L447" t="str">
        <f t="shared" si="40"/>
        <v>2|2193|1,2|2179|1,2|2165|1,2|2151|1,2|2137|1,2|2123|1,2|2109|1</v>
      </c>
      <c r="M447" t="str">
        <f t="shared" si="41"/>
        <v>2|2193|1|20,2|2179|1|20,2|2165|1|20,2|2151|1|10,2|2137|1|10,2|2123|1|10,2|2109|1|10</v>
      </c>
      <c r="N447" s="340">
        <v>20219</v>
      </c>
      <c r="R447" t="str">
        <f t="shared" si="45"/>
        <v>天罡头盔</v>
      </c>
    </row>
    <row r="448" spans="1:18" ht="16.5" hidden="1">
      <c r="A448" t="str">
        <f t="shared" si="44"/>
        <v>a11</v>
      </c>
      <c r="B448">
        <v>2</v>
      </c>
      <c r="C448" s="222" t="s">
        <v>9287</v>
      </c>
      <c r="D448">
        <f>VLOOKUP(F448,Sheet7!$B:$G,6,0)</f>
        <v>2207</v>
      </c>
      <c r="E448" s="222" t="s">
        <v>9287</v>
      </c>
      <c r="F448" s="331" t="s">
        <v>15861</v>
      </c>
      <c r="G448">
        <v>1</v>
      </c>
      <c r="H448" t="str">
        <f t="shared" si="42"/>
        <v>2|2207|1</v>
      </c>
      <c r="I448" s="222" t="s">
        <v>9287</v>
      </c>
      <c r="J448">
        <v>20</v>
      </c>
      <c r="K448" t="str">
        <f t="shared" si="43"/>
        <v>2|2207|1|20</v>
      </c>
      <c r="L448" t="str">
        <f t="shared" si="40"/>
        <v>2|2207|1,2|2193|1,2|2179|1,2|2165|1,2|2151|1,2|2137|1,2|2123|1,2|2109|1</v>
      </c>
      <c r="M448" t="str">
        <f t="shared" si="41"/>
        <v>2|2207|1|20,2|2193|1|20,2|2179|1|20,2|2165|1|20,2|2151|1|10,2|2137|1|10,2|2123|1|10,2|2109|1|10</v>
      </c>
      <c r="N448" s="340">
        <v>20220</v>
      </c>
      <c r="R448" t="str">
        <f t="shared" si="45"/>
        <v>天罡战靴</v>
      </c>
    </row>
    <row r="449" spans="1:18" ht="16.5" hidden="1">
      <c r="A449" t="str">
        <f t="shared" si="44"/>
        <v>a11</v>
      </c>
      <c r="B449">
        <v>2</v>
      </c>
      <c r="C449" s="222" t="s">
        <v>9287</v>
      </c>
      <c r="D449">
        <f>VLOOKUP(F449,Sheet7!$B:$G,6,0)</f>
        <v>2221</v>
      </c>
      <c r="E449" s="222" t="s">
        <v>9287</v>
      </c>
      <c r="F449" s="331" t="s">
        <v>15876</v>
      </c>
      <c r="G449">
        <v>1</v>
      </c>
      <c r="H449" t="str">
        <f t="shared" si="42"/>
        <v>2|2221|1</v>
      </c>
      <c r="I449" s="222" t="s">
        <v>9287</v>
      </c>
      <c r="J449">
        <v>20</v>
      </c>
      <c r="K449" t="str">
        <f t="shared" si="43"/>
        <v>2|2221|1|20</v>
      </c>
      <c r="L449" t="str">
        <f t="shared" si="40"/>
        <v>2|2221|1,2|2207|1,2|2193|1,2|2179|1,2|2165|1,2|2151|1,2|2137|1,2|2123|1,2|2109|1</v>
      </c>
      <c r="M449" t="str">
        <f t="shared" si="41"/>
        <v>2|2221|1|20,2|2207|1|20,2|2193|1|20,2|2179|1|20,2|2165|1|20,2|2151|1|10,2|2137|1|10,2|2123|1|10,2|2109|1|10</v>
      </c>
      <c r="N449" s="340">
        <v>202211</v>
      </c>
      <c r="R449" t="str">
        <f t="shared" si="45"/>
        <v>降魔战甲</v>
      </c>
    </row>
    <row r="450" spans="1:18" ht="16.5" hidden="1">
      <c r="A450" t="str">
        <f t="shared" si="44"/>
        <v>a11</v>
      </c>
      <c r="B450">
        <v>2</v>
      </c>
      <c r="C450" s="222" t="s">
        <v>9287</v>
      </c>
      <c r="D450">
        <f>VLOOKUP(F450,Sheet7!$B:$G,6,0)</f>
        <v>2235</v>
      </c>
      <c r="E450" s="222" t="s">
        <v>9287</v>
      </c>
      <c r="F450" s="331" t="s">
        <v>15891</v>
      </c>
      <c r="G450">
        <v>1</v>
      </c>
      <c r="H450" t="str">
        <f t="shared" si="42"/>
        <v>2|2235|1</v>
      </c>
      <c r="I450" s="222" t="s">
        <v>9287</v>
      </c>
      <c r="J450">
        <v>20</v>
      </c>
      <c r="K450" t="str">
        <f t="shared" si="43"/>
        <v>2|2235|1|20</v>
      </c>
      <c r="L450" t="str">
        <f t="shared" si="40"/>
        <v>2|2235|1,2|2221|1,2|2207|1,2|2193|1,2|2179|1,2|2165|1,2|2151|1,2|2137|1,2|2123|1,2|2109|1</v>
      </c>
      <c r="M450" t="str">
        <f t="shared" si="41"/>
        <v>2|2235|1|20,2|2221|1|20,2|2207|1|20,2|2193|1|20,2|2179|1|20,2|2165|1|20,2|2151|1|10,2|2137|1|10,2|2123|1|10,2|2109|1|10</v>
      </c>
      <c r="N450" s="340">
        <v>202212</v>
      </c>
      <c r="R450" t="str">
        <f t="shared" si="45"/>
        <v>降魔长剑</v>
      </c>
    </row>
    <row r="451" spans="1:18" ht="16.5" hidden="1">
      <c r="A451" t="str">
        <f t="shared" si="44"/>
        <v>a11</v>
      </c>
      <c r="B451">
        <v>2</v>
      </c>
      <c r="C451" s="222" t="s">
        <v>9287</v>
      </c>
      <c r="D451">
        <f>VLOOKUP(F451,Sheet7!$B:$G,6,0)</f>
        <v>2249</v>
      </c>
      <c r="E451" s="222" t="s">
        <v>9287</v>
      </c>
      <c r="F451" s="331" t="s">
        <v>15906</v>
      </c>
      <c r="G451">
        <v>1</v>
      </c>
      <c r="H451" t="str">
        <f t="shared" si="42"/>
        <v>2|2249|1</v>
      </c>
      <c r="I451" s="222" t="s">
        <v>9287</v>
      </c>
      <c r="J451">
        <v>20</v>
      </c>
      <c r="K451" t="str">
        <f t="shared" si="43"/>
        <v>2|2249|1|20</v>
      </c>
      <c r="L451" t="str">
        <f t="shared" si="40"/>
        <v>2|2249|1,2|2235|1,2|2221|1,2|2207|1,2|2193|1,2|2179|1,2|2165|1,2|2151|1,2|2137|1,2|2123|1,2|2109|1</v>
      </c>
      <c r="M451" t="str">
        <f t="shared" si="41"/>
        <v>2|2249|1|20,2|2235|1|20,2|2221|1|20,2|2207|1|20,2|2193|1|20,2|2179|1|20,2|2165|1|20,2|2151|1|10,2|2137|1|10,2|2123|1|10,2|2109|1|10</v>
      </c>
      <c r="N451" s="340">
        <v>202213</v>
      </c>
      <c r="R451" t="str">
        <f t="shared" si="45"/>
        <v>降魔头盔</v>
      </c>
    </row>
    <row r="452" spans="1:18" ht="16.5" hidden="1">
      <c r="A452" t="str">
        <f t="shared" si="44"/>
        <v>a11</v>
      </c>
      <c r="B452">
        <v>2</v>
      </c>
      <c r="C452" s="222" t="s">
        <v>9287</v>
      </c>
      <c r="D452">
        <f>VLOOKUP(F452,Sheet7!$B:$G,6,0)</f>
        <v>2263</v>
      </c>
      <c r="E452" s="222" t="s">
        <v>9287</v>
      </c>
      <c r="F452" s="331" t="s">
        <v>15921</v>
      </c>
      <c r="G452">
        <v>1</v>
      </c>
      <c r="H452" t="str">
        <f t="shared" si="42"/>
        <v>2|2263|1</v>
      </c>
      <c r="I452" s="222" t="s">
        <v>9287</v>
      </c>
      <c r="J452">
        <v>20</v>
      </c>
      <c r="K452" t="str">
        <f t="shared" si="43"/>
        <v>2|2263|1|20</v>
      </c>
      <c r="L452" t="str">
        <f t="shared" ref="L452:L515" si="46">IF(A452=A451,H452&amp;","&amp;L451,H452)</f>
        <v>2|2263|1,2|2249|1,2|2235|1,2|2221|1,2|2207|1,2|2193|1,2|2179|1,2|2165|1,2|2151|1,2|2137|1,2|2123|1,2|2109|1</v>
      </c>
      <c r="M452" t="str">
        <f t="shared" ref="M452:M515" si="47">IF(A452=A451,K452&amp;","&amp;M451,K452)</f>
        <v>2|2263|1|20,2|2249|1|20,2|2235|1|20,2|2221|1|20,2|2207|1|20,2|2193|1|20,2|2179|1|20,2|2165|1|20,2|2151|1|10,2|2137|1|10,2|2123|1|10,2|2109|1|10</v>
      </c>
      <c r="N452" s="340">
        <v>22</v>
      </c>
      <c r="R452" t="str">
        <f t="shared" si="45"/>
        <v>降魔战靴</v>
      </c>
    </row>
    <row r="453" spans="1:18" ht="16.5" hidden="1">
      <c r="A453" t="str">
        <f t="shared" si="44"/>
        <v>a11</v>
      </c>
      <c r="B453">
        <v>2</v>
      </c>
      <c r="C453" s="222" t="s">
        <v>9287</v>
      </c>
      <c r="D453">
        <f>VLOOKUP(F453,Sheet7!$B:$G,6,0)</f>
        <v>2277</v>
      </c>
      <c r="E453" s="222" t="s">
        <v>9287</v>
      </c>
      <c r="F453" s="331" t="s">
        <v>15936</v>
      </c>
      <c r="G453">
        <v>1</v>
      </c>
      <c r="H453" t="str">
        <f t="shared" si="42"/>
        <v>2|2277|1</v>
      </c>
      <c r="I453" s="222" t="s">
        <v>9287</v>
      </c>
      <c r="J453">
        <v>20</v>
      </c>
      <c r="K453" t="str">
        <f t="shared" si="43"/>
        <v>2|2277|1|20</v>
      </c>
      <c r="L453" t="str">
        <f t="shared" si="46"/>
        <v>2|2277|1,2|2263|1,2|2249|1,2|2235|1,2|2221|1,2|2207|1,2|2193|1,2|2179|1,2|2165|1,2|2151|1,2|2137|1,2|2123|1,2|2109|1</v>
      </c>
      <c r="M453" t="str">
        <f t="shared" si="47"/>
        <v>2|2277|1|20,2|2263|1|20,2|2249|1|20,2|2235|1|20,2|2221|1|20,2|2207|1|20,2|2193|1|20,2|2179|1|20,2|2165|1|20,2|2151|1|10,2|2137|1|10,2|2123|1|10,2|2109|1|10</v>
      </c>
      <c r="N453" s="340">
        <v>2022</v>
      </c>
      <c r="R453" t="str">
        <f t="shared" si="45"/>
        <v>血魔战甲</v>
      </c>
    </row>
    <row r="454" spans="1:18" ht="16.5" hidden="1">
      <c r="A454" t="str">
        <f t="shared" si="44"/>
        <v>a11</v>
      </c>
      <c r="B454">
        <v>2</v>
      </c>
      <c r="C454" s="222" t="s">
        <v>9287</v>
      </c>
      <c r="D454">
        <f>VLOOKUP(F454,Sheet7!$B:$G,6,0)</f>
        <v>2291</v>
      </c>
      <c r="E454" s="222" t="s">
        <v>9287</v>
      </c>
      <c r="F454" s="331" t="s">
        <v>15951</v>
      </c>
      <c r="G454">
        <v>1</v>
      </c>
      <c r="H454" t="str">
        <f t="shared" si="42"/>
        <v>2|2291|1</v>
      </c>
      <c r="I454" s="222" t="s">
        <v>9287</v>
      </c>
      <c r="J454">
        <v>20</v>
      </c>
      <c r="K454" t="str">
        <f t="shared" si="43"/>
        <v>2|2291|1|20</v>
      </c>
      <c r="L454" t="str">
        <f t="shared" si="46"/>
        <v>2|2291|1,2|2277|1,2|2263|1,2|2249|1,2|2235|1,2|2221|1,2|2207|1,2|2193|1,2|2179|1,2|2165|1,2|2151|1,2|2137|1,2|2123|1,2|2109|1</v>
      </c>
      <c r="M454" t="str">
        <f t="shared" si="47"/>
        <v>2|2291|1|20,2|2277|1|20,2|2263|1|20,2|2249|1|20,2|2235|1|20,2|2221|1|20,2|2207|1|20,2|2193|1|20,2|2179|1|20,2|2165|1|20,2|2151|1|10,2|2137|1|10,2|2123|1|10,2|2109|1|10</v>
      </c>
      <c r="N454" s="340">
        <v>20221</v>
      </c>
      <c r="R454" t="str">
        <f t="shared" si="45"/>
        <v>赤霄长剑</v>
      </c>
    </row>
    <row r="455" spans="1:18" ht="16.5" hidden="1">
      <c r="A455" t="str">
        <f t="shared" si="44"/>
        <v>a11</v>
      </c>
      <c r="B455">
        <v>2</v>
      </c>
      <c r="C455" s="222" t="s">
        <v>9287</v>
      </c>
      <c r="D455">
        <f>VLOOKUP(F455,Sheet7!$B:$G,6,0)</f>
        <v>2305</v>
      </c>
      <c r="E455" s="222" t="s">
        <v>9287</v>
      </c>
      <c r="F455" s="331" t="s">
        <v>15966</v>
      </c>
      <c r="G455">
        <v>1</v>
      </c>
      <c r="H455" t="str">
        <f t="shared" si="42"/>
        <v>2|2305|1</v>
      </c>
      <c r="I455" s="222" t="s">
        <v>9287</v>
      </c>
      <c r="J455">
        <v>20</v>
      </c>
      <c r="K455" t="str">
        <f t="shared" si="43"/>
        <v>2|2305|1|20</v>
      </c>
      <c r="L455" t="str">
        <f t="shared" si="46"/>
        <v>2|2305|1,2|2291|1,2|2277|1,2|2263|1,2|2249|1,2|2235|1,2|2221|1,2|2207|1,2|2193|1,2|2179|1,2|2165|1,2|2151|1,2|2137|1,2|2123|1,2|2109|1</v>
      </c>
      <c r="M455" t="str">
        <f t="shared" si="47"/>
        <v>2|2305|1|20,2|2291|1|20,2|2277|1|20,2|2263|1|20,2|2249|1|20,2|2235|1|20,2|2221|1|20,2|2207|1|20,2|2193|1|20,2|2179|1|20,2|2165|1|20,2|2151|1|10,2|2137|1|10,2|2123|1|10,2|2109|1|10</v>
      </c>
      <c r="N455" s="340">
        <v>20222</v>
      </c>
      <c r="R455" t="str">
        <f t="shared" si="45"/>
        <v>麒麟头盔</v>
      </c>
    </row>
    <row r="456" spans="1:18" ht="16.5" hidden="1">
      <c r="A456" t="str">
        <f t="shared" si="44"/>
        <v>a11</v>
      </c>
      <c r="B456">
        <v>2</v>
      </c>
      <c r="C456" s="222" t="s">
        <v>9287</v>
      </c>
      <c r="D456">
        <f>VLOOKUP(F456,Sheet7!$B:$G,6,0)</f>
        <v>2319</v>
      </c>
      <c r="E456" s="222" t="s">
        <v>9287</v>
      </c>
      <c r="F456" s="331" t="s">
        <v>15981</v>
      </c>
      <c r="G456">
        <v>1</v>
      </c>
      <c r="H456" t="str">
        <f t="shared" si="42"/>
        <v>2|2319|1</v>
      </c>
      <c r="I456" s="222" t="s">
        <v>9287</v>
      </c>
      <c r="J456">
        <v>20</v>
      </c>
      <c r="K456" t="str">
        <f t="shared" si="43"/>
        <v>2|2319|1|20</v>
      </c>
      <c r="L456" t="str">
        <f t="shared" si="46"/>
        <v>2|2319|1,2|2305|1,2|2291|1,2|2277|1,2|2263|1,2|2249|1,2|2235|1,2|2221|1,2|2207|1,2|2193|1,2|2179|1,2|2165|1,2|2151|1,2|2137|1,2|2123|1,2|2109|1</v>
      </c>
      <c r="M456" t="str">
        <f t="shared" si="47"/>
        <v>2|2319|1|20,2|2305|1|20,2|2291|1|20,2|2277|1|20,2|2263|1|20,2|2249|1|20,2|2235|1|20,2|2221|1|20,2|2207|1|20,2|2193|1|20,2|2179|1|20,2|2165|1|20,2|2151|1|10,2|2137|1|10,2|2123|1|10,2|2109|1|10</v>
      </c>
      <c r="N456" s="340">
        <v>20223</v>
      </c>
      <c r="R456" t="str">
        <f t="shared" si="45"/>
        <v>兽魂战靴</v>
      </c>
    </row>
    <row r="457" spans="1:18" ht="16.5" hidden="1">
      <c r="A457" t="str">
        <f t="shared" si="44"/>
        <v>a11</v>
      </c>
      <c r="B457">
        <v>2</v>
      </c>
      <c r="C457" s="222" t="s">
        <v>9287</v>
      </c>
      <c r="D457">
        <f>VLOOKUP(F457,Sheet7!$B:$G,6,0)</f>
        <v>2333</v>
      </c>
      <c r="E457" s="222" t="s">
        <v>9287</v>
      </c>
      <c r="F457" s="331" t="s">
        <v>15996</v>
      </c>
      <c r="G457">
        <v>1</v>
      </c>
      <c r="H457" t="str">
        <f t="shared" si="42"/>
        <v>2|2333|1</v>
      </c>
      <c r="I457" s="222" t="s">
        <v>9287</v>
      </c>
      <c r="J457">
        <v>40</v>
      </c>
      <c r="K457" t="str">
        <f t="shared" si="43"/>
        <v>2|2333|1|40</v>
      </c>
      <c r="L457" t="str">
        <f t="shared" si="46"/>
        <v>2|2333|1,2|2319|1,2|2305|1,2|2291|1,2|2277|1,2|2263|1,2|2249|1,2|2235|1,2|2221|1,2|2207|1,2|2193|1,2|2179|1,2|2165|1,2|2151|1,2|2137|1,2|2123|1,2|2109|1</v>
      </c>
      <c r="M457" t="str">
        <f t="shared" si="47"/>
        <v>2|2333|1|40,2|2319|1|20,2|2305|1|20,2|2291|1|20,2|2277|1|20,2|2263|1|20,2|2249|1|20,2|2235|1|20,2|2221|1|20,2|2207|1|20,2|2193|1|20,2|2179|1|20,2|2165|1|20,2|2151|1|10,2|2137|1|10,2|2123|1|10,2|2109|1|10</v>
      </c>
      <c r="N457" s="340">
        <v>20224</v>
      </c>
      <c r="R457" t="str">
        <f t="shared" si="45"/>
        <v>磐石战甲</v>
      </c>
    </row>
    <row r="458" spans="1:18" ht="16.5" hidden="1">
      <c r="A458" t="str">
        <f t="shared" si="44"/>
        <v>a11</v>
      </c>
      <c r="B458">
        <v>2</v>
      </c>
      <c r="C458" s="222" t="s">
        <v>9287</v>
      </c>
      <c r="D458">
        <f>VLOOKUP(F458,Sheet7!$B:$G,6,0)</f>
        <v>2347</v>
      </c>
      <c r="E458" s="222" t="s">
        <v>9287</v>
      </c>
      <c r="F458" s="331" t="s">
        <v>16011</v>
      </c>
      <c r="G458">
        <v>1</v>
      </c>
      <c r="H458" t="str">
        <f t="shared" ref="H458:H521" si="48">B458&amp;C458&amp;D458&amp;E458&amp;G458</f>
        <v>2|2347|1</v>
      </c>
      <c r="I458" s="222" t="s">
        <v>9287</v>
      </c>
      <c r="J458">
        <v>40</v>
      </c>
      <c r="K458" t="str">
        <f t="shared" ref="K458:K521" si="49">H458&amp;I458&amp;J458</f>
        <v>2|2347|1|40</v>
      </c>
      <c r="L458" t="str">
        <f t="shared" si="46"/>
        <v>2|2347|1,2|2333|1,2|2319|1,2|2305|1,2|2291|1,2|2277|1,2|2263|1,2|2249|1,2|2235|1,2|2221|1,2|2207|1,2|2193|1,2|2179|1,2|2165|1,2|2151|1,2|2137|1,2|2123|1,2|2109|1</v>
      </c>
      <c r="M458" t="str">
        <f t="shared" si="47"/>
        <v>2|2347|1|40,2|2333|1|40,2|2319|1|20,2|2305|1|20,2|2291|1|20,2|2277|1|20,2|2263|1|20,2|2249|1|20,2|2235|1|20,2|2221|1|20,2|2207|1|20,2|2193|1|20,2|2179|1|20,2|2165|1|20,2|2151|1|10,2|2137|1|10,2|2123|1|10,2|2109|1|10</v>
      </c>
      <c r="N458" s="340">
        <v>20225</v>
      </c>
      <c r="R458" t="str">
        <f t="shared" si="45"/>
        <v>磐石长剑</v>
      </c>
    </row>
    <row r="459" spans="1:18" ht="16.5" hidden="1">
      <c r="A459" t="str">
        <f t="shared" si="44"/>
        <v>a11</v>
      </c>
      <c r="B459">
        <v>2</v>
      </c>
      <c r="C459" s="222" t="s">
        <v>9287</v>
      </c>
      <c r="D459">
        <f>VLOOKUP(F459,Sheet7!$B:$G,6,0)</f>
        <v>2361</v>
      </c>
      <c r="E459" s="222" t="s">
        <v>9287</v>
      </c>
      <c r="F459" s="331" t="s">
        <v>16026</v>
      </c>
      <c r="G459">
        <v>1</v>
      </c>
      <c r="H459" t="str">
        <f t="shared" si="48"/>
        <v>2|2361|1</v>
      </c>
      <c r="I459" s="222" t="s">
        <v>9287</v>
      </c>
      <c r="J459">
        <v>40</v>
      </c>
      <c r="K459" t="str">
        <f t="shared" si="49"/>
        <v>2|2361|1|40</v>
      </c>
      <c r="L459" t="str">
        <f t="shared" si="46"/>
        <v>2|2361|1,2|2347|1,2|2333|1,2|2319|1,2|2305|1,2|2291|1,2|2277|1,2|2263|1,2|2249|1,2|2235|1,2|2221|1,2|2207|1,2|2193|1,2|2179|1,2|2165|1,2|2151|1,2|2137|1,2|2123|1,2|2109|1</v>
      </c>
      <c r="M459" t="str">
        <f t="shared" si="47"/>
        <v>2|2361|1|40,2|2347|1|40,2|2333|1|40,2|2319|1|20,2|2305|1|20,2|2291|1|20,2|2277|1|20,2|2263|1|20,2|2249|1|20,2|2235|1|20,2|2221|1|20,2|2207|1|20,2|2193|1|20,2|2179|1|20,2|2165|1|20,2|2151|1|10,2|2137|1|10,2|2123|1|10,2|2109|1|10</v>
      </c>
      <c r="N459" s="340">
        <v>20226</v>
      </c>
      <c r="R459" t="str">
        <f t="shared" si="45"/>
        <v>磐石头盔</v>
      </c>
    </row>
    <row r="460" spans="1:18" ht="16.5" hidden="1">
      <c r="A460" t="str">
        <f t="shared" si="44"/>
        <v>a11</v>
      </c>
      <c r="B460">
        <v>2</v>
      </c>
      <c r="C460" s="222" t="s">
        <v>9287</v>
      </c>
      <c r="D460">
        <f>VLOOKUP(F460,Sheet7!$B:$G,6,0)</f>
        <v>2375</v>
      </c>
      <c r="E460" s="222" t="s">
        <v>9287</v>
      </c>
      <c r="F460" s="331" t="s">
        <v>16041</v>
      </c>
      <c r="G460">
        <v>1</v>
      </c>
      <c r="H460" t="str">
        <f t="shared" si="48"/>
        <v>2|2375|1</v>
      </c>
      <c r="I460" s="222" t="s">
        <v>9287</v>
      </c>
      <c r="J460">
        <v>40</v>
      </c>
      <c r="K460" t="str">
        <f t="shared" si="49"/>
        <v>2|2375|1|40</v>
      </c>
      <c r="L460" t="str">
        <f t="shared" si="46"/>
        <v>2|2375|1,2|2361|1,2|2347|1,2|2333|1,2|2319|1,2|2305|1,2|2291|1,2|2277|1,2|2263|1,2|2249|1,2|2235|1,2|2221|1,2|2207|1,2|2193|1,2|2179|1,2|2165|1,2|2151|1,2|2137|1,2|2123|1,2|2109|1</v>
      </c>
      <c r="M460" t="str">
        <f t="shared" si="47"/>
        <v>2|2375|1|40,2|2361|1|40,2|2347|1|40,2|2333|1|40,2|2319|1|20,2|2305|1|20,2|2291|1|20,2|2277|1|20,2|2263|1|20,2|2249|1|20,2|2235|1|20,2|2221|1|20,2|2207|1|20,2|2193|1|20,2|2179|1|20,2|2165|1|20,2|2151|1|10,2|2137|1|10,2|2123|1|10,2|2109|1|10</v>
      </c>
      <c r="N460" s="340">
        <v>20227</v>
      </c>
      <c r="R460" t="str">
        <f t="shared" si="45"/>
        <v>磐石战靴</v>
      </c>
    </row>
    <row r="461" spans="1:18" ht="16.5" hidden="1">
      <c r="A461" t="str">
        <f t="shared" si="44"/>
        <v>a11</v>
      </c>
      <c r="B461">
        <v>2</v>
      </c>
      <c r="C461" s="222" t="s">
        <v>9287</v>
      </c>
      <c r="D461">
        <f>VLOOKUP(F461,Sheet7!$B:$G,6,0)</f>
        <v>2389</v>
      </c>
      <c r="E461" s="222" t="s">
        <v>9287</v>
      </c>
      <c r="F461" s="331" t="s">
        <v>16056</v>
      </c>
      <c r="G461">
        <v>1</v>
      </c>
      <c r="H461" t="str">
        <f t="shared" si="48"/>
        <v>2|2389|1</v>
      </c>
      <c r="I461" s="222" t="s">
        <v>9287</v>
      </c>
      <c r="J461">
        <v>40</v>
      </c>
      <c r="K461" t="str">
        <f t="shared" si="49"/>
        <v>2|2389|1|40</v>
      </c>
      <c r="L461" t="str">
        <f t="shared" si="46"/>
        <v>2|2389|1,2|2375|1,2|2361|1,2|2347|1,2|2333|1,2|2319|1,2|2305|1,2|2291|1,2|2277|1,2|2263|1,2|2249|1,2|2235|1,2|2221|1,2|2207|1,2|2193|1,2|2179|1,2|2165|1,2|2151|1,2|2137|1,2|2123|1,2|2109|1</v>
      </c>
      <c r="M461" t="str">
        <f t="shared" si="47"/>
        <v>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1" s="340">
        <v>20228</v>
      </c>
      <c r="R461" t="str">
        <f t="shared" si="45"/>
        <v>连云战甲</v>
      </c>
    </row>
    <row r="462" spans="1:18" ht="16.5" hidden="1">
      <c r="A462" t="str">
        <f t="shared" si="44"/>
        <v>a11</v>
      </c>
      <c r="B462">
        <v>2</v>
      </c>
      <c r="C462" s="222" t="s">
        <v>9287</v>
      </c>
      <c r="D462">
        <f>VLOOKUP(F462,Sheet7!$B:$G,6,0)</f>
        <v>2403</v>
      </c>
      <c r="E462" s="222" t="s">
        <v>9287</v>
      </c>
      <c r="F462" s="331" t="s">
        <v>16071</v>
      </c>
      <c r="G462">
        <v>1</v>
      </c>
      <c r="H462" t="str">
        <f t="shared" si="48"/>
        <v>2|2403|1</v>
      </c>
      <c r="I462" s="222" t="s">
        <v>9287</v>
      </c>
      <c r="J462">
        <v>40</v>
      </c>
      <c r="K462" t="str">
        <f t="shared" si="49"/>
        <v>2|2403|1|40</v>
      </c>
      <c r="L462" t="str">
        <f t="shared" si="46"/>
        <v>2|2403|1,2|2389|1,2|2375|1,2|2361|1,2|2347|1,2|2333|1,2|2319|1,2|2305|1,2|2291|1,2|2277|1,2|2263|1,2|2249|1,2|2235|1,2|2221|1,2|2207|1,2|2193|1,2|2179|1,2|2165|1,2|2151|1,2|2137|1,2|2123|1,2|2109|1</v>
      </c>
      <c r="M462" t="str">
        <f t="shared" si="47"/>
        <v>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2" s="340">
        <v>20229</v>
      </c>
      <c r="R462" t="str">
        <f t="shared" si="45"/>
        <v>紫阳长剑</v>
      </c>
    </row>
    <row r="463" spans="1:18" ht="16.5" hidden="1">
      <c r="A463" t="str">
        <f t="shared" si="44"/>
        <v>a11</v>
      </c>
      <c r="B463">
        <v>2</v>
      </c>
      <c r="C463" s="222" t="s">
        <v>9287</v>
      </c>
      <c r="D463">
        <f>VLOOKUP(F463,Sheet7!$B:$G,6,0)</f>
        <v>2417</v>
      </c>
      <c r="E463" s="222" t="s">
        <v>9287</v>
      </c>
      <c r="F463" s="331" t="s">
        <v>16086</v>
      </c>
      <c r="G463">
        <v>1</v>
      </c>
      <c r="H463" t="str">
        <f t="shared" si="48"/>
        <v>2|2417|1</v>
      </c>
      <c r="I463" s="222" t="s">
        <v>9287</v>
      </c>
      <c r="J463">
        <v>40</v>
      </c>
      <c r="K463" t="str">
        <f t="shared" si="49"/>
        <v>2|2417|1|40</v>
      </c>
      <c r="L463" t="str">
        <f t="shared" si="46"/>
        <v>2|2417|1,2|2403|1,2|2389|1,2|2375|1,2|2361|1,2|2347|1,2|2333|1,2|2319|1,2|2305|1,2|2291|1,2|2277|1,2|2263|1,2|2249|1,2|2235|1,2|2221|1,2|2207|1,2|2193|1,2|2179|1,2|2165|1,2|2151|1,2|2137|1,2|2123|1,2|2109|1</v>
      </c>
      <c r="M463" t="str">
        <f t="shared" si="47"/>
        <v>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3" s="340">
        <v>20230</v>
      </c>
      <c r="R463" t="str">
        <f t="shared" si="45"/>
        <v>耀日头盔</v>
      </c>
    </row>
    <row r="464" spans="1:18" ht="16.5" hidden="1">
      <c r="A464" t="str">
        <f t="shared" si="44"/>
        <v>a11</v>
      </c>
      <c r="B464">
        <v>2</v>
      </c>
      <c r="C464" s="222" t="s">
        <v>9287</v>
      </c>
      <c r="D464">
        <f>VLOOKUP(F464,Sheet7!$B:$G,6,0)</f>
        <v>2431</v>
      </c>
      <c r="E464" s="222" t="s">
        <v>9287</v>
      </c>
      <c r="F464" s="331" t="s">
        <v>16101</v>
      </c>
      <c r="G464">
        <v>1</v>
      </c>
      <c r="H464" t="str">
        <f t="shared" si="48"/>
        <v>2|2431|1</v>
      </c>
      <c r="I464" s="222" t="s">
        <v>9287</v>
      </c>
      <c r="J464">
        <v>40</v>
      </c>
      <c r="K464" t="str">
        <f t="shared" si="49"/>
        <v>2|2431|1|40</v>
      </c>
      <c r="L464" t="str">
        <f t="shared" si="46"/>
        <v>2|2431|1,2|2417|1,2|2403|1,2|2389|1,2|2375|1,2|2361|1,2|2347|1,2|2333|1,2|2319|1,2|2305|1,2|2291|1,2|2277|1,2|2263|1,2|2249|1,2|2235|1,2|2221|1,2|2207|1,2|2193|1,2|2179|1,2|2165|1,2|2151|1,2|2137|1,2|2123|1,2|2109|1</v>
      </c>
      <c r="M464" t="str">
        <f t="shared" si="47"/>
        <v>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4" s="340">
        <v>202311</v>
      </c>
      <c r="R464" t="str">
        <f t="shared" si="45"/>
        <v>雷霆战靴</v>
      </c>
    </row>
    <row r="465" spans="1:18" ht="16.5" hidden="1">
      <c r="A465" t="str">
        <f t="shared" si="44"/>
        <v>a11</v>
      </c>
      <c r="B465">
        <v>2</v>
      </c>
      <c r="C465" s="222" t="s">
        <v>9287</v>
      </c>
      <c r="D465">
        <f>VLOOKUP(F465,Sheet7!$B:$G,6,0)</f>
        <v>2445</v>
      </c>
      <c r="E465" s="222" t="s">
        <v>9287</v>
      </c>
      <c r="F465" s="331" t="s">
        <v>16116</v>
      </c>
      <c r="G465">
        <v>1</v>
      </c>
      <c r="H465" t="str">
        <f t="shared" si="48"/>
        <v>2|2445|1</v>
      </c>
      <c r="I465" s="222" t="s">
        <v>9287</v>
      </c>
      <c r="J465">
        <v>40</v>
      </c>
      <c r="K465" t="str">
        <f t="shared" si="49"/>
        <v>2|2445|1|40</v>
      </c>
      <c r="L465" t="str">
        <f t="shared" si="46"/>
        <v>2|2445|1,2|2431|1,2|2417|1,2|2403|1,2|2389|1,2|2375|1,2|2361|1,2|2347|1,2|2333|1,2|2319|1,2|2305|1,2|2291|1,2|2277|1,2|2263|1,2|2249|1,2|2235|1,2|2221|1,2|2207|1,2|2193|1,2|2179|1,2|2165|1,2|2151|1,2|2137|1,2|2123|1,2|2109|1</v>
      </c>
      <c r="M465" t="str">
        <f t="shared" si="47"/>
        <v>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5" s="340">
        <v>202312</v>
      </c>
      <c r="R465" t="str">
        <f t="shared" si="45"/>
        <v>护卫战甲</v>
      </c>
    </row>
    <row r="466" spans="1:18" ht="16.5" hidden="1">
      <c r="A466" t="str">
        <f t="shared" si="44"/>
        <v>a11</v>
      </c>
      <c r="B466">
        <v>2</v>
      </c>
      <c r="C466" s="222" t="s">
        <v>9287</v>
      </c>
      <c r="D466">
        <f>VLOOKUP(F466,Sheet7!$B:$G,6,0)</f>
        <v>2459</v>
      </c>
      <c r="E466" s="222" t="s">
        <v>9287</v>
      </c>
      <c r="F466" s="331" t="s">
        <v>16131</v>
      </c>
      <c r="G466">
        <v>1</v>
      </c>
      <c r="H466" t="str">
        <f t="shared" si="48"/>
        <v>2|2459|1</v>
      </c>
      <c r="I466" s="222" t="s">
        <v>9287</v>
      </c>
      <c r="J466">
        <v>40</v>
      </c>
      <c r="K466" t="str">
        <f t="shared" si="49"/>
        <v>2|2459|1|40</v>
      </c>
      <c r="L466" t="str">
        <f t="shared" si="46"/>
        <v>2|2459|1,2|2445|1,2|2431|1,2|2417|1,2|2403|1,2|2389|1,2|2375|1,2|2361|1,2|2347|1,2|2333|1,2|2319|1,2|2305|1,2|2291|1,2|2277|1,2|2263|1,2|2249|1,2|2235|1,2|2221|1,2|2207|1,2|2193|1,2|2179|1,2|2165|1,2|2151|1,2|2137|1,2|2123|1,2|2109|1</v>
      </c>
      <c r="M466" t="str">
        <f t="shared" si="47"/>
        <v>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6" s="340">
        <v>202313</v>
      </c>
      <c r="R466" t="str">
        <f t="shared" si="45"/>
        <v>护卫长剑</v>
      </c>
    </row>
    <row r="467" spans="1:18" ht="16.5" hidden="1">
      <c r="A467" t="str">
        <f t="shared" si="44"/>
        <v>a11</v>
      </c>
      <c r="B467">
        <v>2</v>
      </c>
      <c r="C467" s="222" t="s">
        <v>9287</v>
      </c>
      <c r="D467">
        <f>VLOOKUP(F467,Sheet7!$B:$G,6,0)</f>
        <v>2473</v>
      </c>
      <c r="E467" s="222" t="s">
        <v>9287</v>
      </c>
      <c r="F467" s="331" t="s">
        <v>16146</v>
      </c>
      <c r="G467">
        <v>1</v>
      </c>
      <c r="H467" t="str">
        <f t="shared" si="48"/>
        <v>2|2473|1</v>
      </c>
      <c r="I467" s="222" t="s">
        <v>9287</v>
      </c>
      <c r="J467">
        <v>40</v>
      </c>
      <c r="K467" t="str">
        <f t="shared" si="49"/>
        <v>2|2473|1|40</v>
      </c>
      <c r="L467" t="str">
        <f t="shared" si="46"/>
        <v>2|2473|1,2|2459|1,2|2445|1,2|2431|1,2|2417|1,2|2403|1,2|2389|1,2|2375|1,2|2361|1,2|2347|1,2|2333|1,2|2319|1,2|2305|1,2|2291|1,2|2277|1,2|2263|1,2|2249|1,2|2235|1,2|2221|1,2|2207|1,2|2193|1,2|2179|1,2|2165|1,2|2151|1,2|2137|1,2|2123|1,2|2109|1</v>
      </c>
      <c r="M467" t="str">
        <f t="shared" si="47"/>
        <v>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7" s="340">
        <v>23</v>
      </c>
      <c r="R467" t="str">
        <f t="shared" si="45"/>
        <v>护卫头盔</v>
      </c>
    </row>
    <row r="468" spans="1:18" ht="16.5" hidden="1">
      <c r="A468" t="str">
        <f t="shared" si="44"/>
        <v>a11</v>
      </c>
      <c r="B468">
        <v>2</v>
      </c>
      <c r="C468" s="222" t="s">
        <v>9287</v>
      </c>
      <c r="D468">
        <f>VLOOKUP(F468,Sheet7!$B:$G,6,0)</f>
        <v>2487</v>
      </c>
      <c r="E468" s="222" t="s">
        <v>9287</v>
      </c>
      <c r="F468" s="331" t="s">
        <v>16161</v>
      </c>
      <c r="G468">
        <v>1</v>
      </c>
      <c r="H468" t="str">
        <f t="shared" si="48"/>
        <v>2|2487|1</v>
      </c>
      <c r="I468" s="222" t="s">
        <v>9287</v>
      </c>
      <c r="J468">
        <v>40</v>
      </c>
      <c r="K468" t="str">
        <f t="shared" si="49"/>
        <v>2|2487|1|40</v>
      </c>
      <c r="L468" t="str">
        <f t="shared" si="46"/>
        <v>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68" t="str">
        <f t="shared" si="47"/>
        <v>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8" s="340">
        <v>2023</v>
      </c>
      <c r="R468" t="str">
        <f t="shared" si="45"/>
        <v>护卫战靴</v>
      </c>
    </row>
    <row r="469" spans="1:18" ht="16.5" hidden="1">
      <c r="A469" t="str">
        <f t="shared" si="44"/>
        <v>a11</v>
      </c>
      <c r="B469">
        <v>2</v>
      </c>
      <c r="C469" s="222" t="s">
        <v>9287</v>
      </c>
      <c r="D469">
        <f>VLOOKUP(F469,Sheet7!$B:$G,6,0)</f>
        <v>2501</v>
      </c>
      <c r="E469" s="222" t="s">
        <v>9287</v>
      </c>
      <c r="F469" s="331" t="s">
        <v>16176</v>
      </c>
      <c r="G469">
        <v>1</v>
      </c>
      <c r="H469" t="str">
        <f t="shared" si="48"/>
        <v>2|2501|1</v>
      </c>
      <c r="I469" s="222" t="s">
        <v>9287</v>
      </c>
      <c r="J469">
        <v>40</v>
      </c>
      <c r="K469" t="str">
        <f t="shared" si="49"/>
        <v>2|2501|1|40</v>
      </c>
      <c r="L469" t="str">
        <f t="shared" si="46"/>
        <v>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69" t="str">
        <f t="shared" si="47"/>
        <v>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69" s="340">
        <v>20231</v>
      </c>
      <c r="R469" t="str">
        <f t="shared" si="45"/>
        <v>破魔战甲</v>
      </c>
    </row>
    <row r="470" spans="1:18" ht="16.5" hidden="1">
      <c r="A470" t="str">
        <f t="shared" ref="A470:A533" si="50">LEFT(F470,3)</f>
        <v>a11</v>
      </c>
      <c r="B470">
        <v>2</v>
      </c>
      <c r="C470" s="222" t="s">
        <v>9287</v>
      </c>
      <c r="D470">
        <f>VLOOKUP(F470,Sheet7!$B:$G,6,0)</f>
        <v>2515</v>
      </c>
      <c r="E470" s="222" t="s">
        <v>9287</v>
      </c>
      <c r="F470" s="331" t="s">
        <v>16191</v>
      </c>
      <c r="G470">
        <v>1</v>
      </c>
      <c r="H470" t="str">
        <f t="shared" si="48"/>
        <v>2|2515|1</v>
      </c>
      <c r="I470" s="222" t="s">
        <v>9287</v>
      </c>
      <c r="J470">
        <v>40</v>
      </c>
      <c r="K470" t="str">
        <f t="shared" si="49"/>
        <v>2|2515|1|40</v>
      </c>
      <c r="L470" t="str">
        <f t="shared" si="46"/>
        <v>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0" t="str">
        <f t="shared" si="47"/>
        <v>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0" s="340">
        <v>20232</v>
      </c>
      <c r="R470" t="str">
        <f t="shared" ref="R470:R533" si="51">RIGHT(F470,4)</f>
        <v>破魔长剑</v>
      </c>
    </row>
    <row r="471" spans="1:18" ht="16.5" hidden="1">
      <c r="A471" t="str">
        <f t="shared" si="50"/>
        <v>a11</v>
      </c>
      <c r="B471">
        <v>2</v>
      </c>
      <c r="C471" s="222" t="s">
        <v>9287</v>
      </c>
      <c r="D471">
        <f>VLOOKUP(F471,Sheet7!$B:$G,6,0)</f>
        <v>2529</v>
      </c>
      <c r="E471" s="222" t="s">
        <v>9287</v>
      </c>
      <c r="F471" s="331" t="s">
        <v>16206</v>
      </c>
      <c r="G471">
        <v>1</v>
      </c>
      <c r="H471" t="str">
        <f t="shared" si="48"/>
        <v>2|2529|1</v>
      </c>
      <c r="I471" s="222" t="s">
        <v>9287</v>
      </c>
      <c r="J471">
        <v>40</v>
      </c>
      <c r="K471" t="str">
        <f t="shared" si="49"/>
        <v>2|2529|1|40</v>
      </c>
      <c r="L471" t="str">
        <f t="shared" si="46"/>
        <v>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1" t="str">
        <f t="shared" si="47"/>
        <v>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1" s="340">
        <v>20233</v>
      </c>
      <c r="R471" t="str">
        <f t="shared" si="51"/>
        <v>破魔头盔</v>
      </c>
    </row>
    <row r="472" spans="1:18" ht="16.5" hidden="1">
      <c r="A472" t="str">
        <f t="shared" si="50"/>
        <v>a11</v>
      </c>
      <c r="B472">
        <v>2</v>
      </c>
      <c r="C472" s="222" t="s">
        <v>9287</v>
      </c>
      <c r="D472">
        <f>VLOOKUP(F472,Sheet7!$B:$G,6,0)</f>
        <v>2543</v>
      </c>
      <c r="E472" s="222" t="s">
        <v>9287</v>
      </c>
      <c r="F472" s="331" t="s">
        <v>16221</v>
      </c>
      <c r="G472">
        <v>1</v>
      </c>
      <c r="H472" t="str">
        <f t="shared" si="48"/>
        <v>2|2543|1</v>
      </c>
      <c r="I472" s="222" t="s">
        <v>9287</v>
      </c>
      <c r="J472">
        <v>40</v>
      </c>
      <c r="K472" t="str">
        <f t="shared" si="49"/>
        <v>2|2543|1|40</v>
      </c>
      <c r="L472" t="str">
        <f t="shared" si="46"/>
        <v>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2" t="str">
        <f t="shared" si="47"/>
        <v>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2" s="340">
        <v>20234</v>
      </c>
      <c r="R472" t="str">
        <f t="shared" si="51"/>
        <v>破魔战靴</v>
      </c>
    </row>
    <row r="473" spans="1:18" ht="16.5" hidden="1">
      <c r="A473" t="str">
        <f t="shared" si="50"/>
        <v>a11</v>
      </c>
      <c r="B473">
        <v>2</v>
      </c>
      <c r="C473" s="222" t="s">
        <v>9287</v>
      </c>
      <c r="D473">
        <f>VLOOKUP(F473,Sheet7!$B:$G,6,0)</f>
        <v>2557</v>
      </c>
      <c r="E473" s="222" t="s">
        <v>9287</v>
      </c>
      <c r="F473" s="331" t="s">
        <v>16236</v>
      </c>
      <c r="G473">
        <v>1</v>
      </c>
      <c r="H473" t="str">
        <f t="shared" si="48"/>
        <v>2|2557|1</v>
      </c>
      <c r="I473" s="222" t="s">
        <v>9287</v>
      </c>
      <c r="J473">
        <v>40</v>
      </c>
      <c r="K473" t="str">
        <f t="shared" si="49"/>
        <v>2|2557|1|40</v>
      </c>
      <c r="L473" t="str">
        <f t="shared" si="46"/>
        <v>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3" t="str">
        <f t="shared" si="47"/>
        <v>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3" s="340">
        <v>20235</v>
      </c>
      <c r="R473" t="str">
        <f t="shared" si="51"/>
        <v>赤血战甲</v>
      </c>
    </row>
    <row r="474" spans="1:18" ht="16.5" hidden="1">
      <c r="A474" t="str">
        <f t="shared" si="50"/>
        <v>a11</v>
      </c>
      <c r="B474">
        <v>2</v>
      </c>
      <c r="C474" s="222" t="s">
        <v>9287</v>
      </c>
      <c r="D474">
        <f>VLOOKUP(F474,Sheet7!$B:$G,6,0)</f>
        <v>2571</v>
      </c>
      <c r="E474" s="222" t="s">
        <v>9287</v>
      </c>
      <c r="F474" s="331" t="s">
        <v>16251</v>
      </c>
      <c r="G474">
        <v>1</v>
      </c>
      <c r="H474" t="str">
        <f t="shared" si="48"/>
        <v>2|2571|1</v>
      </c>
      <c r="I474" s="222" t="s">
        <v>9287</v>
      </c>
      <c r="J474">
        <v>40</v>
      </c>
      <c r="K474" t="str">
        <f t="shared" si="49"/>
        <v>2|2571|1|40</v>
      </c>
      <c r="L474" t="str">
        <f t="shared" si="46"/>
        <v>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4" t="str">
        <f t="shared" si="47"/>
        <v>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4" s="340">
        <v>20236</v>
      </c>
      <c r="R474" t="str">
        <f t="shared" si="51"/>
        <v>青锋长剑</v>
      </c>
    </row>
    <row r="475" spans="1:18" ht="16.5" hidden="1">
      <c r="A475" t="str">
        <f t="shared" si="50"/>
        <v>a11</v>
      </c>
      <c r="B475">
        <v>2</v>
      </c>
      <c r="C475" s="222" t="s">
        <v>9287</v>
      </c>
      <c r="D475">
        <f>VLOOKUP(F475,Sheet7!$B:$G,6,0)</f>
        <v>2585</v>
      </c>
      <c r="E475" s="222" t="s">
        <v>9287</v>
      </c>
      <c r="F475" s="331" t="s">
        <v>16266</v>
      </c>
      <c r="G475">
        <v>1</v>
      </c>
      <c r="H475" t="str">
        <f t="shared" si="48"/>
        <v>2|2585|1</v>
      </c>
      <c r="I475" s="222" t="s">
        <v>9287</v>
      </c>
      <c r="J475">
        <v>40</v>
      </c>
      <c r="K475" t="str">
        <f t="shared" si="49"/>
        <v>2|2585|1|40</v>
      </c>
      <c r="L475" t="str">
        <f t="shared" si="46"/>
        <v>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5" t="str">
        <f t="shared" si="47"/>
        <v>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5" s="340">
        <v>20237</v>
      </c>
      <c r="R475" t="str">
        <f t="shared" si="51"/>
        <v>雁虞头盔</v>
      </c>
    </row>
    <row r="476" spans="1:18" ht="16.5" hidden="1">
      <c r="A476" t="str">
        <f t="shared" si="50"/>
        <v>a11</v>
      </c>
      <c r="B476">
        <v>2</v>
      </c>
      <c r="C476" s="222" t="s">
        <v>9287</v>
      </c>
      <c r="D476">
        <f>VLOOKUP(F476,Sheet7!$B:$G,6,0)</f>
        <v>2599</v>
      </c>
      <c r="E476" s="222" t="s">
        <v>9287</v>
      </c>
      <c r="F476" s="331" t="s">
        <v>16281</v>
      </c>
      <c r="G476">
        <v>1</v>
      </c>
      <c r="H476" t="str">
        <f t="shared" si="48"/>
        <v>2|2599|1</v>
      </c>
      <c r="I476" s="222" t="s">
        <v>9287</v>
      </c>
      <c r="J476">
        <v>40</v>
      </c>
      <c r="K476" t="str">
        <f t="shared" si="49"/>
        <v>2|2599|1|40</v>
      </c>
      <c r="L476" t="str">
        <f t="shared" si="46"/>
        <v>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6" t="str">
        <f t="shared" si="47"/>
        <v>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6" s="340">
        <v>20238</v>
      </c>
      <c r="R476" t="str">
        <f t="shared" si="51"/>
        <v>无影战靴</v>
      </c>
    </row>
    <row r="477" spans="1:18" ht="16.5" hidden="1">
      <c r="A477" t="str">
        <f t="shared" si="50"/>
        <v>a11</v>
      </c>
      <c r="B477">
        <v>2</v>
      </c>
      <c r="C477" s="222" t="s">
        <v>9287</v>
      </c>
      <c r="D477">
        <f>VLOOKUP(F477,Sheet7!$B:$G,6,0)</f>
        <v>2613</v>
      </c>
      <c r="E477" s="222" t="s">
        <v>9287</v>
      </c>
      <c r="F477" s="331" t="s">
        <v>16296</v>
      </c>
      <c r="G477">
        <v>1</v>
      </c>
      <c r="H477" t="str">
        <f t="shared" si="48"/>
        <v>2|2613|1</v>
      </c>
      <c r="I477" s="222" t="s">
        <v>9287</v>
      </c>
      <c r="J477">
        <v>40</v>
      </c>
      <c r="K477" t="str">
        <f t="shared" si="49"/>
        <v>2|2613|1|40</v>
      </c>
      <c r="L477" t="str">
        <f t="shared" si="46"/>
        <v>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7" t="str">
        <f t="shared" si="47"/>
        <v>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7" s="340">
        <v>20239</v>
      </c>
      <c r="R477" t="str">
        <f t="shared" si="51"/>
        <v>行者战甲</v>
      </c>
    </row>
    <row r="478" spans="1:18" ht="16.5" hidden="1">
      <c r="A478" t="str">
        <f t="shared" si="50"/>
        <v>a11</v>
      </c>
      <c r="B478">
        <v>2</v>
      </c>
      <c r="C478" s="222" t="s">
        <v>9287</v>
      </c>
      <c r="D478">
        <f>VLOOKUP(F478,Sheet7!$B:$G,6,0)</f>
        <v>2627</v>
      </c>
      <c r="E478" s="222" t="s">
        <v>9287</v>
      </c>
      <c r="F478" s="331" t="s">
        <v>16311</v>
      </c>
      <c r="G478">
        <v>1</v>
      </c>
      <c r="H478" t="str">
        <f t="shared" si="48"/>
        <v>2|2627|1</v>
      </c>
      <c r="I478" s="222" t="s">
        <v>9287</v>
      </c>
      <c r="J478">
        <v>40</v>
      </c>
      <c r="K478" t="str">
        <f t="shared" si="49"/>
        <v>2|2627|1|40</v>
      </c>
      <c r="L478" t="str">
        <f t="shared" si="46"/>
        <v>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8" t="str">
        <f t="shared" si="47"/>
        <v>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8" s="340">
        <v>20240</v>
      </c>
      <c r="R478" t="str">
        <f t="shared" si="51"/>
        <v>精铁长剑</v>
      </c>
    </row>
    <row r="479" spans="1:18" ht="16.5" hidden="1">
      <c r="A479" t="str">
        <f t="shared" si="50"/>
        <v>a11</v>
      </c>
      <c r="B479">
        <v>2</v>
      </c>
      <c r="C479" s="222" t="s">
        <v>9287</v>
      </c>
      <c r="D479">
        <f>VLOOKUP(F479,Sheet7!$B:$G,6,0)</f>
        <v>2641</v>
      </c>
      <c r="E479" s="222" t="s">
        <v>9287</v>
      </c>
      <c r="F479" s="331" t="s">
        <v>16326</v>
      </c>
      <c r="G479">
        <v>1</v>
      </c>
      <c r="H479" t="str">
        <f t="shared" si="48"/>
        <v>2|2641|1</v>
      </c>
      <c r="I479" s="222" t="s">
        <v>9287</v>
      </c>
      <c r="J479">
        <v>40</v>
      </c>
      <c r="K479" t="str">
        <f t="shared" si="49"/>
        <v>2|2641|1|40</v>
      </c>
      <c r="L479" t="str">
        <f t="shared" si="46"/>
        <v>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79" t="str">
        <f t="shared" si="47"/>
        <v>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79" s="340">
        <v>202411</v>
      </c>
      <c r="R479" t="str">
        <f t="shared" si="51"/>
        <v>虹影头盔</v>
      </c>
    </row>
    <row r="480" spans="1:18" ht="16.5" hidden="1">
      <c r="A480" t="str">
        <f t="shared" si="50"/>
        <v>a11</v>
      </c>
      <c r="B480">
        <v>2</v>
      </c>
      <c r="C480" s="222" t="s">
        <v>9287</v>
      </c>
      <c r="D480">
        <f>VLOOKUP(F480,Sheet7!$B:$G,6,0)</f>
        <v>2655</v>
      </c>
      <c r="E480" s="222" t="s">
        <v>9287</v>
      </c>
      <c r="F480" s="331" t="s">
        <v>16341</v>
      </c>
      <c r="G480">
        <v>1</v>
      </c>
      <c r="H480" t="str">
        <f t="shared" si="48"/>
        <v>2|2655|1</v>
      </c>
      <c r="I480" s="222" t="s">
        <v>9287</v>
      </c>
      <c r="J480">
        <v>40</v>
      </c>
      <c r="K480" t="str">
        <f t="shared" si="49"/>
        <v>2|2655|1|40</v>
      </c>
      <c r="L480" t="str">
        <f t="shared" si="46"/>
        <v>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80" t="str">
        <f t="shared" si="47"/>
        <v>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80" s="340">
        <v>202412</v>
      </c>
      <c r="R480" t="str">
        <f t="shared" si="51"/>
        <v>千里战靴</v>
      </c>
    </row>
    <row r="481" spans="1:18" ht="16.5" hidden="1">
      <c r="A481" t="str">
        <f t="shared" si="50"/>
        <v>a11</v>
      </c>
      <c r="B481">
        <v>2</v>
      </c>
      <c r="C481" s="222" t="s">
        <v>9287</v>
      </c>
      <c r="D481">
        <f>VLOOKUP(F481,Sheet7!$B:$G,6,0)</f>
        <v>2669</v>
      </c>
      <c r="E481" s="222" t="s">
        <v>9287</v>
      </c>
      <c r="F481" s="331" t="s">
        <v>16356</v>
      </c>
      <c r="G481">
        <v>1</v>
      </c>
      <c r="H481" t="str">
        <f t="shared" si="48"/>
        <v>2|2669|1</v>
      </c>
      <c r="I481" s="222" t="s">
        <v>9287</v>
      </c>
      <c r="J481">
        <v>40</v>
      </c>
      <c r="K481" t="str">
        <f t="shared" si="49"/>
        <v>2|2669|1|40</v>
      </c>
      <c r="L481" t="str">
        <f t="shared" si="46"/>
        <v>2|2669|1,2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81" t="str">
        <f t="shared" si="47"/>
        <v>2|2669|1|40,2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81" s="340">
        <v>202413</v>
      </c>
      <c r="R481" t="str">
        <f t="shared" si="51"/>
        <v>封魔战甲</v>
      </c>
    </row>
    <row r="482" spans="1:18" ht="16.5" hidden="1">
      <c r="A482" t="str">
        <f t="shared" si="50"/>
        <v>a11</v>
      </c>
      <c r="B482">
        <v>2</v>
      </c>
      <c r="C482" s="222" t="s">
        <v>9287</v>
      </c>
      <c r="D482">
        <f>VLOOKUP(F482,Sheet7!$B:$G,6,0)</f>
        <v>2683</v>
      </c>
      <c r="E482" s="222" t="s">
        <v>9287</v>
      </c>
      <c r="F482" s="331" t="s">
        <v>16371</v>
      </c>
      <c r="G482">
        <v>1</v>
      </c>
      <c r="H482" t="str">
        <f t="shared" si="48"/>
        <v>2|2683|1</v>
      </c>
      <c r="I482" s="222" t="s">
        <v>9287</v>
      </c>
      <c r="J482">
        <v>40</v>
      </c>
      <c r="K482" t="str">
        <f t="shared" si="49"/>
        <v>2|2683|1|40</v>
      </c>
      <c r="L482" t="str">
        <f t="shared" si="46"/>
        <v>2|2683|1,2|2669|1,2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82" t="str">
        <f t="shared" si="47"/>
        <v>2|2683|1|40,2|2669|1|40,2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82" s="340">
        <v>24</v>
      </c>
      <c r="R482" t="str">
        <f t="shared" si="51"/>
        <v>封魔长剑</v>
      </c>
    </row>
    <row r="483" spans="1:18" ht="16.5" hidden="1">
      <c r="A483" t="str">
        <f t="shared" si="50"/>
        <v>a11</v>
      </c>
      <c r="B483">
        <v>2</v>
      </c>
      <c r="C483" s="222" t="s">
        <v>9287</v>
      </c>
      <c r="D483">
        <f>VLOOKUP(F483,Sheet7!$B:$G,6,0)</f>
        <v>2697</v>
      </c>
      <c r="E483" s="222" t="s">
        <v>9287</v>
      </c>
      <c r="F483" s="331" t="s">
        <v>16386</v>
      </c>
      <c r="G483">
        <v>1</v>
      </c>
      <c r="H483" t="str">
        <f t="shared" si="48"/>
        <v>2|2697|1</v>
      </c>
      <c r="I483" s="222" t="s">
        <v>9287</v>
      </c>
      <c r="J483">
        <v>40</v>
      </c>
      <c r="K483" t="str">
        <f t="shared" si="49"/>
        <v>2|2697|1|40</v>
      </c>
      <c r="L483" t="str">
        <f t="shared" si="46"/>
        <v>2|2697|1,2|2683|1,2|2669|1,2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83" t="str">
        <f t="shared" si="47"/>
        <v>2|2697|1|40,2|2683|1|40,2|2669|1|40,2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83" s="340">
        <v>2024</v>
      </c>
      <c r="R483" t="str">
        <f t="shared" si="51"/>
        <v>封魔头盔</v>
      </c>
    </row>
    <row r="484" spans="1:18" ht="16.5">
      <c r="A484" t="str">
        <f t="shared" si="50"/>
        <v>a11</v>
      </c>
      <c r="B484">
        <v>2</v>
      </c>
      <c r="C484" s="222" t="s">
        <v>9287</v>
      </c>
      <c r="D484">
        <f>VLOOKUP(F484,Sheet7!$B:$G,6,0)</f>
        <v>2711</v>
      </c>
      <c r="E484" s="222" t="s">
        <v>9287</v>
      </c>
      <c r="F484" s="331" t="s">
        <v>16401</v>
      </c>
      <c r="G484">
        <v>1</v>
      </c>
      <c r="H484" t="str">
        <f t="shared" si="48"/>
        <v>2|2711|1</v>
      </c>
      <c r="I484" s="222" t="s">
        <v>9287</v>
      </c>
      <c r="J484">
        <v>40</v>
      </c>
      <c r="K484" t="str">
        <f t="shared" si="49"/>
        <v>2|2711|1|40</v>
      </c>
      <c r="L484" t="str">
        <f t="shared" si="46"/>
        <v>2|2711|1,2|2697|1,2|2683|1,2|2669|1,2|2655|1,2|2641|1,2|2627|1,2|2613|1,2|2599|1,2|2585|1,2|2571|1,2|2557|1,2|2543|1,2|2529|1,2|2515|1,2|2501|1,2|2487|1,2|2473|1,2|2459|1,2|2445|1,2|2431|1,2|2417|1,2|2403|1,2|2389|1,2|2375|1,2|2361|1,2|2347|1,2|2333|1,2|2319|1,2|2305|1,2|2291|1,2|2277|1,2|2263|1,2|2249|1,2|2235|1,2|2221|1,2|2207|1,2|2193|1,2|2179|1,2|2165|1,2|2151|1,2|2137|1,2|2123|1,2|2109|1</v>
      </c>
      <c r="M484" t="str">
        <f t="shared" si="47"/>
        <v>2|2711|1|40,2|2697|1|40,2|2683|1|40,2|2669|1|40,2|2655|1|40,2|2641|1|40,2|2627|1|40,2|2613|1|40,2|2599|1|40,2|2585|1|40,2|2571|1|40,2|2557|1|40,2|2543|1|40,2|2529|1|40,2|2515|1|40,2|2501|1|40,2|2487|1|40,2|2473|1|40,2|2459|1|40,2|2445|1|40,2|2431|1|40,2|2417|1|40,2|2403|1|40,2|2389|1|40,2|2375|1|40,2|2361|1|40,2|2347|1|40,2|2333|1|40,2|2319|1|20,2|2305|1|20,2|2291|1|20,2|2277|1|20,2|2263|1|20,2|2249|1|20,2|2235|1|20,2|2221|1|20,2|2207|1|20,2|2193|1|20,2|2179|1|20,2|2165|1|20,2|2151|1|10,2|2137|1|10,2|2123|1|10,2|2109|1|10</v>
      </c>
      <c r="N484" s="340">
        <v>20241</v>
      </c>
      <c r="R484" t="str">
        <f t="shared" si="51"/>
        <v>封魔战靴</v>
      </c>
    </row>
    <row r="485" spans="1:18" ht="16.5" hidden="1">
      <c r="A485" t="str">
        <f t="shared" si="50"/>
        <v>a12</v>
      </c>
      <c r="B485">
        <v>2</v>
      </c>
      <c r="C485" s="222" t="s">
        <v>9287</v>
      </c>
      <c r="D485">
        <f>VLOOKUP(F485,Sheet7!$B:$G,6,0)</f>
        <v>2110</v>
      </c>
      <c r="E485" s="222" t="s">
        <v>9287</v>
      </c>
      <c r="F485" s="331" t="s">
        <v>15757</v>
      </c>
      <c r="G485">
        <v>1</v>
      </c>
      <c r="H485" t="str">
        <f t="shared" si="48"/>
        <v>2|2110|1</v>
      </c>
      <c r="I485" s="222" t="s">
        <v>9287</v>
      </c>
      <c r="J485">
        <v>10</v>
      </c>
      <c r="K485" t="str">
        <f t="shared" si="49"/>
        <v>2|2110|1|10</v>
      </c>
      <c r="L485" t="str">
        <f t="shared" si="46"/>
        <v>2|2110|1</v>
      </c>
      <c r="M485" t="str">
        <f t="shared" si="47"/>
        <v>2|2110|1|10</v>
      </c>
      <c r="N485" s="340">
        <v>20242</v>
      </c>
      <c r="R485" t="str">
        <f t="shared" si="51"/>
        <v>蚩尤战甲</v>
      </c>
    </row>
    <row r="486" spans="1:18" ht="16.5" hidden="1">
      <c r="A486" t="str">
        <f t="shared" si="50"/>
        <v>a12</v>
      </c>
      <c r="B486">
        <v>2</v>
      </c>
      <c r="C486" s="222" t="s">
        <v>9287</v>
      </c>
      <c r="D486">
        <f>VLOOKUP(F486,Sheet7!$B:$G,6,0)</f>
        <v>2124</v>
      </c>
      <c r="E486" s="222" t="s">
        <v>9287</v>
      </c>
      <c r="F486" s="331" t="s">
        <v>15772</v>
      </c>
      <c r="G486">
        <v>1</v>
      </c>
      <c r="H486" t="str">
        <f t="shared" si="48"/>
        <v>2|2124|1</v>
      </c>
      <c r="I486" s="222" t="s">
        <v>9287</v>
      </c>
      <c r="J486">
        <v>10</v>
      </c>
      <c r="K486" t="str">
        <f t="shared" si="49"/>
        <v>2|2124|1|10</v>
      </c>
      <c r="L486" t="str">
        <f t="shared" si="46"/>
        <v>2|2124|1,2|2110|1</v>
      </c>
      <c r="M486" t="str">
        <f t="shared" si="47"/>
        <v>2|2124|1|10,2|2110|1|10</v>
      </c>
      <c r="N486" s="340">
        <v>20243</v>
      </c>
      <c r="R486" t="str">
        <f t="shared" si="51"/>
        <v>蚩尤长剑</v>
      </c>
    </row>
    <row r="487" spans="1:18" ht="16.5" hidden="1">
      <c r="A487" t="str">
        <f t="shared" si="50"/>
        <v>a12</v>
      </c>
      <c r="B487">
        <v>2</v>
      </c>
      <c r="C487" s="222" t="s">
        <v>9287</v>
      </c>
      <c r="D487">
        <f>VLOOKUP(F487,Sheet7!$B:$G,6,0)</f>
        <v>2138</v>
      </c>
      <c r="E487" s="222" t="s">
        <v>9287</v>
      </c>
      <c r="F487" s="331" t="s">
        <v>15787</v>
      </c>
      <c r="G487">
        <v>1</v>
      </c>
      <c r="H487" t="str">
        <f t="shared" si="48"/>
        <v>2|2138|1</v>
      </c>
      <c r="I487" s="222" t="s">
        <v>9287</v>
      </c>
      <c r="J487">
        <v>10</v>
      </c>
      <c r="K487" t="str">
        <f t="shared" si="49"/>
        <v>2|2138|1|10</v>
      </c>
      <c r="L487" t="str">
        <f t="shared" si="46"/>
        <v>2|2138|1,2|2124|1,2|2110|1</v>
      </c>
      <c r="M487" t="str">
        <f t="shared" si="47"/>
        <v>2|2138|1|10,2|2124|1|10,2|2110|1|10</v>
      </c>
      <c r="N487" s="340">
        <v>20244</v>
      </c>
      <c r="R487" t="str">
        <f t="shared" si="51"/>
        <v>蚩尤头盔</v>
      </c>
    </row>
    <row r="488" spans="1:18" ht="16.5" hidden="1">
      <c r="A488" t="str">
        <f t="shared" si="50"/>
        <v>a12</v>
      </c>
      <c r="B488">
        <v>2</v>
      </c>
      <c r="C488" s="222" t="s">
        <v>9287</v>
      </c>
      <c r="D488">
        <f>VLOOKUP(F488,Sheet7!$B:$G,6,0)</f>
        <v>2152</v>
      </c>
      <c r="E488" s="222" t="s">
        <v>9287</v>
      </c>
      <c r="F488" s="331" t="s">
        <v>15802</v>
      </c>
      <c r="G488">
        <v>1</v>
      </c>
      <c r="H488" t="str">
        <f t="shared" si="48"/>
        <v>2|2152|1</v>
      </c>
      <c r="I488" s="222" t="s">
        <v>9287</v>
      </c>
      <c r="J488">
        <v>10</v>
      </c>
      <c r="K488" t="str">
        <f t="shared" si="49"/>
        <v>2|2152|1|10</v>
      </c>
      <c r="L488" t="str">
        <f t="shared" si="46"/>
        <v>2|2152|1,2|2138|1,2|2124|1,2|2110|1</v>
      </c>
      <c r="M488" t="str">
        <f t="shared" si="47"/>
        <v>2|2152|1|10,2|2138|1|10,2|2124|1|10,2|2110|1|10</v>
      </c>
      <c r="N488" s="340">
        <v>20245</v>
      </c>
      <c r="R488" t="str">
        <f t="shared" si="51"/>
        <v>蚩尤战靴</v>
      </c>
    </row>
    <row r="489" spans="1:18" ht="16.5" hidden="1">
      <c r="A489" t="str">
        <f t="shared" si="50"/>
        <v>a12</v>
      </c>
      <c r="B489">
        <v>2</v>
      </c>
      <c r="C489" s="222" t="s">
        <v>9287</v>
      </c>
      <c r="D489">
        <f>VLOOKUP(F489,Sheet7!$B:$G,6,0)</f>
        <v>2166</v>
      </c>
      <c r="E489" s="222" t="s">
        <v>9287</v>
      </c>
      <c r="F489" s="331" t="s">
        <v>15817</v>
      </c>
      <c r="G489">
        <v>1</v>
      </c>
      <c r="H489" t="str">
        <f t="shared" si="48"/>
        <v>2|2166|1</v>
      </c>
      <c r="I489" s="222" t="s">
        <v>9287</v>
      </c>
      <c r="J489">
        <v>20</v>
      </c>
      <c r="K489" t="str">
        <f t="shared" si="49"/>
        <v>2|2166|1|20</v>
      </c>
      <c r="L489" t="str">
        <f t="shared" si="46"/>
        <v>2|2166|1,2|2152|1,2|2138|1,2|2124|1,2|2110|1</v>
      </c>
      <c r="M489" t="str">
        <f t="shared" si="47"/>
        <v>2|2166|1|20,2|2152|1|10,2|2138|1|10,2|2124|1|10,2|2110|1|10</v>
      </c>
      <c r="N489" s="340">
        <v>20246</v>
      </c>
      <c r="R489" t="str">
        <f t="shared" si="51"/>
        <v>天罡战甲</v>
      </c>
    </row>
    <row r="490" spans="1:18" ht="16.5" hidden="1">
      <c r="A490" t="str">
        <f t="shared" si="50"/>
        <v>a12</v>
      </c>
      <c r="B490">
        <v>2</v>
      </c>
      <c r="C490" s="222" t="s">
        <v>9287</v>
      </c>
      <c r="D490">
        <f>VLOOKUP(F490,Sheet7!$B:$G,6,0)</f>
        <v>2180</v>
      </c>
      <c r="E490" s="222" t="s">
        <v>9287</v>
      </c>
      <c r="F490" s="331" t="s">
        <v>15832</v>
      </c>
      <c r="G490">
        <v>1</v>
      </c>
      <c r="H490" t="str">
        <f t="shared" si="48"/>
        <v>2|2180|1</v>
      </c>
      <c r="I490" s="222" t="s">
        <v>9287</v>
      </c>
      <c r="J490">
        <v>20</v>
      </c>
      <c r="K490" t="str">
        <f t="shared" si="49"/>
        <v>2|2180|1|20</v>
      </c>
      <c r="L490" t="str">
        <f t="shared" si="46"/>
        <v>2|2180|1,2|2166|1,2|2152|1,2|2138|1,2|2124|1,2|2110|1</v>
      </c>
      <c r="M490" t="str">
        <f t="shared" si="47"/>
        <v>2|2180|1|20,2|2166|1|20,2|2152|1|10,2|2138|1|10,2|2124|1|10,2|2110|1|10</v>
      </c>
      <c r="N490" s="340">
        <v>20247</v>
      </c>
      <c r="R490" t="str">
        <f t="shared" si="51"/>
        <v>天罡长剑</v>
      </c>
    </row>
    <row r="491" spans="1:18" ht="16.5" hidden="1">
      <c r="A491" t="str">
        <f t="shared" si="50"/>
        <v>a12</v>
      </c>
      <c r="B491">
        <v>2</v>
      </c>
      <c r="C491" s="222" t="s">
        <v>9287</v>
      </c>
      <c r="D491">
        <f>VLOOKUP(F491,Sheet7!$B:$G,6,0)</f>
        <v>2194</v>
      </c>
      <c r="E491" s="222" t="s">
        <v>9287</v>
      </c>
      <c r="F491" s="331" t="s">
        <v>15847</v>
      </c>
      <c r="G491">
        <v>1</v>
      </c>
      <c r="H491" t="str">
        <f t="shared" si="48"/>
        <v>2|2194|1</v>
      </c>
      <c r="I491" s="222" t="s">
        <v>9287</v>
      </c>
      <c r="J491">
        <v>20</v>
      </c>
      <c r="K491" t="str">
        <f t="shared" si="49"/>
        <v>2|2194|1|20</v>
      </c>
      <c r="L491" t="str">
        <f t="shared" si="46"/>
        <v>2|2194|1,2|2180|1,2|2166|1,2|2152|1,2|2138|1,2|2124|1,2|2110|1</v>
      </c>
      <c r="M491" t="str">
        <f t="shared" si="47"/>
        <v>2|2194|1|20,2|2180|1|20,2|2166|1|20,2|2152|1|10,2|2138|1|10,2|2124|1|10,2|2110|1|10</v>
      </c>
      <c r="N491" s="340">
        <v>20248</v>
      </c>
      <c r="R491" t="str">
        <f t="shared" si="51"/>
        <v>天罡头盔</v>
      </c>
    </row>
    <row r="492" spans="1:18" ht="16.5" hidden="1">
      <c r="A492" t="str">
        <f t="shared" si="50"/>
        <v>a12</v>
      </c>
      <c r="B492">
        <v>2</v>
      </c>
      <c r="C492" s="222" t="s">
        <v>9287</v>
      </c>
      <c r="D492">
        <f>VLOOKUP(F492,Sheet7!$B:$G,6,0)</f>
        <v>2208</v>
      </c>
      <c r="E492" s="222" t="s">
        <v>9287</v>
      </c>
      <c r="F492" s="331" t="s">
        <v>15862</v>
      </c>
      <c r="G492">
        <v>1</v>
      </c>
      <c r="H492" t="str">
        <f t="shared" si="48"/>
        <v>2|2208|1</v>
      </c>
      <c r="I492" s="222" t="s">
        <v>9287</v>
      </c>
      <c r="J492">
        <v>20</v>
      </c>
      <c r="K492" t="str">
        <f t="shared" si="49"/>
        <v>2|2208|1|20</v>
      </c>
      <c r="L492" t="str">
        <f t="shared" si="46"/>
        <v>2|2208|1,2|2194|1,2|2180|1,2|2166|1,2|2152|1,2|2138|1,2|2124|1,2|2110|1</v>
      </c>
      <c r="M492" t="str">
        <f t="shared" si="47"/>
        <v>2|2208|1|20,2|2194|1|20,2|2180|1|20,2|2166|1|20,2|2152|1|10,2|2138|1|10,2|2124|1|10,2|2110|1|10</v>
      </c>
      <c r="N492" s="340">
        <v>20249</v>
      </c>
      <c r="R492" t="str">
        <f t="shared" si="51"/>
        <v>天罡战靴</v>
      </c>
    </row>
    <row r="493" spans="1:18" ht="16.5" hidden="1">
      <c r="A493" t="str">
        <f t="shared" si="50"/>
        <v>a12</v>
      </c>
      <c r="B493">
        <v>2</v>
      </c>
      <c r="C493" s="222" t="s">
        <v>9287</v>
      </c>
      <c r="D493">
        <f>VLOOKUP(F493,Sheet7!$B:$G,6,0)</f>
        <v>2222</v>
      </c>
      <c r="E493" s="222" t="s">
        <v>9287</v>
      </c>
      <c r="F493" s="331" t="s">
        <v>15877</v>
      </c>
      <c r="G493">
        <v>1</v>
      </c>
      <c r="H493" t="str">
        <f t="shared" si="48"/>
        <v>2|2222|1</v>
      </c>
      <c r="I493" s="222" t="s">
        <v>9287</v>
      </c>
      <c r="J493">
        <v>20</v>
      </c>
      <c r="K493" t="str">
        <f t="shared" si="49"/>
        <v>2|2222|1|20</v>
      </c>
      <c r="L493" t="str">
        <f t="shared" si="46"/>
        <v>2|2222|1,2|2208|1,2|2194|1,2|2180|1,2|2166|1,2|2152|1,2|2138|1,2|2124|1,2|2110|1</v>
      </c>
      <c r="M493" t="str">
        <f t="shared" si="47"/>
        <v>2|2222|1|20,2|2208|1|20,2|2194|1|20,2|2180|1|20,2|2166|1|20,2|2152|1|10,2|2138|1|10,2|2124|1|10,2|2110|1|10</v>
      </c>
      <c r="N493" s="340">
        <v>20250</v>
      </c>
      <c r="R493" t="str">
        <f t="shared" si="51"/>
        <v>降魔战甲</v>
      </c>
    </row>
    <row r="494" spans="1:18" ht="16.5" hidden="1">
      <c r="A494" t="str">
        <f t="shared" si="50"/>
        <v>a12</v>
      </c>
      <c r="B494">
        <v>2</v>
      </c>
      <c r="C494" s="222" t="s">
        <v>9287</v>
      </c>
      <c r="D494">
        <f>VLOOKUP(F494,Sheet7!$B:$G,6,0)</f>
        <v>2236</v>
      </c>
      <c r="E494" s="222" t="s">
        <v>9287</v>
      </c>
      <c r="F494" s="331" t="s">
        <v>15892</v>
      </c>
      <c r="G494">
        <v>1</v>
      </c>
      <c r="H494" t="str">
        <f t="shared" si="48"/>
        <v>2|2236|1</v>
      </c>
      <c r="I494" s="222" t="s">
        <v>9287</v>
      </c>
      <c r="J494">
        <v>20</v>
      </c>
      <c r="K494" t="str">
        <f t="shared" si="49"/>
        <v>2|2236|1|20</v>
      </c>
      <c r="L494" t="str">
        <f t="shared" si="46"/>
        <v>2|2236|1,2|2222|1,2|2208|1,2|2194|1,2|2180|1,2|2166|1,2|2152|1,2|2138|1,2|2124|1,2|2110|1</v>
      </c>
      <c r="M494" t="str">
        <f t="shared" si="47"/>
        <v>2|2236|1|20,2|2222|1|20,2|2208|1|20,2|2194|1|20,2|2180|1|20,2|2166|1|20,2|2152|1|10,2|2138|1|10,2|2124|1|10,2|2110|1|10</v>
      </c>
      <c r="N494" s="340">
        <v>202511</v>
      </c>
      <c r="R494" t="str">
        <f t="shared" si="51"/>
        <v>降魔长剑</v>
      </c>
    </row>
    <row r="495" spans="1:18" ht="16.5" hidden="1">
      <c r="A495" t="str">
        <f t="shared" si="50"/>
        <v>a12</v>
      </c>
      <c r="B495">
        <v>2</v>
      </c>
      <c r="C495" s="222" t="s">
        <v>9287</v>
      </c>
      <c r="D495">
        <f>VLOOKUP(F495,Sheet7!$B:$G,6,0)</f>
        <v>2250</v>
      </c>
      <c r="E495" s="222" t="s">
        <v>9287</v>
      </c>
      <c r="F495" s="331" t="s">
        <v>15907</v>
      </c>
      <c r="G495">
        <v>1</v>
      </c>
      <c r="H495" t="str">
        <f t="shared" si="48"/>
        <v>2|2250|1</v>
      </c>
      <c r="I495" s="222" t="s">
        <v>9287</v>
      </c>
      <c r="J495">
        <v>20</v>
      </c>
      <c r="K495" t="str">
        <f t="shared" si="49"/>
        <v>2|2250|1|20</v>
      </c>
      <c r="L495" t="str">
        <f t="shared" si="46"/>
        <v>2|2250|1,2|2236|1,2|2222|1,2|2208|1,2|2194|1,2|2180|1,2|2166|1,2|2152|1,2|2138|1,2|2124|1,2|2110|1</v>
      </c>
      <c r="M495" t="str">
        <f t="shared" si="47"/>
        <v>2|2250|1|20,2|2236|1|20,2|2222|1|20,2|2208|1|20,2|2194|1|20,2|2180|1|20,2|2166|1|20,2|2152|1|10,2|2138|1|10,2|2124|1|10,2|2110|1|10</v>
      </c>
      <c r="N495" s="340">
        <v>202512</v>
      </c>
      <c r="R495" t="str">
        <f t="shared" si="51"/>
        <v>降魔头盔</v>
      </c>
    </row>
    <row r="496" spans="1:18" ht="16.5" hidden="1">
      <c r="A496" t="str">
        <f t="shared" si="50"/>
        <v>a12</v>
      </c>
      <c r="B496">
        <v>2</v>
      </c>
      <c r="C496" s="222" t="s">
        <v>9287</v>
      </c>
      <c r="D496">
        <f>VLOOKUP(F496,Sheet7!$B:$G,6,0)</f>
        <v>2264</v>
      </c>
      <c r="E496" s="222" t="s">
        <v>9287</v>
      </c>
      <c r="F496" s="331" t="s">
        <v>15922</v>
      </c>
      <c r="G496">
        <v>1</v>
      </c>
      <c r="H496" t="str">
        <f t="shared" si="48"/>
        <v>2|2264|1</v>
      </c>
      <c r="I496" s="222" t="s">
        <v>9287</v>
      </c>
      <c r="J496">
        <v>20</v>
      </c>
      <c r="K496" t="str">
        <f t="shared" si="49"/>
        <v>2|2264|1|20</v>
      </c>
      <c r="L496" t="str">
        <f t="shared" si="46"/>
        <v>2|2264|1,2|2250|1,2|2236|1,2|2222|1,2|2208|1,2|2194|1,2|2180|1,2|2166|1,2|2152|1,2|2138|1,2|2124|1,2|2110|1</v>
      </c>
      <c r="M496" t="str">
        <f t="shared" si="47"/>
        <v>2|2264|1|20,2|2250|1|20,2|2236|1|20,2|2222|1|20,2|2208|1|20,2|2194|1|20,2|2180|1|20,2|2166|1|20,2|2152|1|10,2|2138|1|10,2|2124|1|10,2|2110|1|10</v>
      </c>
      <c r="N496" s="340">
        <v>202513</v>
      </c>
      <c r="R496" t="str">
        <f t="shared" si="51"/>
        <v>降魔战靴</v>
      </c>
    </row>
    <row r="497" spans="1:18" ht="16.5" hidden="1">
      <c r="A497" t="str">
        <f t="shared" si="50"/>
        <v>a12</v>
      </c>
      <c r="B497">
        <v>2</v>
      </c>
      <c r="C497" s="222" t="s">
        <v>9287</v>
      </c>
      <c r="D497">
        <f>VLOOKUP(F497,Sheet7!$B:$G,6,0)</f>
        <v>2278</v>
      </c>
      <c r="E497" s="222" t="s">
        <v>9287</v>
      </c>
      <c r="F497" s="331" t="s">
        <v>15937</v>
      </c>
      <c r="G497">
        <v>1</v>
      </c>
      <c r="H497" t="str">
        <f t="shared" si="48"/>
        <v>2|2278|1</v>
      </c>
      <c r="I497" s="222" t="s">
        <v>9287</v>
      </c>
      <c r="J497">
        <v>20</v>
      </c>
      <c r="K497" t="str">
        <f t="shared" si="49"/>
        <v>2|2278|1|20</v>
      </c>
      <c r="L497" t="str">
        <f t="shared" si="46"/>
        <v>2|2278|1,2|2264|1,2|2250|1,2|2236|1,2|2222|1,2|2208|1,2|2194|1,2|2180|1,2|2166|1,2|2152|1,2|2138|1,2|2124|1,2|2110|1</v>
      </c>
      <c r="M497" t="str">
        <f t="shared" si="47"/>
        <v>2|2278|1|20,2|2264|1|20,2|2250|1|20,2|2236|1|20,2|2222|1|20,2|2208|1|20,2|2194|1|20,2|2180|1|20,2|2166|1|20,2|2152|1|10,2|2138|1|10,2|2124|1|10,2|2110|1|10</v>
      </c>
      <c r="N497" s="333">
        <v>2001</v>
      </c>
      <c r="R497" t="str">
        <f t="shared" si="51"/>
        <v>血魔战甲</v>
      </c>
    </row>
    <row r="498" spans="1:18" ht="16.5" hidden="1">
      <c r="A498" t="str">
        <f t="shared" si="50"/>
        <v>a12</v>
      </c>
      <c r="B498">
        <v>2</v>
      </c>
      <c r="C498" s="222" t="s">
        <v>9287</v>
      </c>
      <c r="D498">
        <f>VLOOKUP(F498,Sheet7!$B:$G,6,0)</f>
        <v>2292</v>
      </c>
      <c r="E498" s="222" t="s">
        <v>9287</v>
      </c>
      <c r="F498" s="331" t="s">
        <v>15952</v>
      </c>
      <c r="G498">
        <v>1</v>
      </c>
      <c r="H498" t="str">
        <f t="shared" si="48"/>
        <v>2|2292|1</v>
      </c>
      <c r="I498" s="222" t="s">
        <v>9287</v>
      </c>
      <c r="J498">
        <v>20</v>
      </c>
      <c r="K498" t="str">
        <f t="shared" si="49"/>
        <v>2|2292|1|20</v>
      </c>
      <c r="L498" t="str">
        <f t="shared" si="46"/>
        <v>2|2292|1,2|2278|1,2|2264|1,2|2250|1,2|2236|1,2|2222|1,2|2208|1,2|2194|1,2|2180|1,2|2166|1,2|2152|1,2|2138|1,2|2124|1,2|2110|1</v>
      </c>
      <c r="M498" t="str">
        <f t="shared" si="47"/>
        <v>2|2292|1|20,2|2278|1|20,2|2264|1|20,2|2250|1|20,2|2236|1|20,2|2222|1|20,2|2208|1|20,2|2194|1|20,2|2180|1|20,2|2166|1|20,2|2152|1|10,2|2138|1|10,2|2124|1|10,2|2110|1|10</v>
      </c>
      <c r="N498" s="333">
        <v>200111</v>
      </c>
      <c r="R498" t="str">
        <f t="shared" si="51"/>
        <v>赤霄长剑</v>
      </c>
    </row>
    <row r="499" spans="1:18" ht="16.5" hidden="1">
      <c r="A499" t="str">
        <f t="shared" si="50"/>
        <v>a12</v>
      </c>
      <c r="B499">
        <v>2</v>
      </c>
      <c r="C499" s="222" t="s">
        <v>9287</v>
      </c>
      <c r="D499">
        <f>VLOOKUP(F499,Sheet7!$B:$G,6,0)</f>
        <v>2306</v>
      </c>
      <c r="E499" s="222" t="s">
        <v>9287</v>
      </c>
      <c r="F499" s="331" t="s">
        <v>15967</v>
      </c>
      <c r="G499">
        <v>1</v>
      </c>
      <c r="H499" t="str">
        <f t="shared" si="48"/>
        <v>2|2306|1</v>
      </c>
      <c r="I499" s="222" t="s">
        <v>9287</v>
      </c>
      <c r="J499">
        <v>20</v>
      </c>
      <c r="K499" t="str">
        <f t="shared" si="49"/>
        <v>2|2306|1|20</v>
      </c>
      <c r="L499" t="str">
        <f t="shared" si="46"/>
        <v>2|2306|1,2|2292|1,2|2278|1,2|2264|1,2|2250|1,2|2236|1,2|2222|1,2|2208|1,2|2194|1,2|2180|1,2|2166|1,2|2152|1,2|2138|1,2|2124|1,2|2110|1</v>
      </c>
      <c r="M499" t="str">
        <f t="shared" si="47"/>
        <v>2|2306|1|20,2|2292|1|20,2|2278|1|20,2|2264|1|20,2|2250|1|20,2|2236|1|20,2|2222|1|20,2|2208|1|20,2|2194|1|20,2|2180|1|20,2|2166|1|20,2|2152|1|10,2|2138|1|10,2|2124|1|10,2|2110|1|10</v>
      </c>
      <c r="N499" s="333">
        <v>200112</v>
      </c>
      <c r="R499" t="str">
        <f t="shared" si="51"/>
        <v>麒麟头盔</v>
      </c>
    </row>
    <row r="500" spans="1:18" ht="16.5" hidden="1">
      <c r="A500" t="str">
        <f t="shared" si="50"/>
        <v>a12</v>
      </c>
      <c r="B500">
        <v>2</v>
      </c>
      <c r="C500" s="222" t="s">
        <v>9287</v>
      </c>
      <c r="D500">
        <f>VLOOKUP(F500,Sheet7!$B:$G,6,0)</f>
        <v>2320</v>
      </c>
      <c r="E500" s="222" t="s">
        <v>9287</v>
      </c>
      <c r="F500" s="331" t="s">
        <v>15982</v>
      </c>
      <c r="G500">
        <v>1</v>
      </c>
      <c r="H500" t="str">
        <f t="shared" si="48"/>
        <v>2|2320|1</v>
      </c>
      <c r="I500" s="222" t="s">
        <v>9287</v>
      </c>
      <c r="J500">
        <v>20</v>
      </c>
      <c r="K500" t="str">
        <f t="shared" si="49"/>
        <v>2|2320|1|20</v>
      </c>
      <c r="L500" t="str">
        <f t="shared" si="46"/>
        <v>2|2320|1,2|2306|1,2|2292|1,2|2278|1,2|2264|1,2|2250|1,2|2236|1,2|2222|1,2|2208|1,2|2194|1,2|2180|1,2|2166|1,2|2152|1,2|2138|1,2|2124|1,2|2110|1</v>
      </c>
      <c r="M500" t="str">
        <f t="shared" si="47"/>
        <v>2|2320|1|20,2|2306|1|20,2|2292|1|20,2|2278|1|20,2|2264|1|20,2|2250|1|20,2|2236|1|20,2|2222|1|20,2|2208|1|20,2|2194|1|20,2|2180|1|20,2|2166|1|20,2|2152|1|10,2|2138|1|10,2|2124|1|10,2|2110|1|10</v>
      </c>
      <c r="N500" s="333">
        <v>200113</v>
      </c>
      <c r="R500" t="str">
        <f t="shared" si="51"/>
        <v>兽魂战靴</v>
      </c>
    </row>
    <row r="501" spans="1:18" ht="16.5" hidden="1">
      <c r="A501" t="str">
        <f t="shared" si="50"/>
        <v>a12</v>
      </c>
      <c r="B501">
        <v>2</v>
      </c>
      <c r="C501" s="222" t="s">
        <v>9287</v>
      </c>
      <c r="D501">
        <f>VLOOKUP(F501,Sheet7!$B:$G,6,0)</f>
        <v>2334</v>
      </c>
      <c r="E501" s="222" t="s">
        <v>9287</v>
      </c>
      <c r="F501" s="331" t="s">
        <v>15997</v>
      </c>
      <c r="G501">
        <v>1</v>
      </c>
      <c r="H501" t="str">
        <f t="shared" si="48"/>
        <v>2|2334|1</v>
      </c>
      <c r="I501" s="222" t="s">
        <v>9287</v>
      </c>
      <c r="J501">
        <v>40</v>
      </c>
      <c r="K501" t="str">
        <f t="shared" si="49"/>
        <v>2|2334|1|40</v>
      </c>
      <c r="L501" t="str">
        <f t="shared" si="46"/>
        <v>2|2334|1,2|2320|1,2|2306|1,2|2292|1,2|2278|1,2|2264|1,2|2250|1,2|2236|1,2|2222|1,2|2208|1,2|2194|1,2|2180|1,2|2166|1,2|2152|1,2|2138|1,2|2124|1,2|2110|1</v>
      </c>
      <c r="M501" t="str">
        <f t="shared" si="47"/>
        <v>2|2334|1|40,2|2320|1|20,2|2306|1|20,2|2292|1|20,2|2278|1|20,2|2264|1|20,2|2250|1|20,2|2236|1|20,2|2222|1|20,2|2208|1|20,2|2194|1|20,2|2180|1|20,2|2166|1|20,2|2152|1|10,2|2138|1|10,2|2124|1|10,2|2110|1|10</v>
      </c>
      <c r="N501" s="333">
        <v>200114</v>
      </c>
      <c r="R501" t="str">
        <f t="shared" si="51"/>
        <v>磐石战甲</v>
      </c>
    </row>
    <row r="502" spans="1:18" ht="16.5" hidden="1">
      <c r="A502" t="str">
        <f t="shared" si="50"/>
        <v>a12</v>
      </c>
      <c r="B502">
        <v>2</v>
      </c>
      <c r="C502" s="222" t="s">
        <v>9287</v>
      </c>
      <c r="D502">
        <f>VLOOKUP(F502,Sheet7!$B:$G,6,0)</f>
        <v>2348</v>
      </c>
      <c r="E502" s="222" t="s">
        <v>9287</v>
      </c>
      <c r="F502" s="331" t="s">
        <v>16012</v>
      </c>
      <c r="G502">
        <v>1</v>
      </c>
      <c r="H502" t="str">
        <f t="shared" si="48"/>
        <v>2|2348|1</v>
      </c>
      <c r="I502" s="222" t="s">
        <v>9287</v>
      </c>
      <c r="J502">
        <v>40</v>
      </c>
      <c r="K502" t="str">
        <f t="shared" si="49"/>
        <v>2|2348|1|40</v>
      </c>
      <c r="L502" t="str">
        <f t="shared" si="46"/>
        <v>2|2348|1,2|2334|1,2|2320|1,2|2306|1,2|2292|1,2|2278|1,2|2264|1,2|2250|1,2|2236|1,2|2222|1,2|2208|1,2|2194|1,2|2180|1,2|2166|1,2|2152|1,2|2138|1,2|2124|1,2|2110|1</v>
      </c>
      <c r="M502" t="str">
        <f t="shared" si="47"/>
        <v>2|2348|1|40,2|2334|1|40,2|2320|1|20,2|2306|1|20,2|2292|1|20,2|2278|1|20,2|2264|1|20,2|2250|1|20,2|2236|1|20,2|2222|1|20,2|2208|1|20,2|2194|1|20,2|2180|1|20,2|2166|1|20,2|2152|1|10,2|2138|1|10,2|2124|1|10,2|2110|1|10</v>
      </c>
      <c r="N502" s="333">
        <v>200115</v>
      </c>
      <c r="R502" t="str">
        <f t="shared" si="51"/>
        <v>磐石长剑</v>
      </c>
    </row>
    <row r="503" spans="1:18" ht="16.5" hidden="1">
      <c r="A503" t="str">
        <f t="shared" si="50"/>
        <v>a12</v>
      </c>
      <c r="B503">
        <v>2</v>
      </c>
      <c r="C503" s="222" t="s">
        <v>9287</v>
      </c>
      <c r="D503">
        <f>VLOOKUP(F503,Sheet7!$B:$G,6,0)</f>
        <v>2362</v>
      </c>
      <c r="E503" s="222" t="s">
        <v>9287</v>
      </c>
      <c r="F503" s="331" t="s">
        <v>16027</v>
      </c>
      <c r="G503">
        <v>1</v>
      </c>
      <c r="H503" t="str">
        <f t="shared" si="48"/>
        <v>2|2362|1</v>
      </c>
      <c r="I503" s="222" t="s">
        <v>9287</v>
      </c>
      <c r="J503">
        <v>40</v>
      </c>
      <c r="K503" t="str">
        <f t="shared" si="49"/>
        <v>2|2362|1|40</v>
      </c>
      <c r="L503" t="str">
        <f t="shared" si="46"/>
        <v>2|2362|1,2|2348|1,2|2334|1,2|2320|1,2|2306|1,2|2292|1,2|2278|1,2|2264|1,2|2250|1,2|2236|1,2|2222|1,2|2208|1,2|2194|1,2|2180|1,2|2166|1,2|2152|1,2|2138|1,2|2124|1,2|2110|1</v>
      </c>
      <c r="M503" t="str">
        <f t="shared" si="47"/>
        <v>2|2362|1|40,2|2348|1|40,2|2334|1|40,2|2320|1|20,2|2306|1|20,2|2292|1|20,2|2278|1|20,2|2264|1|20,2|2250|1|20,2|2236|1|20,2|2222|1|20,2|2208|1|20,2|2194|1|20,2|2180|1|20,2|2166|1|20,2|2152|1|10,2|2138|1|10,2|2124|1|10,2|2110|1|10</v>
      </c>
      <c r="N503" s="333">
        <v>200116</v>
      </c>
      <c r="R503" t="str">
        <f t="shared" si="51"/>
        <v>磐石头盔</v>
      </c>
    </row>
    <row r="504" spans="1:18" ht="16.5" hidden="1">
      <c r="A504" t="str">
        <f t="shared" si="50"/>
        <v>a12</v>
      </c>
      <c r="B504">
        <v>2</v>
      </c>
      <c r="C504" s="222" t="s">
        <v>9287</v>
      </c>
      <c r="D504">
        <f>VLOOKUP(F504,Sheet7!$B:$G,6,0)</f>
        <v>2376</v>
      </c>
      <c r="E504" s="222" t="s">
        <v>9287</v>
      </c>
      <c r="F504" s="331" t="s">
        <v>16042</v>
      </c>
      <c r="G504">
        <v>1</v>
      </c>
      <c r="H504" t="str">
        <f t="shared" si="48"/>
        <v>2|2376|1</v>
      </c>
      <c r="I504" s="222" t="s">
        <v>9287</v>
      </c>
      <c r="J504">
        <v>40</v>
      </c>
      <c r="K504" t="str">
        <f t="shared" si="49"/>
        <v>2|2376|1|40</v>
      </c>
      <c r="L504" t="str">
        <f t="shared" si="46"/>
        <v>2|2376|1,2|2362|1,2|2348|1,2|2334|1,2|2320|1,2|2306|1,2|2292|1,2|2278|1,2|2264|1,2|2250|1,2|2236|1,2|2222|1,2|2208|1,2|2194|1,2|2180|1,2|2166|1,2|2152|1,2|2138|1,2|2124|1,2|2110|1</v>
      </c>
      <c r="M504" t="str">
        <f t="shared" si="47"/>
        <v>2|2376|1|40,2|2362|1|40,2|2348|1|40,2|2334|1|40,2|2320|1|20,2|2306|1|20,2|2292|1|20,2|2278|1|20,2|2264|1|20,2|2250|1|20,2|2236|1|20,2|2222|1|20,2|2208|1|20,2|2194|1|20,2|2180|1|20,2|2166|1|20,2|2152|1|10,2|2138|1|10,2|2124|1|10,2|2110|1|10</v>
      </c>
      <c r="N504" s="333">
        <v>200117</v>
      </c>
      <c r="R504" t="str">
        <f t="shared" si="51"/>
        <v>磐石战靴</v>
      </c>
    </row>
    <row r="505" spans="1:18" ht="16.5" hidden="1">
      <c r="A505" t="str">
        <f t="shared" si="50"/>
        <v>a12</v>
      </c>
      <c r="B505">
        <v>2</v>
      </c>
      <c r="C505" s="222" t="s">
        <v>9287</v>
      </c>
      <c r="D505">
        <f>VLOOKUP(F505,Sheet7!$B:$G,6,0)</f>
        <v>2390</v>
      </c>
      <c r="E505" s="222" t="s">
        <v>9287</v>
      </c>
      <c r="F505" s="331" t="s">
        <v>16057</v>
      </c>
      <c r="G505">
        <v>1</v>
      </c>
      <c r="H505" t="str">
        <f t="shared" si="48"/>
        <v>2|2390|1</v>
      </c>
      <c r="I505" s="222" t="s">
        <v>9287</v>
      </c>
      <c r="J505">
        <v>40</v>
      </c>
      <c r="K505" t="str">
        <f t="shared" si="49"/>
        <v>2|2390|1|40</v>
      </c>
      <c r="L505" t="str">
        <f t="shared" si="46"/>
        <v>2|2390|1,2|2376|1,2|2362|1,2|2348|1,2|2334|1,2|2320|1,2|2306|1,2|2292|1,2|2278|1,2|2264|1,2|2250|1,2|2236|1,2|2222|1,2|2208|1,2|2194|1,2|2180|1,2|2166|1,2|2152|1,2|2138|1,2|2124|1,2|2110|1</v>
      </c>
      <c r="M505" t="str">
        <f t="shared" si="47"/>
        <v>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05" s="333">
        <v>200118</v>
      </c>
      <c r="R505" t="str">
        <f t="shared" si="51"/>
        <v>连云战甲</v>
      </c>
    </row>
    <row r="506" spans="1:18" ht="16.5" hidden="1">
      <c r="A506" t="str">
        <f t="shared" si="50"/>
        <v>a12</v>
      </c>
      <c r="B506">
        <v>2</v>
      </c>
      <c r="C506" s="222" t="s">
        <v>9287</v>
      </c>
      <c r="D506">
        <f>VLOOKUP(F506,Sheet7!$B:$G,6,0)</f>
        <v>2404</v>
      </c>
      <c r="E506" s="222" t="s">
        <v>9287</v>
      </c>
      <c r="F506" s="331" t="s">
        <v>16072</v>
      </c>
      <c r="G506">
        <v>1</v>
      </c>
      <c r="H506" t="str">
        <f t="shared" si="48"/>
        <v>2|2404|1</v>
      </c>
      <c r="I506" s="222" t="s">
        <v>9287</v>
      </c>
      <c r="J506">
        <v>40</v>
      </c>
      <c r="K506" t="str">
        <f t="shared" si="49"/>
        <v>2|2404|1|40</v>
      </c>
      <c r="L506" t="str">
        <f t="shared" si="46"/>
        <v>2|2404|1,2|2390|1,2|2376|1,2|2362|1,2|2348|1,2|2334|1,2|2320|1,2|2306|1,2|2292|1,2|2278|1,2|2264|1,2|2250|1,2|2236|1,2|2222|1,2|2208|1,2|2194|1,2|2180|1,2|2166|1,2|2152|1,2|2138|1,2|2124|1,2|2110|1</v>
      </c>
      <c r="M506" t="str">
        <f t="shared" si="47"/>
        <v>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06" s="333">
        <v>200119</v>
      </c>
      <c r="R506" t="str">
        <f t="shared" si="51"/>
        <v>紫阳长剑</v>
      </c>
    </row>
    <row r="507" spans="1:18" ht="16.5" hidden="1">
      <c r="A507" t="str">
        <f t="shared" si="50"/>
        <v>a12</v>
      </c>
      <c r="B507">
        <v>2</v>
      </c>
      <c r="C507" s="222" t="s">
        <v>9287</v>
      </c>
      <c r="D507">
        <f>VLOOKUP(F507,Sheet7!$B:$G,6,0)</f>
        <v>2418</v>
      </c>
      <c r="E507" s="222" t="s">
        <v>9287</v>
      </c>
      <c r="F507" s="331" t="s">
        <v>16087</v>
      </c>
      <c r="G507">
        <v>1</v>
      </c>
      <c r="H507" t="str">
        <f t="shared" si="48"/>
        <v>2|2418|1</v>
      </c>
      <c r="I507" s="222" t="s">
        <v>9287</v>
      </c>
      <c r="J507">
        <v>40</v>
      </c>
      <c r="K507" t="str">
        <f t="shared" si="49"/>
        <v>2|2418|1|40</v>
      </c>
      <c r="L507" t="str">
        <f t="shared" si="46"/>
        <v>2|2418|1,2|2404|1,2|2390|1,2|2376|1,2|2362|1,2|2348|1,2|2334|1,2|2320|1,2|2306|1,2|2292|1,2|2278|1,2|2264|1,2|2250|1,2|2236|1,2|2222|1,2|2208|1,2|2194|1,2|2180|1,2|2166|1,2|2152|1,2|2138|1,2|2124|1,2|2110|1</v>
      </c>
      <c r="M507" t="str">
        <f t="shared" si="47"/>
        <v>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07" s="333">
        <v>200120</v>
      </c>
      <c r="R507" t="str">
        <f t="shared" si="51"/>
        <v>耀日头盔</v>
      </c>
    </row>
    <row r="508" spans="1:18" ht="16.5" hidden="1">
      <c r="A508" t="str">
        <f t="shared" si="50"/>
        <v>a12</v>
      </c>
      <c r="B508">
        <v>2</v>
      </c>
      <c r="C508" s="222" t="s">
        <v>9287</v>
      </c>
      <c r="D508">
        <f>VLOOKUP(F508,Sheet7!$B:$G,6,0)</f>
        <v>2432</v>
      </c>
      <c r="E508" s="222" t="s">
        <v>9287</v>
      </c>
      <c r="F508" s="331" t="s">
        <v>16102</v>
      </c>
      <c r="G508">
        <v>1</v>
      </c>
      <c r="H508" t="str">
        <f t="shared" si="48"/>
        <v>2|2432|1</v>
      </c>
      <c r="I508" s="222" t="s">
        <v>9287</v>
      </c>
      <c r="J508">
        <v>40</v>
      </c>
      <c r="K508" t="str">
        <f t="shared" si="49"/>
        <v>2|2432|1|40</v>
      </c>
      <c r="L508" t="str">
        <f t="shared" si="46"/>
        <v>2|2432|1,2|2418|1,2|2404|1,2|2390|1,2|2376|1,2|2362|1,2|2348|1,2|2334|1,2|2320|1,2|2306|1,2|2292|1,2|2278|1,2|2264|1,2|2250|1,2|2236|1,2|2222|1,2|2208|1,2|2194|1,2|2180|1,2|2166|1,2|2152|1,2|2138|1,2|2124|1,2|2110|1</v>
      </c>
      <c r="M508" t="str">
        <f t="shared" si="47"/>
        <v>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08" s="333">
        <v>200121</v>
      </c>
      <c r="R508" t="str">
        <f t="shared" si="51"/>
        <v>雷霆战靴</v>
      </c>
    </row>
    <row r="509" spans="1:18" ht="16.5" hidden="1">
      <c r="A509" t="str">
        <f t="shared" si="50"/>
        <v>a12</v>
      </c>
      <c r="B509">
        <v>2</v>
      </c>
      <c r="C509" s="222" t="s">
        <v>9287</v>
      </c>
      <c r="D509">
        <f>VLOOKUP(F509,Sheet7!$B:$G,6,0)</f>
        <v>2446</v>
      </c>
      <c r="E509" s="222" t="s">
        <v>9287</v>
      </c>
      <c r="F509" s="331" t="s">
        <v>16117</v>
      </c>
      <c r="G509">
        <v>1</v>
      </c>
      <c r="H509" t="str">
        <f t="shared" si="48"/>
        <v>2|2446|1</v>
      </c>
      <c r="I509" s="222" t="s">
        <v>9287</v>
      </c>
      <c r="J509">
        <v>40</v>
      </c>
      <c r="K509" t="str">
        <f t="shared" si="49"/>
        <v>2|2446|1|40</v>
      </c>
      <c r="L509" t="str">
        <f t="shared" si="46"/>
        <v>2|2446|1,2|2432|1,2|2418|1,2|2404|1,2|2390|1,2|2376|1,2|2362|1,2|2348|1,2|2334|1,2|2320|1,2|2306|1,2|2292|1,2|2278|1,2|2264|1,2|2250|1,2|2236|1,2|2222|1,2|2208|1,2|2194|1,2|2180|1,2|2166|1,2|2152|1,2|2138|1,2|2124|1,2|2110|1</v>
      </c>
      <c r="M509" t="str">
        <f t="shared" si="47"/>
        <v>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09" s="333">
        <v>200122</v>
      </c>
      <c r="R509" t="str">
        <f t="shared" si="51"/>
        <v>护卫战甲</v>
      </c>
    </row>
    <row r="510" spans="1:18" ht="16.5" hidden="1">
      <c r="A510" t="str">
        <f t="shared" si="50"/>
        <v>a12</v>
      </c>
      <c r="B510">
        <v>2</v>
      </c>
      <c r="C510" s="222" t="s">
        <v>9287</v>
      </c>
      <c r="D510">
        <f>VLOOKUP(F510,Sheet7!$B:$G,6,0)</f>
        <v>2460</v>
      </c>
      <c r="E510" s="222" t="s">
        <v>9287</v>
      </c>
      <c r="F510" s="331" t="s">
        <v>16132</v>
      </c>
      <c r="G510">
        <v>1</v>
      </c>
      <c r="H510" t="str">
        <f t="shared" si="48"/>
        <v>2|2460|1</v>
      </c>
      <c r="I510" s="222" t="s">
        <v>9287</v>
      </c>
      <c r="J510">
        <v>40</v>
      </c>
      <c r="K510" t="str">
        <f t="shared" si="49"/>
        <v>2|2460|1|40</v>
      </c>
      <c r="L510" t="str">
        <f t="shared" si="46"/>
        <v>2|2460|1,2|2446|1,2|2432|1,2|2418|1,2|2404|1,2|2390|1,2|2376|1,2|2362|1,2|2348|1,2|2334|1,2|2320|1,2|2306|1,2|2292|1,2|2278|1,2|2264|1,2|2250|1,2|2236|1,2|2222|1,2|2208|1,2|2194|1,2|2180|1,2|2166|1,2|2152|1,2|2138|1,2|2124|1,2|2110|1</v>
      </c>
      <c r="M510" t="str">
        <f t="shared" si="47"/>
        <v>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0" s="333">
        <v>200123</v>
      </c>
      <c r="R510" t="str">
        <f t="shared" si="51"/>
        <v>护卫长剑</v>
      </c>
    </row>
    <row r="511" spans="1:18" ht="16.5" hidden="1">
      <c r="A511" t="str">
        <f t="shared" si="50"/>
        <v>a12</v>
      </c>
      <c r="B511">
        <v>2</v>
      </c>
      <c r="C511" s="222" t="s">
        <v>9287</v>
      </c>
      <c r="D511">
        <f>VLOOKUP(F511,Sheet7!$B:$G,6,0)</f>
        <v>2474</v>
      </c>
      <c r="E511" s="222" t="s">
        <v>9287</v>
      </c>
      <c r="F511" s="331" t="s">
        <v>16147</v>
      </c>
      <c r="G511">
        <v>1</v>
      </c>
      <c r="H511" t="str">
        <f t="shared" si="48"/>
        <v>2|2474|1</v>
      </c>
      <c r="I511" s="222" t="s">
        <v>9287</v>
      </c>
      <c r="J511">
        <v>40</v>
      </c>
      <c r="K511" t="str">
        <f t="shared" si="49"/>
        <v>2|2474|1|40</v>
      </c>
      <c r="L511" t="str">
        <f t="shared" si="46"/>
        <v>2|2474|1,2|2460|1,2|2446|1,2|2432|1,2|2418|1,2|2404|1,2|2390|1,2|2376|1,2|2362|1,2|2348|1,2|2334|1,2|2320|1,2|2306|1,2|2292|1,2|2278|1,2|2264|1,2|2250|1,2|2236|1,2|2222|1,2|2208|1,2|2194|1,2|2180|1,2|2166|1,2|2152|1,2|2138|1,2|2124|1,2|2110|1</v>
      </c>
      <c r="M511" t="str">
        <f t="shared" si="47"/>
        <v>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1" s="333">
        <v>200124</v>
      </c>
      <c r="R511" t="str">
        <f t="shared" si="51"/>
        <v>护卫头盔</v>
      </c>
    </row>
    <row r="512" spans="1:18" ht="16.5" hidden="1">
      <c r="A512" t="str">
        <f t="shared" si="50"/>
        <v>a12</v>
      </c>
      <c r="B512">
        <v>2</v>
      </c>
      <c r="C512" s="222" t="s">
        <v>9287</v>
      </c>
      <c r="D512">
        <f>VLOOKUP(F512,Sheet7!$B:$G,6,0)</f>
        <v>2488</v>
      </c>
      <c r="E512" s="222" t="s">
        <v>9287</v>
      </c>
      <c r="F512" s="331" t="s">
        <v>16162</v>
      </c>
      <c r="G512">
        <v>1</v>
      </c>
      <c r="H512" t="str">
        <f t="shared" si="48"/>
        <v>2|2488|1</v>
      </c>
      <c r="I512" s="222" t="s">
        <v>9287</v>
      </c>
      <c r="J512">
        <v>40</v>
      </c>
      <c r="K512" t="str">
        <f t="shared" si="49"/>
        <v>2|2488|1|40</v>
      </c>
      <c r="L512" t="str">
        <f t="shared" si="46"/>
        <v>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2" t="str">
        <f t="shared" si="47"/>
        <v>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2" s="333">
        <v>2002</v>
      </c>
      <c r="R512" t="str">
        <f t="shared" si="51"/>
        <v>护卫战靴</v>
      </c>
    </row>
    <row r="513" spans="1:18" ht="16.5" hidden="1">
      <c r="A513" t="str">
        <f t="shared" si="50"/>
        <v>a12</v>
      </c>
      <c r="B513">
        <v>2</v>
      </c>
      <c r="C513" s="222" t="s">
        <v>9287</v>
      </c>
      <c r="D513">
        <f>VLOOKUP(F513,Sheet7!$B:$G,6,0)</f>
        <v>2502</v>
      </c>
      <c r="E513" s="222" t="s">
        <v>9287</v>
      </c>
      <c r="F513" s="331" t="s">
        <v>16177</v>
      </c>
      <c r="G513">
        <v>1</v>
      </c>
      <c r="H513" t="str">
        <f t="shared" si="48"/>
        <v>2|2502|1</v>
      </c>
      <c r="I513" s="222" t="s">
        <v>9287</v>
      </c>
      <c r="J513">
        <v>40</v>
      </c>
      <c r="K513" t="str">
        <f t="shared" si="49"/>
        <v>2|2502|1|40</v>
      </c>
      <c r="L513" t="str">
        <f t="shared" si="46"/>
        <v>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3" t="str">
        <f t="shared" si="47"/>
        <v>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3" s="333">
        <v>200211</v>
      </c>
      <c r="R513" t="str">
        <f t="shared" si="51"/>
        <v>破魔战甲</v>
      </c>
    </row>
    <row r="514" spans="1:18" ht="16.5" hidden="1">
      <c r="A514" t="str">
        <f t="shared" si="50"/>
        <v>a12</v>
      </c>
      <c r="B514">
        <v>2</v>
      </c>
      <c r="C514" s="222" t="s">
        <v>9287</v>
      </c>
      <c r="D514">
        <f>VLOOKUP(F514,Sheet7!$B:$G,6,0)</f>
        <v>2516</v>
      </c>
      <c r="E514" s="222" t="s">
        <v>9287</v>
      </c>
      <c r="F514" s="331" t="s">
        <v>16192</v>
      </c>
      <c r="G514">
        <v>1</v>
      </c>
      <c r="H514" t="str">
        <f t="shared" si="48"/>
        <v>2|2516|1</v>
      </c>
      <c r="I514" s="222" t="s">
        <v>9287</v>
      </c>
      <c r="J514">
        <v>40</v>
      </c>
      <c r="K514" t="str">
        <f t="shared" si="49"/>
        <v>2|2516|1|40</v>
      </c>
      <c r="L514" t="str">
        <f t="shared" si="46"/>
        <v>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4" t="str">
        <f t="shared" si="47"/>
        <v>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4" s="333">
        <v>200212</v>
      </c>
      <c r="R514" t="str">
        <f t="shared" si="51"/>
        <v>破魔长剑</v>
      </c>
    </row>
    <row r="515" spans="1:18" ht="16.5" hidden="1">
      <c r="A515" t="str">
        <f t="shared" si="50"/>
        <v>a12</v>
      </c>
      <c r="B515">
        <v>2</v>
      </c>
      <c r="C515" s="222" t="s">
        <v>9287</v>
      </c>
      <c r="D515">
        <f>VLOOKUP(F515,Sheet7!$B:$G,6,0)</f>
        <v>2530</v>
      </c>
      <c r="E515" s="222" t="s">
        <v>9287</v>
      </c>
      <c r="F515" s="331" t="s">
        <v>16207</v>
      </c>
      <c r="G515">
        <v>1</v>
      </c>
      <c r="H515" t="str">
        <f t="shared" si="48"/>
        <v>2|2530|1</v>
      </c>
      <c r="I515" s="222" t="s">
        <v>9287</v>
      </c>
      <c r="J515">
        <v>40</v>
      </c>
      <c r="K515" t="str">
        <f t="shared" si="49"/>
        <v>2|2530|1|40</v>
      </c>
      <c r="L515" t="str">
        <f t="shared" si="46"/>
        <v>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5" t="str">
        <f t="shared" si="47"/>
        <v>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5" s="333">
        <v>200213</v>
      </c>
      <c r="R515" t="str">
        <f t="shared" si="51"/>
        <v>破魔头盔</v>
      </c>
    </row>
    <row r="516" spans="1:18" ht="16.5" hidden="1">
      <c r="A516" t="str">
        <f t="shared" si="50"/>
        <v>a12</v>
      </c>
      <c r="B516">
        <v>2</v>
      </c>
      <c r="C516" s="222" t="s">
        <v>9287</v>
      </c>
      <c r="D516">
        <f>VLOOKUP(F516,Sheet7!$B:$G,6,0)</f>
        <v>2544</v>
      </c>
      <c r="E516" s="222" t="s">
        <v>9287</v>
      </c>
      <c r="F516" s="331" t="s">
        <v>16222</v>
      </c>
      <c r="G516">
        <v>1</v>
      </c>
      <c r="H516" t="str">
        <f t="shared" si="48"/>
        <v>2|2544|1</v>
      </c>
      <c r="I516" s="222" t="s">
        <v>9287</v>
      </c>
      <c r="J516">
        <v>40</v>
      </c>
      <c r="K516" t="str">
        <f t="shared" si="49"/>
        <v>2|2544|1|40</v>
      </c>
      <c r="L516" t="str">
        <f t="shared" ref="L516:L579" si="52">IF(A516=A515,H516&amp;","&amp;L515,H516)</f>
        <v>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6" t="str">
        <f t="shared" ref="M516:M579" si="53">IF(A516=A515,K516&amp;","&amp;M515,K516)</f>
        <v>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6" s="333">
        <v>200214</v>
      </c>
      <c r="R516" t="str">
        <f t="shared" si="51"/>
        <v>破魔战靴</v>
      </c>
    </row>
    <row r="517" spans="1:18" ht="16.5" hidden="1">
      <c r="A517" t="str">
        <f t="shared" si="50"/>
        <v>a12</v>
      </c>
      <c r="B517">
        <v>2</v>
      </c>
      <c r="C517" s="222" t="s">
        <v>9287</v>
      </c>
      <c r="D517">
        <f>VLOOKUP(F517,Sheet7!$B:$G,6,0)</f>
        <v>2558</v>
      </c>
      <c r="E517" s="222" t="s">
        <v>9287</v>
      </c>
      <c r="F517" s="331" t="s">
        <v>16237</v>
      </c>
      <c r="G517">
        <v>1</v>
      </c>
      <c r="H517" t="str">
        <f t="shared" si="48"/>
        <v>2|2558|1</v>
      </c>
      <c r="I517" s="222" t="s">
        <v>9287</v>
      </c>
      <c r="J517">
        <v>40</v>
      </c>
      <c r="K517" t="str">
        <f t="shared" si="49"/>
        <v>2|2558|1|40</v>
      </c>
      <c r="L517" t="str">
        <f t="shared" si="52"/>
        <v>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7" t="str">
        <f t="shared" si="53"/>
        <v>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7" s="333">
        <v>200215</v>
      </c>
      <c r="R517" t="str">
        <f t="shared" si="51"/>
        <v>赤血战甲</v>
      </c>
    </row>
    <row r="518" spans="1:18" ht="16.5" hidden="1">
      <c r="A518" t="str">
        <f t="shared" si="50"/>
        <v>a12</v>
      </c>
      <c r="B518">
        <v>2</v>
      </c>
      <c r="C518" s="222" t="s">
        <v>9287</v>
      </c>
      <c r="D518">
        <f>VLOOKUP(F518,Sheet7!$B:$G,6,0)</f>
        <v>2572</v>
      </c>
      <c r="E518" s="222" t="s">
        <v>9287</v>
      </c>
      <c r="F518" s="331" t="s">
        <v>16252</v>
      </c>
      <c r="G518">
        <v>1</v>
      </c>
      <c r="H518" t="str">
        <f t="shared" si="48"/>
        <v>2|2572|1</v>
      </c>
      <c r="I518" s="222" t="s">
        <v>9287</v>
      </c>
      <c r="J518">
        <v>40</v>
      </c>
      <c r="K518" t="str">
        <f t="shared" si="49"/>
        <v>2|2572|1|40</v>
      </c>
      <c r="L518" t="str">
        <f t="shared" si="52"/>
        <v>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8" t="str">
        <f t="shared" si="53"/>
        <v>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8" s="333">
        <v>200216</v>
      </c>
      <c r="R518" t="str">
        <f t="shared" si="51"/>
        <v>青锋长剑</v>
      </c>
    </row>
    <row r="519" spans="1:18" ht="16.5" hidden="1">
      <c r="A519" t="str">
        <f t="shared" si="50"/>
        <v>a12</v>
      </c>
      <c r="B519">
        <v>2</v>
      </c>
      <c r="C519" s="222" t="s">
        <v>9287</v>
      </c>
      <c r="D519">
        <f>VLOOKUP(F519,Sheet7!$B:$G,6,0)</f>
        <v>2586</v>
      </c>
      <c r="E519" s="222" t="s">
        <v>9287</v>
      </c>
      <c r="F519" s="331" t="s">
        <v>16267</v>
      </c>
      <c r="G519">
        <v>1</v>
      </c>
      <c r="H519" t="str">
        <f t="shared" si="48"/>
        <v>2|2586|1</v>
      </c>
      <c r="I519" s="222" t="s">
        <v>9287</v>
      </c>
      <c r="J519">
        <v>40</v>
      </c>
      <c r="K519" t="str">
        <f t="shared" si="49"/>
        <v>2|2586|1|40</v>
      </c>
      <c r="L519" t="str">
        <f t="shared" si="52"/>
        <v>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19" t="str">
        <f t="shared" si="53"/>
        <v>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19" s="333">
        <v>200217</v>
      </c>
      <c r="R519" t="str">
        <f t="shared" si="51"/>
        <v>雁虞头盔</v>
      </c>
    </row>
    <row r="520" spans="1:18" ht="16.5" hidden="1">
      <c r="A520" t="str">
        <f t="shared" si="50"/>
        <v>a12</v>
      </c>
      <c r="B520">
        <v>2</v>
      </c>
      <c r="C520" s="222" t="s">
        <v>9287</v>
      </c>
      <c r="D520">
        <f>VLOOKUP(F520,Sheet7!$B:$G,6,0)</f>
        <v>2600</v>
      </c>
      <c r="E520" s="222" t="s">
        <v>9287</v>
      </c>
      <c r="F520" s="331" t="s">
        <v>16282</v>
      </c>
      <c r="G520">
        <v>1</v>
      </c>
      <c r="H520" t="str">
        <f t="shared" si="48"/>
        <v>2|2600|1</v>
      </c>
      <c r="I520" s="222" t="s">
        <v>9287</v>
      </c>
      <c r="J520">
        <v>40</v>
      </c>
      <c r="K520" t="str">
        <f t="shared" si="49"/>
        <v>2|2600|1|40</v>
      </c>
      <c r="L520" t="str">
        <f t="shared" si="52"/>
        <v>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0" t="str">
        <f t="shared" si="53"/>
        <v>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0" s="333">
        <v>200218</v>
      </c>
      <c r="R520" t="str">
        <f t="shared" si="51"/>
        <v>无影战靴</v>
      </c>
    </row>
    <row r="521" spans="1:18" ht="16.5" hidden="1">
      <c r="A521" t="str">
        <f t="shared" si="50"/>
        <v>a12</v>
      </c>
      <c r="B521">
        <v>2</v>
      </c>
      <c r="C521" s="222" t="s">
        <v>9287</v>
      </c>
      <c r="D521">
        <f>VLOOKUP(F521,Sheet7!$B:$G,6,0)</f>
        <v>2614</v>
      </c>
      <c r="E521" s="222" t="s">
        <v>9287</v>
      </c>
      <c r="F521" s="331" t="s">
        <v>16297</v>
      </c>
      <c r="G521">
        <v>1</v>
      </c>
      <c r="H521" t="str">
        <f t="shared" si="48"/>
        <v>2|2614|1</v>
      </c>
      <c r="I521" s="222" t="s">
        <v>9287</v>
      </c>
      <c r="J521">
        <v>40</v>
      </c>
      <c r="K521" t="str">
        <f t="shared" si="49"/>
        <v>2|2614|1|40</v>
      </c>
      <c r="L521" t="str">
        <f t="shared" si="52"/>
        <v>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1" t="str">
        <f t="shared" si="53"/>
        <v>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1" s="333">
        <v>200219</v>
      </c>
      <c r="R521" t="str">
        <f t="shared" si="51"/>
        <v>行者战甲</v>
      </c>
    </row>
    <row r="522" spans="1:18" ht="16.5" hidden="1">
      <c r="A522" t="str">
        <f t="shared" si="50"/>
        <v>a12</v>
      </c>
      <c r="B522">
        <v>2</v>
      </c>
      <c r="C522" s="222" t="s">
        <v>9287</v>
      </c>
      <c r="D522">
        <f>VLOOKUP(F522,Sheet7!$B:$G,6,0)</f>
        <v>2628</v>
      </c>
      <c r="E522" s="222" t="s">
        <v>9287</v>
      </c>
      <c r="F522" s="331" t="s">
        <v>16312</v>
      </c>
      <c r="G522">
        <v>1</v>
      </c>
      <c r="H522" t="str">
        <f t="shared" ref="H522:H581" si="54">B522&amp;C522&amp;D522&amp;E522&amp;G522</f>
        <v>2|2628|1</v>
      </c>
      <c r="I522" s="222" t="s">
        <v>9287</v>
      </c>
      <c r="J522">
        <v>40</v>
      </c>
      <c r="K522" t="str">
        <f t="shared" ref="K522:K581" si="55">H522&amp;I522&amp;J522</f>
        <v>2|2628|1|40</v>
      </c>
      <c r="L522" t="str">
        <f t="shared" si="52"/>
        <v>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2" t="str">
        <f t="shared" si="53"/>
        <v>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2" s="333">
        <v>200220</v>
      </c>
      <c r="R522" t="str">
        <f t="shared" si="51"/>
        <v>精铁长剑</v>
      </c>
    </row>
    <row r="523" spans="1:18" ht="16.5" hidden="1">
      <c r="A523" t="str">
        <f t="shared" si="50"/>
        <v>a12</v>
      </c>
      <c r="B523">
        <v>2</v>
      </c>
      <c r="C523" s="222" t="s">
        <v>9287</v>
      </c>
      <c r="D523">
        <f>VLOOKUP(F523,Sheet7!$B:$G,6,0)</f>
        <v>2642</v>
      </c>
      <c r="E523" s="222" t="s">
        <v>9287</v>
      </c>
      <c r="F523" s="331" t="s">
        <v>16327</v>
      </c>
      <c r="G523">
        <v>1</v>
      </c>
      <c r="H523" t="str">
        <f t="shared" si="54"/>
        <v>2|2642|1</v>
      </c>
      <c r="I523" s="222" t="s">
        <v>9287</v>
      </c>
      <c r="J523">
        <v>40</v>
      </c>
      <c r="K523" t="str">
        <f t="shared" si="55"/>
        <v>2|2642|1|40</v>
      </c>
      <c r="L523" t="str">
        <f t="shared" si="52"/>
        <v>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3" t="str">
        <f t="shared" si="53"/>
        <v>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3" s="333">
        <v>200221</v>
      </c>
      <c r="R523" t="str">
        <f t="shared" si="51"/>
        <v>虹影头盔</v>
      </c>
    </row>
    <row r="524" spans="1:18" ht="16.5" hidden="1">
      <c r="A524" t="str">
        <f t="shared" si="50"/>
        <v>a12</v>
      </c>
      <c r="B524">
        <v>2</v>
      </c>
      <c r="C524" s="222" t="s">
        <v>9287</v>
      </c>
      <c r="D524">
        <f>VLOOKUP(F524,Sheet7!$B:$G,6,0)</f>
        <v>2656</v>
      </c>
      <c r="E524" s="222" t="s">
        <v>9287</v>
      </c>
      <c r="F524" s="331" t="s">
        <v>16342</v>
      </c>
      <c r="G524">
        <v>1</v>
      </c>
      <c r="H524" t="str">
        <f t="shared" si="54"/>
        <v>2|2656|1</v>
      </c>
      <c r="I524" s="222" t="s">
        <v>9287</v>
      </c>
      <c r="J524">
        <v>40</v>
      </c>
      <c r="K524" t="str">
        <f t="shared" si="55"/>
        <v>2|2656|1|40</v>
      </c>
      <c r="L524" t="str">
        <f t="shared" si="52"/>
        <v>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4" t="str">
        <f t="shared" si="53"/>
        <v>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4" s="333">
        <v>200222</v>
      </c>
      <c r="R524" t="str">
        <f t="shared" si="51"/>
        <v>千里战靴</v>
      </c>
    </row>
    <row r="525" spans="1:18" ht="16.5" hidden="1">
      <c r="A525" t="str">
        <f t="shared" si="50"/>
        <v>a12</v>
      </c>
      <c r="B525">
        <v>2</v>
      </c>
      <c r="C525" s="222" t="s">
        <v>9287</v>
      </c>
      <c r="D525">
        <f>VLOOKUP(F525,Sheet7!$B:$G,6,0)</f>
        <v>2670</v>
      </c>
      <c r="E525" s="222" t="s">
        <v>9287</v>
      </c>
      <c r="F525" s="331" t="s">
        <v>16357</v>
      </c>
      <c r="G525">
        <v>1</v>
      </c>
      <c r="H525" t="str">
        <f t="shared" si="54"/>
        <v>2|2670|1</v>
      </c>
      <c r="I525" s="222" t="s">
        <v>9287</v>
      </c>
      <c r="J525">
        <v>40</v>
      </c>
      <c r="K525" t="str">
        <f t="shared" si="55"/>
        <v>2|2670|1|40</v>
      </c>
      <c r="L525" t="str">
        <f t="shared" si="52"/>
        <v>2|2670|1,2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5" t="str">
        <f t="shared" si="53"/>
        <v>2|2670|1|40,2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5" s="333">
        <v>200223</v>
      </c>
      <c r="R525" t="str">
        <f t="shared" si="51"/>
        <v>封魔战甲</v>
      </c>
    </row>
    <row r="526" spans="1:18" ht="16.5" hidden="1">
      <c r="A526" t="str">
        <f t="shared" si="50"/>
        <v>a12</v>
      </c>
      <c r="B526">
        <v>2</v>
      </c>
      <c r="C526" s="222" t="s">
        <v>9287</v>
      </c>
      <c r="D526">
        <f>VLOOKUP(F526,Sheet7!$B:$G,6,0)</f>
        <v>2684</v>
      </c>
      <c r="E526" s="222" t="s">
        <v>9287</v>
      </c>
      <c r="F526" s="331" t="s">
        <v>16372</v>
      </c>
      <c r="G526">
        <v>1</v>
      </c>
      <c r="H526" t="str">
        <f t="shared" si="54"/>
        <v>2|2684|1</v>
      </c>
      <c r="I526" s="222" t="s">
        <v>9287</v>
      </c>
      <c r="J526">
        <v>40</v>
      </c>
      <c r="K526" t="str">
        <f t="shared" si="55"/>
        <v>2|2684|1|40</v>
      </c>
      <c r="L526" t="str">
        <f t="shared" si="52"/>
        <v>2|2684|1,2|2670|1,2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6" t="str">
        <f t="shared" si="53"/>
        <v>2|2684|1|40,2|2670|1|40,2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6" s="333">
        <v>200224</v>
      </c>
      <c r="R526" t="str">
        <f t="shared" si="51"/>
        <v>封魔长剑</v>
      </c>
    </row>
    <row r="527" spans="1:18" ht="16.5" hidden="1">
      <c r="A527" t="str">
        <f t="shared" si="50"/>
        <v>a12</v>
      </c>
      <c r="B527">
        <v>2</v>
      </c>
      <c r="C527" s="222" t="s">
        <v>9287</v>
      </c>
      <c r="D527">
        <f>VLOOKUP(F527,Sheet7!$B:$G,6,0)</f>
        <v>2698</v>
      </c>
      <c r="E527" s="222" t="s">
        <v>9287</v>
      </c>
      <c r="F527" s="331" t="s">
        <v>16387</v>
      </c>
      <c r="G527">
        <v>1</v>
      </c>
      <c r="H527" t="str">
        <f t="shared" si="54"/>
        <v>2|2698|1</v>
      </c>
      <c r="I527" s="222" t="s">
        <v>9287</v>
      </c>
      <c r="J527">
        <v>40</v>
      </c>
      <c r="K527" t="str">
        <f t="shared" si="55"/>
        <v>2|2698|1|40</v>
      </c>
      <c r="L527" t="str">
        <f t="shared" si="52"/>
        <v>2|2698|1,2|2684|1,2|2670|1,2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7" t="str">
        <f t="shared" si="53"/>
        <v>2|2698|1|40,2|2684|1|40,2|2670|1|40,2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7" s="333">
        <v>2003</v>
      </c>
      <c r="R527" t="str">
        <f t="shared" si="51"/>
        <v>封魔头盔</v>
      </c>
    </row>
    <row r="528" spans="1:18" ht="16.5">
      <c r="A528" t="str">
        <f t="shared" si="50"/>
        <v>a12</v>
      </c>
      <c r="B528">
        <v>2</v>
      </c>
      <c r="C528" s="222" t="s">
        <v>9287</v>
      </c>
      <c r="D528">
        <f>VLOOKUP(F528,Sheet7!$B:$G,6,0)</f>
        <v>2712</v>
      </c>
      <c r="E528" s="222" t="s">
        <v>9287</v>
      </c>
      <c r="F528" s="331" t="s">
        <v>16402</v>
      </c>
      <c r="G528">
        <v>1</v>
      </c>
      <c r="H528" t="str">
        <f t="shared" si="54"/>
        <v>2|2712|1</v>
      </c>
      <c r="I528" s="222" t="s">
        <v>9287</v>
      </c>
      <c r="J528">
        <v>40</v>
      </c>
      <c r="K528" t="str">
        <f t="shared" si="55"/>
        <v>2|2712|1|40</v>
      </c>
      <c r="L528" t="str">
        <f t="shared" si="52"/>
        <v>2|2712|1,2|2698|1,2|2684|1,2|2670|1,2|2656|1,2|2642|1,2|2628|1,2|2614|1,2|2600|1,2|2586|1,2|2572|1,2|2558|1,2|2544|1,2|2530|1,2|2516|1,2|2502|1,2|2488|1,2|2474|1,2|2460|1,2|2446|1,2|2432|1,2|2418|1,2|2404|1,2|2390|1,2|2376|1,2|2362|1,2|2348|1,2|2334|1,2|2320|1,2|2306|1,2|2292|1,2|2278|1,2|2264|1,2|2250|1,2|2236|1,2|2222|1,2|2208|1,2|2194|1,2|2180|1,2|2166|1,2|2152|1,2|2138|1,2|2124|1,2|2110|1</v>
      </c>
      <c r="M528" t="str">
        <f t="shared" si="53"/>
        <v>2|2712|1|40,2|2698|1|40,2|2684|1|40,2|2670|1|40,2|2656|1|40,2|2642|1|40,2|2628|1|40,2|2614|1|40,2|2600|1|40,2|2586|1|40,2|2572|1|40,2|2558|1|40,2|2544|1|40,2|2530|1|40,2|2516|1|40,2|2502|1|40,2|2488|1|40,2|2474|1|40,2|2460|1|40,2|2446|1|40,2|2432|1|40,2|2418|1|40,2|2404|1|40,2|2390|1|40,2|2376|1|40,2|2362|1|40,2|2348|1|40,2|2334|1|40,2|2320|1|20,2|2306|1|20,2|2292|1|20,2|2278|1|20,2|2264|1|20,2|2250|1|20,2|2236|1|20,2|2222|1|20,2|2208|1|20,2|2194|1|20,2|2180|1|20,2|2166|1|20,2|2152|1|10,2|2138|1|10,2|2124|1|10,2|2110|1|10</v>
      </c>
      <c r="N528" s="333">
        <v>200311</v>
      </c>
      <c r="R528" t="str">
        <f t="shared" si="51"/>
        <v>封魔战靴</v>
      </c>
    </row>
    <row r="529" spans="1:18" ht="16.5" hidden="1">
      <c r="A529" t="str">
        <f t="shared" si="50"/>
        <v>a13</v>
      </c>
      <c r="B529">
        <v>2</v>
      </c>
      <c r="C529" s="222" t="s">
        <v>9287</v>
      </c>
      <c r="D529">
        <f>VLOOKUP(F529,Sheet7!$B:$G,6,0)</f>
        <v>2111</v>
      </c>
      <c r="E529" s="222" t="s">
        <v>9287</v>
      </c>
      <c r="F529" s="331" t="s">
        <v>15758</v>
      </c>
      <c r="G529">
        <v>1</v>
      </c>
      <c r="H529" t="str">
        <f t="shared" si="54"/>
        <v>2|2111|1</v>
      </c>
      <c r="I529" s="222" t="s">
        <v>9287</v>
      </c>
      <c r="J529">
        <v>10</v>
      </c>
      <c r="K529" t="str">
        <f t="shared" si="55"/>
        <v>2|2111|1|10</v>
      </c>
      <c r="L529" t="str">
        <f t="shared" si="52"/>
        <v>2|2111|1</v>
      </c>
      <c r="M529" t="str">
        <f t="shared" si="53"/>
        <v>2|2111|1|10</v>
      </c>
      <c r="N529" s="333">
        <v>200312</v>
      </c>
      <c r="R529" t="str">
        <f t="shared" si="51"/>
        <v>蚩尤战甲</v>
      </c>
    </row>
    <row r="530" spans="1:18" ht="16.5" hidden="1">
      <c r="A530" t="str">
        <f t="shared" si="50"/>
        <v>a13</v>
      </c>
      <c r="B530">
        <v>2</v>
      </c>
      <c r="C530" s="222" t="s">
        <v>9287</v>
      </c>
      <c r="D530">
        <f>VLOOKUP(F530,Sheet7!$B:$G,6,0)</f>
        <v>2125</v>
      </c>
      <c r="E530" s="222" t="s">
        <v>9287</v>
      </c>
      <c r="F530" s="331" t="s">
        <v>15773</v>
      </c>
      <c r="G530">
        <v>1</v>
      </c>
      <c r="H530" t="str">
        <f t="shared" si="54"/>
        <v>2|2125|1</v>
      </c>
      <c r="I530" s="222" t="s">
        <v>9287</v>
      </c>
      <c r="J530">
        <v>10</v>
      </c>
      <c r="K530" t="str">
        <f t="shared" si="55"/>
        <v>2|2125|1|10</v>
      </c>
      <c r="L530" t="str">
        <f t="shared" si="52"/>
        <v>2|2125|1,2|2111|1</v>
      </c>
      <c r="M530" t="str">
        <f t="shared" si="53"/>
        <v>2|2125|1|10,2|2111|1|10</v>
      </c>
      <c r="N530" s="333">
        <v>200313</v>
      </c>
      <c r="R530" t="str">
        <f t="shared" si="51"/>
        <v>蚩尤长剑</v>
      </c>
    </row>
    <row r="531" spans="1:18" ht="16.5" hidden="1">
      <c r="A531" t="str">
        <f t="shared" si="50"/>
        <v>a13</v>
      </c>
      <c r="B531">
        <v>2</v>
      </c>
      <c r="C531" s="222" t="s">
        <v>9287</v>
      </c>
      <c r="D531">
        <f>VLOOKUP(F531,Sheet7!$B:$G,6,0)</f>
        <v>2139</v>
      </c>
      <c r="E531" s="222" t="s">
        <v>9287</v>
      </c>
      <c r="F531" s="331" t="s">
        <v>15788</v>
      </c>
      <c r="G531">
        <v>1</v>
      </c>
      <c r="H531" t="str">
        <f t="shared" si="54"/>
        <v>2|2139|1</v>
      </c>
      <c r="I531" s="222" t="s">
        <v>9287</v>
      </c>
      <c r="J531">
        <v>10</v>
      </c>
      <c r="K531" t="str">
        <f t="shared" si="55"/>
        <v>2|2139|1|10</v>
      </c>
      <c r="L531" t="str">
        <f t="shared" si="52"/>
        <v>2|2139|1,2|2125|1,2|2111|1</v>
      </c>
      <c r="M531" t="str">
        <f t="shared" si="53"/>
        <v>2|2139|1|10,2|2125|1|10,2|2111|1|10</v>
      </c>
      <c r="N531" s="333">
        <v>200314</v>
      </c>
      <c r="R531" t="str">
        <f t="shared" si="51"/>
        <v>蚩尤头盔</v>
      </c>
    </row>
    <row r="532" spans="1:18" ht="16.5" hidden="1">
      <c r="A532" t="str">
        <f t="shared" si="50"/>
        <v>a13</v>
      </c>
      <c r="B532">
        <v>2</v>
      </c>
      <c r="C532" s="222" t="s">
        <v>9287</v>
      </c>
      <c r="D532">
        <f>VLOOKUP(F532,Sheet7!$B:$G,6,0)</f>
        <v>2153</v>
      </c>
      <c r="E532" s="222" t="s">
        <v>9287</v>
      </c>
      <c r="F532" s="331" t="s">
        <v>15803</v>
      </c>
      <c r="G532">
        <v>1</v>
      </c>
      <c r="H532" t="str">
        <f t="shared" si="54"/>
        <v>2|2153|1</v>
      </c>
      <c r="I532" s="222" t="s">
        <v>9287</v>
      </c>
      <c r="J532">
        <v>10</v>
      </c>
      <c r="K532" t="str">
        <f t="shared" si="55"/>
        <v>2|2153|1|10</v>
      </c>
      <c r="L532" t="str">
        <f t="shared" si="52"/>
        <v>2|2153|1,2|2139|1,2|2125|1,2|2111|1</v>
      </c>
      <c r="M532" t="str">
        <f t="shared" si="53"/>
        <v>2|2153|1|10,2|2139|1|10,2|2125|1|10,2|2111|1|10</v>
      </c>
      <c r="N532" s="333">
        <v>200315</v>
      </c>
      <c r="R532" t="str">
        <f t="shared" si="51"/>
        <v>蚩尤战靴</v>
      </c>
    </row>
    <row r="533" spans="1:18" ht="16.5" hidden="1">
      <c r="A533" t="str">
        <f t="shared" si="50"/>
        <v>a13</v>
      </c>
      <c r="B533">
        <v>2</v>
      </c>
      <c r="C533" s="222" t="s">
        <v>9287</v>
      </c>
      <c r="D533">
        <f>VLOOKUP(F533,Sheet7!$B:$G,6,0)</f>
        <v>2167</v>
      </c>
      <c r="E533" s="222" t="s">
        <v>9287</v>
      </c>
      <c r="F533" s="331" t="s">
        <v>15818</v>
      </c>
      <c r="G533">
        <v>1</v>
      </c>
      <c r="H533" t="str">
        <f t="shared" si="54"/>
        <v>2|2167|1</v>
      </c>
      <c r="I533" s="222" t="s">
        <v>9287</v>
      </c>
      <c r="J533">
        <v>20</v>
      </c>
      <c r="K533" t="str">
        <f t="shared" si="55"/>
        <v>2|2167|1|20</v>
      </c>
      <c r="L533" t="str">
        <f t="shared" si="52"/>
        <v>2|2167|1,2|2153|1,2|2139|1,2|2125|1,2|2111|1</v>
      </c>
      <c r="M533" t="str">
        <f t="shared" si="53"/>
        <v>2|2167|1|20,2|2153|1|10,2|2139|1|10,2|2125|1|10,2|2111|1|10</v>
      </c>
      <c r="N533" s="333">
        <v>200316</v>
      </c>
      <c r="R533" t="str">
        <f t="shared" si="51"/>
        <v>天罡战甲</v>
      </c>
    </row>
    <row r="534" spans="1:18" ht="16.5" hidden="1">
      <c r="A534" t="str">
        <f t="shared" ref="A534:A597" si="56">LEFT(F534,3)</f>
        <v>a13</v>
      </c>
      <c r="B534">
        <v>2</v>
      </c>
      <c r="C534" s="222" t="s">
        <v>9287</v>
      </c>
      <c r="D534">
        <f>VLOOKUP(F534,Sheet7!$B:$G,6,0)</f>
        <v>2181</v>
      </c>
      <c r="E534" s="222" t="s">
        <v>9287</v>
      </c>
      <c r="F534" s="331" t="s">
        <v>15833</v>
      </c>
      <c r="G534">
        <v>1</v>
      </c>
      <c r="H534" t="str">
        <f t="shared" si="54"/>
        <v>2|2181|1</v>
      </c>
      <c r="I534" s="222" t="s">
        <v>9287</v>
      </c>
      <c r="J534">
        <v>20</v>
      </c>
      <c r="K534" t="str">
        <f t="shared" si="55"/>
        <v>2|2181|1|20</v>
      </c>
      <c r="L534" t="str">
        <f t="shared" si="52"/>
        <v>2|2181|1,2|2167|1,2|2153|1,2|2139|1,2|2125|1,2|2111|1</v>
      </c>
      <c r="M534" t="str">
        <f t="shared" si="53"/>
        <v>2|2181|1|20,2|2167|1|20,2|2153|1|10,2|2139|1|10,2|2125|1|10,2|2111|1|10</v>
      </c>
      <c r="N534" s="333">
        <v>200317</v>
      </c>
      <c r="R534" t="str">
        <f t="shared" ref="R534:R597" si="57">RIGHT(F534,4)</f>
        <v>天罡长剑</v>
      </c>
    </row>
    <row r="535" spans="1:18" ht="16.5" hidden="1">
      <c r="A535" t="str">
        <f t="shared" si="56"/>
        <v>a13</v>
      </c>
      <c r="B535">
        <v>2</v>
      </c>
      <c r="C535" s="222" t="s">
        <v>9287</v>
      </c>
      <c r="D535">
        <f>VLOOKUP(F535,Sheet7!$B:$G,6,0)</f>
        <v>2195</v>
      </c>
      <c r="E535" s="222" t="s">
        <v>9287</v>
      </c>
      <c r="F535" s="331" t="s">
        <v>15848</v>
      </c>
      <c r="G535">
        <v>1</v>
      </c>
      <c r="H535" t="str">
        <f t="shared" si="54"/>
        <v>2|2195|1</v>
      </c>
      <c r="I535" s="222" t="s">
        <v>9287</v>
      </c>
      <c r="J535">
        <v>20</v>
      </c>
      <c r="K535" t="str">
        <f t="shared" si="55"/>
        <v>2|2195|1|20</v>
      </c>
      <c r="L535" t="str">
        <f t="shared" si="52"/>
        <v>2|2195|1,2|2181|1,2|2167|1,2|2153|1,2|2139|1,2|2125|1,2|2111|1</v>
      </c>
      <c r="M535" t="str">
        <f t="shared" si="53"/>
        <v>2|2195|1|20,2|2181|1|20,2|2167|1|20,2|2153|1|10,2|2139|1|10,2|2125|1|10,2|2111|1|10</v>
      </c>
      <c r="N535" s="333">
        <v>200318</v>
      </c>
      <c r="R535" t="str">
        <f t="shared" si="57"/>
        <v>天罡头盔</v>
      </c>
    </row>
    <row r="536" spans="1:18" ht="16.5" hidden="1">
      <c r="A536" t="str">
        <f t="shared" si="56"/>
        <v>a13</v>
      </c>
      <c r="B536">
        <v>2</v>
      </c>
      <c r="C536" s="222" t="s">
        <v>9287</v>
      </c>
      <c r="D536">
        <f>VLOOKUP(F536,Sheet7!$B:$G,6,0)</f>
        <v>2209</v>
      </c>
      <c r="E536" s="222" t="s">
        <v>9287</v>
      </c>
      <c r="F536" s="331" t="s">
        <v>15863</v>
      </c>
      <c r="G536">
        <v>1</v>
      </c>
      <c r="H536" t="str">
        <f t="shared" si="54"/>
        <v>2|2209|1</v>
      </c>
      <c r="I536" s="222" t="s">
        <v>9287</v>
      </c>
      <c r="J536">
        <v>20</v>
      </c>
      <c r="K536" t="str">
        <f t="shared" si="55"/>
        <v>2|2209|1|20</v>
      </c>
      <c r="L536" t="str">
        <f t="shared" si="52"/>
        <v>2|2209|1,2|2195|1,2|2181|1,2|2167|1,2|2153|1,2|2139|1,2|2125|1,2|2111|1</v>
      </c>
      <c r="M536" t="str">
        <f t="shared" si="53"/>
        <v>2|2209|1|20,2|2195|1|20,2|2181|1|20,2|2167|1|20,2|2153|1|10,2|2139|1|10,2|2125|1|10,2|2111|1|10</v>
      </c>
      <c r="N536" s="333">
        <v>200319</v>
      </c>
      <c r="R536" t="str">
        <f t="shared" si="57"/>
        <v>天罡战靴</v>
      </c>
    </row>
    <row r="537" spans="1:18" ht="16.5" hidden="1">
      <c r="A537" t="str">
        <f t="shared" si="56"/>
        <v>a13</v>
      </c>
      <c r="B537">
        <v>2</v>
      </c>
      <c r="C537" s="222" t="s">
        <v>9287</v>
      </c>
      <c r="D537">
        <f>VLOOKUP(F537,Sheet7!$B:$G,6,0)</f>
        <v>2223</v>
      </c>
      <c r="E537" s="222" t="s">
        <v>9287</v>
      </c>
      <c r="F537" s="331" t="s">
        <v>15878</v>
      </c>
      <c r="G537">
        <v>1</v>
      </c>
      <c r="H537" t="str">
        <f t="shared" si="54"/>
        <v>2|2223|1</v>
      </c>
      <c r="I537" s="222" t="s">
        <v>9287</v>
      </c>
      <c r="J537">
        <v>20</v>
      </c>
      <c r="K537" t="str">
        <f t="shared" si="55"/>
        <v>2|2223|1|20</v>
      </c>
      <c r="L537" t="str">
        <f t="shared" si="52"/>
        <v>2|2223|1,2|2209|1,2|2195|1,2|2181|1,2|2167|1,2|2153|1,2|2139|1,2|2125|1,2|2111|1</v>
      </c>
      <c r="M537" t="str">
        <f t="shared" si="53"/>
        <v>2|2223|1|20,2|2209|1|20,2|2195|1|20,2|2181|1|20,2|2167|1|20,2|2153|1|10,2|2139|1|10,2|2125|1|10,2|2111|1|10</v>
      </c>
      <c r="N537" s="333">
        <v>200320</v>
      </c>
      <c r="R537" t="str">
        <f t="shared" si="57"/>
        <v>降魔战甲</v>
      </c>
    </row>
    <row r="538" spans="1:18" ht="16.5" hidden="1">
      <c r="A538" t="str">
        <f t="shared" si="56"/>
        <v>a13</v>
      </c>
      <c r="B538">
        <v>2</v>
      </c>
      <c r="C538" s="222" t="s">
        <v>9287</v>
      </c>
      <c r="D538">
        <f>VLOOKUP(F538,Sheet7!$B:$G,6,0)</f>
        <v>2237</v>
      </c>
      <c r="E538" s="222" t="s">
        <v>9287</v>
      </c>
      <c r="F538" s="331" t="s">
        <v>15893</v>
      </c>
      <c r="G538">
        <v>1</v>
      </c>
      <c r="H538" t="str">
        <f t="shared" si="54"/>
        <v>2|2237|1</v>
      </c>
      <c r="I538" s="222" t="s">
        <v>9287</v>
      </c>
      <c r="J538">
        <v>20</v>
      </c>
      <c r="K538" t="str">
        <f t="shared" si="55"/>
        <v>2|2237|1|20</v>
      </c>
      <c r="L538" t="str">
        <f t="shared" si="52"/>
        <v>2|2237|1,2|2223|1,2|2209|1,2|2195|1,2|2181|1,2|2167|1,2|2153|1,2|2139|1,2|2125|1,2|2111|1</v>
      </c>
      <c r="M538" t="str">
        <f t="shared" si="53"/>
        <v>2|2237|1|20,2|2223|1|20,2|2209|1|20,2|2195|1|20,2|2181|1|20,2|2167|1|20,2|2153|1|10,2|2139|1|10,2|2125|1|10,2|2111|1|10</v>
      </c>
      <c r="N538" s="333">
        <v>200321</v>
      </c>
      <c r="R538" t="str">
        <f t="shared" si="57"/>
        <v>降魔长剑</v>
      </c>
    </row>
    <row r="539" spans="1:18" ht="16.5" hidden="1">
      <c r="A539" t="str">
        <f t="shared" si="56"/>
        <v>a13</v>
      </c>
      <c r="B539">
        <v>2</v>
      </c>
      <c r="C539" s="222" t="s">
        <v>9287</v>
      </c>
      <c r="D539">
        <f>VLOOKUP(F539,Sheet7!$B:$G,6,0)</f>
        <v>2251</v>
      </c>
      <c r="E539" s="222" t="s">
        <v>9287</v>
      </c>
      <c r="F539" s="331" t="s">
        <v>15908</v>
      </c>
      <c r="G539">
        <v>1</v>
      </c>
      <c r="H539" t="str">
        <f t="shared" si="54"/>
        <v>2|2251|1</v>
      </c>
      <c r="I539" s="222" t="s">
        <v>9287</v>
      </c>
      <c r="J539">
        <v>20</v>
      </c>
      <c r="K539" t="str">
        <f t="shared" si="55"/>
        <v>2|2251|1|20</v>
      </c>
      <c r="L539" t="str">
        <f t="shared" si="52"/>
        <v>2|2251|1,2|2237|1,2|2223|1,2|2209|1,2|2195|1,2|2181|1,2|2167|1,2|2153|1,2|2139|1,2|2125|1,2|2111|1</v>
      </c>
      <c r="M539" t="str">
        <f t="shared" si="53"/>
        <v>2|2251|1|20,2|2237|1|20,2|2223|1|20,2|2209|1|20,2|2195|1|20,2|2181|1|20,2|2167|1|20,2|2153|1|10,2|2139|1|10,2|2125|1|10,2|2111|1|10</v>
      </c>
      <c r="N539" s="333">
        <v>200322</v>
      </c>
      <c r="R539" t="str">
        <f t="shared" si="57"/>
        <v>降魔头盔</v>
      </c>
    </row>
    <row r="540" spans="1:18" ht="16.5" hidden="1">
      <c r="A540" t="str">
        <f t="shared" si="56"/>
        <v>a13</v>
      </c>
      <c r="B540">
        <v>2</v>
      </c>
      <c r="C540" s="222" t="s">
        <v>9287</v>
      </c>
      <c r="D540">
        <f>VLOOKUP(F540,Sheet7!$B:$G,6,0)</f>
        <v>2265</v>
      </c>
      <c r="E540" s="222" t="s">
        <v>9287</v>
      </c>
      <c r="F540" s="331" t="s">
        <v>15923</v>
      </c>
      <c r="G540">
        <v>1</v>
      </c>
      <c r="H540" t="str">
        <f t="shared" si="54"/>
        <v>2|2265|1</v>
      </c>
      <c r="I540" s="222" t="s">
        <v>9287</v>
      </c>
      <c r="J540">
        <v>20</v>
      </c>
      <c r="K540" t="str">
        <f t="shared" si="55"/>
        <v>2|2265|1|20</v>
      </c>
      <c r="L540" t="str">
        <f t="shared" si="52"/>
        <v>2|2265|1,2|2251|1,2|2237|1,2|2223|1,2|2209|1,2|2195|1,2|2181|1,2|2167|1,2|2153|1,2|2139|1,2|2125|1,2|2111|1</v>
      </c>
      <c r="M540" t="str">
        <f t="shared" si="53"/>
        <v>2|2265|1|20,2|2251|1|20,2|2237|1|20,2|2223|1|20,2|2209|1|20,2|2195|1|20,2|2181|1|20,2|2167|1|20,2|2153|1|10,2|2139|1|10,2|2125|1|10,2|2111|1|10</v>
      </c>
      <c r="N540" s="333">
        <v>200323</v>
      </c>
      <c r="R540" t="str">
        <f t="shared" si="57"/>
        <v>降魔战靴</v>
      </c>
    </row>
    <row r="541" spans="1:18" ht="16.5" hidden="1">
      <c r="A541" t="str">
        <f t="shared" si="56"/>
        <v>a13</v>
      </c>
      <c r="B541">
        <v>2</v>
      </c>
      <c r="C541" s="222" t="s">
        <v>9287</v>
      </c>
      <c r="D541">
        <f>VLOOKUP(F541,Sheet7!$B:$G,6,0)</f>
        <v>2279</v>
      </c>
      <c r="E541" s="222" t="s">
        <v>9287</v>
      </c>
      <c r="F541" s="331" t="s">
        <v>15938</v>
      </c>
      <c r="G541">
        <v>1</v>
      </c>
      <c r="H541" t="str">
        <f t="shared" si="54"/>
        <v>2|2279|1</v>
      </c>
      <c r="I541" s="222" t="s">
        <v>9287</v>
      </c>
      <c r="J541">
        <v>20</v>
      </c>
      <c r="K541" t="str">
        <f t="shared" si="55"/>
        <v>2|2279|1|20</v>
      </c>
      <c r="L541" t="str">
        <f t="shared" si="52"/>
        <v>2|2279|1,2|2265|1,2|2251|1,2|2237|1,2|2223|1,2|2209|1,2|2195|1,2|2181|1,2|2167|1,2|2153|1,2|2139|1,2|2125|1,2|2111|1</v>
      </c>
      <c r="M541" t="str">
        <f t="shared" si="53"/>
        <v>2|2279|1|20,2|2265|1|20,2|2251|1|20,2|2237|1|20,2|2223|1|20,2|2209|1|20,2|2195|1|20,2|2181|1|20,2|2167|1|20,2|2153|1|10,2|2139|1|10,2|2125|1|10,2|2111|1|10</v>
      </c>
      <c r="N541" s="333">
        <v>200324</v>
      </c>
      <c r="R541" t="str">
        <f t="shared" si="57"/>
        <v>血魔战甲</v>
      </c>
    </row>
    <row r="542" spans="1:18" ht="16.5" hidden="1">
      <c r="A542" t="str">
        <f t="shared" si="56"/>
        <v>a13</v>
      </c>
      <c r="B542">
        <v>2</v>
      </c>
      <c r="C542" s="222" t="s">
        <v>9287</v>
      </c>
      <c r="D542">
        <f>VLOOKUP(F542,Sheet7!$B:$G,6,0)</f>
        <v>2293</v>
      </c>
      <c r="E542" s="222" t="s">
        <v>9287</v>
      </c>
      <c r="F542" s="331" t="s">
        <v>15953</v>
      </c>
      <c r="G542">
        <v>1</v>
      </c>
      <c r="H542" t="str">
        <f t="shared" si="54"/>
        <v>2|2293|1</v>
      </c>
      <c r="I542" s="222" t="s">
        <v>9287</v>
      </c>
      <c r="J542">
        <v>20</v>
      </c>
      <c r="K542" t="str">
        <f t="shared" si="55"/>
        <v>2|2293|1|20</v>
      </c>
      <c r="L542" t="str">
        <f t="shared" si="52"/>
        <v>2|2293|1,2|2279|1,2|2265|1,2|2251|1,2|2237|1,2|2223|1,2|2209|1,2|2195|1,2|2181|1,2|2167|1,2|2153|1,2|2139|1,2|2125|1,2|2111|1</v>
      </c>
      <c r="M542" t="str">
        <f t="shared" si="53"/>
        <v>2|2293|1|20,2|2279|1|20,2|2265|1|20,2|2251|1|20,2|2237|1|20,2|2223|1|20,2|2209|1|20,2|2195|1|20,2|2181|1|20,2|2167|1|20,2|2153|1|10,2|2139|1|10,2|2125|1|10,2|2111|1|10</v>
      </c>
      <c r="N542" s="333">
        <v>2004</v>
      </c>
      <c r="R542" t="str">
        <f t="shared" si="57"/>
        <v>赤霄长剑</v>
      </c>
    </row>
    <row r="543" spans="1:18" ht="16.5" hidden="1">
      <c r="A543" t="str">
        <f t="shared" si="56"/>
        <v>a13</v>
      </c>
      <c r="B543">
        <v>2</v>
      </c>
      <c r="C543" s="222" t="s">
        <v>9287</v>
      </c>
      <c r="D543">
        <f>VLOOKUP(F543,Sheet7!$B:$G,6,0)</f>
        <v>2307</v>
      </c>
      <c r="E543" s="222" t="s">
        <v>9287</v>
      </c>
      <c r="F543" s="331" t="s">
        <v>15968</v>
      </c>
      <c r="G543">
        <v>1</v>
      </c>
      <c r="H543" t="str">
        <f t="shared" si="54"/>
        <v>2|2307|1</v>
      </c>
      <c r="I543" s="222" t="s">
        <v>9287</v>
      </c>
      <c r="J543">
        <v>20</v>
      </c>
      <c r="K543" t="str">
        <f t="shared" si="55"/>
        <v>2|2307|1|20</v>
      </c>
      <c r="L543" t="str">
        <f t="shared" si="52"/>
        <v>2|2307|1,2|2293|1,2|2279|1,2|2265|1,2|2251|1,2|2237|1,2|2223|1,2|2209|1,2|2195|1,2|2181|1,2|2167|1,2|2153|1,2|2139|1,2|2125|1,2|2111|1</v>
      </c>
      <c r="M543" t="str">
        <f t="shared" si="53"/>
        <v>2|2307|1|20,2|2293|1|20,2|2279|1|20,2|2265|1|20,2|2251|1|20,2|2237|1|20,2|2223|1|20,2|2209|1|20,2|2195|1|20,2|2181|1|20,2|2167|1|20,2|2153|1|10,2|2139|1|10,2|2125|1|10,2|2111|1|10</v>
      </c>
      <c r="N543" s="333">
        <v>200411</v>
      </c>
      <c r="R543" t="str">
        <f t="shared" si="57"/>
        <v>麒麟头盔</v>
      </c>
    </row>
    <row r="544" spans="1:18" ht="16.5" hidden="1">
      <c r="A544" t="str">
        <f t="shared" si="56"/>
        <v>a13</v>
      </c>
      <c r="B544">
        <v>2</v>
      </c>
      <c r="C544" s="222" t="s">
        <v>9287</v>
      </c>
      <c r="D544">
        <f>VLOOKUP(F544,Sheet7!$B:$G,6,0)</f>
        <v>2321</v>
      </c>
      <c r="E544" s="222" t="s">
        <v>9287</v>
      </c>
      <c r="F544" s="331" t="s">
        <v>15983</v>
      </c>
      <c r="G544">
        <v>1</v>
      </c>
      <c r="H544" t="str">
        <f t="shared" si="54"/>
        <v>2|2321|1</v>
      </c>
      <c r="I544" s="222" t="s">
        <v>9287</v>
      </c>
      <c r="J544">
        <v>20</v>
      </c>
      <c r="K544" t="str">
        <f t="shared" si="55"/>
        <v>2|2321|1|20</v>
      </c>
      <c r="L544" t="str">
        <f t="shared" si="52"/>
        <v>2|2321|1,2|2307|1,2|2293|1,2|2279|1,2|2265|1,2|2251|1,2|2237|1,2|2223|1,2|2209|1,2|2195|1,2|2181|1,2|2167|1,2|2153|1,2|2139|1,2|2125|1,2|2111|1</v>
      </c>
      <c r="M544" t="str">
        <f t="shared" si="53"/>
        <v>2|2321|1|20,2|2307|1|20,2|2293|1|20,2|2279|1|20,2|2265|1|20,2|2251|1|20,2|2237|1|20,2|2223|1|20,2|2209|1|20,2|2195|1|20,2|2181|1|20,2|2167|1|20,2|2153|1|10,2|2139|1|10,2|2125|1|10,2|2111|1|10</v>
      </c>
      <c r="N544" s="333">
        <v>200412</v>
      </c>
      <c r="R544" t="str">
        <f t="shared" si="57"/>
        <v>兽魂战靴</v>
      </c>
    </row>
    <row r="545" spans="1:18" ht="16.5" hidden="1">
      <c r="A545" t="str">
        <f t="shared" si="56"/>
        <v>a13</v>
      </c>
      <c r="B545">
        <v>2</v>
      </c>
      <c r="C545" s="222" t="s">
        <v>9287</v>
      </c>
      <c r="D545">
        <f>VLOOKUP(F545,Sheet7!$B:$G,6,0)</f>
        <v>2335</v>
      </c>
      <c r="E545" s="222" t="s">
        <v>9287</v>
      </c>
      <c r="F545" s="331" t="s">
        <v>15998</v>
      </c>
      <c r="G545">
        <v>1</v>
      </c>
      <c r="H545" t="str">
        <f t="shared" si="54"/>
        <v>2|2335|1</v>
      </c>
      <c r="I545" s="222" t="s">
        <v>9287</v>
      </c>
      <c r="J545">
        <v>40</v>
      </c>
      <c r="K545" t="str">
        <f t="shared" si="55"/>
        <v>2|2335|1|40</v>
      </c>
      <c r="L545" t="str">
        <f t="shared" si="52"/>
        <v>2|2335|1,2|2321|1,2|2307|1,2|2293|1,2|2279|1,2|2265|1,2|2251|1,2|2237|1,2|2223|1,2|2209|1,2|2195|1,2|2181|1,2|2167|1,2|2153|1,2|2139|1,2|2125|1,2|2111|1</v>
      </c>
      <c r="M545" t="str">
        <f t="shared" si="53"/>
        <v>2|2335|1|40,2|2321|1|20,2|2307|1|20,2|2293|1|20,2|2279|1|20,2|2265|1|20,2|2251|1|20,2|2237|1|20,2|2223|1|20,2|2209|1|20,2|2195|1|20,2|2181|1|20,2|2167|1|20,2|2153|1|10,2|2139|1|10,2|2125|1|10,2|2111|1|10</v>
      </c>
      <c r="N545" s="333">
        <v>200413</v>
      </c>
      <c r="R545" t="str">
        <f t="shared" si="57"/>
        <v>磐石战甲</v>
      </c>
    </row>
    <row r="546" spans="1:18" ht="16.5" hidden="1">
      <c r="A546" t="str">
        <f t="shared" si="56"/>
        <v>a13</v>
      </c>
      <c r="B546">
        <v>2</v>
      </c>
      <c r="C546" s="222" t="s">
        <v>9287</v>
      </c>
      <c r="D546">
        <f>VLOOKUP(F546,Sheet7!$B:$G,6,0)</f>
        <v>2349</v>
      </c>
      <c r="E546" s="222" t="s">
        <v>9287</v>
      </c>
      <c r="F546" s="331" t="s">
        <v>16013</v>
      </c>
      <c r="G546">
        <v>1</v>
      </c>
      <c r="H546" t="str">
        <f t="shared" si="54"/>
        <v>2|2349|1</v>
      </c>
      <c r="I546" s="222" t="s">
        <v>9287</v>
      </c>
      <c r="J546">
        <v>40</v>
      </c>
      <c r="K546" t="str">
        <f t="shared" si="55"/>
        <v>2|2349|1|40</v>
      </c>
      <c r="L546" t="str">
        <f t="shared" si="52"/>
        <v>2|2349|1,2|2335|1,2|2321|1,2|2307|1,2|2293|1,2|2279|1,2|2265|1,2|2251|1,2|2237|1,2|2223|1,2|2209|1,2|2195|1,2|2181|1,2|2167|1,2|2153|1,2|2139|1,2|2125|1,2|2111|1</v>
      </c>
      <c r="M546" t="str">
        <f t="shared" si="53"/>
        <v>2|2349|1|40,2|2335|1|40,2|2321|1|20,2|2307|1|20,2|2293|1|20,2|2279|1|20,2|2265|1|20,2|2251|1|20,2|2237|1|20,2|2223|1|20,2|2209|1|20,2|2195|1|20,2|2181|1|20,2|2167|1|20,2|2153|1|10,2|2139|1|10,2|2125|1|10,2|2111|1|10</v>
      </c>
      <c r="N546" s="333">
        <v>200414</v>
      </c>
      <c r="R546" t="str">
        <f t="shared" si="57"/>
        <v>磐石长剑</v>
      </c>
    </row>
    <row r="547" spans="1:18" ht="16.5" hidden="1">
      <c r="A547" t="str">
        <f t="shared" si="56"/>
        <v>a13</v>
      </c>
      <c r="B547">
        <v>2</v>
      </c>
      <c r="C547" s="222" t="s">
        <v>9287</v>
      </c>
      <c r="D547">
        <f>VLOOKUP(F547,Sheet7!$B:$G,6,0)</f>
        <v>2363</v>
      </c>
      <c r="E547" s="222" t="s">
        <v>9287</v>
      </c>
      <c r="F547" s="331" t="s">
        <v>16028</v>
      </c>
      <c r="G547">
        <v>1</v>
      </c>
      <c r="H547" t="str">
        <f t="shared" si="54"/>
        <v>2|2363|1</v>
      </c>
      <c r="I547" s="222" t="s">
        <v>9287</v>
      </c>
      <c r="J547">
        <v>40</v>
      </c>
      <c r="K547" t="str">
        <f t="shared" si="55"/>
        <v>2|2363|1|40</v>
      </c>
      <c r="L547" t="str">
        <f t="shared" si="52"/>
        <v>2|2363|1,2|2349|1,2|2335|1,2|2321|1,2|2307|1,2|2293|1,2|2279|1,2|2265|1,2|2251|1,2|2237|1,2|2223|1,2|2209|1,2|2195|1,2|2181|1,2|2167|1,2|2153|1,2|2139|1,2|2125|1,2|2111|1</v>
      </c>
      <c r="M547" t="str">
        <f t="shared" si="53"/>
        <v>2|2363|1|40,2|2349|1|40,2|2335|1|40,2|2321|1|20,2|2307|1|20,2|2293|1|20,2|2279|1|20,2|2265|1|20,2|2251|1|20,2|2237|1|20,2|2223|1|20,2|2209|1|20,2|2195|1|20,2|2181|1|20,2|2167|1|20,2|2153|1|10,2|2139|1|10,2|2125|1|10,2|2111|1|10</v>
      </c>
      <c r="N547" s="333">
        <v>200415</v>
      </c>
      <c r="R547" t="str">
        <f t="shared" si="57"/>
        <v>磐石头盔</v>
      </c>
    </row>
    <row r="548" spans="1:18" ht="16.5" hidden="1">
      <c r="A548" t="str">
        <f t="shared" si="56"/>
        <v>a13</v>
      </c>
      <c r="B548">
        <v>2</v>
      </c>
      <c r="C548" s="222" t="s">
        <v>9287</v>
      </c>
      <c r="D548">
        <f>VLOOKUP(F548,Sheet7!$B:$G,6,0)</f>
        <v>2377</v>
      </c>
      <c r="E548" s="222" t="s">
        <v>9287</v>
      </c>
      <c r="F548" s="331" t="s">
        <v>16043</v>
      </c>
      <c r="G548">
        <v>1</v>
      </c>
      <c r="H548" t="str">
        <f t="shared" si="54"/>
        <v>2|2377|1</v>
      </c>
      <c r="I548" s="222" t="s">
        <v>9287</v>
      </c>
      <c r="J548">
        <v>40</v>
      </c>
      <c r="K548" t="str">
        <f t="shared" si="55"/>
        <v>2|2377|1|40</v>
      </c>
      <c r="L548" t="str">
        <f t="shared" si="52"/>
        <v>2|2377|1,2|2363|1,2|2349|1,2|2335|1,2|2321|1,2|2307|1,2|2293|1,2|2279|1,2|2265|1,2|2251|1,2|2237|1,2|2223|1,2|2209|1,2|2195|1,2|2181|1,2|2167|1,2|2153|1,2|2139|1,2|2125|1,2|2111|1</v>
      </c>
      <c r="M548" t="str">
        <f t="shared" si="53"/>
        <v>2|2377|1|40,2|2363|1|40,2|2349|1|40,2|2335|1|40,2|2321|1|20,2|2307|1|20,2|2293|1|20,2|2279|1|20,2|2265|1|20,2|2251|1|20,2|2237|1|20,2|2223|1|20,2|2209|1|20,2|2195|1|20,2|2181|1|20,2|2167|1|20,2|2153|1|10,2|2139|1|10,2|2125|1|10,2|2111|1|10</v>
      </c>
      <c r="N548" s="333">
        <v>200416</v>
      </c>
      <c r="R548" t="str">
        <f t="shared" si="57"/>
        <v>磐石战靴</v>
      </c>
    </row>
    <row r="549" spans="1:18" ht="16.5" hidden="1">
      <c r="A549" t="str">
        <f t="shared" si="56"/>
        <v>a13</v>
      </c>
      <c r="B549">
        <v>2</v>
      </c>
      <c r="C549" s="222" t="s">
        <v>9287</v>
      </c>
      <c r="D549">
        <f>VLOOKUP(F549,Sheet7!$B:$G,6,0)</f>
        <v>2391</v>
      </c>
      <c r="E549" s="222" t="s">
        <v>9287</v>
      </c>
      <c r="F549" s="331" t="s">
        <v>16058</v>
      </c>
      <c r="G549">
        <v>1</v>
      </c>
      <c r="H549" t="str">
        <f t="shared" si="54"/>
        <v>2|2391|1</v>
      </c>
      <c r="I549" s="222" t="s">
        <v>9287</v>
      </c>
      <c r="J549">
        <v>40</v>
      </c>
      <c r="K549" t="str">
        <f t="shared" si="55"/>
        <v>2|2391|1|40</v>
      </c>
      <c r="L549" t="str">
        <f t="shared" si="52"/>
        <v>2|2391|1,2|2377|1,2|2363|1,2|2349|1,2|2335|1,2|2321|1,2|2307|1,2|2293|1,2|2279|1,2|2265|1,2|2251|1,2|2237|1,2|2223|1,2|2209|1,2|2195|1,2|2181|1,2|2167|1,2|2153|1,2|2139|1,2|2125|1,2|2111|1</v>
      </c>
      <c r="M549" t="str">
        <f t="shared" si="53"/>
        <v>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49" s="333">
        <v>200417</v>
      </c>
      <c r="R549" t="str">
        <f t="shared" si="57"/>
        <v>连云战甲</v>
      </c>
    </row>
    <row r="550" spans="1:18" ht="16.5" hidden="1">
      <c r="A550" t="str">
        <f t="shared" si="56"/>
        <v>a13</v>
      </c>
      <c r="B550">
        <v>2</v>
      </c>
      <c r="C550" s="222" t="s">
        <v>9287</v>
      </c>
      <c r="D550">
        <f>VLOOKUP(F550,Sheet7!$B:$G,6,0)</f>
        <v>2405</v>
      </c>
      <c r="E550" s="222" t="s">
        <v>9287</v>
      </c>
      <c r="F550" s="331" t="s">
        <v>16073</v>
      </c>
      <c r="G550">
        <v>1</v>
      </c>
      <c r="H550" t="str">
        <f t="shared" si="54"/>
        <v>2|2405|1</v>
      </c>
      <c r="I550" s="222" t="s">
        <v>9287</v>
      </c>
      <c r="J550">
        <v>40</v>
      </c>
      <c r="K550" t="str">
        <f t="shared" si="55"/>
        <v>2|2405|1|40</v>
      </c>
      <c r="L550" t="str">
        <f t="shared" si="52"/>
        <v>2|2405|1,2|2391|1,2|2377|1,2|2363|1,2|2349|1,2|2335|1,2|2321|1,2|2307|1,2|2293|1,2|2279|1,2|2265|1,2|2251|1,2|2237|1,2|2223|1,2|2209|1,2|2195|1,2|2181|1,2|2167|1,2|2153|1,2|2139|1,2|2125|1,2|2111|1</v>
      </c>
      <c r="M550" t="str">
        <f t="shared" si="53"/>
        <v>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0" s="333">
        <v>200418</v>
      </c>
      <c r="R550" t="str">
        <f t="shared" si="57"/>
        <v>紫阳长剑</v>
      </c>
    </row>
    <row r="551" spans="1:18" ht="16.5" hidden="1">
      <c r="A551" t="str">
        <f t="shared" si="56"/>
        <v>a13</v>
      </c>
      <c r="B551">
        <v>2</v>
      </c>
      <c r="C551" s="222" t="s">
        <v>9287</v>
      </c>
      <c r="D551">
        <f>VLOOKUP(F551,Sheet7!$B:$G,6,0)</f>
        <v>2419</v>
      </c>
      <c r="E551" s="222" t="s">
        <v>9287</v>
      </c>
      <c r="F551" s="331" t="s">
        <v>16088</v>
      </c>
      <c r="G551">
        <v>1</v>
      </c>
      <c r="H551" t="str">
        <f t="shared" si="54"/>
        <v>2|2419|1</v>
      </c>
      <c r="I551" s="222" t="s">
        <v>9287</v>
      </c>
      <c r="J551">
        <v>40</v>
      </c>
      <c r="K551" t="str">
        <f t="shared" si="55"/>
        <v>2|2419|1|40</v>
      </c>
      <c r="L551" t="str">
        <f t="shared" si="52"/>
        <v>2|2419|1,2|2405|1,2|2391|1,2|2377|1,2|2363|1,2|2349|1,2|2335|1,2|2321|1,2|2307|1,2|2293|1,2|2279|1,2|2265|1,2|2251|1,2|2237|1,2|2223|1,2|2209|1,2|2195|1,2|2181|1,2|2167|1,2|2153|1,2|2139|1,2|2125|1,2|2111|1</v>
      </c>
      <c r="M551" t="str">
        <f t="shared" si="53"/>
        <v>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1" s="333">
        <v>200419</v>
      </c>
      <c r="R551" t="str">
        <f t="shared" si="57"/>
        <v>耀日头盔</v>
      </c>
    </row>
    <row r="552" spans="1:18" ht="16.5" hidden="1">
      <c r="A552" t="str">
        <f t="shared" si="56"/>
        <v>a13</v>
      </c>
      <c r="B552">
        <v>2</v>
      </c>
      <c r="C552" s="222" t="s">
        <v>9287</v>
      </c>
      <c r="D552">
        <f>VLOOKUP(F552,Sheet7!$B:$G,6,0)</f>
        <v>2433</v>
      </c>
      <c r="E552" s="222" t="s">
        <v>9287</v>
      </c>
      <c r="F552" s="331" t="s">
        <v>16103</v>
      </c>
      <c r="G552">
        <v>1</v>
      </c>
      <c r="H552" t="str">
        <f t="shared" si="54"/>
        <v>2|2433|1</v>
      </c>
      <c r="I552" s="222" t="s">
        <v>9287</v>
      </c>
      <c r="J552">
        <v>40</v>
      </c>
      <c r="K552" t="str">
        <f t="shared" si="55"/>
        <v>2|2433|1|40</v>
      </c>
      <c r="L552" t="str">
        <f t="shared" si="52"/>
        <v>2|2433|1,2|2419|1,2|2405|1,2|2391|1,2|2377|1,2|2363|1,2|2349|1,2|2335|1,2|2321|1,2|2307|1,2|2293|1,2|2279|1,2|2265|1,2|2251|1,2|2237|1,2|2223|1,2|2209|1,2|2195|1,2|2181|1,2|2167|1,2|2153|1,2|2139|1,2|2125|1,2|2111|1</v>
      </c>
      <c r="M552" t="str">
        <f t="shared" si="53"/>
        <v>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2" s="333">
        <v>200420</v>
      </c>
      <c r="R552" t="str">
        <f t="shared" si="57"/>
        <v>雷霆战靴</v>
      </c>
    </row>
    <row r="553" spans="1:18" ht="16.5" hidden="1">
      <c r="A553" t="str">
        <f t="shared" si="56"/>
        <v>a13</v>
      </c>
      <c r="B553">
        <v>2</v>
      </c>
      <c r="C553" s="222" t="s">
        <v>9287</v>
      </c>
      <c r="D553">
        <f>VLOOKUP(F553,Sheet7!$B:$G,6,0)</f>
        <v>2447</v>
      </c>
      <c r="E553" s="222" t="s">
        <v>9287</v>
      </c>
      <c r="F553" s="331" t="s">
        <v>16118</v>
      </c>
      <c r="G553">
        <v>1</v>
      </c>
      <c r="H553" t="str">
        <f t="shared" si="54"/>
        <v>2|2447|1</v>
      </c>
      <c r="I553" s="222" t="s">
        <v>9287</v>
      </c>
      <c r="J553">
        <v>40</v>
      </c>
      <c r="K553" t="str">
        <f t="shared" si="55"/>
        <v>2|2447|1|40</v>
      </c>
      <c r="L553" t="str">
        <f t="shared" si="52"/>
        <v>2|2447|1,2|2433|1,2|2419|1,2|2405|1,2|2391|1,2|2377|1,2|2363|1,2|2349|1,2|2335|1,2|2321|1,2|2307|1,2|2293|1,2|2279|1,2|2265|1,2|2251|1,2|2237|1,2|2223|1,2|2209|1,2|2195|1,2|2181|1,2|2167|1,2|2153|1,2|2139|1,2|2125|1,2|2111|1</v>
      </c>
      <c r="M553" t="str">
        <f t="shared" si="53"/>
        <v>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3" s="333">
        <v>200421</v>
      </c>
      <c r="R553" t="str">
        <f t="shared" si="57"/>
        <v>护卫战甲</v>
      </c>
    </row>
    <row r="554" spans="1:18" ht="16.5" hidden="1">
      <c r="A554" t="str">
        <f t="shared" si="56"/>
        <v>a13</v>
      </c>
      <c r="B554">
        <v>2</v>
      </c>
      <c r="C554" s="222" t="s">
        <v>9287</v>
      </c>
      <c r="D554">
        <f>VLOOKUP(F554,Sheet7!$B:$G,6,0)</f>
        <v>2461</v>
      </c>
      <c r="E554" s="222" t="s">
        <v>9287</v>
      </c>
      <c r="F554" s="331" t="s">
        <v>16133</v>
      </c>
      <c r="G554">
        <v>1</v>
      </c>
      <c r="H554" t="str">
        <f t="shared" si="54"/>
        <v>2|2461|1</v>
      </c>
      <c r="I554" s="222" t="s">
        <v>9287</v>
      </c>
      <c r="J554">
        <v>40</v>
      </c>
      <c r="K554" t="str">
        <f t="shared" si="55"/>
        <v>2|2461|1|40</v>
      </c>
      <c r="L554" t="str">
        <f t="shared" si="52"/>
        <v>2|2461|1,2|2447|1,2|2433|1,2|2419|1,2|2405|1,2|2391|1,2|2377|1,2|2363|1,2|2349|1,2|2335|1,2|2321|1,2|2307|1,2|2293|1,2|2279|1,2|2265|1,2|2251|1,2|2237|1,2|2223|1,2|2209|1,2|2195|1,2|2181|1,2|2167|1,2|2153|1,2|2139|1,2|2125|1,2|2111|1</v>
      </c>
      <c r="M554" t="str">
        <f t="shared" si="53"/>
        <v>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4" s="333">
        <v>200422</v>
      </c>
      <c r="R554" t="str">
        <f t="shared" si="57"/>
        <v>护卫长剑</v>
      </c>
    </row>
    <row r="555" spans="1:18" ht="16.5" hidden="1">
      <c r="A555" t="str">
        <f t="shared" si="56"/>
        <v>a13</v>
      </c>
      <c r="B555">
        <v>2</v>
      </c>
      <c r="C555" s="222" t="s">
        <v>9287</v>
      </c>
      <c r="D555">
        <f>VLOOKUP(F555,Sheet7!$B:$G,6,0)</f>
        <v>2475</v>
      </c>
      <c r="E555" s="222" t="s">
        <v>9287</v>
      </c>
      <c r="F555" s="331" t="s">
        <v>16148</v>
      </c>
      <c r="G555">
        <v>1</v>
      </c>
      <c r="H555" t="str">
        <f t="shared" si="54"/>
        <v>2|2475|1</v>
      </c>
      <c r="I555" s="222" t="s">
        <v>9287</v>
      </c>
      <c r="J555">
        <v>40</v>
      </c>
      <c r="K555" t="str">
        <f t="shared" si="55"/>
        <v>2|2475|1|40</v>
      </c>
      <c r="L555" t="str">
        <f t="shared" si="52"/>
        <v>2|2475|1,2|2461|1,2|2447|1,2|2433|1,2|2419|1,2|2405|1,2|2391|1,2|2377|1,2|2363|1,2|2349|1,2|2335|1,2|2321|1,2|2307|1,2|2293|1,2|2279|1,2|2265|1,2|2251|1,2|2237|1,2|2223|1,2|2209|1,2|2195|1,2|2181|1,2|2167|1,2|2153|1,2|2139|1,2|2125|1,2|2111|1</v>
      </c>
      <c r="M555" t="str">
        <f t="shared" si="53"/>
        <v>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5" s="333">
        <v>200423</v>
      </c>
      <c r="R555" t="str">
        <f t="shared" si="57"/>
        <v>护卫头盔</v>
      </c>
    </row>
    <row r="556" spans="1:18" ht="16.5" hidden="1">
      <c r="A556" t="str">
        <f t="shared" si="56"/>
        <v>a13</v>
      </c>
      <c r="B556">
        <v>2</v>
      </c>
      <c r="C556" s="222" t="s">
        <v>9287</v>
      </c>
      <c r="D556">
        <f>VLOOKUP(F556,Sheet7!$B:$G,6,0)</f>
        <v>2489</v>
      </c>
      <c r="E556" s="222" t="s">
        <v>9287</v>
      </c>
      <c r="F556" s="331" t="s">
        <v>16163</v>
      </c>
      <c r="G556">
        <v>1</v>
      </c>
      <c r="H556" t="str">
        <f t="shared" si="54"/>
        <v>2|2489|1</v>
      </c>
      <c r="I556" s="222" t="s">
        <v>9287</v>
      </c>
      <c r="J556">
        <v>40</v>
      </c>
      <c r="K556" t="str">
        <f t="shared" si="55"/>
        <v>2|2489|1|40</v>
      </c>
      <c r="L556" t="str">
        <f t="shared" si="52"/>
        <v>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56" t="str">
        <f t="shared" si="53"/>
        <v>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6" s="333">
        <v>200424</v>
      </c>
      <c r="R556" t="str">
        <f t="shared" si="57"/>
        <v>护卫战靴</v>
      </c>
    </row>
    <row r="557" spans="1:18" ht="16.5" hidden="1">
      <c r="A557" t="str">
        <f t="shared" si="56"/>
        <v>a13</v>
      </c>
      <c r="B557">
        <v>2</v>
      </c>
      <c r="C557" s="222" t="s">
        <v>9287</v>
      </c>
      <c r="D557">
        <f>VLOOKUP(F557,Sheet7!$B:$G,6,0)</f>
        <v>2503</v>
      </c>
      <c r="E557" s="222" t="s">
        <v>9287</v>
      </c>
      <c r="F557" s="331" t="s">
        <v>16178</v>
      </c>
      <c r="G557">
        <v>1</v>
      </c>
      <c r="H557" t="str">
        <f t="shared" si="54"/>
        <v>2|2503|1</v>
      </c>
      <c r="I557" s="222" t="s">
        <v>9287</v>
      </c>
      <c r="J557">
        <v>40</v>
      </c>
      <c r="K557" t="str">
        <f t="shared" si="55"/>
        <v>2|2503|1|40</v>
      </c>
      <c r="L557" t="str">
        <f t="shared" si="52"/>
        <v>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57" t="str">
        <f t="shared" si="53"/>
        <v>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7" s="341">
        <v>451</v>
      </c>
      <c r="R557" t="str">
        <f t="shared" si="57"/>
        <v>破魔战甲</v>
      </c>
    </row>
    <row r="558" spans="1:18" ht="16.5" hidden="1">
      <c r="A558" t="str">
        <f t="shared" si="56"/>
        <v>a13</v>
      </c>
      <c r="B558">
        <v>2</v>
      </c>
      <c r="C558" s="222" t="s">
        <v>9287</v>
      </c>
      <c r="D558">
        <f>VLOOKUP(F558,Sheet7!$B:$G,6,0)</f>
        <v>2517</v>
      </c>
      <c r="E558" s="222" t="s">
        <v>9287</v>
      </c>
      <c r="F558" s="331" t="s">
        <v>16193</v>
      </c>
      <c r="G558">
        <v>1</v>
      </c>
      <c r="H558" t="str">
        <f t="shared" si="54"/>
        <v>2|2517|1</v>
      </c>
      <c r="I558" s="222" t="s">
        <v>9287</v>
      </c>
      <c r="J558">
        <v>40</v>
      </c>
      <c r="K558" t="str">
        <f t="shared" si="55"/>
        <v>2|2517|1|40</v>
      </c>
      <c r="L558" t="str">
        <f t="shared" si="52"/>
        <v>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58" t="str">
        <f t="shared" si="53"/>
        <v>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8" s="341">
        <v>452</v>
      </c>
      <c r="R558" t="str">
        <f t="shared" si="57"/>
        <v>破魔长剑</v>
      </c>
    </row>
    <row r="559" spans="1:18" ht="16.5" hidden="1">
      <c r="A559" t="str">
        <f t="shared" si="56"/>
        <v>a13</v>
      </c>
      <c r="B559">
        <v>2</v>
      </c>
      <c r="C559" s="222" t="s">
        <v>9287</v>
      </c>
      <c r="D559">
        <f>VLOOKUP(F559,Sheet7!$B:$G,6,0)</f>
        <v>2531</v>
      </c>
      <c r="E559" s="222" t="s">
        <v>9287</v>
      </c>
      <c r="F559" s="331" t="s">
        <v>16208</v>
      </c>
      <c r="G559">
        <v>1</v>
      </c>
      <c r="H559" t="str">
        <f t="shared" si="54"/>
        <v>2|2531|1</v>
      </c>
      <c r="I559" s="222" t="s">
        <v>9287</v>
      </c>
      <c r="J559">
        <v>40</v>
      </c>
      <c r="K559" t="str">
        <f t="shared" si="55"/>
        <v>2|2531|1|40</v>
      </c>
      <c r="L559" t="str">
        <f t="shared" si="52"/>
        <v>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59" t="str">
        <f t="shared" si="53"/>
        <v>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59" s="341">
        <v>2045</v>
      </c>
      <c r="R559" t="str">
        <f t="shared" si="57"/>
        <v>破魔头盔</v>
      </c>
    </row>
    <row r="560" spans="1:18" ht="16.5" hidden="1">
      <c r="A560" t="str">
        <f t="shared" si="56"/>
        <v>a13</v>
      </c>
      <c r="B560">
        <v>2</v>
      </c>
      <c r="C560" s="222" t="s">
        <v>9287</v>
      </c>
      <c r="D560">
        <f>VLOOKUP(F560,Sheet7!$B:$G,6,0)</f>
        <v>2545</v>
      </c>
      <c r="E560" s="222" t="s">
        <v>9287</v>
      </c>
      <c r="F560" s="331" t="s">
        <v>16223</v>
      </c>
      <c r="G560">
        <v>1</v>
      </c>
      <c r="H560" t="str">
        <f t="shared" si="54"/>
        <v>2|2545|1</v>
      </c>
      <c r="I560" s="222" t="s">
        <v>9287</v>
      </c>
      <c r="J560">
        <v>40</v>
      </c>
      <c r="K560" t="str">
        <f t="shared" si="55"/>
        <v>2|2545|1|40</v>
      </c>
      <c r="L560" t="str">
        <f t="shared" si="52"/>
        <v>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0" t="str">
        <f t="shared" si="53"/>
        <v>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0" s="341">
        <v>20451</v>
      </c>
      <c r="R560" t="str">
        <f t="shared" si="57"/>
        <v>破魔战靴</v>
      </c>
    </row>
    <row r="561" spans="1:18" ht="16.5" hidden="1">
      <c r="A561" t="str">
        <f t="shared" si="56"/>
        <v>a13</v>
      </c>
      <c r="B561">
        <v>2</v>
      </c>
      <c r="C561" s="222" t="s">
        <v>9287</v>
      </c>
      <c r="D561">
        <f>VLOOKUP(F561,Sheet7!$B:$G,6,0)</f>
        <v>2559</v>
      </c>
      <c r="E561" s="222" t="s">
        <v>9287</v>
      </c>
      <c r="F561" s="331" t="s">
        <v>16238</v>
      </c>
      <c r="G561">
        <v>1</v>
      </c>
      <c r="H561" t="str">
        <f t="shared" si="54"/>
        <v>2|2559|1</v>
      </c>
      <c r="I561" s="222" t="s">
        <v>9287</v>
      </c>
      <c r="J561">
        <v>40</v>
      </c>
      <c r="K561" t="str">
        <f t="shared" si="55"/>
        <v>2|2559|1|40</v>
      </c>
      <c r="L561" t="str">
        <f t="shared" si="52"/>
        <v>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1" t="str">
        <f t="shared" si="53"/>
        <v>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1" s="341">
        <v>20452</v>
      </c>
      <c r="R561" t="str">
        <f t="shared" si="57"/>
        <v>赤血战甲</v>
      </c>
    </row>
    <row r="562" spans="1:18" ht="16.5" hidden="1">
      <c r="A562" t="str">
        <f t="shared" si="56"/>
        <v>a13</v>
      </c>
      <c r="B562">
        <v>2</v>
      </c>
      <c r="C562" s="222" t="s">
        <v>9287</v>
      </c>
      <c r="D562">
        <f>VLOOKUP(F562,Sheet7!$B:$G,6,0)</f>
        <v>2573</v>
      </c>
      <c r="E562" s="222" t="s">
        <v>9287</v>
      </c>
      <c r="F562" s="331" t="s">
        <v>16253</v>
      </c>
      <c r="G562">
        <v>1</v>
      </c>
      <c r="H562" t="str">
        <f t="shared" si="54"/>
        <v>2|2573|1</v>
      </c>
      <c r="I562" s="222" t="s">
        <v>9287</v>
      </c>
      <c r="J562">
        <v>40</v>
      </c>
      <c r="K562" t="str">
        <f t="shared" si="55"/>
        <v>2|2573|1|40</v>
      </c>
      <c r="L562" t="str">
        <f t="shared" si="52"/>
        <v>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2" t="str">
        <f t="shared" si="53"/>
        <v>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2" s="341">
        <v>20453</v>
      </c>
      <c r="R562" t="str">
        <f t="shared" si="57"/>
        <v>青锋长剑</v>
      </c>
    </row>
    <row r="563" spans="1:18" ht="16.5" hidden="1">
      <c r="A563" t="str">
        <f t="shared" si="56"/>
        <v>a13</v>
      </c>
      <c r="B563">
        <v>2</v>
      </c>
      <c r="C563" s="222" t="s">
        <v>9287</v>
      </c>
      <c r="D563">
        <f>VLOOKUP(F563,Sheet7!$B:$G,6,0)</f>
        <v>2587</v>
      </c>
      <c r="E563" s="222" t="s">
        <v>9287</v>
      </c>
      <c r="F563" s="331" t="s">
        <v>16268</v>
      </c>
      <c r="G563">
        <v>1</v>
      </c>
      <c r="H563" t="str">
        <f t="shared" si="54"/>
        <v>2|2587|1</v>
      </c>
      <c r="I563" s="222" t="s">
        <v>9287</v>
      </c>
      <c r="J563">
        <v>40</v>
      </c>
      <c r="K563" t="str">
        <f t="shared" si="55"/>
        <v>2|2587|1|40</v>
      </c>
      <c r="L563" t="str">
        <f t="shared" si="52"/>
        <v>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3" t="str">
        <f t="shared" si="53"/>
        <v>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3" s="341">
        <v>20454</v>
      </c>
      <c r="R563" t="str">
        <f t="shared" si="57"/>
        <v>雁虞头盔</v>
      </c>
    </row>
    <row r="564" spans="1:18" ht="16.5" hidden="1">
      <c r="A564" t="str">
        <f t="shared" si="56"/>
        <v>a13</v>
      </c>
      <c r="B564">
        <v>2</v>
      </c>
      <c r="C564" s="222" t="s">
        <v>9287</v>
      </c>
      <c r="D564">
        <f>VLOOKUP(F564,Sheet7!$B:$G,6,0)</f>
        <v>2601</v>
      </c>
      <c r="E564" s="222" t="s">
        <v>9287</v>
      </c>
      <c r="F564" s="331" t="s">
        <v>16283</v>
      </c>
      <c r="G564">
        <v>1</v>
      </c>
      <c r="H564" t="str">
        <f t="shared" si="54"/>
        <v>2|2601|1</v>
      </c>
      <c r="I564" s="222" t="s">
        <v>9287</v>
      </c>
      <c r="J564">
        <v>40</v>
      </c>
      <c r="K564" t="str">
        <f t="shared" si="55"/>
        <v>2|2601|1|40</v>
      </c>
      <c r="L564" t="str">
        <f t="shared" si="52"/>
        <v>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4" t="str">
        <f t="shared" si="53"/>
        <v>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4" s="341">
        <v>20455</v>
      </c>
      <c r="R564" t="str">
        <f t="shared" si="57"/>
        <v>无影战靴</v>
      </c>
    </row>
    <row r="565" spans="1:18" ht="16.5" hidden="1">
      <c r="A565" t="str">
        <f t="shared" si="56"/>
        <v>a13</v>
      </c>
      <c r="B565">
        <v>2</v>
      </c>
      <c r="C565" s="222" t="s">
        <v>9287</v>
      </c>
      <c r="D565">
        <f>VLOOKUP(F565,Sheet7!$B:$G,6,0)</f>
        <v>2615</v>
      </c>
      <c r="E565" s="222" t="s">
        <v>9287</v>
      </c>
      <c r="F565" s="331" t="s">
        <v>16298</v>
      </c>
      <c r="G565">
        <v>1</v>
      </c>
      <c r="H565" t="str">
        <f t="shared" si="54"/>
        <v>2|2615|1</v>
      </c>
      <c r="I565" s="222" t="s">
        <v>9287</v>
      </c>
      <c r="J565">
        <v>40</v>
      </c>
      <c r="K565" t="str">
        <f t="shared" si="55"/>
        <v>2|2615|1|40</v>
      </c>
      <c r="L565" t="str">
        <f t="shared" si="52"/>
        <v>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5" t="str">
        <f t="shared" si="53"/>
        <v>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5" s="341">
        <v>20456</v>
      </c>
      <c r="R565" t="str">
        <f t="shared" si="57"/>
        <v>行者战甲</v>
      </c>
    </row>
    <row r="566" spans="1:18" ht="16.5" hidden="1">
      <c r="A566" t="str">
        <f t="shared" si="56"/>
        <v>a13</v>
      </c>
      <c r="B566">
        <v>2</v>
      </c>
      <c r="C566" s="222" t="s">
        <v>9287</v>
      </c>
      <c r="D566">
        <f>VLOOKUP(F566,Sheet7!$B:$G,6,0)</f>
        <v>2629</v>
      </c>
      <c r="E566" s="222" t="s">
        <v>9287</v>
      </c>
      <c r="F566" s="331" t="s">
        <v>16313</v>
      </c>
      <c r="G566">
        <v>1</v>
      </c>
      <c r="H566" t="str">
        <f t="shared" si="54"/>
        <v>2|2629|1</v>
      </c>
      <c r="I566" s="222" t="s">
        <v>9287</v>
      </c>
      <c r="J566">
        <v>40</v>
      </c>
      <c r="K566" t="str">
        <f t="shared" si="55"/>
        <v>2|2629|1|40</v>
      </c>
      <c r="L566" t="str">
        <f t="shared" si="52"/>
        <v>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6" t="str">
        <f t="shared" si="53"/>
        <v>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6" s="341">
        <v>20457</v>
      </c>
      <c r="R566" t="str">
        <f t="shared" si="57"/>
        <v>精铁长剑</v>
      </c>
    </row>
    <row r="567" spans="1:18" ht="16.5" hidden="1">
      <c r="A567" t="str">
        <f t="shared" si="56"/>
        <v>a13</v>
      </c>
      <c r="B567">
        <v>2</v>
      </c>
      <c r="C567" s="222" t="s">
        <v>9287</v>
      </c>
      <c r="D567">
        <f>VLOOKUP(F567,Sheet7!$B:$G,6,0)</f>
        <v>2643</v>
      </c>
      <c r="E567" s="222" t="s">
        <v>9287</v>
      </c>
      <c r="F567" s="331" t="s">
        <v>16328</v>
      </c>
      <c r="G567">
        <v>1</v>
      </c>
      <c r="H567" t="str">
        <f t="shared" si="54"/>
        <v>2|2643|1</v>
      </c>
      <c r="I567" s="222" t="s">
        <v>9287</v>
      </c>
      <c r="J567">
        <v>40</v>
      </c>
      <c r="K567" t="str">
        <f t="shared" si="55"/>
        <v>2|2643|1|40</v>
      </c>
      <c r="L567" t="str">
        <f t="shared" si="52"/>
        <v>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7" t="str">
        <f t="shared" si="53"/>
        <v>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7" s="341">
        <v>20458</v>
      </c>
      <c r="R567" t="str">
        <f t="shared" si="57"/>
        <v>虹影头盔</v>
      </c>
    </row>
    <row r="568" spans="1:18" ht="16.5" hidden="1">
      <c r="A568" t="str">
        <f t="shared" si="56"/>
        <v>a13</v>
      </c>
      <c r="B568">
        <v>2</v>
      </c>
      <c r="C568" s="222" t="s">
        <v>9287</v>
      </c>
      <c r="D568">
        <f>VLOOKUP(F568,Sheet7!$B:$G,6,0)</f>
        <v>2657</v>
      </c>
      <c r="E568" s="222" t="s">
        <v>9287</v>
      </c>
      <c r="F568" s="331" t="s">
        <v>16343</v>
      </c>
      <c r="G568">
        <v>1</v>
      </c>
      <c r="H568" t="str">
        <f t="shared" si="54"/>
        <v>2|2657|1</v>
      </c>
      <c r="I568" s="222" t="s">
        <v>9287</v>
      </c>
      <c r="J568">
        <v>40</v>
      </c>
      <c r="K568" t="str">
        <f t="shared" si="55"/>
        <v>2|2657|1|40</v>
      </c>
      <c r="L568" t="str">
        <f t="shared" si="52"/>
        <v>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8" t="str">
        <f t="shared" si="53"/>
        <v>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8" s="341">
        <v>20459</v>
      </c>
      <c r="R568" t="str">
        <f t="shared" si="57"/>
        <v>千里战靴</v>
      </c>
    </row>
    <row r="569" spans="1:18" ht="16.5" hidden="1">
      <c r="A569" t="str">
        <f t="shared" si="56"/>
        <v>a13</v>
      </c>
      <c r="B569">
        <v>2</v>
      </c>
      <c r="C569" s="222" t="s">
        <v>9287</v>
      </c>
      <c r="D569">
        <f>VLOOKUP(F569,Sheet7!$B:$G,6,0)</f>
        <v>2671</v>
      </c>
      <c r="E569" s="222" t="s">
        <v>9287</v>
      </c>
      <c r="F569" s="331" t="s">
        <v>16358</v>
      </c>
      <c r="G569">
        <v>1</v>
      </c>
      <c r="H569" t="str">
        <f t="shared" si="54"/>
        <v>2|2671|1</v>
      </c>
      <c r="I569" s="222" t="s">
        <v>9287</v>
      </c>
      <c r="J569">
        <v>40</v>
      </c>
      <c r="K569" t="str">
        <f t="shared" si="55"/>
        <v>2|2671|1|40</v>
      </c>
      <c r="L569" t="str">
        <f t="shared" si="52"/>
        <v>2|2671|1,2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69" t="str">
        <f t="shared" si="53"/>
        <v>2|2671|1|40,2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69" s="341">
        <v>204601</v>
      </c>
      <c r="R569" t="str">
        <f t="shared" si="57"/>
        <v>封魔战甲</v>
      </c>
    </row>
    <row r="570" spans="1:18" ht="16.5" hidden="1">
      <c r="A570" t="str">
        <f t="shared" si="56"/>
        <v>a13</v>
      </c>
      <c r="B570">
        <v>2</v>
      </c>
      <c r="C570" s="222" t="s">
        <v>9287</v>
      </c>
      <c r="D570">
        <f>VLOOKUP(F570,Sheet7!$B:$G,6,0)</f>
        <v>2685</v>
      </c>
      <c r="E570" s="222" t="s">
        <v>9287</v>
      </c>
      <c r="F570" s="331" t="s">
        <v>16373</v>
      </c>
      <c r="G570">
        <v>1</v>
      </c>
      <c r="H570" t="str">
        <f t="shared" si="54"/>
        <v>2|2685|1</v>
      </c>
      <c r="I570" s="222" t="s">
        <v>9287</v>
      </c>
      <c r="J570">
        <v>40</v>
      </c>
      <c r="K570" t="str">
        <f t="shared" si="55"/>
        <v>2|2685|1|40</v>
      </c>
      <c r="L570" t="str">
        <f t="shared" si="52"/>
        <v>2|2685|1,2|2671|1,2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70" t="str">
        <f t="shared" si="53"/>
        <v>2|2685|1|40,2|2671|1|40,2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70" s="341">
        <v>204602</v>
      </c>
      <c r="R570" t="str">
        <f t="shared" si="57"/>
        <v>封魔长剑</v>
      </c>
    </row>
    <row r="571" spans="1:18" ht="16.5" hidden="1">
      <c r="A571" t="str">
        <f t="shared" si="56"/>
        <v>a13</v>
      </c>
      <c r="B571">
        <v>2</v>
      </c>
      <c r="C571" s="222" t="s">
        <v>9287</v>
      </c>
      <c r="D571">
        <f>VLOOKUP(F571,Sheet7!$B:$G,6,0)</f>
        <v>2699</v>
      </c>
      <c r="E571" s="222" t="s">
        <v>9287</v>
      </c>
      <c r="F571" s="331" t="s">
        <v>16388</v>
      </c>
      <c r="G571">
        <v>1</v>
      </c>
      <c r="H571" t="str">
        <f t="shared" si="54"/>
        <v>2|2699|1</v>
      </c>
      <c r="I571" s="222" t="s">
        <v>9287</v>
      </c>
      <c r="J571">
        <v>40</v>
      </c>
      <c r="K571" t="str">
        <f t="shared" si="55"/>
        <v>2|2699|1|40</v>
      </c>
      <c r="L571" t="str">
        <f t="shared" si="52"/>
        <v>2|2699|1,2|2685|1,2|2671|1,2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71" t="str">
        <f t="shared" si="53"/>
        <v>2|2699|1|40,2|2685|1|40,2|2671|1|40,2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71" s="341">
        <v>204603</v>
      </c>
      <c r="R571" t="str">
        <f t="shared" si="57"/>
        <v>封魔头盔</v>
      </c>
    </row>
    <row r="572" spans="1:18" ht="16.5">
      <c r="A572" t="str">
        <f t="shared" si="56"/>
        <v>a13</v>
      </c>
      <c r="B572">
        <v>2</v>
      </c>
      <c r="C572" s="222" t="s">
        <v>9287</v>
      </c>
      <c r="D572">
        <f>VLOOKUP(F572,Sheet7!$B:$G,6,0)</f>
        <v>2713</v>
      </c>
      <c r="E572" s="222" t="s">
        <v>9287</v>
      </c>
      <c r="F572" s="331" t="s">
        <v>16403</v>
      </c>
      <c r="G572">
        <v>1</v>
      </c>
      <c r="H572" t="str">
        <f t="shared" si="54"/>
        <v>2|2713|1</v>
      </c>
      <c r="I572" s="222" t="s">
        <v>9287</v>
      </c>
      <c r="J572">
        <v>40</v>
      </c>
      <c r="K572" t="str">
        <f t="shared" si="55"/>
        <v>2|2713|1|40</v>
      </c>
      <c r="L572" t="str">
        <f t="shared" si="52"/>
        <v>2|2713|1,2|2699|1,2|2685|1,2|2671|1,2|2657|1,2|2643|1,2|2629|1,2|2615|1,2|2601|1,2|2587|1,2|2573|1,2|2559|1,2|2545|1,2|2531|1,2|2517|1,2|2503|1,2|2489|1,2|2475|1,2|2461|1,2|2447|1,2|2433|1,2|2419|1,2|2405|1,2|2391|1,2|2377|1,2|2363|1,2|2349|1,2|2335|1,2|2321|1,2|2307|1,2|2293|1,2|2279|1,2|2265|1,2|2251|1,2|2237|1,2|2223|1,2|2209|1,2|2195|1,2|2181|1,2|2167|1,2|2153|1,2|2139|1,2|2125|1,2|2111|1</v>
      </c>
      <c r="M572" t="str">
        <f t="shared" si="53"/>
        <v>2|2713|1|40,2|2699|1|40,2|2685|1|40,2|2671|1|40,2|2657|1|40,2|2643|1|40,2|2629|1|40,2|2615|1|40,2|2601|1|40,2|2587|1|40,2|2573|1|40,2|2559|1|40,2|2545|1|40,2|2531|1|40,2|2517|1|40,2|2503|1|40,2|2489|1|40,2|2475|1|40,2|2461|1|40,2|2447|1|40,2|2433|1|40,2|2419|1|40,2|2405|1|40,2|2391|1|40,2|2377|1|40,2|2363|1|40,2|2349|1|40,2|2335|1|40,2|2321|1|20,2|2307|1|20,2|2293|1|20,2|2279|1|20,2|2265|1|20,2|2251|1|20,2|2237|1|20,2|2223|1|20,2|2209|1|20,2|2195|1|20,2|2181|1|20,2|2167|1|20,2|2153|1|10,2|2139|1|10,2|2125|1|10,2|2111|1|10</v>
      </c>
      <c r="N572" s="341">
        <v>461</v>
      </c>
      <c r="R572" t="str">
        <f t="shared" si="57"/>
        <v>封魔战靴</v>
      </c>
    </row>
    <row r="573" spans="1:18" ht="16.5" hidden="1">
      <c r="A573" t="str">
        <f t="shared" si="56"/>
        <v>a14</v>
      </c>
      <c r="B573">
        <v>2</v>
      </c>
      <c r="C573" s="222" t="s">
        <v>9287</v>
      </c>
      <c r="D573">
        <f>VLOOKUP(F573,Sheet7!$B:$G,6,0)</f>
        <v>2112</v>
      </c>
      <c r="E573" s="222" t="s">
        <v>9287</v>
      </c>
      <c r="F573" s="331" t="s">
        <v>15759</v>
      </c>
      <c r="G573">
        <v>1</v>
      </c>
      <c r="H573" t="str">
        <f t="shared" si="54"/>
        <v>2|2112|1</v>
      </c>
      <c r="I573" s="222" t="s">
        <v>9287</v>
      </c>
      <c r="J573">
        <v>10</v>
      </c>
      <c r="K573" t="str">
        <f t="shared" si="55"/>
        <v>2|2112|1|10</v>
      </c>
      <c r="L573" t="str">
        <f t="shared" si="52"/>
        <v>2|2112|1</v>
      </c>
      <c r="M573" t="str">
        <f t="shared" si="53"/>
        <v>2|2112|1|10</v>
      </c>
      <c r="N573" s="341">
        <v>462</v>
      </c>
      <c r="R573" t="str">
        <f t="shared" si="57"/>
        <v>蚩尤战甲</v>
      </c>
    </row>
    <row r="574" spans="1:18" ht="16.5" hidden="1">
      <c r="A574" t="str">
        <f t="shared" si="56"/>
        <v>a14</v>
      </c>
      <c r="B574">
        <v>2</v>
      </c>
      <c r="C574" s="222" t="s">
        <v>9287</v>
      </c>
      <c r="D574">
        <f>VLOOKUP(F574,Sheet7!$B:$G,6,0)</f>
        <v>2126</v>
      </c>
      <c r="E574" s="222" t="s">
        <v>9287</v>
      </c>
      <c r="F574" s="331" t="s">
        <v>15774</v>
      </c>
      <c r="G574">
        <v>1</v>
      </c>
      <c r="H574" t="str">
        <f t="shared" si="54"/>
        <v>2|2126|1</v>
      </c>
      <c r="I574" s="222" t="s">
        <v>9287</v>
      </c>
      <c r="J574">
        <v>10</v>
      </c>
      <c r="K574" t="str">
        <f t="shared" si="55"/>
        <v>2|2126|1|10</v>
      </c>
      <c r="L574" t="str">
        <f t="shared" si="52"/>
        <v>2|2126|1,2|2112|1</v>
      </c>
      <c r="M574" t="str">
        <f t="shared" si="53"/>
        <v>2|2126|1|10,2|2112|1|10</v>
      </c>
      <c r="N574" s="341">
        <v>2046</v>
      </c>
      <c r="R574" t="str">
        <f t="shared" si="57"/>
        <v>蚩尤长剑</v>
      </c>
    </row>
    <row r="575" spans="1:18" ht="16.5" hidden="1">
      <c r="A575" t="str">
        <f t="shared" si="56"/>
        <v>a14</v>
      </c>
      <c r="B575">
        <v>2</v>
      </c>
      <c r="C575" s="222" t="s">
        <v>9287</v>
      </c>
      <c r="D575">
        <f>VLOOKUP(F575,Sheet7!$B:$G,6,0)</f>
        <v>2140</v>
      </c>
      <c r="E575" s="222" t="s">
        <v>9287</v>
      </c>
      <c r="F575" s="331" t="s">
        <v>15789</v>
      </c>
      <c r="G575">
        <v>1</v>
      </c>
      <c r="H575" t="str">
        <f t="shared" si="54"/>
        <v>2|2140|1</v>
      </c>
      <c r="I575" s="222" t="s">
        <v>9287</v>
      </c>
      <c r="J575">
        <v>10</v>
      </c>
      <c r="K575" t="str">
        <f t="shared" si="55"/>
        <v>2|2140|1|10</v>
      </c>
      <c r="L575" t="str">
        <f t="shared" si="52"/>
        <v>2|2140|1,2|2126|1,2|2112|1</v>
      </c>
      <c r="M575" t="str">
        <f t="shared" si="53"/>
        <v>2|2140|1|10,2|2126|1|10,2|2112|1|10</v>
      </c>
      <c r="N575" s="341">
        <v>20461</v>
      </c>
      <c r="R575" t="str">
        <f t="shared" si="57"/>
        <v>蚩尤头盔</v>
      </c>
    </row>
    <row r="576" spans="1:18" ht="16.5" hidden="1">
      <c r="A576" t="str">
        <f t="shared" si="56"/>
        <v>a14</v>
      </c>
      <c r="B576">
        <v>2</v>
      </c>
      <c r="C576" s="222" t="s">
        <v>9287</v>
      </c>
      <c r="D576">
        <f>VLOOKUP(F576,Sheet7!$B:$G,6,0)</f>
        <v>2154</v>
      </c>
      <c r="E576" s="222" t="s">
        <v>9287</v>
      </c>
      <c r="F576" s="331" t="s">
        <v>15804</v>
      </c>
      <c r="G576">
        <v>1</v>
      </c>
      <c r="H576" t="str">
        <f t="shared" si="54"/>
        <v>2|2154|1</v>
      </c>
      <c r="I576" s="222" t="s">
        <v>9287</v>
      </c>
      <c r="J576">
        <v>10</v>
      </c>
      <c r="K576" t="str">
        <f t="shared" si="55"/>
        <v>2|2154|1|10</v>
      </c>
      <c r="L576" t="str">
        <f t="shared" si="52"/>
        <v>2|2154|1,2|2140|1,2|2126|1,2|2112|1</v>
      </c>
      <c r="M576" t="str">
        <f t="shared" si="53"/>
        <v>2|2154|1|10,2|2140|1|10,2|2126|1|10,2|2112|1|10</v>
      </c>
      <c r="N576" s="341">
        <v>20462</v>
      </c>
      <c r="R576" t="str">
        <f t="shared" si="57"/>
        <v>蚩尤战靴</v>
      </c>
    </row>
    <row r="577" spans="1:18" ht="16.5" hidden="1">
      <c r="A577" t="str">
        <f t="shared" si="56"/>
        <v>a14</v>
      </c>
      <c r="B577">
        <v>2</v>
      </c>
      <c r="C577" s="222" t="s">
        <v>9287</v>
      </c>
      <c r="D577">
        <f>VLOOKUP(F577,Sheet7!$B:$G,6,0)</f>
        <v>2168</v>
      </c>
      <c r="E577" s="222" t="s">
        <v>9287</v>
      </c>
      <c r="F577" s="331" t="s">
        <v>15819</v>
      </c>
      <c r="G577">
        <v>1</v>
      </c>
      <c r="H577" t="str">
        <f t="shared" si="54"/>
        <v>2|2168|1</v>
      </c>
      <c r="I577" s="222" t="s">
        <v>9287</v>
      </c>
      <c r="J577">
        <v>20</v>
      </c>
      <c r="K577" t="str">
        <f t="shared" si="55"/>
        <v>2|2168|1|20</v>
      </c>
      <c r="L577" t="str">
        <f t="shared" si="52"/>
        <v>2|2168|1,2|2154|1,2|2140|1,2|2126|1,2|2112|1</v>
      </c>
      <c r="M577" t="str">
        <f t="shared" si="53"/>
        <v>2|2168|1|20,2|2154|1|10,2|2140|1|10,2|2126|1|10,2|2112|1|10</v>
      </c>
      <c r="N577" s="341">
        <v>20463</v>
      </c>
      <c r="R577" t="str">
        <f t="shared" si="57"/>
        <v>天罡战甲</v>
      </c>
    </row>
    <row r="578" spans="1:18" ht="16.5" hidden="1">
      <c r="A578" t="str">
        <f t="shared" si="56"/>
        <v>a14</v>
      </c>
      <c r="B578">
        <v>2</v>
      </c>
      <c r="C578" s="222" t="s">
        <v>9287</v>
      </c>
      <c r="D578">
        <f>VLOOKUP(F578,Sheet7!$B:$G,6,0)</f>
        <v>2182</v>
      </c>
      <c r="E578" s="222" t="s">
        <v>9287</v>
      </c>
      <c r="F578" s="331" t="s">
        <v>15834</v>
      </c>
      <c r="G578">
        <v>1</v>
      </c>
      <c r="H578" t="str">
        <f t="shared" si="54"/>
        <v>2|2182|1</v>
      </c>
      <c r="I578" s="222" t="s">
        <v>9287</v>
      </c>
      <c r="J578">
        <v>20</v>
      </c>
      <c r="K578" t="str">
        <f t="shared" si="55"/>
        <v>2|2182|1|20</v>
      </c>
      <c r="L578" t="str">
        <f t="shared" si="52"/>
        <v>2|2182|1,2|2168|1,2|2154|1,2|2140|1,2|2126|1,2|2112|1</v>
      </c>
      <c r="M578" t="str">
        <f t="shared" si="53"/>
        <v>2|2182|1|20,2|2168|1|20,2|2154|1|10,2|2140|1|10,2|2126|1|10,2|2112|1|10</v>
      </c>
      <c r="N578" s="341">
        <v>20464</v>
      </c>
      <c r="R578" t="str">
        <f t="shared" si="57"/>
        <v>天罡长剑</v>
      </c>
    </row>
    <row r="579" spans="1:18" ht="16.5" hidden="1">
      <c r="A579" t="str">
        <f t="shared" si="56"/>
        <v>a14</v>
      </c>
      <c r="B579">
        <v>2</v>
      </c>
      <c r="C579" s="222" t="s">
        <v>9287</v>
      </c>
      <c r="D579">
        <f>VLOOKUP(F579,Sheet7!$B:$G,6,0)</f>
        <v>2196</v>
      </c>
      <c r="E579" s="222" t="s">
        <v>9287</v>
      </c>
      <c r="F579" s="331" t="s">
        <v>15849</v>
      </c>
      <c r="G579">
        <v>1</v>
      </c>
      <c r="H579" t="str">
        <f t="shared" si="54"/>
        <v>2|2196|1</v>
      </c>
      <c r="I579" s="222" t="s">
        <v>9287</v>
      </c>
      <c r="J579">
        <v>20</v>
      </c>
      <c r="K579" t="str">
        <f t="shared" si="55"/>
        <v>2|2196|1|20</v>
      </c>
      <c r="L579" t="str">
        <f t="shared" si="52"/>
        <v>2|2196|1,2|2182|1,2|2168|1,2|2154|1,2|2140|1,2|2126|1,2|2112|1</v>
      </c>
      <c r="M579" t="str">
        <f t="shared" si="53"/>
        <v>2|2196|1|20,2|2182|1|20,2|2168|1|20,2|2154|1|10,2|2140|1|10,2|2126|1|10,2|2112|1|10</v>
      </c>
      <c r="N579" s="341">
        <v>20465</v>
      </c>
      <c r="R579" t="str">
        <f t="shared" si="57"/>
        <v>天罡头盔</v>
      </c>
    </row>
    <row r="580" spans="1:18" ht="16.5" hidden="1">
      <c r="A580" t="str">
        <f t="shared" si="56"/>
        <v>a14</v>
      </c>
      <c r="B580">
        <v>2</v>
      </c>
      <c r="C580" s="222" t="s">
        <v>9287</v>
      </c>
      <c r="D580">
        <f>VLOOKUP(F580,Sheet7!$B:$G,6,0)</f>
        <v>2210</v>
      </c>
      <c r="E580" s="222" t="s">
        <v>9287</v>
      </c>
      <c r="F580" s="331" t="s">
        <v>15864</v>
      </c>
      <c r="G580">
        <v>1</v>
      </c>
      <c r="H580" t="str">
        <f t="shared" si="54"/>
        <v>2|2210|1</v>
      </c>
      <c r="I580" s="222" t="s">
        <v>9287</v>
      </c>
      <c r="J580">
        <v>20</v>
      </c>
      <c r="K580" t="str">
        <f t="shared" si="55"/>
        <v>2|2210|1|20</v>
      </c>
      <c r="L580" t="str">
        <f t="shared" ref="L580:L643" si="58">IF(A580=A579,H580&amp;","&amp;L579,H580)</f>
        <v>2|2210|1,2|2196|1,2|2182|1,2|2168|1,2|2154|1,2|2140|1,2|2126|1,2|2112|1</v>
      </c>
      <c r="M580" t="str">
        <f t="shared" ref="M580:M643" si="59">IF(A580=A579,K580&amp;","&amp;M579,K580)</f>
        <v>2|2210|1|20,2|2196|1|20,2|2182|1|20,2|2168|1|20,2|2154|1|10,2|2140|1|10,2|2126|1|10,2|2112|1|10</v>
      </c>
      <c r="N580" s="341">
        <v>20466</v>
      </c>
      <c r="R580" t="str">
        <f t="shared" si="57"/>
        <v>天罡战靴</v>
      </c>
    </row>
    <row r="581" spans="1:18" ht="16.5" hidden="1">
      <c r="A581" t="str">
        <f t="shared" si="56"/>
        <v>a14</v>
      </c>
      <c r="B581">
        <v>2</v>
      </c>
      <c r="C581" s="222" t="s">
        <v>9287</v>
      </c>
      <c r="D581">
        <f>VLOOKUP(F581,Sheet7!$B:$G,6,0)</f>
        <v>2224</v>
      </c>
      <c r="E581" s="222" t="s">
        <v>9287</v>
      </c>
      <c r="F581" s="331" t="s">
        <v>15879</v>
      </c>
      <c r="G581">
        <v>1</v>
      </c>
      <c r="H581" t="str">
        <f t="shared" si="54"/>
        <v>2|2224|1</v>
      </c>
      <c r="I581" s="222" t="s">
        <v>9287</v>
      </c>
      <c r="J581">
        <v>20</v>
      </c>
      <c r="K581" t="str">
        <f t="shared" si="55"/>
        <v>2|2224|1|20</v>
      </c>
      <c r="L581" t="str">
        <f t="shared" si="58"/>
        <v>2|2224|1,2|2210|1,2|2196|1,2|2182|1,2|2168|1,2|2154|1,2|2140|1,2|2126|1,2|2112|1</v>
      </c>
      <c r="M581" t="str">
        <f t="shared" si="59"/>
        <v>2|2224|1|20,2|2210|1|20,2|2196|1|20,2|2182|1|20,2|2168|1|20,2|2154|1|10,2|2140|1|10,2|2126|1|10,2|2112|1|10</v>
      </c>
      <c r="N581" s="341">
        <v>20467</v>
      </c>
      <c r="R581" t="str">
        <f t="shared" si="57"/>
        <v>降魔战甲</v>
      </c>
    </row>
    <row r="582" spans="1:18" ht="16.5" hidden="1">
      <c r="A582" t="str">
        <f t="shared" si="56"/>
        <v>a14</v>
      </c>
      <c r="B582">
        <v>2</v>
      </c>
      <c r="C582" s="222" t="s">
        <v>9287</v>
      </c>
      <c r="D582">
        <f>VLOOKUP(F582,Sheet7!$B:$G,6,0)</f>
        <v>2238</v>
      </c>
      <c r="E582" s="222" t="s">
        <v>9287</v>
      </c>
      <c r="F582" s="331" t="s">
        <v>15894</v>
      </c>
      <c r="G582">
        <v>1</v>
      </c>
      <c r="H582" t="str">
        <f t="shared" ref="H582:H613" si="60">B582&amp;C582&amp;D582&amp;E582&amp;G582</f>
        <v>2|2238|1</v>
      </c>
      <c r="I582" s="222" t="s">
        <v>9287</v>
      </c>
      <c r="J582">
        <v>20</v>
      </c>
      <c r="K582" t="str">
        <f t="shared" ref="K582:K613" si="61">H582&amp;I582&amp;J582</f>
        <v>2|2238|1|20</v>
      </c>
      <c r="L582" t="str">
        <f t="shared" si="58"/>
        <v>2|2238|1,2|2224|1,2|2210|1,2|2196|1,2|2182|1,2|2168|1,2|2154|1,2|2140|1,2|2126|1,2|2112|1</v>
      </c>
      <c r="M582" t="str">
        <f t="shared" si="59"/>
        <v>2|2238|1|20,2|2224|1|20,2|2210|1|20,2|2196|1|20,2|2182|1|20,2|2168|1|20,2|2154|1|10,2|2140|1|10,2|2126|1|10,2|2112|1|10</v>
      </c>
      <c r="N582" s="341">
        <v>20468</v>
      </c>
      <c r="R582" t="str">
        <f t="shared" si="57"/>
        <v>降魔长剑</v>
      </c>
    </row>
    <row r="583" spans="1:18" ht="16.5" hidden="1">
      <c r="A583" t="str">
        <f t="shared" si="56"/>
        <v>a14</v>
      </c>
      <c r="B583">
        <v>2</v>
      </c>
      <c r="C583" s="222" t="s">
        <v>9287</v>
      </c>
      <c r="D583">
        <f>VLOOKUP(F583,Sheet7!$B:$G,6,0)</f>
        <v>2252</v>
      </c>
      <c r="E583" s="222" t="s">
        <v>9287</v>
      </c>
      <c r="F583" s="331" t="s">
        <v>15909</v>
      </c>
      <c r="G583">
        <v>1</v>
      </c>
      <c r="H583" t="str">
        <f t="shared" si="60"/>
        <v>2|2252|1</v>
      </c>
      <c r="I583" s="222" t="s">
        <v>9287</v>
      </c>
      <c r="J583">
        <v>20</v>
      </c>
      <c r="K583" t="str">
        <f t="shared" si="61"/>
        <v>2|2252|1|20</v>
      </c>
      <c r="L583" t="str">
        <f t="shared" si="58"/>
        <v>2|2252|1,2|2238|1,2|2224|1,2|2210|1,2|2196|1,2|2182|1,2|2168|1,2|2154|1,2|2140|1,2|2126|1,2|2112|1</v>
      </c>
      <c r="M583" t="str">
        <f t="shared" si="59"/>
        <v>2|2252|1|20,2|2238|1|20,2|2224|1|20,2|2210|1|20,2|2196|1|20,2|2182|1|20,2|2168|1|20,2|2154|1|10,2|2140|1|10,2|2126|1|10,2|2112|1|10</v>
      </c>
      <c r="N583" s="341">
        <v>20469</v>
      </c>
      <c r="R583" t="str">
        <f t="shared" si="57"/>
        <v>降魔头盔</v>
      </c>
    </row>
    <row r="584" spans="1:18" ht="16.5" hidden="1">
      <c r="A584" t="str">
        <f t="shared" si="56"/>
        <v>a14</v>
      </c>
      <c r="B584">
        <v>2</v>
      </c>
      <c r="C584" s="222" t="s">
        <v>9287</v>
      </c>
      <c r="D584">
        <f>VLOOKUP(F584,Sheet7!$B:$G,6,0)</f>
        <v>2266</v>
      </c>
      <c r="E584" s="222" t="s">
        <v>9287</v>
      </c>
      <c r="F584" s="331" t="s">
        <v>15924</v>
      </c>
      <c r="G584">
        <v>1</v>
      </c>
      <c r="H584" t="str">
        <f t="shared" si="60"/>
        <v>2|2266|1</v>
      </c>
      <c r="I584" s="222" t="s">
        <v>9287</v>
      </c>
      <c r="J584">
        <v>20</v>
      </c>
      <c r="K584" t="str">
        <f t="shared" si="61"/>
        <v>2|2266|1|20</v>
      </c>
      <c r="L584" t="str">
        <f t="shared" si="58"/>
        <v>2|2266|1,2|2252|1,2|2238|1,2|2224|1,2|2210|1,2|2196|1,2|2182|1,2|2168|1,2|2154|1,2|2140|1,2|2126|1,2|2112|1</v>
      </c>
      <c r="M584" t="str">
        <f t="shared" si="59"/>
        <v>2|2266|1|20,2|2252|1|20,2|2238|1|20,2|2224|1|20,2|2210|1|20,2|2196|1|20,2|2182|1|20,2|2168|1|20,2|2154|1|10,2|2140|1|10,2|2126|1|10,2|2112|1|10</v>
      </c>
      <c r="N584" s="341">
        <v>204701</v>
      </c>
      <c r="R584" t="str">
        <f t="shared" si="57"/>
        <v>降魔战靴</v>
      </c>
    </row>
    <row r="585" spans="1:18" ht="16.5" hidden="1">
      <c r="A585" t="str">
        <f t="shared" si="56"/>
        <v>a14</v>
      </c>
      <c r="B585">
        <v>2</v>
      </c>
      <c r="C585" s="222" t="s">
        <v>9287</v>
      </c>
      <c r="D585">
        <f>VLOOKUP(F585,Sheet7!$B:$G,6,0)</f>
        <v>2280</v>
      </c>
      <c r="E585" s="222" t="s">
        <v>9287</v>
      </c>
      <c r="F585" s="331" t="s">
        <v>15939</v>
      </c>
      <c r="G585">
        <v>1</v>
      </c>
      <c r="H585" t="str">
        <f t="shared" si="60"/>
        <v>2|2280|1</v>
      </c>
      <c r="I585" s="222" t="s">
        <v>9287</v>
      </c>
      <c r="J585">
        <v>20</v>
      </c>
      <c r="K585" t="str">
        <f t="shared" si="61"/>
        <v>2|2280|1|20</v>
      </c>
      <c r="L585" t="str">
        <f t="shared" si="58"/>
        <v>2|2280|1,2|2266|1,2|2252|1,2|2238|1,2|2224|1,2|2210|1,2|2196|1,2|2182|1,2|2168|1,2|2154|1,2|2140|1,2|2126|1,2|2112|1</v>
      </c>
      <c r="M585" t="str">
        <f t="shared" si="59"/>
        <v>2|2280|1|20,2|2266|1|20,2|2252|1|20,2|2238|1|20,2|2224|1|20,2|2210|1|20,2|2196|1|20,2|2182|1|20,2|2168|1|20,2|2154|1|10,2|2140|1|10,2|2126|1|10,2|2112|1|10</v>
      </c>
      <c r="N585" s="341">
        <v>204702</v>
      </c>
      <c r="R585" t="str">
        <f t="shared" si="57"/>
        <v>血魔战甲</v>
      </c>
    </row>
    <row r="586" spans="1:18" ht="16.5" hidden="1">
      <c r="A586" t="str">
        <f t="shared" si="56"/>
        <v>a14</v>
      </c>
      <c r="B586">
        <v>2</v>
      </c>
      <c r="C586" s="222" t="s">
        <v>9287</v>
      </c>
      <c r="D586">
        <f>VLOOKUP(F586,Sheet7!$B:$G,6,0)</f>
        <v>2294</v>
      </c>
      <c r="E586" s="222" t="s">
        <v>9287</v>
      </c>
      <c r="F586" s="331" t="s">
        <v>15954</v>
      </c>
      <c r="G586">
        <v>1</v>
      </c>
      <c r="H586" t="str">
        <f t="shared" si="60"/>
        <v>2|2294|1</v>
      </c>
      <c r="I586" s="222" t="s">
        <v>9287</v>
      </c>
      <c r="J586">
        <v>20</v>
      </c>
      <c r="K586" t="str">
        <f t="shared" si="61"/>
        <v>2|2294|1|20</v>
      </c>
      <c r="L586" t="str">
        <f t="shared" si="58"/>
        <v>2|2294|1,2|2280|1,2|2266|1,2|2252|1,2|2238|1,2|2224|1,2|2210|1,2|2196|1,2|2182|1,2|2168|1,2|2154|1,2|2140|1,2|2126|1,2|2112|1</v>
      </c>
      <c r="M586" t="str">
        <f t="shared" si="59"/>
        <v>2|2294|1|20,2|2280|1|20,2|2266|1|20,2|2252|1|20,2|2238|1|20,2|2224|1|20,2|2210|1|20,2|2196|1|20,2|2182|1|20,2|2168|1|20,2|2154|1|10,2|2140|1|10,2|2126|1|10,2|2112|1|10</v>
      </c>
      <c r="N586" s="341">
        <v>204703</v>
      </c>
      <c r="R586" t="str">
        <f t="shared" si="57"/>
        <v>赤霄长剑</v>
      </c>
    </row>
    <row r="587" spans="1:18" ht="16.5" hidden="1">
      <c r="A587" t="str">
        <f t="shared" si="56"/>
        <v>a14</v>
      </c>
      <c r="B587">
        <v>2</v>
      </c>
      <c r="C587" s="222" t="s">
        <v>9287</v>
      </c>
      <c r="D587">
        <f>VLOOKUP(F587,Sheet7!$B:$G,6,0)</f>
        <v>2308</v>
      </c>
      <c r="E587" s="222" t="s">
        <v>9287</v>
      </c>
      <c r="F587" s="331" t="s">
        <v>15969</v>
      </c>
      <c r="G587">
        <v>1</v>
      </c>
      <c r="H587" t="str">
        <f t="shared" si="60"/>
        <v>2|2308|1</v>
      </c>
      <c r="I587" s="222" t="s">
        <v>9287</v>
      </c>
      <c r="J587">
        <v>20</v>
      </c>
      <c r="K587" t="str">
        <f t="shared" si="61"/>
        <v>2|2308|1|20</v>
      </c>
      <c r="L587" t="str">
        <f t="shared" si="58"/>
        <v>2|2308|1,2|2294|1,2|2280|1,2|2266|1,2|2252|1,2|2238|1,2|2224|1,2|2210|1,2|2196|1,2|2182|1,2|2168|1,2|2154|1,2|2140|1,2|2126|1,2|2112|1</v>
      </c>
      <c r="M587" t="str">
        <f t="shared" si="59"/>
        <v>2|2308|1|20,2|2294|1|20,2|2280|1|20,2|2266|1|20,2|2252|1|20,2|2238|1|20,2|2224|1|20,2|2210|1|20,2|2196|1|20,2|2182|1|20,2|2168|1|20,2|2154|1|10,2|2140|1|10,2|2126|1|10,2|2112|1|10</v>
      </c>
      <c r="N587" s="341">
        <v>471</v>
      </c>
      <c r="R587" t="str">
        <f t="shared" si="57"/>
        <v>麒麟头盔</v>
      </c>
    </row>
    <row r="588" spans="1:18" ht="16.5" hidden="1">
      <c r="A588" t="str">
        <f t="shared" si="56"/>
        <v>a14</v>
      </c>
      <c r="B588">
        <v>2</v>
      </c>
      <c r="C588" s="222" t="s">
        <v>9287</v>
      </c>
      <c r="D588">
        <f>VLOOKUP(F588,Sheet7!$B:$G,6,0)</f>
        <v>2322</v>
      </c>
      <c r="E588" s="222" t="s">
        <v>9287</v>
      </c>
      <c r="F588" s="331" t="s">
        <v>15984</v>
      </c>
      <c r="G588">
        <v>1</v>
      </c>
      <c r="H588" t="str">
        <f t="shared" si="60"/>
        <v>2|2322|1</v>
      </c>
      <c r="I588" s="222" t="s">
        <v>9287</v>
      </c>
      <c r="J588">
        <v>20</v>
      </c>
      <c r="K588" t="str">
        <f t="shared" si="61"/>
        <v>2|2322|1|20</v>
      </c>
      <c r="L588" t="str">
        <f t="shared" si="58"/>
        <v>2|2322|1,2|2308|1,2|2294|1,2|2280|1,2|2266|1,2|2252|1,2|2238|1,2|2224|1,2|2210|1,2|2196|1,2|2182|1,2|2168|1,2|2154|1,2|2140|1,2|2126|1,2|2112|1</v>
      </c>
      <c r="M588" t="str">
        <f t="shared" si="59"/>
        <v>2|2322|1|20,2|2308|1|20,2|2294|1|20,2|2280|1|20,2|2266|1|20,2|2252|1|20,2|2238|1|20,2|2224|1|20,2|2210|1|20,2|2196|1|20,2|2182|1|20,2|2168|1|20,2|2154|1|10,2|2140|1|10,2|2126|1|10,2|2112|1|10</v>
      </c>
      <c r="N588" s="341">
        <v>472</v>
      </c>
      <c r="R588" t="str">
        <f t="shared" si="57"/>
        <v>兽魂战靴</v>
      </c>
    </row>
    <row r="589" spans="1:18" ht="16.5" hidden="1">
      <c r="A589" t="str">
        <f t="shared" si="56"/>
        <v>a14</v>
      </c>
      <c r="B589">
        <v>2</v>
      </c>
      <c r="C589" s="222" t="s">
        <v>9287</v>
      </c>
      <c r="D589">
        <f>VLOOKUP(F589,Sheet7!$B:$G,6,0)</f>
        <v>2336</v>
      </c>
      <c r="E589" s="222" t="s">
        <v>9287</v>
      </c>
      <c r="F589" s="331" t="s">
        <v>15999</v>
      </c>
      <c r="G589">
        <v>1</v>
      </c>
      <c r="H589" t="str">
        <f t="shared" si="60"/>
        <v>2|2336|1</v>
      </c>
      <c r="I589" s="222" t="s">
        <v>9287</v>
      </c>
      <c r="J589">
        <v>40</v>
      </c>
      <c r="K589" t="str">
        <f t="shared" si="61"/>
        <v>2|2336|1|40</v>
      </c>
      <c r="L589" t="str">
        <f t="shared" si="58"/>
        <v>2|2336|1,2|2322|1,2|2308|1,2|2294|1,2|2280|1,2|2266|1,2|2252|1,2|2238|1,2|2224|1,2|2210|1,2|2196|1,2|2182|1,2|2168|1,2|2154|1,2|2140|1,2|2126|1,2|2112|1</v>
      </c>
      <c r="M589" t="str">
        <f t="shared" si="59"/>
        <v>2|2336|1|40,2|2322|1|20,2|2308|1|20,2|2294|1|20,2|2280|1|20,2|2266|1|20,2|2252|1|20,2|2238|1|20,2|2224|1|20,2|2210|1|20,2|2196|1|20,2|2182|1|20,2|2168|1|20,2|2154|1|10,2|2140|1|10,2|2126|1|10,2|2112|1|10</v>
      </c>
      <c r="N589" s="341">
        <v>2047</v>
      </c>
      <c r="R589" t="str">
        <f t="shared" si="57"/>
        <v>磐石战甲</v>
      </c>
    </row>
    <row r="590" spans="1:18" ht="16.5" hidden="1">
      <c r="A590" t="str">
        <f t="shared" si="56"/>
        <v>a14</v>
      </c>
      <c r="B590">
        <v>2</v>
      </c>
      <c r="C590" s="222" t="s">
        <v>9287</v>
      </c>
      <c r="D590">
        <f>VLOOKUP(F590,Sheet7!$B:$G,6,0)</f>
        <v>2350</v>
      </c>
      <c r="E590" s="222" t="s">
        <v>9287</v>
      </c>
      <c r="F590" s="331" t="s">
        <v>16014</v>
      </c>
      <c r="G590">
        <v>1</v>
      </c>
      <c r="H590" t="str">
        <f t="shared" si="60"/>
        <v>2|2350|1</v>
      </c>
      <c r="I590" s="222" t="s">
        <v>9287</v>
      </c>
      <c r="J590">
        <v>40</v>
      </c>
      <c r="K590" t="str">
        <f t="shared" si="61"/>
        <v>2|2350|1|40</v>
      </c>
      <c r="L590" t="str">
        <f t="shared" si="58"/>
        <v>2|2350|1,2|2336|1,2|2322|1,2|2308|1,2|2294|1,2|2280|1,2|2266|1,2|2252|1,2|2238|1,2|2224|1,2|2210|1,2|2196|1,2|2182|1,2|2168|1,2|2154|1,2|2140|1,2|2126|1,2|2112|1</v>
      </c>
      <c r="M590" t="str">
        <f t="shared" si="59"/>
        <v>2|2350|1|40,2|2336|1|40,2|2322|1|20,2|2308|1|20,2|2294|1|20,2|2280|1|20,2|2266|1|20,2|2252|1|20,2|2238|1|20,2|2224|1|20,2|2210|1|20,2|2196|1|20,2|2182|1|20,2|2168|1|20,2|2154|1|10,2|2140|1|10,2|2126|1|10,2|2112|1|10</v>
      </c>
      <c r="N590" s="341">
        <v>20471</v>
      </c>
      <c r="R590" t="str">
        <f t="shared" si="57"/>
        <v>磐石长剑</v>
      </c>
    </row>
    <row r="591" spans="1:18" ht="16.5" hidden="1">
      <c r="A591" t="str">
        <f t="shared" si="56"/>
        <v>a14</v>
      </c>
      <c r="B591">
        <v>2</v>
      </c>
      <c r="C591" s="222" t="s">
        <v>9287</v>
      </c>
      <c r="D591">
        <f>VLOOKUP(F591,Sheet7!$B:$G,6,0)</f>
        <v>2364</v>
      </c>
      <c r="E591" s="222" t="s">
        <v>9287</v>
      </c>
      <c r="F591" s="331" t="s">
        <v>16029</v>
      </c>
      <c r="G591">
        <v>1</v>
      </c>
      <c r="H591" t="str">
        <f t="shared" si="60"/>
        <v>2|2364|1</v>
      </c>
      <c r="I591" s="222" t="s">
        <v>9287</v>
      </c>
      <c r="J591">
        <v>40</v>
      </c>
      <c r="K591" t="str">
        <f t="shared" si="61"/>
        <v>2|2364|1|40</v>
      </c>
      <c r="L591" t="str">
        <f t="shared" si="58"/>
        <v>2|2364|1,2|2350|1,2|2336|1,2|2322|1,2|2308|1,2|2294|1,2|2280|1,2|2266|1,2|2252|1,2|2238|1,2|2224|1,2|2210|1,2|2196|1,2|2182|1,2|2168|1,2|2154|1,2|2140|1,2|2126|1,2|2112|1</v>
      </c>
      <c r="M591" t="str">
        <f t="shared" si="59"/>
        <v>2|2364|1|40,2|2350|1|40,2|2336|1|40,2|2322|1|20,2|2308|1|20,2|2294|1|20,2|2280|1|20,2|2266|1|20,2|2252|1|20,2|2238|1|20,2|2224|1|20,2|2210|1|20,2|2196|1|20,2|2182|1|20,2|2168|1|20,2|2154|1|10,2|2140|1|10,2|2126|1|10,2|2112|1|10</v>
      </c>
      <c r="N591" s="341">
        <v>20472</v>
      </c>
      <c r="R591" t="str">
        <f t="shared" si="57"/>
        <v>磐石头盔</v>
      </c>
    </row>
    <row r="592" spans="1:18" ht="16.5" hidden="1">
      <c r="A592" t="str">
        <f t="shared" si="56"/>
        <v>a14</v>
      </c>
      <c r="B592">
        <v>2</v>
      </c>
      <c r="C592" s="222" t="s">
        <v>9287</v>
      </c>
      <c r="D592">
        <f>VLOOKUP(F592,Sheet7!$B:$G,6,0)</f>
        <v>2378</v>
      </c>
      <c r="E592" s="222" t="s">
        <v>9287</v>
      </c>
      <c r="F592" s="331" t="s">
        <v>16044</v>
      </c>
      <c r="G592">
        <v>1</v>
      </c>
      <c r="H592" t="str">
        <f t="shared" si="60"/>
        <v>2|2378|1</v>
      </c>
      <c r="I592" s="222" t="s">
        <v>9287</v>
      </c>
      <c r="J592">
        <v>40</v>
      </c>
      <c r="K592" t="str">
        <f t="shared" si="61"/>
        <v>2|2378|1|40</v>
      </c>
      <c r="L592" t="str">
        <f t="shared" si="58"/>
        <v>2|2378|1,2|2364|1,2|2350|1,2|2336|1,2|2322|1,2|2308|1,2|2294|1,2|2280|1,2|2266|1,2|2252|1,2|2238|1,2|2224|1,2|2210|1,2|2196|1,2|2182|1,2|2168|1,2|2154|1,2|2140|1,2|2126|1,2|2112|1</v>
      </c>
      <c r="M592" t="str">
        <f t="shared" si="59"/>
        <v>2|2378|1|40,2|2364|1|40,2|2350|1|40,2|2336|1|40,2|2322|1|20,2|2308|1|20,2|2294|1|20,2|2280|1|20,2|2266|1|20,2|2252|1|20,2|2238|1|20,2|2224|1|20,2|2210|1|20,2|2196|1|20,2|2182|1|20,2|2168|1|20,2|2154|1|10,2|2140|1|10,2|2126|1|10,2|2112|1|10</v>
      </c>
      <c r="N592" s="341">
        <v>20473</v>
      </c>
      <c r="R592" t="str">
        <f t="shared" si="57"/>
        <v>磐石战靴</v>
      </c>
    </row>
    <row r="593" spans="1:18" ht="16.5" hidden="1">
      <c r="A593" t="str">
        <f t="shared" si="56"/>
        <v>a14</v>
      </c>
      <c r="B593">
        <v>2</v>
      </c>
      <c r="C593" s="222" t="s">
        <v>9287</v>
      </c>
      <c r="D593">
        <f>VLOOKUP(F593,Sheet7!$B:$G,6,0)</f>
        <v>2392</v>
      </c>
      <c r="E593" s="222" t="s">
        <v>9287</v>
      </c>
      <c r="F593" s="331" t="s">
        <v>16059</v>
      </c>
      <c r="G593">
        <v>1</v>
      </c>
      <c r="H593" t="str">
        <f t="shared" si="60"/>
        <v>2|2392|1</v>
      </c>
      <c r="I593" s="222" t="s">
        <v>9287</v>
      </c>
      <c r="J593">
        <v>40</v>
      </c>
      <c r="K593" t="str">
        <f t="shared" si="61"/>
        <v>2|2392|1|40</v>
      </c>
      <c r="L593" t="str">
        <f t="shared" si="58"/>
        <v>2|2392|1,2|2378|1,2|2364|1,2|2350|1,2|2336|1,2|2322|1,2|2308|1,2|2294|1,2|2280|1,2|2266|1,2|2252|1,2|2238|1,2|2224|1,2|2210|1,2|2196|1,2|2182|1,2|2168|1,2|2154|1,2|2140|1,2|2126|1,2|2112|1</v>
      </c>
      <c r="M593" t="str">
        <f t="shared" si="59"/>
        <v>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3" s="341">
        <v>20474</v>
      </c>
      <c r="R593" t="str">
        <f t="shared" si="57"/>
        <v>连云战甲</v>
      </c>
    </row>
    <row r="594" spans="1:18" ht="16.5" hidden="1">
      <c r="A594" t="str">
        <f t="shared" si="56"/>
        <v>a14</v>
      </c>
      <c r="B594">
        <v>2</v>
      </c>
      <c r="C594" s="222" t="s">
        <v>9287</v>
      </c>
      <c r="D594">
        <f>VLOOKUP(F594,Sheet7!$B:$G,6,0)</f>
        <v>2406</v>
      </c>
      <c r="E594" s="222" t="s">
        <v>9287</v>
      </c>
      <c r="F594" s="331" t="s">
        <v>16074</v>
      </c>
      <c r="G594">
        <v>1</v>
      </c>
      <c r="H594" t="str">
        <f t="shared" si="60"/>
        <v>2|2406|1</v>
      </c>
      <c r="I594" s="222" t="s">
        <v>9287</v>
      </c>
      <c r="J594">
        <v>40</v>
      </c>
      <c r="K594" t="str">
        <f t="shared" si="61"/>
        <v>2|2406|1|40</v>
      </c>
      <c r="L594" t="str">
        <f t="shared" si="58"/>
        <v>2|2406|1,2|2392|1,2|2378|1,2|2364|1,2|2350|1,2|2336|1,2|2322|1,2|2308|1,2|2294|1,2|2280|1,2|2266|1,2|2252|1,2|2238|1,2|2224|1,2|2210|1,2|2196|1,2|2182|1,2|2168|1,2|2154|1,2|2140|1,2|2126|1,2|2112|1</v>
      </c>
      <c r="M594" t="str">
        <f t="shared" si="59"/>
        <v>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4" s="341">
        <v>20475</v>
      </c>
      <c r="R594" t="str">
        <f t="shared" si="57"/>
        <v>紫阳长剑</v>
      </c>
    </row>
    <row r="595" spans="1:18" ht="16.5" hidden="1">
      <c r="A595" t="str">
        <f t="shared" si="56"/>
        <v>a14</v>
      </c>
      <c r="B595">
        <v>2</v>
      </c>
      <c r="C595" s="222" t="s">
        <v>9287</v>
      </c>
      <c r="D595">
        <f>VLOOKUP(F595,Sheet7!$B:$G,6,0)</f>
        <v>2420</v>
      </c>
      <c r="E595" s="222" t="s">
        <v>9287</v>
      </c>
      <c r="F595" s="331" t="s">
        <v>16089</v>
      </c>
      <c r="G595">
        <v>1</v>
      </c>
      <c r="H595" t="str">
        <f t="shared" si="60"/>
        <v>2|2420|1</v>
      </c>
      <c r="I595" s="222" t="s">
        <v>9287</v>
      </c>
      <c r="J595">
        <v>40</v>
      </c>
      <c r="K595" t="str">
        <f t="shared" si="61"/>
        <v>2|2420|1|40</v>
      </c>
      <c r="L595" t="str">
        <f t="shared" si="58"/>
        <v>2|2420|1,2|2406|1,2|2392|1,2|2378|1,2|2364|1,2|2350|1,2|2336|1,2|2322|1,2|2308|1,2|2294|1,2|2280|1,2|2266|1,2|2252|1,2|2238|1,2|2224|1,2|2210|1,2|2196|1,2|2182|1,2|2168|1,2|2154|1,2|2140|1,2|2126|1,2|2112|1</v>
      </c>
      <c r="M595" t="str">
        <f t="shared" si="59"/>
        <v>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5" s="341">
        <v>20476</v>
      </c>
      <c r="R595" t="str">
        <f t="shared" si="57"/>
        <v>耀日头盔</v>
      </c>
    </row>
    <row r="596" spans="1:18" ht="16.5" hidden="1">
      <c r="A596" t="str">
        <f t="shared" si="56"/>
        <v>a14</v>
      </c>
      <c r="B596">
        <v>2</v>
      </c>
      <c r="C596" s="222" t="s">
        <v>9287</v>
      </c>
      <c r="D596">
        <f>VLOOKUP(F596,Sheet7!$B:$G,6,0)</f>
        <v>2434</v>
      </c>
      <c r="E596" s="222" t="s">
        <v>9287</v>
      </c>
      <c r="F596" s="331" t="s">
        <v>16104</v>
      </c>
      <c r="G596">
        <v>1</v>
      </c>
      <c r="H596" t="str">
        <f t="shared" si="60"/>
        <v>2|2434|1</v>
      </c>
      <c r="I596" s="222" t="s">
        <v>9287</v>
      </c>
      <c r="J596">
        <v>40</v>
      </c>
      <c r="K596" t="str">
        <f t="shared" si="61"/>
        <v>2|2434|1|40</v>
      </c>
      <c r="L596" t="str">
        <f t="shared" si="58"/>
        <v>2|2434|1,2|2420|1,2|2406|1,2|2392|1,2|2378|1,2|2364|1,2|2350|1,2|2336|1,2|2322|1,2|2308|1,2|2294|1,2|2280|1,2|2266|1,2|2252|1,2|2238|1,2|2224|1,2|2210|1,2|2196|1,2|2182|1,2|2168|1,2|2154|1,2|2140|1,2|2126|1,2|2112|1</v>
      </c>
      <c r="M596" t="str">
        <f t="shared" si="59"/>
        <v>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6" s="341">
        <v>20477</v>
      </c>
      <c r="R596" t="str">
        <f t="shared" si="57"/>
        <v>雷霆战靴</v>
      </c>
    </row>
    <row r="597" spans="1:18" ht="16.5" hidden="1">
      <c r="A597" t="str">
        <f t="shared" si="56"/>
        <v>a14</v>
      </c>
      <c r="B597">
        <v>2</v>
      </c>
      <c r="C597" s="222" t="s">
        <v>9287</v>
      </c>
      <c r="D597">
        <f>VLOOKUP(F597,Sheet7!$B:$G,6,0)</f>
        <v>2448</v>
      </c>
      <c r="E597" s="222" t="s">
        <v>9287</v>
      </c>
      <c r="F597" s="331" t="s">
        <v>16119</v>
      </c>
      <c r="G597">
        <v>1</v>
      </c>
      <c r="H597" t="str">
        <f t="shared" si="60"/>
        <v>2|2448|1</v>
      </c>
      <c r="I597" s="222" t="s">
        <v>9287</v>
      </c>
      <c r="J597">
        <v>40</v>
      </c>
      <c r="K597" t="str">
        <f t="shared" si="61"/>
        <v>2|2448|1|40</v>
      </c>
      <c r="L597" t="str">
        <f t="shared" si="58"/>
        <v>2|2448|1,2|2434|1,2|2420|1,2|2406|1,2|2392|1,2|2378|1,2|2364|1,2|2350|1,2|2336|1,2|2322|1,2|2308|1,2|2294|1,2|2280|1,2|2266|1,2|2252|1,2|2238|1,2|2224|1,2|2210|1,2|2196|1,2|2182|1,2|2168|1,2|2154|1,2|2140|1,2|2126|1,2|2112|1</v>
      </c>
      <c r="M597" t="str">
        <f t="shared" si="59"/>
        <v>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7" s="341">
        <v>20478</v>
      </c>
      <c r="R597" t="str">
        <f t="shared" si="57"/>
        <v>护卫战甲</v>
      </c>
    </row>
    <row r="598" spans="1:18" ht="16.5" hidden="1">
      <c r="A598" t="str">
        <f t="shared" ref="A598:A616" si="62">LEFT(F598,3)</f>
        <v>a14</v>
      </c>
      <c r="B598">
        <v>2</v>
      </c>
      <c r="C598" s="222" t="s">
        <v>9287</v>
      </c>
      <c r="D598">
        <f>VLOOKUP(F598,Sheet7!$B:$G,6,0)</f>
        <v>2462</v>
      </c>
      <c r="E598" s="222" t="s">
        <v>9287</v>
      </c>
      <c r="F598" s="331" t="s">
        <v>16134</v>
      </c>
      <c r="G598">
        <v>1</v>
      </c>
      <c r="H598" t="str">
        <f t="shared" si="60"/>
        <v>2|2462|1</v>
      </c>
      <c r="I598" s="222" t="s">
        <v>9287</v>
      </c>
      <c r="J598">
        <v>40</v>
      </c>
      <c r="K598" t="str">
        <f t="shared" si="61"/>
        <v>2|2462|1|40</v>
      </c>
      <c r="L598" t="str">
        <f t="shared" si="58"/>
        <v>2|2462|1,2|2448|1,2|2434|1,2|2420|1,2|2406|1,2|2392|1,2|2378|1,2|2364|1,2|2350|1,2|2336|1,2|2322|1,2|2308|1,2|2294|1,2|2280|1,2|2266|1,2|2252|1,2|2238|1,2|2224|1,2|2210|1,2|2196|1,2|2182|1,2|2168|1,2|2154|1,2|2140|1,2|2126|1,2|2112|1</v>
      </c>
      <c r="M598" t="str">
        <f t="shared" si="59"/>
        <v>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8" s="341">
        <v>20479</v>
      </c>
      <c r="R598" t="str">
        <f t="shared" ref="R598:R660" si="63">RIGHT(F598,4)</f>
        <v>护卫长剑</v>
      </c>
    </row>
    <row r="599" spans="1:18" ht="16.5" hidden="1">
      <c r="A599" t="str">
        <f t="shared" si="62"/>
        <v>a14</v>
      </c>
      <c r="B599">
        <v>2</v>
      </c>
      <c r="C599" s="222" t="s">
        <v>9287</v>
      </c>
      <c r="D599">
        <f>VLOOKUP(F599,Sheet7!$B:$G,6,0)</f>
        <v>2476</v>
      </c>
      <c r="E599" s="222" t="s">
        <v>9287</v>
      </c>
      <c r="F599" s="331" t="s">
        <v>16149</v>
      </c>
      <c r="G599">
        <v>1</v>
      </c>
      <c r="H599" t="str">
        <f t="shared" si="60"/>
        <v>2|2476|1</v>
      </c>
      <c r="I599" s="222" t="s">
        <v>9287</v>
      </c>
      <c r="J599">
        <v>40</v>
      </c>
      <c r="K599" t="str">
        <f t="shared" si="61"/>
        <v>2|2476|1|40</v>
      </c>
      <c r="L599" t="str">
        <f t="shared" si="58"/>
        <v>2|2476|1,2|2462|1,2|2448|1,2|2434|1,2|2420|1,2|2406|1,2|2392|1,2|2378|1,2|2364|1,2|2350|1,2|2336|1,2|2322|1,2|2308|1,2|2294|1,2|2280|1,2|2266|1,2|2252|1,2|2238|1,2|2224|1,2|2210|1,2|2196|1,2|2182|1,2|2168|1,2|2154|1,2|2140|1,2|2126|1,2|2112|1</v>
      </c>
      <c r="M599" t="str">
        <f t="shared" si="59"/>
        <v>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599" s="341">
        <v>204801</v>
      </c>
      <c r="R599" t="str">
        <f t="shared" si="63"/>
        <v>护卫头盔</v>
      </c>
    </row>
    <row r="600" spans="1:18" ht="16.5" hidden="1">
      <c r="A600" t="str">
        <f t="shared" si="62"/>
        <v>a14</v>
      </c>
      <c r="B600">
        <v>2</v>
      </c>
      <c r="C600" s="222" t="s">
        <v>9287</v>
      </c>
      <c r="D600">
        <f>VLOOKUP(F600,Sheet7!$B:$G,6,0)</f>
        <v>2490</v>
      </c>
      <c r="E600" s="222" t="s">
        <v>9287</v>
      </c>
      <c r="F600" s="331" t="s">
        <v>16164</v>
      </c>
      <c r="G600">
        <v>1</v>
      </c>
      <c r="H600" t="str">
        <f t="shared" si="60"/>
        <v>2|2490|1</v>
      </c>
      <c r="I600" s="222" t="s">
        <v>9287</v>
      </c>
      <c r="J600">
        <v>40</v>
      </c>
      <c r="K600" t="str">
        <f t="shared" si="61"/>
        <v>2|2490|1|40</v>
      </c>
      <c r="L600" t="str">
        <f t="shared" si="58"/>
        <v>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0" t="str">
        <f t="shared" si="59"/>
        <v>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0" s="341">
        <v>204802</v>
      </c>
      <c r="R600" t="str">
        <f t="shared" si="63"/>
        <v>护卫战靴</v>
      </c>
    </row>
    <row r="601" spans="1:18" ht="16.5" hidden="1">
      <c r="A601" t="str">
        <f t="shared" si="62"/>
        <v>a14</v>
      </c>
      <c r="B601">
        <v>2</v>
      </c>
      <c r="C601" s="222" t="s">
        <v>9287</v>
      </c>
      <c r="D601">
        <f>VLOOKUP(F601,Sheet7!$B:$G,6,0)</f>
        <v>2504</v>
      </c>
      <c r="E601" s="222" t="s">
        <v>9287</v>
      </c>
      <c r="F601" s="331" t="s">
        <v>16179</v>
      </c>
      <c r="G601">
        <v>1</v>
      </c>
      <c r="H601" t="str">
        <f t="shared" si="60"/>
        <v>2|2504|1</v>
      </c>
      <c r="I601" s="222" t="s">
        <v>9287</v>
      </c>
      <c r="J601">
        <v>40</v>
      </c>
      <c r="K601" t="str">
        <f t="shared" si="61"/>
        <v>2|2504|1|40</v>
      </c>
      <c r="L601" t="str">
        <f t="shared" si="58"/>
        <v>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1" t="str">
        <f t="shared" si="59"/>
        <v>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1" s="341">
        <v>204803</v>
      </c>
      <c r="R601" t="str">
        <f t="shared" si="63"/>
        <v>破魔战甲</v>
      </c>
    </row>
    <row r="602" spans="1:18" ht="16.5" hidden="1">
      <c r="A602" t="str">
        <f t="shared" si="62"/>
        <v>a14</v>
      </c>
      <c r="B602">
        <v>2</v>
      </c>
      <c r="C602" s="222" t="s">
        <v>9287</v>
      </c>
      <c r="D602">
        <f>VLOOKUP(F602,Sheet7!$B:$G,6,0)</f>
        <v>2518</v>
      </c>
      <c r="E602" s="222" t="s">
        <v>9287</v>
      </c>
      <c r="F602" s="331" t="s">
        <v>16194</v>
      </c>
      <c r="G602">
        <v>1</v>
      </c>
      <c r="H602" t="str">
        <f t="shared" si="60"/>
        <v>2|2518|1</v>
      </c>
      <c r="I602" s="222" t="s">
        <v>9287</v>
      </c>
      <c r="J602">
        <v>40</v>
      </c>
      <c r="K602" t="str">
        <f t="shared" si="61"/>
        <v>2|2518|1|40</v>
      </c>
      <c r="L602" t="str">
        <f t="shared" si="58"/>
        <v>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2" t="str">
        <f t="shared" si="59"/>
        <v>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2" s="341">
        <v>1041</v>
      </c>
      <c r="R602" t="str">
        <f t="shared" si="63"/>
        <v>破魔长剑</v>
      </c>
    </row>
    <row r="603" spans="1:18" ht="16.5" hidden="1">
      <c r="A603" t="str">
        <f t="shared" si="62"/>
        <v>a14</v>
      </c>
      <c r="B603">
        <v>2</v>
      </c>
      <c r="C603" s="222" t="s">
        <v>9287</v>
      </c>
      <c r="D603">
        <f>VLOOKUP(F603,Sheet7!$B:$G,6,0)</f>
        <v>2532</v>
      </c>
      <c r="E603" s="222" t="s">
        <v>9287</v>
      </c>
      <c r="F603" s="331" t="s">
        <v>16209</v>
      </c>
      <c r="G603">
        <v>1</v>
      </c>
      <c r="H603" t="str">
        <f t="shared" si="60"/>
        <v>2|2532|1</v>
      </c>
      <c r="I603" s="222" t="s">
        <v>9287</v>
      </c>
      <c r="J603">
        <v>40</v>
      </c>
      <c r="K603" t="str">
        <f t="shared" si="61"/>
        <v>2|2532|1|40</v>
      </c>
      <c r="L603" t="str">
        <f t="shared" si="58"/>
        <v>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3" t="str">
        <f t="shared" si="59"/>
        <v>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3" s="341">
        <v>1042</v>
      </c>
      <c r="R603" t="str">
        <f t="shared" si="63"/>
        <v>破魔头盔</v>
      </c>
    </row>
    <row r="604" spans="1:18" ht="16.5" hidden="1">
      <c r="A604" t="str">
        <f t="shared" si="62"/>
        <v>a14</v>
      </c>
      <c r="B604">
        <v>2</v>
      </c>
      <c r="C604" s="222" t="s">
        <v>9287</v>
      </c>
      <c r="D604">
        <f>VLOOKUP(F604,Sheet7!$B:$G,6,0)</f>
        <v>2546</v>
      </c>
      <c r="E604" s="222" t="s">
        <v>9287</v>
      </c>
      <c r="F604" s="331" t="s">
        <v>16224</v>
      </c>
      <c r="G604">
        <v>1</v>
      </c>
      <c r="H604" t="str">
        <f t="shared" si="60"/>
        <v>2|2546|1</v>
      </c>
      <c r="I604" s="222" t="s">
        <v>9287</v>
      </c>
      <c r="J604">
        <v>40</v>
      </c>
      <c r="K604" t="str">
        <f t="shared" si="61"/>
        <v>2|2546|1|40</v>
      </c>
      <c r="L604" t="str">
        <f t="shared" si="58"/>
        <v>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4" t="str">
        <f t="shared" si="59"/>
        <v>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4" s="341">
        <v>2048</v>
      </c>
      <c r="R604" t="str">
        <f t="shared" si="63"/>
        <v>破魔战靴</v>
      </c>
    </row>
    <row r="605" spans="1:18" ht="16.5" hidden="1">
      <c r="A605" t="str">
        <f t="shared" si="62"/>
        <v>a14</v>
      </c>
      <c r="B605">
        <v>2</v>
      </c>
      <c r="C605" s="222" t="s">
        <v>9287</v>
      </c>
      <c r="D605">
        <f>VLOOKUP(F605,Sheet7!$B:$G,6,0)</f>
        <v>2560</v>
      </c>
      <c r="E605" s="222" t="s">
        <v>9287</v>
      </c>
      <c r="F605" s="331" t="s">
        <v>16239</v>
      </c>
      <c r="G605">
        <v>1</v>
      </c>
      <c r="H605" t="str">
        <f t="shared" si="60"/>
        <v>2|2560|1</v>
      </c>
      <c r="I605" s="222" t="s">
        <v>9287</v>
      </c>
      <c r="J605">
        <v>40</v>
      </c>
      <c r="K605" t="str">
        <f t="shared" si="61"/>
        <v>2|2560|1|40</v>
      </c>
      <c r="L605" t="str">
        <f t="shared" si="58"/>
        <v>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5" t="str">
        <f t="shared" si="59"/>
        <v>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5" s="341">
        <v>20481</v>
      </c>
      <c r="R605" t="str">
        <f t="shared" si="63"/>
        <v>赤血战甲</v>
      </c>
    </row>
    <row r="606" spans="1:18" ht="16.5" hidden="1">
      <c r="A606" t="str">
        <f t="shared" si="62"/>
        <v>a14</v>
      </c>
      <c r="B606">
        <v>2</v>
      </c>
      <c r="C606" s="222" t="s">
        <v>9287</v>
      </c>
      <c r="D606">
        <f>VLOOKUP(F606,Sheet7!$B:$G,6,0)</f>
        <v>2574</v>
      </c>
      <c r="E606" s="222" t="s">
        <v>9287</v>
      </c>
      <c r="F606" s="331" t="s">
        <v>16254</v>
      </c>
      <c r="G606">
        <v>1</v>
      </c>
      <c r="H606" t="str">
        <f t="shared" si="60"/>
        <v>2|2574|1</v>
      </c>
      <c r="I606" s="222" t="s">
        <v>9287</v>
      </c>
      <c r="J606">
        <v>40</v>
      </c>
      <c r="K606" t="str">
        <f t="shared" si="61"/>
        <v>2|2574|1|40</v>
      </c>
      <c r="L606" t="str">
        <f t="shared" si="58"/>
        <v>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6" t="str">
        <f t="shared" si="59"/>
        <v>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6" s="341">
        <v>20482</v>
      </c>
      <c r="R606" t="str">
        <f t="shared" si="63"/>
        <v>青锋长剑</v>
      </c>
    </row>
    <row r="607" spans="1:18" ht="16.5" hidden="1">
      <c r="A607" t="str">
        <f t="shared" si="62"/>
        <v>a14</v>
      </c>
      <c r="B607">
        <v>2</v>
      </c>
      <c r="C607" s="222" t="s">
        <v>9287</v>
      </c>
      <c r="D607">
        <f>VLOOKUP(F607,Sheet7!$B:$G,6,0)</f>
        <v>2588</v>
      </c>
      <c r="E607" s="222" t="s">
        <v>9287</v>
      </c>
      <c r="F607" s="331" t="s">
        <v>16269</v>
      </c>
      <c r="G607">
        <v>1</v>
      </c>
      <c r="H607" t="str">
        <f t="shared" si="60"/>
        <v>2|2588|1</v>
      </c>
      <c r="I607" s="222" t="s">
        <v>9287</v>
      </c>
      <c r="J607">
        <v>40</v>
      </c>
      <c r="K607" t="str">
        <f t="shared" si="61"/>
        <v>2|2588|1|40</v>
      </c>
      <c r="L607" t="str">
        <f t="shared" si="58"/>
        <v>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7" t="str">
        <f t="shared" si="59"/>
        <v>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7" s="341">
        <v>20483</v>
      </c>
      <c r="R607" t="str">
        <f t="shared" si="63"/>
        <v>雁虞头盔</v>
      </c>
    </row>
    <row r="608" spans="1:18" ht="16.5" hidden="1">
      <c r="A608" t="str">
        <f t="shared" si="62"/>
        <v>a14</v>
      </c>
      <c r="B608">
        <v>2</v>
      </c>
      <c r="C608" s="222" t="s">
        <v>9287</v>
      </c>
      <c r="D608">
        <f>VLOOKUP(F608,Sheet7!$B:$G,6,0)</f>
        <v>2602</v>
      </c>
      <c r="E608" s="222" t="s">
        <v>9287</v>
      </c>
      <c r="F608" s="331" t="s">
        <v>16284</v>
      </c>
      <c r="G608">
        <v>1</v>
      </c>
      <c r="H608" t="str">
        <f t="shared" si="60"/>
        <v>2|2602|1</v>
      </c>
      <c r="I608" s="222" t="s">
        <v>9287</v>
      </c>
      <c r="J608">
        <v>40</v>
      </c>
      <c r="K608" t="str">
        <f t="shared" si="61"/>
        <v>2|2602|1|40</v>
      </c>
      <c r="L608" t="str">
        <f t="shared" si="58"/>
        <v>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8" t="str">
        <f t="shared" si="59"/>
        <v>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8" s="341">
        <v>20484</v>
      </c>
      <c r="R608" t="str">
        <f t="shared" si="63"/>
        <v>无影战靴</v>
      </c>
    </row>
    <row r="609" spans="1:18" ht="16.5" hidden="1">
      <c r="A609" t="str">
        <f t="shared" si="62"/>
        <v>a14</v>
      </c>
      <c r="B609">
        <v>2</v>
      </c>
      <c r="C609" s="222" t="s">
        <v>9287</v>
      </c>
      <c r="D609">
        <f>VLOOKUP(F609,Sheet7!$B:$G,6,0)</f>
        <v>2616</v>
      </c>
      <c r="E609" s="222" t="s">
        <v>9287</v>
      </c>
      <c r="F609" s="331" t="s">
        <v>16299</v>
      </c>
      <c r="G609">
        <v>1</v>
      </c>
      <c r="H609" t="str">
        <f t="shared" si="60"/>
        <v>2|2616|1</v>
      </c>
      <c r="I609" s="222" t="s">
        <v>9287</v>
      </c>
      <c r="J609">
        <v>40</v>
      </c>
      <c r="K609" t="str">
        <f t="shared" si="61"/>
        <v>2|2616|1|40</v>
      </c>
      <c r="L609" t="str">
        <f t="shared" si="58"/>
        <v>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09" t="str">
        <f t="shared" si="59"/>
        <v>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09" s="341">
        <v>20485</v>
      </c>
      <c r="R609" t="str">
        <f t="shared" si="63"/>
        <v>行者战甲</v>
      </c>
    </row>
    <row r="610" spans="1:18" ht="16.5" hidden="1">
      <c r="A610" t="str">
        <f t="shared" si="62"/>
        <v>a14</v>
      </c>
      <c r="B610">
        <v>2</v>
      </c>
      <c r="C610" s="222" t="s">
        <v>9287</v>
      </c>
      <c r="D610">
        <f>VLOOKUP(F610,Sheet7!$B:$G,6,0)</f>
        <v>2630</v>
      </c>
      <c r="E610" s="222" t="s">
        <v>9287</v>
      </c>
      <c r="F610" s="331" t="s">
        <v>16314</v>
      </c>
      <c r="G610">
        <v>1</v>
      </c>
      <c r="H610" t="str">
        <f t="shared" si="60"/>
        <v>2|2630|1</v>
      </c>
      <c r="I610" s="222" t="s">
        <v>9287</v>
      </c>
      <c r="J610">
        <v>40</v>
      </c>
      <c r="K610" t="str">
        <f t="shared" si="61"/>
        <v>2|2630|1|40</v>
      </c>
      <c r="L610" t="str">
        <f t="shared" si="58"/>
        <v>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0" t="str">
        <f t="shared" si="59"/>
        <v>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0" s="341">
        <v>20486</v>
      </c>
      <c r="R610" t="str">
        <f t="shared" si="63"/>
        <v>精铁长剑</v>
      </c>
    </row>
    <row r="611" spans="1:18" ht="16.5" hidden="1">
      <c r="A611" t="str">
        <f t="shared" si="62"/>
        <v>a14</v>
      </c>
      <c r="B611">
        <v>2</v>
      </c>
      <c r="C611" s="222" t="s">
        <v>9287</v>
      </c>
      <c r="D611">
        <f>VLOOKUP(F611,Sheet7!$B:$G,6,0)</f>
        <v>2644</v>
      </c>
      <c r="E611" s="222" t="s">
        <v>9287</v>
      </c>
      <c r="F611" s="331" t="s">
        <v>16329</v>
      </c>
      <c r="G611">
        <v>1</v>
      </c>
      <c r="H611" t="str">
        <f t="shared" si="60"/>
        <v>2|2644|1</v>
      </c>
      <c r="I611" s="222" t="s">
        <v>9287</v>
      </c>
      <c r="J611">
        <v>40</v>
      </c>
      <c r="K611" t="str">
        <f t="shared" si="61"/>
        <v>2|2644|1|40</v>
      </c>
      <c r="L611" t="str">
        <f t="shared" si="58"/>
        <v>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1" t="str">
        <f t="shared" si="59"/>
        <v>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1" s="341">
        <v>20487</v>
      </c>
      <c r="R611" t="str">
        <f t="shared" si="63"/>
        <v>虹影头盔</v>
      </c>
    </row>
    <row r="612" spans="1:18" ht="16.5" hidden="1">
      <c r="A612" t="str">
        <f t="shared" si="62"/>
        <v>a14</v>
      </c>
      <c r="B612">
        <v>2</v>
      </c>
      <c r="C612" s="222" t="s">
        <v>9287</v>
      </c>
      <c r="D612">
        <f>VLOOKUP(F612,Sheet7!$B:$G,6,0)</f>
        <v>2658</v>
      </c>
      <c r="E612" s="222" t="s">
        <v>9287</v>
      </c>
      <c r="F612" s="331" t="s">
        <v>16344</v>
      </c>
      <c r="G612">
        <v>1</v>
      </c>
      <c r="H612" t="str">
        <f t="shared" si="60"/>
        <v>2|2658|1</v>
      </c>
      <c r="I612" s="222" t="s">
        <v>9287</v>
      </c>
      <c r="J612">
        <v>40</v>
      </c>
      <c r="K612" t="str">
        <f t="shared" si="61"/>
        <v>2|2658|1|40</v>
      </c>
      <c r="L612" t="str">
        <f t="shared" si="58"/>
        <v>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2" t="str">
        <f t="shared" si="59"/>
        <v>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2" s="341">
        <v>20488</v>
      </c>
      <c r="R612" t="str">
        <f t="shared" si="63"/>
        <v>千里战靴</v>
      </c>
    </row>
    <row r="613" spans="1:18" ht="16.5" hidden="1">
      <c r="A613" t="str">
        <f t="shared" si="62"/>
        <v>a14</v>
      </c>
      <c r="B613">
        <v>2</v>
      </c>
      <c r="C613" s="222" t="s">
        <v>9287</v>
      </c>
      <c r="D613">
        <f>VLOOKUP(F613,Sheet7!$B:$G,6,0)</f>
        <v>2672</v>
      </c>
      <c r="E613" s="222" t="s">
        <v>9287</v>
      </c>
      <c r="F613" s="331" t="s">
        <v>16359</v>
      </c>
      <c r="G613">
        <v>1</v>
      </c>
      <c r="H613" t="str">
        <f t="shared" si="60"/>
        <v>2|2672|1</v>
      </c>
      <c r="I613" s="222" t="s">
        <v>9287</v>
      </c>
      <c r="J613">
        <v>40</v>
      </c>
      <c r="K613" t="str">
        <f t="shared" si="61"/>
        <v>2|2672|1|40</v>
      </c>
      <c r="L613" t="str">
        <f t="shared" si="58"/>
        <v>2|2672|1,2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3" t="str">
        <f t="shared" si="59"/>
        <v>2|2672|1|40,2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3" s="341">
        <v>20489</v>
      </c>
      <c r="R613" t="str">
        <f t="shared" si="63"/>
        <v>封魔战甲</v>
      </c>
    </row>
    <row r="614" spans="1:18" ht="16.5" hidden="1">
      <c r="A614" t="str">
        <f t="shared" si="62"/>
        <v>a14</v>
      </c>
      <c r="B614">
        <v>2</v>
      </c>
      <c r="C614" s="222" t="s">
        <v>9287</v>
      </c>
      <c r="D614">
        <f>VLOOKUP(F614,Sheet7!$B:$G,6,0)</f>
        <v>2686</v>
      </c>
      <c r="E614" s="222" t="s">
        <v>9287</v>
      </c>
      <c r="F614" s="331" t="s">
        <v>16374</v>
      </c>
      <c r="G614">
        <v>1</v>
      </c>
      <c r="H614" t="str">
        <f t="shared" ref="H614:H660" si="64">B614&amp;C614&amp;D614&amp;E614&amp;G614</f>
        <v>2|2686|1</v>
      </c>
      <c r="I614" s="222" t="s">
        <v>9287</v>
      </c>
      <c r="J614">
        <v>40</v>
      </c>
      <c r="K614" t="str">
        <f t="shared" ref="K614:K660" si="65">H614&amp;I614&amp;J614</f>
        <v>2|2686|1|40</v>
      </c>
      <c r="L614" t="str">
        <f t="shared" si="58"/>
        <v>2|2686|1,2|2672|1,2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4" t="str">
        <f t="shared" si="59"/>
        <v>2|2686|1|40,2|2672|1|40,2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4" s="341">
        <v>204901</v>
      </c>
      <c r="R614" t="str">
        <f t="shared" si="63"/>
        <v>封魔长剑</v>
      </c>
    </row>
    <row r="615" spans="1:18" ht="16.5" hidden="1">
      <c r="A615" t="str">
        <f t="shared" si="62"/>
        <v>a14</v>
      </c>
      <c r="B615">
        <v>2</v>
      </c>
      <c r="C615" s="222" t="s">
        <v>9287</v>
      </c>
      <c r="D615">
        <f>VLOOKUP(F615,Sheet7!$B:$G,6,0)</f>
        <v>2700</v>
      </c>
      <c r="E615" s="222" t="s">
        <v>9287</v>
      </c>
      <c r="F615" s="331" t="s">
        <v>16389</v>
      </c>
      <c r="G615">
        <v>1</v>
      </c>
      <c r="H615" t="str">
        <f t="shared" si="64"/>
        <v>2|2700|1</v>
      </c>
      <c r="I615" s="222" t="s">
        <v>9287</v>
      </c>
      <c r="J615">
        <v>40</v>
      </c>
      <c r="K615" t="str">
        <f t="shared" si="65"/>
        <v>2|2700|1|40</v>
      </c>
      <c r="L615" t="str">
        <f t="shared" si="58"/>
        <v>2|2700|1,2|2686|1,2|2672|1,2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5" t="str">
        <f t="shared" si="59"/>
        <v>2|2700|1|40,2|2686|1|40,2|2672|1|40,2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5" s="341">
        <v>204902</v>
      </c>
      <c r="R615" t="str">
        <f t="shared" si="63"/>
        <v>封魔头盔</v>
      </c>
    </row>
    <row r="616" spans="1:18" ht="16.5">
      <c r="A616" t="str">
        <f t="shared" si="62"/>
        <v>a14</v>
      </c>
      <c r="B616">
        <v>2</v>
      </c>
      <c r="C616" s="222" t="s">
        <v>9287</v>
      </c>
      <c r="D616">
        <f>VLOOKUP(F616,Sheet7!$B:$G,6,0)</f>
        <v>2714</v>
      </c>
      <c r="E616" s="222" t="s">
        <v>9287</v>
      </c>
      <c r="F616" s="331" t="s">
        <v>16404</v>
      </c>
      <c r="G616">
        <v>1</v>
      </c>
      <c r="H616" t="str">
        <f t="shared" si="64"/>
        <v>2|2714|1</v>
      </c>
      <c r="I616" s="222" t="s">
        <v>9287</v>
      </c>
      <c r="J616">
        <v>40</v>
      </c>
      <c r="K616" t="str">
        <f t="shared" si="65"/>
        <v>2|2714|1|40</v>
      </c>
      <c r="L616" t="str">
        <f t="shared" si="58"/>
        <v>2|2714|1,2|2700|1,2|2686|1,2|2672|1,2|2658|1,2|2644|1,2|2630|1,2|2616|1,2|2602|1,2|2588|1,2|2574|1,2|2560|1,2|2546|1,2|2532|1,2|2518|1,2|2504|1,2|2490|1,2|2476|1,2|2462|1,2|2448|1,2|2434|1,2|2420|1,2|2406|1,2|2392|1,2|2378|1,2|2364|1,2|2350|1,2|2336|1,2|2322|1,2|2308|1,2|2294|1,2|2280|1,2|2266|1,2|2252|1,2|2238|1,2|2224|1,2|2210|1,2|2196|1,2|2182|1,2|2168|1,2|2154|1,2|2140|1,2|2126|1,2|2112|1</v>
      </c>
      <c r="M616" t="str">
        <f t="shared" si="59"/>
        <v>2|2714|1|40,2|2700|1|40,2|2686|1|40,2|2672|1|40,2|2658|1|40,2|2644|1|40,2|2630|1|40,2|2616|1|40,2|2602|1|40,2|2588|1|40,2|2574|1|40,2|2560|1|40,2|2546|1|40,2|2532|1|40,2|2518|1|40,2|2504|1|40,2|2490|1|40,2|2476|1|40,2|2462|1|40,2|2448|1|40,2|2434|1|40,2|2420|1|40,2|2406|1|40,2|2392|1|40,2|2378|1|40,2|2364|1|40,2|2350|1|40,2|2336|1|40,2|2322|1|20,2|2308|1|20,2|2294|1|20,2|2280|1|20,2|2266|1|20,2|2252|1|20,2|2238|1|20,2|2224|1|20,2|2210|1|20,2|2196|1|20,2|2182|1|20,2|2168|1|20,2|2154|1|10,2|2140|1|10,2|2126|1|10,2|2112|1|10</v>
      </c>
      <c r="N616" s="341">
        <v>204903</v>
      </c>
      <c r="R616" t="str">
        <f t="shared" si="63"/>
        <v>封魔战靴</v>
      </c>
    </row>
    <row r="617" spans="1:18" hidden="1">
      <c r="A617" t="str">
        <f t="shared" ref="A617:A643" si="66">LEFT(F617,3)</f>
        <v>a15</v>
      </c>
      <c r="B617">
        <v>2</v>
      </c>
      <c r="C617" s="222" t="s">
        <v>9287</v>
      </c>
      <c r="D617">
        <f>VLOOKUP(F617,Sheet7!$B:$G,6,0)</f>
        <v>2113</v>
      </c>
      <c r="E617" s="222" t="s">
        <v>9287</v>
      </c>
      <c r="F617" s="331" t="s">
        <v>15760</v>
      </c>
      <c r="G617">
        <v>1</v>
      </c>
      <c r="H617" t="str">
        <f t="shared" si="64"/>
        <v>2|2113|1</v>
      </c>
      <c r="I617" s="222" t="s">
        <v>9287</v>
      </c>
      <c r="J617">
        <v>10</v>
      </c>
      <c r="K617" t="str">
        <f t="shared" si="65"/>
        <v>2|2113|1|10</v>
      </c>
      <c r="L617" t="str">
        <f t="shared" si="58"/>
        <v>2|2113|1</v>
      </c>
      <c r="M617" t="str">
        <f t="shared" si="59"/>
        <v>2|2113|1|10</v>
      </c>
      <c r="R617" t="str">
        <f t="shared" si="63"/>
        <v>蚩尤战甲</v>
      </c>
    </row>
    <row r="618" spans="1:18" hidden="1">
      <c r="A618" t="str">
        <f t="shared" si="66"/>
        <v>a15</v>
      </c>
      <c r="B618">
        <v>2</v>
      </c>
      <c r="C618" s="222" t="s">
        <v>9287</v>
      </c>
      <c r="D618">
        <f>VLOOKUP(F618,Sheet7!$B:$G,6,0)</f>
        <v>2127</v>
      </c>
      <c r="E618" s="222" t="s">
        <v>9287</v>
      </c>
      <c r="F618" s="331" t="s">
        <v>15775</v>
      </c>
      <c r="G618">
        <v>1</v>
      </c>
      <c r="H618" t="str">
        <f t="shared" si="64"/>
        <v>2|2127|1</v>
      </c>
      <c r="I618" s="222" t="s">
        <v>9287</v>
      </c>
      <c r="J618">
        <v>10</v>
      </c>
      <c r="K618" t="str">
        <f t="shared" si="65"/>
        <v>2|2127|1|10</v>
      </c>
      <c r="L618" t="str">
        <f t="shared" si="58"/>
        <v>2|2127|1,2|2113|1</v>
      </c>
      <c r="M618" t="str">
        <f t="shared" si="59"/>
        <v>2|2127|1|10,2|2113|1|10</v>
      </c>
      <c r="R618" t="str">
        <f t="shared" si="63"/>
        <v>蚩尤长剑</v>
      </c>
    </row>
    <row r="619" spans="1:18" hidden="1">
      <c r="A619" t="str">
        <f t="shared" si="66"/>
        <v>a15</v>
      </c>
      <c r="B619">
        <v>2</v>
      </c>
      <c r="C619" s="222" t="s">
        <v>9287</v>
      </c>
      <c r="D619">
        <f>VLOOKUP(F619,Sheet7!$B:$G,6,0)</f>
        <v>2141</v>
      </c>
      <c r="E619" s="222" t="s">
        <v>9287</v>
      </c>
      <c r="F619" s="331" t="s">
        <v>15790</v>
      </c>
      <c r="G619">
        <v>1</v>
      </c>
      <c r="H619" t="str">
        <f t="shared" si="64"/>
        <v>2|2141|1</v>
      </c>
      <c r="I619" s="222" t="s">
        <v>9287</v>
      </c>
      <c r="J619">
        <v>10</v>
      </c>
      <c r="K619" t="str">
        <f t="shared" si="65"/>
        <v>2|2141|1|10</v>
      </c>
      <c r="L619" t="str">
        <f t="shared" si="58"/>
        <v>2|2141|1,2|2127|1,2|2113|1</v>
      </c>
      <c r="M619" t="str">
        <f t="shared" si="59"/>
        <v>2|2141|1|10,2|2127|1|10,2|2113|1|10</v>
      </c>
      <c r="R619" t="str">
        <f t="shared" si="63"/>
        <v>蚩尤头盔</v>
      </c>
    </row>
    <row r="620" spans="1:18" hidden="1">
      <c r="A620" t="str">
        <f t="shared" si="66"/>
        <v>a15</v>
      </c>
      <c r="B620">
        <v>2</v>
      </c>
      <c r="C620" s="222" t="s">
        <v>9287</v>
      </c>
      <c r="D620">
        <f>VLOOKUP(F620,Sheet7!$B:$G,6,0)</f>
        <v>2155</v>
      </c>
      <c r="E620" s="222" t="s">
        <v>9287</v>
      </c>
      <c r="F620" s="331" t="s">
        <v>15805</v>
      </c>
      <c r="G620">
        <v>1</v>
      </c>
      <c r="H620" t="str">
        <f t="shared" si="64"/>
        <v>2|2155|1</v>
      </c>
      <c r="I620" s="222" t="s">
        <v>9287</v>
      </c>
      <c r="J620">
        <v>10</v>
      </c>
      <c r="K620" t="str">
        <f t="shared" si="65"/>
        <v>2|2155|1|10</v>
      </c>
      <c r="L620" t="str">
        <f t="shared" si="58"/>
        <v>2|2155|1,2|2141|1,2|2127|1,2|2113|1</v>
      </c>
      <c r="M620" t="str">
        <f t="shared" si="59"/>
        <v>2|2155|1|10,2|2141|1|10,2|2127|1|10,2|2113|1|10</v>
      </c>
      <c r="R620" t="str">
        <f t="shared" si="63"/>
        <v>蚩尤战靴</v>
      </c>
    </row>
    <row r="621" spans="1:18" hidden="1">
      <c r="A621" t="str">
        <f t="shared" si="66"/>
        <v>a15</v>
      </c>
      <c r="B621">
        <v>2</v>
      </c>
      <c r="C621" s="222" t="s">
        <v>9287</v>
      </c>
      <c r="D621">
        <f>VLOOKUP(F621,Sheet7!$B:$G,6,0)</f>
        <v>2169</v>
      </c>
      <c r="E621" s="222" t="s">
        <v>9287</v>
      </c>
      <c r="F621" s="331" t="s">
        <v>15820</v>
      </c>
      <c r="G621">
        <v>1</v>
      </c>
      <c r="H621" t="str">
        <f t="shared" si="64"/>
        <v>2|2169|1</v>
      </c>
      <c r="I621" s="222" t="s">
        <v>9287</v>
      </c>
      <c r="J621">
        <v>20</v>
      </c>
      <c r="K621" t="str">
        <f t="shared" si="65"/>
        <v>2|2169|1|20</v>
      </c>
      <c r="L621" t="str">
        <f t="shared" si="58"/>
        <v>2|2169|1,2|2155|1,2|2141|1,2|2127|1,2|2113|1</v>
      </c>
      <c r="M621" t="str">
        <f t="shared" si="59"/>
        <v>2|2169|1|20,2|2155|1|10,2|2141|1|10,2|2127|1|10,2|2113|1|10</v>
      </c>
      <c r="R621" t="str">
        <f t="shared" si="63"/>
        <v>天罡战甲</v>
      </c>
    </row>
    <row r="622" spans="1:18" hidden="1">
      <c r="A622" t="str">
        <f t="shared" si="66"/>
        <v>a15</v>
      </c>
      <c r="B622">
        <v>2</v>
      </c>
      <c r="C622" s="222" t="s">
        <v>9287</v>
      </c>
      <c r="D622">
        <f>VLOOKUP(F622,Sheet7!$B:$G,6,0)</f>
        <v>2183</v>
      </c>
      <c r="E622" s="222" t="s">
        <v>9287</v>
      </c>
      <c r="F622" s="331" t="s">
        <v>15835</v>
      </c>
      <c r="G622">
        <v>1</v>
      </c>
      <c r="H622" t="str">
        <f t="shared" si="64"/>
        <v>2|2183|1</v>
      </c>
      <c r="I622" s="222" t="s">
        <v>9287</v>
      </c>
      <c r="J622">
        <v>20</v>
      </c>
      <c r="K622" t="str">
        <f t="shared" si="65"/>
        <v>2|2183|1|20</v>
      </c>
      <c r="L622" t="str">
        <f t="shared" si="58"/>
        <v>2|2183|1,2|2169|1,2|2155|1,2|2141|1,2|2127|1,2|2113|1</v>
      </c>
      <c r="M622" t="str">
        <f t="shared" si="59"/>
        <v>2|2183|1|20,2|2169|1|20,2|2155|1|10,2|2141|1|10,2|2127|1|10,2|2113|1|10</v>
      </c>
      <c r="R622" t="str">
        <f t="shared" si="63"/>
        <v>天罡长剑</v>
      </c>
    </row>
    <row r="623" spans="1:18" hidden="1">
      <c r="A623" t="str">
        <f t="shared" si="66"/>
        <v>a15</v>
      </c>
      <c r="B623">
        <v>2</v>
      </c>
      <c r="C623" s="222" t="s">
        <v>9287</v>
      </c>
      <c r="D623">
        <f>VLOOKUP(F623,Sheet7!$B:$G,6,0)</f>
        <v>2197</v>
      </c>
      <c r="E623" s="222" t="s">
        <v>9287</v>
      </c>
      <c r="F623" s="331" t="s">
        <v>15850</v>
      </c>
      <c r="G623">
        <v>1</v>
      </c>
      <c r="H623" t="str">
        <f t="shared" si="64"/>
        <v>2|2197|1</v>
      </c>
      <c r="I623" s="222" t="s">
        <v>9287</v>
      </c>
      <c r="J623">
        <v>20</v>
      </c>
      <c r="K623" t="str">
        <f t="shared" si="65"/>
        <v>2|2197|1|20</v>
      </c>
      <c r="L623" t="str">
        <f t="shared" si="58"/>
        <v>2|2197|1,2|2183|1,2|2169|1,2|2155|1,2|2141|1,2|2127|1,2|2113|1</v>
      </c>
      <c r="M623" t="str">
        <f t="shared" si="59"/>
        <v>2|2197|1|20,2|2183|1|20,2|2169|1|20,2|2155|1|10,2|2141|1|10,2|2127|1|10,2|2113|1|10</v>
      </c>
      <c r="R623" t="str">
        <f t="shared" si="63"/>
        <v>天罡头盔</v>
      </c>
    </row>
    <row r="624" spans="1:18" hidden="1">
      <c r="A624" t="str">
        <f t="shared" si="66"/>
        <v>a15</v>
      </c>
      <c r="B624">
        <v>2</v>
      </c>
      <c r="C624" s="222" t="s">
        <v>9287</v>
      </c>
      <c r="D624">
        <f>VLOOKUP(F624,Sheet7!$B:$G,6,0)</f>
        <v>2211</v>
      </c>
      <c r="E624" s="222" t="s">
        <v>9287</v>
      </c>
      <c r="F624" s="331" t="s">
        <v>15865</v>
      </c>
      <c r="G624">
        <v>1</v>
      </c>
      <c r="H624" t="str">
        <f t="shared" si="64"/>
        <v>2|2211|1</v>
      </c>
      <c r="I624" s="222" t="s">
        <v>9287</v>
      </c>
      <c r="J624">
        <v>20</v>
      </c>
      <c r="K624" t="str">
        <f t="shared" si="65"/>
        <v>2|2211|1|20</v>
      </c>
      <c r="L624" t="str">
        <f t="shared" si="58"/>
        <v>2|2211|1,2|2197|1,2|2183|1,2|2169|1,2|2155|1,2|2141|1,2|2127|1,2|2113|1</v>
      </c>
      <c r="M624" t="str">
        <f t="shared" si="59"/>
        <v>2|2211|1|20,2|2197|1|20,2|2183|1|20,2|2169|1|20,2|2155|1|10,2|2141|1|10,2|2127|1|10,2|2113|1|10</v>
      </c>
      <c r="R624" t="str">
        <f t="shared" si="63"/>
        <v>天罡战靴</v>
      </c>
    </row>
    <row r="625" spans="1:18" hidden="1">
      <c r="A625" t="str">
        <f t="shared" si="66"/>
        <v>a15</v>
      </c>
      <c r="B625">
        <v>2</v>
      </c>
      <c r="C625" s="222" t="s">
        <v>9287</v>
      </c>
      <c r="D625">
        <f>VLOOKUP(F625,Sheet7!$B:$G,6,0)</f>
        <v>2225</v>
      </c>
      <c r="E625" s="222" t="s">
        <v>9287</v>
      </c>
      <c r="F625" s="331" t="s">
        <v>15880</v>
      </c>
      <c r="G625">
        <v>1</v>
      </c>
      <c r="H625" t="str">
        <f t="shared" si="64"/>
        <v>2|2225|1</v>
      </c>
      <c r="I625" s="222" t="s">
        <v>9287</v>
      </c>
      <c r="J625">
        <v>20</v>
      </c>
      <c r="K625" t="str">
        <f t="shared" si="65"/>
        <v>2|2225|1|20</v>
      </c>
      <c r="L625" t="str">
        <f t="shared" si="58"/>
        <v>2|2225|1,2|2211|1,2|2197|1,2|2183|1,2|2169|1,2|2155|1,2|2141|1,2|2127|1,2|2113|1</v>
      </c>
      <c r="M625" t="str">
        <f t="shared" si="59"/>
        <v>2|2225|1|20,2|2211|1|20,2|2197|1|20,2|2183|1|20,2|2169|1|20,2|2155|1|10,2|2141|1|10,2|2127|1|10,2|2113|1|10</v>
      </c>
      <c r="R625" t="str">
        <f t="shared" si="63"/>
        <v>降魔战甲</v>
      </c>
    </row>
    <row r="626" spans="1:18" hidden="1">
      <c r="A626" t="str">
        <f t="shared" si="66"/>
        <v>a15</v>
      </c>
      <c r="B626">
        <v>2</v>
      </c>
      <c r="C626" s="222" t="s">
        <v>9287</v>
      </c>
      <c r="D626">
        <f>VLOOKUP(F626,Sheet7!$B:$G,6,0)</f>
        <v>2239</v>
      </c>
      <c r="E626" s="222" t="s">
        <v>9287</v>
      </c>
      <c r="F626" s="331" t="s">
        <v>15895</v>
      </c>
      <c r="G626">
        <v>1</v>
      </c>
      <c r="H626" t="str">
        <f t="shared" si="64"/>
        <v>2|2239|1</v>
      </c>
      <c r="I626" s="222" t="s">
        <v>9287</v>
      </c>
      <c r="J626">
        <v>20</v>
      </c>
      <c r="K626" t="str">
        <f t="shared" si="65"/>
        <v>2|2239|1|20</v>
      </c>
      <c r="L626" t="str">
        <f t="shared" si="58"/>
        <v>2|2239|1,2|2225|1,2|2211|1,2|2197|1,2|2183|1,2|2169|1,2|2155|1,2|2141|1,2|2127|1,2|2113|1</v>
      </c>
      <c r="M626" t="str">
        <f t="shared" si="59"/>
        <v>2|2239|1|20,2|2225|1|20,2|2211|1|20,2|2197|1|20,2|2183|1|20,2|2169|1|20,2|2155|1|10,2|2141|1|10,2|2127|1|10,2|2113|1|10</v>
      </c>
      <c r="R626" t="str">
        <f t="shared" si="63"/>
        <v>降魔长剑</v>
      </c>
    </row>
    <row r="627" spans="1:18" hidden="1">
      <c r="A627" t="str">
        <f t="shared" si="66"/>
        <v>a15</v>
      </c>
      <c r="B627">
        <v>2</v>
      </c>
      <c r="C627" s="222" t="s">
        <v>9287</v>
      </c>
      <c r="D627">
        <f>VLOOKUP(F627,Sheet7!$B:$G,6,0)</f>
        <v>2253</v>
      </c>
      <c r="E627" s="222" t="s">
        <v>9287</v>
      </c>
      <c r="F627" s="331" t="s">
        <v>15910</v>
      </c>
      <c r="G627">
        <v>1</v>
      </c>
      <c r="H627" t="str">
        <f t="shared" si="64"/>
        <v>2|2253|1</v>
      </c>
      <c r="I627" s="222" t="s">
        <v>9287</v>
      </c>
      <c r="J627">
        <v>20</v>
      </c>
      <c r="K627" t="str">
        <f t="shared" si="65"/>
        <v>2|2253|1|20</v>
      </c>
      <c r="L627" t="str">
        <f t="shared" si="58"/>
        <v>2|2253|1,2|2239|1,2|2225|1,2|2211|1,2|2197|1,2|2183|1,2|2169|1,2|2155|1,2|2141|1,2|2127|1,2|2113|1</v>
      </c>
      <c r="M627" t="str">
        <f t="shared" si="59"/>
        <v>2|2253|1|20,2|2239|1|20,2|2225|1|20,2|2211|1|20,2|2197|1|20,2|2183|1|20,2|2169|1|20,2|2155|1|10,2|2141|1|10,2|2127|1|10,2|2113|1|10</v>
      </c>
      <c r="R627" t="str">
        <f t="shared" si="63"/>
        <v>降魔头盔</v>
      </c>
    </row>
    <row r="628" spans="1:18" hidden="1">
      <c r="A628" t="str">
        <f t="shared" si="66"/>
        <v>a15</v>
      </c>
      <c r="B628">
        <v>2</v>
      </c>
      <c r="C628" s="222" t="s">
        <v>9287</v>
      </c>
      <c r="D628">
        <f>VLOOKUP(F628,Sheet7!$B:$G,6,0)</f>
        <v>2267</v>
      </c>
      <c r="E628" s="222" t="s">
        <v>9287</v>
      </c>
      <c r="F628" s="331" t="s">
        <v>15925</v>
      </c>
      <c r="G628">
        <v>1</v>
      </c>
      <c r="H628" t="str">
        <f t="shared" si="64"/>
        <v>2|2267|1</v>
      </c>
      <c r="I628" s="222" t="s">
        <v>9287</v>
      </c>
      <c r="J628">
        <v>20</v>
      </c>
      <c r="K628" t="str">
        <f t="shared" si="65"/>
        <v>2|2267|1|20</v>
      </c>
      <c r="L628" t="str">
        <f t="shared" si="58"/>
        <v>2|2267|1,2|2253|1,2|2239|1,2|2225|1,2|2211|1,2|2197|1,2|2183|1,2|2169|1,2|2155|1,2|2141|1,2|2127|1,2|2113|1</v>
      </c>
      <c r="M628" t="str">
        <f t="shared" si="59"/>
        <v>2|2267|1|20,2|2253|1|20,2|2239|1|20,2|2225|1|20,2|2211|1|20,2|2197|1|20,2|2183|1|20,2|2169|1|20,2|2155|1|10,2|2141|1|10,2|2127|1|10,2|2113|1|10</v>
      </c>
      <c r="R628" t="str">
        <f t="shared" si="63"/>
        <v>降魔战靴</v>
      </c>
    </row>
    <row r="629" spans="1:18" hidden="1">
      <c r="A629" t="str">
        <f t="shared" si="66"/>
        <v>a15</v>
      </c>
      <c r="B629">
        <v>2</v>
      </c>
      <c r="C629" s="222" t="s">
        <v>9287</v>
      </c>
      <c r="D629">
        <f>VLOOKUP(F629,Sheet7!$B:$G,6,0)</f>
        <v>2281</v>
      </c>
      <c r="E629" s="222" t="s">
        <v>9287</v>
      </c>
      <c r="F629" s="331" t="s">
        <v>15940</v>
      </c>
      <c r="G629">
        <v>1</v>
      </c>
      <c r="H629" t="str">
        <f t="shared" si="64"/>
        <v>2|2281|1</v>
      </c>
      <c r="I629" s="222" t="s">
        <v>9287</v>
      </c>
      <c r="J629">
        <v>20</v>
      </c>
      <c r="K629" t="str">
        <f t="shared" si="65"/>
        <v>2|2281|1|20</v>
      </c>
      <c r="L629" t="str">
        <f t="shared" si="58"/>
        <v>2|2281|1,2|2267|1,2|2253|1,2|2239|1,2|2225|1,2|2211|1,2|2197|1,2|2183|1,2|2169|1,2|2155|1,2|2141|1,2|2127|1,2|2113|1</v>
      </c>
      <c r="M629" t="str">
        <f t="shared" si="59"/>
        <v>2|2281|1|20,2|2267|1|20,2|2253|1|20,2|2239|1|20,2|2225|1|20,2|2211|1|20,2|2197|1|20,2|2183|1|20,2|2169|1|20,2|2155|1|10,2|2141|1|10,2|2127|1|10,2|2113|1|10</v>
      </c>
      <c r="R629" t="str">
        <f t="shared" si="63"/>
        <v>血魔战甲</v>
      </c>
    </row>
    <row r="630" spans="1:18" hidden="1">
      <c r="A630" t="str">
        <f t="shared" si="66"/>
        <v>a15</v>
      </c>
      <c r="B630">
        <v>2</v>
      </c>
      <c r="C630" s="222" t="s">
        <v>9287</v>
      </c>
      <c r="D630">
        <f>VLOOKUP(F630,Sheet7!$B:$G,6,0)</f>
        <v>2295</v>
      </c>
      <c r="E630" s="222" t="s">
        <v>9287</v>
      </c>
      <c r="F630" s="331" t="s">
        <v>15955</v>
      </c>
      <c r="G630">
        <v>1</v>
      </c>
      <c r="H630" t="str">
        <f t="shared" si="64"/>
        <v>2|2295|1</v>
      </c>
      <c r="I630" s="222" t="s">
        <v>9287</v>
      </c>
      <c r="J630">
        <v>20</v>
      </c>
      <c r="K630" t="str">
        <f t="shared" si="65"/>
        <v>2|2295|1|20</v>
      </c>
      <c r="L630" t="str">
        <f t="shared" si="58"/>
        <v>2|2295|1,2|2281|1,2|2267|1,2|2253|1,2|2239|1,2|2225|1,2|2211|1,2|2197|1,2|2183|1,2|2169|1,2|2155|1,2|2141|1,2|2127|1,2|2113|1</v>
      </c>
      <c r="M630" t="str">
        <f t="shared" si="59"/>
        <v>2|2295|1|20,2|2281|1|20,2|2267|1|20,2|2253|1|20,2|2239|1|20,2|2225|1|20,2|2211|1|20,2|2197|1|20,2|2183|1|20,2|2169|1|20,2|2155|1|10,2|2141|1|10,2|2127|1|10,2|2113|1|10</v>
      </c>
      <c r="R630" t="str">
        <f t="shared" si="63"/>
        <v>赤霄长剑</v>
      </c>
    </row>
    <row r="631" spans="1:18" hidden="1">
      <c r="A631" t="str">
        <f t="shared" si="66"/>
        <v>a15</v>
      </c>
      <c r="B631">
        <v>2</v>
      </c>
      <c r="C631" s="222" t="s">
        <v>9287</v>
      </c>
      <c r="D631">
        <f>VLOOKUP(F631,Sheet7!$B:$G,6,0)</f>
        <v>2309</v>
      </c>
      <c r="E631" s="222" t="s">
        <v>9287</v>
      </c>
      <c r="F631" s="331" t="s">
        <v>15970</v>
      </c>
      <c r="G631">
        <v>1</v>
      </c>
      <c r="H631" t="str">
        <f t="shared" si="64"/>
        <v>2|2309|1</v>
      </c>
      <c r="I631" s="222" t="s">
        <v>9287</v>
      </c>
      <c r="J631">
        <v>20</v>
      </c>
      <c r="K631" t="str">
        <f t="shared" si="65"/>
        <v>2|2309|1|20</v>
      </c>
      <c r="L631" t="str">
        <f t="shared" si="58"/>
        <v>2|2309|1,2|2295|1,2|2281|1,2|2267|1,2|2253|1,2|2239|1,2|2225|1,2|2211|1,2|2197|1,2|2183|1,2|2169|1,2|2155|1,2|2141|1,2|2127|1,2|2113|1</v>
      </c>
      <c r="M631" t="str">
        <f t="shared" si="59"/>
        <v>2|2309|1|20,2|2295|1|20,2|2281|1|20,2|2267|1|20,2|2253|1|20,2|2239|1|20,2|2225|1|20,2|2211|1|20,2|2197|1|20,2|2183|1|20,2|2169|1|20,2|2155|1|10,2|2141|1|10,2|2127|1|10,2|2113|1|10</v>
      </c>
      <c r="R631" t="str">
        <f t="shared" si="63"/>
        <v>麒麟头盔</v>
      </c>
    </row>
    <row r="632" spans="1:18" hidden="1">
      <c r="A632" t="str">
        <f t="shared" si="66"/>
        <v>a15</v>
      </c>
      <c r="B632">
        <v>2</v>
      </c>
      <c r="C632" s="222" t="s">
        <v>9287</v>
      </c>
      <c r="D632">
        <f>VLOOKUP(F632,Sheet7!$B:$G,6,0)</f>
        <v>2216</v>
      </c>
      <c r="E632" s="222" t="s">
        <v>9287</v>
      </c>
      <c r="F632" s="331" t="s">
        <v>15985</v>
      </c>
      <c r="G632">
        <v>1</v>
      </c>
      <c r="H632" t="str">
        <f t="shared" si="64"/>
        <v>2|2216|1</v>
      </c>
      <c r="I632" s="222" t="s">
        <v>9287</v>
      </c>
      <c r="J632">
        <v>20</v>
      </c>
      <c r="K632" t="str">
        <f t="shared" si="65"/>
        <v>2|2216|1|20</v>
      </c>
      <c r="L632" t="str">
        <f t="shared" si="58"/>
        <v>2|2216|1,2|2309|1,2|2295|1,2|2281|1,2|2267|1,2|2253|1,2|2239|1,2|2225|1,2|2211|1,2|2197|1,2|2183|1,2|2169|1,2|2155|1,2|2141|1,2|2127|1,2|2113|1</v>
      </c>
      <c r="M632" t="str">
        <f t="shared" si="59"/>
        <v>2|2216|1|20,2|2309|1|20,2|2295|1|20,2|2281|1|20,2|2267|1|20,2|2253|1|20,2|2239|1|20,2|2225|1|20,2|2211|1|20,2|2197|1|20,2|2183|1|20,2|2169|1|20,2|2155|1|10,2|2141|1|10,2|2127|1|10,2|2113|1|10</v>
      </c>
      <c r="R632" t="str">
        <f t="shared" si="63"/>
        <v>兽魂战靴</v>
      </c>
    </row>
    <row r="633" spans="1:18" hidden="1">
      <c r="A633" t="str">
        <f t="shared" si="66"/>
        <v>a15</v>
      </c>
      <c r="B633">
        <v>2</v>
      </c>
      <c r="C633" s="222" t="s">
        <v>9287</v>
      </c>
      <c r="D633">
        <f>VLOOKUP(F633,Sheet7!$B:$G,6,0)</f>
        <v>2337</v>
      </c>
      <c r="E633" s="222" t="s">
        <v>9287</v>
      </c>
      <c r="F633" s="331" t="s">
        <v>16000</v>
      </c>
      <c r="G633">
        <v>1</v>
      </c>
      <c r="H633" t="str">
        <f t="shared" si="64"/>
        <v>2|2337|1</v>
      </c>
      <c r="I633" s="222" t="s">
        <v>9287</v>
      </c>
      <c r="J633">
        <v>40</v>
      </c>
      <c r="K633" t="str">
        <f t="shared" si="65"/>
        <v>2|2337|1|40</v>
      </c>
      <c r="L633" t="str">
        <f t="shared" si="58"/>
        <v>2|2337|1,2|2216|1,2|2309|1,2|2295|1,2|2281|1,2|2267|1,2|2253|1,2|2239|1,2|2225|1,2|2211|1,2|2197|1,2|2183|1,2|2169|1,2|2155|1,2|2141|1,2|2127|1,2|2113|1</v>
      </c>
      <c r="M633" t="str">
        <f t="shared" si="59"/>
        <v>2|2337|1|40,2|2216|1|20,2|2309|1|20,2|2295|1|20,2|2281|1|20,2|2267|1|20,2|2253|1|20,2|2239|1|20,2|2225|1|20,2|2211|1|20,2|2197|1|20,2|2183|1|20,2|2169|1|20,2|2155|1|10,2|2141|1|10,2|2127|1|10,2|2113|1|10</v>
      </c>
      <c r="R633" t="str">
        <f t="shared" si="63"/>
        <v>磐石战甲</v>
      </c>
    </row>
    <row r="634" spans="1:18" hidden="1">
      <c r="A634" t="str">
        <f t="shared" si="66"/>
        <v>a15</v>
      </c>
      <c r="B634">
        <v>2</v>
      </c>
      <c r="C634" s="222" t="s">
        <v>9287</v>
      </c>
      <c r="D634">
        <f>VLOOKUP(F634,Sheet7!$B:$G,6,0)</f>
        <v>2351</v>
      </c>
      <c r="E634" s="222" t="s">
        <v>9287</v>
      </c>
      <c r="F634" s="331" t="s">
        <v>16015</v>
      </c>
      <c r="G634">
        <v>1</v>
      </c>
      <c r="H634" t="str">
        <f t="shared" si="64"/>
        <v>2|2351|1</v>
      </c>
      <c r="I634" s="222" t="s">
        <v>9287</v>
      </c>
      <c r="J634">
        <v>40</v>
      </c>
      <c r="K634" t="str">
        <f t="shared" si="65"/>
        <v>2|2351|1|40</v>
      </c>
      <c r="L634" t="str">
        <f t="shared" si="58"/>
        <v>2|2351|1,2|2337|1,2|2216|1,2|2309|1,2|2295|1,2|2281|1,2|2267|1,2|2253|1,2|2239|1,2|2225|1,2|2211|1,2|2197|1,2|2183|1,2|2169|1,2|2155|1,2|2141|1,2|2127|1,2|2113|1</v>
      </c>
      <c r="M634" t="str">
        <f t="shared" si="59"/>
        <v>2|2351|1|40,2|2337|1|40,2|2216|1|20,2|2309|1|20,2|2295|1|20,2|2281|1|20,2|2267|1|20,2|2253|1|20,2|2239|1|20,2|2225|1|20,2|2211|1|20,2|2197|1|20,2|2183|1|20,2|2169|1|20,2|2155|1|10,2|2141|1|10,2|2127|1|10,2|2113|1|10</v>
      </c>
      <c r="R634" t="str">
        <f t="shared" si="63"/>
        <v>磐石长剑</v>
      </c>
    </row>
    <row r="635" spans="1:18" hidden="1">
      <c r="A635" t="str">
        <f t="shared" si="66"/>
        <v>a15</v>
      </c>
      <c r="B635">
        <v>2</v>
      </c>
      <c r="C635" s="222" t="s">
        <v>9287</v>
      </c>
      <c r="D635">
        <f>VLOOKUP(F635,Sheet7!$B:$G,6,0)</f>
        <v>2365</v>
      </c>
      <c r="E635" s="222" t="s">
        <v>9287</v>
      </c>
      <c r="F635" s="331" t="s">
        <v>16030</v>
      </c>
      <c r="G635">
        <v>1</v>
      </c>
      <c r="H635" t="str">
        <f t="shared" si="64"/>
        <v>2|2365|1</v>
      </c>
      <c r="I635" s="222" t="s">
        <v>9287</v>
      </c>
      <c r="J635">
        <v>40</v>
      </c>
      <c r="K635" t="str">
        <f t="shared" si="65"/>
        <v>2|2365|1|40</v>
      </c>
      <c r="L635" t="str">
        <f t="shared" si="58"/>
        <v>2|2365|1,2|2351|1,2|2337|1,2|2216|1,2|2309|1,2|2295|1,2|2281|1,2|2267|1,2|2253|1,2|2239|1,2|2225|1,2|2211|1,2|2197|1,2|2183|1,2|2169|1,2|2155|1,2|2141|1,2|2127|1,2|2113|1</v>
      </c>
      <c r="M635" t="str">
        <f t="shared" si="59"/>
        <v>2|2365|1|40,2|2351|1|40,2|2337|1|40,2|2216|1|20,2|2309|1|20,2|2295|1|20,2|2281|1|20,2|2267|1|20,2|2253|1|20,2|2239|1|20,2|2225|1|20,2|2211|1|20,2|2197|1|20,2|2183|1|20,2|2169|1|20,2|2155|1|10,2|2141|1|10,2|2127|1|10,2|2113|1|10</v>
      </c>
      <c r="R635" t="str">
        <f t="shared" si="63"/>
        <v>磐石头盔</v>
      </c>
    </row>
    <row r="636" spans="1:18" hidden="1">
      <c r="A636" t="str">
        <f t="shared" si="66"/>
        <v>a15</v>
      </c>
      <c r="B636">
        <v>2</v>
      </c>
      <c r="C636" s="222" t="s">
        <v>9287</v>
      </c>
      <c r="D636">
        <f>VLOOKUP(F636,Sheet7!$B:$G,6,0)</f>
        <v>2379</v>
      </c>
      <c r="E636" s="222" t="s">
        <v>9287</v>
      </c>
      <c r="F636" s="331" t="s">
        <v>16045</v>
      </c>
      <c r="G636">
        <v>1</v>
      </c>
      <c r="H636" t="str">
        <f t="shared" si="64"/>
        <v>2|2379|1</v>
      </c>
      <c r="I636" s="222" t="s">
        <v>9287</v>
      </c>
      <c r="J636">
        <v>40</v>
      </c>
      <c r="K636" t="str">
        <f t="shared" si="65"/>
        <v>2|2379|1|40</v>
      </c>
      <c r="L636" t="str">
        <f t="shared" si="58"/>
        <v>2|2379|1,2|2365|1,2|2351|1,2|2337|1,2|2216|1,2|2309|1,2|2295|1,2|2281|1,2|2267|1,2|2253|1,2|2239|1,2|2225|1,2|2211|1,2|2197|1,2|2183|1,2|2169|1,2|2155|1,2|2141|1,2|2127|1,2|2113|1</v>
      </c>
      <c r="M636" t="str">
        <f t="shared" si="59"/>
        <v>2|2379|1|40,2|2365|1|40,2|2351|1|40,2|2337|1|40,2|2216|1|20,2|2309|1|20,2|2295|1|20,2|2281|1|20,2|2267|1|20,2|2253|1|20,2|2239|1|20,2|2225|1|20,2|2211|1|20,2|2197|1|20,2|2183|1|20,2|2169|1|20,2|2155|1|10,2|2141|1|10,2|2127|1|10,2|2113|1|10</v>
      </c>
      <c r="R636" t="str">
        <f t="shared" si="63"/>
        <v>磐石战靴</v>
      </c>
    </row>
    <row r="637" spans="1:18" hidden="1">
      <c r="A637" t="str">
        <f t="shared" si="66"/>
        <v>a15</v>
      </c>
      <c r="B637">
        <v>2</v>
      </c>
      <c r="C637" s="222" t="s">
        <v>9287</v>
      </c>
      <c r="D637">
        <f>VLOOKUP(F637,Sheet7!$B:$G,6,0)</f>
        <v>2393</v>
      </c>
      <c r="E637" s="222" t="s">
        <v>9287</v>
      </c>
      <c r="F637" s="331" t="s">
        <v>16060</v>
      </c>
      <c r="G637">
        <v>1</v>
      </c>
      <c r="H637" t="str">
        <f t="shared" si="64"/>
        <v>2|2393|1</v>
      </c>
      <c r="I637" s="222" t="s">
        <v>9287</v>
      </c>
      <c r="J637">
        <v>40</v>
      </c>
      <c r="K637" t="str">
        <f t="shared" si="65"/>
        <v>2|2393|1|40</v>
      </c>
      <c r="L637" t="str">
        <f t="shared" si="58"/>
        <v>2|2393|1,2|2379|1,2|2365|1,2|2351|1,2|2337|1,2|2216|1,2|2309|1,2|2295|1,2|2281|1,2|2267|1,2|2253|1,2|2239|1,2|2225|1,2|2211|1,2|2197|1,2|2183|1,2|2169|1,2|2155|1,2|2141|1,2|2127|1,2|2113|1</v>
      </c>
      <c r="M637" t="str">
        <f t="shared" si="59"/>
        <v>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37" t="str">
        <f t="shared" si="63"/>
        <v>连云战甲</v>
      </c>
    </row>
    <row r="638" spans="1:18" hidden="1">
      <c r="A638" t="str">
        <f t="shared" si="66"/>
        <v>a15</v>
      </c>
      <c r="B638">
        <v>2</v>
      </c>
      <c r="C638" s="222" t="s">
        <v>9287</v>
      </c>
      <c r="D638">
        <f>VLOOKUP(F638,Sheet7!$B:$G,6,0)</f>
        <v>2407</v>
      </c>
      <c r="E638" s="222" t="s">
        <v>9287</v>
      </c>
      <c r="F638" s="331" t="s">
        <v>16075</v>
      </c>
      <c r="G638">
        <v>1</v>
      </c>
      <c r="H638" t="str">
        <f t="shared" si="64"/>
        <v>2|2407|1</v>
      </c>
      <c r="I638" s="222" t="s">
        <v>9287</v>
      </c>
      <c r="J638">
        <v>40</v>
      </c>
      <c r="K638" t="str">
        <f t="shared" si="65"/>
        <v>2|2407|1|40</v>
      </c>
      <c r="L638" t="str">
        <f t="shared" si="58"/>
        <v>2|2407|1,2|2393|1,2|2379|1,2|2365|1,2|2351|1,2|2337|1,2|2216|1,2|2309|1,2|2295|1,2|2281|1,2|2267|1,2|2253|1,2|2239|1,2|2225|1,2|2211|1,2|2197|1,2|2183|1,2|2169|1,2|2155|1,2|2141|1,2|2127|1,2|2113|1</v>
      </c>
      <c r="M638" t="str">
        <f t="shared" si="59"/>
        <v>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38" t="str">
        <f t="shared" si="63"/>
        <v>紫阳长剑</v>
      </c>
    </row>
    <row r="639" spans="1:18" hidden="1">
      <c r="A639" t="str">
        <f t="shared" si="66"/>
        <v>a15</v>
      </c>
      <c r="B639">
        <v>2</v>
      </c>
      <c r="C639" s="222" t="s">
        <v>9287</v>
      </c>
      <c r="D639">
        <f>VLOOKUP(F639,Sheet7!$B:$G,6,0)</f>
        <v>2421</v>
      </c>
      <c r="E639" s="222" t="s">
        <v>9287</v>
      </c>
      <c r="F639" s="331" t="s">
        <v>16090</v>
      </c>
      <c r="G639">
        <v>1</v>
      </c>
      <c r="H639" t="str">
        <f t="shared" si="64"/>
        <v>2|2421|1</v>
      </c>
      <c r="I639" s="222" t="s">
        <v>9287</v>
      </c>
      <c r="J639">
        <v>40</v>
      </c>
      <c r="K639" t="str">
        <f t="shared" si="65"/>
        <v>2|2421|1|40</v>
      </c>
      <c r="L639" t="str">
        <f t="shared" si="58"/>
        <v>2|2421|1,2|2407|1,2|2393|1,2|2379|1,2|2365|1,2|2351|1,2|2337|1,2|2216|1,2|2309|1,2|2295|1,2|2281|1,2|2267|1,2|2253|1,2|2239|1,2|2225|1,2|2211|1,2|2197|1,2|2183|1,2|2169|1,2|2155|1,2|2141|1,2|2127|1,2|2113|1</v>
      </c>
      <c r="M639" t="str">
        <f t="shared" si="59"/>
        <v>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39" t="str">
        <f t="shared" si="63"/>
        <v>耀日头盔</v>
      </c>
    </row>
    <row r="640" spans="1:18" hidden="1">
      <c r="A640" t="str">
        <f t="shared" si="66"/>
        <v>a15</v>
      </c>
      <c r="B640">
        <v>2</v>
      </c>
      <c r="C640" s="222" t="s">
        <v>9287</v>
      </c>
      <c r="D640">
        <f>VLOOKUP(F640,Sheet7!$B:$G,6,0)</f>
        <v>2435</v>
      </c>
      <c r="E640" s="222" t="s">
        <v>9287</v>
      </c>
      <c r="F640" s="331" t="s">
        <v>16105</v>
      </c>
      <c r="G640">
        <v>1</v>
      </c>
      <c r="H640" t="str">
        <f t="shared" si="64"/>
        <v>2|2435|1</v>
      </c>
      <c r="I640" s="222" t="s">
        <v>9287</v>
      </c>
      <c r="J640">
        <v>40</v>
      </c>
      <c r="K640" t="str">
        <f t="shared" si="65"/>
        <v>2|2435|1|40</v>
      </c>
      <c r="L640" t="str">
        <f t="shared" si="58"/>
        <v>2|2435|1,2|2421|1,2|2407|1,2|2393|1,2|2379|1,2|2365|1,2|2351|1,2|2337|1,2|2216|1,2|2309|1,2|2295|1,2|2281|1,2|2267|1,2|2253|1,2|2239|1,2|2225|1,2|2211|1,2|2197|1,2|2183|1,2|2169|1,2|2155|1,2|2141|1,2|2127|1,2|2113|1</v>
      </c>
      <c r="M640" t="str">
        <f t="shared" si="59"/>
        <v>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0" t="str">
        <f t="shared" si="63"/>
        <v>雷霆战靴</v>
      </c>
    </row>
    <row r="641" spans="1:18" hidden="1">
      <c r="A641" t="str">
        <f t="shared" si="66"/>
        <v>a15</v>
      </c>
      <c r="B641">
        <v>2</v>
      </c>
      <c r="C641" s="222" t="s">
        <v>9287</v>
      </c>
      <c r="D641">
        <f>VLOOKUP(F641,Sheet7!$B:$G,6,0)</f>
        <v>2449</v>
      </c>
      <c r="E641" s="222" t="s">
        <v>9287</v>
      </c>
      <c r="F641" s="331" t="s">
        <v>16120</v>
      </c>
      <c r="G641">
        <v>1</v>
      </c>
      <c r="H641" t="str">
        <f t="shared" si="64"/>
        <v>2|2449|1</v>
      </c>
      <c r="I641" s="222" t="s">
        <v>9287</v>
      </c>
      <c r="J641">
        <v>40</v>
      </c>
      <c r="K641" t="str">
        <f t="shared" si="65"/>
        <v>2|2449|1|40</v>
      </c>
      <c r="L641" t="str">
        <f t="shared" si="58"/>
        <v>2|2449|1,2|2435|1,2|2421|1,2|2407|1,2|2393|1,2|2379|1,2|2365|1,2|2351|1,2|2337|1,2|2216|1,2|2309|1,2|2295|1,2|2281|1,2|2267|1,2|2253|1,2|2239|1,2|2225|1,2|2211|1,2|2197|1,2|2183|1,2|2169|1,2|2155|1,2|2141|1,2|2127|1,2|2113|1</v>
      </c>
      <c r="M641" t="str">
        <f t="shared" si="59"/>
        <v>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1" t="str">
        <f t="shared" si="63"/>
        <v>护卫战甲</v>
      </c>
    </row>
    <row r="642" spans="1:18" hidden="1">
      <c r="A642" t="str">
        <f t="shared" si="66"/>
        <v>a15</v>
      </c>
      <c r="B642">
        <v>2</v>
      </c>
      <c r="C642" s="222" t="s">
        <v>9287</v>
      </c>
      <c r="D642">
        <f>VLOOKUP(F642,Sheet7!$B:$G,6,0)</f>
        <v>2463</v>
      </c>
      <c r="E642" s="222" t="s">
        <v>9287</v>
      </c>
      <c r="F642" s="331" t="s">
        <v>16135</v>
      </c>
      <c r="G642">
        <v>1</v>
      </c>
      <c r="H642" t="str">
        <f t="shared" si="64"/>
        <v>2|2463|1</v>
      </c>
      <c r="I642" s="222" t="s">
        <v>9287</v>
      </c>
      <c r="J642">
        <v>40</v>
      </c>
      <c r="K642" t="str">
        <f t="shared" si="65"/>
        <v>2|2463|1|40</v>
      </c>
      <c r="L642" t="str">
        <f t="shared" si="58"/>
        <v>2|2463|1,2|2449|1,2|2435|1,2|2421|1,2|2407|1,2|2393|1,2|2379|1,2|2365|1,2|2351|1,2|2337|1,2|2216|1,2|2309|1,2|2295|1,2|2281|1,2|2267|1,2|2253|1,2|2239|1,2|2225|1,2|2211|1,2|2197|1,2|2183|1,2|2169|1,2|2155|1,2|2141|1,2|2127|1,2|2113|1</v>
      </c>
      <c r="M642" t="str">
        <f t="shared" si="59"/>
        <v>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2" t="str">
        <f t="shared" si="63"/>
        <v>护卫长剑</v>
      </c>
    </row>
    <row r="643" spans="1:18" hidden="1">
      <c r="A643" t="str">
        <f t="shared" si="66"/>
        <v>a15</v>
      </c>
      <c r="B643">
        <v>2</v>
      </c>
      <c r="C643" s="222" t="s">
        <v>9287</v>
      </c>
      <c r="D643">
        <f>VLOOKUP(F643,Sheet7!$B:$G,6,0)</f>
        <v>2477</v>
      </c>
      <c r="E643" s="222" t="s">
        <v>9287</v>
      </c>
      <c r="F643" s="331" t="s">
        <v>16150</v>
      </c>
      <c r="G643">
        <v>1</v>
      </c>
      <c r="H643" t="str">
        <f t="shared" si="64"/>
        <v>2|2477|1</v>
      </c>
      <c r="I643" s="222" t="s">
        <v>9287</v>
      </c>
      <c r="J643">
        <v>40</v>
      </c>
      <c r="K643" t="str">
        <f t="shared" si="65"/>
        <v>2|2477|1|40</v>
      </c>
      <c r="L643" t="str">
        <f t="shared" si="58"/>
        <v>2|2477|1,2|2463|1,2|2449|1,2|2435|1,2|2421|1,2|2407|1,2|2393|1,2|2379|1,2|2365|1,2|2351|1,2|2337|1,2|2216|1,2|2309|1,2|2295|1,2|2281|1,2|2267|1,2|2253|1,2|2239|1,2|2225|1,2|2211|1,2|2197|1,2|2183|1,2|2169|1,2|2155|1,2|2141|1,2|2127|1,2|2113|1</v>
      </c>
      <c r="M643" t="str">
        <f t="shared" si="59"/>
        <v>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3" t="str">
        <f t="shared" si="63"/>
        <v>护卫头盔</v>
      </c>
    </row>
    <row r="644" spans="1:18" hidden="1">
      <c r="A644" t="str">
        <f t="shared" ref="A644:A660" si="67">LEFT(F644,3)</f>
        <v>a15</v>
      </c>
      <c r="B644">
        <v>2</v>
      </c>
      <c r="C644" s="222" t="s">
        <v>9287</v>
      </c>
      <c r="D644">
        <f>VLOOKUP(F644,Sheet7!$B:$G,6,0)</f>
        <v>2491</v>
      </c>
      <c r="E644" s="222" t="s">
        <v>9287</v>
      </c>
      <c r="F644" s="331" t="s">
        <v>16165</v>
      </c>
      <c r="G644">
        <v>1</v>
      </c>
      <c r="H644" t="str">
        <f t="shared" si="64"/>
        <v>2|2491|1</v>
      </c>
      <c r="I644" s="222" t="s">
        <v>9287</v>
      </c>
      <c r="J644">
        <v>40</v>
      </c>
      <c r="K644" t="str">
        <f t="shared" si="65"/>
        <v>2|2491|1|40</v>
      </c>
      <c r="L644" t="str">
        <f t="shared" ref="L644:L660" si="68">IF(A644=A643,H644&amp;","&amp;L643,H644)</f>
        <v>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44" t="str">
        <f t="shared" ref="M644:M660" si="69">IF(A644=A643,K644&amp;","&amp;M643,K644)</f>
        <v>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4" t="str">
        <f t="shared" si="63"/>
        <v>护卫战靴</v>
      </c>
    </row>
    <row r="645" spans="1:18" hidden="1">
      <c r="A645" t="str">
        <f t="shared" si="67"/>
        <v>a15</v>
      </c>
      <c r="B645">
        <v>2</v>
      </c>
      <c r="C645" s="222" t="s">
        <v>9287</v>
      </c>
      <c r="D645">
        <f>VLOOKUP(F645,Sheet7!$B:$G,6,0)</f>
        <v>2505</v>
      </c>
      <c r="E645" s="222" t="s">
        <v>9287</v>
      </c>
      <c r="F645" s="331" t="s">
        <v>16180</v>
      </c>
      <c r="G645">
        <v>1</v>
      </c>
      <c r="H645" t="str">
        <f t="shared" si="64"/>
        <v>2|2505|1</v>
      </c>
      <c r="I645" s="222" t="s">
        <v>9287</v>
      </c>
      <c r="J645">
        <v>40</v>
      </c>
      <c r="K645" t="str">
        <f t="shared" si="65"/>
        <v>2|2505|1|40</v>
      </c>
      <c r="L645" t="str">
        <f t="shared" si="68"/>
        <v>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45" t="str">
        <f t="shared" si="69"/>
        <v>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5" t="str">
        <f t="shared" si="63"/>
        <v>破魔战甲</v>
      </c>
    </row>
    <row r="646" spans="1:18" hidden="1">
      <c r="A646" t="str">
        <f t="shared" si="67"/>
        <v>a15</v>
      </c>
      <c r="B646">
        <v>2</v>
      </c>
      <c r="C646" s="222" t="s">
        <v>9287</v>
      </c>
      <c r="D646">
        <f>VLOOKUP(F646,Sheet7!$B:$G,6,0)</f>
        <v>2519</v>
      </c>
      <c r="E646" s="222" t="s">
        <v>9287</v>
      </c>
      <c r="F646" s="331" t="s">
        <v>16195</v>
      </c>
      <c r="G646">
        <v>1</v>
      </c>
      <c r="H646" t="str">
        <f t="shared" si="64"/>
        <v>2|2519|1</v>
      </c>
      <c r="I646" s="222" t="s">
        <v>9287</v>
      </c>
      <c r="J646">
        <v>40</v>
      </c>
      <c r="K646" t="str">
        <f t="shared" si="65"/>
        <v>2|2519|1|40</v>
      </c>
      <c r="L646" t="str">
        <f t="shared" si="68"/>
        <v>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46" t="str">
        <f t="shared" si="69"/>
        <v>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6" t="str">
        <f t="shared" si="63"/>
        <v>破魔长剑</v>
      </c>
    </row>
    <row r="647" spans="1:18" hidden="1">
      <c r="A647" t="str">
        <f t="shared" si="67"/>
        <v>a15</v>
      </c>
      <c r="B647">
        <v>2</v>
      </c>
      <c r="C647" s="222" t="s">
        <v>9287</v>
      </c>
      <c r="D647">
        <f>VLOOKUP(F647,Sheet7!$B:$G,6,0)</f>
        <v>2533</v>
      </c>
      <c r="E647" s="222" t="s">
        <v>9287</v>
      </c>
      <c r="F647" s="331" t="s">
        <v>16210</v>
      </c>
      <c r="G647">
        <v>1</v>
      </c>
      <c r="H647" t="str">
        <f t="shared" si="64"/>
        <v>2|2533|1</v>
      </c>
      <c r="I647" s="222" t="s">
        <v>9287</v>
      </c>
      <c r="J647">
        <v>40</v>
      </c>
      <c r="K647" t="str">
        <f t="shared" si="65"/>
        <v>2|2533|1|40</v>
      </c>
      <c r="L647" t="str">
        <f t="shared" si="68"/>
        <v>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47" t="str">
        <f t="shared" si="69"/>
        <v>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7" t="str">
        <f t="shared" si="63"/>
        <v>破魔头盔</v>
      </c>
    </row>
    <row r="648" spans="1:18" hidden="1">
      <c r="A648" t="str">
        <f t="shared" si="67"/>
        <v>a15</v>
      </c>
      <c r="B648">
        <v>2</v>
      </c>
      <c r="C648" s="222" t="s">
        <v>9287</v>
      </c>
      <c r="D648">
        <f>VLOOKUP(F648,Sheet7!$B:$G,6,0)</f>
        <v>2547</v>
      </c>
      <c r="E648" s="222" t="s">
        <v>9287</v>
      </c>
      <c r="F648" s="331" t="s">
        <v>16225</v>
      </c>
      <c r="G648">
        <v>1</v>
      </c>
      <c r="H648" t="str">
        <f t="shared" si="64"/>
        <v>2|2547|1</v>
      </c>
      <c r="I648" s="222" t="s">
        <v>9287</v>
      </c>
      <c r="J648">
        <v>40</v>
      </c>
      <c r="K648" t="str">
        <f t="shared" si="65"/>
        <v>2|2547|1|40</v>
      </c>
      <c r="L648" t="str">
        <f t="shared" si="68"/>
        <v>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48" t="str">
        <f t="shared" si="69"/>
        <v>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8" t="str">
        <f t="shared" si="63"/>
        <v>破魔战靴</v>
      </c>
    </row>
    <row r="649" spans="1:18" hidden="1">
      <c r="A649" t="str">
        <f t="shared" si="67"/>
        <v>a15</v>
      </c>
      <c r="B649">
        <v>2</v>
      </c>
      <c r="C649" s="222" t="s">
        <v>9287</v>
      </c>
      <c r="D649">
        <f>VLOOKUP(F649,Sheet7!$B:$G,6,0)</f>
        <v>2561</v>
      </c>
      <c r="E649" s="222" t="s">
        <v>9287</v>
      </c>
      <c r="F649" s="331" t="s">
        <v>16240</v>
      </c>
      <c r="G649">
        <v>1</v>
      </c>
      <c r="H649" t="str">
        <f t="shared" si="64"/>
        <v>2|2561|1</v>
      </c>
      <c r="I649" s="222" t="s">
        <v>9287</v>
      </c>
      <c r="J649">
        <v>40</v>
      </c>
      <c r="K649" t="str">
        <f t="shared" si="65"/>
        <v>2|2561|1|40</v>
      </c>
      <c r="L649" t="str">
        <f t="shared" si="68"/>
        <v>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49" t="str">
        <f t="shared" si="69"/>
        <v>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49" t="str">
        <f t="shared" si="63"/>
        <v>赤血战甲</v>
      </c>
    </row>
    <row r="650" spans="1:18" hidden="1">
      <c r="A650" t="str">
        <f t="shared" si="67"/>
        <v>a15</v>
      </c>
      <c r="B650">
        <v>2</v>
      </c>
      <c r="C650" s="222" t="s">
        <v>9287</v>
      </c>
      <c r="D650">
        <f>VLOOKUP(F650,Sheet7!$B:$G,6,0)</f>
        <v>2575</v>
      </c>
      <c r="E650" s="222" t="s">
        <v>9287</v>
      </c>
      <c r="F650" s="331" t="s">
        <v>16255</v>
      </c>
      <c r="G650">
        <v>1</v>
      </c>
      <c r="H650" t="str">
        <f t="shared" si="64"/>
        <v>2|2575|1</v>
      </c>
      <c r="I650" s="222" t="s">
        <v>9287</v>
      </c>
      <c r="J650">
        <v>40</v>
      </c>
      <c r="K650" t="str">
        <f t="shared" si="65"/>
        <v>2|2575|1|40</v>
      </c>
      <c r="L650" t="str">
        <f t="shared" si="68"/>
        <v>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0" t="str">
        <f t="shared" si="69"/>
        <v>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0" t="str">
        <f t="shared" si="63"/>
        <v>青锋长剑</v>
      </c>
    </row>
    <row r="651" spans="1:18" hidden="1">
      <c r="A651" t="str">
        <f t="shared" si="67"/>
        <v>a15</v>
      </c>
      <c r="B651">
        <v>2</v>
      </c>
      <c r="C651" s="222" t="s">
        <v>9287</v>
      </c>
      <c r="D651">
        <f>VLOOKUP(F651,Sheet7!$B:$G,6,0)</f>
        <v>2589</v>
      </c>
      <c r="E651" s="222" t="s">
        <v>9287</v>
      </c>
      <c r="F651" s="331" t="s">
        <v>16270</v>
      </c>
      <c r="G651">
        <v>1</v>
      </c>
      <c r="H651" t="str">
        <f t="shared" si="64"/>
        <v>2|2589|1</v>
      </c>
      <c r="I651" s="222" t="s">
        <v>9287</v>
      </c>
      <c r="J651">
        <v>40</v>
      </c>
      <c r="K651" t="str">
        <f t="shared" si="65"/>
        <v>2|2589|1|40</v>
      </c>
      <c r="L651" t="str">
        <f t="shared" si="68"/>
        <v>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1" t="str">
        <f t="shared" si="69"/>
        <v>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1" t="str">
        <f t="shared" si="63"/>
        <v>雁虞头盔</v>
      </c>
    </row>
    <row r="652" spans="1:18" hidden="1">
      <c r="A652" t="str">
        <f t="shared" si="67"/>
        <v>a15</v>
      </c>
      <c r="B652">
        <v>2</v>
      </c>
      <c r="C652" s="222" t="s">
        <v>9287</v>
      </c>
      <c r="D652">
        <f>VLOOKUP(F652,Sheet7!$B:$G,6,0)</f>
        <v>2603</v>
      </c>
      <c r="E652" s="222" t="s">
        <v>9287</v>
      </c>
      <c r="F652" s="331" t="s">
        <v>16285</v>
      </c>
      <c r="G652">
        <v>1</v>
      </c>
      <c r="H652" t="str">
        <f t="shared" si="64"/>
        <v>2|2603|1</v>
      </c>
      <c r="I652" s="222" t="s">
        <v>9287</v>
      </c>
      <c r="J652">
        <v>40</v>
      </c>
      <c r="K652" t="str">
        <f t="shared" si="65"/>
        <v>2|2603|1|40</v>
      </c>
      <c r="L652" t="str">
        <f t="shared" si="68"/>
        <v>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2" t="str">
        <f t="shared" si="69"/>
        <v>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2" t="str">
        <f t="shared" si="63"/>
        <v>无影战靴</v>
      </c>
    </row>
    <row r="653" spans="1:18" hidden="1">
      <c r="A653" t="str">
        <f t="shared" si="67"/>
        <v>a15</v>
      </c>
      <c r="B653">
        <v>2</v>
      </c>
      <c r="C653" s="222" t="s">
        <v>9287</v>
      </c>
      <c r="D653">
        <f>VLOOKUP(F653,Sheet7!$B:$G,6,0)</f>
        <v>2617</v>
      </c>
      <c r="E653" s="222" t="s">
        <v>9287</v>
      </c>
      <c r="F653" s="331" t="s">
        <v>16300</v>
      </c>
      <c r="G653">
        <v>1</v>
      </c>
      <c r="H653" t="str">
        <f t="shared" si="64"/>
        <v>2|2617|1</v>
      </c>
      <c r="I653" s="222" t="s">
        <v>9287</v>
      </c>
      <c r="J653">
        <v>40</v>
      </c>
      <c r="K653" t="str">
        <f t="shared" si="65"/>
        <v>2|2617|1|40</v>
      </c>
      <c r="L653" t="str">
        <f t="shared" si="68"/>
        <v>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3" t="str">
        <f t="shared" si="69"/>
        <v>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3" t="str">
        <f t="shared" si="63"/>
        <v>行者战甲</v>
      </c>
    </row>
    <row r="654" spans="1:18" hidden="1">
      <c r="A654" t="str">
        <f t="shared" si="67"/>
        <v>a15</v>
      </c>
      <c r="B654">
        <v>2</v>
      </c>
      <c r="C654" s="222" t="s">
        <v>9287</v>
      </c>
      <c r="D654">
        <f>VLOOKUP(F654,Sheet7!$B:$G,6,0)</f>
        <v>2631</v>
      </c>
      <c r="E654" s="222" t="s">
        <v>9287</v>
      </c>
      <c r="F654" s="331" t="s">
        <v>16315</v>
      </c>
      <c r="G654">
        <v>1</v>
      </c>
      <c r="H654" t="str">
        <f t="shared" si="64"/>
        <v>2|2631|1</v>
      </c>
      <c r="I654" s="222" t="s">
        <v>9287</v>
      </c>
      <c r="J654">
        <v>40</v>
      </c>
      <c r="K654" t="str">
        <f t="shared" si="65"/>
        <v>2|2631|1|40</v>
      </c>
      <c r="L654" t="str">
        <f t="shared" si="68"/>
        <v>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4" t="str">
        <f t="shared" si="69"/>
        <v>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4" t="str">
        <f t="shared" si="63"/>
        <v>精铁长剑</v>
      </c>
    </row>
    <row r="655" spans="1:18" hidden="1">
      <c r="A655" t="str">
        <f t="shared" si="67"/>
        <v>a15</v>
      </c>
      <c r="B655">
        <v>2</v>
      </c>
      <c r="C655" s="222" t="s">
        <v>9287</v>
      </c>
      <c r="D655">
        <f>VLOOKUP(F655,Sheet7!$B:$G,6,0)</f>
        <v>2645</v>
      </c>
      <c r="E655" s="222" t="s">
        <v>9287</v>
      </c>
      <c r="F655" s="331" t="s">
        <v>16330</v>
      </c>
      <c r="G655">
        <v>1</v>
      </c>
      <c r="H655" t="str">
        <f t="shared" si="64"/>
        <v>2|2645|1</v>
      </c>
      <c r="I655" s="222" t="s">
        <v>9287</v>
      </c>
      <c r="J655">
        <v>40</v>
      </c>
      <c r="K655" t="str">
        <f t="shared" si="65"/>
        <v>2|2645|1|40</v>
      </c>
      <c r="L655" t="str">
        <f t="shared" si="68"/>
        <v>2|2645|1,2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5" t="str">
        <f t="shared" si="69"/>
        <v>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5" t="str">
        <f t="shared" si="63"/>
        <v>虹影头盔</v>
      </c>
    </row>
    <row r="656" spans="1:18" hidden="1">
      <c r="A656" t="str">
        <f t="shared" si="67"/>
        <v>a15</v>
      </c>
      <c r="B656">
        <v>2</v>
      </c>
      <c r="C656" s="222" t="s">
        <v>9287</v>
      </c>
      <c r="D656">
        <f>VLOOKUP(F656,Sheet7!$B:$G,6,0)</f>
        <v>2659</v>
      </c>
      <c r="E656" s="222" t="s">
        <v>9287</v>
      </c>
      <c r="F656" s="331" t="s">
        <v>16345</v>
      </c>
      <c r="G656">
        <v>1</v>
      </c>
      <c r="H656" t="str">
        <f t="shared" si="64"/>
        <v>2|2659|1</v>
      </c>
      <c r="I656" s="222" t="s">
        <v>9287</v>
      </c>
      <c r="J656">
        <v>40</v>
      </c>
      <c r="K656" t="str">
        <f t="shared" si="65"/>
        <v>2|2659|1|40</v>
      </c>
      <c r="L656" t="str">
        <f t="shared" si="68"/>
        <v>2|2659|1,2|2645|1,2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6" t="str">
        <f t="shared" si="69"/>
        <v>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6" t="str">
        <f t="shared" si="63"/>
        <v>千里战靴</v>
      </c>
    </row>
    <row r="657" spans="1:18" hidden="1">
      <c r="A657" t="str">
        <f t="shared" si="67"/>
        <v>a15</v>
      </c>
      <c r="B657">
        <v>2</v>
      </c>
      <c r="C657" s="222" t="s">
        <v>9287</v>
      </c>
      <c r="D657">
        <f>VLOOKUP(F657,Sheet7!$B:$G,6,0)</f>
        <v>2673</v>
      </c>
      <c r="E657" s="222" t="s">
        <v>9287</v>
      </c>
      <c r="F657" s="331" t="s">
        <v>16360</v>
      </c>
      <c r="G657">
        <v>1</v>
      </c>
      <c r="H657" t="str">
        <f t="shared" si="64"/>
        <v>2|2673|1</v>
      </c>
      <c r="I657" s="222" t="s">
        <v>9287</v>
      </c>
      <c r="J657">
        <v>40</v>
      </c>
      <c r="K657" t="str">
        <f t="shared" si="65"/>
        <v>2|2673|1|40</v>
      </c>
      <c r="L657" t="str">
        <f t="shared" si="68"/>
        <v>2|2673|1,2|2659|1,2|2645|1,2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7" t="str">
        <f t="shared" si="69"/>
        <v>2|2673|1|40,2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7" t="str">
        <f t="shared" si="63"/>
        <v>封魔战甲</v>
      </c>
    </row>
    <row r="658" spans="1:18" hidden="1">
      <c r="A658" t="str">
        <f t="shared" si="67"/>
        <v>a15</v>
      </c>
      <c r="B658">
        <v>2</v>
      </c>
      <c r="C658" s="222" t="s">
        <v>9287</v>
      </c>
      <c r="D658">
        <f>VLOOKUP(F658,Sheet7!$B:$G,6,0)</f>
        <v>2687</v>
      </c>
      <c r="E658" s="222" t="s">
        <v>9287</v>
      </c>
      <c r="F658" s="331" t="s">
        <v>16375</v>
      </c>
      <c r="G658">
        <v>1</v>
      </c>
      <c r="H658" t="str">
        <f t="shared" si="64"/>
        <v>2|2687|1</v>
      </c>
      <c r="I658" s="222" t="s">
        <v>9287</v>
      </c>
      <c r="J658">
        <v>40</v>
      </c>
      <c r="K658" t="str">
        <f t="shared" si="65"/>
        <v>2|2687|1|40</v>
      </c>
      <c r="L658" t="str">
        <f t="shared" si="68"/>
        <v>2|2687|1,2|2673|1,2|2659|1,2|2645|1,2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8" t="str">
        <f t="shared" si="69"/>
        <v>2|2687|1|40,2|2673|1|40,2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8" t="str">
        <f t="shared" si="63"/>
        <v>封魔长剑</v>
      </c>
    </row>
    <row r="659" spans="1:18" hidden="1">
      <c r="A659" t="str">
        <f t="shared" si="67"/>
        <v>a15</v>
      </c>
      <c r="B659">
        <v>2</v>
      </c>
      <c r="C659" s="222" t="s">
        <v>9287</v>
      </c>
      <c r="D659">
        <f>VLOOKUP(F659,Sheet7!$B:$G,6,0)</f>
        <v>2701</v>
      </c>
      <c r="E659" s="222" t="s">
        <v>9287</v>
      </c>
      <c r="F659" s="331" t="s">
        <v>16390</v>
      </c>
      <c r="G659">
        <v>1</v>
      </c>
      <c r="H659" t="str">
        <f t="shared" si="64"/>
        <v>2|2701|1</v>
      </c>
      <c r="I659" s="222" t="s">
        <v>9287</v>
      </c>
      <c r="J659">
        <v>40</v>
      </c>
      <c r="K659" t="str">
        <f t="shared" si="65"/>
        <v>2|2701|1|40</v>
      </c>
      <c r="L659" t="str">
        <f t="shared" si="68"/>
        <v>2|2701|1,2|2687|1,2|2673|1,2|2659|1,2|2645|1,2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59" t="str">
        <f t="shared" si="69"/>
        <v>2|2701|1|40,2|2687|1|40,2|2673|1|40,2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59" t="str">
        <f t="shared" si="63"/>
        <v>封魔头盔</v>
      </c>
    </row>
    <row r="660" spans="1:18">
      <c r="A660" t="str">
        <f t="shared" si="67"/>
        <v>a15</v>
      </c>
      <c r="B660">
        <v>2</v>
      </c>
      <c r="C660" s="222" t="s">
        <v>9287</v>
      </c>
      <c r="D660">
        <f>VLOOKUP(F660,Sheet7!$B:$G,6,0)</f>
        <v>2715</v>
      </c>
      <c r="E660" s="222" t="s">
        <v>9287</v>
      </c>
      <c r="F660" s="331" t="s">
        <v>16405</v>
      </c>
      <c r="G660">
        <v>1</v>
      </c>
      <c r="H660" t="str">
        <f t="shared" si="64"/>
        <v>2|2715|1</v>
      </c>
      <c r="I660" s="222" t="s">
        <v>9287</v>
      </c>
      <c r="J660">
        <v>40</v>
      </c>
      <c r="K660" t="str">
        <f t="shared" si="65"/>
        <v>2|2715|1|40</v>
      </c>
      <c r="L660" t="str">
        <f t="shared" si="68"/>
        <v>2|2715|1,2|2701|1,2|2687|1,2|2673|1,2|2659|1,2|2645|1,2|2631|1,2|2617|1,2|2603|1,2|2589|1,2|2575|1,2|2561|1,2|2547|1,2|2533|1,2|2519|1,2|2505|1,2|2491|1,2|2477|1,2|2463|1,2|2449|1,2|2435|1,2|2421|1,2|2407|1,2|2393|1,2|2379|1,2|2365|1,2|2351|1,2|2337|1,2|2216|1,2|2309|1,2|2295|1,2|2281|1,2|2267|1,2|2253|1,2|2239|1,2|2225|1,2|2211|1,2|2197|1,2|2183|1,2|2169|1,2|2155|1,2|2141|1,2|2127|1,2|2113|1</v>
      </c>
      <c r="M660" t="str">
        <f t="shared" si="69"/>
        <v>2|2715|1|40,2|2701|1|40,2|2687|1|40,2|2673|1|40,2|2659|1|40,2|2645|1|40,2|2631|1|40,2|2617|1|40,2|2603|1|40,2|2589|1|40,2|2575|1|40,2|2561|1|40,2|2547|1|40,2|2533|1|40,2|2519|1|40,2|2505|1|40,2|2491|1|40,2|2477|1|40,2|2463|1|40,2|2449|1|40,2|2435|1|40,2|2421|1|40,2|2407|1|40,2|2393|1|40,2|2379|1|40,2|2365|1|40,2|2351|1|40,2|2337|1|40,2|2216|1|20,2|2309|1|20,2|2295|1|20,2|2281|1|20,2|2267|1|20,2|2253|1|20,2|2239|1|20,2|2225|1|20,2|2211|1|20,2|2197|1|20,2|2183|1|20,2|2169|1|20,2|2155|1|10,2|2141|1|10,2|2127|1|10,2|2113|1|10</v>
      </c>
      <c r="R660" t="str">
        <f t="shared" si="63"/>
        <v>封魔战靴</v>
      </c>
    </row>
    <row r="661" spans="1:18" hidden="1">
      <c r="I661" s="222"/>
    </row>
    <row r="662" spans="1:18" hidden="1">
      <c r="I662" s="222"/>
    </row>
    <row r="663" spans="1:18" hidden="1">
      <c r="I663" s="222"/>
    </row>
    <row r="664" spans="1:18" hidden="1"/>
    <row r="665" spans="1:18" hidden="1"/>
    <row r="666" spans="1:18" hidden="1"/>
    <row r="667" spans="1:18" hidden="1"/>
    <row r="668" spans="1:18" hidden="1"/>
    <row r="669" spans="1:18" hidden="1"/>
    <row r="670" spans="1:18" hidden="1"/>
    <row r="671" spans="1:18" hidden="1"/>
    <row r="672" spans="1:18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</sheetData>
  <autoFilter ref="A1:R705">
    <filterColumn colId="17">
      <filters>
        <filter val="封魔战靴"/>
      </filters>
    </filterColumn>
  </autoFilter>
  <phoneticPr fontId="2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G704"/>
  <sheetViews>
    <sheetView workbookViewId="0">
      <selection activeCell="G1" sqref="G1:G1048576"/>
    </sheetView>
  </sheetViews>
  <sheetFormatPr defaultRowHeight="13.5"/>
  <sheetData>
    <row r="1" spans="1:7" ht="16.5">
      <c r="A1" s="336">
        <f>VLOOKUP(B1,Sheet6!$F:$N,9,0)</f>
        <v>181</v>
      </c>
      <c r="B1" s="331" t="s">
        <v>15746</v>
      </c>
      <c r="D1">
        <v>181</v>
      </c>
      <c r="E1" s="347">
        <v>181</v>
      </c>
      <c r="F1" s="347">
        <v>2100</v>
      </c>
      <c r="G1">
        <v>2100</v>
      </c>
    </row>
    <row r="2" spans="1:7" ht="16.5">
      <c r="A2" s="336">
        <f>VLOOKUP(B2,Sheet6!$F:$N,9,0)</f>
        <v>182</v>
      </c>
      <c r="B2" s="331" t="s">
        <v>15761</v>
      </c>
      <c r="D2">
        <v>281</v>
      </c>
      <c r="E2" s="347">
        <v>182</v>
      </c>
      <c r="F2" s="347">
        <v>2101</v>
      </c>
      <c r="G2">
        <v>2114</v>
      </c>
    </row>
    <row r="3" spans="1:7" ht="16.5">
      <c r="A3" s="336">
        <f>VLOOKUP(B3,Sheet6!$F:$N,9,0)</f>
        <v>183</v>
      </c>
      <c r="B3" s="331" t="s">
        <v>15776</v>
      </c>
      <c r="D3">
        <v>381</v>
      </c>
      <c r="E3" s="347">
        <v>183</v>
      </c>
      <c r="F3" s="347">
        <v>2102</v>
      </c>
      <c r="G3">
        <v>2128</v>
      </c>
    </row>
    <row r="4" spans="1:7" ht="16.5">
      <c r="A4" s="336">
        <f>VLOOKUP(B4,Sheet6!$F:$N,9,0)</f>
        <v>184</v>
      </c>
      <c r="B4" s="331" t="s">
        <v>15791</v>
      </c>
      <c r="D4">
        <v>481</v>
      </c>
      <c r="E4" s="347">
        <v>184</v>
      </c>
      <c r="F4" s="347">
        <v>2103</v>
      </c>
      <c r="G4">
        <v>2142</v>
      </c>
    </row>
    <row r="5" spans="1:7" ht="16.5">
      <c r="A5" s="336">
        <f>VLOOKUP(B5,Sheet6!$F:$N,9,0)</f>
        <v>185</v>
      </c>
      <c r="B5" s="331" t="s">
        <v>15806</v>
      </c>
      <c r="D5">
        <v>1691</v>
      </c>
      <c r="E5" s="347">
        <v>185</v>
      </c>
      <c r="F5" s="347">
        <v>2104</v>
      </c>
      <c r="G5">
        <v>2156</v>
      </c>
    </row>
    <row r="6" spans="1:7" ht="16.5">
      <c r="A6" s="336">
        <f>VLOOKUP(B6,Sheet6!$F:$N,9,0)</f>
        <v>186</v>
      </c>
      <c r="B6" s="331" t="s">
        <v>15821</v>
      </c>
      <c r="D6">
        <v>1701</v>
      </c>
      <c r="E6" s="347">
        <v>186</v>
      </c>
      <c r="F6" s="347">
        <v>2105</v>
      </c>
      <c r="G6">
        <v>2170</v>
      </c>
    </row>
    <row r="7" spans="1:7" ht="16.5">
      <c r="A7" s="336">
        <f>VLOOKUP(B7,Sheet6!$F:$N,9,0)</f>
        <v>187</v>
      </c>
      <c r="B7" s="331" t="s">
        <v>15836</v>
      </c>
      <c r="D7">
        <v>1711</v>
      </c>
      <c r="E7" s="347">
        <v>187</v>
      </c>
      <c r="F7" s="347">
        <v>2106</v>
      </c>
      <c r="G7">
        <v>2184</v>
      </c>
    </row>
    <row r="8" spans="1:7" ht="16.5">
      <c r="A8" s="336">
        <f>VLOOKUP(B8,Sheet6!$F:$N,9,0)</f>
        <v>2081</v>
      </c>
      <c r="B8" s="331" t="s">
        <v>15851</v>
      </c>
      <c r="D8">
        <v>1721</v>
      </c>
      <c r="E8" s="347">
        <v>2081</v>
      </c>
      <c r="F8" s="353">
        <v>2081</v>
      </c>
      <c r="G8">
        <v>2198</v>
      </c>
    </row>
    <row r="9" spans="1:7" ht="16.5">
      <c r="A9" s="336">
        <f>VLOOKUP(B9,Sheet6!$F:$N,9,0)</f>
        <v>20811</v>
      </c>
      <c r="B9" s="331" t="s">
        <v>15866</v>
      </c>
      <c r="D9">
        <v>1651</v>
      </c>
      <c r="E9" s="347">
        <v>20811</v>
      </c>
      <c r="F9" s="347">
        <v>2107</v>
      </c>
      <c r="G9">
        <v>2212</v>
      </c>
    </row>
    <row r="10" spans="1:7" ht="16.5">
      <c r="A10" s="336">
        <f>VLOOKUP(B10,Sheet6!$F:$N,9,0)</f>
        <v>20812</v>
      </c>
      <c r="B10" s="331" t="s">
        <v>15881</v>
      </c>
      <c r="D10">
        <v>1661</v>
      </c>
      <c r="E10" s="347">
        <v>20812</v>
      </c>
      <c r="F10" s="347">
        <v>2108</v>
      </c>
      <c r="G10">
        <v>2226</v>
      </c>
    </row>
    <row r="11" spans="1:7" ht="16.5">
      <c r="A11" s="336">
        <f>VLOOKUP(B11,Sheet6!$F:$N,9,0)</f>
        <v>20813</v>
      </c>
      <c r="B11" s="331" t="s">
        <v>15896</v>
      </c>
      <c r="D11">
        <v>1671</v>
      </c>
      <c r="E11" s="347">
        <v>20813</v>
      </c>
      <c r="F11" s="347">
        <v>2109</v>
      </c>
      <c r="G11">
        <v>2240</v>
      </c>
    </row>
    <row r="12" spans="1:7" ht="16.5">
      <c r="A12" s="336">
        <f>VLOOKUP(B12,Sheet6!$F:$N,9,0)</f>
        <v>20814</v>
      </c>
      <c r="B12" s="331" t="s">
        <v>15911</v>
      </c>
      <c r="D12">
        <v>1681</v>
      </c>
      <c r="E12" s="347">
        <v>20814</v>
      </c>
      <c r="F12" s="347">
        <v>2110</v>
      </c>
      <c r="G12">
        <v>2254</v>
      </c>
    </row>
    <row r="13" spans="1:7" ht="16.5">
      <c r="A13" s="336">
        <f>VLOOKUP(B13,Sheet6!$F:$N,9,0)</f>
        <v>20815</v>
      </c>
      <c r="B13" s="331" t="s">
        <v>15926</v>
      </c>
      <c r="D13">
        <v>1611</v>
      </c>
      <c r="E13" s="347">
        <v>20815</v>
      </c>
      <c r="F13" s="347">
        <v>2111</v>
      </c>
      <c r="G13">
        <v>2268</v>
      </c>
    </row>
    <row r="14" spans="1:7" ht="16.5">
      <c r="A14" s="336">
        <f>VLOOKUP(B14,Sheet6!$F:$N,9,0)</f>
        <v>20816</v>
      </c>
      <c r="B14" s="331" t="s">
        <v>15941</v>
      </c>
      <c r="D14">
        <v>621</v>
      </c>
      <c r="E14" s="347">
        <v>20816</v>
      </c>
      <c r="F14" s="347">
        <v>2112</v>
      </c>
      <c r="G14">
        <v>2282</v>
      </c>
    </row>
    <row r="15" spans="1:7" ht="16.5">
      <c r="A15" s="336">
        <f>VLOOKUP(B15,Sheet6!$F:$N,9,0)</f>
        <v>20817</v>
      </c>
      <c r="B15" s="331" t="s">
        <v>15956</v>
      </c>
      <c r="D15">
        <v>631</v>
      </c>
      <c r="E15" s="347">
        <v>20817</v>
      </c>
      <c r="F15" s="347">
        <v>2113</v>
      </c>
      <c r="G15">
        <v>2296</v>
      </c>
    </row>
    <row r="16" spans="1:7" ht="16.5">
      <c r="A16" s="336">
        <f>VLOOKUP(B16,Sheet6!$F:$N,9,0)</f>
        <v>281</v>
      </c>
      <c r="B16" s="331" t="s">
        <v>15971</v>
      </c>
      <c r="D16">
        <v>641</v>
      </c>
      <c r="E16" s="347">
        <v>281</v>
      </c>
      <c r="F16" s="347">
        <v>2114</v>
      </c>
      <c r="G16">
        <v>2310</v>
      </c>
    </row>
    <row r="17" spans="1:7" ht="16.5">
      <c r="A17" s="336">
        <f>VLOOKUP(B17,Sheet6!$F:$N,9,0)</f>
        <v>282</v>
      </c>
      <c r="B17" s="331" t="s">
        <v>15986</v>
      </c>
      <c r="D17">
        <v>491</v>
      </c>
      <c r="E17" s="347">
        <v>282</v>
      </c>
      <c r="F17" s="347">
        <v>2115</v>
      </c>
      <c r="G17">
        <v>2324</v>
      </c>
    </row>
    <row r="18" spans="1:7" ht="16.5">
      <c r="A18" s="336">
        <f>VLOOKUP(B18,Sheet6!$F:$N,9,0)</f>
        <v>283</v>
      </c>
      <c r="B18" s="331" t="s">
        <v>16001</v>
      </c>
      <c r="D18">
        <v>501</v>
      </c>
      <c r="E18" s="347">
        <v>283</v>
      </c>
      <c r="F18" s="347">
        <v>2116</v>
      </c>
      <c r="G18">
        <v>2338</v>
      </c>
    </row>
    <row r="19" spans="1:7" ht="16.5">
      <c r="A19" s="336">
        <f>VLOOKUP(B19,Sheet6!$F:$N,9,0)</f>
        <v>284</v>
      </c>
      <c r="B19" s="331" t="s">
        <v>16016</v>
      </c>
      <c r="D19">
        <v>511</v>
      </c>
      <c r="E19" s="347">
        <v>284</v>
      </c>
      <c r="F19" s="347">
        <v>2117</v>
      </c>
      <c r="G19">
        <v>2352</v>
      </c>
    </row>
    <row r="20" spans="1:7" ht="16.5">
      <c r="A20" s="336">
        <f>VLOOKUP(B20,Sheet6!$F:$N,9,0)</f>
        <v>285</v>
      </c>
      <c r="B20" s="331" t="s">
        <v>16031</v>
      </c>
      <c r="D20">
        <v>521</v>
      </c>
      <c r="E20" s="347">
        <v>285</v>
      </c>
      <c r="F20" s="347">
        <v>2118</v>
      </c>
      <c r="G20">
        <v>2366</v>
      </c>
    </row>
    <row r="21" spans="1:7" ht="16.5">
      <c r="A21" s="336">
        <f>VLOOKUP(B21,Sheet6!$F:$N,9,0)</f>
        <v>286</v>
      </c>
      <c r="B21" s="331" t="s">
        <v>16046</v>
      </c>
      <c r="D21">
        <v>411</v>
      </c>
      <c r="E21" s="347">
        <v>286</v>
      </c>
      <c r="F21" s="347">
        <v>2119</v>
      </c>
      <c r="G21">
        <v>2380</v>
      </c>
    </row>
    <row r="22" spans="1:7" ht="16.5">
      <c r="A22" s="336">
        <f>VLOOKUP(B22,Sheet6!$F:$N,9,0)</f>
        <v>287</v>
      </c>
      <c r="B22" s="331" t="s">
        <v>16061</v>
      </c>
      <c r="D22">
        <v>421</v>
      </c>
      <c r="E22" s="347">
        <v>287</v>
      </c>
      <c r="F22" s="347">
        <v>2120</v>
      </c>
      <c r="G22">
        <v>2394</v>
      </c>
    </row>
    <row r="23" spans="1:7" ht="16.5">
      <c r="A23" s="336">
        <f>VLOOKUP(B23,Sheet6!$F:$N,9,0)</f>
        <v>2082</v>
      </c>
      <c r="B23" s="331" t="s">
        <v>16076</v>
      </c>
      <c r="D23">
        <v>431</v>
      </c>
      <c r="E23" s="347">
        <v>2082</v>
      </c>
      <c r="F23" s="353">
        <v>2082</v>
      </c>
      <c r="G23">
        <v>2408</v>
      </c>
    </row>
    <row r="24" spans="1:7" ht="16.5">
      <c r="A24" s="336">
        <f>VLOOKUP(B24,Sheet6!$F:$N,9,0)</f>
        <v>20821</v>
      </c>
      <c r="B24" s="331" t="s">
        <v>16091</v>
      </c>
      <c r="D24">
        <v>441</v>
      </c>
      <c r="E24" s="347">
        <v>20821</v>
      </c>
      <c r="F24" s="347">
        <v>2121</v>
      </c>
      <c r="G24">
        <v>2422</v>
      </c>
    </row>
    <row r="25" spans="1:7" ht="16.5">
      <c r="A25" s="336">
        <f>VLOOKUP(B25,Sheet6!$F:$N,9,0)</f>
        <v>20822</v>
      </c>
      <c r="B25" s="331" t="s">
        <v>16106</v>
      </c>
      <c r="D25">
        <v>29</v>
      </c>
      <c r="E25" s="347">
        <v>20822</v>
      </c>
      <c r="F25" s="347">
        <v>2122</v>
      </c>
      <c r="G25">
        <v>2436</v>
      </c>
    </row>
    <row r="26" spans="1:7" ht="16.5">
      <c r="A26" s="336">
        <f>VLOOKUP(B26,Sheet6!$F:$N,9,0)</f>
        <v>20823</v>
      </c>
      <c r="B26" s="331" t="s">
        <v>16121</v>
      </c>
      <c r="D26">
        <v>30</v>
      </c>
      <c r="E26" s="347">
        <v>20823</v>
      </c>
      <c r="F26" s="347">
        <v>2123</v>
      </c>
      <c r="G26">
        <v>2450</v>
      </c>
    </row>
    <row r="27" spans="1:7" ht="16.5">
      <c r="A27" s="336">
        <f>VLOOKUP(B27,Sheet6!$F:$N,9,0)</f>
        <v>20824</v>
      </c>
      <c r="B27" s="331" t="s">
        <v>16136</v>
      </c>
      <c r="D27">
        <v>31</v>
      </c>
      <c r="E27" s="347">
        <v>20824</v>
      </c>
      <c r="F27" s="347">
        <v>2124</v>
      </c>
      <c r="G27">
        <v>2464</v>
      </c>
    </row>
    <row r="28" spans="1:7" ht="16.5">
      <c r="A28" s="336">
        <f>VLOOKUP(B28,Sheet6!$F:$N,9,0)</f>
        <v>20825</v>
      </c>
      <c r="B28" s="331" t="s">
        <v>16151</v>
      </c>
      <c r="D28">
        <v>32</v>
      </c>
      <c r="E28" s="347">
        <v>20825</v>
      </c>
      <c r="F28" s="347">
        <v>2125</v>
      </c>
      <c r="G28">
        <v>2478</v>
      </c>
    </row>
    <row r="29" spans="1:7" ht="16.5">
      <c r="A29" s="336">
        <f>VLOOKUP(B29,Sheet6!$F:$N,9,0)</f>
        <v>20826</v>
      </c>
      <c r="B29" s="331" t="s">
        <v>16166</v>
      </c>
      <c r="D29">
        <v>25</v>
      </c>
      <c r="E29" s="347">
        <v>20826</v>
      </c>
      <c r="F29" s="347">
        <v>2126</v>
      </c>
      <c r="G29">
        <v>2492</v>
      </c>
    </row>
    <row r="30" spans="1:7" ht="16.5">
      <c r="A30" s="336">
        <f>VLOOKUP(B30,Sheet6!$F:$N,9,0)</f>
        <v>20827</v>
      </c>
      <c r="B30" s="331" t="s">
        <v>16181</v>
      </c>
      <c r="D30">
        <v>26</v>
      </c>
      <c r="E30" s="347">
        <v>20827</v>
      </c>
      <c r="F30" s="347">
        <v>2127</v>
      </c>
      <c r="G30">
        <v>2506</v>
      </c>
    </row>
    <row r="31" spans="1:7" ht="16.5">
      <c r="A31" s="336">
        <f>VLOOKUP(B31,Sheet6!$F:$N,9,0)</f>
        <v>381</v>
      </c>
      <c r="B31" s="331" t="s">
        <v>16196</v>
      </c>
      <c r="D31">
        <v>27</v>
      </c>
      <c r="E31" s="347">
        <v>381</v>
      </c>
      <c r="F31" s="347">
        <v>2128</v>
      </c>
      <c r="G31">
        <v>2520</v>
      </c>
    </row>
    <row r="32" spans="1:7" ht="16.5">
      <c r="A32" s="336">
        <f>VLOOKUP(B32,Sheet6!$F:$N,9,0)</f>
        <v>382</v>
      </c>
      <c r="B32" s="331" t="s">
        <v>16211</v>
      </c>
      <c r="D32">
        <v>28</v>
      </c>
      <c r="E32" s="347">
        <v>382</v>
      </c>
      <c r="F32" s="347">
        <v>2129</v>
      </c>
      <c r="G32">
        <v>2534</v>
      </c>
    </row>
    <row r="33" spans="1:7" ht="16.5">
      <c r="A33" s="336">
        <f>VLOOKUP(B33,Sheet6!$F:$N,9,0)</f>
        <v>383</v>
      </c>
      <c r="B33" s="331" t="s">
        <v>16226</v>
      </c>
      <c r="D33">
        <v>21</v>
      </c>
      <c r="E33" s="347">
        <v>383</v>
      </c>
      <c r="F33" s="347">
        <v>2130</v>
      </c>
      <c r="G33">
        <v>2548</v>
      </c>
    </row>
    <row r="34" spans="1:7" ht="16.5">
      <c r="A34" s="336">
        <f>VLOOKUP(B34,Sheet6!$F:$N,9,0)</f>
        <v>384</v>
      </c>
      <c r="B34" s="331" t="s">
        <v>16241</v>
      </c>
      <c r="D34">
        <v>22</v>
      </c>
      <c r="E34" s="347">
        <v>384</v>
      </c>
      <c r="F34" s="347">
        <v>2131</v>
      </c>
      <c r="G34">
        <v>2562</v>
      </c>
    </row>
    <row r="35" spans="1:7" ht="16.5">
      <c r="A35" s="336">
        <f>VLOOKUP(B35,Sheet6!$F:$N,9,0)</f>
        <v>385</v>
      </c>
      <c r="B35" s="331" t="s">
        <v>16256</v>
      </c>
      <c r="D35">
        <v>23</v>
      </c>
      <c r="E35" s="347">
        <v>385</v>
      </c>
      <c r="F35" s="347">
        <v>2132</v>
      </c>
      <c r="G35">
        <v>2576</v>
      </c>
    </row>
    <row r="36" spans="1:7" ht="16.5">
      <c r="A36" s="336">
        <f>VLOOKUP(B36,Sheet6!$F:$N,9,0)</f>
        <v>386</v>
      </c>
      <c r="B36" s="331" t="s">
        <v>16271</v>
      </c>
      <c r="D36">
        <v>24</v>
      </c>
      <c r="E36" s="347">
        <v>386</v>
      </c>
      <c r="F36" s="347">
        <v>2133</v>
      </c>
      <c r="G36">
        <v>2590</v>
      </c>
    </row>
    <row r="37" spans="1:7" ht="16.5">
      <c r="A37" s="336">
        <f>VLOOKUP(B37,Sheet6!$F:$N,9,0)</f>
        <v>387</v>
      </c>
      <c r="B37" s="331" t="s">
        <v>16286</v>
      </c>
      <c r="D37">
        <v>2001</v>
      </c>
      <c r="E37" s="347">
        <v>387</v>
      </c>
      <c r="F37" s="347">
        <v>2134</v>
      </c>
      <c r="G37">
        <v>2001</v>
      </c>
    </row>
    <row r="38" spans="1:7" ht="16.5">
      <c r="A38" s="336">
        <f>VLOOKUP(B38,Sheet6!$F:$N,9,0)</f>
        <v>2083</v>
      </c>
      <c r="B38" s="331" t="s">
        <v>16301</v>
      </c>
      <c r="D38">
        <v>2002</v>
      </c>
      <c r="E38" s="347">
        <v>2083</v>
      </c>
      <c r="F38" s="353">
        <v>2083</v>
      </c>
      <c r="G38">
        <v>2002</v>
      </c>
    </row>
    <row r="39" spans="1:7" ht="16.5">
      <c r="A39" s="336">
        <f>VLOOKUP(B39,Sheet6!$F:$N,9,0)</f>
        <v>20831</v>
      </c>
      <c r="B39" s="331" t="s">
        <v>16316</v>
      </c>
      <c r="D39">
        <v>2003</v>
      </c>
      <c r="E39" s="347">
        <v>20831</v>
      </c>
      <c r="F39" s="347">
        <v>2135</v>
      </c>
      <c r="G39">
        <v>2003</v>
      </c>
    </row>
    <row r="40" spans="1:7" ht="16.5">
      <c r="A40" s="336">
        <f>VLOOKUP(B40,Sheet6!$F:$N,9,0)</f>
        <v>20832</v>
      </c>
      <c r="B40" s="331" t="s">
        <v>16331</v>
      </c>
      <c r="D40">
        <v>2004</v>
      </c>
      <c r="E40" s="347">
        <v>20832</v>
      </c>
      <c r="F40" s="347">
        <v>2136</v>
      </c>
      <c r="G40">
        <v>2004</v>
      </c>
    </row>
    <row r="41" spans="1:7" ht="16.5">
      <c r="A41" s="336">
        <f>VLOOKUP(B41,Sheet6!$F:$N,9,0)</f>
        <v>20833</v>
      </c>
      <c r="B41" s="331" t="s">
        <v>16346</v>
      </c>
      <c r="D41">
        <v>451</v>
      </c>
      <c r="E41" s="347">
        <v>20833</v>
      </c>
      <c r="F41" s="347">
        <v>2137</v>
      </c>
      <c r="G41">
        <v>2660</v>
      </c>
    </row>
    <row r="42" spans="1:7" ht="16.5">
      <c r="A42" s="336">
        <f>VLOOKUP(B42,Sheet6!$F:$N,9,0)</f>
        <v>20834</v>
      </c>
      <c r="B42" s="331" t="s">
        <v>16361</v>
      </c>
      <c r="D42">
        <v>461</v>
      </c>
      <c r="E42" s="347">
        <v>20834</v>
      </c>
      <c r="F42" s="347">
        <v>2138</v>
      </c>
      <c r="G42">
        <v>2674</v>
      </c>
    </row>
    <row r="43" spans="1:7" ht="16.5">
      <c r="A43" s="336">
        <f>VLOOKUP(B43,Sheet6!$F:$N,9,0)</f>
        <v>20835</v>
      </c>
      <c r="B43" s="331" t="s">
        <v>16376</v>
      </c>
      <c r="D43">
        <v>471</v>
      </c>
      <c r="E43" s="347">
        <v>20835</v>
      </c>
      <c r="F43" s="347">
        <v>2139</v>
      </c>
      <c r="G43">
        <v>2688</v>
      </c>
    </row>
    <row r="44" spans="1:7" ht="16.5">
      <c r="A44" s="336">
        <f>VLOOKUP(B44,Sheet6!$F:$N,9,0)</f>
        <v>20836</v>
      </c>
      <c r="B44" s="331" t="s">
        <v>16391</v>
      </c>
      <c r="D44">
        <v>1041</v>
      </c>
      <c r="E44" s="347">
        <v>20836</v>
      </c>
      <c r="F44" s="347">
        <v>2140</v>
      </c>
      <c r="G44">
        <v>2702</v>
      </c>
    </row>
    <row r="45" spans="1:7" ht="16.5">
      <c r="A45" s="336">
        <f>VLOOKUP(B45,Sheet6!$F:$N,9,0)</f>
        <v>20837</v>
      </c>
      <c r="B45" s="331" t="s">
        <v>15747</v>
      </c>
      <c r="D45">
        <v>182</v>
      </c>
      <c r="E45" s="347">
        <v>20837</v>
      </c>
      <c r="F45" s="347">
        <v>2141</v>
      </c>
      <c r="G45">
        <v>2101</v>
      </c>
    </row>
    <row r="46" spans="1:7" ht="16.5">
      <c r="A46" s="336">
        <f>VLOOKUP(B46,Sheet6!$F:$N,9,0)</f>
        <v>481</v>
      </c>
      <c r="B46" s="331" t="s">
        <v>15762</v>
      </c>
      <c r="D46">
        <v>282</v>
      </c>
      <c r="E46" s="347">
        <v>481</v>
      </c>
      <c r="F46" s="347">
        <v>2142</v>
      </c>
      <c r="G46">
        <v>2115</v>
      </c>
    </row>
    <row r="47" spans="1:7" ht="16.5">
      <c r="A47" s="336">
        <f>VLOOKUP(B47,Sheet6!$F:$N,9,0)</f>
        <v>482</v>
      </c>
      <c r="B47" s="331" t="s">
        <v>15777</v>
      </c>
      <c r="D47">
        <v>382</v>
      </c>
      <c r="E47" s="347">
        <v>482</v>
      </c>
      <c r="F47" s="347">
        <v>2143</v>
      </c>
      <c r="G47">
        <v>2129</v>
      </c>
    </row>
    <row r="48" spans="1:7" ht="16.5">
      <c r="A48" s="336">
        <f>VLOOKUP(B48,Sheet6!$F:$N,9,0)</f>
        <v>483</v>
      </c>
      <c r="B48" s="331" t="s">
        <v>15792</v>
      </c>
      <c r="D48">
        <v>482</v>
      </c>
      <c r="E48" s="347">
        <v>483</v>
      </c>
      <c r="F48" s="347">
        <v>2144</v>
      </c>
      <c r="G48">
        <v>2143</v>
      </c>
    </row>
    <row r="49" spans="1:7" ht="16.5">
      <c r="A49" s="336">
        <f>VLOOKUP(B49,Sheet6!$F:$N,9,0)</f>
        <v>484</v>
      </c>
      <c r="B49" s="331" t="s">
        <v>15807</v>
      </c>
      <c r="D49">
        <v>1692</v>
      </c>
      <c r="E49" s="347">
        <v>484</v>
      </c>
      <c r="F49" s="347">
        <v>2145</v>
      </c>
      <c r="G49">
        <v>2157</v>
      </c>
    </row>
    <row r="50" spans="1:7" ht="16.5">
      <c r="A50" s="336">
        <f>VLOOKUP(B50,Sheet6!$F:$N,9,0)</f>
        <v>485</v>
      </c>
      <c r="B50" s="331" t="s">
        <v>15822</v>
      </c>
      <c r="D50">
        <v>1702</v>
      </c>
      <c r="E50" s="347">
        <v>485</v>
      </c>
      <c r="F50" s="347">
        <v>2146</v>
      </c>
      <c r="G50">
        <v>2171</v>
      </c>
    </row>
    <row r="51" spans="1:7" ht="16.5">
      <c r="A51" s="336">
        <f>VLOOKUP(B51,Sheet6!$F:$N,9,0)</f>
        <v>486</v>
      </c>
      <c r="B51" s="331" t="s">
        <v>15837</v>
      </c>
      <c r="D51">
        <v>1712</v>
      </c>
      <c r="E51" s="347">
        <v>486</v>
      </c>
      <c r="F51" s="347">
        <v>2147</v>
      </c>
      <c r="G51">
        <v>2185</v>
      </c>
    </row>
    <row r="52" spans="1:7" ht="16.5">
      <c r="A52" s="336">
        <f>VLOOKUP(B52,Sheet6!$F:$N,9,0)</f>
        <v>487</v>
      </c>
      <c r="B52" s="331" t="s">
        <v>15852</v>
      </c>
      <c r="D52">
        <v>1722</v>
      </c>
      <c r="E52" s="347">
        <v>487</v>
      </c>
      <c r="F52" s="347">
        <v>2148</v>
      </c>
      <c r="G52">
        <v>2199</v>
      </c>
    </row>
    <row r="53" spans="1:7" ht="16.5">
      <c r="A53" s="336">
        <f>VLOOKUP(B53,Sheet6!$F:$N,9,0)</f>
        <v>2084</v>
      </c>
      <c r="B53" s="331" t="s">
        <v>15867</v>
      </c>
      <c r="D53">
        <v>1652</v>
      </c>
      <c r="E53" s="347">
        <v>2084</v>
      </c>
      <c r="F53" s="353">
        <v>2084</v>
      </c>
      <c r="G53">
        <v>2213</v>
      </c>
    </row>
    <row r="54" spans="1:7" ht="16.5">
      <c r="A54" s="336">
        <f>VLOOKUP(B54,Sheet6!$F:$N,9,0)</f>
        <v>20841</v>
      </c>
      <c r="B54" s="331" t="s">
        <v>15882</v>
      </c>
      <c r="D54">
        <v>1662</v>
      </c>
      <c r="E54" s="347">
        <v>20841</v>
      </c>
      <c r="F54" s="347">
        <v>2149</v>
      </c>
      <c r="G54">
        <v>2227</v>
      </c>
    </row>
    <row r="55" spans="1:7" ht="16.5">
      <c r="A55" s="336">
        <f>VLOOKUP(B55,Sheet6!$F:$N,9,0)</f>
        <v>20842</v>
      </c>
      <c r="B55" s="331" t="s">
        <v>15897</v>
      </c>
      <c r="D55">
        <v>1672</v>
      </c>
      <c r="E55" s="347">
        <v>20842</v>
      </c>
      <c r="F55" s="347">
        <v>2150</v>
      </c>
      <c r="G55">
        <v>2241</v>
      </c>
    </row>
    <row r="56" spans="1:7" ht="16.5">
      <c r="A56" s="336">
        <f>VLOOKUP(B56,Sheet6!$F:$N,9,0)</f>
        <v>20843</v>
      </c>
      <c r="B56" s="331" t="s">
        <v>15912</v>
      </c>
      <c r="D56">
        <v>1682</v>
      </c>
      <c r="E56" s="347">
        <v>20843</v>
      </c>
      <c r="F56" s="347">
        <v>2151</v>
      </c>
      <c r="G56">
        <v>2255</v>
      </c>
    </row>
    <row r="57" spans="1:7" ht="16.5">
      <c r="A57" s="336">
        <f>VLOOKUP(B57,Sheet6!$F:$N,9,0)</f>
        <v>20844</v>
      </c>
      <c r="B57" s="331" t="s">
        <v>15927</v>
      </c>
      <c r="D57">
        <v>1612</v>
      </c>
      <c r="E57" s="347">
        <v>20844</v>
      </c>
      <c r="F57" s="347">
        <v>2152</v>
      </c>
      <c r="G57">
        <v>2269</v>
      </c>
    </row>
    <row r="58" spans="1:7" ht="16.5">
      <c r="A58" s="336">
        <f>VLOOKUP(B58,Sheet6!$F:$N,9,0)</f>
        <v>20845</v>
      </c>
      <c r="B58" s="331" t="s">
        <v>15942</v>
      </c>
      <c r="D58">
        <v>622</v>
      </c>
      <c r="E58" s="347">
        <v>20845</v>
      </c>
      <c r="F58" s="347">
        <v>2153</v>
      </c>
      <c r="G58">
        <v>2283</v>
      </c>
    </row>
    <row r="59" spans="1:7" ht="16.5">
      <c r="A59" s="336">
        <f>VLOOKUP(B59,Sheet6!$F:$N,9,0)</f>
        <v>20846</v>
      </c>
      <c r="B59" s="331" t="s">
        <v>15957</v>
      </c>
      <c r="D59">
        <v>632</v>
      </c>
      <c r="E59" s="347">
        <v>20846</v>
      </c>
      <c r="F59" s="347">
        <v>2154</v>
      </c>
      <c r="G59">
        <v>2297</v>
      </c>
    </row>
    <row r="60" spans="1:7" ht="16.5">
      <c r="A60" s="336">
        <f>VLOOKUP(B60,Sheet6!$F:$N,9,0)</f>
        <v>20847</v>
      </c>
      <c r="B60" s="331" t="s">
        <v>15972</v>
      </c>
      <c r="D60">
        <v>642</v>
      </c>
      <c r="E60" s="347">
        <v>20847</v>
      </c>
      <c r="F60" s="347">
        <v>2155</v>
      </c>
      <c r="G60">
        <v>2311</v>
      </c>
    </row>
    <row r="61" spans="1:7" ht="16.5">
      <c r="A61" s="336">
        <f>VLOOKUP(B61,Sheet6!$F:$N,9,0)</f>
        <v>1691</v>
      </c>
      <c r="B61" s="331" t="s">
        <v>15987</v>
      </c>
      <c r="D61">
        <v>492</v>
      </c>
      <c r="E61" s="346">
        <v>1691</v>
      </c>
      <c r="F61" s="347">
        <v>2156</v>
      </c>
      <c r="G61">
        <v>2325</v>
      </c>
    </row>
    <row r="62" spans="1:7" ht="16.5">
      <c r="A62" s="336">
        <f>VLOOKUP(B62,Sheet6!$F:$N,9,0)</f>
        <v>1692</v>
      </c>
      <c r="B62" s="331" t="s">
        <v>16002</v>
      </c>
      <c r="D62">
        <v>502</v>
      </c>
      <c r="E62" s="346">
        <v>1692</v>
      </c>
      <c r="F62" s="347">
        <v>2157</v>
      </c>
      <c r="G62">
        <v>2339</v>
      </c>
    </row>
    <row r="63" spans="1:7" ht="16.5">
      <c r="A63" s="336">
        <f>VLOOKUP(B63,Sheet6!$F:$N,9,0)</f>
        <v>1693</v>
      </c>
      <c r="B63" s="331" t="s">
        <v>16017</v>
      </c>
      <c r="D63">
        <v>512</v>
      </c>
      <c r="E63" s="346">
        <v>1693</v>
      </c>
      <c r="F63" s="347">
        <v>2158</v>
      </c>
      <c r="G63">
        <v>2353</v>
      </c>
    </row>
    <row r="64" spans="1:7" ht="16.5">
      <c r="A64" s="336">
        <f>VLOOKUP(B64,Sheet6!$F:$N,9,0)</f>
        <v>1694</v>
      </c>
      <c r="B64" s="331" t="s">
        <v>16032</v>
      </c>
      <c r="D64">
        <v>522</v>
      </c>
      <c r="E64" s="346">
        <v>1694</v>
      </c>
      <c r="F64" s="347">
        <v>2159</v>
      </c>
      <c r="G64">
        <v>2367</v>
      </c>
    </row>
    <row r="65" spans="1:7" ht="16.5">
      <c r="A65" s="336">
        <f>VLOOKUP(B65,Sheet6!$F:$N,9,0)</f>
        <v>2069</v>
      </c>
      <c r="B65" s="331" t="s">
        <v>16047</v>
      </c>
      <c r="D65">
        <v>412</v>
      </c>
      <c r="E65" s="346">
        <v>2069</v>
      </c>
      <c r="F65" s="354">
        <v>2069</v>
      </c>
      <c r="G65">
        <v>2381</v>
      </c>
    </row>
    <row r="66" spans="1:7" ht="16.5">
      <c r="A66" s="336">
        <f>VLOOKUP(B66,Sheet6!$F:$N,9,0)</f>
        <v>20691</v>
      </c>
      <c r="B66" s="331" t="s">
        <v>16062</v>
      </c>
      <c r="D66">
        <v>422</v>
      </c>
      <c r="E66" s="346">
        <v>20691</v>
      </c>
      <c r="F66" s="346">
        <v>2160</v>
      </c>
      <c r="G66">
        <v>2395</v>
      </c>
    </row>
    <row r="67" spans="1:7" ht="16.5">
      <c r="A67" s="336">
        <f>VLOOKUP(B67,Sheet6!$F:$N,9,0)</f>
        <v>20692</v>
      </c>
      <c r="B67" s="331" t="s">
        <v>16077</v>
      </c>
      <c r="D67">
        <v>432</v>
      </c>
      <c r="E67" s="346">
        <v>20692</v>
      </c>
      <c r="F67" s="346">
        <v>2161</v>
      </c>
      <c r="G67">
        <v>2409</v>
      </c>
    </row>
    <row r="68" spans="1:7" ht="16.5">
      <c r="A68" s="336">
        <f>VLOOKUP(B68,Sheet6!$F:$N,9,0)</f>
        <v>20693</v>
      </c>
      <c r="B68" s="331" t="s">
        <v>16092</v>
      </c>
      <c r="D68">
        <v>442</v>
      </c>
      <c r="E68" s="346">
        <v>20693</v>
      </c>
      <c r="F68" s="346">
        <v>2162</v>
      </c>
      <c r="G68">
        <v>2423</v>
      </c>
    </row>
    <row r="69" spans="1:7" ht="16.5">
      <c r="A69" s="336">
        <f>VLOOKUP(B69,Sheet6!$F:$N,9,0)</f>
        <v>20694</v>
      </c>
      <c r="B69" s="331" t="s">
        <v>16107</v>
      </c>
      <c r="D69">
        <v>2029</v>
      </c>
      <c r="E69" s="346">
        <v>20694</v>
      </c>
      <c r="F69" s="346">
        <v>2163</v>
      </c>
      <c r="G69">
        <v>2029</v>
      </c>
    </row>
    <row r="70" spans="1:7" ht="16.5">
      <c r="A70" s="336">
        <f>VLOOKUP(B70,Sheet6!$F:$N,9,0)</f>
        <v>20695</v>
      </c>
      <c r="B70" s="331" t="s">
        <v>16122</v>
      </c>
      <c r="D70">
        <v>2030</v>
      </c>
      <c r="E70" s="346">
        <v>20695</v>
      </c>
      <c r="F70" s="346">
        <v>2164</v>
      </c>
      <c r="G70">
        <v>2030</v>
      </c>
    </row>
    <row r="71" spans="1:7" ht="16.5">
      <c r="A71" s="336">
        <f>VLOOKUP(B71,Sheet6!$F:$N,9,0)</f>
        <v>20696</v>
      </c>
      <c r="B71" s="331" t="s">
        <v>16137</v>
      </c>
      <c r="D71">
        <v>2031</v>
      </c>
      <c r="E71" s="346">
        <v>20696</v>
      </c>
      <c r="F71" s="346">
        <v>2165</v>
      </c>
      <c r="G71">
        <v>2031</v>
      </c>
    </row>
    <row r="72" spans="1:7" ht="16.5">
      <c r="A72" s="336">
        <f>VLOOKUP(B72,Sheet6!$F:$N,9,0)</f>
        <v>20697</v>
      </c>
      <c r="B72" s="331" t="s">
        <v>16152</v>
      </c>
      <c r="D72">
        <v>2032</v>
      </c>
      <c r="E72" s="346">
        <v>20697</v>
      </c>
      <c r="F72" s="346">
        <v>2166</v>
      </c>
      <c r="G72">
        <v>2032</v>
      </c>
    </row>
    <row r="73" spans="1:7" ht="16.5">
      <c r="A73" s="336">
        <f>VLOOKUP(B73,Sheet6!$F:$N,9,0)</f>
        <v>20698</v>
      </c>
      <c r="B73" s="331" t="s">
        <v>16167</v>
      </c>
      <c r="D73">
        <v>2025</v>
      </c>
      <c r="E73" s="346">
        <v>20698</v>
      </c>
      <c r="F73" s="346">
        <v>2167</v>
      </c>
      <c r="G73">
        <v>2025</v>
      </c>
    </row>
    <row r="74" spans="1:7" ht="16.5">
      <c r="A74" s="336">
        <f>VLOOKUP(B74,Sheet6!$F:$N,9,0)</f>
        <v>20699</v>
      </c>
      <c r="B74" s="331" t="s">
        <v>16182</v>
      </c>
      <c r="D74">
        <v>2026</v>
      </c>
      <c r="E74" s="346">
        <v>20699</v>
      </c>
      <c r="F74" s="346">
        <v>2168</v>
      </c>
      <c r="G74">
        <v>2026</v>
      </c>
    </row>
    <row r="75" spans="1:7" ht="16.5">
      <c r="A75" s="336">
        <f>VLOOKUP(B75,Sheet6!$F:$N,9,0)</f>
        <v>20700</v>
      </c>
      <c r="B75" s="331" t="s">
        <v>16197</v>
      </c>
      <c r="D75">
        <v>2027</v>
      </c>
      <c r="E75" s="346">
        <v>20700</v>
      </c>
      <c r="F75" s="346">
        <v>2169</v>
      </c>
      <c r="G75">
        <v>2027</v>
      </c>
    </row>
    <row r="76" spans="1:7" ht="16.5">
      <c r="A76" s="336">
        <f>VLOOKUP(B76,Sheet6!$F:$N,9,0)</f>
        <v>1701</v>
      </c>
      <c r="B76" s="331" t="s">
        <v>16212</v>
      </c>
      <c r="D76">
        <v>2028</v>
      </c>
      <c r="E76" s="346">
        <v>1701</v>
      </c>
      <c r="F76" s="346">
        <v>2170</v>
      </c>
      <c r="G76">
        <v>2028</v>
      </c>
    </row>
    <row r="77" spans="1:7" ht="16.5">
      <c r="A77" s="336">
        <f>VLOOKUP(B77,Sheet6!$F:$N,9,0)</f>
        <v>1702</v>
      </c>
      <c r="B77" s="331" t="s">
        <v>16227</v>
      </c>
      <c r="D77">
        <v>2021</v>
      </c>
      <c r="E77" s="346">
        <v>1702</v>
      </c>
      <c r="F77" s="346">
        <v>2171</v>
      </c>
      <c r="G77">
        <v>2021</v>
      </c>
    </row>
    <row r="78" spans="1:7" ht="16.5">
      <c r="A78" s="336">
        <f>VLOOKUP(B78,Sheet6!$F:$N,9,0)</f>
        <v>1703</v>
      </c>
      <c r="B78" s="331" t="s">
        <v>16242</v>
      </c>
      <c r="D78">
        <v>2022</v>
      </c>
      <c r="E78" s="346">
        <v>1703</v>
      </c>
      <c r="F78" s="346">
        <v>2172</v>
      </c>
      <c r="G78">
        <v>2022</v>
      </c>
    </row>
    <row r="79" spans="1:7" ht="16.5">
      <c r="A79" s="336">
        <f>VLOOKUP(B79,Sheet6!$F:$N,9,0)</f>
        <v>1704</v>
      </c>
      <c r="B79" s="331" t="s">
        <v>16257</v>
      </c>
      <c r="D79">
        <v>2023</v>
      </c>
      <c r="E79" s="346">
        <v>1704</v>
      </c>
      <c r="F79" s="346">
        <v>2173</v>
      </c>
      <c r="G79">
        <v>2023</v>
      </c>
    </row>
    <row r="80" spans="1:7" ht="16.5">
      <c r="A80" s="336">
        <f>VLOOKUP(B80,Sheet6!$F:$N,9,0)</f>
        <v>2070</v>
      </c>
      <c r="B80" s="331" t="s">
        <v>16272</v>
      </c>
      <c r="D80">
        <v>2024</v>
      </c>
      <c r="E80" s="346">
        <v>2070</v>
      </c>
      <c r="F80" s="354">
        <v>2070</v>
      </c>
      <c r="G80">
        <v>2024</v>
      </c>
    </row>
    <row r="81" spans="1:7" ht="16.5">
      <c r="A81" s="336">
        <f>VLOOKUP(B81,Sheet6!$F:$N,9,0)</f>
        <v>20701</v>
      </c>
      <c r="B81" s="331" t="s">
        <v>16287</v>
      </c>
      <c r="D81">
        <v>200111</v>
      </c>
      <c r="E81" s="346">
        <v>20701</v>
      </c>
      <c r="F81" s="346">
        <v>2174</v>
      </c>
      <c r="G81">
        <v>2604</v>
      </c>
    </row>
    <row r="82" spans="1:7" ht="16.5">
      <c r="A82" s="336">
        <f>VLOOKUP(B82,Sheet6!$F:$N,9,0)</f>
        <v>20702</v>
      </c>
      <c r="B82" s="331" t="s">
        <v>16302</v>
      </c>
      <c r="D82">
        <v>200211</v>
      </c>
      <c r="E82" s="346">
        <v>20702</v>
      </c>
      <c r="F82" s="346">
        <v>2175</v>
      </c>
      <c r="G82">
        <v>2618</v>
      </c>
    </row>
    <row r="83" spans="1:7" ht="16.5">
      <c r="A83" s="336">
        <f>VLOOKUP(B83,Sheet6!$F:$N,9,0)</f>
        <v>20703</v>
      </c>
      <c r="B83" s="331" t="s">
        <v>16317</v>
      </c>
      <c r="D83">
        <v>200311</v>
      </c>
      <c r="E83" s="346">
        <v>20703</v>
      </c>
      <c r="F83" s="346">
        <v>2176</v>
      </c>
      <c r="G83">
        <v>2632</v>
      </c>
    </row>
    <row r="84" spans="1:7" ht="16.5">
      <c r="A84" s="336">
        <f>VLOOKUP(B84,Sheet6!$F:$N,9,0)</f>
        <v>20704</v>
      </c>
      <c r="B84" s="331" t="s">
        <v>16332</v>
      </c>
      <c r="D84">
        <v>200411</v>
      </c>
      <c r="E84" s="346">
        <v>20704</v>
      </c>
      <c r="F84" s="346">
        <v>2177</v>
      </c>
      <c r="G84">
        <v>2646</v>
      </c>
    </row>
    <row r="85" spans="1:7" ht="16.5">
      <c r="A85" s="336">
        <f>VLOOKUP(B85,Sheet6!$F:$N,9,0)</f>
        <v>20705</v>
      </c>
      <c r="B85" s="331" t="s">
        <v>16347</v>
      </c>
      <c r="D85">
        <v>452</v>
      </c>
      <c r="E85" s="346">
        <v>20705</v>
      </c>
      <c r="F85" s="346">
        <v>2178</v>
      </c>
      <c r="G85">
        <v>2661</v>
      </c>
    </row>
    <row r="86" spans="1:7" ht="16.5">
      <c r="A86" s="336">
        <f>VLOOKUP(B86,Sheet6!$F:$N,9,0)</f>
        <v>20706</v>
      </c>
      <c r="B86" s="331" t="s">
        <v>16362</v>
      </c>
      <c r="D86">
        <v>462</v>
      </c>
      <c r="E86" s="346">
        <v>20706</v>
      </c>
      <c r="F86" s="346">
        <v>2179</v>
      </c>
      <c r="G86">
        <v>2675</v>
      </c>
    </row>
    <row r="87" spans="1:7" ht="16.5">
      <c r="A87" s="336">
        <f>VLOOKUP(B87,Sheet6!$F:$N,9,0)</f>
        <v>20707</v>
      </c>
      <c r="B87" s="331" t="s">
        <v>16377</v>
      </c>
      <c r="D87">
        <v>472</v>
      </c>
      <c r="E87" s="346">
        <v>20707</v>
      </c>
      <c r="F87" s="346">
        <v>2180</v>
      </c>
      <c r="G87">
        <v>2689</v>
      </c>
    </row>
    <row r="88" spans="1:7" ht="16.5">
      <c r="A88" s="336">
        <f>VLOOKUP(B88,Sheet6!$F:$N,9,0)</f>
        <v>20708</v>
      </c>
      <c r="B88" s="331" t="s">
        <v>16392</v>
      </c>
      <c r="D88">
        <v>1042</v>
      </c>
      <c r="E88" s="346">
        <v>20708</v>
      </c>
      <c r="F88" s="346">
        <v>2181</v>
      </c>
      <c r="G88">
        <v>2703</v>
      </c>
    </row>
    <row r="89" spans="1:7" ht="16.5">
      <c r="A89" s="336">
        <f>VLOOKUP(B89,Sheet6!$F:$N,9,0)</f>
        <v>20709</v>
      </c>
      <c r="B89" s="331" t="s">
        <v>15748</v>
      </c>
      <c r="D89">
        <v>183</v>
      </c>
      <c r="E89" s="346">
        <v>20709</v>
      </c>
      <c r="F89" s="346">
        <v>2182</v>
      </c>
      <c r="G89">
        <v>2102</v>
      </c>
    </row>
    <row r="90" spans="1:7" ht="16.5">
      <c r="A90" s="336">
        <f>VLOOKUP(B90,Sheet6!$F:$N,9,0)</f>
        <v>20710</v>
      </c>
      <c r="B90" s="331" t="s">
        <v>15763</v>
      </c>
      <c r="D90">
        <v>283</v>
      </c>
      <c r="E90" s="346">
        <v>20710</v>
      </c>
      <c r="F90" s="346">
        <v>2183</v>
      </c>
      <c r="G90">
        <v>2116</v>
      </c>
    </row>
    <row r="91" spans="1:7" ht="16.5">
      <c r="A91" s="336">
        <f>VLOOKUP(B91,Sheet6!$F:$N,9,0)</f>
        <v>1711</v>
      </c>
      <c r="B91" s="331" t="s">
        <v>15778</v>
      </c>
      <c r="D91">
        <v>383</v>
      </c>
      <c r="E91" s="346">
        <v>1711</v>
      </c>
      <c r="F91" s="346">
        <v>2184</v>
      </c>
      <c r="G91">
        <v>2130</v>
      </c>
    </row>
    <row r="92" spans="1:7" ht="16.5">
      <c r="A92" s="336">
        <f>VLOOKUP(B92,Sheet6!$F:$N,9,0)</f>
        <v>1712</v>
      </c>
      <c r="B92" s="331" t="s">
        <v>15793</v>
      </c>
      <c r="D92">
        <v>483</v>
      </c>
      <c r="E92" s="346">
        <v>1712</v>
      </c>
      <c r="F92" s="346">
        <v>2185</v>
      </c>
      <c r="G92">
        <v>2144</v>
      </c>
    </row>
    <row r="93" spans="1:7" ht="16.5">
      <c r="A93" s="336">
        <f>VLOOKUP(B93,Sheet6!$F:$N,9,0)</f>
        <v>1713</v>
      </c>
      <c r="B93" s="331" t="s">
        <v>15808</v>
      </c>
      <c r="D93">
        <v>1693</v>
      </c>
      <c r="E93" s="346">
        <v>1713</v>
      </c>
      <c r="F93" s="346">
        <v>2186</v>
      </c>
      <c r="G93">
        <v>2158</v>
      </c>
    </row>
    <row r="94" spans="1:7" ht="16.5">
      <c r="A94" s="336">
        <f>VLOOKUP(B94,Sheet6!$F:$N,9,0)</f>
        <v>1714</v>
      </c>
      <c r="B94" s="331" t="s">
        <v>15823</v>
      </c>
      <c r="D94">
        <v>1703</v>
      </c>
      <c r="E94" s="346">
        <v>1714</v>
      </c>
      <c r="F94" s="346">
        <v>2187</v>
      </c>
      <c r="G94">
        <v>2172</v>
      </c>
    </row>
    <row r="95" spans="1:7" ht="16.5">
      <c r="A95" s="336">
        <f>VLOOKUP(B95,Sheet6!$F:$N,9,0)</f>
        <v>2071</v>
      </c>
      <c r="B95" s="331" t="s">
        <v>15838</v>
      </c>
      <c r="D95">
        <v>1713</v>
      </c>
      <c r="E95" s="346">
        <v>2071</v>
      </c>
      <c r="F95" s="354">
        <v>2071</v>
      </c>
      <c r="G95">
        <v>2186</v>
      </c>
    </row>
    <row r="96" spans="1:7" ht="16.5">
      <c r="A96" s="336">
        <f>VLOOKUP(B96,Sheet6!$F:$N,9,0)</f>
        <v>20711</v>
      </c>
      <c r="B96" s="331" t="s">
        <v>15853</v>
      </c>
      <c r="D96">
        <v>1723</v>
      </c>
      <c r="E96" s="346">
        <v>20711</v>
      </c>
      <c r="F96" s="346">
        <v>2188</v>
      </c>
      <c r="G96">
        <v>2200</v>
      </c>
    </row>
    <row r="97" spans="1:7" ht="16.5">
      <c r="A97" s="336">
        <f>VLOOKUP(B97,Sheet6!$F:$N,9,0)</f>
        <v>20712</v>
      </c>
      <c r="B97" s="331" t="s">
        <v>15868</v>
      </c>
      <c r="D97">
        <v>1653</v>
      </c>
      <c r="E97" s="346">
        <v>20712</v>
      </c>
      <c r="F97" s="346">
        <v>2189</v>
      </c>
      <c r="G97">
        <v>2214</v>
      </c>
    </row>
    <row r="98" spans="1:7" ht="16.5">
      <c r="A98" s="336">
        <f>VLOOKUP(B98,Sheet6!$F:$N,9,0)</f>
        <v>20713</v>
      </c>
      <c r="B98" s="331" t="s">
        <v>15883</v>
      </c>
      <c r="D98">
        <v>1663</v>
      </c>
      <c r="E98" s="346">
        <v>20713</v>
      </c>
      <c r="F98" s="346">
        <v>2190</v>
      </c>
      <c r="G98">
        <v>2228</v>
      </c>
    </row>
    <row r="99" spans="1:7" ht="16.5">
      <c r="A99" s="336">
        <f>VLOOKUP(B99,Sheet6!$F:$N,9,0)</f>
        <v>20714</v>
      </c>
      <c r="B99" s="331" t="s">
        <v>15898</v>
      </c>
      <c r="D99">
        <v>1673</v>
      </c>
      <c r="E99" s="346">
        <v>20714</v>
      </c>
      <c r="F99" s="346">
        <v>2191</v>
      </c>
      <c r="G99">
        <v>2242</v>
      </c>
    </row>
    <row r="100" spans="1:7" ht="16.5">
      <c r="A100" s="336">
        <f>VLOOKUP(B100,Sheet6!$F:$N,9,0)</f>
        <v>20715</v>
      </c>
      <c r="B100" s="331" t="s">
        <v>15913</v>
      </c>
      <c r="D100">
        <v>1683</v>
      </c>
      <c r="E100" s="346">
        <v>20715</v>
      </c>
      <c r="F100" s="346">
        <v>2192</v>
      </c>
      <c r="G100">
        <v>2256</v>
      </c>
    </row>
    <row r="101" spans="1:7" ht="16.5">
      <c r="A101" s="336">
        <f>VLOOKUP(B101,Sheet6!$F:$N,9,0)</f>
        <v>20716</v>
      </c>
      <c r="B101" s="331" t="s">
        <v>15928</v>
      </c>
      <c r="D101">
        <v>1613</v>
      </c>
      <c r="E101" s="346">
        <v>20716</v>
      </c>
      <c r="F101" s="346">
        <v>2193</v>
      </c>
      <c r="G101">
        <v>2270</v>
      </c>
    </row>
    <row r="102" spans="1:7" ht="16.5">
      <c r="A102" s="336">
        <f>VLOOKUP(B102,Sheet6!$F:$N,9,0)</f>
        <v>20717</v>
      </c>
      <c r="B102" s="331" t="s">
        <v>15943</v>
      </c>
      <c r="D102">
        <v>623</v>
      </c>
      <c r="E102" s="346">
        <v>20717</v>
      </c>
      <c r="F102" s="346">
        <v>2194</v>
      </c>
      <c r="G102">
        <v>2284</v>
      </c>
    </row>
    <row r="103" spans="1:7" ht="16.5">
      <c r="A103" s="336">
        <f>VLOOKUP(B103,Sheet6!$F:$N,9,0)</f>
        <v>20718</v>
      </c>
      <c r="B103" s="331" t="s">
        <v>15958</v>
      </c>
      <c r="D103">
        <v>633</v>
      </c>
      <c r="E103" s="346">
        <v>20718</v>
      </c>
      <c r="F103" s="346">
        <v>2195</v>
      </c>
      <c r="G103">
        <v>2298</v>
      </c>
    </row>
    <row r="104" spans="1:7" ht="16.5">
      <c r="A104" s="336">
        <f>VLOOKUP(B104,Sheet6!$F:$N,9,0)</f>
        <v>20719</v>
      </c>
      <c r="B104" s="331" t="s">
        <v>15973</v>
      </c>
      <c r="D104">
        <v>643</v>
      </c>
      <c r="E104" s="346">
        <v>20719</v>
      </c>
      <c r="F104" s="346">
        <v>2196</v>
      </c>
      <c r="G104">
        <v>2312</v>
      </c>
    </row>
    <row r="105" spans="1:7" ht="16.5">
      <c r="A105" s="336">
        <f>VLOOKUP(B105,Sheet6!$F:$N,9,0)</f>
        <v>20720</v>
      </c>
      <c r="B105" s="331" t="s">
        <v>15988</v>
      </c>
      <c r="D105">
        <v>2049</v>
      </c>
      <c r="E105" s="346">
        <v>20720</v>
      </c>
      <c r="F105" s="346">
        <v>2197</v>
      </c>
      <c r="G105">
        <v>2049</v>
      </c>
    </row>
    <row r="106" spans="1:7" ht="16.5">
      <c r="A106" s="336">
        <f>VLOOKUP(B106,Sheet6!$F:$N,9,0)</f>
        <v>1721</v>
      </c>
      <c r="B106" s="331" t="s">
        <v>16003</v>
      </c>
      <c r="D106">
        <v>2050</v>
      </c>
      <c r="E106" s="346">
        <v>1721</v>
      </c>
      <c r="F106" s="346">
        <v>2198</v>
      </c>
      <c r="G106">
        <v>2050</v>
      </c>
    </row>
    <row r="107" spans="1:7" ht="16.5">
      <c r="A107" s="336">
        <f>VLOOKUP(B107,Sheet6!$F:$N,9,0)</f>
        <v>1722</v>
      </c>
      <c r="B107" s="331" t="s">
        <v>16018</v>
      </c>
      <c r="D107">
        <v>2051</v>
      </c>
      <c r="E107" s="346">
        <v>1722</v>
      </c>
      <c r="F107" s="346">
        <v>2199</v>
      </c>
      <c r="G107">
        <v>2051</v>
      </c>
    </row>
    <row r="108" spans="1:7" ht="16.5">
      <c r="A108" s="336">
        <f>VLOOKUP(B108,Sheet6!$F:$N,9,0)</f>
        <v>1723</v>
      </c>
      <c r="B108" s="331" t="s">
        <v>16033</v>
      </c>
      <c r="D108">
        <v>2052</v>
      </c>
      <c r="E108" s="346">
        <v>1723</v>
      </c>
      <c r="F108" s="346">
        <v>2200</v>
      </c>
      <c r="G108">
        <v>2052</v>
      </c>
    </row>
    <row r="109" spans="1:7" ht="16.5">
      <c r="A109" s="336">
        <f>VLOOKUP(B109,Sheet6!$F:$N,9,0)</f>
        <v>1724</v>
      </c>
      <c r="B109" s="331" t="s">
        <v>16048</v>
      </c>
      <c r="D109">
        <v>2041</v>
      </c>
      <c r="E109" s="346">
        <v>1724</v>
      </c>
      <c r="F109" s="346">
        <v>2201</v>
      </c>
      <c r="G109">
        <v>2041</v>
      </c>
    </row>
    <row r="110" spans="1:7" ht="16.5">
      <c r="A110" s="336">
        <f>VLOOKUP(B110,Sheet6!$F:$N,9,0)</f>
        <v>2072</v>
      </c>
      <c r="B110" s="331" t="s">
        <v>16063</v>
      </c>
      <c r="D110">
        <v>2042</v>
      </c>
      <c r="E110" s="346">
        <v>2072</v>
      </c>
      <c r="F110" s="354">
        <v>2072</v>
      </c>
      <c r="G110">
        <v>2042</v>
      </c>
    </row>
    <row r="111" spans="1:7" ht="16.5">
      <c r="A111" s="336">
        <f>VLOOKUP(B111,Sheet6!$F:$N,9,0)</f>
        <v>20721</v>
      </c>
      <c r="B111" s="331" t="s">
        <v>16078</v>
      </c>
      <c r="D111">
        <v>2043</v>
      </c>
      <c r="E111" s="346">
        <v>20721</v>
      </c>
      <c r="F111" s="346">
        <v>2202</v>
      </c>
      <c r="G111">
        <v>2043</v>
      </c>
    </row>
    <row r="112" spans="1:7" ht="16.5">
      <c r="A112" s="336">
        <f>VLOOKUP(B112,Sheet6!$F:$N,9,0)</f>
        <v>20722</v>
      </c>
      <c r="B112" s="331" t="s">
        <v>16093</v>
      </c>
      <c r="D112">
        <v>2044</v>
      </c>
      <c r="E112" s="346">
        <v>20722</v>
      </c>
      <c r="F112" s="346">
        <v>2203</v>
      </c>
      <c r="G112">
        <v>2044</v>
      </c>
    </row>
    <row r="113" spans="1:7" ht="16.5">
      <c r="A113" s="336">
        <f>VLOOKUP(B113,Sheet6!$F:$N,9,0)</f>
        <v>20723</v>
      </c>
      <c r="B113" s="331" t="s">
        <v>16108</v>
      </c>
      <c r="D113">
        <v>20291</v>
      </c>
      <c r="E113" s="346">
        <v>20723</v>
      </c>
      <c r="F113" s="346">
        <v>2204</v>
      </c>
      <c r="G113">
        <v>2437</v>
      </c>
    </row>
    <row r="114" spans="1:7" ht="16.5">
      <c r="A114" s="336">
        <f>VLOOKUP(B114,Sheet6!$F:$N,9,0)</f>
        <v>20724</v>
      </c>
      <c r="B114" s="331" t="s">
        <v>16123</v>
      </c>
      <c r="D114">
        <v>20301</v>
      </c>
      <c r="E114" s="346">
        <v>20724</v>
      </c>
      <c r="F114" s="346">
        <v>2205</v>
      </c>
      <c r="G114">
        <v>2451</v>
      </c>
    </row>
    <row r="115" spans="1:7" ht="16.5">
      <c r="A115" s="336">
        <f>VLOOKUP(B115,Sheet6!$F:$N,9,0)</f>
        <v>20725</v>
      </c>
      <c r="B115" s="331" t="s">
        <v>16138</v>
      </c>
      <c r="D115">
        <v>20311</v>
      </c>
      <c r="E115" s="346">
        <v>20725</v>
      </c>
      <c r="F115" s="346">
        <v>2206</v>
      </c>
      <c r="G115">
        <v>2465</v>
      </c>
    </row>
    <row r="116" spans="1:7" ht="16.5">
      <c r="A116" s="336">
        <f>VLOOKUP(B116,Sheet6!$F:$N,9,0)</f>
        <v>20726</v>
      </c>
      <c r="B116" s="331" t="s">
        <v>16153</v>
      </c>
      <c r="D116">
        <v>20321</v>
      </c>
      <c r="E116" s="346">
        <v>20726</v>
      </c>
      <c r="F116" s="346">
        <v>2207</v>
      </c>
      <c r="G116">
        <v>2479</v>
      </c>
    </row>
    <row r="117" spans="1:7" ht="16.5">
      <c r="A117" s="336">
        <f>VLOOKUP(B117,Sheet6!$F:$N,9,0)</f>
        <v>20727</v>
      </c>
      <c r="B117" s="331" t="s">
        <v>16168</v>
      </c>
      <c r="D117">
        <v>20251</v>
      </c>
      <c r="E117" s="346">
        <v>20727</v>
      </c>
      <c r="F117" s="346">
        <v>2208</v>
      </c>
      <c r="G117">
        <v>2493</v>
      </c>
    </row>
    <row r="118" spans="1:7" ht="16.5">
      <c r="A118" s="336">
        <f>VLOOKUP(B118,Sheet6!$F:$N,9,0)</f>
        <v>20728</v>
      </c>
      <c r="B118" s="331" t="s">
        <v>16183</v>
      </c>
      <c r="D118">
        <v>20261</v>
      </c>
      <c r="E118" s="346">
        <v>20728</v>
      </c>
      <c r="F118" s="346">
        <v>2209</v>
      </c>
      <c r="G118">
        <v>2507</v>
      </c>
    </row>
    <row r="119" spans="1:7" ht="16.5">
      <c r="A119" s="336">
        <f>VLOOKUP(B119,Sheet6!$F:$N,9,0)</f>
        <v>20729</v>
      </c>
      <c r="B119" s="331" t="s">
        <v>16198</v>
      </c>
      <c r="D119">
        <v>20271</v>
      </c>
      <c r="E119" s="346">
        <v>20729</v>
      </c>
      <c r="F119" s="346">
        <v>2210</v>
      </c>
      <c r="G119">
        <v>2521</v>
      </c>
    </row>
    <row r="120" spans="1:7" ht="16.5">
      <c r="A120" s="336">
        <f>VLOOKUP(B120,Sheet6!$F:$N,9,0)</f>
        <v>20730</v>
      </c>
      <c r="B120" s="331" t="s">
        <v>16213</v>
      </c>
      <c r="D120">
        <v>20281</v>
      </c>
      <c r="E120" s="346">
        <v>20730</v>
      </c>
      <c r="F120" s="346">
        <v>2211</v>
      </c>
      <c r="G120">
        <v>2535</v>
      </c>
    </row>
    <row r="121" spans="1:7" ht="16.5">
      <c r="A121" s="336">
        <f>VLOOKUP(B121,Sheet6!$F:$N,9,0)</f>
        <v>1651</v>
      </c>
      <c r="B121" s="331" t="s">
        <v>16228</v>
      </c>
      <c r="D121">
        <v>20211</v>
      </c>
      <c r="E121" s="344">
        <v>1651</v>
      </c>
      <c r="F121" s="346">
        <v>2212</v>
      </c>
      <c r="G121">
        <v>2549</v>
      </c>
    </row>
    <row r="122" spans="1:7" ht="16.5">
      <c r="A122" s="336">
        <f>VLOOKUP(B122,Sheet6!$F:$N,9,0)</f>
        <v>1652</v>
      </c>
      <c r="B122" s="331" t="s">
        <v>16243</v>
      </c>
      <c r="D122">
        <v>20221</v>
      </c>
      <c r="E122" s="344">
        <v>1652</v>
      </c>
      <c r="F122" s="346">
        <v>2213</v>
      </c>
      <c r="G122">
        <v>2563</v>
      </c>
    </row>
    <row r="123" spans="1:7" ht="16.5">
      <c r="A123" s="336">
        <f>VLOOKUP(B123,Sheet6!$F:$N,9,0)</f>
        <v>1653</v>
      </c>
      <c r="B123" s="331" t="s">
        <v>16258</v>
      </c>
      <c r="D123">
        <v>20231</v>
      </c>
      <c r="E123" s="344">
        <v>1653</v>
      </c>
      <c r="F123" s="346">
        <v>2214</v>
      </c>
      <c r="G123">
        <v>2577</v>
      </c>
    </row>
    <row r="124" spans="1:7" ht="16.5">
      <c r="A124" s="336">
        <f>VLOOKUP(B124,Sheet6!$F:$N,9,0)</f>
        <v>1654</v>
      </c>
      <c r="B124" s="331" t="s">
        <v>16273</v>
      </c>
      <c r="D124">
        <v>20241</v>
      </c>
      <c r="E124" s="344">
        <v>1654</v>
      </c>
      <c r="F124" s="346">
        <v>2215</v>
      </c>
      <c r="G124">
        <v>2591</v>
      </c>
    </row>
    <row r="125" spans="1:7" ht="16.5">
      <c r="A125" s="336">
        <f>VLOOKUP(B125,Sheet6!$F:$N,9,0)</f>
        <v>2065</v>
      </c>
      <c r="B125" s="331" t="s">
        <v>16288</v>
      </c>
      <c r="D125">
        <v>200112</v>
      </c>
      <c r="E125" s="344">
        <v>2065</v>
      </c>
      <c r="F125" s="354">
        <v>2065</v>
      </c>
      <c r="G125">
        <v>2605</v>
      </c>
    </row>
    <row r="126" spans="1:7" ht="16.5">
      <c r="A126" s="336">
        <f>VLOOKUP(B126,Sheet6!$F:$N,9,0)</f>
        <v>20651</v>
      </c>
      <c r="B126" s="331" t="s">
        <v>16303</v>
      </c>
      <c r="D126">
        <v>200212</v>
      </c>
      <c r="E126" s="344">
        <v>20651</v>
      </c>
      <c r="F126" s="344">
        <v>2216</v>
      </c>
      <c r="G126">
        <v>2619</v>
      </c>
    </row>
    <row r="127" spans="1:7" ht="16.5">
      <c r="A127" s="336">
        <f>VLOOKUP(B127,Sheet6!$F:$N,9,0)</f>
        <v>20652</v>
      </c>
      <c r="B127" s="331" t="s">
        <v>16318</v>
      </c>
      <c r="D127">
        <v>200312</v>
      </c>
      <c r="E127" s="344">
        <v>20652</v>
      </c>
      <c r="F127" s="344">
        <v>2217</v>
      </c>
      <c r="G127">
        <v>2633</v>
      </c>
    </row>
    <row r="128" spans="1:7" ht="16.5">
      <c r="A128" s="336">
        <f>VLOOKUP(B128,Sheet6!$F:$N,9,0)</f>
        <v>20653</v>
      </c>
      <c r="B128" s="331" t="s">
        <v>16333</v>
      </c>
      <c r="D128">
        <v>200412</v>
      </c>
      <c r="E128" s="344">
        <v>20653</v>
      </c>
      <c r="F128" s="344">
        <v>2218</v>
      </c>
      <c r="G128">
        <v>2647</v>
      </c>
    </row>
    <row r="129" spans="1:7" ht="16.5">
      <c r="A129" s="336">
        <f>VLOOKUP(B129,Sheet6!$F:$N,9,0)</f>
        <v>20654</v>
      </c>
      <c r="B129" s="331" t="s">
        <v>16348</v>
      </c>
      <c r="D129">
        <v>2045</v>
      </c>
      <c r="E129" s="344">
        <v>20654</v>
      </c>
      <c r="F129" s="344">
        <v>2219</v>
      </c>
      <c r="G129">
        <v>2045</v>
      </c>
    </row>
    <row r="130" spans="1:7" ht="16.5">
      <c r="A130" s="336">
        <f>VLOOKUP(B130,Sheet6!$F:$N,9,0)</f>
        <v>20655</v>
      </c>
      <c r="B130" s="331" t="s">
        <v>16363</v>
      </c>
      <c r="D130">
        <v>2046</v>
      </c>
      <c r="E130" s="344">
        <v>20655</v>
      </c>
      <c r="F130" s="344">
        <v>2220</v>
      </c>
      <c r="G130">
        <v>2046</v>
      </c>
    </row>
    <row r="131" spans="1:7" ht="16.5">
      <c r="A131" s="336">
        <f>VLOOKUP(B131,Sheet6!$F:$N,9,0)</f>
        <v>20656</v>
      </c>
      <c r="B131" s="331" t="s">
        <v>16378</v>
      </c>
      <c r="D131">
        <v>2047</v>
      </c>
      <c r="E131" s="344">
        <v>20656</v>
      </c>
      <c r="F131" s="344">
        <v>2221</v>
      </c>
      <c r="G131">
        <v>2047</v>
      </c>
    </row>
    <row r="132" spans="1:7" ht="16.5">
      <c r="A132" s="336">
        <f>VLOOKUP(B132,Sheet6!$F:$N,9,0)</f>
        <v>20657</v>
      </c>
      <c r="B132" s="331" t="s">
        <v>16393</v>
      </c>
      <c r="D132">
        <v>2048</v>
      </c>
      <c r="E132" s="344">
        <v>20657</v>
      </c>
      <c r="F132" s="344">
        <v>2222</v>
      </c>
      <c r="G132">
        <v>2048</v>
      </c>
    </row>
    <row r="133" spans="1:7" ht="16.5">
      <c r="A133" s="336">
        <f>VLOOKUP(B133,Sheet6!$F:$N,9,0)</f>
        <v>20658</v>
      </c>
      <c r="B133" s="331" t="s">
        <v>15749</v>
      </c>
      <c r="D133">
        <v>184</v>
      </c>
      <c r="E133" s="344">
        <v>20658</v>
      </c>
      <c r="F133" s="344">
        <v>2223</v>
      </c>
      <c r="G133">
        <v>2103</v>
      </c>
    </row>
    <row r="134" spans="1:7" ht="16.5">
      <c r="A134" s="336">
        <f>VLOOKUP(B134,Sheet6!$F:$N,9,0)</f>
        <v>20659</v>
      </c>
      <c r="B134" s="331" t="s">
        <v>15764</v>
      </c>
      <c r="D134">
        <v>284</v>
      </c>
      <c r="E134" s="344">
        <v>20659</v>
      </c>
      <c r="F134" s="344">
        <v>2224</v>
      </c>
      <c r="G134">
        <v>2117</v>
      </c>
    </row>
    <row r="135" spans="1:7" ht="16.5">
      <c r="A135" s="336">
        <f>VLOOKUP(B135,Sheet6!$F:$N,9,0)</f>
        <v>20660</v>
      </c>
      <c r="B135" s="331" t="s">
        <v>15779</v>
      </c>
      <c r="D135">
        <v>384</v>
      </c>
      <c r="E135" s="344">
        <v>20660</v>
      </c>
      <c r="F135" s="344">
        <v>2225</v>
      </c>
      <c r="G135">
        <v>2131</v>
      </c>
    </row>
    <row r="136" spans="1:7" ht="16.5">
      <c r="A136" s="336">
        <f>VLOOKUP(B136,Sheet6!$F:$N,9,0)</f>
        <v>1661</v>
      </c>
      <c r="B136" s="331" t="s">
        <v>15794</v>
      </c>
      <c r="D136">
        <v>484</v>
      </c>
      <c r="E136" s="344">
        <v>1661</v>
      </c>
      <c r="F136" s="344">
        <v>2226</v>
      </c>
      <c r="G136">
        <v>2145</v>
      </c>
    </row>
    <row r="137" spans="1:7" ht="16.5">
      <c r="A137" s="336">
        <f>VLOOKUP(B137,Sheet6!$F:$N,9,0)</f>
        <v>1662</v>
      </c>
      <c r="B137" s="331" t="s">
        <v>15809</v>
      </c>
      <c r="D137">
        <v>1694</v>
      </c>
      <c r="E137" s="344">
        <v>1662</v>
      </c>
      <c r="F137" s="344">
        <v>2227</v>
      </c>
      <c r="G137">
        <v>2159</v>
      </c>
    </row>
    <row r="138" spans="1:7" ht="16.5">
      <c r="A138" s="336">
        <f>VLOOKUP(B138,Sheet6!$F:$N,9,0)</f>
        <v>1663</v>
      </c>
      <c r="B138" s="331" t="s">
        <v>15824</v>
      </c>
      <c r="D138">
        <v>1704</v>
      </c>
      <c r="E138" s="344">
        <v>1663</v>
      </c>
      <c r="F138" s="344">
        <v>2228</v>
      </c>
      <c r="G138">
        <v>2173</v>
      </c>
    </row>
    <row r="139" spans="1:7" ht="16.5">
      <c r="A139" s="336">
        <f>VLOOKUP(B139,Sheet6!$F:$N,9,0)</f>
        <v>1664</v>
      </c>
      <c r="B139" s="331" t="s">
        <v>15839</v>
      </c>
      <c r="D139">
        <v>1714</v>
      </c>
      <c r="E139" s="344">
        <v>1664</v>
      </c>
      <c r="F139" s="344">
        <v>2229</v>
      </c>
      <c r="G139">
        <v>2187</v>
      </c>
    </row>
    <row r="140" spans="1:7" ht="16.5">
      <c r="A140" s="336">
        <f>VLOOKUP(B140,Sheet6!$F:$N,9,0)</f>
        <v>2066</v>
      </c>
      <c r="B140" s="331" t="s">
        <v>15854</v>
      </c>
      <c r="D140">
        <v>1724</v>
      </c>
      <c r="E140" s="344">
        <v>2066</v>
      </c>
      <c r="F140" s="354">
        <v>2066</v>
      </c>
      <c r="G140">
        <v>2201</v>
      </c>
    </row>
    <row r="141" spans="1:7" ht="16.5">
      <c r="A141" s="336">
        <f>VLOOKUP(B141,Sheet6!$F:$N,9,0)</f>
        <v>20661</v>
      </c>
      <c r="B141" s="331" t="s">
        <v>15869</v>
      </c>
      <c r="D141">
        <v>1654</v>
      </c>
      <c r="E141" s="344">
        <v>20661</v>
      </c>
      <c r="F141" s="344">
        <v>2230</v>
      </c>
      <c r="G141">
        <v>2215</v>
      </c>
    </row>
    <row r="142" spans="1:7" ht="16.5">
      <c r="A142" s="336">
        <f>VLOOKUP(B142,Sheet6!$F:$N,9,0)</f>
        <v>20662</v>
      </c>
      <c r="B142" s="331" t="s">
        <v>15884</v>
      </c>
      <c r="D142">
        <v>1664</v>
      </c>
      <c r="E142" s="344">
        <v>20662</v>
      </c>
      <c r="F142" s="344">
        <v>2231</v>
      </c>
      <c r="G142">
        <v>2229</v>
      </c>
    </row>
    <row r="143" spans="1:7" ht="16.5">
      <c r="A143" s="336">
        <f>VLOOKUP(B143,Sheet6!$F:$N,9,0)</f>
        <v>20663</v>
      </c>
      <c r="B143" s="331" t="s">
        <v>15899</v>
      </c>
      <c r="D143">
        <v>1674</v>
      </c>
      <c r="E143" s="344">
        <v>20663</v>
      </c>
      <c r="F143" s="344">
        <v>2232</v>
      </c>
      <c r="G143">
        <v>2243</v>
      </c>
    </row>
    <row r="144" spans="1:7" ht="16.5">
      <c r="A144" s="336">
        <f>VLOOKUP(B144,Sheet6!$F:$N,9,0)</f>
        <v>20664</v>
      </c>
      <c r="B144" s="331" t="s">
        <v>15914</v>
      </c>
      <c r="D144">
        <v>1684</v>
      </c>
      <c r="E144" s="344">
        <v>20664</v>
      </c>
      <c r="F144" s="344">
        <v>2233</v>
      </c>
      <c r="G144">
        <v>2257</v>
      </c>
    </row>
    <row r="145" spans="1:7" ht="16.5">
      <c r="A145" s="336">
        <f>VLOOKUP(B145,Sheet6!$F:$N,9,0)</f>
        <v>20665</v>
      </c>
      <c r="B145" s="331" t="s">
        <v>15929</v>
      </c>
      <c r="D145">
        <v>2061</v>
      </c>
      <c r="E145" s="344">
        <v>20665</v>
      </c>
      <c r="F145" s="344">
        <v>2234</v>
      </c>
      <c r="G145">
        <v>2061</v>
      </c>
    </row>
    <row r="146" spans="1:7" ht="16.5">
      <c r="A146" s="336">
        <f>VLOOKUP(B146,Sheet6!$F:$N,9,0)</f>
        <v>20666</v>
      </c>
      <c r="B146" s="331" t="s">
        <v>15944</v>
      </c>
      <c r="D146">
        <v>2062</v>
      </c>
      <c r="E146" s="344">
        <v>20666</v>
      </c>
      <c r="F146" s="344">
        <v>2235</v>
      </c>
      <c r="G146">
        <v>2062</v>
      </c>
    </row>
    <row r="147" spans="1:7" ht="16.5">
      <c r="A147" s="336">
        <f>VLOOKUP(B147,Sheet6!$F:$N,9,0)</f>
        <v>20667</v>
      </c>
      <c r="B147" s="331" t="s">
        <v>15959</v>
      </c>
      <c r="D147">
        <v>2063</v>
      </c>
      <c r="E147" s="344">
        <v>20667</v>
      </c>
      <c r="F147" s="344">
        <v>2236</v>
      </c>
      <c r="G147">
        <v>2063</v>
      </c>
    </row>
    <row r="148" spans="1:7" ht="16.5">
      <c r="A148" s="336">
        <f>VLOOKUP(B148,Sheet6!$F:$N,9,0)</f>
        <v>20668</v>
      </c>
      <c r="B148" s="331" t="s">
        <v>15974</v>
      </c>
      <c r="D148">
        <v>2064</v>
      </c>
      <c r="E148" s="344">
        <v>20668</v>
      </c>
      <c r="F148" s="344">
        <v>2237</v>
      </c>
      <c r="G148">
        <v>2064</v>
      </c>
    </row>
    <row r="149" spans="1:7" ht="16.5">
      <c r="A149" s="336">
        <f>VLOOKUP(B149,Sheet6!$F:$N,9,0)</f>
        <v>20669</v>
      </c>
      <c r="B149" s="331" t="s">
        <v>15989</v>
      </c>
      <c r="D149">
        <v>20491</v>
      </c>
      <c r="E149" s="344">
        <v>20669</v>
      </c>
      <c r="F149" s="344">
        <v>2238</v>
      </c>
      <c r="G149">
        <v>2326</v>
      </c>
    </row>
    <row r="150" spans="1:7" ht="16.5">
      <c r="A150" s="336">
        <f>VLOOKUP(B150,Sheet6!$F:$N,9,0)</f>
        <v>20670</v>
      </c>
      <c r="B150" s="331" t="s">
        <v>16004</v>
      </c>
      <c r="D150">
        <v>20501</v>
      </c>
      <c r="E150" s="344">
        <v>20670</v>
      </c>
      <c r="F150" s="344">
        <v>2239</v>
      </c>
      <c r="G150">
        <v>2340</v>
      </c>
    </row>
    <row r="151" spans="1:7" ht="16.5">
      <c r="A151" s="336">
        <f>VLOOKUP(B151,Sheet6!$F:$N,9,0)</f>
        <v>1671</v>
      </c>
      <c r="B151" s="331" t="s">
        <v>16019</v>
      </c>
      <c r="D151">
        <v>20511</v>
      </c>
      <c r="E151" s="344">
        <v>1671</v>
      </c>
      <c r="F151" s="344">
        <v>2240</v>
      </c>
      <c r="G151">
        <v>2354</v>
      </c>
    </row>
    <row r="152" spans="1:7" ht="16.5">
      <c r="A152" s="336">
        <f>VLOOKUP(B152,Sheet6!$F:$N,9,0)</f>
        <v>1672</v>
      </c>
      <c r="B152" s="331" t="s">
        <v>16034</v>
      </c>
      <c r="D152">
        <v>20521</v>
      </c>
      <c r="E152" s="344">
        <v>1672</v>
      </c>
      <c r="F152" s="344">
        <v>2241</v>
      </c>
      <c r="G152">
        <v>2368</v>
      </c>
    </row>
    <row r="153" spans="1:7" ht="16.5">
      <c r="A153" s="336">
        <f>VLOOKUP(B153,Sheet6!$F:$N,9,0)</f>
        <v>1673</v>
      </c>
      <c r="B153" s="331" t="s">
        <v>16049</v>
      </c>
      <c r="D153">
        <v>20411</v>
      </c>
      <c r="E153" s="344">
        <v>1673</v>
      </c>
      <c r="F153" s="344">
        <v>2242</v>
      </c>
      <c r="G153">
        <v>2382</v>
      </c>
    </row>
    <row r="154" spans="1:7" ht="16.5">
      <c r="A154" s="336">
        <f>VLOOKUP(B154,Sheet6!$F:$N,9,0)</f>
        <v>1674</v>
      </c>
      <c r="B154" s="331" t="s">
        <v>16064</v>
      </c>
      <c r="D154">
        <v>20421</v>
      </c>
      <c r="E154" s="344">
        <v>1674</v>
      </c>
      <c r="F154" s="344">
        <v>2243</v>
      </c>
      <c r="G154">
        <v>2396</v>
      </c>
    </row>
    <row r="155" spans="1:7" ht="16.5">
      <c r="A155" s="336">
        <f>VLOOKUP(B155,Sheet6!$F:$N,9,0)</f>
        <v>2067</v>
      </c>
      <c r="B155" s="331" t="s">
        <v>16079</v>
      </c>
      <c r="D155">
        <v>20431</v>
      </c>
      <c r="E155" s="344">
        <v>2067</v>
      </c>
      <c r="F155" s="354">
        <v>2067</v>
      </c>
      <c r="G155">
        <v>2410</v>
      </c>
    </row>
    <row r="156" spans="1:7" ht="16.5">
      <c r="A156" s="336">
        <f>VLOOKUP(B156,Sheet6!$F:$N,9,0)</f>
        <v>20671</v>
      </c>
      <c r="B156" s="331" t="s">
        <v>16094</v>
      </c>
      <c r="D156">
        <v>20441</v>
      </c>
      <c r="E156" s="344">
        <v>20671</v>
      </c>
      <c r="F156" s="344">
        <v>2244</v>
      </c>
      <c r="G156">
        <v>2424</v>
      </c>
    </row>
    <row r="157" spans="1:7" ht="16.5">
      <c r="A157" s="336">
        <f>VLOOKUP(B157,Sheet6!$F:$N,9,0)</f>
        <v>20672</v>
      </c>
      <c r="B157" s="331" t="s">
        <v>16109</v>
      </c>
      <c r="D157">
        <v>20292</v>
      </c>
      <c r="E157" s="344">
        <v>20672</v>
      </c>
      <c r="F157" s="344">
        <v>2245</v>
      </c>
      <c r="G157">
        <v>2438</v>
      </c>
    </row>
    <row r="158" spans="1:7" ht="16.5">
      <c r="A158" s="336">
        <f>VLOOKUP(B158,Sheet6!$F:$N,9,0)</f>
        <v>20673</v>
      </c>
      <c r="B158" s="331" t="s">
        <v>16124</v>
      </c>
      <c r="D158">
        <v>20302</v>
      </c>
      <c r="E158" s="344">
        <v>20673</v>
      </c>
      <c r="F158" s="344">
        <v>2246</v>
      </c>
      <c r="G158">
        <v>2452</v>
      </c>
    </row>
    <row r="159" spans="1:7" ht="16.5">
      <c r="A159" s="336">
        <f>VLOOKUP(B159,Sheet6!$F:$N,9,0)</f>
        <v>20674</v>
      </c>
      <c r="B159" s="331" t="s">
        <v>16139</v>
      </c>
      <c r="D159">
        <v>20312</v>
      </c>
      <c r="E159" s="344">
        <v>20674</v>
      </c>
      <c r="F159" s="344">
        <v>2247</v>
      </c>
      <c r="G159">
        <v>2466</v>
      </c>
    </row>
    <row r="160" spans="1:7" ht="16.5">
      <c r="A160" s="336">
        <f>VLOOKUP(B160,Sheet6!$F:$N,9,0)</f>
        <v>20675</v>
      </c>
      <c r="B160" s="331" t="s">
        <v>16154</v>
      </c>
      <c r="D160">
        <v>20322</v>
      </c>
      <c r="E160" s="344">
        <v>20675</v>
      </c>
      <c r="F160" s="344">
        <v>2248</v>
      </c>
      <c r="G160">
        <v>2480</v>
      </c>
    </row>
    <row r="161" spans="1:7" ht="16.5">
      <c r="A161" s="336">
        <f>VLOOKUP(B161,Sheet6!$F:$N,9,0)</f>
        <v>20676</v>
      </c>
      <c r="B161" s="331" t="s">
        <v>16169</v>
      </c>
      <c r="D161">
        <v>20252</v>
      </c>
      <c r="E161" s="344">
        <v>20676</v>
      </c>
      <c r="F161" s="344">
        <v>2249</v>
      </c>
      <c r="G161">
        <v>2494</v>
      </c>
    </row>
    <row r="162" spans="1:7" ht="16.5">
      <c r="A162" s="336">
        <f>VLOOKUP(B162,Sheet6!$F:$N,9,0)</f>
        <v>20677</v>
      </c>
      <c r="B162" s="331" t="s">
        <v>16184</v>
      </c>
      <c r="D162">
        <v>20262</v>
      </c>
      <c r="E162" s="344">
        <v>20677</v>
      </c>
      <c r="F162" s="344">
        <v>2250</v>
      </c>
      <c r="G162">
        <v>2508</v>
      </c>
    </row>
    <row r="163" spans="1:7" ht="16.5">
      <c r="A163" s="336">
        <f>VLOOKUP(B163,Sheet6!$F:$N,9,0)</f>
        <v>20678</v>
      </c>
      <c r="B163" s="331" t="s">
        <v>16199</v>
      </c>
      <c r="D163">
        <v>20272</v>
      </c>
      <c r="E163" s="344">
        <v>20678</v>
      </c>
      <c r="F163" s="344">
        <v>2251</v>
      </c>
      <c r="G163">
        <v>2522</v>
      </c>
    </row>
    <row r="164" spans="1:7" ht="16.5">
      <c r="A164" s="336">
        <f>VLOOKUP(B164,Sheet6!$F:$N,9,0)</f>
        <v>20679</v>
      </c>
      <c r="B164" s="331" t="s">
        <v>16214</v>
      </c>
      <c r="D164">
        <v>20282</v>
      </c>
      <c r="E164" s="344">
        <v>20679</v>
      </c>
      <c r="F164" s="344">
        <v>2252</v>
      </c>
      <c r="G164">
        <v>2536</v>
      </c>
    </row>
    <row r="165" spans="1:7" ht="16.5">
      <c r="A165" s="336">
        <f>VLOOKUP(B165,Sheet6!$F:$N,9,0)</f>
        <v>20680</v>
      </c>
      <c r="B165" s="331" t="s">
        <v>16229</v>
      </c>
      <c r="D165">
        <v>20212</v>
      </c>
      <c r="E165" s="344">
        <v>20680</v>
      </c>
      <c r="F165" s="344">
        <v>2253</v>
      </c>
      <c r="G165">
        <v>2550</v>
      </c>
    </row>
    <row r="166" spans="1:7" ht="16.5">
      <c r="A166" s="336">
        <f>VLOOKUP(B166,Sheet6!$F:$N,9,0)</f>
        <v>1681</v>
      </c>
      <c r="B166" s="331" t="s">
        <v>16244</v>
      </c>
      <c r="D166">
        <v>20222</v>
      </c>
      <c r="E166" s="344">
        <v>1681</v>
      </c>
      <c r="F166" s="344">
        <v>2254</v>
      </c>
      <c r="G166">
        <v>2564</v>
      </c>
    </row>
    <row r="167" spans="1:7" ht="16.5">
      <c r="A167" s="336">
        <f>VLOOKUP(B167,Sheet6!$F:$N,9,0)</f>
        <v>1682</v>
      </c>
      <c r="B167" s="331" t="s">
        <v>16259</v>
      </c>
      <c r="D167">
        <v>20232</v>
      </c>
      <c r="E167" s="344">
        <v>1682</v>
      </c>
      <c r="F167" s="344">
        <v>2255</v>
      </c>
      <c r="G167">
        <v>2578</v>
      </c>
    </row>
    <row r="168" spans="1:7" ht="16.5">
      <c r="A168" s="336">
        <f>VLOOKUP(B168,Sheet6!$F:$N,9,0)</f>
        <v>1683</v>
      </c>
      <c r="B168" s="331" t="s">
        <v>16274</v>
      </c>
      <c r="D168">
        <v>20242</v>
      </c>
      <c r="E168" s="344">
        <v>1683</v>
      </c>
      <c r="F168" s="344">
        <v>2256</v>
      </c>
      <c r="G168">
        <v>2592</v>
      </c>
    </row>
    <row r="169" spans="1:7" ht="16.5">
      <c r="A169" s="336">
        <f>VLOOKUP(B169,Sheet6!$F:$N,9,0)</f>
        <v>1684</v>
      </c>
      <c r="B169" s="331" t="s">
        <v>16289</v>
      </c>
      <c r="D169">
        <v>200113</v>
      </c>
      <c r="E169" s="344">
        <v>1684</v>
      </c>
      <c r="F169" s="344">
        <v>2257</v>
      </c>
      <c r="G169">
        <v>2606</v>
      </c>
    </row>
    <row r="170" spans="1:7" ht="16.5">
      <c r="A170" s="336">
        <f>VLOOKUP(B170,Sheet6!$F:$N,9,0)</f>
        <v>2068</v>
      </c>
      <c r="B170" s="331" t="s">
        <v>16304</v>
      </c>
      <c r="D170">
        <v>200213</v>
      </c>
      <c r="E170" s="344">
        <v>2068</v>
      </c>
      <c r="F170" s="354">
        <v>2068</v>
      </c>
      <c r="G170">
        <v>2620</v>
      </c>
    </row>
    <row r="171" spans="1:7" ht="16.5">
      <c r="A171" s="336">
        <f>VLOOKUP(B171,Sheet6!$F:$N,9,0)</f>
        <v>20681</v>
      </c>
      <c r="B171" s="331" t="s">
        <v>16319</v>
      </c>
      <c r="D171">
        <v>200313</v>
      </c>
      <c r="E171" s="344">
        <v>20681</v>
      </c>
      <c r="F171" s="344">
        <v>2258</v>
      </c>
      <c r="G171">
        <v>2634</v>
      </c>
    </row>
    <row r="172" spans="1:7" ht="16.5">
      <c r="A172" s="336">
        <f>VLOOKUP(B172,Sheet6!$F:$N,9,0)</f>
        <v>20682</v>
      </c>
      <c r="B172" s="331" t="s">
        <v>16334</v>
      </c>
      <c r="D172">
        <v>200413</v>
      </c>
      <c r="E172" s="344">
        <v>20682</v>
      </c>
      <c r="F172" s="344">
        <v>2259</v>
      </c>
      <c r="G172">
        <v>2648</v>
      </c>
    </row>
    <row r="173" spans="1:7" ht="16.5">
      <c r="A173" s="336">
        <f>VLOOKUP(B173,Sheet6!$F:$N,9,0)</f>
        <v>20683</v>
      </c>
      <c r="B173" s="331" t="s">
        <v>16349</v>
      </c>
      <c r="D173">
        <v>20451</v>
      </c>
      <c r="E173" s="344">
        <v>20683</v>
      </c>
      <c r="F173" s="344">
        <v>2260</v>
      </c>
      <c r="G173">
        <v>2662</v>
      </c>
    </row>
    <row r="174" spans="1:7" ht="16.5">
      <c r="A174" s="336">
        <f>VLOOKUP(B174,Sheet6!$F:$N,9,0)</f>
        <v>20684</v>
      </c>
      <c r="B174" s="331" t="s">
        <v>16364</v>
      </c>
      <c r="D174">
        <v>20461</v>
      </c>
      <c r="E174" s="344">
        <v>20684</v>
      </c>
      <c r="F174" s="344">
        <v>2261</v>
      </c>
      <c r="G174">
        <v>2676</v>
      </c>
    </row>
    <row r="175" spans="1:7" ht="16.5">
      <c r="A175" s="336">
        <f>VLOOKUP(B175,Sheet6!$F:$N,9,0)</f>
        <v>20685</v>
      </c>
      <c r="B175" s="331" t="s">
        <v>16379</v>
      </c>
      <c r="D175">
        <v>20471</v>
      </c>
      <c r="E175" s="344">
        <v>20685</v>
      </c>
      <c r="F175" s="344">
        <v>2262</v>
      </c>
      <c r="G175">
        <v>2690</v>
      </c>
    </row>
    <row r="176" spans="1:7" ht="16.5">
      <c r="A176" s="336">
        <f>VLOOKUP(B176,Sheet6!$F:$N,9,0)</f>
        <v>20686</v>
      </c>
      <c r="B176" s="331" t="s">
        <v>16394</v>
      </c>
      <c r="D176">
        <v>20481</v>
      </c>
      <c r="E176" s="344">
        <v>20686</v>
      </c>
      <c r="F176" s="344">
        <v>2263</v>
      </c>
      <c r="G176">
        <v>2704</v>
      </c>
    </row>
    <row r="177" spans="1:7" ht="16.5">
      <c r="A177" s="336">
        <f>VLOOKUP(B177,Sheet6!$F:$N,9,0)</f>
        <v>20687</v>
      </c>
      <c r="B177" s="331" t="s">
        <v>15750</v>
      </c>
      <c r="D177">
        <v>185</v>
      </c>
      <c r="E177" s="344">
        <v>20687</v>
      </c>
      <c r="F177" s="344">
        <v>2264</v>
      </c>
      <c r="G177">
        <v>2104</v>
      </c>
    </row>
    <row r="178" spans="1:7" ht="16.5">
      <c r="A178" s="336">
        <f>VLOOKUP(B178,Sheet6!$F:$N,9,0)</f>
        <v>20688</v>
      </c>
      <c r="B178" s="331" t="s">
        <v>15765</v>
      </c>
      <c r="D178">
        <v>285</v>
      </c>
      <c r="E178" s="344">
        <v>20688</v>
      </c>
      <c r="F178" s="344">
        <v>2265</v>
      </c>
      <c r="G178">
        <v>2118</v>
      </c>
    </row>
    <row r="179" spans="1:7" ht="16.5">
      <c r="A179" s="336">
        <f>VLOOKUP(B179,Sheet6!$F:$N,9,0)</f>
        <v>20689</v>
      </c>
      <c r="B179" s="331" t="s">
        <v>15780</v>
      </c>
      <c r="D179">
        <v>385</v>
      </c>
      <c r="E179" s="344">
        <v>20689</v>
      </c>
      <c r="F179" s="344">
        <v>2266</v>
      </c>
      <c r="G179">
        <v>2132</v>
      </c>
    </row>
    <row r="180" spans="1:7" ht="16.5">
      <c r="A180" s="336">
        <f>VLOOKUP(B180,Sheet6!$F:$N,9,0)</f>
        <v>20690</v>
      </c>
      <c r="B180" s="331" t="s">
        <v>15795</v>
      </c>
      <c r="D180">
        <v>485</v>
      </c>
      <c r="E180" s="344">
        <v>20690</v>
      </c>
      <c r="F180" s="344">
        <v>2267</v>
      </c>
      <c r="G180">
        <v>2146</v>
      </c>
    </row>
    <row r="181" spans="1:7" ht="16.5">
      <c r="A181" s="336">
        <f>VLOOKUP(B181,Sheet6!$F:$N,9,0)</f>
        <v>1611</v>
      </c>
      <c r="B181" s="331" t="s">
        <v>15810</v>
      </c>
      <c r="D181">
        <v>2069</v>
      </c>
      <c r="E181" s="348">
        <v>1611</v>
      </c>
      <c r="F181" s="344">
        <v>2268</v>
      </c>
      <c r="G181">
        <v>2069</v>
      </c>
    </row>
    <row r="182" spans="1:7" ht="16.5">
      <c r="A182" s="336">
        <f>VLOOKUP(B182,Sheet6!$F:$N,9,0)</f>
        <v>1612</v>
      </c>
      <c r="B182" s="331" t="s">
        <v>15825</v>
      </c>
      <c r="D182">
        <v>2070</v>
      </c>
      <c r="E182" s="348">
        <v>1612</v>
      </c>
      <c r="F182" s="344">
        <v>2269</v>
      </c>
      <c r="G182">
        <v>2070</v>
      </c>
    </row>
    <row r="183" spans="1:7" ht="16.5">
      <c r="A183" s="336">
        <f>VLOOKUP(B183,Sheet6!$F:$N,9,0)</f>
        <v>1613</v>
      </c>
      <c r="B183" s="331" t="s">
        <v>15840</v>
      </c>
      <c r="D183">
        <v>2071</v>
      </c>
      <c r="E183" s="348">
        <v>1613</v>
      </c>
      <c r="F183" s="344">
        <v>2270</v>
      </c>
      <c r="G183">
        <v>2071</v>
      </c>
    </row>
    <row r="184" spans="1:7" ht="16.5">
      <c r="A184" s="336">
        <f>VLOOKUP(B184,Sheet6!$F:$N,9,0)</f>
        <v>2061</v>
      </c>
      <c r="B184" s="331" t="s">
        <v>15855</v>
      </c>
      <c r="D184">
        <v>2072</v>
      </c>
      <c r="E184" s="348">
        <v>2061</v>
      </c>
      <c r="F184" s="355">
        <v>2061</v>
      </c>
      <c r="G184">
        <v>2072</v>
      </c>
    </row>
    <row r="185" spans="1:7" ht="16.5">
      <c r="A185" s="336">
        <f>VLOOKUP(B185,Sheet6!$F:$N,9,0)</f>
        <v>20611</v>
      </c>
      <c r="B185" s="331" t="s">
        <v>15870</v>
      </c>
      <c r="D185">
        <v>2065</v>
      </c>
      <c r="E185" s="348">
        <v>20611</v>
      </c>
      <c r="F185" s="348">
        <v>2271</v>
      </c>
      <c r="G185">
        <v>2065</v>
      </c>
    </row>
    <row r="186" spans="1:7" ht="16.5">
      <c r="A186" s="336">
        <f>VLOOKUP(B186,Sheet6!$F:$N,9,0)</f>
        <v>20612</v>
      </c>
      <c r="B186" s="331" t="s">
        <v>15885</v>
      </c>
      <c r="D186">
        <v>2066</v>
      </c>
      <c r="E186" s="348">
        <v>20612</v>
      </c>
      <c r="F186" s="348">
        <v>2272</v>
      </c>
      <c r="G186">
        <v>2066</v>
      </c>
    </row>
    <row r="187" spans="1:7" ht="16.5">
      <c r="A187" s="336">
        <f>VLOOKUP(B187,Sheet6!$F:$N,9,0)</f>
        <v>20613</v>
      </c>
      <c r="B187" s="331" t="s">
        <v>15900</v>
      </c>
      <c r="D187">
        <v>2067</v>
      </c>
      <c r="E187" s="348">
        <v>20613</v>
      </c>
      <c r="F187" s="348">
        <v>2273</v>
      </c>
      <c r="G187">
        <v>2067</v>
      </c>
    </row>
    <row r="188" spans="1:7" ht="16.5">
      <c r="A188" s="336">
        <f>VLOOKUP(B188,Sheet6!$F:$N,9,0)</f>
        <v>20614</v>
      </c>
      <c r="B188" s="331" t="s">
        <v>15915</v>
      </c>
      <c r="D188">
        <v>2068</v>
      </c>
      <c r="E188" s="348">
        <v>20614</v>
      </c>
      <c r="F188" s="348">
        <v>2274</v>
      </c>
      <c r="G188">
        <v>2068</v>
      </c>
    </row>
    <row r="189" spans="1:7" ht="16.5">
      <c r="A189" s="336">
        <f>VLOOKUP(B189,Sheet6!$F:$N,9,0)</f>
        <v>20615</v>
      </c>
      <c r="B189" s="331" t="s">
        <v>15930</v>
      </c>
      <c r="D189">
        <v>20611</v>
      </c>
      <c r="E189" s="348">
        <v>20615</v>
      </c>
      <c r="F189" s="348">
        <v>2275</v>
      </c>
      <c r="G189">
        <v>2271</v>
      </c>
    </row>
    <row r="190" spans="1:7" ht="16.5">
      <c r="A190" s="336">
        <f>VLOOKUP(B190,Sheet6!$F:$N,9,0)</f>
        <v>20616</v>
      </c>
      <c r="B190" s="331" t="s">
        <v>15945</v>
      </c>
      <c r="D190">
        <v>20621</v>
      </c>
      <c r="E190" s="348">
        <v>20616</v>
      </c>
      <c r="F190" s="348">
        <v>2276</v>
      </c>
      <c r="G190">
        <v>2285</v>
      </c>
    </row>
    <row r="191" spans="1:7" ht="16.5">
      <c r="A191" s="336">
        <f>VLOOKUP(B191,Sheet6!$F:$N,9,0)</f>
        <v>20617</v>
      </c>
      <c r="B191" s="331" t="s">
        <v>15960</v>
      </c>
      <c r="D191">
        <v>20631</v>
      </c>
      <c r="E191" s="348">
        <v>20617</v>
      </c>
      <c r="F191" s="348">
        <v>2277</v>
      </c>
      <c r="G191">
        <v>2295</v>
      </c>
    </row>
    <row r="192" spans="1:7" ht="16.5">
      <c r="A192" s="336">
        <f>VLOOKUP(B192,Sheet6!$F:$N,9,0)</f>
        <v>20618</v>
      </c>
      <c r="B192" s="331" t="s">
        <v>15975</v>
      </c>
      <c r="D192">
        <v>20641</v>
      </c>
      <c r="E192" s="348">
        <v>20618</v>
      </c>
      <c r="F192" s="348">
        <v>2278</v>
      </c>
      <c r="G192">
        <v>2309</v>
      </c>
    </row>
    <row r="193" spans="1:7" ht="16.5">
      <c r="A193" s="336">
        <f>VLOOKUP(B193,Sheet6!$F:$N,9,0)</f>
        <v>20619</v>
      </c>
      <c r="B193" s="331" t="s">
        <v>15990</v>
      </c>
      <c r="D193">
        <v>20492</v>
      </c>
      <c r="E193" s="348">
        <v>20619</v>
      </c>
      <c r="F193" s="348">
        <v>2279</v>
      </c>
      <c r="G193">
        <v>2327</v>
      </c>
    </row>
    <row r="194" spans="1:7" ht="16.5">
      <c r="A194" s="336">
        <f>VLOOKUP(B194,Sheet6!$F:$N,9,0)</f>
        <v>20620</v>
      </c>
      <c r="B194" s="331" t="s">
        <v>16005</v>
      </c>
      <c r="D194">
        <v>20502</v>
      </c>
      <c r="E194" s="348">
        <v>20620</v>
      </c>
      <c r="F194" s="348">
        <v>2280</v>
      </c>
      <c r="G194">
        <v>2341</v>
      </c>
    </row>
    <row r="195" spans="1:7" ht="16.5">
      <c r="A195" s="336">
        <f>VLOOKUP(B195,Sheet6!$F:$N,9,0)</f>
        <v>206211</v>
      </c>
      <c r="B195" s="331" t="s">
        <v>16020</v>
      </c>
      <c r="D195">
        <v>20512</v>
      </c>
      <c r="E195" s="348">
        <v>206211</v>
      </c>
      <c r="F195" s="348">
        <v>2281</v>
      </c>
      <c r="G195">
        <v>2355</v>
      </c>
    </row>
    <row r="196" spans="1:7" ht="16.5">
      <c r="A196" s="336">
        <f>VLOOKUP(B196,Sheet6!$F:$N,9,0)</f>
        <v>621</v>
      </c>
      <c r="B196" s="331" t="s">
        <v>16035</v>
      </c>
      <c r="D196">
        <v>20522</v>
      </c>
      <c r="E196" s="348">
        <v>621</v>
      </c>
      <c r="F196" s="348">
        <v>2282</v>
      </c>
      <c r="G196">
        <v>2369</v>
      </c>
    </row>
    <row r="197" spans="1:7" ht="16.5">
      <c r="A197" s="336">
        <f>VLOOKUP(B197,Sheet6!$F:$N,9,0)</f>
        <v>622</v>
      </c>
      <c r="B197" s="331" t="s">
        <v>16050</v>
      </c>
      <c r="D197">
        <v>20412</v>
      </c>
      <c r="E197" s="348">
        <v>622</v>
      </c>
      <c r="F197" s="348">
        <v>2283</v>
      </c>
      <c r="G197">
        <v>2383</v>
      </c>
    </row>
    <row r="198" spans="1:7" ht="16.5">
      <c r="A198" s="336">
        <f>VLOOKUP(B198,Sheet6!$F:$N,9,0)</f>
        <v>623</v>
      </c>
      <c r="B198" s="331" t="s">
        <v>16065</v>
      </c>
      <c r="D198">
        <v>20422</v>
      </c>
      <c r="E198" s="348">
        <v>623</v>
      </c>
      <c r="F198" s="348">
        <v>2284</v>
      </c>
      <c r="G198">
        <v>2397</v>
      </c>
    </row>
    <row r="199" spans="1:7" ht="16.5">
      <c r="A199" s="336">
        <f>VLOOKUP(B199,Sheet6!$F:$N,9,0)</f>
        <v>2062</v>
      </c>
      <c r="B199" s="331" t="s">
        <v>16080</v>
      </c>
      <c r="D199">
        <v>20432</v>
      </c>
      <c r="E199" s="348">
        <v>2062</v>
      </c>
      <c r="F199" s="355">
        <v>2062</v>
      </c>
      <c r="G199">
        <v>2411</v>
      </c>
    </row>
    <row r="200" spans="1:7" ht="16.5">
      <c r="A200" s="336">
        <f>VLOOKUP(B200,Sheet6!$F:$N,9,0)</f>
        <v>20621</v>
      </c>
      <c r="B200" s="331" t="s">
        <v>16095</v>
      </c>
      <c r="D200">
        <v>20442</v>
      </c>
      <c r="E200" s="348">
        <v>20621</v>
      </c>
      <c r="F200" s="348">
        <v>2285</v>
      </c>
      <c r="G200">
        <v>2425</v>
      </c>
    </row>
    <row r="201" spans="1:7" ht="16.5">
      <c r="A201" s="336">
        <f>VLOOKUP(B201,Sheet6!$F:$N,9,0)</f>
        <v>20622</v>
      </c>
      <c r="B201" s="331" t="s">
        <v>16110</v>
      </c>
      <c r="D201">
        <v>20293</v>
      </c>
      <c r="E201" s="348">
        <v>20622</v>
      </c>
      <c r="F201" s="348">
        <v>2286</v>
      </c>
      <c r="G201">
        <v>2439</v>
      </c>
    </row>
    <row r="202" spans="1:7" ht="16.5">
      <c r="A202" s="336">
        <f>VLOOKUP(B202,Sheet6!$F:$N,9,0)</f>
        <v>20623</v>
      </c>
      <c r="B202" s="331" t="s">
        <v>16125</v>
      </c>
      <c r="D202">
        <v>20303</v>
      </c>
      <c r="E202" s="348">
        <v>20623</v>
      </c>
      <c r="F202" s="348">
        <v>2287</v>
      </c>
      <c r="G202">
        <v>2453</v>
      </c>
    </row>
    <row r="203" spans="1:7" ht="16.5">
      <c r="A203" s="336">
        <f>VLOOKUP(B203,Sheet6!$F:$N,9,0)</f>
        <v>20624</v>
      </c>
      <c r="B203" s="331" t="s">
        <v>16140</v>
      </c>
      <c r="D203">
        <v>20313</v>
      </c>
      <c r="E203" s="348">
        <v>20624</v>
      </c>
      <c r="F203" s="348">
        <v>2288</v>
      </c>
      <c r="G203">
        <v>2467</v>
      </c>
    </row>
    <row r="204" spans="1:7" ht="16.5">
      <c r="A204" s="336">
        <f>VLOOKUP(B204,Sheet6!$F:$N,9,0)</f>
        <v>20625</v>
      </c>
      <c r="B204" s="331" t="s">
        <v>16155</v>
      </c>
      <c r="D204">
        <v>20323</v>
      </c>
      <c r="E204" s="348">
        <v>20625</v>
      </c>
      <c r="F204" s="348">
        <v>2289</v>
      </c>
      <c r="G204">
        <v>2481</v>
      </c>
    </row>
    <row r="205" spans="1:7" ht="16.5">
      <c r="A205" s="336">
        <f>VLOOKUP(B205,Sheet6!$F:$N,9,0)</f>
        <v>20626</v>
      </c>
      <c r="B205" s="331" t="s">
        <v>16170</v>
      </c>
      <c r="D205">
        <v>20253</v>
      </c>
      <c r="E205" s="348">
        <v>20626</v>
      </c>
      <c r="F205" s="348">
        <v>2290</v>
      </c>
      <c r="G205">
        <v>2495</v>
      </c>
    </row>
    <row r="206" spans="1:7" ht="16.5">
      <c r="A206" s="336">
        <f>VLOOKUP(B206,Sheet6!$F:$N,9,0)</f>
        <v>20627</v>
      </c>
      <c r="B206" s="331" t="s">
        <v>16185</v>
      </c>
      <c r="D206">
        <v>20263</v>
      </c>
      <c r="E206" s="348">
        <v>20627</v>
      </c>
      <c r="F206" s="348">
        <v>2291</v>
      </c>
      <c r="G206">
        <v>2509</v>
      </c>
    </row>
    <row r="207" spans="1:7" ht="16.5">
      <c r="A207" s="336">
        <f>VLOOKUP(B207,Sheet6!$F:$N,9,0)</f>
        <v>20628</v>
      </c>
      <c r="B207" s="331" t="s">
        <v>16200</v>
      </c>
      <c r="D207">
        <v>20273</v>
      </c>
      <c r="E207" s="348">
        <v>20628</v>
      </c>
      <c r="F207" s="348">
        <v>2292</v>
      </c>
      <c r="G207">
        <v>2523</v>
      </c>
    </row>
    <row r="208" spans="1:7" ht="16.5">
      <c r="A208" s="336">
        <f>VLOOKUP(B208,Sheet6!$F:$N,9,0)</f>
        <v>20629</v>
      </c>
      <c r="B208" s="331" t="s">
        <v>16215</v>
      </c>
      <c r="D208">
        <v>20283</v>
      </c>
      <c r="E208" s="348">
        <v>20629</v>
      </c>
      <c r="F208" s="348">
        <v>2293</v>
      </c>
      <c r="G208">
        <v>2537</v>
      </c>
    </row>
    <row r="209" spans="1:7" ht="16.5">
      <c r="A209" s="336">
        <f>VLOOKUP(B209,Sheet6!$F:$N,9,0)</f>
        <v>20630</v>
      </c>
      <c r="B209" s="331" t="s">
        <v>16230</v>
      </c>
      <c r="D209">
        <v>20213</v>
      </c>
      <c r="E209" s="348">
        <v>20630</v>
      </c>
      <c r="F209" s="348">
        <v>2294</v>
      </c>
      <c r="G209">
        <v>2551</v>
      </c>
    </row>
    <row r="210" spans="1:7" ht="16.5">
      <c r="A210" s="336">
        <f>VLOOKUP(B210,Sheet6!$F:$N,9,0)</f>
        <v>20631</v>
      </c>
      <c r="B210" s="331" t="s">
        <v>16245</v>
      </c>
      <c r="D210">
        <v>20223</v>
      </c>
      <c r="E210" s="348">
        <v>20631</v>
      </c>
      <c r="F210" s="348">
        <v>2295</v>
      </c>
      <c r="G210">
        <v>2565</v>
      </c>
    </row>
    <row r="211" spans="1:7" ht="16.5">
      <c r="A211" s="336">
        <f>VLOOKUP(B211,Sheet6!$F:$N,9,0)</f>
        <v>631</v>
      </c>
      <c r="B211" s="331" t="s">
        <v>16260</v>
      </c>
      <c r="D211">
        <v>20233</v>
      </c>
      <c r="E211" s="348">
        <v>631</v>
      </c>
      <c r="F211" s="348">
        <v>2296</v>
      </c>
      <c r="G211">
        <v>2579</v>
      </c>
    </row>
    <row r="212" spans="1:7" ht="16.5">
      <c r="A212" s="336">
        <f>VLOOKUP(B212,Sheet6!$F:$N,9,0)</f>
        <v>632</v>
      </c>
      <c r="B212" s="331" t="s">
        <v>16275</v>
      </c>
      <c r="D212">
        <v>20243</v>
      </c>
      <c r="E212" s="348">
        <v>632</v>
      </c>
      <c r="F212" s="348">
        <v>2297</v>
      </c>
      <c r="G212">
        <v>2593</v>
      </c>
    </row>
    <row r="213" spans="1:7" ht="16.5">
      <c r="A213" s="336">
        <f>VLOOKUP(B213,Sheet6!$F:$N,9,0)</f>
        <v>633</v>
      </c>
      <c r="B213" s="331" t="s">
        <v>16290</v>
      </c>
      <c r="D213">
        <v>200114</v>
      </c>
      <c r="E213" s="348">
        <v>633</v>
      </c>
      <c r="F213" s="348">
        <v>2298</v>
      </c>
      <c r="G213">
        <v>2607</v>
      </c>
    </row>
    <row r="214" spans="1:7" ht="16.5">
      <c r="A214" s="336">
        <f>VLOOKUP(B214,Sheet6!$F:$N,9,0)</f>
        <v>2063</v>
      </c>
      <c r="B214" s="331" t="s">
        <v>16305</v>
      </c>
      <c r="D214">
        <v>200214</v>
      </c>
      <c r="E214" s="348">
        <v>2063</v>
      </c>
      <c r="F214" s="355">
        <v>2063</v>
      </c>
      <c r="G214">
        <v>2621</v>
      </c>
    </row>
    <row r="215" spans="1:7" ht="16.5">
      <c r="A215" s="336">
        <f>VLOOKUP(B215,Sheet6!$F:$N,9,0)</f>
        <v>20631</v>
      </c>
      <c r="B215" s="331" t="s">
        <v>16320</v>
      </c>
      <c r="D215">
        <v>200314</v>
      </c>
      <c r="E215" s="348">
        <v>20631</v>
      </c>
      <c r="F215" s="348">
        <v>2299</v>
      </c>
      <c r="G215">
        <v>2635</v>
      </c>
    </row>
    <row r="216" spans="1:7" ht="16.5">
      <c r="A216" s="336">
        <f>VLOOKUP(B216,Sheet6!$F:$N,9,0)</f>
        <v>20632</v>
      </c>
      <c r="B216" s="331" t="s">
        <v>16335</v>
      </c>
      <c r="D216">
        <v>200414</v>
      </c>
      <c r="E216" s="348">
        <v>20632</v>
      </c>
      <c r="F216" s="348">
        <v>2300</v>
      </c>
      <c r="G216">
        <v>2649</v>
      </c>
    </row>
    <row r="217" spans="1:7" ht="16.5">
      <c r="A217" s="336">
        <f>VLOOKUP(B217,Sheet6!$F:$N,9,0)</f>
        <v>20633</v>
      </c>
      <c r="B217" s="331" t="s">
        <v>16350</v>
      </c>
      <c r="D217">
        <v>20452</v>
      </c>
      <c r="E217" s="348">
        <v>20633</v>
      </c>
      <c r="F217" s="348">
        <v>2301</v>
      </c>
      <c r="G217">
        <v>2663</v>
      </c>
    </row>
    <row r="218" spans="1:7" ht="16.5">
      <c r="A218" s="336">
        <f>VLOOKUP(B218,Sheet6!$F:$N,9,0)</f>
        <v>20634</v>
      </c>
      <c r="B218" s="331" t="s">
        <v>16365</v>
      </c>
      <c r="D218">
        <v>20462</v>
      </c>
      <c r="E218" s="348">
        <v>20634</v>
      </c>
      <c r="F218" s="348">
        <v>2302</v>
      </c>
      <c r="G218">
        <v>2677</v>
      </c>
    </row>
    <row r="219" spans="1:7" ht="16.5">
      <c r="A219" s="336">
        <f>VLOOKUP(B219,Sheet6!$F:$N,9,0)</f>
        <v>20635</v>
      </c>
      <c r="B219" s="331" t="s">
        <v>16380</v>
      </c>
      <c r="D219">
        <v>20472</v>
      </c>
      <c r="E219" s="348">
        <v>20635</v>
      </c>
      <c r="F219" s="348">
        <v>2303</v>
      </c>
      <c r="G219">
        <v>2691</v>
      </c>
    </row>
    <row r="220" spans="1:7" ht="16.5">
      <c r="A220" s="336">
        <f>VLOOKUP(B220,Sheet6!$F:$N,9,0)</f>
        <v>20636</v>
      </c>
      <c r="B220" s="331" t="s">
        <v>16395</v>
      </c>
      <c r="D220">
        <v>20482</v>
      </c>
      <c r="E220" s="348">
        <v>20636</v>
      </c>
      <c r="F220" s="348">
        <v>2304</v>
      </c>
      <c r="G220">
        <v>2705</v>
      </c>
    </row>
    <row r="221" spans="1:7" ht="16.5">
      <c r="A221" s="336">
        <f>VLOOKUP(B221,Sheet6!$F:$N,9,0)</f>
        <v>20637</v>
      </c>
      <c r="B221" s="331" t="s">
        <v>15751</v>
      </c>
      <c r="D221">
        <v>186</v>
      </c>
      <c r="E221" s="348">
        <v>20637</v>
      </c>
      <c r="F221" s="348">
        <v>2305</v>
      </c>
      <c r="G221">
        <v>2105</v>
      </c>
    </row>
    <row r="222" spans="1:7" ht="16.5">
      <c r="A222" s="336">
        <f>VLOOKUP(B222,Sheet6!$F:$N,9,0)</f>
        <v>20638</v>
      </c>
      <c r="B222" s="331" t="s">
        <v>15766</v>
      </c>
      <c r="D222">
        <v>286</v>
      </c>
      <c r="E222" s="348">
        <v>20638</v>
      </c>
      <c r="F222" s="348">
        <v>2306</v>
      </c>
      <c r="G222">
        <v>2119</v>
      </c>
    </row>
    <row r="223" spans="1:7" ht="16.5">
      <c r="A223" s="336">
        <f>VLOOKUP(B223,Sheet6!$F:$N,9,0)</f>
        <v>20639</v>
      </c>
      <c r="B223" s="331" t="s">
        <v>15781</v>
      </c>
      <c r="D223">
        <v>386</v>
      </c>
      <c r="E223" s="348">
        <v>20639</v>
      </c>
      <c r="F223" s="348">
        <v>2307</v>
      </c>
      <c r="G223">
        <v>2133</v>
      </c>
    </row>
    <row r="224" spans="1:7" ht="16.5">
      <c r="A224" s="336">
        <f>VLOOKUP(B224,Sheet6!$F:$N,9,0)</f>
        <v>20640</v>
      </c>
      <c r="B224" s="331" t="s">
        <v>15796</v>
      </c>
      <c r="D224">
        <v>486</v>
      </c>
      <c r="E224" s="348">
        <v>20640</v>
      </c>
      <c r="F224" s="348">
        <v>2308</v>
      </c>
      <c r="G224">
        <v>2147</v>
      </c>
    </row>
    <row r="225" spans="1:7" ht="16.5">
      <c r="A225" s="336">
        <f>VLOOKUP(B225,Sheet6!$F:$N,9,0)</f>
        <v>20641</v>
      </c>
      <c r="B225" s="331" t="s">
        <v>15811</v>
      </c>
      <c r="D225">
        <v>20691</v>
      </c>
      <c r="E225" s="348">
        <v>20641</v>
      </c>
      <c r="F225" s="348">
        <v>2309</v>
      </c>
      <c r="G225">
        <v>2160</v>
      </c>
    </row>
    <row r="226" spans="1:7" ht="16.5">
      <c r="A226" s="336">
        <f>VLOOKUP(B226,Sheet6!$F:$N,9,0)</f>
        <v>641</v>
      </c>
      <c r="B226" s="331" t="s">
        <v>15826</v>
      </c>
      <c r="D226">
        <v>20701</v>
      </c>
      <c r="E226" s="348">
        <v>641</v>
      </c>
      <c r="F226" s="348">
        <v>2310</v>
      </c>
      <c r="G226">
        <v>2174</v>
      </c>
    </row>
    <row r="227" spans="1:7" ht="16.5">
      <c r="A227" s="336">
        <f>VLOOKUP(B227,Sheet6!$F:$N,9,0)</f>
        <v>642</v>
      </c>
      <c r="B227" s="331" t="s">
        <v>15841</v>
      </c>
      <c r="D227">
        <v>20711</v>
      </c>
      <c r="E227" s="348">
        <v>642</v>
      </c>
      <c r="F227" s="348">
        <v>2311</v>
      </c>
      <c r="G227">
        <v>2188</v>
      </c>
    </row>
    <row r="228" spans="1:7" ht="16.5">
      <c r="A228" s="336">
        <f>VLOOKUP(B228,Sheet6!$F:$N,9,0)</f>
        <v>643</v>
      </c>
      <c r="B228" s="331" t="s">
        <v>15856</v>
      </c>
      <c r="D228">
        <v>20721</v>
      </c>
      <c r="E228" s="348">
        <v>643</v>
      </c>
      <c r="F228" s="348">
        <v>2312</v>
      </c>
      <c r="G228">
        <v>2202</v>
      </c>
    </row>
    <row r="229" spans="1:7" ht="16.5">
      <c r="A229" s="336">
        <f>VLOOKUP(B229,Sheet6!$F:$N,9,0)</f>
        <v>2064</v>
      </c>
      <c r="B229" s="331" t="s">
        <v>15871</v>
      </c>
      <c r="D229">
        <v>20651</v>
      </c>
      <c r="E229" s="348">
        <v>2064</v>
      </c>
      <c r="F229" s="355">
        <v>2064</v>
      </c>
      <c r="G229">
        <v>2216</v>
      </c>
    </row>
    <row r="230" spans="1:7" ht="16.5">
      <c r="A230" s="336">
        <f>VLOOKUP(B230,Sheet6!$F:$N,9,0)</f>
        <v>20641</v>
      </c>
      <c r="B230" s="331" t="s">
        <v>15886</v>
      </c>
      <c r="D230">
        <v>20661</v>
      </c>
      <c r="E230" s="348">
        <v>20641</v>
      </c>
      <c r="F230" s="348">
        <v>2313</v>
      </c>
      <c r="G230">
        <v>2230</v>
      </c>
    </row>
    <row r="231" spans="1:7" ht="16.5">
      <c r="A231" s="336">
        <f>VLOOKUP(B231,Sheet6!$F:$N,9,0)</f>
        <v>20642</v>
      </c>
      <c r="B231" s="331" t="s">
        <v>15901</v>
      </c>
      <c r="D231">
        <v>20671</v>
      </c>
      <c r="E231" s="348">
        <v>20642</v>
      </c>
      <c r="F231" s="348">
        <v>2314</v>
      </c>
      <c r="G231">
        <v>2244</v>
      </c>
    </row>
    <row r="232" spans="1:7" ht="16.5">
      <c r="A232" s="336">
        <f>VLOOKUP(B232,Sheet6!$F:$N,9,0)</f>
        <v>20643</v>
      </c>
      <c r="B232" s="331" t="s">
        <v>15916</v>
      </c>
      <c r="D232">
        <v>20681</v>
      </c>
      <c r="E232" s="348">
        <v>20643</v>
      </c>
      <c r="F232" s="348">
        <v>2315</v>
      </c>
      <c r="G232">
        <v>2258</v>
      </c>
    </row>
    <row r="233" spans="1:7" ht="16.5">
      <c r="A233" s="336">
        <f>VLOOKUP(B233,Sheet6!$F:$N,9,0)</f>
        <v>20644</v>
      </c>
      <c r="B233" s="331" t="s">
        <v>15931</v>
      </c>
      <c r="D233">
        <v>20612</v>
      </c>
      <c r="E233" s="348">
        <v>20644</v>
      </c>
      <c r="F233" s="348">
        <v>2316</v>
      </c>
      <c r="G233">
        <v>2272</v>
      </c>
    </row>
    <row r="234" spans="1:7" ht="16.5">
      <c r="A234" s="336">
        <f>VLOOKUP(B234,Sheet6!$F:$N,9,0)</f>
        <v>20645</v>
      </c>
      <c r="B234" s="331" t="s">
        <v>15946</v>
      </c>
      <c r="D234">
        <v>20622</v>
      </c>
      <c r="E234" s="348">
        <v>20645</v>
      </c>
      <c r="F234" s="348">
        <v>2317</v>
      </c>
      <c r="G234">
        <v>2286</v>
      </c>
    </row>
    <row r="235" spans="1:7" ht="16.5">
      <c r="A235" s="336">
        <f>VLOOKUP(B235,Sheet6!$F:$N,9,0)</f>
        <v>20646</v>
      </c>
      <c r="B235" s="331" t="s">
        <v>15961</v>
      </c>
      <c r="D235">
        <v>20632</v>
      </c>
      <c r="E235" s="348">
        <v>20646</v>
      </c>
      <c r="F235" s="348">
        <v>2318</v>
      </c>
      <c r="G235">
        <v>2300</v>
      </c>
    </row>
    <row r="236" spans="1:7" ht="16.5">
      <c r="A236" s="336">
        <f>VLOOKUP(B236,Sheet6!$F:$N,9,0)</f>
        <v>20647</v>
      </c>
      <c r="B236" s="331" t="s">
        <v>15976</v>
      </c>
      <c r="D236">
        <v>20642</v>
      </c>
      <c r="E236" s="348">
        <v>20647</v>
      </c>
      <c r="F236" s="348">
        <v>2319</v>
      </c>
      <c r="G236">
        <v>2314</v>
      </c>
    </row>
    <row r="237" spans="1:7" ht="16.5">
      <c r="A237" s="336">
        <f>VLOOKUP(B237,Sheet6!$F:$N,9,0)</f>
        <v>20648</v>
      </c>
      <c r="B237" s="331" t="s">
        <v>15991</v>
      </c>
      <c r="D237">
        <v>20493</v>
      </c>
      <c r="E237" s="348">
        <v>20648</v>
      </c>
      <c r="F237" s="348">
        <v>2320</v>
      </c>
      <c r="G237">
        <v>2328</v>
      </c>
    </row>
    <row r="238" spans="1:7" ht="16.5">
      <c r="A238" s="336">
        <f>VLOOKUP(B238,Sheet6!$F:$N,9,0)</f>
        <v>20649</v>
      </c>
      <c r="B238" s="331" t="s">
        <v>16006</v>
      </c>
      <c r="D238">
        <v>20503</v>
      </c>
      <c r="E238" s="348">
        <v>20649</v>
      </c>
      <c r="F238" s="348">
        <v>2321</v>
      </c>
      <c r="G238">
        <v>2342</v>
      </c>
    </row>
    <row r="239" spans="1:7" ht="16.5">
      <c r="A239" s="336">
        <f>VLOOKUP(B239,Sheet6!$F:$N,9,0)</f>
        <v>20650</v>
      </c>
      <c r="B239" s="331" t="s">
        <v>16021</v>
      </c>
      <c r="D239">
        <v>20513</v>
      </c>
      <c r="E239" s="348">
        <v>20650</v>
      </c>
      <c r="F239" s="348">
        <v>2322</v>
      </c>
      <c r="G239">
        <v>2356</v>
      </c>
    </row>
    <row r="240" spans="1:7" ht="16.5">
      <c r="A240" s="336">
        <f>VLOOKUP(B240,Sheet6!$F:$N,9,0)</f>
        <v>20651</v>
      </c>
      <c r="B240" s="331" t="s">
        <v>16036</v>
      </c>
      <c r="D240">
        <v>20523</v>
      </c>
      <c r="E240" s="348">
        <v>20651</v>
      </c>
      <c r="F240" s="348">
        <v>2323</v>
      </c>
      <c r="G240">
        <v>2370</v>
      </c>
    </row>
    <row r="241" spans="1:7" ht="16.5">
      <c r="A241" s="336">
        <f>VLOOKUP(B241,Sheet6!$F:$N,9,0)</f>
        <v>491</v>
      </c>
      <c r="B241" s="331" t="s">
        <v>16051</v>
      </c>
      <c r="D241">
        <v>20413</v>
      </c>
      <c r="E241" s="350">
        <v>491</v>
      </c>
      <c r="F241" s="348">
        <v>2324</v>
      </c>
      <c r="G241">
        <v>2384</v>
      </c>
    </row>
    <row r="242" spans="1:7" ht="16.5">
      <c r="A242" s="336">
        <f>VLOOKUP(B242,Sheet6!$F:$N,9,0)</f>
        <v>492</v>
      </c>
      <c r="B242" s="331" t="s">
        <v>16066</v>
      </c>
      <c r="D242">
        <v>20423</v>
      </c>
      <c r="E242" s="350">
        <v>492</v>
      </c>
      <c r="F242" s="348">
        <v>2325</v>
      </c>
      <c r="G242">
        <v>2398</v>
      </c>
    </row>
    <row r="243" spans="1:7" ht="16.5">
      <c r="A243" s="336">
        <f>VLOOKUP(B243,Sheet6!$F:$N,9,0)</f>
        <v>2049</v>
      </c>
      <c r="B243" s="331" t="s">
        <v>16081</v>
      </c>
      <c r="D243">
        <v>20433</v>
      </c>
      <c r="E243" s="350">
        <v>2049</v>
      </c>
      <c r="F243" s="356">
        <v>2049</v>
      </c>
      <c r="G243">
        <v>2412</v>
      </c>
    </row>
    <row r="244" spans="1:7" ht="16.5">
      <c r="A244" s="336">
        <f>VLOOKUP(B244,Sheet6!$F:$N,9,0)</f>
        <v>20491</v>
      </c>
      <c r="B244" s="331" t="s">
        <v>16096</v>
      </c>
      <c r="D244">
        <v>20443</v>
      </c>
      <c r="E244" s="350">
        <v>20491</v>
      </c>
      <c r="F244" s="350">
        <v>2326</v>
      </c>
      <c r="G244">
        <v>2426</v>
      </c>
    </row>
    <row r="245" spans="1:7" ht="16.5">
      <c r="A245" s="336">
        <f>VLOOKUP(B245,Sheet6!$F:$N,9,0)</f>
        <v>20492</v>
      </c>
      <c r="B245" s="331" t="s">
        <v>16111</v>
      </c>
      <c r="D245">
        <v>20294</v>
      </c>
      <c r="E245" s="350">
        <v>20492</v>
      </c>
      <c r="F245" s="350">
        <v>2327</v>
      </c>
      <c r="G245">
        <v>2440</v>
      </c>
    </row>
    <row r="246" spans="1:7" ht="16.5">
      <c r="A246" s="336">
        <f>VLOOKUP(B246,Sheet6!$F:$N,9,0)</f>
        <v>20493</v>
      </c>
      <c r="B246" s="331" t="s">
        <v>16126</v>
      </c>
      <c r="D246">
        <v>20304</v>
      </c>
      <c r="E246" s="350">
        <v>20493</v>
      </c>
      <c r="F246" s="350">
        <v>2328</v>
      </c>
      <c r="G246">
        <v>2454</v>
      </c>
    </row>
    <row r="247" spans="1:7" ht="16.5">
      <c r="A247" s="336">
        <f>VLOOKUP(B247,Sheet6!$F:$N,9,0)</f>
        <v>20494</v>
      </c>
      <c r="B247" s="331" t="s">
        <v>16141</v>
      </c>
      <c r="D247">
        <v>20314</v>
      </c>
      <c r="E247" s="350">
        <v>20494</v>
      </c>
      <c r="F247" s="350">
        <v>2329</v>
      </c>
      <c r="G247">
        <v>2468</v>
      </c>
    </row>
    <row r="248" spans="1:7" ht="16.5">
      <c r="A248" s="336">
        <f>VLOOKUP(B248,Sheet6!$F:$N,9,0)</f>
        <v>20495</v>
      </c>
      <c r="B248" s="331" t="s">
        <v>16156</v>
      </c>
      <c r="D248">
        <v>20324</v>
      </c>
      <c r="E248" s="350">
        <v>20495</v>
      </c>
      <c r="F248" s="350">
        <v>2330</v>
      </c>
      <c r="G248">
        <v>2482</v>
      </c>
    </row>
    <row r="249" spans="1:7" ht="16.5">
      <c r="A249" s="336">
        <f>VLOOKUP(B249,Sheet6!$F:$N,9,0)</f>
        <v>20496</v>
      </c>
      <c r="B249" s="331" t="s">
        <v>16171</v>
      </c>
      <c r="D249">
        <v>20254</v>
      </c>
      <c r="E249" s="350">
        <v>20496</v>
      </c>
      <c r="F249" s="350">
        <v>2331</v>
      </c>
      <c r="G249">
        <v>2496</v>
      </c>
    </row>
    <row r="250" spans="1:7" ht="16.5">
      <c r="A250" s="336">
        <f>VLOOKUP(B250,Sheet6!$F:$N,9,0)</f>
        <v>20497</v>
      </c>
      <c r="B250" s="331" t="s">
        <v>16186</v>
      </c>
      <c r="D250">
        <v>20264</v>
      </c>
      <c r="E250" s="350">
        <v>20497</v>
      </c>
      <c r="F250" s="350">
        <v>2332</v>
      </c>
      <c r="G250">
        <v>2510</v>
      </c>
    </row>
    <row r="251" spans="1:7" ht="16.5">
      <c r="A251" s="336">
        <f>VLOOKUP(B251,Sheet6!$F:$N,9,0)</f>
        <v>20498</v>
      </c>
      <c r="B251" s="331" t="s">
        <v>16201</v>
      </c>
      <c r="D251">
        <v>20274</v>
      </c>
      <c r="E251" s="350">
        <v>20498</v>
      </c>
      <c r="F251" s="350">
        <v>2333</v>
      </c>
      <c r="G251">
        <v>2524</v>
      </c>
    </row>
    <row r="252" spans="1:7" ht="16.5">
      <c r="A252" s="336">
        <f>VLOOKUP(B252,Sheet6!$F:$N,9,0)</f>
        <v>20499</v>
      </c>
      <c r="B252" s="331" t="s">
        <v>16216</v>
      </c>
      <c r="D252">
        <v>20284</v>
      </c>
      <c r="E252" s="350">
        <v>20499</v>
      </c>
      <c r="F252" s="350">
        <v>2334</v>
      </c>
      <c r="G252">
        <v>2538</v>
      </c>
    </row>
    <row r="253" spans="1:7" ht="16.5">
      <c r="A253" s="336">
        <f>VLOOKUP(B253,Sheet6!$F:$N,9,0)</f>
        <v>20500</v>
      </c>
      <c r="B253" s="331" t="s">
        <v>16231</v>
      </c>
      <c r="D253">
        <v>20214</v>
      </c>
      <c r="E253" s="350">
        <v>20500</v>
      </c>
      <c r="F253" s="350">
        <v>2335</v>
      </c>
      <c r="G253">
        <v>2552</v>
      </c>
    </row>
    <row r="254" spans="1:7" ht="16.5">
      <c r="A254" s="336">
        <f>VLOOKUP(B254,Sheet6!$F:$N,9,0)</f>
        <v>205011</v>
      </c>
      <c r="B254" s="331" t="s">
        <v>16246</v>
      </c>
      <c r="D254">
        <v>20224</v>
      </c>
      <c r="E254" s="350">
        <v>205011</v>
      </c>
      <c r="F254" s="350">
        <v>2336</v>
      </c>
      <c r="G254">
        <v>2566</v>
      </c>
    </row>
    <row r="255" spans="1:7" ht="16.5">
      <c r="A255" s="336">
        <f>VLOOKUP(B255,Sheet6!$F:$N,9,0)</f>
        <v>205012</v>
      </c>
      <c r="B255" s="331" t="s">
        <v>16261</v>
      </c>
      <c r="D255">
        <v>20234</v>
      </c>
      <c r="E255" s="350">
        <v>205012</v>
      </c>
      <c r="F255" s="350">
        <v>2337</v>
      </c>
      <c r="G255">
        <v>2580</v>
      </c>
    </row>
    <row r="256" spans="1:7" ht="16.5">
      <c r="A256" s="336">
        <f>VLOOKUP(B256,Sheet6!$F:$N,9,0)</f>
        <v>501</v>
      </c>
      <c r="B256" s="331" t="s">
        <v>16276</v>
      </c>
      <c r="D256">
        <v>20244</v>
      </c>
      <c r="E256" s="350">
        <v>501</v>
      </c>
      <c r="F256" s="350">
        <v>2338</v>
      </c>
      <c r="G256">
        <v>2594</v>
      </c>
    </row>
    <row r="257" spans="1:7" ht="16.5">
      <c r="A257" s="336">
        <f>VLOOKUP(B257,Sheet6!$F:$N,9,0)</f>
        <v>502</v>
      </c>
      <c r="B257" s="331" t="s">
        <v>16291</v>
      </c>
      <c r="D257">
        <v>200115</v>
      </c>
      <c r="E257" s="350">
        <v>502</v>
      </c>
      <c r="F257" s="350">
        <v>2339</v>
      </c>
      <c r="G257">
        <v>2608</v>
      </c>
    </row>
    <row r="258" spans="1:7" ht="16.5">
      <c r="A258" s="336">
        <f>VLOOKUP(B258,Sheet6!$F:$N,9,0)</f>
        <v>2050</v>
      </c>
      <c r="B258" s="331" t="s">
        <v>16306</v>
      </c>
      <c r="D258">
        <v>200215</v>
      </c>
      <c r="E258" s="350">
        <v>2050</v>
      </c>
      <c r="F258" s="356">
        <v>2050</v>
      </c>
      <c r="G258">
        <v>2622</v>
      </c>
    </row>
    <row r="259" spans="1:7" ht="16.5">
      <c r="A259" s="336">
        <f>VLOOKUP(B259,Sheet6!$F:$N,9,0)</f>
        <v>20501</v>
      </c>
      <c r="B259" s="331" t="s">
        <v>16321</v>
      </c>
      <c r="D259">
        <v>200315</v>
      </c>
      <c r="E259" s="350">
        <v>20501</v>
      </c>
      <c r="F259" s="350">
        <v>2340</v>
      </c>
      <c r="G259">
        <v>2636</v>
      </c>
    </row>
    <row r="260" spans="1:7" ht="16.5">
      <c r="A260" s="336">
        <f>VLOOKUP(B260,Sheet6!$F:$N,9,0)</f>
        <v>20502</v>
      </c>
      <c r="B260" s="331" t="s">
        <v>16336</v>
      </c>
      <c r="D260">
        <v>200415</v>
      </c>
      <c r="E260" s="350">
        <v>20502</v>
      </c>
      <c r="F260" s="350">
        <v>2341</v>
      </c>
      <c r="G260">
        <v>2650</v>
      </c>
    </row>
    <row r="261" spans="1:7" ht="16.5">
      <c r="A261" s="336">
        <f>VLOOKUP(B261,Sheet6!$F:$N,9,0)</f>
        <v>20503</v>
      </c>
      <c r="B261" s="331" t="s">
        <v>16351</v>
      </c>
      <c r="D261">
        <v>20453</v>
      </c>
      <c r="E261" s="350">
        <v>20503</v>
      </c>
      <c r="F261" s="350">
        <v>2342</v>
      </c>
      <c r="G261">
        <v>2664</v>
      </c>
    </row>
    <row r="262" spans="1:7" ht="16.5">
      <c r="A262" s="336">
        <f>VLOOKUP(B262,Sheet6!$F:$N,9,0)</f>
        <v>20504</v>
      </c>
      <c r="B262" s="331" t="s">
        <v>16366</v>
      </c>
      <c r="D262">
        <v>20463</v>
      </c>
      <c r="E262" s="350">
        <v>20504</v>
      </c>
      <c r="F262" s="350">
        <v>2343</v>
      </c>
      <c r="G262">
        <v>2678</v>
      </c>
    </row>
    <row r="263" spans="1:7" ht="16.5">
      <c r="A263" s="336">
        <f>VLOOKUP(B263,Sheet6!$F:$N,9,0)</f>
        <v>20505</v>
      </c>
      <c r="B263" s="331" t="s">
        <v>16381</v>
      </c>
      <c r="D263">
        <v>20473</v>
      </c>
      <c r="E263" s="350">
        <v>20505</v>
      </c>
      <c r="F263" s="350">
        <v>2344</v>
      </c>
      <c r="G263">
        <v>2692</v>
      </c>
    </row>
    <row r="264" spans="1:7" ht="16.5">
      <c r="A264" s="336">
        <f>VLOOKUP(B264,Sheet6!$F:$N,9,0)</f>
        <v>20506</v>
      </c>
      <c r="B264" s="331" t="s">
        <v>16396</v>
      </c>
      <c r="D264">
        <v>20483</v>
      </c>
      <c r="E264" s="350">
        <v>20506</v>
      </c>
      <c r="F264" s="350">
        <v>2345</v>
      </c>
      <c r="G264">
        <v>2706</v>
      </c>
    </row>
    <row r="265" spans="1:7" ht="16.5">
      <c r="A265" s="336" t="e">
        <f>VLOOKUP(B265,Sheet6!$F:$N,9,0)</f>
        <v>#N/A</v>
      </c>
      <c r="B265" s="331" t="s">
        <v>15752</v>
      </c>
      <c r="D265">
        <v>187</v>
      </c>
      <c r="E265" s="350">
        <v>20507</v>
      </c>
      <c r="F265" s="350">
        <v>2346</v>
      </c>
      <c r="G265">
        <v>2106</v>
      </c>
    </row>
    <row r="266" spans="1:7" ht="16.5">
      <c r="A266" s="336">
        <f>VLOOKUP(B266,Sheet6!$F:$N,9,0)</f>
        <v>20417</v>
      </c>
      <c r="B266" s="331" t="s">
        <v>15767</v>
      </c>
      <c r="D266">
        <v>287</v>
      </c>
      <c r="E266" s="350">
        <v>20508</v>
      </c>
      <c r="F266" s="350">
        <v>2347</v>
      </c>
      <c r="G266">
        <v>2120</v>
      </c>
    </row>
    <row r="267" spans="1:7" ht="16.5">
      <c r="A267" s="336">
        <f>VLOOKUP(B267,Sheet6!$F:$N,9,0)</f>
        <v>20418</v>
      </c>
      <c r="B267" s="331" t="s">
        <v>15782</v>
      </c>
      <c r="D267">
        <v>387</v>
      </c>
      <c r="E267" s="350">
        <v>20509</v>
      </c>
      <c r="F267" s="350">
        <v>2348</v>
      </c>
      <c r="G267">
        <v>2134</v>
      </c>
    </row>
    <row r="268" spans="1:7" ht="16.5">
      <c r="A268" s="336">
        <f>VLOOKUP(B268,Sheet6!$F:$N,9,0)</f>
        <v>20419</v>
      </c>
      <c r="B268" s="331" t="s">
        <v>15797</v>
      </c>
      <c r="D268">
        <v>487</v>
      </c>
      <c r="E268" s="350">
        <v>20510</v>
      </c>
      <c r="F268" s="350">
        <v>2349</v>
      </c>
      <c r="G268">
        <v>2148</v>
      </c>
    </row>
    <row r="269" spans="1:7" ht="16.5">
      <c r="A269" s="336">
        <f>VLOOKUP(B269,Sheet6!$F:$N,9,0)</f>
        <v>20420</v>
      </c>
      <c r="B269" s="331" t="s">
        <v>15812</v>
      </c>
      <c r="D269">
        <v>20692</v>
      </c>
      <c r="E269" s="350">
        <v>205111</v>
      </c>
      <c r="F269" s="350">
        <v>2350</v>
      </c>
      <c r="G269">
        <v>2161</v>
      </c>
    </row>
    <row r="270" spans="1:7" ht="16.5">
      <c r="A270" s="336">
        <f>VLOOKUP(B270,Sheet6!$F:$N,9,0)</f>
        <v>204211</v>
      </c>
      <c r="B270" s="331" t="s">
        <v>15827</v>
      </c>
      <c r="D270">
        <v>20702</v>
      </c>
      <c r="E270" s="350">
        <v>205112</v>
      </c>
      <c r="F270" s="350">
        <v>2351</v>
      </c>
      <c r="G270">
        <v>2175</v>
      </c>
    </row>
    <row r="271" spans="1:7" ht="16.5">
      <c r="A271" s="336">
        <f>VLOOKUP(B271,Sheet6!$F:$N,9,0)</f>
        <v>204212</v>
      </c>
      <c r="B271" s="331" t="s">
        <v>15842</v>
      </c>
      <c r="D271">
        <v>20712</v>
      </c>
      <c r="E271" s="350">
        <v>511</v>
      </c>
      <c r="F271" s="350">
        <v>2352</v>
      </c>
      <c r="G271">
        <v>2189</v>
      </c>
    </row>
    <row r="272" spans="1:7" ht="16.5">
      <c r="A272" s="336">
        <f>VLOOKUP(B272,Sheet6!$F:$N,9,0)</f>
        <v>421</v>
      </c>
      <c r="B272" s="331" t="s">
        <v>15857</v>
      </c>
      <c r="D272">
        <v>20722</v>
      </c>
      <c r="E272" s="350">
        <v>512</v>
      </c>
      <c r="F272" s="350">
        <v>2353</v>
      </c>
      <c r="G272">
        <v>2203</v>
      </c>
    </row>
    <row r="273" spans="1:7" ht="16.5">
      <c r="A273" s="336">
        <f>VLOOKUP(B273,Sheet6!$F:$N,9,0)</f>
        <v>422</v>
      </c>
      <c r="B273" s="331" t="s">
        <v>15872</v>
      </c>
      <c r="D273">
        <v>20652</v>
      </c>
      <c r="E273" s="350">
        <v>2051</v>
      </c>
      <c r="F273" s="356">
        <v>2051</v>
      </c>
      <c r="G273">
        <v>2217</v>
      </c>
    </row>
    <row r="274" spans="1:7" ht="16.5">
      <c r="A274" s="336">
        <f>VLOOKUP(B274,Sheet6!$F:$N,9,0)</f>
        <v>2042</v>
      </c>
      <c r="B274" s="331" t="s">
        <v>15887</v>
      </c>
      <c r="D274">
        <v>20662</v>
      </c>
      <c r="E274" s="350">
        <v>20511</v>
      </c>
      <c r="F274" s="350">
        <v>2354</v>
      </c>
      <c r="G274">
        <v>2231</v>
      </c>
    </row>
    <row r="275" spans="1:7" ht="16.5">
      <c r="A275" s="336">
        <f>VLOOKUP(B275,Sheet6!$F:$N,9,0)</f>
        <v>20421</v>
      </c>
      <c r="B275" s="331" t="s">
        <v>15902</v>
      </c>
      <c r="D275">
        <v>20672</v>
      </c>
      <c r="E275" s="350">
        <v>20512</v>
      </c>
      <c r="F275" s="350">
        <v>2355</v>
      </c>
      <c r="G275">
        <v>2245</v>
      </c>
    </row>
    <row r="276" spans="1:7" ht="16.5">
      <c r="A276" s="336">
        <f>VLOOKUP(B276,Sheet6!$F:$N,9,0)</f>
        <v>20422</v>
      </c>
      <c r="B276" s="331" t="s">
        <v>15917</v>
      </c>
      <c r="D276">
        <v>20682</v>
      </c>
      <c r="E276" s="350">
        <v>20513</v>
      </c>
      <c r="F276" s="350">
        <v>2356</v>
      </c>
      <c r="G276">
        <v>2259</v>
      </c>
    </row>
    <row r="277" spans="1:7" ht="16.5">
      <c r="A277" s="336">
        <f>VLOOKUP(B277,Sheet6!$F:$N,9,0)</f>
        <v>20423</v>
      </c>
      <c r="B277" s="331" t="s">
        <v>15932</v>
      </c>
      <c r="D277">
        <v>20613</v>
      </c>
      <c r="E277" s="350">
        <v>20514</v>
      </c>
      <c r="F277" s="350">
        <v>2357</v>
      </c>
      <c r="G277">
        <v>2273</v>
      </c>
    </row>
    <row r="278" spans="1:7" ht="16.5">
      <c r="A278" s="336">
        <f>VLOOKUP(B278,Sheet6!$F:$N,9,0)</f>
        <v>20424</v>
      </c>
      <c r="B278" s="331" t="s">
        <v>15947</v>
      </c>
      <c r="D278">
        <v>20623</v>
      </c>
      <c r="E278" s="350">
        <v>20515</v>
      </c>
      <c r="F278" s="350">
        <v>2358</v>
      </c>
      <c r="G278">
        <v>2287</v>
      </c>
    </row>
    <row r="279" spans="1:7" ht="16.5">
      <c r="A279" s="336">
        <f>VLOOKUP(B279,Sheet6!$F:$N,9,0)</f>
        <v>20425</v>
      </c>
      <c r="B279" s="331" t="s">
        <v>15962</v>
      </c>
      <c r="D279">
        <v>20633</v>
      </c>
      <c r="E279" s="350">
        <v>20516</v>
      </c>
      <c r="F279" s="350">
        <v>2359</v>
      </c>
      <c r="G279">
        <v>2301</v>
      </c>
    </row>
    <row r="280" spans="1:7" ht="16.5">
      <c r="A280" s="336">
        <f>VLOOKUP(B280,Sheet6!$F:$N,9,0)</f>
        <v>20426</v>
      </c>
      <c r="B280" s="331" t="s">
        <v>15977</v>
      </c>
      <c r="D280">
        <v>20643</v>
      </c>
      <c r="E280" s="350">
        <v>20517</v>
      </c>
      <c r="F280" s="350">
        <v>2360</v>
      </c>
      <c r="G280">
        <v>2315</v>
      </c>
    </row>
    <row r="281" spans="1:7" ht="16.5">
      <c r="A281" s="336">
        <f>VLOOKUP(B281,Sheet6!$F:$N,9,0)</f>
        <v>20427</v>
      </c>
      <c r="B281" s="331" t="s">
        <v>15992</v>
      </c>
      <c r="D281">
        <v>20494</v>
      </c>
      <c r="E281" s="350">
        <v>20518</v>
      </c>
      <c r="F281" s="350">
        <v>2361</v>
      </c>
      <c r="G281">
        <v>2329</v>
      </c>
    </row>
    <row r="282" spans="1:7" ht="16.5">
      <c r="A282" s="336">
        <f>VLOOKUP(B282,Sheet6!$F:$N,9,0)</f>
        <v>20428</v>
      </c>
      <c r="B282" s="331" t="s">
        <v>16007</v>
      </c>
      <c r="D282">
        <v>20504</v>
      </c>
      <c r="E282" s="350">
        <v>20519</v>
      </c>
      <c r="F282" s="350">
        <v>2362</v>
      </c>
      <c r="G282">
        <v>2343</v>
      </c>
    </row>
    <row r="283" spans="1:7" ht="16.5">
      <c r="A283" s="336">
        <f>VLOOKUP(B283,Sheet6!$F:$N,9,0)</f>
        <v>20429</v>
      </c>
      <c r="B283" s="331" t="s">
        <v>16022</v>
      </c>
      <c r="D283">
        <v>20514</v>
      </c>
      <c r="E283" s="350">
        <v>20520</v>
      </c>
      <c r="F283" s="350">
        <v>2363</v>
      </c>
      <c r="G283">
        <v>2357</v>
      </c>
    </row>
    <row r="284" spans="1:7" ht="16.5">
      <c r="A284" s="336">
        <f>VLOOKUP(B284,Sheet6!$F:$N,9,0)</f>
        <v>20430</v>
      </c>
      <c r="B284" s="331" t="s">
        <v>16037</v>
      </c>
      <c r="D284">
        <v>20524</v>
      </c>
      <c r="E284" s="350">
        <v>205211</v>
      </c>
      <c r="F284" s="350">
        <v>2364</v>
      </c>
      <c r="G284">
        <v>2371</v>
      </c>
    </row>
    <row r="285" spans="1:7" ht="16.5">
      <c r="A285" s="336">
        <f>VLOOKUP(B285,Sheet6!$F:$N,9,0)</f>
        <v>204311</v>
      </c>
      <c r="B285" s="331" t="s">
        <v>16052</v>
      </c>
      <c r="D285">
        <v>20414</v>
      </c>
      <c r="E285" s="350">
        <v>205212</v>
      </c>
      <c r="F285" s="350">
        <v>2365</v>
      </c>
      <c r="G285">
        <v>2385</v>
      </c>
    </row>
    <row r="286" spans="1:7" ht="16.5">
      <c r="A286" s="336">
        <f>VLOOKUP(B286,Sheet6!$F:$N,9,0)</f>
        <v>204312</v>
      </c>
      <c r="B286" s="331" t="s">
        <v>16067</v>
      </c>
      <c r="D286">
        <v>20424</v>
      </c>
      <c r="E286" s="350">
        <v>521</v>
      </c>
      <c r="F286" s="350">
        <v>2366</v>
      </c>
      <c r="G286">
        <v>2399</v>
      </c>
    </row>
    <row r="287" spans="1:7" ht="16.5">
      <c r="A287" s="336">
        <f>VLOOKUP(B287,Sheet6!$F:$N,9,0)</f>
        <v>431</v>
      </c>
      <c r="B287" s="331" t="s">
        <v>16082</v>
      </c>
      <c r="D287">
        <v>20434</v>
      </c>
      <c r="E287" s="350">
        <v>522</v>
      </c>
      <c r="F287" s="350">
        <v>2367</v>
      </c>
      <c r="G287">
        <v>2413</v>
      </c>
    </row>
    <row r="288" spans="1:7" ht="16.5">
      <c r="A288" s="336">
        <f>VLOOKUP(B288,Sheet6!$F:$N,9,0)</f>
        <v>432</v>
      </c>
      <c r="B288" s="331" t="s">
        <v>16097</v>
      </c>
      <c r="D288">
        <v>20444</v>
      </c>
      <c r="E288" s="350">
        <v>2052</v>
      </c>
      <c r="F288" s="356">
        <v>2052</v>
      </c>
      <c r="G288">
        <v>2427</v>
      </c>
    </row>
    <row r="289" spans="1:7" ht="16.5">
      <c r="A289" s="336">
        <f>VLOOKUP(B289,Sheet6!$F:$N,9,0)</f>
        <v>2043</v>
      </c>
      <c r="B289" s="331" t="s">
        <v>16112</v>
      </c>
      <c r="D289">
        <v>20295</v>
      </c>
      <c r="E289" s="350">
        <v>20521</v>
      </c>
      <c r="F289" s="350">
        <v>2368</v>
      </c>
      <c r="G289">
        <v>2441</v>
      </c>
    </row>
    <row r="290" spans="1:7" ht="16.5">
      <c r="A290" s="336">
        <f>VLOOKUP(B290,Sheet6!$F:$N,9,0)</f>
        <v>20431</v>
      </c>
      <c r="B290" s="331" t="s">
        <v>16127</v>
      </c>
      <c r="D290">
        <v>20305</v>
      </c>
      <c r="E290" s="350">
        <v>20522</v>
      </c>
      <c r="F290" s="350">
        <v>2369</v>
      </c>
      <c r="G290">
        <v>2455</v>
      </c>
    </row>
    <row r="291" spans="1:7" ht="16.5">
      <c r="A291" s="336">
        <f>VLOOKUP(B291,Sheet6!$F:$N,9,0)</f>
        <v>20432</v>
      </c>
      <c r="B291" s="331" t="s">
        <v>16142</v>
      </c>
      <c r="D291">
        <v>20315</v>
      </c>
      <c r="E291" s="350">
        <v>20523</v>
      </c>
      <c r="F291" s="350">
        <v>2370</v>
      </c>
      <c r="G291">
        <v>2469</v>
      </c>
    </row>
    <row r="292" spans="1:7" ht="16.5">
      <c r="A292" s="336">
        <f>VLOOKUP(B292,Sheet6!$F:$N,9,0)</f>
        <v>20433</v>
      </c>
      <c r="B292" s="331" t="s">
        <v>16157</v>
      </c>
      <c r="D292">
        <v>20325</v>
      </c>
      <c r="E292" s="350">
        <v>20524</v>
      </c>
      <c r="F292" s="350">
        <v>2371</v>
      </c>
      <c r="G292">
        <v>2483</v>
      </c>
    </row>
    <row r="293" spans="1:7" ht="16.5">
      <c r="A293" s="336">
        <f>VLOOKUP(B293,Sheet6!$F:$N,9,0)</f>
        <v>20434</v>
      </c>
      <c r="B293" s="331" t="s">
        <v>16172</v>
      </c>
      <c r="D293">
        <v>20255</v>
      </c>
      <c r="E293" s="350">
        <v>20525</v>
      </c>
      <c r="F293" s="350">
        <v>2372</v>
      </c>
      <c r="G293">
        <v>2497</v>
      </c>
    </row>
    <row r="294" spans="1:7" ht="16.5">
      <c r="A294" s="336">
        <f>VLOOKUP(B294,Sheet6!$F:$N,9,0)</f>
        <v>20435</v>
      </c>
      <c r="B294" s="331" t="s">
        <v>16187</v>
      </c>
      <c r="D294">
        <v>20265</v>
      </c>
      <c r="E294" s="350">
        <v>20526</v>
      </c>
      <c r="F294" s="350">
        <v>2373</v>
      </c>
      <c r="G294">
        <v>2511</v>
      </c>
    </row>
    <row r="295" spans="1:7" ht="16.5">
      <c r="A295" s="336">
        <f>VLOOKUP(B295,Sheet6!$F:$N,9,0)</f>
        <v>20436</v>
      </c>
      <c r="B295" s="331" t="s">
        <v>16202</v>
      </c>
      <c r="D295">
        <v>20275</v>
      </c>
      <c r="E295" s="350">
        <v>20527</v>
      </c>
      <c r="F295" s="350">
        <v>2374</v>
      </c>
      <c r="G295">
        <v>2525</v>
      </c>
    </row>
    <row r="296" spans="1:7" ht="16.5">
      <c r="A296" s="336">
        <f>VLOOKUP(B296,Sheet6!$F:$N,9,0)</f>
        <v>20437</v>
      </c>
      <c r="B296" s="331" t="s">
        <v>16217</v>
      </c>
      <c r="D296">
        <v>20285</v>
      </c>
      <c r="E296" s="350">
        <v>20528</v>
      </c>
      <c r="F296" s="350">
        <v>2375</v>
      </c>
      <c r="G296">
        <v>2539</v>
      </c>
    </row>
    <row r="297" spans="1:7" ht="16.5">
      <c r="A297" s="336">
        <f>VLOOKUP(B297,Sheet6!$F:$N,9,0)</f>
        <v>20438</v>
      </c>
      <c r="B297" s="331" t="s">
        <v>16232</v>
      </c>
      <c r="D297">
        <v>20215</v>
      </c>
      <c r="E297" s="350">
        <v>20529</v>
      </c>
      <c r="F297" s="350">
        <v>2376</v>
      </c>
      <c r="G297">
        <v>2553</v>
      </c>
    </row>
    <row r="298" spans="1:7" ht="16.5">
      <c r="A298" s="336">
        <f>VLOOKUP(B298,Sheet6!$F:$N,9,0)</f>
        <v>20439</v>
      </c>
      <c r="B298" s="331" t="s">
        <v>16247</v>
      </c>
      <c r="D298">
        <v>20225</v>
      </c>
      <c r="E298" s="350">
        <v>20530</v>
      </c>
      <c r="F298" s="350">
        <v>2377</v>
      </c>
      <c r="G298">
        <v>2567</v>
      </c>
    </row>
    <row r="299" spans="1:7" ht="16.5">
      <c r="A299" s="336">
        <f>VLOOKUP(B299,Sheet6!$F:$N,9,0)</f>
        <v>20440</v>
      </c>
      <c r="B299" s="331" t="s">
        <v>16262</v>
      </c>
      <c r="D299">
        <v>20235</v>
      </c>
      <c r="E299" s="350">
        <v>205311</v>
      </c>
      <c r="F299" s="350">
        <v>2378</v>
      </c>
      <c r="G299">
        <v>2581</v>
      </c>
    </row>
    <row r="300" spans="1:7" ht="16.5">
      <c r="A300" s="336">
        <f>VLOOKUP(B300,Sheet6!$F:$N,9,0)</f>
        <v>204411</v>
      </c>
      <c r="B300" s="331" t="s">
        <v>16277</v>
      </c>
      <c r="D300">
        <v>20245</v>
      </c>
      <c r="E300" s="350">
        <v>205312</v>
      </c>
      <c r="F300" s="350">
        <v>2379</v>
      </c>
      <c r="G300">
        <v>2595</v>
      </c>
    </row>
    <row r="301" spans="1:7" ht="16.5">
      <c r="A301" s="336">
        <f>VLOOKUP(B301,Sheet6!$F:$N,9,0)</f>
        <v>204412</v>
      </c>
      <c r="B301" s="331" t="s">
        <v>16292</v>
      </c>
      <c r="D301">
        <v>200116</v>
      </c>
      <c r="E301" s="349">
        <v>411</v>
      </c>
      <c r="F301" s="350">
        <v>2380</v>
      </c>
      <c r="G301">
        <v>2609</v>
      </c>
    </row>
    <row r="302" spans="1:7" ht="16.5">
      <c r="A302" s="336">
        <f>VLOOKUP(B302,Sheet6!$F:$N,9,0)</f>
        <v>441</v>
      </c>
      <c r="B302" s="331" t="s">
        <v>16307</v>
      </c>
      <c r="D302">
        <v>200216</v>
      </c>
      <c r="E302" s="349">
        <v>412</v>
      </c>
      <c r="F302" s="350">
        <v>2381</v>
      </c>
      <c r="G302">
        <v>2623</v>
      </c>
    </row>
    <row r="303" spans="1:7" ht="16.5">
      <c r="A303" s="336">
        <f>VLOOKUP(B303,Sheet6!$F:$N,9,0)</f>
        <v>442</v>
      </c>
      <c r="B303" s="331" t="s">
        <v>16322</v>
      </c>
      <c r="D303">
        <v>200316</v>
      </c>
      <c r="E303" s="349">
        <v>2041</v>
      </c>
      <c r="F303" s="357">
        <v>2041</v>
      </c>
      <c r="G303">
        <v>2637</v>
      </c>
    </row>
    <row r="304" spans="1:7" ht="16.5">
      <c r="A304" s="336">
        <f>VLOOKUP(B304,Sheet6!$F:$N,9,0)</f>
        <v>2044</v>
      </c>
      <c r="B304" s="331" t="s">
        <v>16337</v>
      </c>
      <c r="D304">
        <v>200416</v>
      </c>
      <c r="E304" s="349">
        <v>20411</v>
      </c>
      <c r="F304" s="349">
        <v>2382</v>
      </c>
      <c r="G304">
        <v>2651</v>
      </c>
    </row>
    <row r="305" spans="1:7" ht="16.5">
      <c r="A305" s="336">
        <f>VLOOKUP(B305,Sheet6!$F:$N,9,0)</f>
        <v>20441</v>
      </c>
      <c r="B305" s="331" t="s">
        <v>16352</v>
      </c>
      <c r="D305">
        <v>20454</v>
      </c>
      <c r="E305" s="349">
        <v>20412</v>
      </c>
      <c r="F305" s="349">
        <v>2383</v>
      </c>
      <c r="G305">
        <v>2665</v>
      </c>
    </row>
    <row r="306" spans="1:7" ht="16.5">
      <c r="A306" s="336">
        <f>VLOOKUP(B306,Sheet6!$F:$N,9,0)</f>
        <v>20442</v>
      </c>
      <c r="B306" s="331" t="s">
        <v>16367</v>
      </c>
      <c r="D306">
        <v>20464</v>
      </c>
      <c r="E306" s="349">
        <v>20413</v>
      </c>
      <c r="F306" s="349">
        <v>2384</v>
      </c>
      <c r="G306">
        <v>2679</v>
      </c>
    </row>
    <row r="307" spans="1:7" ht="16.5">
      <c r="A307" s="336">
        <f>VLOOKUP(B307,Sheet6!$F:$N,9,0)</f>
        <v>20443</v>
      </c>
      <c r="B307" s="331" t="s">
        <v>16382</v>
      </c>
      <c r="D307">
        <v>20474</v>
      </c>
      <c r="E307" s="349">
        <v>20414</v>
      </c>
      <c r="F307" s="349">
        <v>2385</v>
      </c>
      <c r="G307">
        <v>2693</v>
      </c>
    </row>
    <row r="308" spans="1:7" ht="16.5">
      <c r="A308" s="336">
        <f>VLOOKUP(B308,Sheet6!$F:$N,9,0)</f>
        <v>20444</v>
      </c>
      <c r="B308" s="331" t="s">
        <v>16397</v>
      </c>
      <c r="D308">
        <v>20484</v>
      </c>
      <c r="E308" s="349">
        <v>20415</v>
      </c>
      <c r="F308" s="349">
        <v>2386</v>
      </c>
      <c r="G308">
        <v>2707</v>
      </c>
    </row>
    <row r="309" spans="1:7" ht="16.5">
      <c r="A309" s="336" t="e">
        <f>VLOOKUP(B309,Sheet6!$F:$N,9,0)</f>
        <v>#N/A</v>
      </c>
      <c r="B309" s="331" t="s">
        <v>15752</v>
      </c>
      <c r="D309">
        <v>187</v>
      </c>
      <c r="E309" s="349">
        <v>20416</v>
      </c>
      <c r="F309" s="349">
        <v>2387</v>
      </c>
      <c r="G309">
        <v>2106</v>
      </c>
    </row>
    <row r="310" spans="1:7" ht="16.5">
      <c r="A310" s="336">
        <f>VLOOKUP(B310,Sheet6!$F:$N,9,0)</f>
        <v>20417</v>
      </c>
      <c r="B310" s="331" t="s">
        <v>15767</v>
      </c>
      <c r="D310">
        <v>287</v>
      </c>
      <c r="E310" s="349">
        <v>20417</v>
      </c>
      <c r="F310" s="349">
        <v>2388</v>
      </c>
      <c r="G310">
        <v>2120</v>
      </c>
    </row>
    <row r="311" spans="1:7" ht="16.5">
      <c r="A311" s="336">
        <f>VLOOKUP(B311,Sheet6!$F:$N,9,0)</f>
        <v>20418</v>
      </c>
      <c r="B311" s="331" t="s">
        <v>15782</v>
      </c>
      <c r="D311">
        <v>387</v>
      </c>
      <c r="E311" s="349">
        <v>20418</v>
      </c>
      <c r="F311" s="349">
        <v>2389</v>
      </c>
      <c r="G311">
        <v>2134</v>
      </c>
    </row>
    <row r="312" spans="1:7" ht="16.5">
      <c r="A312" s="336">
        <f>VLOOKUP(B312,Sheet6!$F:$N,9,0)</f>
        <v>20419</v>
      </c>
      <c r="B312" s="331" t="s">
        <v>15797</v>
      </c>
      <c r="D312">
        <v>487</v>
      </c>
      <c r="E312" s="349">
        <v>20419</v>
      </c>
      <c r="F312" s="349">
        <v>2390</v>
      </c>
      <c r="G312">
        <v>2148</v>
      </c>
    </row>
    <row r="313" spans="1:7" ht="16.5">
      <c r="A313" s="336">
        <f>VLOOKUP(B313,Sheet6!$F:$N,9,0)</f>
        <v>20420</v>
      </c>
      <c r="B313" s="331" t="s">
        <v>15812</v>
      </c>
      <c r="D313">
        <v>20692</v>
      </c>
      <c r="E313" s="349">
        <v>20420</v>
      </c>
      <c r="F313" s="349">
        <v>2391</v>
      </c>
      <c r="G313">
        <v>2161</v>
      </c>
    </row>
    <row r="314" spans="1:7" ht="16.5">
      <c r="A314" s="336">
        <f>VLOOKUP(B314,Sheet6!$F:$N,9,0)</f>
        <v>204211</v>
      </c>
      <c r="B314" s="331" t="s">
        <v>15827</v>
      </c>
      <c r="D314">
        <v>20702</v>
      </c>
      <c r="E314" s="349">
        <v>204211</v>
      </c>
      <c r="F314" s="349">
        <v>2392</v>
      </c>
      <c r="G314">
        <v>2175</v>
      </c>
    </row>
    <row r="315" spans="1:7" ht="16.5">
      <c r="A315" s="336">
        <f>VLOOKUP(B315,Sheet6!$F:$N,9,0)</f>
        <v>204212</v>
      </c>
      <c r="B315" s="331" t="s">
        <v>15842</v>
      </c>
      <c r="D315">
        <v>20712</v>
      </c>
      <c r="E315" s="349">
        <v>204212</v>
      </c>
      <c r="F315" s="349">
        <v>2393</v>
      </c>
      <c r="G315">
        <v>2189</v>
      </c>
    </row>
    <row r="316" spans="1:7" ht="16.5">
      <c r="A316" s="336">
        <f>VLOOKUP(B316,Sheet6!$F:$N,9,0)</f>
        <v>421</v>
      </c>
      <c r="B316" s="331" t="s">
        <v>15857</v>
      </c>
      <c r="D316">
        <v>20722</v>
      </c>
      <c r="E316" s="349">
        <v>421</v>
      </c>
      <c r="F316" s="349">
        <v>2394</v>
      </c>
      <c r="G316">
        <v>2203</v>
      </c>
    </row>
    <row r="317" spans="1:7" ht="16.5">
      <c r="A317" s="336">
        <f>VLOOKUP(B317,Sheet6!$F:$N,9,0)</f>
        <v>422</v>
      </c>
      <c r="B317" s="331" t="s">
        <v>15872</v>
      </c>
      <c r="D317">
        <v>20652</v>
      </c>
      <c r="E317" s="349">
        <v>422</v>
      </c>
      <c r="F317" s="349">
        <v>2395</v>
      </c>
      <c r="G317">
        <v>2217</v>
      </c>
    </row>
    <row r="318" spans="1:7" ht="16.5">
      <c r="A318" s="336">
        <f>VLOOKUP(B318,Sheet6!$F:$N,9,0)</f>
        <v>2042</v>
      </c>
      <c r="B318" s="331" t="s">
        <v>15887</v>
      </c>
      <c r="D318">
        <v>20662</v>
      </c>
      <c r="E318" s="349">
        <v>2042</v>
      </c>
      <c r="F318" s="357">
        <v>2042</v>
      </c>
      <c r="G318">
        <v>2231</v>
      </c>
    </row>
    <row r="319" spans="1:7" ht="16.5">
      <c r="A319" s="336">
        <f>VLOOKUP(B319,Sheet6!$F:$N,9,0)</f>
        <v>20421</v>
      </c>
      <c r="B319" s="331" t="s">
        <v>15902</v>
      </c>
      <c r="D319">
        <v>20672</v>
      </c>
      <c r="E319" s="349">
        <v>20421</v>
      </c>
      <c r="F319" s="349">
        <v>2396</v>
      </c>
      <c r="G319">
        <v>2245</v>
      </c>
    </row>
    <row r="320" spans="1:7" ht="16.5">
      <c r="A320" s="336">
        <f>VLOOKUP(B320,Sheet6!$F:$N,9,0)</f>
        <v>20422</v>
      </c>
      <c r="B320" s="331" t="s">
        <v>15917</v>
      </c>
      <c r="D320">
        <v>20682</v>
      </c>
      <c r="E320" s="349">
        <v>20422</v>
      </c>
      <c r="F320" s="349">
        <v>2397</v>
      </c>
      <c r="G320">
        <v>2259</v>
      </c>
    </row>
    <row r="321" spans="1:7" ht="16.5">
      <c r="A321" s="336">
        <f>VLOOKUP(B321,Sheet6!$F:$N,9,0)</f>
        <v>20423</v>
      </c>
      <c r="B321" s="331" t="s">
        <v>15932</v>
      </c>
      <c r="D321">
        <v>20613</v>
      </c>
      <c r="E321" s="349">
        <v>20423</v>
      </c>
      <c r="F321" s="349">
        <v>2398</v>
      </c>
      <c r="G321">
        <v>2273</v>
      </c>
    </row>
    <row r="322" spans="1:7" ht="16.5">
      <c r="A322" s="336">
        <f>VLOOKUP(B322,Sheet6!$F:$N,9,0)</f>
        <v>20424</v>
      </c>
      <c r="B322" s="331" t="s">
        <v>15947</v>
      </c>
      <c r="D322">
        <v>20623</v>
      </c>
      <c r="E322" s="349">
        <v>20424</v>
      </c>
      <c r="F322" s="349">
        <v>2399</v>
      </c>
      <c r="G322">
        <v>2287</v>
      </c>
    </row>
    <row r="323" spans="1:7" ht="16.5">
      <c r="A323" s="336">
        <f>VLOOKUP(B323,Sheet6!$F:$N,9,0)</f>
        <v>20425</v>
      </c>
      <c r="B323" s="331" t="s">
        <v>15962</v>
      </c>
      <c r="D323">
        <v>20633</v>
      </c>
      <c r="E323" s="349">
        <v>20425</v>
      </c>
      <c r="F323" s="349">
        <v>2400</v>
      </c>
      <c r="G323">
        <v>2301</v>
      </c>
    </row>
    <row r="324" spans="1:7" ht="16.5">
      <c r="A324" s="336">
        <f>VLOOKUP(B324,Sheet6!$F:$N,9,0)</f>
        <v>20426</v>
      </c>
      <c r="B324" s="331" t="s">
        <v>15977</v>
      </c>
      <c r="D324">
        <v>20643</v>
      </c>
      <c r="E324" s="349">
        <v>20426</v>
      </c>
      <c r="F324" s="349">
        <v>2401</v>
      </c>
      <c r="G324">
        <v>2315</v>
      </c>
    </row>
    <row r="325" spans="1:7" ht="16.5">
      <c r="A325" s="336">
        <f>VLOOKUP(B325,Sheet6!$F:$N,9,0)</f>
        <v>20427</v>
      </c>
      <c r="B325" s="331" t="s">
        <v>15992</v>
      </c>
      <c r="D325">
        <v>20494</v>
      </c>
      <c r="E325" s="349">
        <v>20427</v>
      </c>
      <c r="F325" s="349">
        <v>2402</v>
      </c>
      <c r="G325">
        <v>2329</v>
      </c>
    </row>
    <row r="326" spans="1:7" ht="16.5">
      <c r="A326" s="336">
        <f>VLOOKUP(B326,Sheet6!$F:$N,9,0)</f>
        <v>20428</v>
      </c>
      <c r="B326" s="331" t="s">
        <v>16007</v>
      </c>
      <c r="D326">
        <v>20504</v>
      </c>
      <c r="E326" s="349">
        <v>20428</v>
      </c>
      <c r="F326" s="349">
        <v>2403</v>
      </c>
      <c r="G326">
        <v>2343</v>
      </c>
    </row>
    <row r="327" spans="1:7" ht="16.5">
      <c r="A327" s="336">
        <f>VLOOKUP(B327,Sheet6!$F:$N,9,0)</f>
        <v>20429</v>
      </c>
      <c r="B327" s="331" t="s">
        <v>16022</v>
      </c>
      <c r="D327">
        <v>20514</v>
      </c>
      <c r="E327" s="349">
        <v>20429</v>
      </c>
      <c r="F327" s="349">
        <v>2404</v>
      </c>
      <c r="G327">
        <v>2357</v>
      </c>
    </row>
    <row r="328" spans="1:7" ht="16.5">
      <c r="A328" s="336">
        <f>VLOOKUP(B328,Sheet6!$F:$N,9,0)</f>
        <v>20430</v>
      </c>
      <c r="B328" s="331" t="s">
        <v>16037</v>
      </c>
      <c r="D328">
        <v>20524</v>
      </c>
      <c r="E328" s="349">
        <v>20430</v>
      </c>
      <c r="F328" s="349">
        <v>2405</v>
      </c>
      <c r="G328">
        <v>2371</v>
      </c>
    </row>
    <row r="329" spans="1:7" ht="16.5">
      <c r="A329" s="336">
        <f>VLOOKUP(B329,Sheet6!$F:$N,9,0)</f>
        <v>204311</v>
      </c>
      <c r="B329" s="331" t="s">
        <v>16052</v>
      </c>
      <c r="D329">
        <v>20414</v>
      </c>
      <c r="E329" s="349">
        <v>204311</v>
      </c>
      <c r="F329" s="349">
        <v>2406</v>
      </c>
      <c r="G329">
        <v>2385</v>
      </c>
    </row>
    <row r="330" spans="1:7" ht="16.5">
      <c r="A330" s="336">
        <f>VLOOKUP(B330,Sheet6!$F:$N,9,0)</f>
        <v>204312</v>
      </c>
      <c r="B330" s="331" t="s">
        <v>16067</v>
      </c>
      <c r="D330">
        <v>20424</v>
      </c>
      <c r="E330" s="349">
        <v>204312</v>
      </c>
      <c r="F330" s="349">
        <v>2407</v>
      </c>
      <c r="G330">
        <v>2399</v>
      </c>
    </row>
    <row r="331" spans="1:7" ht="16.5">
      <c r="A331" s="336">
        <f>VLOOKUP(B331,Sheet6!$F:$N,9,0)</f>
        <v>431</v>
      </c>
      <c r="B331" s="331" t="s">
        <v>16082</v>
      </c>
      <c r="D331">
        <v>20434</v>
      </c>
      <c r="E331" s="349">
        <v>431</v>
      </c>
      <c r="F331" s="349">
        <v>2408</v>
      </c>
      <c r="G331">
        <v>2413</v>
      </c>
    </row>
    <row r="332" spans="1:7" ht="16.5">
      <c r="A332" s="336">
        <f>VLOOKUP(B332,Sheet6!$F:$N,9,0)</f>
        <v>432</v>
      </c>
      <c r="B332" s="331" t="s">
        <v>16097</v>
      </c>
      <c r="D332">
        <v>20444</v>
      </c>
      <c r="E332" s="349">
        <v>432</v>
      </c>
      <c r="F332" s="349">
        <v>2409</v>
      </c>
      <c r="G332">
        <v>2427</v>
      </c>
    </row>
    <row r="333" spans="1:7" ht="16.5">
      <c r="A333" s="336">
        <f>VLOOKUP(B333,Sheet6!$F:$N,9,0)</f>
        <v>2043</v>
      </c>
      <c r="B333" s="331" t="s">
        <v>16112</v>
      </c>
      <c r="D333">
        <v>20295</v>
      </c>
      <c r="E333" s="349">
        <v>2043</v>
      </c>
      <c r="F333" s="357">
        <v>2043</v>
      </c>
      <c r="G333">
        <v>2441</v>
      </c>
    </row>
    <row r="334" spans="1:7" ht="16.5">
      <c r="A334" s="336">
        <f>VLOOKUP(B334,Sheet6!$F:$N,9,0)</f>
        <v>20431</v>
      </c>
      <c r="B334" s="331" t="s">
        <v>16127</v>
      </c>
      <c r="D334">
        <v>20305</v>
      </c>
      <c r="E334" s="349">
        <v>20431</v>
      </c>
      <c r="F334" s="349">
        <v>2410</v>
      </c>
      <c r="G334">
        <v>2455</v>
      </c>
    </row>
    <row r="335" spans="1:7" ht="16.5">
      <c r="A335" s="336">
        <f>VLOOKUP(B335,Sheet6!$F:$N,9,0)</f>
        <v>20432</v>
      </c>
      <c r="B335" s="331" t="s">
        <v>16142</v>
      </c>
      <c r="D335">
        <v>20315</v>
      </c>
      <c r="E335" s="349">
        <v>20432</v>
      </c>
      <c r="F335" s="349">
        <v>2411</v>
      </c>
      <c r="G335">
        <v>2469</v>
      </c>
    </row>
    <row r="336" spans="1:7" ht="16.5">
      <c r="A336" s="336">
        <f>VLOOKUP(B336,Sheet6!$F:$N,9,0)</f>
        <v>20433</v>
      </c>
      <c r="B336" s="331" t="s">
        <v>16157</v>
      </c>
      <c r="D336">
        <v>20325</v>
      </c>
      <c r="E336" s="349">
        <v>20433</v>
      </c>
      <c r="F336" s="349">
        <v>2412</v>
      </c>
      <c r="G336">
        <v>2483</v>
      </c>
    </row>
    <row r="337" spans="1:7" ht="16.5">
      <c r="A337" s="336">
        <f>VLOOKUP(B337,Sheet6!$F:$N,9,0)</f>
        <v>20434</v>
      </c>
      <c r="B337" s="331" t="s">
        <v>16172</v>
      </c>
      <c r="D337">
        <v>20255</v>
      </c>
      <c r="E337" s="349">
        <v>20434</v>
      </c>
      <c r="F337" s="349">
        <v>2413</v>
      </c>
      <c r="G337">
        <v>2497</v>
      </c>
    </row>
    <row r="338" spans="1:7" ht="16.5">
      <c r="A338" s="336">
        <f>VLOOKUP(B338,Sheet6!$F:$N,9,0)</f>
        <v>20435</v>
      </c>
      <c r="B338" s="331" t="s">
        <v>16187</v>
      </c>
      <c r="D338">
        <v>20265</v>
      </c>
      <c r="E338" s="349">
        <v>20435</v>
      </c>
      <c r="F338" s="349">
        <v>2414</v>
      </c>
      <c r="G338">
        <v>2511</v>
      </c>
    </row>
    <row r="339" spans="1:7" ht="16.5">
      <c r="A339" s="336">
        <f>VLOOKUP(B339,Sheet6!$F:$N,9,0)</f>
        <v>20436</v>
      </c>
      <c r="B339" s="331" t="s">
        <v>16202</v>
      </c>
      <c r="D339">
        <v>20275</v>
      </c>
      <c r="E339" s="349">
        <v>20436</v>
      </c>
      <c r="F339" s="349">
        <v>2415</v>
      </c>
      <c r="G339">
        <v>2525</v>
      </c>
    </row>
    <row r="340" spans="1:7" ht="16.5">
      <c r="A340" s="336">
        <f>VLOOKUP(B340,Sheet6!$F:$N,9,0)</f>
        <v>20437</v>
      </c>
      <c r="B340" s="331" t="s">
        <v>16217</v>
      </c>
      <c r="D340">
        <v>20285</v>
      </c>
      <c r="E340" s="349">
        <v>20437</v>
      </c>
      <c r="F340" s="349">
        <v>2416</v>
      </c>
      <c r="G340">
        <v>2539</v>
      </c>
    </row>
    <row r="341" spans="1:7" ht="16.5">
      <c r="A341" s="336">
        <f>VLOOKUP(B341,Sheet6!$F:$N,9,0)</f>
        <v>20438</v>
      </c>
      <c r="B341" s="331" t="s">
        <v>16232</v>
      </c>
      <c r="D341">
        <v>20215</v>
      </c>
      <c r="E341" s="349">
        <v>20438</v>
      </c>
      <c r="F341" s="349">
        <v>2417</v>
      </c>
      <c r="G341">
        <v>2553</v>
      </c>
    </row>
    <row r="342" spans="1:7" ht="16.5">
      <c r="A342" s="336">
        <f>VLOOKUP(B342,Sheet6!$F:$N,9,0)</f>
        <v>20439</v>
      </c>
      <c r="B342" s="331" t="s">
        <v>16247</v>
      </c>
      <c r="D342">
        <v>20225</v>
      </c>
      <c r="E342" s="349">
        <v>20439</v>
      </c>
      <c r="F342" s="349">
        <v>2418</v>
      </c>
      <c r="G342">
        <v>2567</v>
      </c>
    </row>
    <row r="343" spans="1:7" ht="16.5">
      <c r="A343" s="336">
        <f>VLOOKUP(B343,Sheet6!$F:$N,9,0)</f>
        <v>20440</v>
      </c>
      <c r="B343" s="331" t="s">
        <v>16262</v>
      </c>
      <c r="D343">
        <v>20235</v>
      </c>
      <c r="E343" s="349">
        <v>20440</v>
      </c>
      <c r="F343" s="349">
        <v>2419</v>
      </c>
      <c r="G343">
        <v>2581</v>
      </c>
    </row>
    <row r="344" spans="1:7" ht="16.5">
      <c r="A344" s="336">
        <f>VLOOKUP(B344,Sheet6!$F:$N,9,0)</f>
        <v>204411</v>
      </c>
      <c r="B344" s="331" t="s">
        <v>16277</v>
      </c>
      <c r="D344">
        <v>20245</v>
      </c>
      <c r="E344" s="349">
        <v>204411</v>
      </c>
      <c r="F344" s="349">
        <v>2420</v>
      </c>
      <c r="G344">
        <v>2595</v>
      </c>
    </row>
    <row r="345" spans="1:7" ht="16.5">
      <c r="A345" s="336">
        <f>VLOOKUP(B345,Sheet6!$F:$N,9,0)</f>
        <v>204412</v>
      </c>
      <c r="B345" s="331" t="s">
        <v>16292</v>
      </c>
      <c r="D345">
        <v>200116</v>
      </c>
      <c r="E345" s="349">
        <v>204412</v>
      </c>
      <c r="F345" s="349">
        <v>2421</v>
      </c>
      <c r="G345">
        <v>2609</v>
      </c>
    </row>
    <row r="346" spans="1:7" ht="16.5">
      <c r="A346" s="336">
        <f>VLOOKUP(B346,Sheet6!$F:$N,9,0)</f>
        <v>441</v>
      </c>
      <c r="B346" s="331" t="s">
        <v>16307</v>
      </c>
      <c r="D346">
        <v>200216</v>
      </c>
      <c r="E346" s="349">
        <v>441</v>
      </c>
      <c r="F346" s="349">
        <v>2422</v>
      </c>
      <c r="G346">
        <v>2623</v>
      </c>
    </row>
    <row r="347" spans="1:7" ht="16.5">
      <c r="A347" s="336">
        <f>VLOOKUP(B347,Sheet6!$F:$N,9,0)</f>
        <v>442</v>
      </c>
      <c r="B347" s="331" t="s">
        <v>16322</v>
      </c>
      <c r="D347">
        <v>200316</v>
      </c>
      <c r="E347" s="349">
        <v>442</v>
      </c>
      <c r="F347" s="349">
        <v>2423</v>
      </c>
      <c r="G347">
        <v>2637</v>
      </c>
    </row>
    <row r="348" spans="1:7" ht="16.5">
      <c r="A348" s="336">
        <f>VLOOKUP(B348,Sheet6!$F:$N,9,0)</f>
        <v>2044</v>
      </c>
      <c r="B348" s="331" t="s">
        <v>16337</v>
      </c>
      <c r="D348">
        <v>200416</v>
      </c>
      <c r="E348" s="349">
        <v>2044</v>
      </c>
      <c r="F348" s="357">
        <v>2044</v>
      </c>
      <c r="G348">
        <v>2651</v>
      </c>
    </row>
    <row r="349" spans="1:7" ht="16.5">
      <c r="A349" s="336">
        <f>VLOOKUP(B349,Sheet6!$F:$N,9,0)</f>
        <v>20441</v>
      </c>
      <c r="B349" s="331" t="s">
        <v>16352</v>
      </c>
      <c r="D349">
        <v>20454</v>
      </c>
      <c r="E349" s="349">
        <v>20441</v>
      </c>
      <c r="F349" s="349">
        <v>2424</v>
      </c>
      <c r="G349">
        <v>2665</v>
      </c>
    </row>
    <row r="350" spans="1:7" ht="16.5">
      <c r="A350" s="336">
        <f>VLOOKUP(B350,Sheet6!$F:$N,9,0)</f>
        <v>20442</v>
      </c>
      <c r="B350" s="331" t="s">
        <v>16367</v>
      </c>
      <c r="D350">
        <v>20464</v>
      </c>
      <c r="E350" s="349">
        <v>20442</v>
      </c>
      <c r="F350" s="349">
        <v>2425</v>
      </c>
      <c r="G350">
        <v>2679</v>
      </c>
    </row>
    <row r="351" spans="1:7" ht="16.5">
      <c r="A351" s="336">
        <f>VLOOKUP(B351,Sheet6!$F:$N,9,0)</f>
        <v>20443</v>
      </c>
      <c r="B351" s="331" t="s">
        <v>16382</v>
      </c>
      <c r="D351">
        <v>20474</v>
      </c>
      <c r="E351" s="349">
        <v>20443</v>
      </c>
      <c r="F351" s="349">
        <v>2426</v>
      </c>
      <c r="G351">
        <v>2693</v>
      </c>
    </row>
    <row r="352" spans="1:7" ht="16.5">
      <c r="A352" s="336">
        <f>VLOOKUP(B352,Sheet6!$F:$N,9,0)</f>
        <v>20444</v>
      </c>
      <c r="B352" s="331" t="s">
        <v>16397</v>
      </c>
      <c r="D352">
        <v>20484</v>
      </c>
      <c r="E352" s="349">
        <v>20444</v>
      </c>
      <c r="F352" s="349">
        <v>2427</v>
      </c>
      <c r="G352">
        <v>2707</v>
      </c>
    </row>
    <row r="353" spans="1:7" ht="16.5">
      <c r="A353" s="336">
        <f>VLOOKUP(B353,Sheet6!$F:$N,9,0)</f>
        <v>20445</v>
      </c>
      <c r="B353" s="331" t="s">
        <v>15753</v>
      </c>
      <c r="D353">
        <v>2081</v>
      </c>
      <c r="E353" s="349">
        <v>20445</v>
      </c>
      <c r="F353" s="349">
        <v>2428</v>
      </c>
      <c r="G353">
        <v>2081</v>
      </c>
    </row>
    <row r="354" spans="1:7" ht="16.5">
      <c r="A354" s="336">
        <f>VLOOKUP(B354,Sheet6!$F:$N,9,0)</f>
        <v>20446</v>
      </c>
      <c r="B354" s="331" t="s">
        <v>15768</v>
      </c>
      <c r="D354">
        <v>2082</v>
      </c>
      <c r="E354" s="349">
        <v>20446</v>
      </c>
      <c r="F354" s="349">
        <v>2429</v>
      </c>
      <c r="G354">
        <v>2082</v>
      </c>
    </row>
    <row r="355" spans="1:7" ht="16.5">
      <c r="A355" s="336">
        <f>VLOOKUP(B355,Sheet6!$F:$N,9,0)</f>
        <v>20447</v>
      </c>
      <c r="B355" s="331" t="s">
        <v>15783</v>
      </c>
      <c r="D355">
        <v>2083</v>
      </c>
      <c r="E355" s="349">
        <v>20447</v>
      </c>
      <c r="F355" s="349">
        <v>2430</v>
      </c>
      <c r="G355">
        <v>2083</v>
      </c>
    </row>
    <row r="356" spans="1:7" ht="16.5">
      <c r="A356" s="336">
        <f>VLOOKUP(B356,Sheet6!$F:$N,9,0)</f>
        <v>20448</v>
      </c>
      <c r="B356" s="331" t="s">
        <v>15798</v>
      </c>
      <c r="D356">
        <v>2084</v>
      </c>
      <c r="E356" s="349">
        <v>20448</v>
      </c>
      <c r="F356" s="349">
        <v>2431</v>
      </c>
      <c r="G356">
        <v>2084</v>
      </c>
    </row>
    <row r="357" spans="1:7" ht="16.5">
      <c r="A357" s="336">
        <f>VLOOKUP(B357,Sheet6!$F:$N,9,0)</f>
        <v>20449</v>
      </c>
      <c r="B357" s="331" t="s">
        <v>15813</v>
      </c>
      <c r="D357">
        <v>20693</v>
      </c>
      <c r="E357" s="349">
        <v>20449</v>
      </c>
      <c r="F357" s="349">
        <v>2432</v>
      </c>
      <c r="G357">
        <v>2162</v>
      </c>
    </row>
    <row r="358" spans="1:7" ht="16.5">
      <c r="A358" s="336">
        <f>VLOOKUP(B358,Sheet6!$F:$N,9,0)</f>
        <v>20450</v>
      </c>
      <c r="B358" s="331" t="s">
        <v>15828</v>
      </c>
      <c r="D358">
        <v>20703</v>
      </c>
      <c r="E358" s="349">
        <v>20450</v>
      </c>
      <c r="F358" s="349">
        <v>2433</v>
      </c>
      <c r="G358">
        <v>2176</v>
      </c>
    </row>
    <row r="359" spans="1:7" ht="16.5">
      <c r="A359" s="336">
        <f>VLOOKUP(B359,Sheet6!$F:$N,9,0)</f>
        <v>204511</v>
      </c>
      <c r="B359" s="331" t="s">
        <v>15843</v>
      </c>
      <c r="D359">
        <v>20713</v>
      </c>
      <c r="E359" s="349">
        <v>204511</v>
      </c>
      <c r="F359" s="349">
        <v>2434</v>
      </c>
      <c r="G359">
        <v>2190</v>
      </c>
    </row>
    <row r="360" spans="1:7" ht="16.5">
      <c r="A360" s="336">
        <f>VLOOKUP(B360,Sheet6!$F:$N,9,0)</f>
        <v>204512</v>
      </c>
      <c r="B360" s="331" t="s">
        <v>15858</v>
      </c>
      <c r="D360">
        <v>20723</v>
      </c>
      <c r="E360" s="349">
        <v>204512</v>
      </c>
      <c r="F360" s="349">
        <v>2435</v>
      </c>
      <c r="G360">
        <v>2204</v>
      </c>
    </row>
    <row r="361" spans="1:7" ht="16.5">
      <c r="A361" s="336">
        <f>VLOOKUP(B361,Sheet6!$F:$N,9,0)</f>
        <v>29</v>
      </c>
      <c r="B361" s="331" t="s">
        <v>15873</v>
      </c>
      <c r="D361">
        <v>20653</v>
      </c>
      <c r="E361" s="342">
        <v>29</v>
      </c>
      <c r="F361" s="349">
        <v>2436</v>
      </c>
      <c r="G361">
        <v>2218</v>
      </c>
    </row>
    <row r="362" spans="1:7" ht="16.5">
      <c r="A362" s="336">
        <f>VLOOKUP(B362,Sheet6!$F:$N,9,0)</f>
        <v>2029</v>
      </c>
      <c r="B362" s="331" t="s">
        <v>15888</v>
      </c>
      <c r="D362">
        <v>20663</v>
      </c>
      <c r="E362" s="342">
        <v>2029</v>
      </c>
      <c r="F362" s="358">
        <v>2029</v>
      </c>
      <c r="G362">
        <v>2232</v>
      </c>
    </row>
    <row r="363" spans="1:7" ht="16.5">
      <c r="A363" s="336">
        <f>VLOOKUP(B363,Sheet6!$F:$N,9,0)</f>
        <v>20291</v>
      </c>
      <c r="B363" s="331" t="s">
        <v>15903</v>
      </c>
      <c r="D363">
        <v>20673</v>
      </c>
      <c r="E363" s="342">
        <v>20291</v>
      </c>
      <c r="F363" s="342">
        <v>2437</v>
      </c>
      <c r="G363">
        <v>2246</v>
      </c>
    </row>
    <row r="364" spans="1:7" ht="16.5">
      <c r="A364" s="336">
        <f>VLOOKUP(B364,Sheet6!$F:$N,9,0)</f>
        <v>20292</v>
      </c>
      <c r="B364" s="331" t="s">
        <v>15918</v>
      </c>
      <c r="D364">
        <v>20683</v>
      </c>
      <c r="E364" s="342">
        <v>20292</v>
      </c>
      <c r="F364" s="342">
        <v>2438</v>
      </c>
      <c r="G364">
        <v>2260</v>
      </c>
    </row>
    <row r="365" spans="1:7" ht="16.5">
      <c r="A365" s="336">
        <f>VLOOKUP(B365,Sheet6!$F:$N,9,0)</f>
        <v>20293</v>
      </c>
      <c r="B365" s="331" t="s">
        <v>15933</v>
      </c>
      <c r="D365">
        <v>20614</v>
      </c>
      <c r="E365" s="342">
        <v>20293</v>
      </c>
      <c r="F365" s="342">
        <v>2439</v>
      </c>
      <c r="G365">
        <v>2274</v>
      </c>
    </row>
    <row r="366" spans="1:7" ht="16.5">
      <c r="A366" s="336">
        <f>VLOOKUP(B366,Sheet6!$F:$N,9,0)</f>
        <v>20294</v>
      </c>
      <c r="B366" s="331" t="s">
        <v>15948</v>
      </c>
      <c r="D366">
        <v>20624</v>
      </c>
      <c r="E366" s="342">
        <v>20294</v>
      </c>
      <c r="F366" s="342">
        <v>2440</v>
      </c>
      <c r="G366">
        <v>2288</v>
      </c>
    </row>
    <row r="367" spans="1:7" ht="16.5">
      <c r="A367" s="336">
        <f>VLOOKUP(B367,Sheet6!$F:$N,9,0)</f>
        <v>20295</v>
      </c>
      <c r="B367" s="331" t="s">
        <v>15963</v>
      </c>
      <c r="D367">
        <v>20634</v>
      </c>
      <c r="E367" s="342">
        <v>20295</v>
      </c>
      <c r="F367" s="342">
        <v>2441</v>
      </c>
      <c r="G367">
        <v>2302</v>
      </c>
    </row>
    <row r="368" spans="1:7" ht="16.5">
      <c r="A368" s="336">
        <f>VLOOKUP(B368,Sheet6!$F:$N,9,0)</f>
        <v>20296</v>
      </c>
      <c r="B368" s="331" t="s">
        <v>15978</v>
      </c>
      <c r="D368">
        <v>20644</v>
      </c>
      <c r="E368" s="342">
        <v>20296</v>
      </c>
      <c r="F368" s="342">
        <v>2442</v>
      </c>
      <c r="G368">
        <v>2316</v>
      </c>
    </row>
    <row r="369" spans="1:7" ht="16.5">
      <c r="A369" s="336">
        <f>VLOOKUP(B369,Sheet6!$F:$N,9,0)</f>
        <v>20297</v>
      </c>
      <c r="B369" s="331" t="s">
        <v>15993</v>
      </c>
      <c r="D369">
        <v>20495</v>
      </c>
      <c r="E369" s="342">
        <v>20297</v>
      </c>
      <c r="F369" s="342">
        <v>2443</v>
      </c>
      <c r="G369">
        <v>2330</v>
      </c>
    </row>
    <row r="370" spans="1:7" ht="16.5">
      <c r="A370" s="336">
        <f>VLOOKUP(B370,Sheet6!$F:$N,9,0)</f>
        <v>20298</v>
      </c>
      <c r="B370" s="331" t="s">
        <v>16008</v>
      </c>
      <c r="D370">
        <v>20505</v>
      </c>
      <c r="E370" s="342">
        <v>20298</v>
      </c>
      <c r="F370" s="342">
        <v>2444</v>
      </c>
      <c r="G370">
        <v>2344</v>
      </c>
    </row>
    <row r="371" spans="1:7" ht="16.5">
      <c r="A371" s="336">
        <f>VLOOKUP(B371,Sheet6!$F:$N,9,0)</f>
        <v>20299</v>
      </c>
      <c r="B371" s="331" t="s">
        <v>16023</v>
      </c>
      <c r="D371">
        <v>20515</v>
      </c>
      <c r="E371" s="342">
        <v>20299</v>
      </c>
      <c r="F371" s="342">
        <v>2445</v>
      </c>
      <c r="G371">
        <v>2358</v>
      </c>
    </row>
    <row r="372" spans="1:7" ht="16.5">
      <c r="A372" s="336">
        <f>VLOOKUP(B372,Sheet6!$F:$N,9,0)</f>
        <v>20300</v>
      </c>
      <c r="B372" s="331" t="s">
        <v>16038</v>
      </c>
      <c r="D372">
        <v>20525</v>
      </c>
      <c r="E372" s="342">
        <v>20300</v>
      </c>
      <c r="F372" s="342">
        <v>2446</v>
      </c>
      <c r="G372">
        <v>2372</v>
      </c>
    </row>
    <row r="373" spans="1:7" ht="16.5">
      <c r="A373" s="336">
        <f>VLOOKUP(B373,Sheet6!$F:$N,9,0)</f>
        <v>203011</v>
      </c>
      <c r="B373" s="331" t="s">
        <v>16053</v>
      </c>
      <c r="D373">
        <v>20415</v>
      </c>
      <c r="E373" s="342">
        <v>203011</v>
      </c>
      <c r="F373" s="342">
        <v>2447</v>
      </c>
      <c r="G373">
        <v>2386</v>
      </c>
    </row>
    <row r="374" spans="1:7" ht="16.5">
      <c r="A374" s="336">
        <f>VLOOKUP(B374,Sheet6!$F:$N,9,0)</f>
        <v>203012</v>
      </c>
      <c r="B374" s="331" t="s">
        <v>16068</v>
      </c>
      <c r="D374">
        <v>20425</v>
      </c>
      <c r="E374" s="342">
        <v>203012</v>
      </c>
      <c r="F374" s="342">
        <v>2448</v>
      </c>
      <c r="G374">
        <v>2400</v>
      </c>
    </row>
    <row r="375" spans="1:7" ht="16.5">
      <c r="A375" s="336">
        <f>VLOOKUP(B375,Sheet6!$F:$N,9,0)</f>
        <v>203013</v>
      </c>
      <c r="B375" s="331" t="s">
        <v>16083</v>
      </c>
      <c r="D375">
        <v>20435</v>
      </c>
      <c r="E375" s="342">
        <v>203013</v>
      </c>
      <c r="F375" s="342">
        <v>2449</v>
      </c>
      <c r="G375">
        <v>2414</v>
      </c>
    </row>
    <row r="376" spans="1:7" ht="16.5">
      <c r="A376" s="336">
        <f>VLOOKUP(B376,Sheet6!$F:$N,9,0)</f>
        <v>30</v>
      </c>
      <c r="B376" s="331" t="s">
        <v>16098</v>
      </c>
      <c r="D376">
        <v>20445</v>
      </c>
      <c r="E376" s="342">
        <v>30</v>
      </c>
      <c r="F376" s="342">
        <v>2450</v>
      </c>
      <c r="G376">
        <v>2428</v>
      </c>
    </row>
    <row r="377" spans="1:7" ht="16.5">
      <c r="A377" s="336">
        <f>VLOOKUP(B377,Sheet6!$F:$N,9,0)</f>
        <v>2030</v>
      </c>
      <c r="B377" s="331" t="s">
        <v>16113</v>
      </c>
      <c r="D377">
        <v>20296</v>
      </c>
      <c r="E377" s="342">
        <v>2030</v>
      </c>
      <c r="F377" s="358">
        <v>2030</v>
      </c>
      <c r="G377">
        <v>2442</v>
      </c>
    </row>
    <row r="378" spans="1:7" ht="16.5">
      <c r="A378" s="336">
        <f>VLOOKUP(B378,Sheet6!$F:$N,9,0)</f>
        <v>20301</v>
      </c>
      <c r="B378" s="331" t="s">
        <v>16128</v>
      </c>
      <c r="D378">
        <v>20306</v>
      </c>
      <c r="E378" s="342">
        <v>20301</v>
      </c>
      <c r="F378" s="342">
        <v>2451</v>
      </c>
      <c r="G378">
        <v>2456</v>
      </c>
    </row>
    <row r="379" spans="1:7" ht="16.5">
      <c r="A379" s="336">
        <f>VLOOKUP(B379,Sheet6!$F:$N,9,0)</f>
        <v>20302</v>
      </c>
      <c r="B379" s="331" t="s">
        <v>16143</v>
      </c>
      <c r="D379">
        <v>20316</v>
      </c>
      <c r="E379" s="342">
        <v>20302</v>
      </c>
      <c r="F379" s="342">
        <v>2452</v>
      </c>
      <c r="G379">
        <v>2470</v>
      </c>
    </row>
    <row r="380" spans="1:7" ht="16.5">
      <c r="A380" s="336">
        <f>VLOOKUP(B380,Sheet6!$F:$N,9,0)</f>
        <v>20303</v>
      </c>
      <c r="B380" s="331" t="s">
        <v>16158</v>
      </c>
      <c r="D380">
        <v>20326</v>
      </c>
      <c r="E380" s="342">
        <v>20303</v>
      </c>
      <c r="F380" s="342">
        <v>2453</v>
      </c>
      <c r="G380">
        <v>2484</v>
      </c>
    </row>
    <row r="381" spans="1:7" ht="16.5">
      <c r="A381" s="336">
        <f>VLOOKUP(B381,Sheet6!$F:$N,9,0)</f>
        <v>20304</v>
      </c>
      <c r="B381" s="331" t="s">
        <v>16173</v>
      </c>
      <c r="D381">
        <v>20256</v>
      </c>
      <c r="E381" s="342">
        <v>20304</v>
      </c>
      <c r="F381" s="342">
        <v>2454</v>
      </c>
      <c r="G381">
        <v>2498</v>
      </c>
    </row>
    <row r="382" spans="1:7" ht="16.5">
      <c r="A382" s="336">
        <f>VLOOKUP(B382,Sheet6!$F:$N,9,0)</f>
        <v>20305</v>
      </c>
      <c r="B382" s="331" t="s">
        <v>16188</v>
      </c>
      <c r="D382">
        <v>20266</v>
      </c>
      <c r="E382" s="342">
        <v>20305</v>
      </c>
      <c r="F382" s="342">
        <v>2455</v>
      </c>
      <c r="G382">
        <v>2512</v>
      </c>
    </row>
    <row r="383" spans="1:7" ht="16.5">
      <c r="A383" s="336">
        <f>VLOOKUP(B383,Sheet6!$F:$N,9,0)</f>
        <v>20306</v>
      </c>
      <c r="B383" s="331" t="s">
        <v>16203</v>
      </c>
      <c r="D383">
        <v>20276</v>
      </c>
      <c r="E383" s="342">
        <v>20306</v>
      </c>
      <c r="F383" s="342">
        <v>2456</v>
      </c>
      <c r="G383">
        <v>2526</v>
      </c>
    </row>
    <row r="384" spans="1:7" ht="16.5">
      <c r="A384" s="336">
        <f>VLOOKUP(B384,Sheet6!$F:$N,9,0)</f>
        <v>20307</v>
      </c>
      <c r="B384" s="331" t="s">
        <v>16218</v>
      </c>
      <c r="D384">
        <v>20286</v>
      </c>
      <c r="E384" s="342">
        <v>20307</v>
      </c>
      <c r="F384" s="342">
        <v>2457</v>
      </c>
      <c r="G384">
        <v>2540</v>
      </c>
    </row>
    <row r="385" spans="1:7" ht="16.5">
      <c r="A385" s="336">
        <f>VLOOKUP(B385,Sheet6!$F:$N,9,0)</f>
        <v>20308</v>
      </c>
      <c r="B385" s="331" t="s">
        <v>16233</v>
      </c>
      <c r="D385">
        <v>20216</v>
      </c>
      <c r="E385" s="342">
        <v>20308</v>
      </c>
      <c r="F385" s="342">
        <v>2458</v>
      </c>
      <c r="G385">
        <v>2554</v>
      </c>
    </row>
    <row r="386" spans="1:7" ht="16.5">
      <c r="A386" s="336">
        <f>VLOOKUP(B386,Sheet6!$F:$N,9,0)</f>
        <v>20309</v>
      </c>
      <c r="B386" s="331" t="s">
        <v>16248</v>
      </c>
      <c r="D386">
        <v>20226</v>
      </c>
      <c r="E386" s="342">
        <v>20309</v>
      </c>
      <c r="F386" s="342">
        <v>2459</v>
      </c>
      <c r="G386">
        <v>2568</v>
      </c>
    </row>
    <row r="387" spans="1:7" ht="16.5">
      <c r="A387" s="336">
        <f>VLOOKUP(B387,Sheet6!$F:$N,9,0)</f>
        <v>20310</v>
      </c>
      <c r="B387" s="331" t="s">
        <v>16263</v>
      </c>
      <c r="D387">
        <v>20236</v>
      </c>
      <c r="E387" s="342">
        <v>20310</v>
      </c>
      <c r="F387" s="342">
        <v>2460</v>
      </c>
      <c r="G387">
        <v>2582</v>
      </c>
    </row>
    <row r="388" spans="1:7" ht="16.5">
      <c r="A388" s="336">
        <f>VLOOKUP(B388,Sheet6!$F:$N,9,0)</f>
        <v>203111</v>
      </c>
      <c r="B388" s="331" t="s">
        <v>16278</v>
      </c>
      <c r="D388">
        <v>20246</v>
      </c>
      <c r="E388" s="342">
        <v>203111</v>
      </c>
      <c r="F388" s="342">
        <v>2461</v>
      </c>
      <c r="G388">
        <v>2596</v>
      </c>
    </row>
    <row r="389" spans="1:7" ht="16.5">
      <c r="A389" s="336">
        <f>VLOOKUP(B389,Sheet6!$F:$N,9,0)</f>
        <v>203112</v>
      </c>
      <c r="B389" s="331" t="s">
        <v>16293</v>
      </c>
      <c r="D389">
        <v>200117</v>
      </c>
      <c r="E389" s="342">
        <v>203112</v>
      </c>
      <c r="F389" s="342">
        <v>2462</v>
      </c>
      <c r="G389">
        <v>2610</v>
      </c>
    </row>
    <row r="390" spans="1:7" ht="16.5">
      <c r="A390" s="336">
        <f>VLOOKUP(B390,Sheet6!$F:$N,9,0)</f>
        <v>203113</v>
      </c>
      <c r="B390" s="331" t="s">
        <v>16308</v>
      </c>
      <c r="D390">
        <v>200217</v>
      </c>
      <c r="E390" s="342">
        <v>203113</v>
      </c>
      <c r="F390" s="342">
        <v>2463</v>
      </c>
      <c r="G390">
        <v>2624</v>
      </c>
    </row>
    <row r="391" spans="1:7" ht="16.5">
      <c r="A391" s="336">
        <f>VLOOKUP(B391,Sheet6!$F:$N,9,0)</f>
        <v>31</v>
      </c>
      <c r="B391" s="331" t="s">
        <v>16323</v>
      </c>
      <c r="D391">
        <v>200317</v>
      </c>
      <c r="E391" s="342">
        <v>31</v>
      </c>
      <c r="F391" s="342">
        <v>2464</v>
      </c>
      <c r="G391">
        <v>2638</v>
      </c>
    </row>
    <row r="392" spans="1:7" ht="16.5">
      <c r="A392" s="336">
        <f>VLOOKUP(B392,Sheet6!$F:$N,9,0)</f>
        <v>2031</v>
      </c>
      <c r="B392" s="331" t="s">
        <v>16338</v>
      </c>
      <c r="D392">
        <v>200417</v>
      </c>
      <c r="E392" s="342">
        <v>2031</v>
      </c>
      <c r="F392" s="358">
        <v>2031</v>
      </c>
      <c r="G392">
        <v>2652</v>
      </c>
    </row>
    <row r="393" spans="1:7" ht="16.5">
      <c r="A393" s="336">
        <f>VLOOKUP(B393,Sheet6!$F:$N,9,0)</f>
        <v>20311</v>
      </c>
      <c r="B393" s="331" t="s">
        <v>16353</v>
      </c>
      <c r="D393">
        <v>20455</v>
      </c>
      <c r="E393" s="342">
        <v>20311</v>
      </c>
      <c r="F393" s="342">
        <v>2465</v>
      </c>
      <c r="G393">
        <v>2666</v>
      </c>
    </row>
    <row r="394" spans="1:7" ht="16.5">
      <c r="A394" s="336">
        <f>VLOOKUP(B394,Sheet6!$F:$N,9,0)</f>
        <v>20312</v>
      </c>
      <c r="B394" s="331" t="s">
        <v>16368</v>
      </c>
      <c r="D394">
        <v>20465</v>
      </c>
      <c r="E394" s="342">
        <v>20312</v>
      </c>
      <c r="F394" s="342">
        <v>2466</v>
      </c>
      <c r="G394">
        <v>2680</v>
      </c>
    </row>
    <row r="395" spans="1:7" ht="16.5">
      <c r="A395" s="336">
        <f>VLOOKUP(B395,Sheet6!$F:$N,9,0)</f>
        <v>20313</v>
      </c>
      <c r="B395" s="331" t="s">
        <v>16383</v>
      </c>
      <c r="D395">
        <v>20475</v>
      </c>
      <c r="E395" s="342">
        <v>20313</v>
      </c>
      <c r="F395" s="342">
        <v>2467</v>
      </c>
      <c r="G395">
        <v>2694</v>
      </c>
    </row>
    <row r="396" spans="1:7" ht="16.5">
      <c r="A396" s="336">
        <f>VLOOKUP(B396,Sheet6!$F:$N,9,0)</f>
        <v>20314</v>
      </c>
      <c r="B396" s="331" t="s">
        <v>16398</v>
      </c>
      <c r="D396">
        <v>20485</v>
      </c>
      <c r="E396" s="342">
        <v>20314</v>
      </c>
      <c r="F396" s="342">
        <v>2468</v>
      </c>
      <c r="G396">
        <v>2708</v>
      </c>
    </row>
    <row r="397" spans="1:7" ht="16.5">
      <c r="A397" s="336">
        <f>VLOOKUP(B397,Sheet6!$F:$N,9,0)</f>
        <v>20315</v>
      </c>
      <c r="B397" s="331" t="s">
        <v>15754</v>
      </c>
      <c r="D397">
        <v>20811</v>
      </c>
      <c r="E397" s="342">
        <v>20315</v>
      </c>
      <c r="F397" s="342">
        <v>2469</v>
      </c>
      <c r="G397">
        <v>2107</v>
      </c>
    </row>
    <row r="398" spans="1:7" ht="16.5">
      <c r="A398" s="336">
        <f>VLOOKUP(B398,Sheet6!$F:$N,9,0)</f>
        <v>20316</v>
      </c>
      <c r="B398" s="331" t="s">
        <v>15769</v>
      </c>
      <c r="D398">
        <v>20821</v>
      </c>
      <c r="E398" s="342">
        <v>20316</v>
      </c>
      <c r="F398" s="342">
        <v>2470</v>
      </c>
      <c r="G398">
        <v>2121</v>
      </c>
    </row>
    <row r="399" spans="1:7" ht="16.5">
      <c r="A399" s="336">
        <f>VLOOKUP(B399,Sheet6!$F:$N,9,0)</f>
        <v>20317</v>
      </c>
      <c r="B399" s="331" t="s">
        <v>15784</v>
      </c>
      <c r="D399">
        <v>20831</v>
      </c>
      <c r="E399" s="342">
        <v>20317</v>
      </c>
      <c r="F399" s="342">
        <v>2471</v>
      </c>
      <c r="G399">
        <v>2135</v>
      </c>
    </row>
    <row r="400" spans="1:7" ht="16.5">
      <c r="A400" s="336">
        <f>VLOOKUP(B400,Sheet6!$F:$N,9,0)</f>
        <v>20318</v>
      </c>
      <c r="B400" s="331" t="s">
        <v>15799</v>
      </c>
      <c r="D400">
        <v>20841</v>
      </c>
      <c r="E400" s="342">
        <v>20318</v>
      </c>
      <c r="F400" s="342">
        <v>2472</v>
      </c>
      <c r="G400">
        <v>2149</v>
      </c>
    </row>
    <row r="401" spans="1:7" ht="16.5">
      <c r="A401" s="336">
        <f>VLOOKUP(B401,Sheet6!$F:$N,9,0)</f>
        <v>20319</v>
      </c>
      <c r="B401" s="331" t="s">
        <v>15814</v>
      </c>
      <c r="D401">
        <v>20694</v>
      </c>
      <c r="E401" s="342">
        <v>20319</v>
      </c>
      <c r="F401" s="342">
        <v>2473</v>
      </c>
      <c r="G401">
        <v>2163</v>
      </c>
    </row>
    <row r="402" spans="1:7" ht="16.5">
      <c r="A402" s="336">
        <f>VLOOKUP(B402,Sheet6!$F:$N,9,0)</f>
        <v>20320</v>
      </c>
      <c r="B402" s="331" t="s">
        <v>15829</v>
      </c>
      <c r="D402">
        <v>20704</v>
      </c>
      <c r="E402" s="342">
        <v>20320</v>
      </c>
      <c r="F402" s="342">
        <v>2474</v>
      </c>
      <c r="G402">
        <v>2177</v>
      </c>
    </row>
    <row r="403" spans="1:7" ht="16.5">
      <c r="A403" s="336">
        <f>VLOOKUP(B403,Sheet6!$F:$N,9,0)</f>
        <v>203211</v>
      </c>
      <c r="B403" s="331" t="s">
        <v>15844</v>
      </c>
      <c r="D403">
        <v>20714</v>
      </c>
      <c r="E403" s="342">
        <v>203211</v>
      </c>
      <c r="F403" s="342">
        <v>2475</v>
      </c>
      <c r="G403">
        <v>2191</v>
      </c>
    </row>
    <row r="404" spans="1:7" ht="16.5">
      <c r="A404" s="336">
        <f>VLOOKUP(B404,Sheet6!$F:$N,9,0)</f>
        <v>203212</v>
      </c>
      <c r="B404" s="331" t="s">
        <v>15859</v>
      </c>
      <c r="D404">
        <v>20724</v>
      </c>
      <c r="E404" s="342">
        <v>203212</v>
      </c>
      <c r="F404" s="342">
        <v>2476</v>
      </c>
      <c r="G404">
        <v>2205</v>
      </c>
    </row>
    <row r="405" spans="1:7" ht="16.5">
      <c r="A405" s="336">
        <f>VLOOKUP(B405,Sheet6!$F:$N,9,0)</f>
        <v>203213</v>
      </c>
      <c r="B405" s="331" t="s">
        <v>15874</v>
      </c>
      <c r="D405">
        <v>20654</v>
      </c>
      <c r="E405" s="342">
        <v>203213</v>
      </c>
      <c r="F405" s="342">
        <v>2477</v>
      </c>
      <c r="G405">
        <v>2219</v>
      </c>
    </row>
    <row r="406" spans="1:7" ht="16.5">
      <c r="A406" s="336">
        <f>VLOOKUP(B406,Sheet6!$F:$N,9,0)</f>
        <v>32</v>
      </c>
      <c r="B406" s="331" t="s">
        <v>15889</v>
      </c>
      <c r="D406">
        <v>20664</v>
      </c>
      <c r="E406" s="342">
        <v>32</v>
      </c>
      <c r="F406" s="342">
        <v>2478</v>
      </c>
      <c r="G406">
        <v>2233</v>
      </c>
    </row>
    <row r="407" spans="1:7" ht="16.5">
      <c r="A407" s="336">
        <f>VLOOKUP(B407,Sheet6!$F:$N,9,0)</f>
        <v>2032</v>
      </c>
      <c r="B407" s="331" t="s">
        <v>15904</v>
      </c>
      <c r="D407">
        <v>20674</v>
      </c>
      <c r="E407" s="342">
        <v>2032</v>
      </c>
      <c r="F407" s="358">
        <v>2032</v>
      </c>
      <c r="G407">
        <v>2247</v>
      </c>
    </row>
    <row r="408" spans="1:7" ht="16.5">
      <c r="A408" s="336">
        <f>VLOOKUP(B408,Sheet6!$F:$N,9,0)</f>
        <v>20321</v>
      </c>
      <c r="B408" s="331" t="s">
        <v>15919</v>
      </c>
      <c r="D408">
        <v>20684</v>
      </c>
      <c r="E408" s="342">
        <v>20321</v>
      </c>
      <c r="F408" s="342">
        <v>2479</v>
      </c>
      <c r="G408">
        <v>2261</v>
      </c>
    </row>
    <row r="409" spans="1:7" ht="16.5">
      <c r="A409" s="336">
        <f>VLOOKUP(B409,Sheet6!$F:$N,9,0)</f>
        <v>20322</v>
      </c>
      <c r="B409" s="331" t="s">
        <v>15934</v>
      </c>
      <c r="D409">
        <v>20615</v>
      </c>
      <c r="E409" s="342">
        <v>20322</v>
      </c>
      <c r="F409" s="342">
        <v>2480</v>
      </c>
      <c r="G409">
        <v>2275</v>
      </c>
    </row>
    <row r="410" spans="1:7" ht="16.5">
      <c r="A410" s="336">
        <f>VLOOKUP(B410,Sheet6!$F:$N,9,0)</f>
        <v>20323</v>
      </c>
      <c r="B410" s="331" t="s">
        <v>15949</v>
      </c>
      <c r="D410">
        <v>20625</v>
      </c>
      <c r="E410" s="342">
        <v>20323</v>
      </c>
      <c r="F410" s="342">
        <v>2481</v>
      </c>
      <c r="G410">
        <v>2289</v>
      </c>
    </row>
    <row r="411" spans="1:7" ht="16.5">
      <c r="A411" s="336">
        <f>VLOOKUP(B411,Sheet6!$F:$N,9,0)</f>
        <v>20324</v>
      </c>
      <c r="B411" s="331" t="s">
        <v>15964</v>
      </c>
      <c r="D411">
        <v>20635</v>
      </c>
      <c r="E411" s="342">
        <v>20324</v>
      </c>
      <c r="F411" s="342">
        <v>2482</v>
      </c>
      <c r="G411">
        <v>2303</v>
      </c>
    </row>
    <row r="412" spans="1:7" ht="16.5">
      <c r="A412" s="336">
        <f>VLOOKUP(B412,Sheet6!$F:$N,9,0)</f>
        <v>20325</v>
      </c>
      <c r="B412" s="331" t="s">
        <v>15979</v>
      </c>
      <c r="D412">
        <v>20645</v>
      </c>
      <c r="E412" s="342">
        <v>20325</v>
      </c>
      <c r="F412" s="342">
        <v>2483</v>
      </c>
      <c r="G412">
        <v>2317</v>
      </c>
    </row>
    <row r="413" spans="1:7" ht="16.5">
      <c r="A413" s="336">
        <f>VLOOKUP(B413,Sheet6!$F:$N,9,0)</f>
        <v>20326</v>
      </c>
      <c r="B413" s="331" t="s">
        <v>15994</v>
      </c>
      <c r="D413">
        <v>20496</v>
      </c>
      <c r="E413" s="342">
        <v>20326</v>
      </c>
      <c r="F413" s="342">
        <v>2484</v>
      </c>
      <c r="G413">
        <v>2331</v>
      </c>
    </row>
    <row r="414" spans="1:7" ht="16.5">
      <c r="A414" s="336">
        <f>VLOOKUP(B414,Sheet6!$F:$N,9,0)</f>
        <v>20327</v>
      </c>
      <c r="B414" s="331" t="s">
        <v>16009</v>
      </c>
      <c r="D414">
        <v>20506</v>
      </c>
      <c r="E414" s="342">
        <v>20327</v>
      </c>
      <c r="F414" s="342">
        <v>2485</v>
      </c>
      <c r="G414">
        <v>2345</v>
      </c>
    </row>
    <row r="415" spans="1:7" ht="16.5">
      <c r="A415" s="336">
        <f>VLOOKUP(B415,Sheet6!$F:$N,9,0)</f>
        <v>20328</v>
      </c>
      <c r="B415" s="331" t="s">
        <v>16024</v>
      </c>
      <c r="D415">
        <v>20516</v>
      </c>
      <c r="E415" s="342">
        <v>20328</v>
      </c>
      <c r="F415" s="342">
        <v>2486</v>
      </c>
      <c r="G415">
        <v>2359</v>
      </c>
    </row>
    <row r="416" spans="1:7" ht="16.5">
      <c r="A416" s="336">
        <f>VLOOKUP(B416,Sheet6!$F:$N,9,0)</f>
        <v>20329</v>
      </c>
      <c r="B416" s="331" t="s">
        <v>16039</v>
      </c>
      <c r="D416">
        <v>20526</v>
      </c>
      <c r="E416" s="342">
        <v>20329</v>
      </c>
      <c r="F416" s="342">
        <v>2487</v>
      </c>
      <c r="G416">
        <v>2373</v>
      </c>
    </row>
    <row r="417" spans="1:7" ht="16.5">
      <c r="A417" s="336">
        <f>VLOOKUP(B417,Sheet6!$F:$N,9,0)</f>
        <v>20330</v>
      </c>
      <c r="B417" s="331" t="s">
        <v>16054</v>
      </c>
      <c r="D417">
        <v>20416</v>
      </c>
      <c r="E417" s="342">
        <v>20330</v>
      </c>
      <c r="F417" s="342">
        <v>2488</v>
      </c>
      <c r="G417">
        <v>2387</v>
      </c>
    </row>
    <row r="418" spans="1:7" ht="16.5">
      <c r="A418" s="336">
        <f>VLOOKUP(B418,Sheet6!$F:$N,9,0)</f>
        <v>203311</v>
      </c>
      <c r="B418" s="331" t="s">
        <v>16069</v>
      </c>
      <c r="D418">
        <v>20426</v>
      </c>
      <c r="E418" s="342">
        <v>203311</v>
      </c>
      <c r="F418" s="342">
        <v>2489</v>
      </c>
      <c r="G418">
        <v>2401</v>
      </c>
    </row>
    <row r="419" spans="1:7" ht="16.5">
      <c r="A419" s="336">
        <f>VLOOKUP(B419,Sheet6!$F:$N,9,0)</f>
        <v>203312</v>
      </c>
      <c r="B419" s="331" t="s">
        <v>16084</v>
      </c>
      <c r="D419">
        <v>20436</v>
      </c>
      <c r="E419" s="342">
        <v>203312</v>
      </c>
      <c r="F419" s="342">
        <v>2490</v>
      </c>
      <c r="G419">
        <v>2415</v>
      </c>
    </row>
    <row r="420" spans="1:7" ht="16.5">
      <c r="A420" s="336">
        <f>VLOOKUP(B420,Sheet6!$F:$N,9,0)</f>
        <v>203313</v>
      </c>
      <c r="B420" s="331" t="s">
        <v>16099</v>
      </c>
      <c r="D420">
        <v>20446</v>
      </c>
      <c r="E420" s="342">
        <v>203313</v>
      </c>
      <c r="F420" s="342">
        <v>2491</v>
      </c>
      <c r="G420">
        <v>2429</v>
      </c>
    </row>
    <row r="421" spans="1:7" ht="16.5">
      <c r="A421" s="336">
        <f>VLOOKUP(B421,Sheet6!$F:$N,9,0)</f>
        <v>25</v>
      </c>
      <c r="B421" s="331" t="s">
        <v>16114</v>
      </c>
      <c r="D421">
        <v>20297</v>
      </c>
      <c r="E421" s="342">
        <v>25</v>
      </c>
      <c r="F421" s="342">
        <v>2492</v>
      </c>
      <c r="G421">
        <v>2443</v>
      </c>
    </row>
    <row r="422" spans="1:7" ht="16.5">
      <c r="A422" s="336">
        <f>VLOOKUP(B422,Sheet6!$F:$N,9,0)</f>
        <v>2025</v>
      </c>
      <c r="B422" s="331" t="s">
        <v>16129</v>
      </c>
      <c r="D422">
        <v>20307</v>
      </c>
      <c r="E422" s="342">
        <v>2025</v>
      </c>
      <c r="F422" s="358">
        <v>2025</v>
      </c>
      <c r="G422">
        <v>2457</v>
      </c>
    </row>
    <row r="423" spans="1:7" ht="16.5">
      <c r="A423" s="336">
        <f>VLOOKUP(B423,Sheet6!$F:$N,9,0)</f>
        <v>20251</v>
      </c>
      <c r="B423" s="331" t="s">
        <v>16144</v>
      </c>
      <c r="D423">
        <v>20317</v>
      </c>
      <c r="E423" s="342">
        <v>20251</v>
      </c>
      <c r="F423" s="342">
        <v>2493</v>
      </c>
      <c r="G423">
        <v>2471</v>
      </c>
    </row>
    <row r="424" spans="1:7" ht="16.5">
      <c r="A424" s="336">
        <f>VLOOKUP(B424,Sheet6!$F:$N,9,0)</f>
        <v>20252</v>
      </c>
      <c r="B424" s="331" t="s">
        <v>16159</v>
      </c>
      <c r="D424">
        <v>20327</v>
      </c>
      <c r="E424" s="342">
        <v>20252</v>
      </c>
      <c r="F424" s="342">
        <v>2494</v>
      </c>
      <c r="G424">
        <v>2485</v>
      </c>
    </row>
    <row r="425" spans="1:7" ht="16.5">
      <c r="A425" s="336">
        <f>VLOOKUP(B425,Sheet6!$F:$N,9,0)</f>
        <v>20253</v>
      </c>
      <c r="B425" s="331" t="s">
        <v>16174</v>
      </c>
      <c r="D425">
        <v>20257</v>
      </c>
      <c r="E425" s="342">
        <v>20253</v>
      </c>
      <c r="F425" s="342">
        <v>2495</v>
      </c>
      <c r="G425">
        <v>2499</v>
      </c>
    </row>
    <row r="426" spans="1:7" ht="16.5">
      <c r="A426" s="336">
        <f>VLOOKUP(B426,Sheet6!$F:$N,9,0)</f>
        <v>20254</v>
      </c>
      <c r="B426" s="331" t="s">
        <v>16189</v>
      </c>
      <c r="D426">
        <v>20267</v>
      </c>
      <c r="E426" s="342">
        <v>20254</v>
      </c>
      <c r="F426" s="342">
        <v>2496</v>
      </c>
      <c r="G426">
        <v>2513</v>
      </c>
    </row>
    <row r="427" spans="1:7" ht="16.5">
      <c r="A427" s="336">
        <f>VLOOKUP(B427,Sheet6!$F:$N,9,0)</f>
        <v>20255</v>
      </c>
      <c r="B427" s="331" t="s">
        <v>16204</v>
      </c>
      <c r="D427">
        <v>20277</v>
      </c>
      <c r="E427" s="342">
        <v>20255</v>
      </c>
      <c r="F427" s="342">
        <v>2497</v>
      </c>
      <c r="G427">
        <v>2527</v>
      </c>
    </row>
    <row r="428" spans="1:7" ht="16.5">
      <c r="A428" s="336">
        <f>VLOOKUP(B428,Sheet6!$F:$N,9,0)</f>
        <v>20256</v>
      </c>
      <c r="B428" s="331" t="s">
        <v>16219</v>
      </c>
      <c r="D428">
        <v>20287</v>
      </c>
      <c r="E428" s="342">
        <v>20256</v>
      </c>
      <c r="F428" s="342">
        <v>2498</v>
      </c>
      <c r="G428">
        <v>2541</v>
      </c>
    </row>
    <row r="429" spans="1:7" ht="16.5">
      <c r="A429" s="336">
        <f>VLOOKUP(B429,Sheet6!$F:$N,9,0)</f>
        <v>20257</v>
      </c>
      <c r="B429" s="331" t="s">
        <v>16234</v>
      </c>
      <c r="D429">
        <v>20217</v>
      </c>
      <c r="E429" s="342">
        <v>20257</v>
      </c>
      <c r="F429" s="342">
        <v>2499</v>
      </c>
      <c r="G429">
        <v>2555</v>
      </c>
    </row>
    <row r="430" spans="1:7" ht="16.5">
      <c r="A430" s="336">
        <f>VLOOKUP(B430,Sheet6!$F:$N,9,0)</f>
        <v>20258</v>
      </c>
      <c r="B430" s="331" t="s">
        <v>16249</v>
      </c>
      <c r="D430">
        <v>20227</v>
      </c>
      <c r="E430" s="342">
        <v>20258</v>
      </c>
      <c r="F430" s="342">
        <v>2500</v>
      </c>
      <c r="G430">
        <v>2569</v>
      </c>
    </row>
    <row r="431" spans="1:7" ht="16.5">
      <c r="A431" s="336">
        <f>VLOOKUP(B431,Sheet6!$F:$N,9,0)</f>
        <v>20259</v>
      </c>
      <c r="B431" s="331" t="s">
        <v>16264</v>
      </c>
      <c r="D431">
        <v>20237</v>
      </c>
      <c r="E431" s="342">
        <v>20259</v>
      </c>
      <c r="F431" s="342">
        <v>2501</v>
      </c>
      <c r="G431">
        <v>2583</v>
      </c>
    </row>
    <row r="432" spans="1:7" ht="16.5">
      <c r="A432" s="336">
        <f>VLOOKUP(B432,Sheet6!$F:$N,9,0)</f>
        <v>20260</v>
      </c>
      <c r="B432" s="331" t="s">
        <v>16279</v>
      </c>
      <c r="D432">
        <v>20247</v>
      </c>
      <c r="E432" s="342">
        <v>20260</v>
      </c>
      <c r="F432" s="342">
        <v>2502</v>
      </c>
      <c r="G432">
        <v>2597</v>
      </c>
    </row>
    <row r="433" spans="1:7" ht="16.5">
      <c r="A433" s="336">
        <f>VLOOKUP(B433,Sheet6!$F:$N,9,0)</f>
        <v>202611</v>
      </c>
      <c r="B433" s="331" t="s">
        <v>16294</v>
      </c>
      <c r="D433">
        <v>200118</v>
      </c>
      <c r="E433" s="342">
        <v>202611</v>
      </c>
      <c r="F433" s="342">
        <v>2503</v>
      </c>
      <c r="G433">
        <v>2611</v>
      </c>
    </row>
    <row r="434" spans="1:7" ht="16.5">
      <c r="A434" s="336">
        <f>VLOOKUP(B434,Sheet6!$F:$N,9,0)</f>
        <v>202612</v>
      </c>
      <c r="B434" s="331" t="s">
        <v>16309</v>
      </c>
      <c r="D434">
        <v>200218</v>
      </c>
      <c r="E434" s="342">
        <v>202612</v>
      </c>
      <c r="F434" s="342">
        <v>2504</v>
      </c>
      <c r="G434">
        <v>2625</v>
      </c>
    </row>
    <row r="435" spans="1:7" ht="16.5">
      <c r="A435" s="336">
        <f>VLOOKUP(B435,Sheet6!$F:$N,9,0)</f>
        <v>202613</v>
      </c>
      <c r="B435" s="331" t="s">
        <v>16324</v>
      </c>
      <c r="D435">
        <v>200318</v>
      </c>
      <c r="E435" s="342">
        <v>202613</v>
      </c>
      <c r="F435" s="342">
        <v>2505</v>
      </c>
      <c r="G435">
        <v>2639</v>
      </c>
    </row>
    <row r="436" spans="1:7" ht="16.5">
      <c r="A436" s="336">
        <f>VLOOKUP(B436,Sheet6!$F:$N,9,0)</f>
        <v>26</v>
      </c>
      <c r="B436" s="331" t="s">
        <v>16339</v>
      </c>
      <c r="D436">
        <v>200418</v>
      </c>
      <c r="E436" s="342">
        <v>26</v>
      </c>
      <c r="F436" s="342">
        <v>2506</v>
      </c>
      <c r="G436">
        <v>2653</v>
      </c>
    </row>
    <row r="437" spans="1:7" ht="16.5">
      <c r="A437" s="336">
        <f>VLOOKUP(B437,Sheet6!$F:$N,9,0)</f>
        <v>2026</v>
      </c>
      <c r="B437" s="331" t="s">
        <v>16354</v>
      </c>
      <c r="D437">
        <v>20456</v>
      </c>
      <c r="E437" s="342">
        <v>2026</v>
      </c>
      <c r="F437" s="358">
        <v>2026</v>
      </c>
      <c r="G437">
        <v>2667</v>
      </c>
    </row>
    <row r="438" spans="1:7" ht="16.5">
      <c r="A438" s="336">
        <f>VLOOKUP(B438,Sheet6!$F:$N,9,0)</f>
        <v>20261</v>
      </c>
      <c r="B438" s="331" t="s">
        <v>16369</v>
      </c>
      <c r="D438">
        <v>20466</v>
      </c>
      <c r="E438" s="342">
        <v>20261</v>
      </c>
      <c r="F438" s="342">
        <v>2507</v>
      </c>
      <c r="G438">
        <v>2681</v>
      </c>
    </row>
    <row r="439" spans="1:7" ht="16.5">
      <c r="A439" s="336">
        <f>VLOOKUP(B439,Sheet6!$F:$N,9,0)</f>
        <v>20262</v>
      </c>
      <c r="B439" s="331" t="s">
        <v>16384</v>
      </c>
      <c r="D439">
        <v>20476</v>
      </c>
      <c r="E439" s="342">
        <v>20262</v>
      </c>
      <c r="F439" s="342">
        <v>2508</v>
      </c>
      <c r="G439">
        <v>2695</v>
      </c>
    </row>
    <row r="440" spans="1:7" ht="16.5">
      <c r="A440" s="336">
        <f>VLOOKUP(B440,Sheet6!$F:$N,9,0)</f>
        <v>20263</v>
      </c>
      <c r="B440" s="331" t="s">
        <v>16399</v>
      </c>
      <c r="D440">
        <v>20486</v>
      </c>
      <c r="E440" s="342">
        <v>20263</v>
      </c>
      <c r="F440" s="342">
        <v>2509</v>
      </c>
      <c r="G440">
        <v>2709</v>
      </c>
    </row>
    <row r="441" spans="1:7" ht="16.5">
      <c r="A441" s="336">
        <f>VLOOKUP(B441,Sheet6!$F:$N,9,0)</f>
        <v>20264</v>
      </c>
      <c r="B441" s="331" t="s">
        <v>15755</v>
      </c>
      <c r="D441">
        <v>20812</v>
      </c>
      <c r="E441" s="342">
        <v>20264</v>
      </c>
      <c r="F441" s="342">
        <v>2510</v>
      </c>
      <c r="G441">
        <v>2108</v>
      </c>
    </row>
    <row r="442" spans="1:7" ht="16.5">
      <c r="A442" s="336">
        <f>VLOOKUP(B442,Sheet6!$F:$N,9,0)</f>
        <v>20265</v>
      </c>
      <c r="B442" s="331" t="s">
        <v>15770</v>
      </c>
      <c r="D442">
        <v>20822</v>
      </c>
      <c r="E442" s="342">
        <v>20265</v>
      </c>
      <c r="F442" s="342">
        <v>2511</v>
      </c>
      <c r="G442">
        <v>2122</v>
      </c>
    </row>
    <row r="443" spans="1:7" ht="16.5">
      <c r="A443" s="336">
        <f>VLOOKUP(B443,Sheet6!$F:$N,9,0)</f>
        <v>20266</v>
      </c>
      <c r="B443" s="331" t="s">
        <v>15785</v>
      </c>
      <c r="D443">
        <v>20832</v>
      </c>
      <c r="E443" s="342">
        <v>20266</v>
      </c>
      <c r="F443" s="342">
        <v>2512</v>
      </c>
      <c r="G443">
        <v>2136</v>
      </c>
    </row>
    <row r="444" spans="1:7" ht="16.5">
      <c r="A444" s="336">
        <f>VLOOKUP(B444,Sheet6!$F:$N,9,0)</f>
        <v>20267</v>
      </c>
      <c r="B444" s="331" t="s">
        <v>15800</v>
      </c>
      <c r="D444">
        <v>20842</v>
      </c>
      <c r="E444" s="342">
        <v>20267</v>
      </c>
      <c r="F444" s="342">
        <v>2513</v>
      </c>
      <c r="G444">
        <v>2150</v>
      </c>
    </row>
    <row r="445" spans="1:7" ht="16.5">
      <c r="A445" s="336">
        <f>VLOOKUP(B445,Sheet6!$F:$N,9,0)</f>
        <v>20268</v>
      </c>
      <c r="B445" s="331" t="s">
        <v>15815</v>
      </c>
      <c r="D445">
        <v>20695</v>
      </c>
      <c r="E445" s="342">
        <v>20268</v>
      </c>
      <c r="F445" s="342">
        <v>2514</v>
      </c>
      <c r="G445">
        <v>2164</v>
      </c>
    </row>
    <row r="446" spans="1:7" ht="16.5">
      <c r="A446" s="336">
        <f>VLOOKUP(B446,Sheet6!$F:$N,9,0)</f>
        <v>20269</v>
      </c>
      <c r="B446" s="331" t="s">
        <v>15830</v>
      </c>
      <c r="D446">
        <v>20705</v>
      </c>
      <c r="E446" s="342">
        <v>20269</v>
      </c>
      <c r="F446" s="342">
        <v>2515</v>
      </c>
      <c r="G446">
        <v>2178</v>
      </c>
    </row>
    <row r="447" spans="1:7" ht="16.5">
      <c r="A447" s="336">
        <f>VLOOKUP(B447,Sheet6!$F:$N,9,0)</f>
        <v>20270</v>
      </c>
      <c r="B447" s="331" t="s">
        <v>15845</v>
      </c>
      <c r="D447">
        <v>20715</v>
      </c>
      <c r="E447" s="342">
        <v>20270</v>
      </c>
      <c r="F447" s="342">
        <v>2516</v>
      </c>
      <c r="G447">
        <v>2192</v>
      </c>
    </row>
    <row r="448" spans="1:7" ht="16.5">
      <c r="A448" s="336">
        <f>VLOOKUP(B448,Sheet6!$F:$N,9,0)</f>
        <v>202711</v>
      </c>
      <c r="B448" s="331" t="s">
        <v>15860</v>
      </c>
      <c r="D448">
        <v>20725</v>
      </c>
      <c r="E448" s="342">
        <v>202711</v>
      </c>
      <c r="F448" s="342">
        <v>2517</v>
      </c>
      <c r="G448">
        <v>2206</v>
      </c>
    </row>
    <row r="449" spans="1:7" ht="16.5">
      <c r="A449" s="336">
        <f>VLOOKUP(B449,Sheet6!$F:$N,9,0)</f>
        <v>202712</v>
      </c>
      <c r="B449" s="331" t="s">
        <v>15875</v>
      </c>
      <c r="D449">
        <v>20655</v>
      </c>
      <c r="E449" s="342">
        <v>202712</v>
      </c>
      <c r="F449" s="342">
        <v>2518</v>
      </c>
      <c r="G449">
        <v>2220</v>
      </c>
    </row>
    <row r="450" spans="1:7" ht="16.5">
      <c r="A450" s="336">
        <f>VLOOKUP(B450,Sheet6!$F:$N,9,0)</f>
        <v>202713</v>
      </c>
      <c r="B450" s="331" t="s">
        <v>15890</v>
      </c>
      <c r="D450">
        <v>20665</v>
      </c>
      <c r="E450" s="342">
        <v>202713</v>
      </c>
      <c r="F450" s="342">
        <v>2519</v>
      </c>
      <c r="G450">
        <v>2234</v>
      </c>
    </row>
    <row r="451" spans="1:7" ht="16.5">
      <c r="A451" s="336">
        <f>VLOOKUP(B451,Sheet6!$F:$N,9,0)</f>
        <v>27</v>
      </c>
      <c r="B451" s="331" t="s">
        <v>15905</v>
      </c>
      <c r="D451">
        <v>20675</v>
      </c>
      <c r="E451" s="342">
        <v>27</v>
      </c>
      <c r="F451" s="342">
        <v>2520</v>
      </c>
      <c r="G451">
        <v>2248</v>
      </c>
    </row>
    <row r="452" spans="1:7" ht="16.5">
      <c r="A452" s="336">
        <f>VLOOKUP(B452,Sheet6!$F:$N,9,0)</f>
        <v>2027</v>
      </c>
      <c r="B452" s="331" t="s">
        <v>15920</v>
      </c>
      <c r="D452">
        <v>20685</v>
      </c>
      <c r="E452" s="342">
        <v>2027</v>
      </c>
      <c r="F452" s="358">
        <v>2027</v>
      </c>
      <c r="G452">
        <v>2262</v>
      </c>
    </row>
    <row r="453" spans="1:7" ht="16.5">
      <c r="A453" s="336">
        <f>VLOOKUP(B453,Sheet6!$F:$N,9,0)</f>
        <v>20271</v>
      </c>
      <c r="B453" s="331" t="s">
        <v>15935</v>
      </c>
      <c r="D453">
        <v>20616</v>
      </c>
      <c r="E453" s="342">
        <v>20271</v>
      </c>
      <c r="F453" s="342">
        <v>2521</v>
      </c>
      <c r="G453">
        <v>2276</v>
      </c>
    </row>
    <row r="454" spans="1:7" ht="16.5">
      <c r="A454" s="336">
        <f>VLOOKUP(B454,Sheet6!$F:$N,9,0)</f>
        <v>20272</v>
      </c>
      <c r="B454" s="331" t="s">
        <v>15950</v>
      </c>
      <c r="D454">
        <v>20626</v>
      </c>
      <c r="E454" s="342">
        <v>20272</v>
      </c>
      <c r="F454" s="342">
        <v>2522</v>
      </c>
      <c r="G454">
        <v>2290</v>
      </c>
    </row>
    <row r="455" spans="1:7" ht="16.5">
      <c r="A455" s="336">
        <f>VLOOKUP(B455,Sheet6!$F:$N,9,0)</f>
        <v>20273</v>
      </c>
      <c r="B455" s="331" t="s">
        <v>15965</v>
      </c>
      <c r="D455">
        <v>20636</v>
      </c>
      <c r="E455" s="342">
        <v>20273</v>
      </c>
      <c r="F455" s="342">
        <v>2523</v>
      </c>
      <c r="G455">
        <v>2304</v>
      </c>
    </row>
    <row r="456" spans="1:7" ht="16.5">
      <c r="A456" s="336">
        <f>VLOOKUP(B456,Sheet6!$F:$N,9,0)</f>
        <v>20274</v>
      </c>
      <c r="B456" s="331" t="s">
        <v>15980</v>
      </c>
      <c r="D456">
        <v>20646</v>
      </c>
      <c r="E456" s="342">
        <v>20274</v>
      </c>
      <c r="F456" s="342">
        <v>2524</v>
      </c>
      <c r="G456">
        <v>2318</v>
      </c>
    </row>
    <row r="457" spans="1:7" ht="16.5">
      <c r="A457" s="336">
        <f>VLOOKUP(B457,Sheet6!$F:$N,9,0)</f>
        <v>20275</v>
      </c>
      <c r="B457" s="331" t="s">
        <v>15995</v>
      </c>
      <c r="D457">
        <v>20497</v>
      </c>
      <c r="E457" s="342">
        <v>20275</v>
      </c>
      <c r="F457" s="342">
        <v>2525</v>
      </c>
      <c r="G457">
        <v>2332</v>
      </c>
    </row>
    <row r="458" spans="1:7" ht="16.5">
      <c r="A458" s="336">
        <f>VLOOKUP(B458,Sheet6!$F:$N,9,0)</f>
        <v>20276</v>
      </c>
      <c r="B458" s="331" t="s">
        <v>16010</v>
      </c>
      <c r="D458">
        <v>20507</v>
      </c>
      <c r="E458" s="342">
        <v>20276</v>
      </c>
      <c r="F458" s="342">
        <v>2526</v>
      </c>
      <c r="G458">
        <v>2346</v>
      </c>
    </row>
    <row r="459" spans="1:7" ht="16.5">
      <c r="A459" s="336">
        <f>VLOOKUP(B459,Sheet6!$F:$N,9,0)</f>
        <v>20277</v>
      </c>
      <c r="B459" s="331" t="s">
        <v>16025</v>
      </c>
      <c r="D459">
        <v>20517</v>
      </c>
      <c r="E459" s="342">
        <v>20277</v>
      </c>
      <c r="F459" s="342">
        <v>2527</v>
      </c>
      <c r="G459">
        <v>2360</v>
      </c>
    </row>
    <row r="460" spans="1:7" ht="16.5">
      <c r="A460" s="336">
        <f>VLOOKUP(B460,Sheet6!$F:$N,9,0)</f>
        <v>20278</v>
      </c>
      <c r="B460" s="331" t="s">
        <v>16040</v>
      </c>
      <c r="D460">
        <v>20527</v>
      </c>
      <c r="E460" s="342">
        <v>20278</v>
      </c>
      <c r="F460" s="342">
        <v>2528</v>
      </c>
      <c r="G460">
        <v>2374</v>
      </c>
    </row>
    <row r="461" spans="1:7" ht="16.5">
      <c r="A461" s="336">
        <f>VLOOKUP(B461,Sheet6!$F:$N,9,0)</f>
        <v>20279</v>
      </c>
      <c r="B461" s="331" t="s">
        <v>16055</v>
      </c>
      <c r="D461">
        <v>20417</v>
      </c>
      <c r="E461" s="342">
        <v>20279</v>
      </c>
      <c r="F461" s="342">
        <v>2529</v>
      </c>
      <c r="G461">
        <v>2388</v>
      </c>
    </row>
    <row r="462" spans="1:7" ht="16.5">
      <c r="A462" s="336">
        <f>VLOOKUP(B462,Sheet6!$F:$N,9,0)</f>
        <v>20280</v>
      </c>
      <c r="B462" s="331" t="s">
        <v>16070</v>
      </c>
      <c r="D462">
        <v>20427</v>
      </c>
      <c r="E462" s="342">
        <v>20280</v>
      </c>
      <c r="F462" s="342">
        <v>2530</v>
      </c>
      <c r="G462">
        <v>2402</v>
      </c>
    </row>
    <row r="463" spans="1:7" ht="16.5">
      <c r="A463" s="336">
        <f>VLOOKUP(B463,Sheet6!$F:$N,9,0)</f>
        <v>202811</v>
      </c>
      <c r="B463" s="331" t="s">
        <v>16085</v>
      </c>
      <c r="D463">
        <v>20437</v>
      </c>
      <c r="E463" s="342">
        <v>202811</v>
      </c>
      <c r="F463" s="342">
        <v>2531</v>
      </c>
      <c r="G463">
        <v>2416</v>
      </c>
    </row>
    <row r="464" spans="1:7" ht="16.5">
      <c r="A464" s="336">
        <f>VLOOKUP(B464,Sheet6!$F:$N,9,0)</f>
        <v>202812</v>
      </c>
      <c r="B464" s="331" t="s">
        <v>16100</v>
      </c>
      <c r="D464">
        <v>20447</v>
      </c>
      <c r="E464" s="342">
        <v>202812</v>
      </c>
      <c r="F464" s="342">
        <v>2532</v>
      </c>
      <c r="G464">
        <v>2430</v>
      </c>
    </row>
    <row r="465" spans="1:7" ht="16.5">
      <c r="A465" s="336">
        <f>VLOOKUP(B465,Sheet6!$F:$N,9,0)</f>
        <v>202813</v>
      </c>
      <c r="B465" s="331" t="s">
        <v>16115</v>
      </c>
      <c r="D465">
        <v>20298</v>
      </c>
      <c r="E465" s="342">
        <v>202813</v>
      </c>
      <c r="F465" s="342">
        <v>2533</v>
      </c>
      <c r="G465">
        <v>2444</v>
      </c>
    </row>
    <row r="466" spans="1:7" ht="16.5">
      <c r="A466" s="336">
        <f>VLOOKUP(B466,Sheet6!$F:$N,9,0)</f>
        <v>28</v>
      </c>
      <c r="B466" s="331" t="s">
        <v>16130</v>
      </c>
      <c r="D466">
        <v>20308</v>
      </c>
      <c r="E466" s="342">
        <v>28</v>
      </c>
      <c r="F466" s="342">
        <v>2534</v>
      </c>
      <c r="G466">
        <v>2458</v>
      </c>
    </row>
    <row r="467" spans="1:7" ht="16.5">
      <c r="A467" s="336">
        <f>VLOOKUP(B467,Sheet6!$F:$N,9,0)</f>
        <v>2028</v>
      </c>
      <c r="B467" s="331" t="s">
        <v>16145</v>
      </c>
      <c r="D467">
        <v>20318</v>
      </c>
      <c r="E467" s="342">
        <v>2028</v>
      </c>
      <c r="F467" s="358">
        <v>2028</v>
      </c>
      <c r="G467">
        <v>2472</v>
      </c>
    </row>
    <row r="468" spans="1:7" ht="16.5">
      <c r="A468" s="336">
        <f>VLOOKUP(B468,Sheet6!$F:$N,9,0)</f>
        <v>20281</v>
      </c>
      <c r="B468" s="331" t="s">
        <v>16160</v>
      </c>
      <c r="D468">
        <v>20328</v>
      </c>
      <c r="E468" s="342">
        <v>20281</v>
      </c>
      <c r="F468" s="342">
        <v>2535</v>
      </c>
      <c r="G468">
        <v>2486</v>
      </c>
    </row>
    <row r="469" spans="1:7" ht="16.5">
      <c r="A469" s="336">
        <f>VLOOKUP(B469,Sheet6!$F:$N,9,0)</f>
        <v>20282</v>
      </c>
      <c r="B469" s="331" t="s">
        <v>16175</v>
      </c>
      <c r="D469">
        <v>20258</v>
      </c>
      <c r="E469" s="342">
        <v>20282</v>
      </c>
      <c r="F469" s="342">
        <v>2536</v>
      </c>
      <c r="G469">
        <v>2500</v>
      </c>
    </row>
    <row r="470" spans="1:7" ht="16.5">
      <c r="A470" s="336">
        <f>VLOOKUP(B470,Sheet6!$F:$N,9,0)</f>
        <v>20283</v>
      </c>
      <c r="B470" s="331" t="s">
        <v>16190</v>
      </c>
      <c r="D470">
        <v>20268</v>
      </c>
      <c r="E470" s="342">
        <v>20283</v>
      </c>
      <c r="F470" s="342">
        <v>2537</v>
      </c>
      <c r="G470">
        <v>2514</v>
      </c>
    </row>
    <row r="471" spans="1:7" ht="16.5">
      <c r="A471" s="336">
        <f>VLOOKUP(B471,Sheet6!$F:$N,9,0)</f>
        <v>20284</v>
      </c>
      <c r="B471" s="331" t="s">
        <v>16205</v>
      </c>
      <c r="D471">
        <v>20278</v>
      </c>
      <c r="E471" s="342">
        <v>20284</v>
      </c>
      <c r="F471" s="342">
        <v>2538</v>
      </c>
      <c r="G471">
        <v>2528</v>
      </c>
    </row>
    <row r="472" spans="1:7" ht="16.5">
      <c r="A472" s="336">
        <f>VLOOKUP(B472,Sheet6!$F:$N,9,0)</f>
        <v>20285</v>
      </c>
      <c r="B472" s="331" t="s">
        <v>16220</v>
      </c>
      <c r="D472">
        <v>20288</v>
      </c>
      <c r="E472" s="342">
        <v>20285</v>
      </c>
      <c r="F472" s="342">
        <v>2539</v>
      </c>
      <c r="G472">
        <v>2542</v>
      </c>
    </row>
    <row r="473" spans="1:7" ht="16.5">
      <c r="A473" s="336">
        <f>VLOOKUP(B473,Sheet6!$F:$N,9,0)</f>
        <v>20286</v>
      </c>
      <c r="B473" s="331" t="s">
        <v>16235</v>
      </c>
      <c r="D473">
        <v>20218</v>
      </c>
      <c r="E473" s="342">
        <v>20286</v>
      </c>
      <c r="F473" s="342">
        <v>2540</v>
      </c>
      <c r="G473">
        <v>2556</v>
      </c>
    </row>
    <row r="474" spans="1:7" ht="16.5">
      <c r="A474" s="336">
        <f>VLOOKUP(B474,Sheet6!$F:$N,9,0)</f>
        <v>20287</v>
      </c>
      <c r="B474" s="331" t="s">
        <v>16250</v>
      </c>
      <c r="D474">
        <v>20228</v>
      </c>
      <c r="E474" s="342">
        <v>20287</v>
      </c>
      <c r="F474" s="342">
        <v>2541</v>
      </c>
      <c r="G474">
        <v>2570</v>
      </c>
    </row>
    <row r="475" spans="1:7" ht="16.5">
      <c r="A475" s="336">
        <f>VLOOKUP(B475,Sheet6!$F:$N,9,0)</f>
        <v>20288</v>
      </c>
      <c r="B475" s="331" t="s">
        <v>16265</v>
      </c>
      <c r="D475">
        <v>20238</v>
      </c>
      <c r="E475" s="342">
        <v>20288</v>
      </c>
      <c r="F475" s="342">
        <v>2542</v>
      </c>
      <c r="G475">
        <v>2584</v>
      </c>
    </row>
    <row r="476" spans="1:7" ht="16.5">
      <c r="A476" s="336">
        <f>VLOOKUP(B476,Sheet6!$F:$N,9,0)</f>
        <v>20289</v>
      </c>
      <c r="B476" s="331" t="s">
        <v>16280</v>
      </c>
      <c r="D476">
        <v>20248</v>
      </c>
      <c r="E476" s="342">
        <v>20289</v>
      </c>
      <c r="F476" s="342">
        <v>2543</v>
      </c>
      <c r="G476">
        <v>2598</v>
      </c>
    </row>
    <row r="477" spans="1:7" ht="16.5">
      <c r="A477" s="336">
        <f>VLOOKUP(B477,Sheet6!$F:$N,9,0)</f>
        <v>20290</v>
      </c>
      <c r="B477" s="331" t="s">
        <v>16295</v>
      </c>
      <c r="D477">
        <v>200119</v>
      </c>
      <c r="E477" s="342">
        <v>20290</v>
      </c>
      <c r="F477" s="342">
        <v>2544</v>
      </c>
      <c r="G477">
        <v>2612</v>
      </c>
    </row>
    <row r="478" spans="1:7" ht="16.5">
      <c r="A478" s="336">
        <f>VLOOKUP(B478,Sheet6!$F:$N,9,0)</f>
        <v>202911</v>
      </c>
      <c r="B478" s="331" t="s">
        <v>16310</v>
      </c>
      <c r="D478">
        <v>200219</v>
      </c>
      <c r="E478" s="342">
        <v>202911</v>
      </c>
      <c r="F478" s="342">
        <v>2545</v>
      </c>
      <c r="G478">
        <v>2626</v>
      </c>
    </row>
    <row r="479" spans="1:7" ht="16.5">
      <c r="A479" s="336">
        <f>VLOOKUP(B479,Sheet6!$F:$N,9,0)</f>
        <v>202912</v>
      </c>
      <c r="B479" s="331" t="s">
        <v>16325</v>
      </c>
      <c r="D479">
        <v>200319</v>
      </c>
      <c r="E479" s="342">
        <v>202912</v>
      </c>
      <c r="F479" s="342">
        <v>2546</v>
      </c>
      <c r="G479">
        <v>2640</v>
      </c>
    </row>
    <row r="480" spans="1:7" ht="16.5">
      <c r="A480" s="336">
        <f>VLOOKUP(B480,Sheet6!$F:$N,9,0)</f>
        <v>202913</v>
      </c>
      <c r="B480" s="331" t="s">
        <v>16340</v>
      </c>
      <c r="D480">
        <v>200419</v>
      </c>
      <c r="E480" s="342">
        <v>202913</v>
      </c>
      <c r="F480" s="342">
        <v>2547</v>
      </c>
      <c r="G480">
        <v>2654</v>
      </c>
    </row>
    <row r="481" spans="1:7" ht="16.5">
      <c r="A481" s="336">
        <f>VLOOKUP(B481,Sheet6!$F:$N,9,0)</f>
        <v>21</v>
      </c>
      <c r="B481" s="331" t="s">
        <v>16355</v>
      </c>
      <c r="D481">
        <v>20457</v>
      </c>
      <c r="E481" s="351">
        <v>21</v>
      </c>
      <c r="F481" s="342">
        <v>2548</v>
      </c>
      <c r="G481">
        <v>2668</v>
      </c>
    </row>
    <row r="482" spans="1:7" ht="16.5">
      <c r="A482" s="336">
        <f>VLOOKUP(B482,Sheet6!$F:$N,9,0)</f>
        <v>2021</v>
      </c>
      <c r="B482" s="331" t="s">
        <v>16370</v>
      </c>
      <c r="D482">
        <v>20467</v>
      </c>
      <c r="E482" s="351">
        <v>2021</v>
      </c>
      <c r="F482" s="359">
        <v>2021</v>
      </c>
      <c r="G482">
        <v>2682</v>
      </c>
    </row>
    <row r="483" spans="1:7" ht="16.5">
      <c r="A483" s="336">
        <f>VLOOKUP(B483,Sheet6!$F:$N,9,0)</f>
        <v>20211</v>
      </c>
      <c r="B483" s="331" t="s">
        <v>16385</v>
      </c>
      <c r="D483">
        <v>20477</v>
      </c>
      <c r="E483" s="351">
        <v>20211</v>
      </c>
      <c r="F483" s="351">
        <v>2549</v>
      </c>
      <c r="G483">
        <v>2696</v>
      </c>
    </row>
    <row r="484" spans="1:7" ht="16.5">
      <c r="A484" s="336">
        <f>VLOOKUP(B484,Sheet6!$F:$N,9,0)</f>
        <v>20212</v>
      </c>
      <c r="B484" s="331" t="s">
        <v>16400</v>
      </c>
      <c r="D484">
        <v>20487</v>
      </c>
      <c r="E484" s="351">
        <v>20212</v>
      </c>
      <c r="F484" s="351">
        <v>2550</v>
      </c>
      <c r="G484">
        <v>2710</v>
      </c>
    </row>
    <row r="485" spans="1:7" ht="16.5">
      <c r="A485" s="336">
        <f>VLOOKUP(B485,Sheet6!$F:$N,9,0)</f>
        <v>20213</v>
      </c>
      <c r="B485" s="331" t="s">
        <v>15756</v>
      </c>
      <c r="D485">
        <v>20813</v>
      </c>
      <c r="E485" s="351">
        <v>20213</v>
      </c>
      <c r="F485" s="351">
        <v>2551</v>
      </c>
      <c r="G485">
        <v>2109</v>
      </c>
    </row>
    <row r="486" spans="1:7" ht="16.5">
      <c r="A486" s="336">
        <f>VLOOKUP(B486,Sheet6!$F:$N,9,0)</f>
        <v>20214</v>
      </c>
      <c r="B486" s="331" t="s">
        <v>15771</v>
      </c>
      <c r="D486">
        <v>20823</v>
      </c>
      <c r="E486" s="351">
        <v>20214</v>
      </c>
      <c r="F486" s="351">
        <v>2552</v>
      </c>
      <c r="G486">
        <v>2123</v>
      </c>
    </row>
    <row r="487" spans="1:7" ht="16.5">
      <c r="A487" s="336">
        <f>VLOOKUP(B487,Sheet6!$F:$N,9,0)</f>
        <v>20215</v>
      </c>
      <c r="B487" s="331" t="s">
        <v>15786</v>
      </c>
      <c r="D487">
        <v>20833</v>
      </c>
      <c r="E487" s="351">
        <v>20215</v>
      </c>
      <c r="F487" s="351">
        <v>2553</v>
      </c>
      <c r="G487">
        <v>2137</v>
      </c>
    </row>
    <row r="488" spans="1:7" ht="16.5">
      <c r="A488" s="336">
        <f>VLOOKUP(B488,Sheet6!$F:$N,9,0)</f>
        <v>20216</v>
      </c>
      <c r="B488" s="331" t="s">
        <v>15801</v>
      </c>
      <c r="D488">
        <v>20843</v>
      </c>
      <c r="E488" s="351">
        <v>20216</v>
      </c>
      <c r="F488" s="351">
        <v>2554</v>
      </c>
      <c r="G488">
        <v>2151</v>
      </c>
    </row>
    <row r="489" spans="1:7" ht="16.5">
      <c r="A489" s="336">
        <f>VLOOKUP(B489,Sheet6!$F:$N,9,0)</f>
        <v>20217</v>
      </c>
      <c r="B489" s="331" t="s">
        <v>15816</v>
      </c>
      <c r="D489">
        <v>20696</v>
      </c>
      <c r="E489" s="351">
        <v>20217</v>
      </c>
      <c r="F489" s="351">
        <v>2555</v>
      </c>
      <c r="G489">
        <v>2165</v>
      </c>
    </row>
    <row r="490" spans="1:7" ht="16.5">
      <c r="A490" s="336">
        <f>VLOOKUP(B490,Sheet6!$F:$N,9,0)</f>
        <v>20218</v>
      </c>
      <c r="B490" s="331" t="s">
        <v>15831</v>
      </c>
      <c r="D490">
        <v>20706</v>
      </c>
      <c r="E490" s="351">
        <v>20218</v>
      </c>
      <c r="F490" s="351">
        <v>2556</v>
      </c>
      <c r="G490">
        <v>2179</v>
      </c>
    </row>
    <row r="491" spans="1:7" ht="16.5">
      <c r="A491" s="336">
        <f>VLOOKUP(B491,Sheet6!$F:$N,9,0)</f>
        <v>20219</v>
      </c>
      <c r="B491" s="331" t="s">
        <v>15846</v>
      </c>
      <c r="D491">
        <v>20716</v>
      </c>
      <c r="E491" s="351">
        <v>20219</v>
      </c>
      <c r="F491" s="351">
        <v>2557</v>
      </c>
      <c r="G491">
        <v>2193</v>
      </c>
    </row>
    <row r="492" spans="1:7" ht="16.5">
      <c r="A492" s="336">
        <f>VLOOKUP(B492,Sheet6!$F:$N,9,0)</f>
        <v>20220</v>
      </c>
      <c r="B492" s="331" t="s">
        <v>15861</v>
      </c>
      <c r="D492">
        <v>20726</v>
      </c>
      <c r="E492" s="351">
        <v>20220</v>
      </c>
      <c r="F492" s="351">
        <v>2558</v>
      </c>
      <c r="G492">
        <v>2207</v>
      </c>
    </row>
    <row r="493" spans="1:7" ht="16.5">
      <c r="A493" s="336">
        <f>VLOOKUP(B493,Sheet6!$F:$N,9,0)</f>
        <v>202211</v>
      </c>
      <c r="B493" s="331" t="s">
        <v>15876</v>
      </c>
      <c r="D493">
        <v>20656</v>
      </c>
      <c r="E493" s="351">
        <v>202211</v>
      </c>
      <c r="F493" s="351">
        <v>2559</v>
      </c>
      <c r="G493">
        <v>2221</v>
      </c>
    </row>
    <row r="494" spans="1:7" ht="16.5">
      <c r="A494" s="336">
        <f>VLOOKUP(B494,Sheet6!$F:$N,9,0)</f>
        <v>202212</v>
      </c>
      <c r="B494" s="331" t="s">
        <v>15891</v>
      </c>
      <c r="D494">
        <v>20666</v>
      </c>
      <c r="E494" s="351">
        <v>202212</v>
      </c>
      <c r="F494" s="351">
        <v>2560</v>
      </c>
      <c r="G494">
        <v>2235</v>
      </c>
    </row>
    <row r="495" spans="1:7" ht="16.5">
      <c r="A495" s="336">
        <f>VLOOKUP(B495,Sheet6!$F:$N,9,0)</f>
        <v>202213</v>
      </c>
      <c r="B495" s="331" t="s">
        <v>15906</v>
      </c>
      <c r="D495">
        <v>20676</v>
      </c>
      <c r="E495" s="351">
        <v>202213</v>
      </c>
      <c r="F495" s="351">
        <v>2561</v>
      </c>
      <c r="G495">
        <v>2249</v>
      </c>
    </row>
    <row r="496" spans="1:7" ht="16.5">
      <c r="A496" s="336">
        <f>VLOOKUP(B496,Sheet6!$F:$N,9,0)</f>
        <v>22</v>
      </c>
      <c r="B496" s="331" t="s">
        <v>15921</v>
      </c>
      <c r="D496">
        <v>20686</v>
      </c>
      <c r="E496" s="351">
        <v>22</v>
      </c>
      <c r="F496" s="351">
        <v>2562</v>
      </c>
      <c r="G496">
        <v>2263</v>
      </c>
    </row>
    <row r="497" spans="1:7" ht="16.5">
      <c r="A497" s="336">
        <f>VLOOKUP(B497,Sheet6!$F:$N,9,0)</f>
        <v>2022</v>
      </c>
      <c r="B497" s="331" t="s">
        <v>15936</v>
      </c>
      <c r="D497">
        <v>20617</v>
      </c>
      <c r="E497" s="351">
        <v>2022</v>
      </c>
      <c r="F497" s="359">
        <v>2022</v>
      </c>
      <c r="G497">
        <v>2277</v>
      </c>
    </row>
    <row r="498" spans="1:7" ht="16.5">
      <c r="A498" s="336">
        <f>VLOOKUP(B498,Sheet6!$F:$N,9,0)</f>
        <v>20221</v>
      </c>
      <c r="B498" s="331" t="s">
        <v>15951</v>
      </c>
      <c r="D498">
        <v>20627</v>
      </c>
      <c r="E498" s="351">
        <v>20221</v>
      </c>
      <c r="F498" s="351">
        <v>2563</v>
      </c>
      <c r="G498">
        <v>2291</v>
      </c>
    </row>
    <row r="499" spans="1:7" ht="16.5">
      <c r="A499" s="336">
        <f>VLOOKUP(B499,Sheet6!$F:$N,9,0)</f>
        <v>20222</v>
      </c>
      <c r="B499" s="331" t="s">
        <v>15966</v>
      </c>
      <c r="D499">
        <v>20637</v>
      </c>
      <c r="E499" s="351">
        <v>20222</v>
      </c>
      <c r="F499" s="351">
        <v>2564</v>
      </c>
      <c r="G499">
        <v>2305</v>
      </c>
    </row>
    <row r="500" spans="1:7" ht="16.5">
      <c r="A500" s="336">
        <f>VLOOKUP(B500,Sheet6!$F:$N,9,0)</f>
        <v>20223</v>
      </c>
      <c r="B500" s="331" t="s">
        <v>15981</v>
      </c>
      <c r="D500">
        <v>20647</v>
      </c>
      <c r="E500" s="351">
        <v>20223</v>
      </c>
      <c r="F500" s="351">
        <v>2565</v>
      </c>
      <c r="G500">
        <v>2319</v>
      </c>
    </row>
    <row r="501" spans="1:7" ht="16.5">
      <c r="A501" s="336">
        <f>VLOOKUP(B501,Sheet6!$F:$N,9,0)</f>
        <v>20224</v>
      </c>
      <c r="B501" s="331" t="s">
        <v>15996</v>
      </c>
      <c r="D501">
        <v>20498</v>
      </c>
      <c r="E501" s="351">
        <v>20224</v>
      </c>
      <c r="F501" s="351">
        <v>2566</v>
      </c>
      <c r="G501">
        <v>2333</v>
      </c>
    </row>
    <row r="502" spans="1:7" ht="16.5">
      <c r="A502" s="336">
        <f>VLOOKUP(B502,Sheet6!$F:$N,9,0)</f>
        <v>20225</v>
      </c>
      <c r="B502" s="331" t="s">
        <v>16011</v>
      </c>
      <c r="D502">
        <v>20508</v>
      </c>
      <c r="E502" s="351">
        <v>20225</v>
      </c>
      <c r="F502" s="351">
        <v>2567</v>
      </c>
      <c r="G502">
        <v>2347</v>
      </c>
    </row>
    <row r="503" spans="1:7" ht="16.5">
      <c r="A503" s="336">
        <f>VLOOKUP(B503,Sheet6!$F:$N,9,0)</f>
        <v>20226</v>
      </c>
      <c r="B503" s="331" t="s">
        <v>16026</v>
      </c>
      <c r="D503">
        <v>20518</v>
      </c>
      <c r="E503" s="351">
        <v>20226</v>
      </c>
      <c r="F503" s="351">
        <v>2568</v>
      </c>
      <c r="G503">
        <v>2361</v>
      </c>
    </row>
    <row r="504" spans="1:7" ht="16.5">
      <c r="A504" s="336">
        <f>VLOOKUP(B504,Sheet6!$F:$N,9,0)</f>
        <v>20227</v>
      </c>
      <c r="B504" s="331" t="s">
        <v>16041</v>
      </c>
      <c r="D504">
        <v>20528</v>
      </c>
      <c r="E504" s="351">
        <v>20227</v>
      </c>
      <c r="F504" s="351">
        <v>2569</v>
      </c>
      <c r="G504">
        <v>2375</v>
      </c>
    </row>
    <row r="505" spans="1:7" ht="16.5">
      <c r="A505" s="336">
        <f>VLOOKUP(B505,Sheet6!$F:$N,9,0)</f>
        <v>20228</v>
      </c>
      <c r="B505" s="331" t="s">
        <v>16056</v>
      </c>
      <c r="D505">
        <v>20418</v>
      </c>
      <c r="E505" s="351">
        <v>20228</v>
      </c>
      <c r="F505" s="351">
        <v>2570</v>
      </c>
      <c r="G505">
        <v>2389</v>
      </c>
    </row>
    <row r="506" spans="1:7" ht="16.5">
      <c r="A506" s="336">
        <f>VLOOKUP(B506,Sheet6!$F:$N,9,0)</f>
        <v>20229</v>
      </c>
      <c r="B506" s="331" t="s">
        <v>16071</v>
      </c>
      <c r="D506">
        <v>20428</v>
      </c>
      <c r="E506" s="351">
        <v>20229</v>
      </c>
      <c r="F506" s="351">
        <v>2571</v>
      </c>
      <c r="G506">
        <v>2403</v>
      </c>
    </row>
    <row r="507" spans="1:7" ht="16.5">
      <c r="A507" s="336">
        <f>VLOOKUP(B507,Sheet6!$F:$N,9,0)</f>
        <v>20230</v>
      </c>
      <c r="B507" s="331" t="s">
        <v>16086</v>
      </c>
      <c r="D507">
        <v>20438</v>
      </c>
      <c r="E507" s="351">
        <v>20230</v>
      </c>
      <c r="F507" s="351">
        <v>2572</v>
      </c>
      <c r="G507">
        <v>2417</v>
      </c>
    </row>
    <row r="508" spans="1:7" ht="16.5">
      <c r="A508" s="336">
        <f>VLOOKUP(B508,Sheet6!$F:$N,9,0)</f>
        <v>202311</v>
      </c>
      <c r="B508" s="331" t="s">
        <v>16101</v>
      </c>
      <c r="D508">
        <v>20448</v>
      </c>
      <c r="E508" s="351">
        <v>202311</v>
      </c>
      <c r="F508" s="351">
        <v>2573</v>
      </c>
      <c r="G508">
        <v>2431</v>
      </c>
    </row>
    <row r="509" spans="1:7" ht="16.5">
      <c r="A509" s="336">
        <f>VLOOKUP(B509,Sheet6!$F:$N,9,0)</f>
        <v>202312</v>
      </c>
      <c r="B509" s="331" t="s">
        <v>16116</v>
      </c>
      <c r="D509">
        <v>20299</v>
      </c>
      <c r="E509" s="351">
        <v>202312</v>
      </c>
      <c r="F509" s="351">
        <v>2574</v>
      </c>
      <c r="G509">
        <v>2445</v>
      </c>
    </row>
    <row r="510" spans="1:7" ht="16.5">
      <c r="A510" s="336">
        <f>VLOOKUP(B510,Sheet6!$F:$N,9,0)</f>
        <v>202313</v>
      </c>
      <c r="B510" s="331" t="s">
        <v>16131</v>
      </c>
      <c r="D510">
        <v>20309</v>
      </c>
      <c r="E510" s="351">
        <v>202313</v>
      </c>
      <c r="F510" s="351">
        <v>2575</v>
      </c>
      <c r="G510">
        <v>2459</v>
      </c>
    </row>
    <row r="511" spans="1:7" ht="16.5">
      <c r="A511" s="336">
        <f>VLOOKUP(B511,Sheet6!$F:$N,9,0)</f>
        <v>23</v>
      </c>
      <c r="B511" s="331" t="s">
        <v>16146</v>
      </c>
      <c r="D511">
        <v>20319</v>
      </c>
      <c r="E511" s="351">
        <v>23</v>
      </c>
      <c r="F511" s="351">
        <v>2576</v>
      </c>
      <c r="G511">
        <v>2473</v>
      </c>
    </row>
    <row r="512" spans="1:7" ht="16.5">
      <c r="A512" s="336">
        <f>VLOOKUP(B512,Sheet6!$F:$N,9,0)</f>
        <v>2023</v>
      </c>
      <c r="B512" s="331" t="s">
        <v>16161</v>
      </c>
      <c r="D512">
        <v>20329</v>
      </c>
      <c r="E512" s="351">
        <v>2023</v>
      </c>
      <c r="F512" s="359">
        <v>2023</v>
      </c>
      <c r="G512">
        <v>2487</v>
      </c>
    </row>
    <row r="513" spans="1:7" ht="16.5">
      <c r="A513" s="336">
        <f>VLOOKUP(B513,Sheet6!$F:$N,9,0)</f>
        <v>20231</v>
      </c>
      <c r="B513" s="331" t="s">
        <v>16176</v>
      </c>
      <c r="D513">
        <v>20259</v>
      </c>
      <c r="E513" s="351">
        <v>20231</v>
      </c>
      <c r="F513" s="351">
        <v>2577</v>
      </c>
      <c r="G513">
        <v>2501</v>
      </c>
    </row>
    <row r="514" spans="1:7" ht="16.5">
      <c r="A514" s="336">
        <f>VLOOKUP(B514,Sheet6!$F:$N,9,0)</f>
        <v>20232</v>
      </c>
      <c r="B514" s="331" t="s">
        <v>16191</v>
      </c>
      <c r="D514">
        <v>20269</v>
      </c>
      <c r="E514" s="351">
        <v>20232</v>
      </c>
      <c r="F514" s="351">
        <v>2578</v>
      </c>
      <c r="G514">
        <v>2515</v>
      </c>
    </row>
    <row r="515" spans="1:7" ht="16.5">
      <c r="A515" s="336">
        <f>VLOOKUP(B515,Sheet6!$F:$N,9,0)</f>
        <v>20233</v>
      </c>
      <c r="B515" s="331" t="s">
        <v>16206</v>
      </c>
      <c r="D515">
        <v>20279</v>
      </c>
      <c r="E515" s="351">
        <v>20233</v>
      </c>
      <c r="F515" s="351">
        <v>2579</v>
      </c>
      <c r="G515">
        <v>2529</v>
      </c>
    </row>
    <row r="516" spans="1:7" ht="16.5">
      <c r="A516" s="336">
        <f>VLOOKUP(B516,Sheet6!$F:$N,9,0)</f>
        <v>20234</v>
      </c>
      <c r="B516" s="331" t="s">
        <v>16221</v>
      </c>
      <c r="D516">
        <v>20289</v>
      </c>
      <c r="E516" s="351">
        <v>20234</v>
      </c>
      <c r="F516" s="351">
        <v>2580</v>
      </c>
      <c r="G516">
        <v>2543</v>
      </c>
    </row>
    <row r="517" spans="1:7" ht="16.5">
      <c r="A517" s="336">
        <f>VLOOKUP(B517,Sheet6!$F:$N,9,0)</f>
        <v>20235</v>
      </c>
      <c r="B517" s="331" t="s">
        <v>16236</v>
      </c>
      <c r="D517">
        <v>20219</v>
      </c>
      <c r="E517" s="351">
        <v>20235</v>
      </c>
      <c r="F517" s="351">
        <v>2581</v>
      </c>
      <c r="G517">
        <v>2557</v>
      </c>
    </row>
    <row r="518" spans="1:7" ht="16.5">
      <c r="A518" s="336">
        <f>VLOOKUP(B518,Sheet6!$F:$N,9,0)</f>
        <v>20236</v>
      </c>
      <c r="B518" s="331" t="s">
        <v>16251</v>
      </c>
      <c r="D518">
        <v>20229</v>
      </c>
      <c r="E518" s="351">
        <v>20236</v>
      </c>
      <c r="F518" s="351">
        <v>2582</v>
      </c>
      <c r="G518">
        <v>2571</v>
      </c>
    </row>
    <row r="519" spans="1:7" ht="16.5">
      <c r="A519" s="336">
        <f>VLOOKUP(B519,Sheet6!$F:$N,9,0)</f>
        <v>20237</v>
      </c>
      <c r="B519" s="331" t="s">
        <v>16266</v>
      </c>
      <c r="D519">
        <v>20239</v>
      </c>
      <c r="E519" s="351">
        <v>20237</v>
      </c>
      <c r="F519" s="351">
        <v>2583</v>
      </c>
      <c r="G519">
        <v>2585</v>
      </c>
    </row>
    <row r="520" spans="1:7" ht="16.5">
      <c r="A520" s="336">
        <f>VLOOKUP(B520,Sheet6!$F:$N,9,0)</f>
        <v>20238</v>
      </c>
      <c r="B520" s="331" t="s">
        <v>16281</v>
      </c>
      <c r="D520">
        <v>20249</v>
      </c>
      <c r="E520" s="351">
        <v>20238</v>
      </c>
      <c r="F520" s="351">
        <v>2584</v>
      </c>
      <c r="G520">
        <v>2599</v>
      </c>
    </row>
    <row r="521" spans="1:7" ht="16.5">
      <c r="A521" s="336">
        <f>VLOOKUP(B521,Sheet6!$F:$N,9,0)</f>
        <v>20239</v>
      </c>
      <c r="B521" s="331" t="s">
        <v>16296</v>
      </c>
      <c r="D521">
        <v>200120</v>
      </c>
      <c r="E521" s="351">
        <v>20239</v>
      </c>
      <c r="F521" s="351">
        <v>2585</v>
      </c>
      <c r="G521">
        <v>2613</v>
      </c>
    </row>
    <row r="522" spans="1:7" ht="16.5">
      <c r="A522" s="336">
        <f>VLOOKUP(B522,Sheet6!$F:$N,9,0)</f>
        <v>20240</v>
      </c>
      <c r="B522" s="331" t="s">
        <v>16311</v>
      </c>
      <c r="D522">
        <v>200220</v>
      </c>
      <c r="E522" s="351">
        <v>20240</v>
      </c>
      <c r="F522" s="351">
        <v>2586</v>
      </c>
      <c r="G522">
        <v>2627</v>
      </c>
    </row>
    <row r="523" spans="1:7" ht="16.5">
      <c r="A523" s="336">
        <f>VLOOKUP(B523,Sheet6!$F:$N,9,0)</f>
        <v>202411</v>
      </c>
      <c r="B523" s="331" t="s">
        <v>16326</v>
      </c>
      <c r="D523">
        <v>200320</v>
      </c>
      <c r="E523" s="351">
        <v>202411</v>
      </c>
      <c r="F523" s="351">
        <v>2587</v>
      </c>
      <c r="G523">
        <v>2641</v>
      </c>
    </row>
    <row r="524" spans="1:7" ht="16.5">
      <c r="A524" s="336">
        <f>VLOOKUP(B524,Sheet6!$F:$N,9,0)</f>
        <v>202412</v>
      </c>
      <c r="B524" s="331" t="s">
        <v>16341</v>
      </c>
      <c r="D524">
        <v>200420</v>
      </c>
      <c r="E524" s="351">
        <v>202412</v>
      </c>
      <c r="F524" s="351">
        <v>2588</v>
      </c>
      <c r="G524">
        <v>2655</v>
      </c>
    </row>
    <row r="525" spans="1:7" ht="16.5">
      <c r="A525" s="336">
        <f>VLOOKUP(B525,Sheet6!$F:$N,9,0)</f>
        <v>202413</v>
      </c>
      <c r="B525" s="331" t="s">
        <v>16356</v>
      </c>
      <c r="D525">
        <v>20458</v>
      </c>
      <c r="E525" s="351">
        <v>202413</v>
      </c>
      <c r="F525" s="351">
        <v>2589</v>
      </c>
      <c r="G525">
        <v>2669</v>
      </c>
    </row>
    <row r="526" spans="1:7" ht="16.5">
      <c r="A526" s="336">
        <f>VLOOKUP(B526,Sheet6!$F:$N,9,0)</f>
        <v>24</v>
      </c>
      <c r="B526" s="331" t="s">
        <v>16371</v>
      </c>
      <c r="D526">
        <v>20468</v>
      </c>
      <c r="E526" s="351">
        <v>24</v>
      </c>
      <c r="F526" s="351">
        <v>2590</v>
      </c>
      <c r="G526">
        <v>2683</v>
      </c>
    </row>
    <row r="527" spans="1:7" ht="16.5">
      <c r="A527" s="336">
        <f>VLOOKUP(B527,Sheet6!$F:$N,9,0)</f>
        <v>2024</v>
      </c>
      <c r="B527" s="331" t="s">
        <v>16386</v>
      </c>
      <c r="D527">
        <v>20478</v>
      </c>
      <c r="E527" s="351">
        <v>2024</v>
      </c>
      <c r="F527" s="359">
        <v>2024</v>
      </c>
      <c r="G527">
        <v>2697</v>
      </c>
    </row>
    <row r="528" spans="1:7" ht="16.5">
      <c r="A528" s="336">
        <f>VLOOKUP(B528,Sheet6!$F:$N,9,0)</f>
        <v>20241</v>
      </c>
      <c r="B528" s="331" t="s">
        <v>16401</v>
      </c>
      <c r="D528">
        <v>20488</v>
      </c>
      <c r="E528" s="351">
        <v>20241</v>
      </c>
      <c r="F528" s="351">
        <v>2591</v>
      </c>
      <c r="G528">
        <v>2711</v>
      </c>
    </row>
    <row r="529" spans="1:7" ht="16.5">
      <c r="A529" s="336">
        <f>VLOOKUP(B529,Sheet6!$F:$N,9,0)</f>
        <v>20242</v>
      </c>
      <c r="B529" s="331" t="s">
        <v>15757</v>
      </c>
      <c r="D529">
        <v>20814</v>
      </c>
      <c r="E529" s="351">
        <v>20242</v>
      </c>
      <c r="F529" s="351">
        <v>2592</v>
      </c>
      <c r="G529">
        <v>2110</v>
      </c>
    </row>
    <row r="530" spans="1:7" ht="16.5">
      <c r="A530" s="336">
        <f>VLOOKUP(B530,Sheet6!$F:$N,9,0)</f>
        <v>20243</v>
      </c>
      <c r="B530" s="331" t="s">
        <v>15772</v>
      </c>
      <c r="D530">
        <v>20824</v>
      </c>
      <c r="E530" s="351">
        <v>20243</v>
      </c>
      <c r="F530" s="351">
        <v>2593</v>
      </c>
      <c r="G530">
        <v>2124</v>
      </c>
    </row>
    <row r="531" spans="1:7" ht="16.5">
      <c r="A531" s="336">
        <f>VLOOKUP(B531,Sheet6!$F:$N,9,0)</f>
        <v>20244</v>
      </c>
      <c r="B531" s="331" t="s">
        <v>15787</v>
      </c>
      <c r="D531">
        <v>20834</v>
      </c>
      <c r="E531" s="351">
        <v>20244</v>
      </c>
      <c r="F531" s="351">
        <v>2594</v>
      </c>
      <c r="G531">
        <v>2138</v>
      </c>
    </row>
    <row r="532" spans="1:7" ht="16.5">
      <c r="A532" s="336">
        <f>VLOOKUP(B532,Sheet6!$F:$N,9,0)</f>
        <v>20245</v>
      </c>
      <c r="B532" s="331" t="s">
        <v>15802</v>
      </c>
      <c r="D532">
        <v>20844</v>
      </c>
      <c r="E532" s="351">
        <v>20245</v>
      </c>
      <c r="F532" s="351">
        <v>2595</v>
      </c>
      <c r="G532">
        <v>2152</v>
      </c>
    </row>
    <row r="533" spans="1:7" ht="16.5">
      <c r="A533" s="336">
        <f>VLOOKUP(B533,Sheet6!$F:$N,9,0)</f>
        <v>20246</v>
      </c>
      <c r="B533" s="331" t="s">
        <v>15817</v>
      </c>
      <c r="D533">
        <v>20697</v>
      </c>
      <c r="E533" s="351">
        <v>20246</v>
      </c>
      <c r="F533" s="351">
        <v>2596</v>
      </c>
      <c r="G533">
        <v>2166</v>
      </c>
    </row>
    <row r="534" spans="1:7" ht="16.5">
      <c r="A534" s="336">
        <f>VLOOKUP(B534,Sheet6!$F:$N,9,0)</f>
        <v>20247</v>
      </c>
      <c r="B534" s="331" t="s">
        <v>15832</v>
      </c>
      <c r="D534">
        <v>20707</v>
      </c>
      <c r="E534" s="351">
        <v>20247</v>
      </c>
      <c r="F534" s="351">
        <v>2597</v>
      </c>
      <c r="G534">
        <v>2180</v>
      </c>
    </row>
    <row r="535" spans="1:7" ht="16.5">
      <c r="A535" s="336">
        <f>VLOOKUP(B535,Sheet6!$F:$N,9,0)</f>
        <v>20248</v>
      </c>
      <c r="B535" s="331" t="s">
        <v>15847</v>
      </c>
      <c r="D535">
        <v>20717</v>
      </c>
      <c r="E535" s="351">
        <v>20248</v>
      </c>
      <c r="F535" s="351">
        <v>2598</v>
      </c>
      <c r="G535">
        <v>2194</v>
      </c>
    </row>
    <row r="536" spans="1:7" ht="16.5">
      <c r="A536" s="336">
        <f>VLOOKUP(B536,Sheet6!$F:$N,9,0)</f>
        <v>20249</v>
      </c>
      <c r="B536" s="331" t="s">
        <v>15862</v>
      </c>
      <c r="D536">
        <v>20727</v>
      </c>
      <c r="E536" s="351">
        <v>20249</v>
      </c>
      <c r="F536" s="351">
        <v>2599</v>
      </c>
      <c r="G536">
        <v>2208</v>
      </c>
    </row>
    <row r="537" spans="1:7" ht="16.5">
      <c r="A537" s="336">
        <f>VLOOKUP(B537,Sheet6!$F:$N,9,0)</f>
        <v>20250</v>
      </c>
      <c r="B537" s="331" t="s">
        <v>15877</v>
      </c>
      <c r="D537">
        <v>20657</v>
      </c>
      <c r="E537" s="351">
        <v>20250</v>
      </c>
      <c r="F537" s="351">
        <v>2600</v>
      </c>
      <c r="G537">
        <v>2222</v>
      </c>
    </row>
    <row r="538" spans="1:7" ht="16.5">
      <c r="A538" s="336">
        <f>VLOOKUP(B538,Sheet6!$F:$N,9,0)</f>
        <v>202511</v>
      </c>
      <c r="B538" s="331" t="s">
        <v>15892</v>
      </c>
      <c r="D538">
        <v>20667</v>
      </c>
      <c r="E538" s="351">
        <v>202511</v>
      </c>
      <c r="F538" s="351">
        <v>2601</v>
      </c>
      <c r="G538">
        <v>2236</v>
      </c>
    </row>
    <row r="539" spans="1:7" ht="16.5">
      <c r="A539" s="336">
        <f>VLOOKUP(B539,Sheet6!$F:$N,9,0)</f>
        <v>202512</v>
      </c>
      <c r="B539" s="331" t="s">
        <v>15907</v>
      </c>
      <c r="D539">
        <v>20677</v>
      </c>
      <c r="E539" s="351">
        <v>202512</v>
      </c>
      <c r="F539" s="351">
        <v>2602</v>
      </c>
      <c r="G539">
        <v>2250</v>
      </c>
    </row>
    <row r="540" spans="1:7" ht="16.5">
      <c r="A540" s="336">
        <f>VLOOKUP(B540,Sheet6!$F:$N,9,0)</f>
        <v>202513</v>
      </c>
      <c r="B540" s="331" t="s">
        <v>15922</v>
      </c>
      <c r="D540">
        <v>20687</v>
      </c>
      <c r="E540" s="351">
        <v>202513</v>
      </c>
      <c r="F540" s="351">
        <v>2603</v>
      </c>
      <c r="G540">
        <v>2264</v>
      </c>
    </row>
    <row r="541" spans="1:7" ht="16.5">
      <c r="A541" s="336">
        <f>VLOOKUP(B541,Sheet6!$F:$N,9,0)</f>
        <v>2001</v>
      </c>
      <c r="B541" s="331" t="s">
        <v>15937</v>
      </c>
      <c r="D541">
        <v>20618</v>
      </c>
      <c r="E541" s="343">
        <v>2001</v>
      </c>
      <c r="F541" s="360">
        <v>2001</v>
      </c>
      <c r="G541">
        <v>2278</v>
      </c>
    </row>
    <row r="542" spans="1:7" ht="16.5">
      <c r="A542" s="336">
        <f>VLOOKUP(B542,Sheet6!$F:$N,9,0)</f>
        <v>200111</v>
      </c>
      <c r="B542" s="331" t="s">
        <v>15952</v>
      </c>
      <c r="D542">
        <v>20628</v>
      </c>
      <c r="E542" s="343">
        <v>200111</v>
      </c>
      <c r="F542" s="343">
        <v>2604</v>
      </c>
      <c r="G542">
        <v>2292</v>
      </c>
    </row>
    <row r="543" spans="1:7" ht="16.5">
      <c r="A543" s="336">
        <f>VLOOKUP(B543,Sheet6!$F:$N,9,0)</f>
        <v>200112</v>
      </c>
      <c r="B543" s="331" t="s">
        <v>15967</v>
      </c>
      <c r="D543">
        <v>20638</v>
      </c>
      <c r="E543" s="343">
        <v>200112</v>
      </c>
      <c r="F543" s="343">
        <v>2605</v>
      </c>
      <c r="G543">
        <v>2306</v>
      </c>
    </row>
    <row r="544" spans="1:7" ht="16.5">
      <c r="A544" s="336">
        <f>VLOOKUP(B544,Sheet6!$F:$N,9,0)</f>
        <v>200113</v>
      </c>
      <c r="B544" s="331" t="s">
        <v>15982</v>
      </c>
      <c r="D544">
        <v>20648</v>
      </c>
      <c r="E544" s="343">
        <v>200113</v>
      </c>
      <c r="F544" s="343">
        <v>2606</v>
      </c>
      <c r="G544">
        <v>2320</v>
      </c>
    </row>
    <row r="545" spans="1:7" ht="16.5">
      <c r="A545" s="336">
        <f>VLOOKUP(B545,Sheet6!$F:$N,9,0)</f>
        <v>200114</v>
      </c>
      <c r="B545" s="331" t="s">
        <v>15997</v>
      </c>
      <c r="D545">
        <v>20499</v>
      </c>
      <c r="E545" s="343">
        <v>200114</v>
      </c>
      <c r="F545" s="343">
        <v>2607</v>
      </c>
      <c r="G545">
        <v>2334</v>
      </c>
    </row>
    <row r="546" spans="1:7" ht="16.5">
      <c r="A546" s="336">
        <f>VLOOKUP(B546,Sheet6!$F:$N,9,0)</f>
        <v>200115</v>
      </c>
      <c r="B546" s="331" t="s">
        <v>16012</v>
      </c>
      <c r="D546">
        <v>20509</v>
      </c>
      <c r="E546" s="343">
        <v>200115</v>
      </c>
      <c r="F546" s="343">
        <v>2608</v>
      </c>
      <c r="G546">
        <v>2348</v>
      </c>
    </row>
    <row r="547" spans="1:7" ht="16.5">
      <c r="A547" s="336">
        <f>VLOOKUP(B547,Sheet6!$F:$N,9,0)</f>
        <v>200116</v>
      </c>
      <c r="B547" s="331" t="s">
        <v>16027</v>
      </c>
      <c r="D547">
        <v>20519</v>
      </c>
      <c r="E547" s="343">
        <v>200116</v>
      </c>
      <c r="F547" s="343">
        <v>2609</v>
      </c>
      <c r="G547">
        <v>2362</v>
      </c>
    </row>
    <row r="548" spans="1:7" ht="16.5">
      <c r="A548" s="336">
        <f>VLOOKUP(B548,Sheet6!$F:$N,9,0)</f>
        <v>200117</v>
      </c>
      <c r="B548" s="331" t="s">
        <v>16042</v>
      </c>
      <c r="D548">
        <v>20529</v>
      </c>
      <c r="E548" s="343">
        <v>200117</v>
      </c>
      <c r="F548" s="343">
        <v>2610</v>
      </c>
      <c r="G548">
        <v>2376</v>
      </c>
    </row>
    <row r="549" spans="1:7" ht="16.5">
      <c r="A549" s="336">
        <f>VLOOKUP(B549,Sheet6!$F:$N,9,0)</f>
        <v>200118</v>
      </c>
      <c r="B549" s="331" t="s">
        <v>16057</v>
      </c>
      <c r="D549">
        <v>20419</v>
      </c>
      <c r="E549" s="343">
        <v>200118</v>
      </c>
      <c r="F549" s="343">
        <v>2611</v>
      </c>
      <c r="G549">
        <v>2390</v>
      </c>
    </row>
    <row r="550" spans="1:7" ht="16.5">
      <c r="A550" s="336">
        <f>VLOOKUP(B550,Sheet6!$F:$N,9,0)</f>
        <v>200119</v>
      </c>
      <c r="B550" s="331" t="s">
        <v>16072</v>
      </c>
      <c r="D550">
        <v>20429</v>
      </c>
      <c r="E550" s="343">
        <v>200119</v>
      </c>
      <c r="F550" s="343">
        <v>2612</v>
      </c>
      <c r="G550">
        <v>2404</v>
      </c>
    </row>
    <row r="551" spans="1:7" ht="16.5">
      <c r="A551" s="336">
        <f>VLOOKUP(B551,Sheet6!$F:$N,9,0)</f>
        <v>200120</v>
      </c>
      <c r="B551" s="331" t="s">
        <v>16087</v>
      </c>
      <c r="D551">
        <v>20439</v>
      </c>
      <c r="E551" s="343">
        <v>200120</v>
      </c>
      <c r="F551" s="343">
        <v>2613</v>
      </c>
      <c r="G551">
        <v>2418</v>
      </c>
    </row>
    <row r="552" spans="1:7" ht="16.5">
      <c r="A552" s="336">
        <f>VLOOKUP(B552,Sheet6!$F:$N,9,0)</f>
        <v>200121</v>
      </c>
      <c r="B552" s="331" t="s">
        <v>16102</v>
      </c>
      <c r="D552">
        <v>20449</v>
      </c>
      <c r="E552" s="343">
        <v>200121</v>
      </c>
      <c r="F552" s="343">
        <v>2614</v>
      </c>
      <c r="G552">
        <v>2432</v>
      </c>
    </row>
    <row r="553" spans="1:7" ht="16.5">
      <c r="A553" s="336">
        <f>VLOOKUP(B553,Sheet6!$F:$N,9,0)</f>
        <v>200122</v>
      </c>
      <c r="B553" s="331" t="s">
        <v>16117</v>
      </c>
      <c r="D553">
        <v>20300</v>
      </c>
      <c r="E553" s="343">
        <v>200122</v>
      </c>
      <c r="F553" s="343">
        <v>2615</v>
      </c>
      <c r="G553">
        <v>2446</v>
      </c>
    </row>
    <row r="554" spans="1:7" ht="16.5">
      <c r="A554" s="336">
        <f>VLOOKUP(B554,Sheet6!$F:$N,9,0)</f>
        <v>200123</v>
      </c>
      <c r="B554" s="331" t="s">
        <v>16132</v>
      </c>
      <c r="D554">
        <v>20310</v>
      </c>
      <c r="E554" s="343">
        <v>200123</v>
      </c>
      <c r="F554" s="343">
        <v>2616</v>
      </c>
      <c r="G554">
        <v>2460</v>
      </c>
    </row>
    <row r="555" spans="1:7" ht="16.5">
      <c r="A555" s="336">
        <f>VLOOKUP(B555,Sheet6!$F:$N,9,0)</f>
        <v>200124</v>
      </c>
      <c r="B555" s="331" t="s">
        <v>16147</v>
      </c>
      <c r="D555">
        <v>20320</v>
      </c>
      <c r="E555" s="343">
        <v>200124</v>
      </c>
      <c r="F555" s="343">
        <v>2617</v>
      </c>
      <c r="G555">
        <v>2474</v>
      </c>
    </row>
    <row r="556" spans="1:7" ht="16.5">
      <c r="A556" s="336">
        <f>VLOOKUP(B556,Sheet6!$F:$N,9,0)</f>
        <v>2002</v>
      </c>
      <c r="B556" s="331" t="s">
        <v>16162</v>
      </c>
      <c r="D556">
        <v>20330</v>
      </c>
      <c r="E556" s="343">
        <v>2002</v>
      </c>
      <c r="F556" s="360">
        <v>2002</v>
      </c>
      <c r="G556">
        <v>2488</v>
      </c>
    </row>
    <row r="557" spans="1:7" ht="16.5">
      <c r="A557" s="336">
        <f>VLOOKUP(B557,Sheet6!$F:$N,9,0)</f>
        <v>200211</v>
      </c>
      <c r="B557" s="331" t="s">
        <v>16177</v>
      </c>
      <c r="D557">
        <v>20260</v>
      </c>
      <c r="E557" s="343">
        <v>200211</v>
      </c>
      <c r="F557" s="343">
        <v>2618</v>
      </c>
      <c r="G557">
        <v>2502</v>
      </c>
    </row>
    <row r="558" spans="1:7" ht="16.5">
      <c r="A558" s="336">
        <f>VLOOKUP(B558,Sheet6!$F:$N,9,0)</f>
        <v>200212</v>
      </c>
      <c r="B558" s="331" t="s">
        <v>16192</v>
      </c>
      <c r="D558">
        <v>20270</v>
      </c>
      <c r="E558" s="343">
        <v>200212</v>
      </c>
      <c r="F558" s="343">
        <v>2619</v>
      </c>
      <c r="G558">
        <v>2516</v>
      </c>
    </row>
    <row r="559" spans="1:7" ht="16.5">
      <c r="A559" s="336">
        <f>VLOOKUP(B559,Sheet6!$F:$N,9,0)</f>
        <v>200213</v>
      </c>
      <c r="B559" s="331" t="s">
        <v>16207</v>
      </c>
      <c r="D559">
        <v>20280</v>
      </c>
      <c r="E559" s="343">
        <v>200213</v>
      </c>
      <c r="F559" s="343">
        <v>2620</v>
      </c>
      <c r="G559">
        <v>2530</v>
      </c>
    </row>
    <row r="560" spans="1:7" ht="16.5">
      <c r="A560" s="336">
        <f>VLOOKUP(B560,Sheet6!$F:$N,9,0)</f>
        <v>200214</v>
      </c>
      <c r="B560" s="331" t="s">
        <v>16222</v>
      </c>
      <c r="D560">
        <v>20290</v>
      </c>
      <c r="E560" s="343">
        <v>200214</v>
      </c>
      <c r="F560" s="343">
        <v>2621</v>
      </c>
      <c r="G560">
        <v>2544</v>
      </c>
    </row>
    <row r="561" spans="1:7" ht="16.5">
      <c r="A561" s="336">
        <f>VLOOKUP(B561,Sheet6!$F:$N,9,0)</f>
        <v>200215</v>
      </c>
      <c r="B561" s="331" t="s">
        <v>16237</v>
      </c>
      <c r="D561">
        <v>20220</v>
      </c>
      <c r="E561" s="343">
        <v>200215</v>
      </c>
      <c r="F561" s="343">
        <v>2622</v>
      </c>
      <c r="G561">
        <v>2558</v>
      </c>
    </row>
    <row r="562" spans="1:7" ht="16.5">
      <c r="A562" s="336">
        <f>VLOOKUP(B562,Sheet6!$F:$N,9,0)</f>
        <v>200216</v>
      </c>
      <c r="B562" s="331" t="s">
        <v>16252</v>
      </c>
      <c r="D562">
        <v>20230</v>
      </c>
      <c r="E562" s="343">
        <v>200216</v>
      </c>
      <c r="F562" s="343">
        <v>2623</v>
      </c>
      <c r="G562">
        <v>2572</v>
      </c>
    </row>
    <row r="563" spans="1:7" ht="16.5">
      <c r="A563" s="336">
        <f>VLOOKUP(B563,Sheet6!$F:$N,9,0)</f>
        <v>200217</v>
      </c>
      <c r="B563" s="331" t="s">
        <v>16267</v>
      </c>
      <c r="D563">
        <v>20240</v>
      </c>
      <c r="E563" s="343">
        <v>200217</v>
      </c>
      <c r="F563" s="343">
        <v>2624</v>
      </c>
      <c r="G563">
        <v>2586</v>
      </c>
    </row>
    <row r="564" spans="1:7" ht="16.5">
      <c r="A564" s="336">
        <f>VLOOKUP(B564,Sheet6!$F:$N,9,0)</f>
        <v>200218</v>
      </c>
      <c r="B564" s="331" t="s">
        <v>16282</v>
      </c>
      <c r="D564">
        <v>20250</v>
      </c>
      <c r="E564" s="343">
        <v>200218</v>
      </c>
      <c r="F564" s="343">
        <v>2625</v>
      </c>
      <c r="G564">
        <v>2600</v>
      </c>
    </row>
    <row r="565" spans="1:7" ht="16.5">
      <c r="A565" s="336">
        <f>VLOOKUP(B565,Sheet6!$F:$N,9,0)</f>
        <v>200219</v>
      </c>
      <c r="B565" s="331" t="s">
        <v>16297</v>
      </c>
      <c r="D565">
        <v>200121</v>
      </c>
      <c r="E565" s="343">
        <v>200219</v>
      </c>
      <c r="F565" s="343">
        <v>2626</v>
      </c>
      <c r="G565">
        <v>2614</v>
      </c>
    </row>
    <row r="566" spans="1:7" ht="16.5">
      <c r="A566" s="336">
        <f>VLOOKUP(B566,Sheet6!$F:$N,9,0)</f>
        <v>200220</v>
      </c>
      <c r="B566" s="331" t="s">
        <v>16312</v>
      </c>
      <c r="D566">
        <v>200221</v>
      </c>
      <c r="E566" s="343">
        <v>200220</v>
      </c>
      <c r="F566" s="343">
        <v>2627</v>
      </c>
      <c r="G566">
        <v>2628</v>
      </c>
    </row>
    <row r="567" spans="1:7" ht="16.5">
      <c r="A567" s="336">
        <f>VLOOKUP(B567,Sheet6!$F:$N,9,0)</f>
        <v>200221</v>
      </c>
      <c r="B567" s="331" t="s">
        <v>16327</v>
      </c>
      <c r="D567">
        <v>200321</v>
      </c>
      <c r="E567" s="343">
        <v>200221</v>
      </c>
      <c r="F567" s="343">
        <v>2628</v>
      </c>
      <c r="G567">
        <v>2642</v>
      </c>
    </row>
    <row r="568" spans="1:7" ht="16.5">
      <c r="A568" s="336">
        <f>VLOOKUP(B568,Sheet6!$F:$N,9,0)</f>
        <v>200222</v>
      </c>
      <c r="B568" s="331" t="s">
        <v>16342</v>
      </c>
      <c r="D568">
        <v>200421</v>
      </c>
      <c r="E568" s="343">
        <v>200222</v>
      </c>
      <c r="F568" s="343">
        <v>2629</v>
      </c>
      <c r="G568">
        <v>2656</v>
      </c>
    </row>
    <row r="569" spans="1:7" ht="16.5">
      <c r="A569" s="336">
        <f>VLOOKUP(B569,Sheet6!$F:$N,9,0)</f>
        <v>200223</v>
      </c>
      <c r="B569" s="331" t="s">
        <v>16357</v>
      </c>
      <c r="D569">
        <v>20459</v>
      </c>
      <c r="E569" s="343">
        <v>200223</v>
      </c>
      <c r="F569" s="343">
        <v>2630</v>
      </c>
      <c r="G569">
        <v>2670</v>
      </c>
    </row>
    <row r="570" spans="1:7" ht="16.5">
      <c r="A570" s="336">
        <f>VLOOKUP(B570,Sheet6!$F:$N,9,0)</f>
        <v>200224</v>
      </c>
      <c r="B570" s="331" t="s">
        <v>16372</v>
      </c>
      <c r="D570">
        <v>20469</v>
      </c>
      <c r="E570" s="343">
        <v>200224</v>
      </c>
      <c r="F570" s="343">
        <v>2631</v>
      </c>
      <c r="G570">
        <v>2684</v>
      </c>
    </row>
    <row r="571" spans="1:7" ht="16.5">
      <c r="A571" s="336">
        <f>VLOOKUP(B571,Sheet6!$F:$N,9,0)</f>
        <v>2003</v>
      </c>
      <c r="B571" s="331" t="s">
        <v>16387</v>
      </c>
      <c r="D571">
        <v>20479</v>
      </c>
      <c r="E571" s="343">
        <v>2003</v>
      </c>
      <c r="F571" s="360">
        <v>2003</v>
      </c>
      <c r="G571">
        <v>2698</v>
      </c>
    </row>
    <row r="572" spans="1:7" ht="16.5">
      <c r="A572" s="336">
        <f>VLOOKUP(B572,Sheet6!$F:$N,9,0)</f>
        <v>200311</v>
      </c>
      <c r="B572" s="331" t="s">
        <v>16402</v>
      </c>
      <c r="D572">
        <v>20489</v>
      </c>
      <c r="E572" s="343">
        <v>200311</v>
      </c>
      <c r="F572" s="343">
        <v>2632</v>
      </c>
      <c r="G572">
        <v>2712</v>
      </c>
    </row>
    <row r="573" spans="1:7" ht="16.5">
      <c r="A573" s="336">
        <f>VLOOKUP(B573,Sheet6!$F:$N,9,0)</f>
        <v>200312</v>
      </c>
      <c r="B573" s="331" t="s">
        <v>15758</v>
      </c>
      <c r="D573">
        <v>20815</v>
      </c>
      <c r="E573" s="343">
        <v>200312</v>
      </c>
      <c r="F573" s="343">
        <v>2633</v>
      </c>
      <c r="G573">
        <v>2111</v>
      </c>
    </row>
    <row r="574" spans="1:7" ht="16.5">
      <c r="A574" s="336">
        <f>VLOOKUP(B574,Sheet6!$F:$N,9,0)</f>
        <v>200313</v>
      </c>
      <c r="B574" s="331" t="s">
        <v>15773</v>
      </c>
      <c r="D574">
        <v>20825</v>
      </c>
      <c r="E574" s="343">
        <v>200313</v>
      </c>
      <c r="F574" s="343">
        <v>2634</v>
      </c>
      <c r="G574">
        <v>2125</v>
      </c>
    </row>
    <row r="575" spans="1:7" ht="16.5">
      <c r="A575" s="336">
        <f>VLOOKUP(B575,Sheet6!$F:$N,9,0)</f>
        <v>200314</v>
      </c>
      <c r="B575" s="331" t="s">
        <v>15788</v>
      </c>
      <c r="D575">
        <v>20835</v>
      </c>
      <c r="E575" s="343">
        <v>200314</v>
      </c>
      <c r="F575" s="343">
        <v>2635</v>
      </c>
      <c r="G575">
        <v>2139</v>
      </c>
    </row>
    <row r="576" spans="1:7" ht="16.5">
      <c r="A576" s="336">
        <f>VLOOKUP(B576,Sheet6!$F:$N,9,0)</f>
        <v>200315</v>
      </c>
      <c r="B576" s="331" t="s">
        <v>15803</v>
      </c>
      <c r="D576">
        <v>20845</v>
      </c>
      <c r="E576" s="343">
        <v>200315</v>
      </c>
      <c r="F576" s="343">
        <v>2636</v>
      </c>
      <c r="G576">
        <v>2153</v>
      </c>
    </row>
    <row r="577" spans="1:7" ht="16.5">
      <c r="A577" s="336">
        <f>VLOOKUP(B577,Sheet6!$F:$N,9,0)</f>
        <v>200316</v>
      </c>
      <c r="B577" s="331" t="s">
        <v>15818</v>
      </c>
      <c r="D577">
        <v>20698</v>
      </c>
      <c r="E577" s="343">
        <v>200316</v>
      </c>
      <c r="F577" s="343">
        <v>2637</v>
      </c>
      <c r="G577">
        <v>2167</v>
      </c>
    </row>
    <row r="578" spans="1:7" ht="16.5">
      <c r="A578" s="336">
        <f>VLOOKUP(B578,Sheet6!$F:$N,9,0)</f>
        <v>200317</v>
      </c>
      <c r="B578" s="331" t="s">
        <v>15833</v>
      </c>
      <c r="D578">
        <v>20708</v>
      </c>
      <c r="E578" s="343">
        <v>200317</v>
      </c>
      <c r="F578" s="343">
        <v>2638</v>
      </c>
      <c r="G578">
        <v>2181</v>
      </c>
    </row>
    <row r="579" spans="1:7" ht="16.5">
      <c r="A579" s="336">
        <f>VLOOKUP(B579,Sheet6!$F:$N,9,0)</f>
        <v>200318</v>
      </c>
      <c r="B579" s="331" t="s">
        <v>15848</v>
      </c>
      <c r="D579">
        <v>20718</v>
      </c>
      <c r="E579" s="343">
        <v>200318</v>
      </c>
      <c r="F579" s="343">
        <v>2639</v>
      </c>
      <c r="G579">
        <v>2195</v>
      </c>
    </row>
    <row r="580" spans="1:7" ht="16.5">
      <c r="A580" s="336">
        <f>VLOOKUP(B580,Sheet6!$F:$N,9,0)</f>
        <v>200319</v>
      </c>
      <c r="B580" s="331" t="s">
        <v>15863</v>
      </c>
      <c r="D580">
        <v>20728</v>
      </c>
      <c r="E580" s="343">
        <v>200319</v>
      </c>
      <c r="F580" s="343">
        <v>2640</v>
      </c>
      <c r="G580">
        <v>2209</v>
      </c>
    </row>
    <row r="581" spans="1:7" ht="16.5">
      <c r="A581" s="336">
        <f>VLOOKUP(B581,Sheet6!$F:$N,9,0)</f>
        <v>200320</v>
      </c>
      <c r="B581" s="331" t="s">
        <v>15878</v>
      </c>
      <c r="D581">
        <v>20658</v>
      </c>
      <c r="E581" s="343">
        <v>200320</v>
      </c>
      <c r="F581" s="343">
        <v>2641</v>
      </c>
      <c r="G581">
        <v>2223</v>
      </c>
    </row>
    <row r="582" spans="1:7" ht="16.5">
      <c r="A582" s="336">
        <f>VLOOKUP(B582,Sheet6!$F:$N,9,0)</f>
        <v>200321</v>
      </c>
      <c r="B582" s="331" t="s">
        <v>15893</v>
      </c>
      <c r="D582">
        <v>20668</v>
      </c>
      <c r="E582" s="343">
        <v>200321</v>
      </c>
      <c r="F582" s="343">
        <v>2642</v>
      </c>
      <c r="G582">
        <v>2237</v>
      </c>
    </row>
    <row r="583" spans="1:7" ht="16.5">
      <c r="A583" s="336">
        <f>VLOOKUP(B583,Sheet6!$F:$N,9,0)</f>
        <v>200322</v>
      </c>
      <c r="B583" s="331" t="s">
        <v>15908</v>
      </c>
      <c r="D583">
        <v>20678</v>
      </c>
      <c r="E583" s="343">
        <v>200322</v>
      </c>
      <c r="F583" s="343">
        <v>2643</v>
      </c>
      <c r="G583">
        <v>2251</v>
      </c>
    </row>
    <row r="584" spans="1:7" ht="16.5">
      <c r="A584" s="336">
        <f>VLOOKUP(B584,Sheet6!$F:$N,9,0)</f>
        <v>200323</v>
      </c>
      <c r="B584" s="331" t="s">
        <v>15923</v>
      </c>
      <c r="D584">
        <v>20688</v>
      </c>
      <c r="E584" s="343">
        <v>200323</v>
      </c>
      <c r="F584" s="343">
        <v>2644</v>
      </c>
      <c r="G584">
        <v>2265</v>
      </c>
    </row>
    <row r="585" spans="1:7" ht="16.5">
      <c r="A585" s="336">
        <f>VLOOKUP(B585,Sheet6!$F:$N,9,0)</f>
        <v>200324</v>
      </c>
      <c r="B585" s="331" t="s">
        <v>15938</v>
      </c>
      <c r="D585">
        <v>20619</v>
      </c>
      <c r="E585" s="343">
        <v>200324</v>
      </c>
      <c r="F585" s="343">
        <v>2645</v>
      </c>
      <c r="G585">
        <v>2279</v>
      </c>
    </row>
    <row r="586" spans="1:7" ht="16.5">
      <c r="A586" s="336">
        <f>VLOOKUP(B586,Sheet6!$F:$N,9,0)</f>
        <v>2004</v>
      </c>
      <c r="B586" s="331" t="s">
        <v>15953</v>
      </c>
      <c r="D586">
        <v>20629</v>
      </c>
      <c r="E586" s="343">
        <v>2004</v>
      </c>
      <c r="F586" s="360">
        <v>2004</v>
      </c>
      <c r="G586">
        <v>2293</v>
      </c>
    </row>
    <row r="587" spans="1:7" ht="16.5">
      <c r="A587" s="336">
        <f>VLOOKUP(B587,Sheet6!$F:$N,9,0)</f>
        <v>200411</v>
      </c>
      <c r="B587" s="331" t="s">
        <v>15968</v>
      </c>
      <c r="D587">
        <v>20639</v>
      </c>
      <c r="E587" s="343">
        <v>200411</v>
      </c>
      <c r="F587" s="343">
        <v>2646</v>
      </c>
      <c r="G587">
        <v>2307</v>
      </c>
    </row>
    <row r="588" spans="1:7" ht="16.5">
      <c r="A588" s="336">
        <f>VLOOKUP(B588,Sheet6!$F:$N,9,0)</f>
        <v>200412</v>
      </c>
      <c r="B588" s="331" t="s">
        <v>15983</v>
      </c>
      <c r="D588">
        <v>20649</v>
      </c>
      <c r="E588" s="343">
        <v>200412</v>
      </c>
      <c r="F588" s="343">
        <v>2647</v>
      </c>
      <c r="G588">
        <v>2321</v>
      </c>
    </row>
    <row r="589" spans="1:7" ht="16.5">
      <c r="A589" s="336">
        <f>VLOOKUP(B589,Sheet6!$F:$N,9,0)</f>
        <v>200413</v>
      </c>
      <c r="B589" s="331" t="s">
        <v>15998</v>
      </c>
      <c r="D589">
        <v>20500</v>
      </c>
      <c r="E589" s="343">
        <v>200413</v>
      </c>
      <c r="F589" s="343">
        <v>2648</v>
      </c>
      <c r="G589">
        <v>2335</v>
      </c>
    </row>
    <row r="590" spans="1:7" ht="16.5">
      <c r="A590" s="336">
        <f>VLOOKUP(B590,Sheet6!$F:$N,9,0)</f>
        <v>200414</v>
      </c>
      <c r="B590" s="331" t="s">
        <v>16013</v>
      </c>
      <c r="D590">
        <v>20510</v>
      </c>
      <c r="E590" s="343">
        <v>200414</v>
      </c>
      <c r="F590" s="343">
        <v>2649</v>
      </c>
      <c r="G590">
        <v>2349</v>
      </c>
    </row>
    <row r="591" spans="1:7" ht="16.5">
      <c r="A591" s="336">
        <f>VLOOKUP(B591,Sheet6!$F:$N,9,0)</f>
        <v>200415</v>
      </c>
      <c r="B591" s="331" t="s">
        <v>16028</v>
      </c>
      <c r="D591">
        <v>20520</v>
      </c>
      <c r="E591" s="343">
        <v>200415</v>
      </c>
      <c r="F591" s="343">
        <v>2650</v>
      </c>
      <c r="G591">
        <v>2363</v>
      </c>
    </row>
    <row r="592" spans="1:7" ht="16.5">
      <c r="A592" s="336">
        <f>VLOOKUP(B592,Sheet6!$F:$N,9,0)</f>
        <v>200416</v>
      </c>
      <c r="B592" s="331" t="s">
        <v>16043</v>
      </c>
      <c r="D592">
        <v>20530</v>
      </c>
      <c r="E592" s="343">
        <v>200416</v>
      </c>
      <c r="F592" s="343">
        <v>2651</v>
      </c>
      <c r="G592">
        <v>2377</v>
      </c>
    </row>
    <row r="593" spans="1:7" ht="16.5">
      <c r="A593" s="336">
        <f>VLOOKUP(B593,Sheet6!$F:$N,9,0)</f>
        <v>200417</v>
      </c>
      <c r="B593" s="331" t="s">
        <v>16058</v>
      </c>
      <c r="D593">
        <v>20420</v>
      </c>
      <c r="E593" s="343">
        <v>200417</v>
      </c>
      <c r="F593" s="343">
        <v>2652</v>
      </c>
      <c r="G593">
        <v>2391</v>
      </c>
    </row>
    <row r="594" spans="1:7" ht="16.5">
      <c r="A594" s="336">
        <f>VLOOKUP(B594,Sheet6!$F:$N,9,0)</f>
        <v>200418</v>
      </c>
      <c r="B594" s="331" t="s">
        <v>16073</v>
      </c>
      <c r="D594">
        <v>20430</v>
      </c>
      <c r="E594" s="343">
        <v>200418</v>
      </c>
      <c r="F594" s="343">
        <v>2653</v>
      </c>
      <c r="G594">
        <v>2405</v>
      </c>
    </row>
    <row r="595" spans="1:7" ht="16.5">
      <c r="A595" s="336">
        <f>VLOOKUP(B595,Sheet6!$F:$N,9,0)</f>
        <v>200419</v>
      </c>
      <c r="B595" s="331" t="s">
        <v>16088</v>
      </c>
      <c r="D595">
        <v>20440</v>
      </c>
      <c r="E595" s="343">
        <v>200419</v>
      </c>
      <c r="F595" s="343">
        <v>2654</v>
      </c>
      <c r="G595">
        <v>2419</v>
      </c>
    </row>
    <row r="596" spans="1:7" ht="16.5">
      <c r="A596" s="336">
        <f>VLOOKUP(B596,Sheet6!$F:$N,9,0)</f>
        <v>200420</v>
      </c>
      <c r="B596" s="331" t="s">
        <v>16103</v>
      </c>
      <c r="D596">
        <v>20450</v>
      </c>
      <c r="E596" s="343">
        <v>200420</v>
      </c>
      <c r="F596" s="343">
        <v>2655</v>
      </c>
      <c r="G596">
        <v>2433</v>
      </c>
    </row>
    <row r="597" spans="1:7" ht="16.5">
      <c r="A597" s="336">
        <f>VLOOKUP(B597,Sheet6!$F:$N,9,0)</f>
        <v>200421</v>
      </c>
      <c r="B597" s="331" t="s">
        <v>16118</v>
      </c>
      <c r="D597">
        <v>203011</v>
      </c>
      <c r="E597" s="343">
        <v>200421</v>
      </c>
      <c r="F597" s="343">
        <v>2656</v>
      </c>
      <c r="G597">
        <v>2447</v>
      </c>
    </row>
    <row r="598" spans="1:7" ht="16.5">
      <c r="A598" s="336">
        <f>VLOOKUP(B598,Sheet6!$F:$N,9,0)</f>
        <v>200422</v>
      </c>
      <c r="B598" s="331" t="s">
        <v>16133</v>
      </c>
      <c r="D598">
        <v>203111</v>
      </c>
      <c r="E598" s="343">
        <v>200422</v>
      </c>
      <c r="F598" s="343">
        <v>2657</v>
      </c>
      <c r="G598">
        <v>2461</v>
      </c>
    </row>
    <row r="599" spans="1:7" ht="16.5">
      <c r="A599" s="336">
        <f>VLOOKUP(B599,Sheet6!$F:$N,9,0)</f>
        <v>200423</v>
      </c>
      <c r="B599" s="331" t="s">
        <v>16148</v>
      </c>
      <c r="D599">
        <v>203211</v>
      </c>
      <c r="E599" s="343">
        <v>200423</v>
      </c>
      <c r="F599" s="343">
        <v>2658</v>
      </c>
      <c r="G599">
        <v>2475</v>
      </c>
    </row>
    <row r="600" spans="1:7" ht="16.5">
      <c r="A600" s="336">
        <f>VLOOKUP(B600,Sheet6!$F:$N,9,0)</f>
        <v>200424</v>
      </c>
      <c r="B600" s="331" t="s">
        <v>16163</v>
      </c>
      <c r="D600">
        <v>203311</v>
      </c>
      <c r="E600" s="343">
        <v>200424</v>
      </c>
      <c r="F600" s="343">
        <v>2659</v>
      </c>
      <c r="G600">
        <v>2489</v>
      </c>
    </row>
    <row r="601" spans="1:7" ht="16.5">
      <c r="A601" s="336">
        <f>VLOOKUP(B601,Sheet6!$F:$N,9,0)</f>
        <v>451</v>
      </c>
      <c r="B601" s="331" t="s">
        <v>16178</v>
      </c>
      <c r="D601">
        <v>202611</v>
      </c>
      <c r="E601" s="345">
        <v>2901</v>
      </c>
      <c r="F601" s="345">
        <v>2901</v>
      </c>
      <c r="G601">
        <v>2503</v>
      </c>
    </row>
    <row r="602" spans="1:7" ht="16.5">
      <c r="A602" s="336">
        <f>VLOOKUP(B602,Sheet6!$F:$N,9,0)</f>
        <v>452</v>
      </c>
      <c r="B602" s="331" t="s">
        <v>16193</v>
      </c>
      <c r="D602">
        <v>202711</v>
      </c>
      <c r="E602" s="345">
        <v>2902</v>
      </c>
      <c r="F602" s="345">
        <v>2902</v>
      </c>
      <c r="G602">
        <v>2517</v>
      </c>
    </row>
    <row r="603" spans="1:7" ht="16.5">
      <c r="A603" s="336">
        <f>VLOOKUP(B603,Sheet6!$F:$N,9,0)</f>
        <v>2045</v>
      </c>
      <c r="B603" s="331" t="s">
        <v>16208</v>
      </c>
      <c r="D603">
        <v>202811</v>
      </c>
      <c r="E603" s="345">
        <v>2903</v>
      </c>
      <c r="F603" s="345">
        <v>2903</v>
      </c>
      <c r="G603">
        <v>2531</v>
      </c>
    </row>
    <row r="604" spans="1:7" ht="16.5">
      <c r="A604" s="336">
        <f>VLOOKUP(B604,Sheet6!$F:$N,9,0)</f>
        <v>20451</v>
      </c>
      <c r="B604" s="331" t="s">
        <v>16223</v>
      </c>
      <c r="D604">
        <v>202911</v>
      </c>
      <c r="E604" s="345">
        <v>2904</v>
      </c>
      <c r="F604" s="345">
        <v>2904</v>
      </c>
      <c r="G604">
        <v>2545</v>
      </c>
    </row>
    <row r="605" spans="1:7" ht="16.5">
      <c r="A605" s="336">
        <f>VLOOKUP(B605,Sheet6!$F:$N,9,0)</f>
        <v>20452</v>
      </c>
      <c r="B605" s="331" t="s">
        <v>16238</v>
      </c>
      <c r="D605">
        <v>202211</v>
      </c>
      <c r="E605" s="352">
        <v>451</v>
      </c>
      <c r="F605" s="352">
        <v>2660</v>
      </c>
      <c r="G605">
        <v>2559</v>
      </c>
    </row>
    <row r="606" spans="1:7" ht="16.5">
      <c r="A606" s="336">
        <f>VLOOKUP(B606,Sheet6!$F:$N,9,0)</f>
        <v>20453</v>
      </c>
      <c r="B606" s="331" t="s">
        <v>16253</v>
      </c>
      <c r="D606">
        <v>202311</v>
      </c>
      <c r="E606" s="352">
        <v>452</v>
      </c>
      <c r="F606" s="352">
        <v>2661</v>
      </c>
      <c r="G606">
        <v>2573</v>
      </c>
    </row>
    <row r="607" spans="1:7" ht="16.5">
      <c r="A607" s="336">
        <f>VLOOKUP(B607,Sheet6!$F:$N,9,0)</f>
        <v>20454</v>
      </c>
      <c r="B607" s="331" t="s">
        <v>16268</v>
      </c>
      <c r="D607">
        <v>202411</v>
      </c>
      <c r="E607" s="352">
        <v>2045</v>
      </c>
      <c r="F607" s="361">
        <v>2045</v>
      </c>
      <c r="G607">
        <v>2587</v>
      </c>
    </row>
    <row r="608" spans="1:7" ht="16.5">
      <c r="A608" s="336">
        <f>VLOOKUP(B608,Sheet6!$F:$N,9,0)</f>
        <v>20455</v>
      </c>
      <c r="B608" s="331" t="s">
        <v>16283</v>
      </c>
      <c r="D608">
        <v>202511</v>
      </c>
      <c r="E608" s="352">
        <v>20451</v>
      </c>
      <c r="F608" s="352">
        <v>2662</v>
      </c>
      <c r="G608">
        <v>2601</v>
      </c>
    </row>
    <row r="609" spans="1:7" ht="16.5">
      <c r="A609" s="336">
        <f>VLOOKUP(B609,Sheet6!$F:$N,9,0)</f>
        <v>20456</v>
      </c>
      <c r="B609" s="331" t="s">
        <v>16298</v>
      </c>
      <c r="D609">
        <v>200122</v>
      </c>
      <c r="E609" s="352">
        <v>20452</v>
      </c>
      <c r="F609" s="352">
        <v>2663</v>
      </c>
      <c r="G609">
        <v>2615</v>
      </c>
    </row>
    <row r="610" spans="1:7" ht="16.5">
      <c r="A610" s="336">
        <f>VLOOKUP(B610,Sheet6!$F:$N,9,0)</f>
        <v>20457</v>
      </c>
      <c r="B610" s="331" t="s">
        <v>16313</v>
      </c>
      <c r="D610">
        <v>200222</v>
      </c>
      <c r="E610" s="352">
        <v>20453</v>
      </c>
      <c r="F610" s="352">
        <v>2664</v>
      </c>
      <c r="G610">
        <v>2629</v>
      </c>
    </row>
    <row r="611" spans="1:7" ht="16.5">
      <c r="A611" s="336">
        <f>VLOOKUP(B611,Sheet6!$F:$N,9,0)</f>
        <v>20458</v>
      </c>
      <c r="B611" s="331" t="s">
        <v>16328</v>
      </c>
      <c r="D611">
        <v>200322</v>
      </c>
      <c r="E611" s="352">
        <v>20454</v>
      </c>
      <c r="F611" s="352">
        <v>2665</v>
      </c>
      <c r="G611">
        <v>2643</v>
      </c>
    </row>
    <row r="612" spans="1:7" ht="16.5">
      <c r="A612" s="336">
        <f>VLOOKUP(B612,Sheet6!$F:$N,9,0)</f>
        <v>20459</v>
      </c>
      <c r="B612" s="331" t="s">
        <v>16343</v>
      </c>
      <c r="D612">
        <v>200422</v>
      </c>
      <c r="E612" s="352">
        <v>20455</v>
      </c>
      <c r="F612" s="352">
        <v>2666</v>
      </c>
      <c r="G612">
        <v>2657</v>
      </c>
    </row>
    <row r="613" spans="1:7" ht="16.5">
      <c r="A613" s="336">
        <f>VLOOKUP(B613,Sheet6!$F:$N,9,0)</f>
        <v>204601</v>
      </c>
      <c r="B613" s="331" t="s">
        <v>16358</v>
      </c>
      <c r="D613">
        <v>204601</v>
      </c>
      <c r="E613" s="352">
        <v>20456</v>
      </c>
      <c r="F613" s="352">
        <v>2667</v>
      </c>
      <c r="G613">
        <v>2671</v>
      </c>
    </row>
    <row r="614" spans="1:7" ht="16.5">
      <c r="A614" s="336">
        <f>VLOOKUP(B614,Sheet6!$F:$N,9,0)</f>
        <v>204602</v>
      </c>
      <c r="B614" s="331" t="s">
        <v>16373</v>
      </c>
      <c r="D614">
        <v>204701</v>
      </c>
      <c r="E614" s="352">
        <v>20457</v>
      </c>
      <c r="F614" s="352">
        <v>2668</v>
      </c>
      <c r="G614">
        <v>2685</v>
      </c>
    </row>
    <row r="615" spans="1:7" ht="16.5">
      <c r="A615" s="336">
        <f>VLOOKUP(B615,Sheet6!$F:$N,9,0)</f>
        <v>204603</v>
      </c>
      <c r="B615" s="331" t="s">
        <v>16388</v>
      </c>
      <c r="D615">
        <v>204801</v>
      </c>
      <c r="E615" s="352">
        <v>20458</v>
      </c>
      <c r="F615" s="352">
        <v>2669</v>
      </c>
      <c r="G615">
        <v>2699</v>
      </c>
    </row>
    <row r="616" spans="1:7" ht="16.5">
      <c r="A616" s="336">
        <f>VLOOKUP(B616,Sheet6!$F:$N,9,0)</f>
        <v>461</v>
      </c>
      <c r="B616" s="331" t="s">
        <v>16403</v>
      </c>
      <c r="D616">
        <v>204901</v>
      </c>
      <c r="E616" s="352">
        <v>20459</v>
      </c>
      <c r="F616" s="352">
        <v>2670</v>
      </c>
      <c r="G616">
        <v>2713</v>
      </c>
    </row>
    <row r="617" spans="1:7" ht="16.5">
      <c r="A617" s="336">
        <f>VLOOKUP(B617,Sheet6!$F:$N,9,0)</f>
        <v>462</v>
      </c>
      <c r="B617" s="331" t="s">
        <v>15759</v>
      </c>
      <c r="D617">
        <v>20816</v>
      </c>
      <c r="E617" s="352">
        <v>204601</v>
      </c>
      <c r="F617" s="352">
        <v>2671</v>
      </c>
      <c r="G617">
        <v>2112</v>
      </c>
    </row>
    <row r="618" spans="1:7" ht="16.5">
      <c r="A618" s="336">
        <f>VLOOKUP(B618,Sheet6!$F:$N,9,0)</f>
        <v>2046</v>
      </c>
      <c r="B618" s="331" t="s">
        <v>15774</v>
      </c>
      <c r="D618">
        <v>20826</v>
      </c>
      <c r="E618" s="352">
        <v>204602</v>
      </c>
      <c r="F618" s="352">
        <v>2672</v>
      </c>
      <c r="G618">
        <v>2126</v>
      </c>
    </row>
    <row r="619" spans="1:7" ht="16.5">
      <c r="A619" s="336">
        <f>VLOOKUP(B619,Sheet6!$F:$N,9,0)</f>
        <v>20461</v>
      </c>
      <c r="B619" s="331" t="s">
        <v>15789</v>
      </c>
      <c r="D619">
        <v>20836</v>
      </c>
      <c r="E619" s="352">
        <v>204603</v>
      </c>
      <c r="F619" s="352">
        <v>2673</v>
      </c>
      <c r="G619">
        <v>2140</v>
      </c>
    </row>
    <row r="620" spans="1:7" ht="16.5">
      <c r="A620" s="336">
        <f>VLOOKUP(B620,Sheet6!$F:$N,9,0)</f>
        <v>20462</v>
      </c>
      <c r="B620" s="331" t="s">
        <v>15804</v>
      </c>
      <c r="D620">
        <v>20846</v>
      </c>
      <c r="E620" s="352">
        <v>461</v>
      </c>
      <c r="F620" s="352">
        <v>2674</v>
      </c>
      <c r="G620">
        <v>2154</v>
      </c>
    </row>
    <row r="621" spans="1:7" ht="16.5">
      <c r="A621" s="336">
        <f>VLOOKUP(B621,Sheet6!$F:$N,9,0)</f>
        <v>20463</v>
      </c>
      <c r="B621" s="331" t="s">
        <v>15819</v>
      </c>
      <c r="D621">
        <v>20699</v>
      </c>
      <c r="E621" s="352">
        <v>462</v>
      </c>
      <c r="F621" s="352">
        <v>2675</v>
      </c>
      <c r="G621">
        <v>2168</v>
      </c>
    </row>
    <row r="622" spans="1:7" ht="16.5">
      <c r="A622" s="336">
        <f>VLOOKUP(B622,Sheet6!$F:$N,9,0)</f>
        <v>20464</v>
      </c>
      <c r="B622" s="331" t="s">
        <v>15834</v>
      </c>
      <c r="D622">
        <v>20709</v>
      </c>
      <c r="E622" s="352">
        <v>2046</v>
      </c>
      <c r="F622" s="361">
        <v>2046</v>
      </c>
      <c r="G622">
        <v>2182</v>
      </c>
    </row>
    <row r="623" spans="1:7" ht="16.5">
      <c r="A623" s="336">
        <f>VLOOKUP(B623,Sheet6!$F:$N,9,0)</f>
        <v>20465</v>
      </c>
      <c r="B623" s="331" t="s">
        <v>15849</v>
      </c>
      <c r="D623">
        <v>20719</v>
      </c>
      <c r="E623" s="352">
        <v>20461</v>
      </c>
      <c r="F623" s="352">
        <v>2676</v>
      </c>
      <c r="G623">
        <v>2196</v>
      </c>
    </row>
    <row r="624" spans="1:7" ht="16.5">
      <c r="A624" s="336">
        <f>VLOOKUP(B624,Sheet6!$F:$N,9,0)</f>
        <v>20466</v>
      </c>
      <c r="B624" s="331" t="s">
        <v>15864</v>
      </c>
      <c r="D624">
        <v>20729</v>
      </c>
      <c r="E624" s="352">
        <v>20462</v>
      </c>
      <c r="F624" s="352">
        <v>2677</v>
      </c>
      <c r="G624">
        <v>2210</v>
      </c>
    </row>
    <row r="625" spans="1:7" ht="16.5">
      <c r="A625" s="336">
        <f>VLOOKUP(B625,Sheet6!$F:$N,9,0)</f>
        <v>20467</v>
      </c>
      <c r="B625" s="331" t="s">
        <v>15879</v>
      </c>
      <c r="D625">
        <v>20659</v>
      </c>
      <c r="E625" s="352">
        <v>20463</v>
      </c>
      <c r="F625" s="352">
        <v>2678</v>
      </c>
      <c r="G625">
        <v>2224</v>
      </c>
    </row>
    <row r="626" spans="1:7" ht="16.5">
      <c r="A626" s="336">
        <f>VLOOKUP(B626,Sheet6!$F:$N,9,0)</f>
        <v>20468</v>
      </c>
      <c r="B626" s="331" t="s">
        <v>15894</v>
      </c>
      <c r="D626">
        <v>20669</v>
      </c>
      <c r="E626" s="352">
        <v>20464</v>
      </c>
      <c r="F626" s="352">
        <v>2679</v>
      </c>
      <c r="G626">
        <v>2238</v>
      </c>
    </row>
    <row r="627" spans="1:7" ht="16.5">
      <c r="A627" s="336">
        <f>VLOOKUP(B627,Sheet6!$F:$N,9,0)</f>
        <v>20469</v>
      </c>
      <c r="B627" s="331" t="s">
        <v>15909</v>
      </c>
      <c r="D627">
        <v>20679</v>
      </c>
      <c r="E627" s="352">
        <v>20465</v>
      </c>
      <c r="F627" s="352">
        <v>2680</v>
      </c>
      <c r="G627">
        <v>2252</v>
      </c>
    </row>
    <row r="628" spans="1:7" ht="16.5">
      <c r="A628" s="336">
        <f>VLOOKUP(B628,Sheet6!$F:$N,9,0)</f>
        <v>204701</v>
      </c>
      <c r="B628" s="331" t="s">
        <v>15924</v>
      </c>
      <c r="D628">
        <v>20689</v>
      </c>
      <c r="E628" s="352">
        <v>20466</v>
      </c>
      <c r="F628" s="352">
        <v>2681</v>
      </c>
      <c r="G628">
        <v>2266</v>
      </c>
    </row>
    <row r="629" spans="1:7" ht="16.5">
      <c r="A629" s="336">
        <f>VLOOKUP(B629,Sheet6!$F:$N,9,0)</f>
        <v>204702</v>
      </c>
      <c r="B629" s="331" t="s">
        <v>15939</v>
      </c>
      <c r="D629">
        <v>20620</v>
      </c>
      <c r="E629" s="352">
        <v>20467</v>
      </c>
      <c r="F629" s="352">
        <v>2682</v>
      </c>
      <c r="G629">
        <v>2280</v>
      </c>
    </row>
    <row r="630" spans="1:7" ht="16.5">
      <c r="A630" s="336">
        <f>VLOOKUP(B630,Sheet6!$F:$N,9,0)</f>
        <v>204703</v>
      </c>
      <c r="B630" s="331" t="s">
        <v>15954</v>
      </c>
      <c r="D630">
        <v>20630</v>
      </c>
      <c r="E630" s="352">
        <v>20468</v>
      </c>
      <c r="F630" s="352">
        <v>2683</v>
      </c>
      <c r="G630">
        <v>2294</v>
      </c>
    </row>
    <row r="631" spans="1:7" ht="16.5">
      <c r="A631" s="336">
        <f>VLOOKUP(B631,Sheet6!$F:$N,9,0)</f>
        <v>471</v>
      </c>
      <c r="B631" s="331" t="s">
        <v>15969</v>
      </c>
      <c r="D631">
        <v>20640</v>
      </c>
      <c r="E631" s="352">
        <v>20469</v>
      </c>
      <c r="F631" s="352">
        <v>2684</v>
      </c>
      <c r="G631">
        <v>2308</v>
      </c>
    </row>
    <row r="632" spans="1:7" ht="16.5">
      <c r="A632" s="336">
        <f>VLOOKUP(B632,Sheet6!$F:$N,9,0)</f>
        <v>472</v>
      </c>
      <c r="B632" s="331" t="s">
        <v>15984</v>
      </c>
      <c r="D632">
        <v>20650</v>
      </c>
      <c r="E632" s="352">
        <v>204701</v>
      </c>
      <c r="F632" s="352">
        <v>2685</v>
      </c>
      <c r="G632">
        <v>2322</v>
      </c>
    </row>
    <row r="633" spans="1:7" ht="16.5">
      <c r="A633" s="336">
        <f>VLOOKUP(B633,Sheet6!$F:$N,9,0)</f>
        <v>2047</v>
      </c>
      <c r="B633" s="331" t="s">
        <v>15999</v>
      </c>
      <c r="D633">
        <v>205011</v>
      </c>
      <c r="E633" s="352">
        <v>204702</v>
      </c>
      <c r="F633" s="352">
        <v>2686</v>
      </c>
      <c r="G633">
        <v>2336</v>
      </c>
    </row>
    <row r="634" spans="1:7" ht="16.5">
      <c r="A634" s="336">
        <f>VLOOKUP(B634,Sheet6!$F:$N,9,0)</f>
        <v>20471</v>
      </c>
      <c r="B634" s="331" t="s">
        <v>16014</v>
      </c>
      <c r="D634">
        <v>205111</v>
      </c>
      <c r="E634" s="352">
        <v>204703</v>
      </c>
      <c r="F634" s="352">
        <v>2687</v>
      </c>
      <c r="G634">
        <v>2350</v>
      </c>
    </row>
    <row r="635" spans="1:7" ht="16.5">
      <c r="A635" s="336">
        <f>VLOOKUP(B635,Sheet6!$F:$N,9,0)</f>
        <v>20472</v>
      </c>
      <c r="B635" s="331" t="s">
        <v>16029</v>
      </c>
      <c r="D635">
        <v>205211</v>
      </c>
      <c r="E635" s="352">
        <v>471</v>
      </c>
      <c r="F635" s="352">
        <v>2688</v>
      </c>
      <c r="G635">
        <v>2364</v>
      </c>
    </row>
    <row r="636" spans="1:7" ht="16.5">
      <c r="A636" s="336">
        <f>VLOOKUP(B636,Sheet6!$F:$N,9,0)</f>
        <v>20473</v>
      </c>
      <c r="B636" s="331" t="s">
        <v>16044</v>
      </c>
      <c r="D636">
        <v>205311</v>
      </c>
      <c r="E636" s="352">
        <v>472</v>
      </c>
      <c r="F636" s="352">
        <v>2689</v>
      </c>
      <c r="G636">
        <v>2378</v>
      </c>
    </row>
    <row r="637" spans="1:7" ht="16.5">
      <c r="A637" s="336">
        <f>VLOOKUP(B637,Sheet6!$F:$N,9,0)</f>
        <v>20474</v>
      </c>
      <c r="B637" s="331" t="s">
        <v>16059</v>
      </c>
      <c r="D637">
        <v>204211</v>
      </c>
      <c r="E637" s="352">
        <v>2047</v>
      </c>
      <c r="F637" s="361">
        <v>2047</v>
      </c>
      <c r="G637">
        <v>2392</v>
      </c>
    </row>
    <row r="638" spans="1:7" ht="16.5">
      <c r="A638" s="336">
        <f>VLOOKUP(B638,Sheet6!$F:$N,9,0)</f>
        <v>20475</v>
      </c>
      <c r="B638" s="331" t="s">
        <v>16074</v>
      </c>
      <c r="D638">
        <v>204311</v>
      </c>
      <c r="E638" s="352">
        <v>20471</v>
      </c>
      <c r="F638" s="352">
        <v>2690</v>
      </c>
      <c r="G638">
        <v>2406</v>
      </c>
    </row>
    <row r="639" spans="1:7" ht="16.5">
      <c r="A639" s="336">
        <f>VLOOKUP(B639,Sheet6!$F:$N,9,0)</f>
        <v>20476</v>
      </c>
      <c r="B639" s="331" t="s">
        <v>16089</v>
      </c>
      <c r="D639">
        <v>204411</v>
      </c>
      <c r="E639" s="352">
        <v>20472</v>
      </c>
      <c r="F639" s="352">
        <v>2691</v>
      </c>
      <c r="G639">
        <v>2420</v>
      </c>
    </row>
    <row r="640" spans="1:7" ht="16.5">
      <c r="A640" s="336">
        <f>VLOOKUP(B640,Sheet6!$F:$N,9,0)</f>
        <v>20477</v>
      </c>
      <c r="B640" s="331" t="s">
        <v>16104</v>
      </c>
      <c r="D640">
        <v>204511</v>
      </c>
      <c r="E640" s="352">
        <v>20473</v>
      </c>
      <c r="F640" s="352">
        <v>2692</v>
      </c>
      <c r="G640">
        <v>2434</v>
      </c>
    </row>
    <row r="641" spans="1:7" ht="16.5">
      <c r="A641" s="336">
        <f>VLOOKUP(B641,Sheet6!$F:$N,9,0)</f>
        <v>20478</v>
      </c>
      <c r="B641" s="331" t="s">
        <v>16119</v>
      </c>
      <c r="D641">
        <v>203012</v>
      </c>
      <c r="E641" s="352">
        <v>20474</v>
      </c>
      <c r="F641" s="352">
        <v>2693</v>
      </c>
      <c r="G641">
        <v>2448</v>
      </c>
    </row>
    <row r="642" spans="1:7" ht="16.5">
      <c r="A642" s="336">
        <f>VLOOKUP(B642,Sheet6!$F:$N,9,0)</f>
        <v>20479</v>
      </c>
      <c r="B642" s="331" t="s">
        <v>16134</v>
      </c>
      <c r="D642">
        <v>203112</v>
      </c>
      <c r="E642" s="352">
        <v>20475</v>
      </c>
      <c r="F642" s="352">
        <v>2694</v>
      </c>
      <c r="G642">
        <v>2462</v>
      </c>
    </row>
    <row r="643" spans="1:7" ht="16.5">
      <c r="A643" s="336">
        <f>VLOOKUP(B643,Sheet6!$F:$N,9,0)</f>
        <v>204801</v>
      </c>
      <c r="B643" s="331" t="s">
        <v>16149</v>
      </c>
      <c r="D643">
        <v>203212</v>
      </c>
      <c r="E643" s="352">
        <v>20476</v>
      </c>
      <c r="F643" s="352">
        <v>2695</v>
      </c>
      <c r="G643">
        <v>2476</v>
      </c>
    </row>
    <row r="644" spans="1:7" ht="16.5">
      <c r="A644" s="336">
        <f>VLOOKUP(B644,Sheet6!$F:$N,9,0)</f>
        <v>204802</v>
      </c>
      <c r="B644" s="331" t="s">
        <v>16164</v>
      </c>
      <c r="D644">
        <v>203312</v>
      </c>
      <c r="E644" s="352">
        <v>20477</v>
      </c>
      <c r="F644" s="352">
        <v>2696</v>
      </c>
      <c r="G644">
        <v>2490</v>
      </c>
    </row>
    <row r="645" spans="1:7" ht="16.5">
      <c r="A645" s="336">
        <f>VLOOKUP(B645,Sheet6!$F:$N,9,0)</f>
        <v>204803</v>
      </c>
      <c r="B645" s="331" t="s">
        <v>16179</v>
      </c>
      <c r="D645">
        <v>202612</v>
      </c>
      <c r="E645" s="352">
        <v>20478</v>
      </c>
      <c r="F645" s="352">
        <v>2697</v>
      </c>
      <c r="G645">
        <v>2504</v>
      </c>
    </row>
    <row r="646" spans="1:7" ht="16.5">
      <c r="A646" s="336">
        <f>VLOOKUP(B646,Sheet6!$F:$N,9,0)</f>
        <v>1041</v>
      </c>
      <c r="B646" s="331" t="s">
        <v>16194</v>
      </c>
      <c r="D646">
        <v>202712</v>
      </c>
      <c r="E646" s="352">
        <v>20479</v>
      </c>
      <c r="F646" s="352">
        <v>2698</v>
      </c>
      <c r="G646">
        <v>2518</v>
      </c>
    </row>
    <row r="647" spans="1:7" ht="16.5">
      <c r="A647" s="336">
        <f>VLOOKUP(B647,Sheet6!$F:$N,9,0)</f>
        <v>1042</v>
      </c>
      <c r="B647" s="331" t="s">
        <v>16209</v>
      </c>
      <c r="D647">
        <v>202812</v>
      </c>
      <c r="E647" s="352">
        <v>204801</v>
      </c>
      <c r="F647" s="352">
        <v>2699</v>
      </c>
      <c r="G647">
        <v>2532</v>
      </c>
    </row>
    <row r="648" spans="1:7" ht="16.5">
      <c r="A648" s="336">
        <f>VLOOKUP(B648,Sheet6!$F:$N,9,0)</f>
        <v>2048</v>
      </c>
      <c r="B648" s="331" t="s">
        <v>16224</v>
      </c>
      <c r="D648">
        <v>202912</v>
      </c>
      <c r="E648" s="352">
        <v>204802</v>
      </c>
      <c r="F648" s="352">
        <v>2700</v>
      </c>
      <c r="G648">
        <v>2546</v>
      </c>
    </row>
    <row r="649" spans="1:7" ht="16.5">
      <c r="A649" s="336">
        <f>VLOOKUP(B649,Sheet6!$F:$N,9,0)</f>
        <v>20481</v>
      </c>
      <c r="B649" s="331" t="s">
        <v>16239</v>
      </c>
      <c r="D649">
        <v>202212</v>
      </c>
      <c r="E649" s="352">
        <v>204803</v>
      </c>
      <c r="F649" s="352">
        <v>2701</v>
      </c>
      <c r="G649">
        <v>2560</v>
      </c>
    </row>
    <row r="650" spans="1:7" ht="16.5">
      <c r="A650" s="336">
        <f>VLOOKUP(B650,Sheet6!$F:$N,9,0)</f>
        <v>20482</v>
      </c>
      <c r="B650" s="331" t="s">
        <v>16254</v>
      </c>
      <c r="D650">
        <v>202312</v>
      </c>
      <c r="E650" s="352">
        <v>1041</v>
      </c>
      <c r="F650" s="352">
        <v>2702</v>
      </c>
      <c r="G650">
        <v>2574</v>
      </c>
    </row>
    <row r="651" spans="1:7" ht="16.5">
      <c r="A651" s="336">
        <f>VLOOKUP(B651,Sheet6!$F:$N,9,0)</f>
        <v>20483</v>
      </c>
      <c r="B651" s="331" t="s">
        <v>16269</v>
      </c>
      <c r="D651">
        <v>202412</v>
      </c>
      <c r="E651" s="352">
        <v>1042</v>
      </c>
      <c r="F651" s="352">
        <v>2703</v>
      </c>
      <c r="G651">
        <v>2588</v>
      </c>
    </row>
    <row r="652" spans="1:7" ht="16.5">
      <c r="A652" s="336">
        <f>VLOOKUP(B652,Sheet6!$F:$N,9,0)</f>
        <v>20484</v>
      </c>
      <c r="B652" s="331" t="s">
        <v>16284</v>
      </c>
      <c r="D652">
        <v>202512</v>
      </c>
      <c r="E652" s="352">
        <v>2048</v>
      </c>
      <c r="F652" s="361">
        <v>2048</v>
      </c>
      <c r="G652">
        <v>2602</v>
      </c>
    </row>
    <row r="653" spans="1:7" ht="16.5">
      <c r="A653" s="336">
        <f>VLOOKUP(B653,Sheet6!$F:$N,9,0)</f>
        <v>20485</v>
      </c>
      <c r="B653" s="331" t="s">
        <v>16299</v>
      </c>
      <c r="D653">
        <v>200123</v>
      </c>
      <c r="E653" s="352">
        <v>20481</v>
      </c>
      <c r="F653" s="352">
        <v>2704</v>
      </c>
      <c r="G653">
        <v>2616</v>
      </c>
    </row>
    <row r="654" spans="1:7" ht="16.5">
      <c r="A654" s="336">
        <f>VLOOKUP(B654,Sheet6!$F:$N,9,0)</f>
        <v>20486</v>
      </c>
      <c r="B654" s="331" t="s">
        <v>16314</v>
      </c>
      <c r="D654">
        <v>200223</v>
      </c>
      <c r="E654" s="352">
        <v>20482</v>
      </c>
      <c r="F654" s="352">
        <v>2705</v>
      </c>
      <c r="G654">
        <v>2630</v>
      </c>
    </row>
    <row r="655" spans="1:7" ht="16.5">
      <c r="A655" s="336">
        <f>VLOOKUP(B655,Sheet6!$F:$N,9,0)</f>
        <v>20487</v>
      </c>
      <c r="B655" s="331" t="s">
        <v>16329</v>
      </c>
      <c r="D655">
        <v>200323</v>
      </c>
      <c r="E655" s="352">
        <v>20483</v>
      </c>
      <c r="F655" s="352">
        <v>2706</v>
      </c>
      <c r="G655">
        <v>2644</v>
      </c>
    </row>
    <row r="656" spans="1:7" ht="16.5">
      <c r="A656" s="336">
        <f>VLOOKUP(B656,Sheet6!$F:$N,9,0)</f>
        <v>20488</v>
      </c>
      <c r="B656" s="331" t="s">
        <v>16344</v>
      </c>
      <c r="D656">
        <v>200423</v>
      </c>
      <c r="E656" s="352">
        <v>20484</v>
      </c>
      <c r="F656" s="352">
        <v>2707</v>
      </c>
      <c r="G656">
        <v>2658</v>
      </c>
    </row>
    <row r="657" spans="1:7" ht="16.5">
      <c r="A657" s="336">
        <f>VLOOKUP(B657,Sheet6!$F:$N,9,0)</f>
        <v>20489</v>
      </c>
      <c r="B657" s="331" t="s">
        <v>16359</v>
      </c>
      <c r="D657">
        <v>204602</v>
      </c>
      <c r="E657" s="352">
        <v>20485</v>
      </c>
      <c r="F657" s="352">
        <v>2708</v>
      </c>
      <c r="G657">
        <v>2672</v>
      </c>
    </row>
    <row r="658" spans="1:7" ht="16.5">
      <c r="A658" s="336">
        <f>VLOOKUP(B658,Sheet6!$F:$N,9,0)</f>
        <v>204901</v>
      </c>
      <c r="B658" s="331" t="s">
        <v>16374</v>
      </c>
      <c r="D658">
        <v>204702</v>
      </c>
      <c r="E658" s="352">
        <v>20486</v>
      </c>
      <c r="F658" s="352">
        <v>2709</v>
      </c>
      <c r="G658">
        <v>2686</v>
      </c>
    </row>
    <row r="659" spans="1:7" ht="16.5">
      <c r="A659" s="336">
        <f>VLOOKUP(B659,Sheet6!$F:$N,9,0)</f>
        <v>204902</v>
      </c>
      <c r="B659" s="331" t="s">
        <v>16389</v>
      </c>
      <c r="D659">
        <v>204802</v>
      </c>
      <c r="E659" s="352">
        <v>20487</v>
      </c>
      <c r="F659" s="352">
        <v>2710</v>
      </c>
      <c r="G659">
        <v>2700</v>
      </c>
    </row>
    <row r="660" spans="1:7" ht="16.5">
      <c r="A660" s="336">
        <f>VLOOKUP(B660,Sheet6!$F:$N,9,0)</f>
        <v>204903</v>
      </c>
      <c r="B660" s="331" t="s">
        <v>16404</v>
      </c>
      <c r="D660">
        <v>204902</v>
      </c>
      <c r="E660" s="352">
        <v>20488</v>
      </c>
      <c r="F660" s="352">
        <v>2711</v>
      </c>
      <c r="G660">
        <v>2714</v>
      </c>
    </row>
    <row r="661" spans="1:7" ht="16.5">
      <c r="A661" s="336">
        <f>VLOOKUP(B661,Sheet6!$F:$N,9,0)</f>
        <v>0</v>
      </c>
      <c r="B661" s="331" t="s">
        <v>15760</v>
      </c>
      <c r="D661">
        <v>20817</v>
      </c>
      <c r="E661" s="352">
        <v>20489</v>
      </c>
      <c r="F661" s="352">
        <v>2712</v>
      </c>
      <c r="G661">
        <v>2113</v>
      </c>
    </row>
    <row r="662" spans="1:7" ht="16.5">
      <c r="A662" s="336">
        <f>VLOOKUP(B662,Sheet6!$F:$N,9,0)</f>
        <v>0</v>
      </c>
      <c r="B662" s="331" t="s">
        <v>15775</v>
      </c>
      <c r="D662">
        <v>20827</v>
      </c>
      <c r="E662" s="352">
        <v>204901</v>
      </c>
      <c r="F662" s="352">
        <v>2713</v>
      </c>
      <c r="G662">
        <v>2127</v>
      </c>
    </row>
    <row r="663" spans="1:7" ht="16.5">
      <c r="A663" s="336">
        <f>VLOOKUP(B663,Sheet6!$F:$N,9,0)</f>
        <v>0</v>
      </c>
      <c r="B663" s="331" t="s">
        <v>15790</v>
      </c>
      <c r="D663">
        <v>20837</v>
      </c>
      <c r="E663" s="352">
        <v>204902</v>
      </c>
      <c r="F663" s="352">
        <v>2714</v>
      </c>
      <c r="G663">
        <v>2141</v>
      </c>
    </row>
    <row r="664" spans="1:7" ht="16.5">
      <c r="A664" s="336">
        <f>VLOOKUP(B664,Sheet6!$F:$N,9,0)</f>
        <v>0</v>
      </c>
      <c r="B664" s="331" t="s">
        <v>15805</v>
      </c>
      <c r="D664">
        <v>20847</v>
      </c>
      <c r="E664" s="352">
        <v>204903</v>
      </c>
      <c r="F664" s="352">
        <v>2715</v>
      </c>
      <c r="G664">
        <v>2155</v>
      </c>
    </row>
    <row r="665" spans="1:7" ht="16.5">
      <c r="A665" s="336">
        <f>VLOOKUP(B665,Sheet6!$F:$N,9,0)</f>
        <v>0</v>
      </c>
      <c r="B665" s="331" t="s">
        <v>15820</v>
      </c>
      <c r="D665">
        <v>20700</v>
      </c>
      <c r="G665">
        <v>2169</v>
      </c>
    </row>
    <row r="666" spans="1:7" ht="16.5">
      <c r="A666" s="336">
        <f>VLOOKUP(B666,Sheet6!$F:$N,9,0)</f>
        <v>0</v>
      </c>
      <c r="B666" s="331" t="s">
        <v>15835</v>
      </c>
      <c r="D666">
        <v>20710</v>
      </c>
      <c r="G666">
        <v>2183</v>
      </c>
    </row>
    <row r="667" spans="1:7" ht="16.5">
      <c r="A667" s="336">
        <f>VLOOKUP(B667,Sheet6!$F:$N,9,0)</f>
        <v>0</v>
      </c>
      <c r="B667" s="331" t="s">
        <v>15850</v>
      </c>
      <c r="D667">
        <v>20720</v>
      </c>
      <c r="G667">
        <v>2197</v>
      </c>
    </row>
    <row r="668" spans="1:7" ht="16.5">
      <c r="A668" s="336">
        <f>VLOOKUP(B668,Sheet6!$F:$N,9,0)</f>
        <v>0</v>
      </c>
      <c r="B668" s="331" t="s">
        <v>15865</v>
      </c>
      <c r="D668">
        <v>20730</v>
      </c>
      <c r="G668">
        <v>2211</v>
      </c>
    </row>
    <row r="669" spans="1:7" ht="16.5">
      <c r="A669" s="336">
        <f>VLOOKUP(B669,Sheet6!$F:$N,9,0)</f>
        <v>0</v>
      </c>
      <c r="B669" s="331" t="s">
        <v>15880</v>
      </c>
      <c r="D669">
        <v>20660</v>
      </c>
      <c r="G669">
        <v>2225</v>
      </c>
    </row>
    <row r="670" spans="1:7" ht="16.5">
      <c r="A670" s="336">
        <f>VLOOKUP(B670,Sheet6!$F:$N,9,0)</f>
        <v>0</v>
      </c>
      <c r="B670" s="331" t="s">
        <v>15895</v>
      </c>
      <c r="D670">
        <v>20670</v>
      </c>
      <c r="G670">
        <v>2239</v>
      </c>
    </row>
    <row r="671" spans="1:7" ht="16.5">
      <c r="A671" s="336">
        <f>VLOOKUP(B671,Sheet6!$F:$N,9,0)</f>
        <v>0</v>
      </c>
      <c r="B671" s="331" t="s">
        <v>15910</v>
      </c>
      <c r="D671">
        <v>20680</v>
      </c>
      <c r="G671">
        <v>2253</v>
      </c>
    </row>
    <row r="672" spans="1:7" ht="16.5">
      <c r="A672" s="336">
        <f>VLOOKUP(B672,Sheet6!$F:$N,9,0)</f>
        <v>0</v>
      </c>
      <c r="B672" s="331" t="s">
        <v>15925</v>
      </c>
      <c r="D672">
        <v>20690</v>
      </c>
      <c r="G672">
        <v>2267</v>
      </c>
    </row>
    <row r="673" spans="1:7" ht="16.5">
      <c r="A673" s="336">
        <f>VLOOKUP(B673,Sheet6!$F:$N,9,0)</f>
        <v>0</v>
      </c>
      <c r="B673" s="331" t="s">
        <v>15940</v>
      </c>
      <c r="D673">
        <v>206211</v>
      </c>
      <c r="G673">
        <v>2281</v>
      </c>
    </row>
    <row r="674" spans="1:7" ht="16.5">
      <c r="A674" s="336">
        <f>VLOOKUP(B674,Sheet6!$F:$N,9,0)</f>
        <v>0</v>
      </c>
      <c r="B674" s="331" t="s">
        <v>15955</v>
      </c>
      <c r="D674">
        <v>20631</v>
      </c>
      <c r="G674">
        <v>2295</v>
      </c>
    </row>
    <row r="675" spans="1:7" ht="16.5">
      <c r="A675" s="336">
        <f>VLOOKUP(B675,Sheet6!$F:$N,9,0)</f>
        <v>0</v>
      </c>
      <c r="B675" s="331" t="s">
        <v>15970</v>
      </c>
      <c r="D675">
        <v>20641</v>
      </c>
      <c r="G675">
        <v>2309</v>
      </c>
    </row>
    <row r="676" spans="1:7" ht="16.5">
      <c r="A676" s="336">
        <f>VLOOKUP(B676,Sheet6!$F:$N,9,0)</f>
        <v>0</v>
      </c>
      <c r="B676" s="331" t="s">
        <v>15985</v>
      </c>
      <c r="D676">
        <v>20651</v>
      </c>
      <c r="G676">
        <v>2216</v>
      </c>
    </row>
    <row r="677" spans="1:7" ht="16.5">
      <c r="A677" s="336">
        <f>VLOOKUP(B677,Sheet6!$F:$N,9,0)</f>
        <v>0</v>
      </c>
      <c r="B677" s="331" t="s">
        <v>16000</v>
      </c>
      <c r="D677">
        <v>205012</v>
      </c>
      <c r="G677">
        <v>2337</v>
      </c>
    </row>
    <row r="678" spans="1:7" ht="16.5">
      <c r="A678" s="336">
        <f>VLOOKUP(B678,Sheet6!$F:$N,9,0)</f>
        <v>0</v>
      </c>
      <c r="B678" s="331" t="s">
        <v>16015</v>
      </c>
      <c r="D678">
        <v>205112</v>
      </c>
      <c r="G678">
        <v>2351</v>
      </c>
    </row>
    <row r="679" spans="1:7" ht="16.5">
      <c r="A679" s="336">
        <f>VLOOKUP(B679,Sheet6!$F:$N,9,0)</f>
        <v>0</v>
      </c>
      <c r="B679" s="331" t="s">
        <v>16030</v>
      </c>
      <c r="D679">
        <v>205212</v>
      </c>
      <c r="G679">
        <v>2365</v>
      </c>
    </row>
    <row r="680" spans="1:7" ht="16.5">
      <c r="A680" s="336">
        <f>VLOOKUP(B680,Sheet6!$F:$N,9,0)</f>
        <v>0</v>
      </c>
      <c r="B680" s="331" t="s">
        <v>16045</v>
      </c>
      <c r="D680">
        <v>205312</v>
      </c>
      <c r="G680">
        <v>2379</v>
      </c>
    </row>
    <row r="681" spans="1:7" ht="16.5">
      <c r="A681" s="336">
        <f>VLOOKUP(B681,Sheet6!$F:$N,9,0)</f>
        <v>0</v>
      </c>
      <c r="B681" s="331" t="s">
        <v>16060</v>
      </c>
      <c r="D681">
        <v>204212</v>
      </c>
      <c r="G681">
        <v>2393</v>
      </c>
    </row>
    <row r="682" spans="1:7" ht="16.5">
      <c r="A682" s="336">
        <f>VLOOKUP(B682,Sheet6!$F:$N,9,0)</f>
        <v>0</v>
      </c>
      <c r="B682" s="331" t="s">
        <v>16075</v>
      </c>
      <c r="D682">
        <v>204312</v>
      </c>
      <c r="G682">
        <v>2407</v>
      </c>
    </row>
    <row r="683" spans="1:7" ht="16.5">
      <c r="A683" s="336">
        <f>VLOOKUP(B683,Sheet6!$F:$N,9,0)</f>
        <v>0</v>
      </c>
      <c r="B683" s="331" t="s">
        <v>16090</v>
      </c>
      <c r="D683">
        <v>204412</v>
      </c>
      <c r="G683">
        <v>2421</v>
      </c>
    </row>
    <row r="684" spans="1:7" ht="16.5">
      <c r="A684" s="336">
        <f>VLOOKUP(B684,Sheet6!$F:$N,9,0)</f>
        <v>0</v>
      </c>
      <c r="B684" s="331" t="s">
        <v>16105</v>
      </c>
      <c r="D684">
        <v>204512</v>
      </c>
      <c r="G684">
        <v>2435</v>
      </c>
    </row>
    <row r="685" spans="1:7" ht="16.5">
      <c r="A685" s="336">
        <f>VLOOKUP(B685,Sheet6!$F:$N,9,0)</f>
        <v>0</v>
      </c>
      <c r="B685" s="331" t="s">
        <v>16120</v>
      </c>
      <c r="D685">
        <v>203013</v>
      </c>
      <c r="G685">
        <v>2449</v>
      </c>
    </row>
    <row r="686" spans="1:7" ht="16.5">
      <c r="A686" s="336">
        <f>VLOOKUP(B686,Sheet6!$F:$N,9,0)</f>
        <v>0</v>
      </c>
      <c r="B686" s="331" t="s">
        <v>16135</v>
      </c>
      <c r="D686">
        <v>203113</v>
      </c>
      <c r="G686">
        <v>2463</v>
      </c>
    </row>
    <row r="687" spans="1:7" ht="16.5">
      <c r="A687" s="336">
        <f>VLOOKUP(B687,Sheet6!$F:$N,9,0)</f>
        <v>0</v>
      </c>
      <c r="B687" s="331" t="s">
        <v>16150</v>
      </c>
      <c r="D687">
        <v>203213</v>
      </c>
      <c r="G687">
        <v>2477</v>
      </c>
    </row>
    <row r="688" spans="1:7" ht="16.5">
      <c r="A688" s="336">
        <f>VLOOKUP(B688,Sheet6!$F:$N,9,0)</f>
        <v>0</v>
      </c>
      <c r="B688" s="331" t="s">
        <v>16165</v>
      </c>
      <c r="D688">
        <v>203313</v>
      </c>
      <c r="G688">
        <v>2491</v>
      </c>
    </row>
    <row r="689" spans="1:7" ht="16.5">
      <c r="A689" s="336">
        <f>VLOOKUP(B689,Sheet6!$F:$N,9,0)</f>
        <v>0</v>
      </c>
      <c r="B689" s="331" t="s">
        <v>16180</v>
      </c>
      <c r="D689">
        <v>202613</v>
      </c>
      <c r="G689">
        <v>2505</v>
      </c>
    </row>
    <row r="690" spans="1:7" ht="16.5">
      <c r="A690" s="336">
        <f>VLOOKUP(B690,Sheet6!$F:$N,9,0)</f>
        <v>0</v>
      </c>
      <c r="B690" s="331" t="s">
        <v>16195</v>
      </c>
      <c r="D690">
        <v>202713</v>
      </c>
      <c r="G690">
        <v>2519</v>
      </c>
    </row>
    <row r="691" spans="1:7" ht="16.5">
      <c r="A691" s="336">
        <f>VLOOKUP(B691,Sheet6!$F:$N,9,0)</f>
        <v>0</v>
      </c>
      <c r="B691" s="331" t="s">
        <v>16210</v>
      </c>
      <c r="D691">
        <v>202813</v>
      </c>
      <c r="G691">
        <v>2533</v>
      </c>
    </row>
    <row r="692" spans="1:7" ht="16.5">
      <c r="A692" s="336">
        <f>VLOOKUP(B692,Sheet6!$F:$N,9,0)</f>
        <v>0</v>
      </c>
      <c r="B692" s="331" t="s">
        <v>16225</v>
      </c>
      <c r="D692">
        <v>202913</v>
      </c>
      <c r="G692">
        <v>2547</v>
      </c>
    </row>
    <row r="693" spans="1:7" ht="16.5">
      <c r="A693" s="336">
        <f>VLOOKUP(B693,Sheet6!$F:$N,9,0)</f>
        <v>0</v>
      </c>
      <c r="B693" s="331" t="s">
        <v>16240</v>
      </c>
      <c r="D693">
        <v>202213</v>
      </c>
      <c r="G693">
        <v>2561</v>
      </c>
    </row>
    <row r="694" spans="1:7" ht="16.5">
      <c r="A694" s="336">
        <f>VLOOKUP(B694,Sheet6!$F:$N,9,0)</f>
        <v>0</v>
      </c>
      <c r="B694" s="331" t="s">
        <v>16255</v>
      </c>
      <c r="D694">
        <v>202313</v>
      </c>
      <c r="G694">
        <v>2575</v>
      </c>
    </row>
    <row r="695" spans="1:7" ht="16.5">
      <c r="A695" s="336">
        <f>VLOOKUP(B695,Sheet6!$F:$N,9,0)</f>
        <v>0</v>
      </c>
      <c r="B695" s="331" t="s">
        <v>16270</v>
      </c>
      <c r="D695">
        <v>202413</v>
      </c>
      <c r="G695">
        <v>2589</v>
      </c>
    </row>
    <row r="696" spans="1:7" ht="16.5">
      <c r="A696" s="336">
        <f>VLOOKUP(B696,Sheet6!$F:$N,9,0)</f>
        <v>0</v>
      </c>
      <c r="B696" s="331" t="s">
        <v>16285</v>
      </c>
      <c r="D696">
        <v>202513</v>
      </c>
      <c r="G696">
        <v>2603</v>
      </c>
    </row>
    <row r="697" spans="1:7" ht="16.5">
      <c r="A697" s="336">
        <f>VLOOKUP(B697,Sheet6!$F:$N,9,0)</f>
        <v>0</v>
      </c>
      <c r="B697" s="331" t="s">
        <v>16300</v>
      </c>
      <c r="D697">
        <v>200124</v>
      </c>
      <c r="G697">
        <v>2617</v>
      </c>
    </row>
    <row r="698" spans="1:7" ht="16.5">
      <c r="A698" s="336">
        <f>VLOOKUP(B698,Sheet6!$F:$N,9,0)</f>
        <v>0</v>
      </c>
      <c r="B698" s="331" t="s">
        <v>16315</v>
      </c>
      <c r="D698">
        <v>200224</v>
      </c>
      <c r="G698">
        <v>2631</v>
      </c>
    </row>
    <row r="699" spans="1:7" ht="16.5">
      <c r="A699" s="336">
        <f>VLOOKUP(B699,Sheet6!$F:$N,9,0)</f>
        <v>0</v>
      </c>
      <c r="B699" s="331" t="s">
        <v>16330</v>
      </c>
      <c r="D699">
        <v>200324</v>
      </c>
      <c r="G699">
        <v>2645</v>
      </c>
    </row>
    <row r="700" spans="1:7" ht="16.5">
      <c r="A700" s="336">
        <f>VLOOKUP(B700,Sheet6!$F:$N,9,0)</f>
        <v>0</v>
      </c>
      <c r="B700" s="331" t="s">
        <v>16345</v>
      </c>
      <c r="D700">
        <v>200424</v>
      </c>
      <c r="G700">
        <v>2659</v>
      </c>
    </row>
    <row r="701" spans="1:7" ht="16.5">
      <c r="A701" s="336">
        <f>VLOOKUP(B701,Sheet6!$F:$N,9,0)</f>
        <v>0</v>
      </c>
      <c r="B701" s="331" t="s">
        <v>16360</v>
      </c>
      <c r="D701">
        <v>204603</v>
      </c>
      <c r="G701">
        <v>2673</v>
      </c>
    </row>
    <row r="702" spans="1:7" ht="16.5">
      <c r="A702" s="336">
        <f>VLOOKUP(B702,Sheet6!$F:$N,9,0)</f>
        <v>0</v>
      </c>
      <c r="B702" s="331" t="s">
        <v>16375</v>
      </c>
      <c r="D702">
        <v>204703</v>
      </c>
      <c r="G702">
        <v>2687</v>
      </c>
    </row>
    <row r="703" spans="1:7" ht="16.5">
      <c r="A703" s="336">
        <f>VLOOKUP(B703,Sheet6!$F:$N,9,0)</f>
        <v>0</v>
      </c>
      <c r="B703" s="331" t="s">
        <v>16390</v>
      </c>
      <c r="D703">
        <v>204803</v>
      </c>
      <c r="G703">
        <v>2701</v>
      </c>
    </row>
    <row r="704" spans="1:7" ht="16.5">
      <c r="A704" s="336">
        <f>VLOOKUP(B704,Sheet6!$F:$N,9,0)</f>
        <v>0</v>
      </c>
      <c r="B704" s="331" t="s">
        <v>16405</v>
      </c>
      <c r="D704">
        <v>204903</v>
      </c>
      <c r="G704">
        <v>2715</v>
      </c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Sheet2</vt:lpstr>
      <vt:lpstr>Sheet3</vt:lpstr>
      <vt:lpstr>Sheet4</vt:lpstr>
      <vt:lpstr>Sheet5</vt:lpstr>
      <vt:lpstr>Sheet6</vt:lpstr>
      <vt:lpstr>Sheet7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2006-09-16T00:00:00Z</dcterms:created>
  <dcterms:modified xsi:type="dcterms:W3CDTF">2018-03-03T19:43:35Z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