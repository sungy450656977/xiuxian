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/>
  <bookViews>
    <workbookView xWindow="0" yWindow="60" windowWidth="28695" windowHeight="13590"/>
  </bookViews>
  <sheets>
    <sheet name="Sheet1" sheetId="1" r:id="rId1"/>
    <sheet name="地图位置" sheetId="3" r:id="rId2"/>
  </sheets>
  <functionGroups/>
  <calcPr calcId="125725"/>
</workbook>
</file>

<file path=xl/calcChain.xml><?xml version="1.0" encoding="utf-8"?>
<calcChain xmlns="http://schemas.openxmlformats.org/spreadsheetml/2006/main">
  <c r="C26" i="1"/>
  <c r="C25"/>
  <c r="C16" l="1"/>
  <c r="E16"/>
  <c r="D17"/>
  <c r="D18"/>
  <c r="C11" l="1"/>
  <c r="C12"/>
  <c r="C13"/>
  <c r="C14"/>
  <c r="C15"/>
  <c r="C17"/>
  <c r="C18"/>
  <c r="C19"/>
  <c r="C20"/>
  <c r="C21"/>
  <c r="C22"/>
  <c r="C23"/>
  <c r="T9" i="3" l="1"/>
  <c r="E11" i="1" s="1"/>
  <c r="U9" i="3"/>
  <c r="V9"/>
  <c r="W9"/>
  <c r="X9"/>
  <c r="Y9"/>
  <c r="Z9"/>
  <c r="AA9"/>
  <c r="AB9"/>
  <c r="AC9"/>
  <c r="AD9"/>
  <c r="T10"/>
  <c r="E12" i="1" s="1"/>
  <c r="U10" i="3"/>
  <c r="V10"/>
  <c r="W10"/>
  <c r="X10"/>
  <c r="Y10"/>
  <c r="Z10"/>
  <c r="AA10"/>
  <c r="AB10"/>
  <c r="AC10"/>
  <c r="AD10"/>
  <c r="T11"/>
  <c r="E13" i="1" s="1"/>
  <c r="U11" i="3"/>
  <c r="V11"/>
  <c r="W11"/>
  <c r="X11"/>
  <c r="Y11"/>
  <c r="Z11"/>
  <c r="AA11"/>
  <c r="AB11"/>
  <c r="AC11"/>
  <c r="AD11"/>
  <c r="E17" i="1"/>
  <c r="E18"/>
  <c r="E19"/>
  <c r="E20"/>
  <c r="E21"/>
  <c r="E22"/>
  <c r="E23"/>
  <c r="S10" i="3" l="1"/>
  <c r="D22" i="1" s="1"/>
  <c r="S11" i="3"/>
  <c r="D23" i="1" s="1"/>
  <c r="S9" i="3"/>
  <c r="D21" i="1" s="1"/>
  <c r="R11" i="3"/>
  <c r="D13" i="1" s="1"/>
  <c r="R9" i="3"/>
  <c r="D11" i="1" s="1"/>
  <c r="R10" i="3"/>
  <c r="D12" i="1" s="1"/>
  <c r="E14"/>
  <c r="E15"/>
  <c r="X3" i="3" l="1"/>
  <c r="Y3"/>
  <c r="Z3"/>
  <c r="AA3"/>
  <c r="AB3"/>
  <c r="AC3"/>
  <c r="AD3"/>
  <c r="X4"/>
  <c r="Y4"/>
  <c r="Z4"/>
  <c r="AA4"/>
  <c r="AB4"/>
  <c r="AC4"/>
  <c r="AD4"/>
  <c r="X5"/>
  <c r="Y5"/>
  <c r="Z5"/>
  <c r="AA5"/>
  <c r="AB5"/>
  <c r="AC5"/>
  <c r="AD5"/>
  <c r="X6"/>
  <c r="Y6"/>
  <c r="Z6"/>
  <c r="AA6"/>
  <c r="AB6"/>
  <c r="AC6"/>
  <c r="AD6"/>
  <c r="X7"/>
  <c r="Y7"/>
  <c r="Z7"/>
  <c r="AA7"/>
  <c r="AB7"/>
  <c r="AC7"/>
  <c r="AD7"/>
  <c r="X8"/>
  <c r="Y8"/>
  <c r="Z8"/>
  <c r="AA8"/>
  <c r="AB8"/>
  <c r="AC8"/>
  <c r="AD8"/>
  <c r="Y2"/>
  <c r="Z2"/>
  <c r="AA2"/>
  <c r="AB2"/>
  <c r="AC2"/>
  <c r="AD2"/>
  <c r="X2"/>
  <c r="V2" l="1"/>
  <c r="W2"/>
  <c r="V3"/>
  <c r="W3"/>
  <c r="S3" s="1"/>
  <c r="V4"/>
  <c r="W4"/>
  <c r="S4" s="1"/>
  <c r="V5"/>
  <c r="W5"/>
  <c r="S5" s="1"/>
  <c r="V6"/>
  <c r="R6" s="1"/>
  <c r="D8" i="1" s="1"/>
  <c r="W6" i="3"/>
  <c r="S6" s="1"/>
  <c r="V7"/>
  <c r="W7"/>
  <c r="S7" s="1"/>
  <c r="D19" i="1" s="1"/>
  <c r="V8" i="3"/>
  <c r="W8"/>
  <c r="S8" s="1"/>
  <c r="D20" i="1" s="1"/>
  <c r="U3" i="3"/>
  <c r="U4"/>
  <c r="U5"/>
  <c r="U6"/>
  <c r="U7"/>
  <c r="U8"/>
  <c r="R8" s="1"/>
  <c r="D10" i="1" s="1"/>
  <c r="U2" i="3"/>
  <c r="T3"/>
  <c r="E5" i="1" s="1"/>
  <c r="T4" i="3"/>
  <c r="E6" i="1" s="1"/>
  <c r="T5" i="3"/>
  <c r="E7" i="1" s="1"/>
  <c r="T6" i="3"/>
  <c r="E8" i="1" s="1"/>
  <c r="T7" i="3"/>
  <c r="E9" i="1" s="1"/>
  <c r="T8" i="3"/>
  <c r="E10" i="1" s="1"/>
  <c r="T2" i="3"/>
  <c r="E4" i="1" s="1"/>
  <c r="C4"/>
  <c r="C5"/>
  <c r="C6"/>
  <c r="C7"/>
  <c r="C8"/>
  <c r="C9"/>
  <c r="C10"/>
  <c r="R5" i="3" l="1"/>
  <c r="D7" i="1" s="1"/>
  <c r="R7" i="3"/>
  <c r="D9" i="1" s="1"/>
  <c r="R4" i="3"/>
  <c r="D6" i="1" s="1"/>
  <c r="R3" i="3"/>
  <c r="D5" i="1" s="1"/>
  <c r="S2" i="3"/>
  <c r="R2"/>
  <c r="D4" i="1" s="1"/>
</calcChain>
</file>

<file path=xl/sharedStrings.xml><?xml version="1.0" encoding="utf-8"?>
<sst xmlns="http://schemas.openxmlformats.org/spreadsheetml/2006/main" count="240" uniqueCount="205">
  <si>
    <t>征战、精英模式章节底图
填写资源ID
非以上两模式填写[]</t>
    <phoneticPr fontId="2" type="noConversion"/>
  </si>
  <si>
    <t>chapter_bg</t>
    <phoneticPr fontId="2" type="noConversion"/>
  </si>
  <si>
    <t>zhengzhan_caodi</t>
  </si>
  <si>
    <t>zhengzhan_haidi</t>
  </si>
  <si>
    <t>zhengzhan_difu</t>
  </si>
  <si>
    <t>zhengzhan_huoshan</t>
  </si>
  <si>
    <t>id</t>
    <phoneticPr fontId="2" type="noConversion"/>
  </si>
  <si>
    <t>章节地图氛围（常驻）特效
填写特效id。无特效填写[]</t>
    <phoneticPr fontId="2" type="noConversion"/>
  </si>
  <si>
    <t>chapter_eff</t>
    <phoneticPr fontId="2" type="noConversion"/>
  </si>
  <si>
    <t>s</t>
    <phoneticPr fontId="2" type="noConversion"/>
  </si>
  <si>
    <t>地图id</t>
    <phoneticPr fontId="2" type="noConversion"/>
  </si>
  <si>
    <t>s</t>
    <phoneticPr fontId="2" type="noConversion"/>
  </si>
  <si>
    <t>scene_position</t>
  </si>
  <si>
    <t>na</t>
    <phoneticPr fontId="2" type="noConversion"/>
  </si>
  <si>
    <t>地图名称</t>
    <phoneticPr fontId="2" type="noConversion"/>
  </si>
  <si>
    <t>中文说明</t>
    <phoneticPr fontId="2" type="noConversion"/>
  </si>
  <si>
    <t>坐标点1</t>
    <phoneticPr fontId="2" type="noConversion"/>
  </si>
  <si>
    <t>坐标点2</t>
    <phoneticPr fontId="2" type="noConversion"/>
  </si>
  <si>
    <t>坐标点3</t>
    <phoneticPr fontId="2" type="noConversion"/>
  </si>
  <si>
    <t>坐标点4</t>
    <phoneticPr fontId="2" type="noConversion"/>
  </si>
  <si>
    <t>坐标点5</t>
    <phoneticPr fontId="2" type="noConversion"/>
  </si>
  <si>
    <t>坐标点6</t>
    <phoneticPr fontId="2" type="noConversion"/>
  </si>
  <si>
    <t>坐标点7</t>
    <phoneticPr fontId="2" type="noConversion"/>
  </si>
  <si>
    <t>坐标点8</t>
    <phoneticPr fontId="2" type="noConversion"/>
  </si>
  <si>
    <t>坐标点9</t>
    <phoneticPr fontId="2" type="noConversion"/>
  </si>
  <si>
    <t>坐标点10</t>
    <phoneticPr fontId="2" type="noConversion"/>
  </si>
  <si>
    <t>宝箱点1</t>
    <phoneticPr fontId="2" type="noConversion"/>
  </si>
  <si>
    <t>宝箱点2</t>
    <phoneticPr fontId="2" type="noConversion"/>
  </si>
  <si>
    <t>宝箱点3</t>
    <phoneticPr fontId="2" type="noConversion"/>
  </si>
  <si>
    <t>zhengzhan_caodi</t>
    <phoneticPr fontId="2" type="noConversion"/>
  </si>
  <si>
    <t>草地</t>
    <phoneticPr fontId="2" type="noConversion"/>
  </si>
  <si>
    <t>-136,303</t>
    <phoneticPr fontId="2" type="noConversion"/>
  </si>
  <si>
    <t>139,178</t>
    <phoneticPr fontId="2" type="noConversion"/>
  </si>
  <si>
    <t>594,232</t>
    <phoneticPr fontId="2" type="noConversion"/>
  </si>
  <si>
    <t>66,469</t>
    <phoneticPr fontId="2" type="noConversion"/>
  </si>
  <si>
    <t>zhengzhan_haidi</t>
    <phoneticPr fontId="2" type="noConversion"/>
  </si>
  <si>
    <t>海底</t>
    <phoneticPr fontId="2" type="noConversion"/>
  </si>
  <si>
    <t>-161,366</t>
    <phoneticPr fontId="2" type="noConversion"/>
  </si>
  <si>
    <t>40,441</t>
    <phoneticPr fontId="2" type="noConversion"/>
  </si>
  <si>
    <t>220,466</t>
    <phoneticPr fontId="2" type="noConversion"/>
  </si>
  <si>
    <t>189,315</t>
    <phoneticPr fontId="2" type="noConversion"/>
  </si>
  <si>
    <t>33,181</t>
    <phoneticPr fontId="2" type="noConversion"/>
  </si>
  <si>
    <t>179,105</t>
    <phoneticPr fontId="2" type="noConversion"/>
  </si>
  <si>
    <t>347,101</t>
    <phoneticPr fontId="2" type="noConversion"/>
  </si>
  <si>
    <t>513,350</t>
    <phoneticPr fontId="2" type="noConversion"/>
  </si>
  <si>
    <t>716,369</t>
    <phoneticPr fontId="2" type="noConversion"/>
  </si>
  <si>
    <t>zhengzhan_difu</t>
    <phoneticPr fontId="2" type="noConversion"/>
  </si>
  <si>
    <t>地府</t>
    <phoneticPr fontId="2" type="noConversion"/>
  </si>
  <si>
    <t>-201,156</t>
    <phoneticPr fontId="2" type="noConversion"/>
  </si>
  <si>
    <t>-64,112</t>
    <phoneticPr fontId="2" type="noConversion"/>
  </si>
  <si>
    <t>-105,350</t>
    <phoneticPr fontId="2" type="noConversion"/>
  </si>
  <si>
    <t>100,304</t>
    <phoneticPr fontId="2" type="noConversion"/>
  </si>
  <si>
    <t>213,196</t>
    <phoneticPr fontId="2" type="noConversion"/>
  </si>
  <si>
    <t>402,150</t>
    <phoneticPr fontId="2" type="noConversion"/>
  </si>
  <si>
    <t>724,205</t>
    <phoneticPr fontId="2" type="noConversion"/>
  </si>
  <si>
    <t>670,372</t>
    <phoneticPr fontId="2" type="noConversion"/>
  </si>
  <si>
    <t>470,430</t>
    <phoneticPr fontId="2" type="noConversion"/>
  </si>
  <si>
    <t>-10,350</t>
    <phoneticPr fontId="2" type="noConversion"/>
  </si>
  <si>
    <t>489,92</t>
    <phoneticPr fontId="2" type="noConversion"/>
  </si>
  <si>
    <t>351,371</t>
    <phoneticPr fontId="2" type="noConversion"/>
  </si>
  <si>
    <t>zhengzhan_huoshan</t>
    <phoneticPr fontId="2" type="noConversion"/>
  </si>
  <si>
    <t>火山</t>
    <phoneticPr fontId="2" type="noConversion"/>
  </si>
  <si>
    <t>203,95</t>
    <phoneticPr fontId="2" type="noConversion"/>
  </si>
  <si>
    <t>662,376</t>
    <phoneticPr fontId="2" type="noConversion"/>
  </si>
  <si>
    <t>294,62</t>
    <phoneticPr fontId="2" type="noConversion"/>
  </si>
  <si>
    <t>744,332</t>
    <phoneticPr fontId="2" type="noConversion"/>
  </si>
  <si>
    <t>na</t>
    <phoneticPr fontId="2" type="noConversion"/>
  </si>
  <si>
    <t>box_reward_position</t>
    <phoneticPr fontId="2" type="noConversion"/>
  </si>
  <si>
    <t>第2章背景相关信息</t>
    <phoneticPr fontId="2" type="noConversion"/>
  </si>
  <si>
    <t>第1章背景相关信息</t>
    <phoneticPr fontId="2" type="noConversion"/>
  </si>
  <si>
    <t>第3章背景相关信息</t>
  </si>
  <si>
    <t>火山通用10关背景</t>
    <phoneticPr fontId="2" type="noConversion"/>
  </si>
  <si>
    <t>草地通用10关背景</t>
    <phoneticPr fontId="2" type="noConversion"/>
  </si>
  <si>
    <t>海底通用10关背景</t>
    <phoneticPr fontId="2" type="noConversion"/>
  </si>
  <si>
    <t>地府通用10关背景</t>
    <phoneticPr fontId="2" type="noConversion"/>
  </si>
  <si>
    <t>章节内关卡位置
需要与关卡数量对应
坐标固定为10个</t>
    <phoneticPr fontId="2" type="noConversion"/>
  </si>
  <si>
    <t>章节内关卡宝箱位置
普通关卡通常为3个，
精英关卡没有</t>
    <phoneticPr fontId="2" type="noConversion"/>
  </si>
  <si>
    <t>第1章精英背景</t>
    <phoneticPr fontId="2" type="noConversion"/>
  </si>
  <si>
    <t>第2章精英背景</t>
  </si>
  <si>
    <t>第3章精英背景</t>
  </si>
  <si>
    <t>火山通用4关背景</t>
    <phoneticPr fontId="2" type="noConversion"/>
  </si>
  <si>
    <t>草地通用4关背景</t>
    <phoneticPr fontId="2" type="noConversion"/>
  </si>
  <si>
    <t>海底通用4关背景</t>
    <phoneticPr fontId="2" type="noConversion"/>
  </si>
  <si>
    <t>地府通用4关背景</t>
    <phoneticPr fontId="2" type="noConversion"/>
  </si>
  <si>
    <t>宝箱位置</t>
    <phoneticPr fontId="2" type="noConversion"/>
  </si>
  <si>
    <t>第一章</t>
    <phoneticPr fontId="2" type="noConversion"/>
  </si>
  <si>
    <t>第二章</t>
    <phoneticPr fontId="2" type="noConversion"/>
  </si>
  <si>
    <t>第三章</t>
    <phoneticPr fontId="2" type="noConversion"/>
  </si>
  <si>
    <t>普通关卡位置</t>
    <phoneticPr fontId="2" type="noConversion"/>
  </si>
  <si>
    <t>精英关卡位置</t>
    <phoneticPr fontId="2" type="noConversion"/>
  </si>
  <si>
    <t>boss点</t>
    <phoneticPr fontId="2" type="noConversion"/>
  </si>
  <si>
    <t>2,4,6</t>
    <phoneticPr fontId="2" type="noConversion"/>
  </si>
  <si>
    <t>3,5,8</t>
    <phoneticPr fontId="2" type="noConversion"/>
  </si>
  <si>
    <t>3,6,9,10</t>
    <phoneticPr fontId="2" type="noConversion"/>
  </si>
  <si>
    <t>序号</t>
    <phoneticPr fontId="2" type="noConversion"/>
  </si>
  <si>
    <t>584,232</t>
    <phoneticPr fontId="2" type="noConversion"/>
  </si>
  <si>
    <t>160,429</t>
    <phoneticPr fontId="2" type="noConversion"/>
  </si>
  <si>
    <t>218,127</t>
    <phoneticPr fontId="2" type="noConversion"/>
  </si>
  <si>
    <t>664,188</t>
    <phoneticPr fontId="2" type="noConversion"/>
  </si>
  <si>
    <t>49,412</t>
    <phoneticPr fontId="2" type="noConversion"/>
  </si>
  <si>
    <t>723,267</t>
    <phoneticPr fontId="2" type="noConversion"/>
  </si>
  <si>
    <t>262,61</t>
    <phoneticPr fontId="2" type="noConversion"/>
  </si>
  <si>
    <t>297,419</t>
    <phoneticPr fontId="2" type="noConversion"/>
  </si>
  <si>
    <t>664,183</t>
    <phoneticPr fontId="2" type="noConversion"/>
  </si>
  <si>
    <t>-6,426</t>
    <phoneticPr fontId="2" type="noConversion"/>
  </si>
  <si>
    <t>363,119</t>
    <phoneticPr fontId="2" type="noConversion"/>
  </si>
  <si>
    <t>453,258</t>
    <phoneticPr fontId="2" type="noConversion"/>
  </si>
  <si>
    <t>-62,181</t>
    <phoneticPr fontId="2" type="noConversion"/>
  </si>
  <si>
    <t>-51,408</t>
    <phoneticPr fontId="2" type="noConversion"/>
  </si>
  <si>
    <t>174,236</t>
    <phoneticPr fontId="2" type="noConversion"/>
  </si>
  <si>
    <t>402,150</t>
    <phoneticPr fontId="2" type="noConversion"/>
  </si>
  <si>
    <t>651,110</t>
    <phoneticPr fontId="2" type="noConversion"/>
  </si>
  <si>
    <t>716,284</t>
    <phoneticPr fontId="2" type="noConversion"/>
  </si>
  <si>
    <t>506,433</t>
    <phoneticPr fontId="2" type="noConversion"/>
  </si>
  <si>
    <t>34,357</t>
    <phoneticPr fontId="2" type="noConversion"/>
  </si>
  <si>
    <t>711,314</t>
    <phoneticPr fontId="2" type="noConversion"/>
  </si>
  <si>
    <t>zhengzhan_chengzhen</t>
  </si>
  <si>
    <t>zhengzhan_shamo</t>
  </si>
  <si>
    <t>zhengzhan_tiangong</t>
  </si>
  <si>
    <t>3,6,9,10</t>
  </si>
  <si>
    <t>城镇通用10关背景</t>
    <phoneticPr fontId="2" type="noConversion"/>
  </si>
  <si>
    <t>沙漠通用10关背景</t>
    <phoneticPr fontId="2" type="noConversion"/>
  </si>
  <si>
    <t>天宫通用10关背景</t>
    <phoneticPr fontId="2" type="noConversion"/>
  </si>
  <si>
    <t>城镇通用4关背景</t>
    <phoneticPr fontId="2" type="noConversion"/>
  </si>
  <si>
    <t>沙漠通用4关背景</t>
    <phoneticPr fontId="2" type="noConversion"/>
  </si>
  <si>
    <t>天宫通用4关背景</t>
    <phoneticPr fontId="2" type="noConversion"/>
  </si>
  <si>
    <t>城镇</t>
    <phoneticPr fontId="2" type="noConversion"/>
  </si>
  <si>
    <t>沙漠</t>
    <phoneticPr fontId="2" type="noConversion"/>
  </si>
  <si>
    <t>天宫</t>
    <phoneticPr fontId="2" type="noConversion"/>
  </si>
  <si>
    <t>-3,227</t>
    <phoneticPr fontId="2" type="noConversion"/>
  </si>
  <si>
    <t>108,159</t>
    <phoneticPr fontId="2" type="noConversion"/>
  </si>
  <si>
    <t>248,112</t>
    <phoneticPr fontId="2" type="noConversion"/>
  </si>
  <si>
    <t>718,378</t>
    <phoneticPr fontId="2" type="noConversion"/>
  </si>
  <si>
    <t>-109,231</t>
    <phoneticPr fontId="2" type="noConversion"/>
  </si>
  <si>
    <t>309,32</t>
    <phoneticPr fontId="2" type="noConversion"/>
  </si>
  <si>
    <t>801,360</t>
    <phoneticPr fontId="2" type="noConversion"/>
  </si>
  <si>
    <t>-142,440</t>
    <phoneticPr fontId="2" type="noConversion"/>
  </si>
  <si>
    <t>673,171</t>
    <phoneticPr fontId="2" type="noConversion"/>
  </si>
  <si>
    <t>43,212</t>
    <phoneticPr fontId="2" type="noConversion"/>
  </si>
  <si>
    <t>756,134</t>
    <phoneticPr fontId="2" type="noConversion"/>
  </si>
  <si>
    <t>88,468</t>
    <phoneticPr fontId="2" type="noConversion"/>
  </si>
  <si>
    <t>397,140</t>
    <phoneticPr fontId="2" type="noConversion"/>
  </si>
  <si>
    <t>-101,305</t>
    <phoneticPr fontId="2" type="noConversion"/>
  </si>
  <si>
    <t>-116,458</t>
    <phoneticPr fontId="2" type="noConversion"/>
  </si>
  <si>
    <t>94,342</t>
    <phoneticPr fontId="2" type="noConversion"/>
  </si>
  <si>
    <t>550,409</t>
    <phoneticPr fontId="2" type="noConversion"/>
  </si>
  <si>
    <t>634,406</t>
    <phoneticPr fontId="2" type="noConversion"/>
  </si>
  <si>
    <t>87,86</t>
    <phoneticPr fontId="2" type="noConversion"/>
  </si>
  <si>
    <t>35,242</t>
    <phoneticPr fontId="2" type="noConversion"/>
  </si>
  <si>
    <t>184,37</t>
    <phoneticPr fontId="2" type="noConversion"/>
  </si>
  <si>
    <t>-161,375</t>
    <phoneticPr fontId="2" type="noConversion"/>
  </si>
  <si>
    <t>600,380</t>
    <phoneticPr fontId="2" type="noConversion"/>
  </si>
  <si>
    <t>400,260</t>
    <phoneticPr fontId="2" type="noConversion"/>
  </si>
  <si>
    <t>50,150</t>
    <phoneticPr fontId="2" type="noConversion"/>
  </si>
  <si>
    <t>200,56</t>
    <phoneticPr fontId="2" type="noConversion"/>
  </si>
  <si>
    <t>-20,400</t>
    <phoneticPr fontId="2" type="noConversion"/>
  </si>
  <si>
    <t>220,466</t>
    <phoneticPr fontId="2" type="noConversion"/>
  </si>
  <si>
    <t>530,280</t>
    <phoneticPr fontId="2" type="noConversion"/>
  </si>
  <si>
    <t>90,320</t>
    <phoneticPr fontId="2" type="noConversion"/>
  </si>
  <si>
    <t>450,366</t>
    <phoneticPr fontId="2" type="noConversion"/>
  </si>
  <si>
    <t>450,132</t>
    <phoneticPr fontId="2" type="noConversion"/>
  </si>
  <si>
    <t>-171,280</t>
    <phoneticPr fontId="2" type="noConversion"/>
  </si>
  <si>
    <t>-50,260</t>
    <phoneticPr fontId="2" type="noConversion"/>
  </si>
  <si>
    <t>280,450</t>
    <phoneticPr fontId="2" type="noConversion"/>
  </si>
  <si>
    <t>380,420</t>
    <phoneticPr fontId="2" type="noConversion"/>
  </si>
  <si>
    <t>160,430</t>
    <phoneticPr fontId="2" type="noConversion"/>
  </si>
  <si>
    <t>430,220</t>
    <phoneticPr fontId="2" type="noConversion"/>
  </si>
  <si>
    <t>200,425</t>
    <phoneticPr fontId="2" type="noConversion"/>
  </si>
  <si>
    <t>379,390</t>
    <phoneticPr fontId="2" type="noConversion"/>
  </si>
  <si>
    <t>555,400</t>
    <phoneticPr fontId="2" type="noConversion"/>
  </si>
  <si>
    <t>-196,450</t>
    <phoneticPr fontId="2" type="noConversion"/>
  </si>
  <si>
    <t>20,440</t>
    <phoneticPr fontId="2" type="noConversion"/>
  </si>
  <si>
    <t>-110,341</t>
    <phoneticPr fontId="2" type="noConversion"/>
  </si>
  <si>
    <t>610,140</t>
    <phoneticPr fontId="2" type="noConversion"/>
  </si>
  <si>
    <t>580,280</t>
    <phoneticPr fontId="2" type="noConversion"/>
  </si>
  <si>
    <t>500,200</t>
    <phoneticPr fontId="2" type="noConversion"/>
  </si>
  <si>
    <t>380,120</t>
    <phoneticPr fontId="2" type="noConversion"/>
  </si>
  <si>
    <t>-144,460</t>
    <phoneticPr fontId="2" type="noConversion"/>
  </si>
  <si>
    <t>500,380</t>
    <phoneticPr fontId="2" type="noConversion"/>
  </si>
  <si>
    <t>420,280</t>
    <phoneticPr fontId="2" type="noConversion"/>
  </si>
  <si>
    <t>350,170</t>
    <phoneticPr fontId="2" type="noConversion"/>
  </si>
  <si>
    <t>-19,130</t>
    <phoneticPr fontId="2" type="noConversion"/>
  </si>
  <si>
    <t>90,100</t>
    <phoneticPr fontId="2" type="noConversion"/>
  </si>
  <si>
    <t>-220,337</t>
    <phoneticPr fontId="2" type="noConversion"/>
  </si>
  <si>
    <t>-130,200</t>
    <phoneticPr fontId="2" type="noConversion"/>
  </si>
  <si>
    <t>-35,220</t>
    <phoneticPr fontId="2" type="noConversion"/>
  </si>
  <si>
    <t>370,190</t>
    <phoneticPr fontId="2" type="noConversion"/>
  </si>
  <si>
    <t>260,130</t>
    <phoneticPr fontId="2" type="noConversion"/>
  </si>
  <si>
    <t>465,260</t>
    <phoneticPr fontId="2" type="noConversion"/>
  </si>
  <si>
    <t>[[-136,303],[584,232],[80,460]]</t>
    <phoneticPr fontId="2" type="noConversion"/>
  </si>
  <si>
    <t>[[-161,375],[179,105],[700,360]]</t>
    <phoneticPr fontId="2" type="noConversion"/>
  </si>
  <si>
    <t>[[-180,180],[402,150],[350,400]]</t>
    <phoneticPr fontId="2" type="noConversion"/>
  </si>
  <si>
    <t>-32,220</t>
    <phoneticPr fontId="2" type="noConversion"/>
  </si>
  <si>
    <t>-71,230</t>
    <phoneticPr fontId="2" type="noConversion"/>
  </si>
  <si>
    <t>-33,120</t>
    <phoneticPr fontId="2" type="noConversion"/>
  </si>
  <si>
    <t>327,100</t>
    <phoneticPr fontId="2" type="noConversion"/>
  </si>
  <si>
    <t>471,170</t>
    <phoneticPr fontId="2" type="noConversion"/>
  </si>
  <si>
    <t>youliMap_bg</t>
  </si>
  <si>
    <t>[[-136,303],[176,201],[422,373],[705,281]]</t>
    <phoneticPr fontId="2" type="noConversion"/>
  </si>
  <si>
    <t>[[218,127],[280,364],[576,269]]</t>
    <phoneticPr fontId="2" type="noConversion"/>
  </si>
  <si>
    <t>[[-201,156],[-62,181],[-51,408],[174,236],[402,150],[651,110],[716,284],[506,433]]</t>
  </si>
  <si>
    <t>[[34,357],[489,92],[351,371]]</t>
  </si>
  <si>
    <t>ui_zhengzhan_chengzhen</t>
  </si>
  <si>
    <t>[[-161,375],[43,150],[353,77],[614,260],[145,437]]</t>
    <phoneticPr fontId="2" type="noConversion"/>
  </si>
  <si>
    <t>[[-20,270],[506,140],[253,394]]</t>
    <phoneticPr fontId="2" type="noConversion"/>
  </si>
</sst>
</file>

<file path=xl/styles.xml><?xml version="1.0" encoding="utf-8"?>
<styleSheet xmlns="http://schemas.openxmlformats.org/spreadsheetml/2006/main">
  <fonts count="6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1"/>
      <name val="微软雅黑"/>
      <family val="2"/>
      <charset val="134"/>
    </font>
    <font>
      <b/>
      <sz val="11"/>
      <color rgb="FFFF000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7">
    <xf numFmtId="0" fontId="0" fillId="0" borderId="0" xfId="0" applyAlignment="1"/>
    <xf numFmtId="0" fontId="1" fillId="0" borderId="0" xfId="0" applyFont="1" applyAlignment="1">
      <alignment vertical="center"/>
    </xf>
    <xf numFmtId="49" fontId="4" fillId="0" borderId="1" xfId="0" applyNumberFormat="1" applyFont="1" applyBorder="1" applyAlignment="1"/>
    <xf numFmtId="49" fontId="4" fillId="0" borderId="0" xfId="0" applyNumberFormat="1" applyFont="1" applyAlignment="1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0" borderId="1" xfId="0" applyFont="1" applyBorder="1" applyAlignment="1">
      <alignment vertical="center"/>
    </xf>
    <xf numFmtId="49" fontId="4" fillId="0" borderId="0" xfId="0" applyNumberFormat="1" applyFont="1" applyFill="1" applyBorder="1" applyAlignment="1"/>
    <xf numFmtId="49" fontId="4" fillId="2" borderId="1" xfId="0" applyNumberFormat="1" applyFont="1" applyFill="1" applyBorder="1" applyAlignment="1"/>
    <xf numFmtId="49" fontId="1" fillId="0" borderId="0" xfId="0" applyNumberFormat="1" applyFont="1" applyAlignment="1"/>
    <xf numFmtId="49" fontId="1" fillId="2" borderId="0" xfId="0" applyNumberFormat="1" applyFont="1" applyFill="1" applyAlignment="1"/>
    <xf numFmtId="49" fontId="4" fillId="2" borderId="0" xfId="0" applyNumberFormat="1" applyFont="1" applyFill="1" applyAlignment="1"/>
    <xf numFmtId="0" fontId="1" fillId="0" borderId="0" xfId="0" applyNumberFormat="1" applyFont="1" applyAlignment="1"/>
    <xf numFmtId="49" fontId="1" fillId="0" borderId="1" xfId="0" applyNumberFormat="1" applyFont="1" applyBorder="1" applyAlignment="1"/>
    <xf numFmtId="49" fontId="1" fillId="2" borderId="1" xfId="0" applyNumberFormat="1" applyFont="1" applyFill="1" applyBorder="1" applyAlignment="1"/>
    <xf numFmtId="0" fontId="5" fillId="2" borderId="1" xfId="0" applyFont="1" applyFill="1" applyBorder="1" applyAlignment="1">
      <alignment vertical="center"/>
    </xf>
  </cellXfs>
  <cellStyles count="2">
    <cellStyle name="常规" xfId="0" builtinId="0"/>
    <cellStyle name="常规 3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26"/>
  <sheetViews>
    <sheetView tabSelected="1" zoomScale="90" zoomScaleNormal="90" workbookViewId="0">
      <pane xSplit="2" ySplit="3" topLeftCell="D21" activePane="bottomRight" state="frozen"/>
      <selection pane="topRight" activeCell="C1" sqref="C1"/>
      <selection pane="bottomLeft" activeCell="A4" sqref="A4"/>
      <selection pane="bottomRight" activeCell="F23" sqref="F23"/>
    </sheetView>
  </sheetViews>
  <sheetFormatPr defaultColWidth="9" defaultRowHeight="16.5"/>
  <cols>
    <col min="1" max="1" width="9" style="1"/>
    <col min="2" max="2" width="23.75" style="1" customWidth="1"/>
    <col min="3" max="3" width="27.75" style="1" customWidth="1"/>
    <col min="4" max="4" width="102.75" style="1" bestFit="1" customWidth="1"/>
    <col min="5" max="5" width="30.375" style="1" bestFit="1" customWidth="1"/>
    <col min="6" max="6" width="18.75" style="1" bestFit="1" customWidth="1"/>
    <col min="7" max="7" width="23.5" style="1" bestFit="1" customWidth="1"/>
    <col min="8" max="8" width="27.75" style="1" customWidth="1"/>
    <col min="9" max="9" width="23.75" style="1" customWidth="1"/>
    <col min="10" max="11" width="27.75" style="1" customWidth="1"/>
    <col min="12" max="12" width="19.5" style="1" customWidth="1"/>
    <col min="13" max="13" width="27.75" style="1" customWidth="1"/>
    <col min="14" max="16384" width="9" style="1"/>
  </cols>
  <sheetData>
    <row r="1" spans="1:6" ht="192" customHeight="1">
      <c r="A1" s="4" t="s">
        <v>10</v>
      </c>
      <c r="B1" s="5" t="s">
        <v>0</v>
      </c>
      <c r="C1" s="5" t="s">
        <v>7</v>
      </c>
      <c r="D1" s="5" t="s">
        <v>75</v>
      </c>
      <c r="E1" s="5" t="s">
        <v>76</v>
      </c>
      <c r="F1" s="7"/>
    </row>
    <row r="2" spans="1:6">
      <c r="A2" s="6" t="s">
        <v>6</v>
      </c>
      <c r="B2" s="6" t="s">
        <v>1</v>
      </c>
      <c r="C2" s="6" t="s">
        <v>8</v>
      </c>
      <c r="D2" s="6" t="s">
        <v>12</v>
      </c>
      <c r="E2" s="6" t="s">
        <v>67</v>
      </c>
      <c r="F2" s="7"/>
    </row>
    <row r="3" spans="1:6">
      <c r="A3" s="6" t="s">
        <v>11</v>
      </c>
      <c r="B3" s="6" t="s">
        <v>9</v>
      </c>
      <c r="C3" s="6" t="s">
        <v>9</v>
      </c>
      <c r="D3" s="6" t="s">
        <v>66</v>
      </c>
      <c r="E3" s="6" t="s">
        <v>13</v>
      </c>
      <c r="F3" s="7"/>
    </row>
    <row r="4" spans="1:6">
      <c r="A4" s="7">
        <v>1</v>
      </c>
      <c r="B4" s="7" t="s">
        <v>2</v>
      </c>
      <c r="C4" s="7" t="str">
        <f t="shared" ref="C4:C9" si="0">"ui_"&amp;B4</f>
        <v>ui_zhengzhan_caodi</v>
      </c>
      <c r="D4" s="7" t="str">
        <f>VLOOKUP(IF(A4&lt;100,A4,A4-100),地图位置!A:T,IF(A4&lt;100,18,19),FALSE)</f>
        <v>[[-136,303],[139,178],[584,232],[160,429]]</v>
      </c>
      <c r="E4" s="7" t="str">
        <f>IFERROR(VLOOKUP(A4,地图位置!A:T,20,FALSE),"[]")</f>
        <v>[[218,127],[664,188],[49,412]]</v>
      </c>
      <c r="F4" s="7" t="s">
        <v>69</v>
      </c>
    </row>
    <row r="5" spans="1:6">
      <c r="A5" s="7">
        <v>2</v>
      </c>
      <c r="B5" s="7" t="s">
        <v>3</v>
      </c>
      <c r="C5" s="7" t="str">
        <f t="shared" si="0"/>
        <v>ui_zhengzhan_haidi</v>
      </c>
      <c r="D5" s="7" t="str">
        <f>VLOOKUP(IF(A5&lt;100,A5,A5-100),地图位置!A:T,IF(A5&lt;100,18,19),FALSE)</f>
        <v>[[-161,375],[220,466],[50,150],[400,260],[600,380]]</v>
      </c>
      <c r="E5" s="7" t="str">
        <f>IFERROR(VLOOKUP(A5,地图位置!A:T,20,FALSE),"[]")</f>
        <v>[[-20,400],[200,56],[711,314]]</v>
      </c>
      <c r="F5" s="7" t="s">
        <v>68</v>
      </c>
    </row>
    <row r="6" spans="1:6">
      <c r="A6" s="7">
        <v>3</v>
      </c>
      <c r="B6" s="7" t="s">
        <v>4</v>
      </c>
      <c r="C6" s="7" t="str">
        <f t="shared" si="0"/>
        <v>ui_zhengzhan_difu</v>
      </c>
      <c r="D6" s="7" t="str">
        <f>VLOOKUP(IF(A6&lt;100,A6,A6-100),地图位置!A:T,IF(A6&lt;100,18,19),FALSE)</f>
        <v>[[-201,156],[-62,181],[-51,408],[174,236],[402,150],[651,110],[716,284],[506,433]]</v>
      </c>
      <c r="E6" s="7" t="str">
        <f>IFERROR(VLOOKUP(A6,地图位置!A:T,20,FALSE),"[]")</f>
        <v>[[34,357],[489,92],[351,371]]</v>
      </c>
      <c r="F6" s="7" t="s">
        <v>70</v>
      </c>
    </row>
    <row r="7" spans="1:6">
      <c r="A7" s="7">
        <v>4</v>
      </c>
      <c r="B7" s="7" t="s">
        <v>5</v>
      </c>
      <c r="C7" s="7" t="str">
        <f t="shared" si="0"/>
        <v>ui_zhengzhan_huoshan</v>
      </c>
      <c r="D7" s="7" t="str">
        <f>VLOOKUP(IF(A7&lt;100,A7,A7-100),地图位置!A:T,IF(A7&lt;100,18,19),FALSE)</f>
        <v>[[-144,460],[-220,337],[-130,200],[-19,130],[90,100],[203,95],[350,170],[420,280],[500,380],[662,376]]</v>
      </c>
      <c r="E7" s="7" t="str">
        <f>IFERROR(VLOOKUP(A7,地图位置!A:T,20,FALSE),"[]")</f>
        <v>[[-35,220],[294,62],[744,332]]</v>
      </c>
      <c r="F7" s="7" t="s">
        <v>71</v>
      </c>
    </row>
    <row r="8" spans="1:6">
      <c r="A8" s="7">
        <v>5</v>
      </c>
      <c r="B8" s="7" t="s">
        <v>2</v>
      </c>
      <c r="C8" s="7" t="str">
        <f t="shared" si="0"/>
        <v>ui_zhengzhan_caodi</v>
      </c>
      <c r="D8" s="7" t="str">
        <f>VLOOKUP(IF(A8&lt;100,A8,A8-100),地图位置!A:T,IF(A8&lt;100,18,19),FALSE)</f>
        <v>[[-136,303],[-32,220],[139,178],[327,100],[471,170],[594,232],[555,400],[379,390],[200,425],[66,469]]</v>
      </c>
      <c r="E8" s="7" t="str">
        <f>IFERROR(VLOOKUP(A8,地图位置!A:T,20,FALSE),"[]")</f>
        <v>[[218,127],[664,183],[-6,426]]</v>
      </c>
      <c r="F8" s="7" t="s">
        <v>72</v>
      </c>
    </row>
    <row r="9" spans="1:6">
      <c r="A9" s="7">
        <v>6</v>
      </c>
      <c r="B9" s="7" t="s">
        <v>3</v>
      </c>
      <c r="C9" s="7" t="str">
        <f t="shared" si="0"/>
        <v>ui_zhengzhan_haidi</v>
      </c>
      <c r="D9" s="7" t="str">
        <f>VLOOKUP(IF(A9&lt;100,A9,A9-100),地图位置!A:T,IF(A9&lt;100,18,19),FALSE)</f>
        <v>[[-161,366],[40,441],[220,466],[189,315],[33,181],[179,105],[347,101],[430,220],[513,350],[716,369]]</v>
      </c>
      <c r="E9" s="7" t="str">
        <f>IFERROR(VLOOKUP(A9,地图位置!A:T,20,FALSE),"[]")</f>
        <v>[[297,419],[262,61],[723,267]]</v>
      </c>
      <c r="F9" s="7" t="s">
        <v>73</v>
      </c>
    </row>
    <row r="10" spans="1:6">
      <c r="A10" s="7">
        <v>7</v>
      </c>
      <c r="B10" s="7" t="s">
        <v>4</v>
      </c>
      <c r="C10" s="7" t="str">
        <f>"ui_"&amp;B10</f>
        <v>ui_zhengzhan_difu</v>
      </c>
      <c r="D10" s="7" t="str">
        <f>VLOOKUP(IF(A10&lt;100,A10,A10-100),地图位置!A:T,IF(A10&lt;100,18,19),FALSE)</f>
        <v>[[-201,156],[-64,112],[-105,350],[100,304],[213,196],[402,150],[610,140],[724,205],[670,372],[470,430]]</v>
      </c>
      <c r="E10" s="7" t="str">
        <f>IFERROR(VLOOKUP(A10,地图位置!A:T,20,FALSE),"[]")</f>
        <v>[[-10,350],[489,92],[351,371]]</v>
      </c>
      <c r="F10" s="7" t="s">
        <v>74</v>
      </c>
    </row>
    <row r="11" spans="1:6">
      <c r="A11" s="7">
        <v>8</v>
      </c>
      <c r="B11" s="7" t="s">
        <v>116</v>
      </c>
      <c r="C11" s="7" t="str">
        <f t="shared" ref="C11:C23" si="1">"ui_"&amp;B11</f>
        <v>ui_zhengzhan_chengzhen</v>
      </c>
      <c r="D11" s="7" t="str">
        <f>VLOOKUP(IF(A11&lt;100,A11,A11-100),地图位置!A:T,IF(A11&lt;100,18,19),FALSE)</f>
        <v>[[-196,450],[20,440],[-110,341],[-3,227],[108,159],[248,112],[380,120],[500,200],[580,280],[718,378]]</v>
      </c>
      <c r="E11" s="7" t="str">
        <f>IFERROR(VLOOKUP(A11,地图位置!A:T,20,FALSE),"[]")</f>
        <v>[[-109,231],[309,32],[801,360]]</v>
      </c>
      <c r="F11" s="7" t="s">
        <v>120</v>
      </c>
    </row>
    <row r="12" spans="1:6">
      <c r="A12" s="7">
        <v>9</v>
      </c>
      <c r="B12" s="7" t="s">
        <v>117</v>
      </c>
      <c r="C12" s="7" t="str">
        <f t="shared" si="1"/>
        <v>ui_zhengzhan_shamo</v>
      </c>
      <c r="D12" s="7" t="str">
        <f>VLOOKUP(IF(A12&lt;100,A12,A12-100),地图位置!A:T,IF(A12&lt;100,18,19),FALSE)</f>
        <v>[[-142,440],[-171,280],[-50,260],[90,320],[160,430],[280,450],[450,366],[530,280],[450,132],[673,171]]</v>
      </c>
      <c r="E12" s="7" t="str">
        <f>IFERROR(VLOOKUP(A12,地图位置!A:T,20,FALSE),"[]")</f>
        <v>[[43,212],[380,420],[756,134]]</v>
      </c>
      <c r="F12" s="7" t="s">
        <v>121</v>
      </c>
    </row>
    <row r="13" spans="1:6">
      <c r="A13" s="7">
        <v>10</v>
      </c>
      <c r="B13" s="7" t="s">
        <v>118</v>
      </c>
      <c r="C13" s="7" t="str">
        <f t="shared" si="1"/>
        <v>ui_zhengzhan_tiangong</v>
      </c>
      <c r="D13" s="7" t="str">
        <f>VLOOKUP(IF(A13&lt;100,A13,A13-100),地图位置!A:T,IF(A13&lt;100,18,19),FALSE)</f>
        <v>[[-116,458],[-20,400],[94,342],[-71,230],[-33,120],[87,86],[260,130],[370,190],[465,260],[550,409]]</v>
      </c>
      <c r="E13" s="7" t="str">
        <f>IFERROR(VLOOKUP(A13,地图位置!A:T,20,FALSE),"[]")</f>
        <v>[[35,242],[184,37],[634,406]]</v>
      </c>
      <c r="F13" s="7" t="s">
        <v>122</v>
      </c>
    </row>
    <row r="14" spans="1:6">
      <c r="A14" s="16">
        <v>101</v>
      </c>
      <c r="B14" s="16" t="s">
        <v>2</v>
      </c>
      <c r="C14" s="16" t="str">
        <f t="shared" si="1"/>
        <v>ui_zhengzhan_caodi</v>
      </c>
      <c r="D14" s="16" t="s">
        <v>189</v>
      </c>
      <c r="E14" s="16" t="str">
        <f>IFERROR(VLOOKUP(A14,地图位置!A:T,20,FALSE),"[]")</f>
        <v>[]</v>
      </c>
      <c r="F14" s="16" t="s">
        <v>77</v>
      </c>
    </row>
    <row r="15" spans="1:6">
      <c r="A15" s="16">
        <v>102</v>
      </c>
      <c r="B15" s="16" t="s">
        <v>3</v>
      </c>
      <c r="C15" s="16" t="str">
        <f t="shared" si="1"/>
        <v>ui_zhengzhan_haidi</v>
      </c>
      <c r="D15" s="16" t="s">
        <v>190</v>
      </c>
      <c r="E15" s="16" t="str">
        <f>IFERROR(VLOOKUP(A15,地图位置!A:T,20,FALSE),"[]")</f>
        <v>[]</v>
      </c>
      <c r="F15" s="16" t="s">
        <v>78</v>
      </c>
    </row>
    <row r="16" spans="1:6">
      <c r="A16" s="16">
        <v>103</v>
      </c>
      <c r="B16" s="16" t="s">
        <v>4</v>
      </c>
      <c r="C16" s="16" t="str">
        <f t="shared" si="1"/>
        <v>ui_zhengzhan_difu</v>
      </c>
      <c r="D16" s="16" t="s">
        <v>191</v>
      </c>
      <c r="E16" s="16" t="str">
        <f>IFERROR(VLOOKUP(A16,地图位置!A:T,20,FALSE),"[]")</f>
        <v>[]</v>
      </c>
      <c r="F16" s="16" t="s">
        <v>79</v>
      </c>
    </row>
    <row r="17" spans="1:6">
      <c r="A17" s="7">
        <v>104</v>
      </c>
      <c r="B17" s="7" t="s">
        <v>5</v>
      </c>
      <c r="C17" s="7" t="str">
        <f t="shared" si="1"/>
        <v>ui_zhengzhan_huoshan</v>
      </c>
      <c r="D17" s="7" t="str">
        <f>VLOOKUP(IF(A17&lt;100,A17,A17-100),地图位置!A:T,IF(A17&lt;100,18,19),FALSE)</f>
        <v>[[-130,200],[203,95],[500,380],[662,376]]</v>
      </c>
      <c r="E17" s="7" t="str">
        <f>IFERROR(VLOOKUP(A17,地图位置!A:T,20,FALSE),"[]")</f>
        <v>[]</v>
      </c>
      <c r="F17" s="7" t="s">
        <v>80</v>
      </c>
    </row>
    <row r="18" spans="1:6">
      <c r="A18" s="7">
        <v>105</v>
      </c>
      <c r="B18" s="7" t="s">
        <v>2</v>
      </c>
      <c r="C18" s="7" t="str">
        <f t="shared" si="1"/>
        <v>ui_zhengzhan_caodi</v>
      </c>
      <c r="D18" s="7" t="str">
        <f>VLOOKUP(IF(A18&lt;100,A18,A18-100),地图位置!A:T,IF(A18&lt;100,18,19),FALSE)</f>
        <v>[[139,178],[594,232],[200,425],[66,469]]</v>
      </c>
      <c r="E18" s="7" t="str">
        <f>IFERROR(VLOOKUP(A18,地图位置!A:T,20,FALSE),"[]")</f>
        <v>[]</v>
      </c>
      <c r="F18" s="7" t="s">
        <v>81</v>
      </c>
    </row>
    <row r="19" spans="1:6">
      <c r="A19" s="7">
        <v>106</v>
      </c>
      <c r="B19" s="7" t="s">
        <v>3</v>
      </c>
      <c r="C19" s="7" t="str">
        <f t="shared" si="1"/>
        <v>ui_zhengzhan_haidi</v>
      </c>
      <c r="D19" s="7" t="str">
        <f>VLOOKUP(IF(A19&lt;100,A19,A19-100),地图位置!A:T,IF(A19&lt;100,18,19),FALSE)</f>
        <v>[[220,466],[179,105],[513,350],[716,369]]</v>
      </c>
      <c r="E19" s="7" t="str">
        <f>IFERROR(VLOOKUP(A19,地图位置!A:T,20,FALSE),"[]")</f>
        <v>[]</v>
      </c>
      <c r="F19" s="7" t="s">
        <v>82</v>
      </c>
    </row>
    <row r="20" spans="1:6">
      <c r="A20" s="7">
        <v>107</v>
      </c>
      <c r="B20" s="7" t="s">
        <v>4</v>
      </c>
      <c r="C20" s="7" t="str">
        <f t="shared" si="1"/>
        <v>ui_zhengzhan_difu</v>
      </c>
      <c r="D20" s="7" t="str">
        <f>VLOOKUP(IF(A20&lt;100,A20,A20-100),地图位置!A:T,IF(A20&lt;100,18,19),FALSE)</f>
        <v>[[-105,350],[402,150],[670,372],[470,430]]</v>
      </c>
      <c r="E20" s="7" t="str">
        <f>IFERROR(VLOOKUP(A20,地图位置!A:T,20,FALSE),"[]")</f>
        <v>[]</v>
      </c>
      <c r="F20" s="7" t="s">
        <v>83</v>
      </c>
    </row>
    <row r="21" spans="1:6">
      <c r="A21" s="7">
        <v>108</v>
      </c>
      <c r="B21" s="7" t="s">
        <v>116</v>
      </c>
      <c r="C21" s="7" t="str">
        <f t="shared" si="1"/>
        <v>ui_zhengzhan_chengzhen</v>
      </c>
      <c r="D21" s="7" t="str">
        <f>VLOOKUP(IF(A21&lt;100,A21,A21-100),地图位置!A:T,IF(A21&lt;100,18,19),FALSE)</f>
        <v>[[-110,341],[248,112],[580,280],[718,378]]</v>
      </c>
      <c r="E21" s="7" t="str">
        <f>IFERROR(VLOOKUP(A21,地图位置!A:T,20,FALSE),"[]")</f>
        <v>[]</v>
      </c>
      <c r="F21" s="7" t="s">
        <v>123</v>
      </c>
    </row>
    <row r="22" spans="1:6">
      <c r="A22" s="7">
        <v>109</v>
      </c>
      <c r="B22" s="7" t="s">
        <v>117</v>
      </c>
      <c r="C22" s="7" t="str">
        <f t="shared" si="1"/>
        <v>ui_zhengzhan_shamo</v>
      </c>
      <c r="D22" s="7" t="str">
        <f>VLOOKUP(IF(A22&lt;100,A22,A22-100),地图位置!A:T,IF(A22&lt;100,18,19),FALSE)</f>
        <v>[[-50,260],[280,450],[450,132],[673,171]]</v>
      </c>
      <c r="E22" s="7" t="str">
        <f>IFERROR(VLOOKUP(A22,地图位置!A:T,20,FALSE),"[]")</f>
        <v>[]</v>
      </c>
      <c r="F22" s="7" t="s">
        <v>124</v>
      </c>
    </row>
    <row r="23" spans="1:6">
      <c r="A23" s="7">
        <v>110</v>
      </c>
      <c r="B23" s="7" t="s">
        <v>118</v>
      </c>
      <c r="C23" s="7" t="str">
        <f t="shared" si="1"/>
        <v>ui_zhengzhan_tiangong</v>
      </c>
      <c r="D23" s="7" t="str">
        <f>VLOOKUP(IF(A23&lt;100,A23,A23-100),地图位置!A:T,IF(A23&lt;100,18,19),FALSE)</f>
        <v>[[94,342],[87,86],[465,260],[550,409]]</v>
      </c>
      <c r="E23" s="7" t="str">
        <f>IFERROR(VLOOKUP(A23,地图位置!A:T,20,FALSE),"[]")</f>
        <v>[]</v>
      </c>
      <c r="F23" s="7" t="s">
        <v>125</v>
      </c>
    </row>
    <row r="24" spans="1:6">
      <c r="A24" s="1">
        <v>11</v>
      </c>
      <c r="B24" s="1" t="s">
        <v>197</v>
      </c>
      <c r="C24" s="7" t="s">
        <v>202</v>
      </c>
      <c r="D24" s="7" t="s">
        <v>198</v>
      </c>
      <c r="E24" s="7" t="s">
        <v>199</v>
      </c>
    </row>
    <row r="25" spans="1:6">
      <c r="A25" s="1">
        <v>12</v>
      </c>
      <c r="B25" s="7" t="s">
        <v>2</v>
      </c>
      <c r="C25" s="7" t="str">
        <f t="shared" ref="C25:C26" si="2">"ui_"&amp;B25</f>
        <v>ui_zhengzhan_caodi</v>
      </c>
      <c r="D25" s="1" t="s">
        <v>203</v>
      </c>
      <c r="E25" s="1" t="s">
        <v>204</v>
      </c>
    </row>
    <row r="26" spans="1:6">
      <c r="A26" s="1">
        <v>13</v>
      </c>
      <c r="B26" s="7" t="s">
        <v>116</v>
      </c>
      <c r="C26" s="7" t="str">
        <f t="shared" si="2"/>
        <v>ui_zhengzhan_chengzhen</v>
      </c>
      <c r="D26" s="1" t="s">
        <v>200</v>
      </c>
      <c r="E26" s="1" t="s">
        <v>201</v>
      </c>
    </row>
  </sheetData>
  <phoneticPr fontId="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D26"/>
  <sheetViews>
    <sheetView workbookViewId="0">
      <selection activeCell="L6" sqref="L6"/>
    </sheetView>
  </sheetViews>
  <sheetFormatPr defaultRowHeight="16.5"/>
  <cols>
    <col min="1" max="1" width="9" style="10"/>
    <col min="2" max="2" width="20.875" style="10" bestFit="1" customWidth="1"/>
    <col min="3" max="3" width="9.75" style="10" bestFit="1" customWidth="1"/>
    <col min="4" max="4" width="9.25" style="10" customWidth="1"/>
    <col min="5" max="7" width="9.75" style="10" bestFit="1" customWidth="1"/>
    <col min="8" max="13" width="9" style="10"/>
    <col min="14" max="14" width="9.625" style="10" bestFit="1" customWidth="1"/>
    <col min="15" max="17" width="9" style="10"/>
    <col min="18" max="18" width="101.375" style="10" bestFit="1" customWidth="1"/>
    <col min="19" max="19" width="42.375" style="10" bestFit="1" customWidth="1"/>
    <col min="20" max="20" width="28.5" style="10" bestFit="1" customWidth="1"/>
    <col min="21" max="21" width="11.125" style="10" bestFit="1" customWidth="1"/>
    <col min="22" max="23" width="11.625" style="10" bestFit="1" customWidth="1"/>
    <col min="24" max="30" width="10.75" style="10" bestFit="1" customWidth="1"/>
    <col min="31" max="16384" width="9" style="10"/>
  </cols>
  <sheetData>
    <row r="1" spans="1:30">
      <c r="A1" s="14" t="s">
        <v>94</v>
      </c>
      <c r="B1" s="2" t="s">
        <v>14</v>
      </c>
      <c r="C1" s="2" t="s">
        <v>15</v>
      </c>
      <c r="D1" s="2" t="s">
        <v>90</v>
      </c>
      <c r="E1" s="2" t="s">
        <v>16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24</v>
      </c>
      <c r="N1" s="2" t="s">
        <v>25</v>
      </c>
      <c r="O1" s="2" t="s">
        <v>26</v>
      </c>
      <c r="P1" s="2" t="s">
        <v>27</v>
      </c>
      <c r="Q1" s="2" t="s">
        <v>28</v>
      </c>
      <c r="R1" s="3" t="s">
        <v>88</v>
      </c>
      <c r="S1" s="3" t="s">
        <v>89</v>
      </c>
      <c r="T1" s="8" t="s">
        <v>84</v>
      </c>
    </row>
    <row r="2" spans="1:30">
      <c r="A2" s="14">
        <v>1</v>
      </c>
      <c r="B2" s="2" t="s">
        <v>29</v>
      </c>
      <c r="C2" s="2" t="s">
        <v>85</v>
      </c>
      <c r="D2" s="2" t="s">
        <v>91</v>
      </c>
      <c r="E2" s="2" t="s">
        <v>31</v>
      </c>
      <c r="F2" s="2" t="s">
        <v>32</v>
      </c>
      <c r="G2" s="2" t="s">
        <v>95</v>
      </c>
      <c r="H2" s="2" t="s">
        <v>96</v>
      </c>
      <c r="I2" s="2"/>
      <c r="J2" s="2"/>
      <c r="K2" s="2"/>
      <c r="L2" s="2"/>
      <c r="M2" s="2"/>
      <c r="N2" s="2"/>
      <c r="O2" s="2" t="s">
        <v>97</v>
      </c>
      <c r="P2" s="2" t="s">
        <v>98</v>
      </c>
      <c r="Q2" s="2" t="s">
        <v>99</v>
      </c>
      <c r="R2" s="3" t="str">
        <f>"["&amp;U2&amp;","&amp;V2&amp;","&amp;W2&amp;X2&amp;Y2&amp;Z2&amp;AA2&amp;AB2&amp;AC2&amp;AD2&amp;"]"</f>
        <v>[[-136,303],[139,178],[584,232],[160,429]]</v>
      </c>
      <c r="S2" s="3" t="str">
        <f>"["&amp;V2&amp;X2&amp;Z2&amp;"]"</f>
        <v>[[139,178],[160,429]]</v>
      </c>
      <c r="T2" s="10" t="str">
        <f>"[["&amp;O2&amp;"],["&amp;P2&amp;"],["&amp;Q2&amp;"]]"</f>
        <v>[[218,127],[664,188],[49,412]]</v>
      </c>
      <c r="U2" s="10" t="str">
        <f>IF(E2="","","["&amp;E2&amp;"]")</f>
        <v>[-136,303]</v>
      </c>
      <c r="V2" s="11" t="str">
        <f t="shared" ref="V2:W8" si="0">IF(F2="","","["&amp;F2&amp;"]")</f>
        <v>[139,178]</v>
      </c>
      <c r="W2" s="10" t="str">
        <f t="shared" si="0"/>
        <v>[584,232]</v>
      </c>
      <c r="X2" s="10" t="str">
        <f>IF(H2="","",",["&amp;H2&amp;"]")</f>
        <v>,[160,429]</v>
      </c>
      <c r="Y2" s="10" t="str">
        <f t="shared" ref="Y2:AD2" si="1">IF(I2="","",",["&amp;I2&amp;"]")</f>
        <v/>
      </c>
      <c r="Z2" s="10" t="str">
        <f t="shared" si="1"/>
        <v/>
      </c>
      <c r="AA2" s="10" t="str">
        <f t="shared" si="1"/>
        <v/>
      </c>
      <c r="AB2" s="10" t="str">
        <f t="shared" si="1"/>
        <v/>
      </c>
      <c r="AC2" s="10" t="str">
        <f t="shared" si="1"/>
        <v/>
      </c>
      <c r="AD2" s="10" t="str">
        <f t="shared" si="1"/>
        <v/>
      </c>
    </row>
    <row r="3" spans="1:30">
      <c r="A3" s="14">
        <v>2</v>
      </c>
      <c r="B3" s="2" t="s">
        <v>35</v>
      </c>
      <c r="C3" s="2" t="s">
        <v>86</v>
      </c>
      <c r="D3" s="2" t="s">
        <v>92</v>
      </c>
      <c r="E3" s="2" t="s">
        <v>150</v>
      </c>
      <c r="F3" s="2" t="s">
        <v>156</v>
      </c>
      <c r="G3" s="2" t="s">
        <v>153</v>
      </c>
      <c r="H3" s="2" t="s">
        <v>152</v>
      </c>
      <c r="I3" s="2" t="s">
        <v>151</v>
      </c>
      <c r="J3" s="2"/>
      <c r="K3" s="2"/>
      <c r="L3" s="2"/>
      <c r="M3" s="2"/>
      <c r="N3" s="2"/>
      <c r="O3" s="2" t="s">
        <v>155</v>
      </c>
      <c r="P3" s="2" t="s">
        <v>154</v>
      </c>
      <c r="Q3" s="2" t="s">
        <v>115</v>
      </c>
      <c r="R3" s="3" t="str">
        <f t="shared" ref="R3:R8" si="2">"["&amp;U3&amp;","&amp;V3&amp;","&amp;W3&amp;X3&amp;Y3&amp;Z3&amp;AA3&amp;AB3&amp;AC3&amp;AD3&amp;"]"</f>
        <v>[[-161,375],[220,466],[50,150],[400,260],[600,380]]</v>
      </c>
      <c r="S3" s="3" t="str">
        <f>"["&amp;W3&amp;Y3&amp;AB3&amp;"]"</f>
        <v>[[50,150],[600,380]]</v>
      </c>
      <c r="T3" s="10" t="str">
        <f t="shared" ref="T3:T8" si="3">"[["&amp;O3&amp;"],["&amp;P3&amp;"],["&amp;Q3&amp;"]]"</f>
        <v>[[-20,400],[200,56],[711,314]]</v>
      </c>
      <c r="U3" s="10" t="str">
        <f t="shared" ref="U3:U8" si="4">IF(E3="","","["&amp;E3&amp;"]")</f>
        <v>[-161,375]</v>
      </c>
      <c r="V3" s="10" t="str">
        <f t="shared" si="0"/>
        <v>[220,466]</v>
      </c>
      <c r="W3" s="11" t="str">
        <f t="shared" si="0"/>
        <v>[50,150]</v>
      </c>
      <c r="X3" s="10" t="str">
        <f>IF(H3="","",",["&amp;H3&amp;"]")</f>
        <v>,[400,260]</v>
      </c>
      <c r="Y3" s="11" t="str">
        <f>IF(I3="","",",["&amp;I3&amp;"]")</f>
        <v>,[600,380]</v>
      </c>
      <c r="Z3" s="10" t="str">
        <f t="shared" ref="Z3:Z8" si="5">IF(J3="","",",["&amp;J3&amp;"]")</f>
        <v/>
      </c>
      <c r="AA3" s="10" t="str">
        <f t="shared" ref="AA3:AA8" si="6">IF(K3="","",",["&amp;K3&amp;"]")</f>
        <v/>
      </c>
      <c r="AB3" s="11" t="str">
        <f t="shared" ref="AB3:AB8" si="7">IF(L3="","",",["&amp;L3&amp;"]")</f>
        <v/>
      </c>
      <c r="AC3" s="10" t="str">
        <f t="shared" ref="AC3:AC8" si="8">IF(M3="","",",["&amp;M3&amp;"]")</f>
        <v/>
      </c>
      <c r="AD3" s="10" t="str">
        <f t="shared" ref="AD3:AD8" si="9">IF(N3="","",",["&amp;N3&amp;"]")</f>
        <v/>
      </c>
    </row>
    <row r="4" spans="1:30">
      <c r="A4" s="14">
        <v>3</v>
      </c>
      <c r="B4" s="2" t="s">
        <v>46</v>
      </c>
      <c r="C4" s="2" t="s">
        <v>87</v>
      </c>
      <c r="D4" s="2" t="s">
        <v>92</v>
      </c>
      <c r="E4" s="2" t="s">
        <v>48</v>
      </c>
      <c r="F4" s="2" t="s">
        <v>107</v>
      </c>
      <c r="G4" s="2" t="s">
        <v>108</v>
      </c>
      <c r="H4" s="2" t="s">
        <v>109</v>
      </c>
      <c r="I4" s="2" t="s">
        <v>110</v>
      </c>
      <c r="J4" s="2" t="s">
        <v>111</v>
      </c>
      <c r="K4" s="2" t="s">
        <v>112</v>
      </c>
      <c r="L4" s="2" t="s">
        <v>113</v>
      </c>
      <c r="M4" s="2"/>
      <c r="N4" s="2"/>
      <c r="O4" s="2" t="s">
        <v>114</v>
      </c>
      <c r="P4" s="2" t="s">
        <v>58</v>
      </c>
      <c r="Q4" s="2" t="s">
        <v>59</v>
      </c>
      <c r="R4" s="3" t="str">
        <f t="shared" si="2"/>
        <v>[[-201,156],[-62,181],[-51,408],[174,236],[402,150],[651,110],[716,284],[506,433]]</v>
      </c>
      <c r="S4" s="3" t="str">
        <f>"["&amp;W4&amp;Y4&amp;AB4&amp;"]"</f>
        <v>[[-51,408],[402,150],[506,433]]</v>
      </c>
      <c r="T4" s="10" t="str">
        <f t="shared" si="3"/>
        <v>[[34,357],[489,92],[351,371]]</v>
      </c>
      <c r="U4" s="10" t="str">
        <f t="shared" si="4"/>
        <v>[-201,156]</v>
      </c>
      <c r="V4" s="10" t="str">
        <f t="shared" si="0"/>
        <v>[-62,181]</v>
      </c>
      <c r="W4" s="11" t="str">
        <f t="shared" si="0"/>
        <v>[-51,408]</v>
      </c>
      <c r="X4" s="10" t="str">
        <f t="shared" ref="X4:X8" si="10">IF(H4="","",",["&amp;H4&amp;"]")</f>
        <v>,[174,236]</v>
      </c>
      <c r="Y4" s="11" t="str">
        <f t="shared" ref="Y4:Y8" si="11">IF(I4="","",",["&amp;I4&amp;"]")</f>
        <v>,[402,150]</v>
      </c>
      <c r="Z4" s="10" t="str">
        <f t="shared" si="5"/>
        <v>,[651,110]</v>
      </c>
      <c r="AA4" s="10" t="str">
        <f t="shared" si="6"/>
        <v>,[716,284]</v>
      </c>
      <c r="AB4" s="11" t="str">
        <f t="shared" si="7"/>
        <v>,[506,433]</v>
      </c>
      <c r="AC4" s="10" t="str">
        <f t="shared" si="8"/>
        <v/>
      </c>
      <c r="AD4" s="10" t="str">
        <f t="shared" si="9"/>
        <v/>
      </c>
    </row>
    <row r="5" spans="1:30">
      <c r="A5" s="14">
        <v>4</v>
      </c>
      <c r="B5" s="2" t="s">
        <v>60</v>
      </c>
      <c r="C5" s="2" t="s">
        <v>61</v>
      </c>
      <c r="D5" s="2" t="s">
        <v>93</v>
      </c>
      <c r="E5" s="2" t="s">
        <v>177</v>
      </c>
      <c r="F5" s="2" t="s">
        <v>183</v>
      </c>
      <c r="G5" s="2" t="s">
        <v>184</v>
      </c>
      <c r="H5" s="2" t="s">
        <v>181</v>
      </c>
      <c r="I5" s="2" t="s">
        <v>182</v>
      </c>
      <c r="J5" s="2" t="s">
        <v>62</v>
      </c>
      <c r="K5" s="2" t="s">
        <v>180</v>
      </c>
      <c r="L5" s="2" t="s">
        <v>179</v>
      </c>
      <c r="M5" s="2" t="s">
        <v>178</v>
      </c>
      <c r="N5" s="2" t="s">
        <v>63</v>
      </c>
      <c r="O5" s="2" t="s">
        <v>185</v>
      </c>
      <c r="P5" s="2" t="s">
        <v>64</v>
      </c>
      <c r="Q5" s="2" t="s">
        <v>65</v>
      </c>
      <c r="R5" s="3" t="str">
        <f t="shared" si="2"/>
        <v>[[-144,460],[-220,337],[-130,200],[-19,130],[90,100],[203,95],[350,170],[420,280],[500,380],[662,376]]</v>
      </c>
      <c r="S5" s="3" t="str">
        <f>"["&amp;W5&amp;Z5&amp;AC5&amp;AD5&amp;"]"</f>
        <v>[[-130,200],[203,95],[500,380],[662,376]]</v>
      </c>
      <c r="T5" s="10" t="str">
        <f t="shared" si="3"/>
        <v>[[-35,220],[294,62],[744,332]]</v>
      </c>
      <c r="U5" s="10" t="str">
        <f t="shared" si="4"/>
        <v>[-144,460]</v>
      </c>
      <c r="V5" s="10" t="str">
        <f t="shared" si="0"/>
        <v>[-220,337]</v>
      </c>
      <c r="W5" s="11" t="str">
        <f t="shared" si="0"/>
        <v>[-130,200]</v>
      </c>
      <c r="X5" s="10" t="str">
        <f t="shared" si="10"/>
        <v>,[-19,130]</v>
      </c>
      <c r="Y5" s="10" t="str">
        <f t="shared" si="11"/>
        <v>,[90,100]</v>
      </c>
      <c r="Z5" s="11" t="str">
        <f t="shared" si="5"/>
        <v>,[203,95]</v>
      </c>
      <c r="AA5" s="10" t="str">
        <f t="shared" si="6"/>
        <v>,[350,170]</v>
      </c>
      <c r="AB5" s="10" t="str">
        <f t="shared" si="7"/>
        <v>,[420,280]</v>
      </c>
      <c r="AC5" s="11" t="str">
        <f t="shared" si="8"/>
        <v>,[500,380]</v>
      </c>
      <c r="AD5" s="11" t="str">
        <f t="shared" si="9"/>
        <v>,[662,376]</v>
      </c>
    </row>
    <row r="6" spans="1:30" s="11" customFormat="1">
      <c r="A6" s="15">
        <v>5</v>
      </c>
      <c r="B6" s="9" t="s">
        <v>29</v>
      </c>
      <c r="C6" s="9" t="s">
        <v>30</v>
      </c>
      <c r="D6" s="9" t="s">
        <v>93</v>
      </c>
      <c r="E6" s="9" t="s">
        <v>31</v>
      </c>
      <c r="F6" s="9" t="s">
        <v>192</v>
      </c>
      <c r="G6" s="9" t="s">
        <v>32</v>
      </c>
      <c r="H6" s="9" t="s">
        <v>195</v>
      </c>
      <c r="I6" s="9" t="s">
        <v>196</v>
      </c>
      <c r="J6" s="9" t="s">
        <v>33</v>
      </c>
      <c r="K6" s="9" t="s">
        <v>169</v>
      </c>
      <c r="L6" s="9" t="s">
        <v>168</v>
      </c>
      <c r="M6" s="9" t="s">
        <v>167</v>
      </c>
      <c r="N6" s="9" t="s">
        <v>34</v>
      </c>
      <c r="O6" s="9" t="s">
        <v>97</v>
      </c>
      <c r="P6" s="9" t="s">
        <v>103</v>
      </c>
      <c r="Q6" s="9" t="s">
        <v>104</v>
      </c>
      <c r="R6" s="12" t="str">
        <f t="shared" si="2"/>
        <v>[[-136,303],[-32,220],[139,178],[327,100],[471,170],[594,232],[555,400],[379,390],[200,425],[66,469]]</v>
      </c>
      <c r="S6" s="12" t="str">
        <f>"["&amp;W6&amp;Z6&amp;AC6&amp;AD6&amp;"]"</f>
        <v>[[139,178],[594,232],[200,425],[66,469]]</v>
      </c>
      <c r="T6" s="11" t="str">
        <f t="shared" si="3"/>
        <v>[[218,127],[664,183],[-6,426]]</v>
      </c>
      <c r="U6" s="11" t="str">
        <f t="shared" si="4"/>
        <v>[-136,303]</v>
      </c>
      <c r="V6" s="11" t="str">
        <f t="shared" si="0"/>
        <v>[-32,220]</v>
      </c>
      <c r="W6" s="11" t="str">
        <f t="shared" si="0"/>
        <v>[139,178]</v>
      </c>
      <c r="X6" s="11" t="str">
        <f t="shared" si="10"/>
        <v>,[327,100]</v>
      </c>
      <c r="Y6" s="11" t="str">
        <f t="shared" si="11"/>
        <v>,[471,170]</v>
      </c>
      <c r="Z6" s="11" t="str">
        <f t="shared" si="5"/>
        <v>,[594,232]</v>
      </c>
      <c r="AA6" s="11" t="str">
        <f t="shared" si="6"/>
        <v>,[555,400]</v>
      </c>
      <c r="AB6" s="11" t="str">
        <f t="shared" si="7"/>
        <v>,[379,390]</v>
      </c>
      <c r="AC6" s="11" t="str">
        <f t="shared" si="8"/>
        <v>,[200,425]</v>
      </c>
      <c r="AD6" s="11" t="str">
        <f t="shared" si="9"/>
        <v>,[66,469]</v>
      </c>
    </row>
    <row r="7" spans="1:30">
      <c r="A7" s="14">
        <v>6</v>
      </c>
      <c r="B7" s="2" t="s">
        <v>35</v>
      </c>
      <c r="C7" s="2" t="s">
        <v>36</v>
      </c>
      <c r="D7" s="2" t="s">
        <v>93</v>
      </c>
      <c r="E7" s="2" t="s">
        <v>37</v>
      </c>
      <c r="F7" s="2" t="s">
        <v>38</v>
      </c>
      <c r="G7" s="2" t="s">
        <v>39</v>
      </c>
      <c r="H7" s="2" t="s">
        <v>40</v>
      </c>
      <c r="I7" s="2" t="s">
        <v>41</v>
      </c>
      <c r="J7" s="2" t="s">
        <v>42</v>
      </c>
      <c r="K7" s="2" t="s">
        <v>43</v>
      </c>
      <c r="L7" s="2" t="s">
        <v>166</v>
      </c>
      <c r="M7" s="2" t="s">
        <v>44</v>
      </c>
      <c r="N7" s="2" t="s">
        <v>45</v>
      </c>
      <c r="O7" s="2" t="s">
        <v>102</v>
      </c>
      <c r="P7" s="2" t="s">
        <v>101</v>
      </c>
      <c r="Q7" s="2" t="s">
        <v>100</v>
      </c>
      <c r="R7" s="3" t="str">
        <f t="shared" si="2"/>
        <v>[[-161,366],[40,441],[220,466],[189,315],[33,181],[179,105],[347,101],[430,220],[513,350],[716,369]]</v>
      </c>
      <c r="S7" s="3" t="str">
        <f>"["&amp;W7&amp;Z7&amp;AC7&amp;AD7&amp;"]"</f>
        <v>[[220,466],[179,105],[513,350],[716,369]]</v>
      </c>
      <c r="T7" s="10" t="str">
        <f t="shared" si="3"/>
        <v>[[297,419],[262,61],[723,267]]</v>
      </c>
      <c r="U7" s="10" t="str">
        <f t="shared" si="4"/>
        <v>[-161,366]</v>
      </c>
      <c r="V7" s="10" t="str">
        <f t="shared" si="0"/>
        <v>[40,441]</v>
      </c>
      <c r="W7" s="11" t="str">
        <f t="shared" si="0"/>
        <v>[220,466]</v>
      </c>
      <c r="X7" s="10" t="str">
        <f t="shared" si="10"/>
        <v>,[189,315]</v>
      </c>
      <c r="Y7" s="10" t="str">
        <f t="shared" si="11"/>
        <v>,[33,181]</v>
      </c>
      <c r="Z7" s="11" t="str">
        <f t="shared" si="5"/>
        <v>,[179,105]</v>
      </c>
      <c r="AA7" s="10" t="str">
        <f t="shared" si="6"/>
        <v>,[347,101]</v>
      </c>
      <c r="AB7" s="10" t="str">
        <f t="shared" si="7"/>
        <v>,[430,220]</v>
      </c>
      <c r="AC7" s="11" t="str">
        <f t="shared" si="8"/>
        <v>,[513,350]</v>
      </c>
      <c r="AD7" s="11" t="str">
        <f t="shared" si="9"/>
        <v>,[716,369]</v>
      </c>
    </row>
    <row r="8" spans="1:30">
      <c r="A8" s="14">
        <v>7</v>
      </c>
      <c r="B8" s="2" t="s">
        <v>46</v>
      </c>
      <c r="C8" s="2" t="s">
        <v>47</v>
      </c>
      <c r="D8" s="2" t="s">
        <v>93</v>
      </c>
      <c r="E8" s="2" t="s">
        <v>48</v>
      </c>
      <c r="F8" s="2" t="s">
        <v>49</v>
      </c>
      <c r="G8" s="2" t="s">
        <v>50</v>
      </c>
      <c r="H8" s="2" t="s">
        <v>51</v>
      </c>
      <c r="I8" s="2" t="s">
        <v>52</v>
      </c>
      <c r="J8" s="2" t="s">
        <v>53</v>
      </c>
      <c r="K8" s="2" t="s">
        <v>173</v>
      </c>
      <c r="L8" s="2" t="s">
        <v>54</v>
      </c>
      <c r="M8" s="2" t="s">
        <v>55</v>
      </c>
      <c r="N8" s="2" t="s">
        <v>56</v>
      </c>
      <c r="O8" s="2" t="s">
        <v>57</v>
      </c>
      <c r="P8" s="2" t="s">
        <v>58</v>
      </c>
      <c r="Q8" s="2" t="s">
        <v>59</v>
      </c>
      <c r="R8" s="3" t="str">
        <f t="shared" si="2"/>
        <v>[[-201,156],[-64,112],[-105,350],[100,304],[213,196],[402,150],[610,140],[724,205],[670,372],[470,430]]</v>
      </c>
      <c r="S8" s="3" t="str">
        <f>"["&amp;W8&amp;Z8&amp;AC8&amp;AD8&amp;"]"</f>
        <v>[[-105,350],[402,150],[670,372],[470,430]]</v>
      </c>
      <c r="T8" s="10" t="str">
        <f t="shared" si="3"/>
        <v>[[-10,350],[489,92],[351,371]]</v>
      </c>
      <c r="U8" s="10" t="str">
        <f t="shared" si="4"/>
        <v>[-201,156]</v>
      </c>
      <c r="V8" s="10" t="str">
        <f t="shared" si="0"/>
        <v>[-64,112]</v>
      </c>
      <c r="W8" s="11" t="str">
        <f t="shared" si="0"/>
        <v>[-105,350]</v>
      </c>
      <c r="X8" s="10" t="str">
        <f t="shared" si="10"/>
        <v>,[100,304]</v>
      </c>
      <c r="Y8" s="10" t="str">
        <f t="shared" si="11"/>
        <v>,[213,196]</v>
      </c>
      <c r="Z8" s="11" t="str">
        <f t="shared" si="5"/>
        <v>,[402,150]</v>
      </c>
      <c r="AA8" s="10" t="str">
        <f t="shared" si="6"/>
        <v>,[610,140]</v>
      </c>
      <c r="AB8" s="10" t="str">
        <f t="shared" si="7"/>
        <v>,[724,205]</v>
      </c>
      <c r="AC8" s="11" t="str">
        <f t="shared" si="8"/>
        <v>,[670,372]</v>
      </c>
      <c r="AD8" s="11" t="str">
        <f t="shared" si="9"/>
        <v>,[470,430]</v>
      </c>
    </row>
    <row r="9" spans="1:30">
      <c r="A9" s="14">
        <v>8</v>
      </c>
      <c r="B9" s="14" t="s">
        <v>116</v>
      </c>
      <c r="C9" s="14" t="s">
        <v>126</v>
      </c>
      <c r="D9" s="14" t="s">
        <v>119</v>
      </c>
      <c r="E9" s="14" t="s">
        <v>170</v>
      </c>
      <c r="F9" s="14" t="s">
        <v>171</v>
      </c>
      <c r="G9" s="14" t="s">
        <v>172</v>
      </c>
      <c r="H9" s="14" t="s">
        <v>129</v>
      </c>
      <c r="I9" s="14" t="s">
        <v>130</v>
      </c>
      <c r="J9" s="14" t="s">
        <v>131</v>
      </c>
      <c r="K9" s="14" t="s">
        <v>176</v>
      </c>
      <c r="L9" s="14" t="s">
        <v>175</v>
      </c>
      <c r="M9" s="14" t="s">
        <v>174</v>
      </c>
      <c r="N9" s="14" t="s">
        <v>132</v>
      </c>
      <c r="O9" s="14" t="s">
        <v>133</v>
      </c>
      <c r="P9" s="14" t="s">
        <v>134</v>
      </c>
      <c r="Q9" s="14" t="s">
        <v>135</v>
      </c>
      <c r="R9" s="3" t="str">
        <f t="shared" ref="R9:R11" si="12">"["&amp;U9&amp;","&amp;V9&amp;","&amp;W9&amp;X9&amp;Y9&amp;Z9&amp;AA9&amp;AB9&amp;AC9&amp;AD9&amp;"]"</f>
        <v>[[-196,450],[20,440],[-110,341],[-3,227],[108,159],[248,112],[380,120],[500,200],[580,280],[718,378]]</v>
      </c>
      <c r="S9" s="3" t="str">
        <f t="shared" ref="S9:S11" si="13">"["&amp;W9&amp;Z9&amp;AC9&amp;AD9&amp;"]"</f>
        <v>[[-110,341],[248,112],[580,280],[718,378]]</v>
      </c>
      <c r="T9" s="10" t="str">
        <f t="shared" ref="T9:T11" si="14">"[["&amp;O9&amp;"],["&amp;P9&amp;"],["&amp;Q9&amp;"]]"</f>
        <v>[[-109,231],[309,32],[801,360]]</v>
      </c>
      <c r="U9" s="10" t="str">
        <f t="shared" ref="U9:U11" si="15">IF(E9="","","["&amp;E9&amp;"]")</f>
        <v>[-196,450]</v>
      </c>
      <c r="V9" s="10" t="str">
        <f t="shared" ref="V9:V11" si="16">IF(F9="","","["&amp;F9&amp;"]")</f>
        <v>[20,440]</v>
      </c>
      <c r="W9" s="11" t="str">
        <f t="shared" ref="W9:W11" si="17">IF(G9="","","["&amp;G9&amp;"]")</f>
        <v>[-110,341]</v>
      </c>
      <c r="X9" s="10" t="str">
        <f t="shared" ref="X9:X11" si="18">IF(H9="","",",["&amp;H9&amp;"]")</f>
        <v>,[-3,227]</v>
      </c>
      <c r="Y9" s="10" t="str">
        <f t="shared" ref="Y9:Y11" si="19">IF(I9="","",",["&amp;I9&amp;"]")</f>
        <v>,[108,159]</v>
      </c>
      <c r="Z9" s="11" t="str">
        <f t="shared" ref="Z9:Z11" si="20">IF(J9="","",",["&amp;J9&amp;"]")</f>
        <v>,[248,112]</v>
      </c>
      <c r="AA9" s="10" t="str">
        <f t="shared" ref="AA9:AA11" si="21">IF(K9="","",",["&amp;K9&amp;"]")</f>
        <v>,[380,120]</v>
      </c>
      <c r="AB9" s="10" t="str">
        <f t="shared" ref="AB9:AB11" si="22">IF(L9="","",",["&amp;L9&amp;"]")</f>
        <v>,[500,200]</v>
      </c>
      <c r="AC9" s="11" t="str">
        <f t="shared" ref="AC9:AC11" si="23">IF(M9="","",",["&amp;M9&amp;"]")</f>
        <v>,[580,280]</v>
      </c>
      <c r="AD9" s="11" t="str">
        <f t="shared" ref="AD9:AD11" si="24">IF(N9="","",",["&amp;N9&amp;"]")</f>
        <v>,[718,378]</v>
      </c>
    </row>
    <row r="10" spans="1:30">
      <c r="A10" s="14">
        <v>9</v>
      </c>
      <c r="B10" s="14" t="s">
        <v>117</v>
      </c>
      <c r="C10" s="14" t="s">
        <v>127</v>
      </c>
      <c r="D10" s="14" t="s">
        <v>119</v>
      </c>
      <c r="E10" s="14" t="s">
        <v>136</v>
      </c>
      <c r="F10" s="14" t="s">
        <v>161</v>
      </c>
      <c r="G10" s="14" t="s">
        <v>162</v>
      </c>
      <c r="H10" s="14" t="s">
        <v>158</v>
      </c>
      <c r="I10" s="14" t="s">
        <v>165</v>
      </c>
      <c r="J10" s="14" t="s">
        <v>163</v>
      </c>
      <c r="K10" s="14" t="s">
        <v>159</v>
      </c>
      <c r="L10" s="14" t="s">
        <v>157</v>
      </c>
      <c r="M10" s="14" t="s">
        <v>160</v>
      </c>
      <c r="N10" s="14" t="s">
        <v>137</v>
      </c>
      <c r="O10" s="14" t="s">
        <v>138</v>
      </c>
      <c r="P10" s="14" t="s">
        <v>164</v>
      </c>
      <c r="Q10" s="14" t="s">
        <v>139</v>
      </c>
      <c r="R10" s="3" t="str">
        <f t="shared" si="12"/>
        <v>[[-142,440],[-171,280],[-50,260],[90,320],[160,430],[280,450],[450,366],[530,280],[450,132],[673,171]]</v>
      </c>
      <c r="S10" s="3" t="str">
        <f t="shared" si="13"/>
        <v>[[-50,260],[280,450],[450,132],[673,171]]</v>
      </c>
      <c r="T10" s="10" t="str">
        <f t="shared" si="14"/>
        <v>[[43,212],[380,420],[756,134]]</v>
      </c>
      <c r="U10" s="10" t="str">
        <f t="shared" si="15"/>
        <v>[-142,440]</v>
      </c>
      <c r="V10" s="10" t="str">
        <f t="shared" si="16"/>
        <v>[-171,280]</v>
      </c>
      <c r="W10" s="11" t="str">
        <f t="shared" si="17"/>
        <v>[-50,260]</v>
      </c>
      <c r="X10" s="10" t="str">
        <f t="shared" si="18"/>
        <v>,[90,320]</v>
      </c>
      <c r="Y10" s="10" t="str">
        <f t="shared" si="19"/>
        <v>,[160,430]</v>
      </c>
      <c r="Z10" s="11" t="str">
        <f t="shared" si="20"/>
        <v>,[280,450]</v>
      </c>
      <c r="AA10" s="10" t="str">
        <f t="shared" si="21"/>
        <v>,[450,366]</v>
      </c>
      <c r="AB10" s="10" t="str">
        <f t="shared" si="22"/>
        <v>,[530,280]</v>
      </c>
      <c r="AC10" s="11" t="str">
        <f t="shared" si="23"/>
        <v>,[450,132]</v>
      </c>
      <c r="AD10" s="11" t="str">
        <f t="shared" si="24"/>
        <v>,[673,171]</v>
      </c>
    </row>
    <row r="11" spans="1:30">
      <c r="A11" s="14">
        <v>10</v>
      </c>
      <c r="B11" s="14" t="s">
        <v>118</v>
      </c>
      <c r="C11" s="14" t="s">
        <v>128</v>
      </c>
      <c r="D11" s="14" t="s">
        <v>119</v>
      </c>
      <c r="E11" s="14" t="s">
        <v>143</v>
      </c>
      <c r="F11" s="14" t="s">
        <v>155</v>
      </c>
      <c r="G11" s="14" t="s">
        <v>144</v>
      </c>
      <c r="H11" s="14" t="s">
        <v>193</v>
      </c>
      <c r="I11" s="14" t="s">
        <v>194</v>
      </c>
      <c r="J11" s="14" t="s">
        <v>147</v>
      </c>
      <c r="K11" s="14" t="s">
        <v>187</v>
      </c>
      <c r="L11" s="14" t="s">
        <v>186</v>
      </c>
      <c r="M11" s="14" t="s">
        <v>188</v>
      </c>
      <c r="N11" s="14" t="s">
        <v>145</v>
      </c>
      <c r="O11" s="14" t="s">
        <v>148</v>
      </c>
      <c r="P11" s="14" t="s">
        <v>149</v>
      </c>
      <c r="Q11" s="14" t="s">
        <v>146</v>
      </c>
      <c r="R11" s="3" t="str">
        <f t="shared" si="12"/>
        <v>[[-116,458],[-20,400],[94,342],[-71,230],[-33,120],[87,86],[260,130],[370,190],[465,260],[550,409]]</v>
      </c>
      <c r="S11" s="3" t="str">
        <f t="shared" si="13"/>
        <v>[[94,342],[87,86],[465,260],[550,409]]</v>
      </c>
      <c r="T11" s="10" t="str">
        <f t="shared" si="14"/>
        <v>[[35,242],[184,37],[634,406]]</v>
      </c>
      <c r="U11" s="10" t="str">
        <f t="shared" si="15"/>
        <v>[-116,458]</v>
      </c>
      <c r="V11" s="10" t="str">
        <f t="shared" si="16"/>
        <v>[-20,400]</v>
      </c>
      <c r="W11" s="11" t="str">
        <f t="shared" si="17"/>
        <v>[94,342]</v>
      </c>
      <c r="X11" s="10" t="str">
        <f t="shared" si="18"/>
        <v>,[-71,230]</v>
      </c>
      <c r="Y11" s="10" t="str">
        <f t="shared" si="19"/>
        <v>,[-33,120]</v>
      </c>
      <c r="Z11" s="11" t="str">
        <f t="shared" si="20"/>
        <v>,[87,86]</v>
      </c>
      <c r="AA11" s="10" t="str">
        <f t="shared" si="21"/>
        <v>,[260,130]</v>
      </c>
      <c r="AB11" s="10" t="str">
        <f t="shared" si="22"/>
        <v>,[370,190]</v>
      </c>
      <c r="AC11" s="11" t="str">
        <f t="shared" si="23"/>
        <v>,[465,260]</v>
      </c>
      <c r="AD11" s="11" t="str">
        <f t="shared" si="24"/>
        <v>,[550,409]</v>
      </c>
    </row>
    <row r="15" spans="1:30">
      <c r="C15" s="10" t="s">
        <v>142</v>
      </c>
      <c r="D15" s="10" t="s">
        <v>141</v>
      </c>
      <c r="E15" s="10" t="s">
        <v>140</v>
      </c>
      <c r="I15" s="2" t="s">
        <v>105</v>
      </c>
      <c r="J15" s="2" t="s">
        <v>106</v>
      </c>
    </row>
    <row r="17" spans="7:11">
      <c r="G17" s="13"/>
      <c r="I17" s="13"/>
      <c r="J17" s="13"/>
      <c r="K17" s="13"/>
    </row>
    <row r="18" spans="7:11">
      <c r="I18" s="13"/>
      <c r="J18" s="13"/>
      <c r="K18" s="13"/>
    </row>
    <row r="19" spans="7:11">
      <c r="I19" s="13"/>
      <c r="J19" s="13"/>
      <c r="K19" s="13"/>
    </row>
    <row r="20" spans="7:11">
      <c r="I20" s="13"/>
      <c r="J20" s="13"/>
      <c r="K20" s="13"/>
    </row>
    <row r="21" spans="7:11">
      <c r="I21" s="13"/>
      <c r="J21" s="13"/>
      <c r="K21" s="13"/>
    </row>
    <row r="22" spans="7:11">
      <c r="I22" s="13"/>
      <c r="J22" s="13"/>
      <c r="K22" s="13"/>
    </row>
    <row r="23" spans="7:11">
      <c r="I23" s="13"/>
      <c r="J23" s="13"/>
      <c r="K23" s="13"/>
    </row>
    <row r="24" spans="7:11">
      <c r="I24" s="13"/>
      <c r="J24" s="13"/>
      <c r="K24" s="13"/>
    </row>
    <row r="25" spans="7:11">
      <c r="I25" s="13"/>
      <c r="J25" s="13"/>
      <c r="K25" s="13"/>
    </row>
    <row r="26" spans="7:11">
      <c r="I26" s="13"/>
      <c r="J26" s="13"/>
      <c r="K26" s="13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地图位置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rrg</dc:creator>
  <cp:lastModifiedBy>Administrator</cp:lastModifiedBy>
  <dcterms:created xsi:type="dcterms:W3CDTF">2006-09-16T00:00:00Z</dcterms:created>
  <dcterms:modified xsi:type="dcterms:W3CDTF">2018-03-13T21:40:10Z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