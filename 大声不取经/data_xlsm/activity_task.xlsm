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240" yWindow="315" windowWidth="14805" windowHeight="7800"/>
  </bookViews>
  <sheets>
    <sheet name="Sheet1" sheetId="6" r:id="rId1"/>
  </sheets>
  <functionGroups/>
  <definedNames>
    <definedName name="_xlnm._FilterDatabase" localSheetId="0" hidden="1">Sheet1!$A$3:$H$3</definedName>
  </definedNames>
  <calcPr calcId="124519"/>
</workbook>
</file>

<file path=xl/calcChain.xml><?xml version="1.0" encoding="utf-8"?>
<calcChain xmlns="http://schemas.openxmlformats.org/spreadsheetml/2006/main">
  <c r="G5" i="6"/>
  <c r="G6"/>
  <c r="G7"/>
  <c r="G8"/>
  <c r="G9"/>
  <c r="G10"/>
  <c r="G11"/>
  <c r="G12"/>
  <c r="G13"/>
  <c r="G4" l="1"/>
  <c r="A4" l="1"/>
  <c r="H4"/>
  <c r="H5" l="1"/>
  <c r="A5"/>
  <c r="H6" l="1"/>
  <c r="A6"/>
  <c r="H7" l="1"/>
  <c r="A7"/>
  <c r="H8" l="1"/>
  <c r="A8"/>
  <c r="H9" l="1"/>
  <c r="A9"/>
  <c r="H10" l="1"/>
  <c r="A10"/>
  <c r="H11" l="1"/>
  <c r="A11"/>
  <c r="H12" l="1"/>
  <c r="A12"/>
  <c r="H13" l="1"/>
  <c r="A13"/>
</calcChain>
</file>

<file path=xl/sharedStrings.xml><?xml version="1.0" encoding="utf-8"?>
<sst xmlns="http://schemas.openxmlformats.org/spreadsheetml/2006/main" count="38" uniqueCount="36">
  <si>
    <t>reward_id</t>
    <phoneticPr fontId="3" type="noConversion"/>
  </si>
  <si>
    <t>name</t>
  </si>
  <si>
    <t>parameter</t>
  </si>
  <si>
    <t>任务名称
[字符串]</t>
    <phoneticPr fontId="3" type="noConversion"/>
  </si>
  <si>
    <t>s</t>
    <phoneticPr fontId="3" type="noConversion"/>
  </si>
  <si>
    <t>任务完成奖励[字符串数组]调用game_reward里面的id
task_type=5，即活动任务只能填一个奖励</t>
    <phoneticPr fontId="3" type="noConversion"/>
  </si>
  <si>
    <r>
      <t>o</t>
    </r>
    <r>
      <rPr>
        <sz val="10"/>
        <color theme="1"/>
        <rFont val="微软雅黑"/>
        <family val="2"/>
        <charset val="134"/>
      </rPr>
      <t>rder</t>
    </r>
    <phoneticPr fontId="3" type="noConversion"/>
  </si>
  <si>
    <t>i</t>
    <phoneticPr fontId="3" type="noConversion"/>
  </si>
  <si>
    <t>前往的系统
[]-没有”前往“
填game_module的id</t>
    <phoneticPr fontId="3" type="noConversion"/>
  </si>
  <si>
    <t>module_id</t>
    <phoneticPr fontId="3" type="noConversion"/>
  </si>
  <si>
    <t>排序
数值越小越靠上</t>
    <phoneticPr fontId="3" type="noConversion"/>
  </si>
  <si>
    <t>a</t>
    <phoneticPr fontId="3" type="noConversion"/>
  </si>
  <si>
    <t>任务参数
1主线关卡|关卡ID或“&amp;”（任意关卡）|累计次数
2精英关卡|关卡ID或“&amp;”（任意关卡）|累计次数
3幻境关卡|关卡ID或“&amp;”（任意关卡）|累计次数
4竞技场挑战|累计完成次数
6完成法宝强化|累计强化次数
7完成法宝合成|累计合成次数
8完成装备强化|累计强化次数
9完成装备精炼|累计精炼次数
10普通抽奖|累计抽奖次数
11钻石抽奖|累计抽奖次数
12超级抽奖|累计完成次数
13购买道具|商品ID|累计购买次数
14主角等级|目标等级
15主线关卡总星数|目标星数
16精英关卡总星数|目标星数
17幻境关卡总星数|目标星数
18战斗力|目标战斗力数值
19vip等级|目标等级
20法宝抢夺|累计抢夺次数
21升级技能|累计升级次数
22累积登陆|累计登陆天数
23灵台斗法最高排名|目标名次
24上阵伙伴达到等级|伙伴数量|目标等级
25累计充值|目标充值数量
26大雁塔挑战次数|累计次数
27大雁塔最高层数|目标层数
28-完成法宝强化|累计强化消耗道具数量
29-单笔充值（29|单笔充值数目）
30-单次消耗资源（30|资源id|单次消耗数目）
31-累计消耗资源（31|资源id|累计消耗数目）
32-是否购买开服基金（32|0）
33-累计获得道具数量（33|道具id|数量）
34-距离开服天数领奖（34|距离开服天数）
35-是否购买月卡（35|0）
36-噩梦入侵开启至今累计伤害(36|至今累计伤害值)
37-噩梦入侵开启至今累计击杀怪物数量(37|至今累计击杀怪物数量)
38-装备强化最高达到等级|装备强化的最高等级
39-装备精炼最高达到等级|装备精炼的最高等级
40-法宝强化最高达到等级|法宝强化的最高等级
41-法宝精炼最高达到等级|法宝精炼的最高等级
42-通关夜探无底洞|无底洞关卡ID（42|关卡id）
43-夜探无底洞挑战次数|累计挑战次数（43|累计挑战次数）
44-斩妖夺宝挑战次数|累计挑战次数（44|累计挑战次数）
45-累计挑战梦魇次数-挑战次数（45|累计挑战梦魇次数）
46-所有上阵武将的洗炼突破等级达到（46|达到的洗炼突破等级）
47-所有上阵武将的神兵强化等级达到（47|神兵强化等级）
48-所有上阵武将的神兵精炼等级达到（48|神兵精炼等级）
49-伙伴商铺累计刷新次数（49|伙伴商铺累计刷新次数）
50-累计击杀斩妖夺宝怪物数量-胜利次数（50|累计击杀怪物数）
51-神兵强化最高达到等级（51|神兵强化的最高等级）
52-神兵精炼最高达到等级（52|装备精炼的最高等级)
53-伙伴洗炼最高突破等级（53|伙伴洗炼最高突破等级)
54-伙伴的最高等级（54|伙伴洗炼最高突破等级)
55-伙伴的最高进阶等级（55|伙伴洗炼最高突破等级)
56-累计洗炼武将次数（56|累计洗炼武将次数）
57-累计武将升级次数（57|累计武将升级次数）</t>
  </si>
  <si>
    <t>任务ID  [字符串]</t>
    <phoneticPr fontId="3" type="noConversion"/>
  </si>
  <si>
    <t>id</t>
    <phoneticPr fontId="3" type="noConversion"/>
  </si>
  <si>
    <t>s</t>
    <phoneticPr fontId="3" type="noConversion"/>
  </si>
  <si>
    <t>11,10</t>
    <phoneticPr fontId="3" type="noConversion"/>
  </si>
  <si>
    <t>11,20</t>
    <phoneticPr fontId="3" type="noConversion"/>
  </si>
  <si>
    <t>11,30</t>
  </si>
  <si>
    <t>11,40</t>
  </si>
  <si>
    <t>11,50</t>
  </si>
  <si>
    <t>11,60</t>
  </si>
  <si>
    <t>11,70</t>
  </si>
  <si>
    <t>11,80</t>
  </si>
  <si>
    <t>11,90</t>
  </si>
  <si>
    <t>11,100</t>
  </si>
  <si>
    <t>高级聚仙 [00821c]10[-] 次</t>
  </si>
  <si>
    <t>高级聚仙 [00821c]20[-] 次</t>
  </si>
  <si>
    <t>高级聚仙 [00821c]30[-] 次</t>
  </si>
  <si>
    <t>高级聚仙 [00821c]40[-] 次</t>
  </si>
  <si>
    <t>高级聚仙 [00821c]50[-] 次</t>
  </si>
  <si>
    <t>高级聚仙 [00821c]60[-] 次</t>
  </si>
  <si>
    <t>高级聚仙 [00821c]70[-] 次</t>
  </si>
  <si>
    <t>高级聚仙 [00821c]80[-] 次</t>
  </si>
  <si>
    <t>高级聚仙 [00821c]90[-] 次</t>
  </si>
  <si>
    <t>高级聚仙 [00821c]100[-] 次</t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</si>
</sst>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center" vertical="center"/>
    </xf>
    <xf numFmtId="0" fontId="0" fillId="3" borderId="0" xfId="0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3"/>
  <sheetViews>
    <sheetView tabSelected="1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D9" sqref="D9"/>
    </sheetView>
  </sheetViews>
  <sheetFormatPr defaultRowHeight="13.5"/>
  <cols>
    <col min="1" max="1" width="15.125" bestFit="1" customWidth="1"/>
    <col min="2" max="2" width="24.875" bestFit="1" customWidth="1"/>
    <col min="3" max="3" width="13.125" customWidth="1"/>
    <col min="4" max="4" width="30.75" style="9" customWidth="1"/>
    <col min="5" max="5" width="22.5" bestFit="1" customWidth="1"/>
    <col min="6" max="6" width="17.625" bestFit="1" customWidth="1"/>
    <col min="7" max="8" width="7.375" customWidth="1"/>
  </cols>
  <sheetData>
    <row r="1" spans="1:8" ht="94.5" customHeight="1">
      <c r="A1" s="5" t="s">
        <v>13</v>
      </c>
      <c r="B1" s="2" t="s">
        <v>3</v>
      </c>
      <c r="C1" s="5" t="s">
        <v>10</v>
      </c>
      <c r="D1" s="11" t="s">
        <v>12</v>
      </c>
      <c r="E1" s="5" t="s">
        <v>5</v>
      </c>
      <c r="F1" s="5" t="s">
        <v>8</v>
      </c>
    </row>
    <row r="2" spans="1:8" ht="16.5">
      <c r="A2" s="1" t="s">
        <v>14</v>
      </c>
      <c r="B2" s="1" t="s">
        <v>1</v>
      </c>
      <c r="C2" s="6" t="s">
        <v>6</v>
      </c>
      <c r="D2" s="7" t="s">
        <v>2</v>
      </c>
      <c r="E2" s="1" t="s">
        <v>0</v>
      </c>
      <c r="F2" s="6" t="s">
        <v>9</v>
      </c>
    </row>
    <row r="3" spans="1:8" ht="16.5">
      <c r="A3" s="1" t="s">
        <v>15</v>
      </c>
      <c r="B3" s="1" t="s">
        <v>4</v>
      </c>
      <c r="C3" s="6" t="s">
        <v>7</v>
      </c>
      <c r="D3" s="10" t="s">
        <v>11</v>
      </c>
      <c r="E3" s="1" t="s">
        <v>4</v>
      </c>
      <c r="F3" s="1" t="s">
        <v>4</v>
      </c>
    </row>
    <row r="4" spans="1:8" s="4" customFormat="1" ht="16.5">
      <c r="A4" s="3">
        <f t="shared" ref="A4" si="0">IF($G4=$G3,$H3+1,$G4*10000+1)</f>
        <v>110001</v>
      </c>
      <c r="B4" s="3" t="s">
        <v>26</v>
      </c>
      <c r="C4" s="3">
        <v>1</v>
      </c>
      <c r="D4" s="8" t="s">
        <v>16</v>
      </c>
      <c r="E4" s="3">
        <v>100001</v>
      </c>
      <c r="F4" s="3">
        <v>46</v>
      </c>
      <c r="G4" s="3" t="str">
        <f>LEFT($D4,FIND(",",$D4)-1)</f>
        <v>11</v>
      </c>
      <c r="H4" s="3">
        <f>IF($G4=$G3,$H3+1,$G4*10000+1)</f>
        <v>110001</v>
      </c>
    </row>
    <row r="5" spans="1:8" s="4" customFormat="1" ht="16.5">
      <c r="A5" s="3">
        <f t="shared" ref="A5:A13" si="1">IF($G5=$G4,$H4+1,$G5*10000+1)</f>
        <v>110002</v>
      </c>
      <c r="B5" s="3" t="s">
        <v>27</v>
      </c>
      <c r="C5" s="3">
        <v>2</v>
      </c>
      <c r="D5" s="8" t="s">
        <v>17</v>
      </c>
      <c r="E5" s="3">
        <v>100002</v>
      </c>
      <c r="F5" s="3">
        <v>46</v>
      </c>
      <c r="G5" s="3" t="str">
        <f t="shared" ref="G5:G13" si="2">LEFT($D5,FIND(",",$D5)-1)</f>
        <v>11</v>
      </c>
      <c r="H5" s="3">
        <f t="shared" ref="H5:H13" si="3">IF($G5=$G4,$H4+1,$G5*10000+1)</f>
        <v>110002</v>
      </c>
    </row>
    <row r="6" spans="1:8" s="4" customFormat="1" ht="16.5">
      <c r="A6" s="3">
        <f t="shared" si="1"/>
        <v>110003</v>
      </c>
      <c r="B6" s="3" t="s">
        <v>28</v>
      </c>
      <c r="C6" s="3">
        <v>3</v>
      </c>
      <c r="D6" s="8" t="s">
        <v>18</v>
      </c>
      <c r="E6" s="3">
        <v>100003</v>
      </c>
      <c r="F6" s="3">
        <v>46</v>
      </c>
      <c r="G6" s="3" t="str">
        <f t="shared" si="2"/>
        <v>11</v>
      </c>
      <c r="H6" s="3">
        <f t="shared" si="3"/>
        <v>110003</v>
      </c>
    </row>
    <row r="7" spans="1:8" s="4" customFormat="1" ht="16.5">
      <c r="A7" s="3">
        <f t="shared" si="1"/>
        <v>110004</v>
      </c>
      <c r="B7" s="3" t="s">
        <v>29</v>
      </c>
      <c r="C7" s="3">
        <v>4</v>
      </c>
      <c r="D7" s="8" t="s">
        <v>19</v>
      </c>
      <c r="E7" s="3">
        <v>100004</v>
      </c>
      <c r="F7" s="3">
        <v>46</v>
      </c>
      <c r="G7" s="3" t="str">
        <f t="shared" si="2"/>
        <v>11</v>
      </c>
      <c r="H7" s="3">
        <f t="shared" si="3"/>
        <v>110004</v>
      </c>
    </row>
    <row r="8" spans="1:8" s="4" customFormat="1" ht="16.5">
      <c r="A8" s="3">
        <f t="shared" si="1"/>
        <v>110005</v>
      </c>
      <c r="B8" s="3" t="s">
        <v>30</v>
      </c>
      <c r="C8" s="3">
        <v>5</v>
      </c>
      <c r="D8" s="8" t="s">
        <v>20</v>
      </c>
      <c r="E8" s="3">
        <v>100005</v>
      </c>
      <c r="F8" s="3">
        <v>46</v>
      </c>
      <c r="G8" s="3" t="str">
        <f t="shared" si="2"/>
        <v>11</v>
      </c>
      <c r="H8" s="3">
        <f t="shared" si="3"/>
        <v>110005</v>
      </c>
    </row>
    <row r="9" spans="1:8" s="4" customFormat="1" ht="16.5">
      <c r="A9" s="3">
        <f t="shared" si="1"/>
        <v>110006</v>
      </c>
      <c r="B9" s="3" t="s">
        <v>31</v>
      </c>
      <c r="C9" s="3">
        <v>6</v>
      </c>
      <c r="D9" s="8" t="s">
        <v>21</v>
      </c>
      <c r="E9" s="3">
        <v>100006</v>
      </c>
      <c r="F9" s="3">
        <v>46</v>
      </c>
      <c r="G9" s="3" t="str">
        <f t="shared" si="2"/>
        <v>11</v>
      </c>
      <c r="H9" s="3">
        <f t="shared" si="3"/>
        <v>110006</v>
      </c>
    </row>
    <row r="10" spans="1:8" s="4" customFormat="1" ht="16.5">
      <c r="A10" s="3">
        <f t="shared" si="1"/>
        <v>110007</v>
      </c>
      <c r="B10" s="3" t="s">
        <v>32</v>
      </c>
      <c r="C10" s="3">
        <v>7</v>
      </c>
      <c r="D10" s="8" t="s">
        <v>22</v>
      </c>
      <c r="E10" s="3">
        <v>100007</v>
      </c>
      <c r="F10" s="3">
        <v>46</v>
      </c>
      <c r="G10" s="3" t="str">
        <f t="shared" si="2"/>
        <v>11</v>
      </c>
      <c r="H10" s="3">
        <f t="shared" si="3"/>
        <v>110007</v>
      </c>
    </row>
    <row r="11" spans="1:8" s="4" customFormat="1" ht="16.5">
      <c r="A11" s="3">
        <f t="shared" si="1"/>
        <v>110008</v>
      </c>
      <c r="B11" s="3" t="s">
        <v>33</v>
      </c>
      <c r="C11" s="3">
        <v>8</v>
      </c>
      <c r="D11" s="8" t="s">
        <v>23</v>
      </c>
      <c r="E11" s="3">
        <v>100008</v>
      </c>
      <c r="F11" s="3">
        <v>46</v>
      </c>
      <c r="G11" s="3" t="str">
        <f t="shared" si="2"/>
        <v>11</v>
      </c>
      <c r="H11" s="3">
        <f t="shared" si="3"/>
        <v>110008</v>
      </c>
    </row>
    <row r="12" spans="1:8" s="4" customFormat="1" ht="16.5">
      <c r="A12" s="3">
        <f t="shared" si="1"/>
        <v>110009</v>
      </c>
      <c r="B12" s="3" t="s">
        <v>34</v>
      </c>
      <c r="C12" s="3">
        <v>9</v>
      </c>
      <c r="D12" s="8" t="s">
        <v>24</v>
      </c>
      <c r="E12" s="3">
        <v>100009</v>
      </c>
      <c r="F12" s="3">
        <v>46</v>
      </c>
      <c r="G12" s="3" t="str">
        <f t="shared" si="2"/>
        <v>11</v>
      </c>
      <c r="H12" s="3">
        <f t="shared" si="3"/>
        <v>110009</v>
      </c>
    </row>
    <row r="13" spans="1:8" s="4" customFormat="1" ht="16.5">
      <c r="A13" s="3">
        <f t="shared" si="1"/>
        <v>110010</v>
      </c>
      <c r="B13" s="3" t="s">
        <v>35</v>
      </c>
      <c r="C13" s="3">
        <v>10</v>
      </c>
      <c r="D13" s="8" t="s">
        <v>25</v>
      </c>
      <c r="E13" s="3">
        <v>100010</v>
      </c>
      <c r="F13" s="3">
        <v>46</v>
      </c>
      <c r="G13" s="3" t="str">
        <f t="shared" si="2"/>
        <v>11</v>
      </c>
      <c r="H13" s="3">
        <f t="shared" si="3"/>
        <v>110010</v>
      </c>
    </row>
  </sheetData>
  <phoneticPr fontId="3" type="noConversion"/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微软用户</cp:lastModifiedBy>
  <dcterms:created xsi:type="dcterms:W3CDTF">2006-09-16T00:00:00Z</dcterms:created>
  <dcterms:modified xsi:type="dcterms:W3CDTF">2018-01-30T16:26:00Z</dcterms:modified>
</cp:coreProperties>
</file>