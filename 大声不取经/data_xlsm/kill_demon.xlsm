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30" windowWidth="28695" windowHeight="1362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E5" i="4" l="1"/>
  <c r="F5" i="4" s="1"/>
  <c r="E4" i="4"/>
  <c r="F4" i="4" s="1"/>
  <c r="E2" i="4"/>
  <c r="F2" i="4" s="1"/>
  <c r="E3" i="4"/>
  <c r="F3" i="4" s="1"/>
  <c r="E7" i="4"/>
  <c r="F7" i="4" s="1"/>
  <c r="E8" i="4"/>
  <c r="F8" i="4" s="1"/>
  <c r="E6" i="4"/>
  <c r="F6" i="4" s="1"/>
  <c r="E10" i="4"/>
  <c r="F10" i="4" s="1"/>
  <c r="E9" i="4"/>
  <c r="F9" i="4" s="1"/>
  <c r="E1" i="4"/>
  <c r="F1" i="4" s="1"/>
  <c r="D2" i="3" l="1"/>
  <c r="E2" i="3" s="1"/>
  <c r="C2" i="3"/>
  <c r="C3" i="3" s="1"/>
  <c r="C4" i="3" s="1"/>
  <c r="C5" i="3" s="1"/>
  <c r="C6" i="3" s="1"/>
  <c r="C7" i="3" s="1"/>
  <c r="C8" i="3" s="1"/>
  <c r="C9" i="3" s="1"/>
  <c r="C10" i="3" s="1"/>
  <c r="B2" i="3"/>
  <c r="B3" i="3" s="1"/>
  <c r="B4" i="3" s="1"/>
  <c r="E1" i="3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" i="2"/>
  <c r="D3" i="3" l="1"/>
  <c r="D4" i="3" s="1"/>
  <c r="D5" i="3" s="1"/>
  <c r="D6" i="3" s="1"/>
  <c r="D7" i="3" s="1"/>
  <c r="D8" i="3" s="1"/>
  <c r="D9" i="3" s="1"/>
  <c r="D10" i="3" s="1"/>
  <c r="B5" i="3"/>
  <c r="E3" i="3" l="1"/>
  <c r="E4" i="3"/>
  <c r="B6" i="3"/>
  <c r="E5" i="3"/>
  <c r="E6" i="3" l="1"/>
  <c r="B7" i="3"/>
  <c r="B8" i="3" l="1"/>
  <c r="E7" i="3"/>
  <c r="E8" i="3" l="1"/>
  <c r="B9" i="3"/>
  <c r="B10" i="3" l="1"/>
  <c r="E10" i="3" s="1"/>
  <c r="E9" i="3"/>
</calcChain>
</file>

<file path=xl/sharedStrings.xml><?xml version="1.0" encoding="utf-8"?>
<sst xmlns="http://schemas.openxmlformats.org/spreadsheetml/2006/main" count="85" uniqueCount="66">
  <si>
    <t>集群名称[字符串数组]</t>
  </si>
  <si>
    <t>s</t>
  </si>
  <si>
    <t>花果山</t>
  </si>
  <si>
    <t>[]</t>
  </si>
  <si>
    <t>东海龙宫</t>
  </si>
  <si>
    <t>阴曹地府</t>
  </si>
  <si>
    <t>天宫</t>
  </si>
  <si>
    <t>70301,70302,70303</t>
  </si>
  <si>
    <t>70304,70305,70306</t>
  </si>
  <si>
    <t>70307,70308,70309</t>
  </si>
  <si>
    <t>70310,70311,70312</t>
  </si>
  <si>
    <t>70313,70314,70315</t>
  </si>
  <si>
    <t>70316,70317,70318</t>
  </si>
  <si>
    <t>70319,70320,70321</t>
  </si>
  <si>
    <t>70322,70323,70324</t>
  </si>
  <si>
    <t>70325,70326,70327</t>
  </si>
  <si>
    <t>70328,70329,70330</t>
  </si>
  <si>
    <t>木材</t>
    <phoneticPr fontId="6" type="noConversion"/>
  </si>
  <si>
    <t>棉布</t>
    <phoneticPr fontId="6" type="noConversion"/>
  </si>
  <si>
    <t>陶瓷</t>
    <phoneticPr fontId="6" type="noConversion"/>
  </si>
  <si>
    <t>铁</t>
    <phoneticPr fontId="6" type="noConversion"/>
  </si>
  <si>
    <t>青铜</t>
    <phoneticPr fontId="6" type="noConversion"/>
  </si>
  <si>
    <t>珠宝</t>
    <phoneticPr fontId="6" type="noConversion"/>
  </si>
  <si>
    <t>灵芝</t>
    <phoneticPr fontId="6" type="noConversion"/>
  </si>
  <si>
    <t>当归</t>
    <phoneticPr fontId="6" type="noConversion"/>
  </si>
  <si>
    <t>香料</t>
    <phoneticPr fontId="6" type="noConversion"/>
  </si>
  <si>
    <t>玉石</t>
    <phoneticPr fontId="6" type="noConversion"/>
  </si>
  <si>
    <t>s</t>
    <phoneticPr fontId="5" type="noConversion"/>
  </si>
  <si>
    <t>[]</t>
    <phoneticPr fontId="5" type="noConversion"/>
  </si>
  <si>
    <t>id</t>
  </si>
  <si>
    <t>name</t>
  </si>
  <si>
    <t>icon</t>
  </si>
  <si>
    <t>[]</t>
    <phoneticPr fontId="5" type="noConversion"/>
  </si>
  <si>
    <t>next</t>
    <phoneticPr fontId="5" type="noConversion"/>
  </si>
  <si>
    <t>1</t>
    <phoneticPr fontId="5" type="noConversion"/>
  </si>
  <si>
    <t>2</t>
    <phoneticPr fontId="5" type="noConversion"/>
  </si>
  <si>
    <t>3</t>
    <phoneticPr fontId="5" type="noConversion"/>
  </si>
  <si>
    <t>4</t>
    <phoneticPr fontId="5" type="noConversion"/>
  </si>
  <si>
    <t>关卡id</t>
    <phoneticPr fontId="5" type="noConversion"/>
  </si>
  <si>
    <t>0|50,1|50</t>
    <phoneticPr fontId="5" type="noConversion"/>
  </si>
  <si>
    <t>event_store</t>
    <phoneticPr fontId="5" type="noConversion"/>
  </si>
  <si>
    <t>event_box</t>
    <phoneticPr fontId="5" type="noConversion"/>
  </si>
  <si>
    <t>event_battle</t>
    <phoneticPr fontId="5" type="noConversion"/>
  </si>
  <si>
    <t>100200</t>
    <phoneticPr fontId="5" type="noConversion"/>
  </si>
  <si>
    <t>事件id
battle_config的id
除去商店和宝箱，剩余的全部为战斗事件</t>
    <phoneticPr fontId="5" type="noConversion"/>
  </si>
  <si>
    <t xml:space="preserve">出现宝箱的数量|权重
</t>
    <phoneticPr fontId="5" type="noConversion"/>
  </si>
  <si>
    <t>关卡图标
[]-无图标
填图标的id</t>
    <phoneticPr fontId="5" type="noConversion"/>
  </si>
  <si>
    <t>s</t>
    <phoneticPr fontId="5" type="noConversion"/>
  </si>
  <si>
    <t>level_range</t>
    <phoneticPr fontId="5" type="noConversion"/>
  </si>
  <si>
    <t>2</t>
    <phoneticPr fontId="5" type="noConversion"/>
  </si>
  <si>
    <t>3</t>
    <phoneticPr fontId="5" type="noConversion"/>
  </si>
  <si>
    <t>4</t>
    <phoneticPr fontId="5" type="noConversion"/>
  </si>
  <si>
    <t>下个关卡id</t>
    <phoneticPr fontId="5" type="noConversion"/>
  </si>
  <si>
    <t>玩家镜像等级区间
以自身等级为标准
如果各等级段找不到符合要求的人，则取第一关以下的玩家数据
暂时数据为0至-15</t>
    <phoneticPr fontId="5" type="noConversion"/>
  </si>
  <si>
    <t>通关宝箱
box_reward的id</t>
    <phoneticPr fontId="5" type="noConversion"/>
  </si>
  <si>
    <t>box_reward</t>
    <phoneticPr fontId="5" type="noConversion"/>
  </si>
  <si>
    <t>s</t>
    <phoneticPr fontId="5" type="noConversion"/>
  </si>
  <si>
    <t>plus</t>
    <phoneticPr fontId="5" type="noConversion"/>
  </si>
  <si>
    <t>妖灵获取加成系数
加成百分比
数/100</t>
    <phoneticPr fontId="5" type="noConversion"/>
  </si>
  <si>
    <t>floorDemon</t>
    <phoneticPr fontId="5" type="noConversion"/>
  </si>
  <si>
    <t>场景模型
hero_mainID</t>
    <phoneticPr fontId="5" type="noConversion"/>
  </si>
  <si>
    <t>-20|-10</t>
    <phoneticPr fontId="5" type="noConversion"/>
  </si>
  <si>
    <t>-15|-5</t>
    <phoneticPr fontId="5" type="noConversion"/>
  </si>
  <si>
    <t>-10|0</t>
    <phoneticPr fontId="5" type="noConversion"/>
  </si>
  <si>
    <t>-5|5</t>
    <phoneticPr fontId="5" type="noConversion"/>
  </si>
  <si>
    <t xml:space="preserve">出现商店的数量|权重
（0|1,14|99测试商店）
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</si>
</sst>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indexed="8"/>
      <name val="宋体"/>
      <charset val="134"/>
    </font>
    <font>
      <sz val="11"/>
      <color indexed="8"/>
      <name val="Microsoft YaHei UI"/>
      <family val="1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indexed="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  <border>
      <left/>
      <right style="thin">
        <color indexed="0"/>
      </right>
      <top/>
      <bottom style="thin">
        <color indexed="0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 applyAlignment="1"/>
    <xf numFmtId="49" fontId="0" fillId="0" borderId="0" xfId="0" applyNumberFormat="1" applyAlignment="1"/>
    <xf numFmtId="0" fontId="1" fillId="0" borderId="0" xfId="0" applyNumberFormat="1" applyFont="1" applyAlignment="1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/>
    </xf>
    <xf numFmtId="49" fontId="2" fillId="3" borderId="1" xfId="0" applyNumberFormat="1" applyFont="1" applyFill="1" applyBorder="1" applyAlignment="1">
      <alignment horizontal="left" vertical="top" wrapText="1"/>
    </xf>
    <xf numFmtId="49" fontId="3" fillId="2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 wrapText="1"/>
    </xf>
    <xf numFmtId="0" fontId="7" fillId="0" borderId="0" xfId="0" applyFont="1" applyAlignment="1"/>
    <xf numFmtId="1" fontId="0" fillId="0" borderId="0" xfId="0" applyNumberFormat="1" applyAlignment="1"/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top" wrapText="1"/>
    </xf>
    <xf numFmtId="0" fontId="8" fillId="4" borderId="1" xfId="0" applyFont="1" applyFill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5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90" zoomScaleNormal="90" workbookViewId="0">
      <pane xSplit="1" ySplit="3" topLeftCell="B4" activePane="bottomRight" state="frozen"/>
      <selection pane="topRight"/>
      <selection pane="bottomLeft"/>
      <selection pane="bottomRight" activeCell="F11" sqref="F11"/>
    </sheetView>
  </sheetViews>
  <sheetFormatPr defaultColWidth="9" defaultRowHeight="16.5"/>
  <cols>
    <col min="1" max="1" width="23.875" style="5" customWidth="1"/>
    <col min="2" max="2" width="17.875" style="5" customWidth="1"/>
    <col min="3" max="3" width="11.125" style="25" bestFit="1" customWidth="1"/>
    <col min="4" max="4" width="11.125" style="5" bestFit="1" customWidth="1"/>
    <col min="5" max="5" width="38.25" style="6" bestFit="1" customWidth="1"/>
    <col min="6" max="7" width="20.125" style="6" bestFit="1" customWidth="1"/>
    <col min="8" max="8" width="36.25" style="5" customWidth="1"/>
    <col min="9" max="9" width="23" style="5" customWidth="1"/>
    <col min="10" max="10" width="17.5" style="5" bestFit="1" customWidth="1"/>
    <col min="11" max="11" width="13.625" style="5" bestFit="1" customWidth="1"/>
    <col min="12" max="16384" width="9" style="5"/>
  </cols>
  <sheetData>
    <row r="1" spans="1:11" s="3" customFormat="1" ht="115.5">
      <c r="A1" s="7" t="s">
        <v>38</v>
      </c>
      <c r="B1" s="8" t="s">
        <v>0</v>
      </c>
      <c r="C1" s="21" t="s">
        <v>46</v>
      </c>
      <c r="D1" s="7" t="s">
        <v>52</v>
      </c>
      <c r="E1" s="9" t="s">
        <v>44</v>
      </c>
      <c r="F1" s="9" t="s">
        <v>65</v>
      </c>
      <c r="G1" s="9" t="s">
        <v>45</v>
      </c>
      <c r="H1" s="9" t="s">
        <v>53</v>
      </c>
      <c r="I1" s="29" t="s">
        <v>54</v>
      </c>
      <c r="J1" s="29" t="s">
        <v>58</v>
      </c>
      <c r="K1" s="29" t="s">
        <v>60</v>
      </c>
    </row>
    <row r="2" spans="1:11" s="4" customFormat="1" ht="15">
      <c r="A2" s="4" t="s">
        <v>29</v>
      </c>
      <c r="B2" s="4" t="s">
        <v>30</v>
      </c>
      <c r="C2" s="20" t="s">
        <v>31</v>
      </c>
      <c r="D2" s="4" t="s">
        <v>33</v>
      </c>
      <c r="E2" s="10" t="s">
        <v>42</v>
      </c>
      <c r="F2" s="10" t="s">
        <v>40</v>
      </c>
      <c r="G2" s="10" t="s">
        <v>41</v>
      </c>
      <c r="H2" s="4" t="s">
        <v>48</v>
      </c>
      <c r="I2" s="4" t="s">
        <v>55</v>
      </c>
      <c r="J2" s="4" t="s">
        <v>57</v>
      </c>
      <c r="K2" s="4" t="s">
        <v>59</v>
      </c>
    </row>
    <row r="3" spans="1:11" s="16" customFormat="1">
      <c r="A3" s="16" t="s">
        <v>1</v>
      </c>
      <c r="B3" s="16" t="s">
        <v>1</v>
      </c>
      <c r="C3" s="22" t="s">
        <v>27</v>
      </c>
      <c r="D3" s="16" t="s">
        <v>1</v>
      </c>
      <c r="E3" s="17" t="s">
        <v>1</v>
      </c>
      <c r="F3" s="17" t="s">
        <v>1</v>
      </c>
      <c r="G3" s="17" t="s">
        <v>1</v>
      </c>
      <c r="H3" s="27" t="s">
        <v>47</v>
      </c>
      <c r="I3" s="16" t="s">
        <v>56</v>
      </c>
      <c r="J3" s="16" t="s">
        <v>56</v>
      </c>
      <c r="K3" s="16" t="s">
        <v>56</v>
      </c>
    </row>
    <row r="4" spans="1:11">
      <c r="A4" s="11" t="s">
        <v>34</v>
      </c>
      <c r="B4" s="12" t="s">
        <v>2</v>
      </c>
      <c r="C4" s="23" t="s">
        <v>28</v>
      </c>
      <c r="D4" s="14" t="s">
        <v>49</v>
      </c>
      <c r="E4" s="13" t="s">
        <v>43</v>
      </c>
      <c r="F4" s="13" t="s">
        <v>39</v>
      </c>
      <c r="G4" s="13" t="s">
        <v>39</v>
      </c>
      <c r="H4" s="28" t="s">
        <v>61</v>
      </c>
      <c r="I4" s="5">
        <v>7001</v>
      </c>
      <c r="J4" s="5">
        <v>0</v>
      </c>
      <c r="K4" s="5">
        <v>1206</v>
      </c>
    </row>
    <row r="5" spans="1:11">
      <c r="A5" s="14" t="s">
        <v>35</v>
      </c>
      <c r="B5" s="12" t="s">
        <v>4</v>
      </c>
      <c r="C5" s="23" t="s">
        <v>3</v>
      </c>
      <c r="D5" s="11" t="s">
        <v>50</v>
      </c>
      <c r="E5" s="13" t="s">
        <v>43</v>
      </c>
      <c r="F5" s="13" t="s">
        <v>39</v>
      </c>
      <c r="G5" s="13" t="s">
        <v>39</v>
      </c>
      <c r="H5" s="28" t="s">
        <v>62</v>
      </c>
      <c r="I5" s="5">
        <v>7002</v>
      </c>
      <c r="J5" s="5">
        <v>10</v>
      </c>
      <c r="K5" s="5">
        <v>1205</v>
      </c>
    </row>
    <row r="6" spans="1:11">
      <c r="A6" s="11" t="s">
        <v>36</v>
      </c>
      <c r="B6" s="15" t="s">
        <v>5</v>
      </c>
      <c r="C6" s="24" t="s">
        <v>3</v>
      </c>
      <c r="D6" s="14" t="s">
        <v>51</v>
      </c>
      <c r="E6" s="13" t="s">
        <v>43</v>
      </c>
      <c r="F6" s="13" t="s">
        <v>39</v>
      </c>
      <c r="G6" s="13" t="s">
        <v>39</v>
      </c>
      <c r="H6" s="28" t="s">
        <v>63</v>
      </c>
      <c r="I6" s="5">
        <v>7003</v>
      </c>
      <c r="J6" s="5">
        <v>20</v>
      </c>
      <c r="K6" s="5">
        <v>1116</v>
      </c>
    </row>
    <row r="7" spans="1:11">
      <c r="A7" s="14" t="s">
        <v>37</v>
      </c>
      <c r="B7" s="15" t="s">
        <v>6</v>
      </c>
      <c r="C7" s="23" t="s">
        <v>3</v>
      </c>
      <c r="D7" s="11" t="s">
        <v>32</v>
      </c>
      <c r="E7" s="13" t="s">
        <v>43</v>
      </c>
      <c r="F7" s="13" t="s">
        <v>39</v>
      </c>
      <c r="G7" s="13" t="s">
        <v>39</v>
      </c>
      <c r="H7" s="28" t="s">
        <v>64</v>
      </c>
      <c r="I7" s="5">
        <v>7004</v>
      </c>
      <c r="J7" s="5">
        <v>30</v>
      </c>
      <c r="K7" s="5">
        <v>1112</v>
      </c>
    </row>
    <row r="8" spans="1:11">
      <c r="D8" s="26"/>
    </row>
    <row r="9" spans="1:11">
      <c r="D9" s="26"/>
    </row>
    <row r="10" spans="1:11">
      <c r="D10" s="26"/>
    </row>
    <row r="11" spans="1:11">
      <c r="D11" s="26"/>
    </row>
    <row r="12" spans="1:11">
      <c r="D12" s="26"/>
    </row>
    <row r="13" spans="1:11">
      <c r="D13" s="26"/>
    </row>
    <row r="14" spans="1:11">
      <c r="D14" s="26"/>
    </row>
    <row r="15" spans="1:11">
      <c r="D15" s="26"/>
    </row>
    <row r="16" spans="1:11">
      <c r="D16" s="26"/>
    </row>
    <row r="17" spans="4:4">
      <c r="D17" s="26"/>
    </row>
    <row r="18" spans="4:4">
      <c r="D18" s="26"/>
    </row>
    <row r="19" spans="4:4">
      <c r="D19" s="26"/>
    </row>
    <row r="20" spans="4:4">
      <c r="D20" s="26"/>
    </row>
    <row r="21" spans="4:4">
      <c r="D21" s="26"/>
    </row>
    <row r="22" spans="4:4">
      <c r="D22" s="26"/>
    </row>
    <row r="23" spans="4:4">
      <c r="D23" s="26"/>
    </row>
    <row r="24" spans="4:4">
      <c r="D24" s="26"/>
    </row>
    <row r="25" spans="4:4">
      <c r="D25" s="26"/>
    </row>
    <row r="26" spans="4:4">
      <c r="D26" s="26"/>
    </row>
    <row r="27" spans="4:4">
      <c r="D27" s="26"/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"/>
  <sheetViews>
    <sheetView workbookViewId="0">
      <selection activeCell="A17" sqref="A17"/>
    </sheetView>
  </sheetViews>
  <sheetFormatPr defaultColWidth="9" defaultRowHeight="13.5"/>
  <cols>
    <col min="1" max="1" width="69.625" style="1" customWidth="1"/>
  </cols>
  <sheetData>
    <row r="1" spans="1:12" ht="15">
      <c r="A1" s="2" t="str">
        <f t="shared" ref="A1:A8" si="0">C1&amp;","&amp;D1&amp;","&amp;E1&amp;","&amp;F1&amp;","&amp;G1&amp;","&amp;H1&amp;","&amp;I1&amp;","&amp;J1&amp;","&amp;K1&amp;","&amp;L1</f>
        <v>20001,20002,20003,20004,20005,20006,20007,20008,20009,20010</v>
      </c>
      <c r="C1">
        <v>20001</v>
      </c>
      <c r="D1">
        <v>20002</v>
      </c>
      <c r="E1">
        <v>20003</v>
      </c>
      <c r="F1">
        <v>20004</v>
      </c>
      <c r="G1">
        <v>20005</v>
      </c>
      <c r="H1">
        <v>20006</v>
      </c>
      <c r="I1">
        <v>20007</v>
      </c>
      <c r="J1">
        <v>20008</v>
      </c>
      <c r="K1">
        <v>20009</v>
      </c>
      <c r="L1">
        <v>20010</v>
      </c>
    </row>
    <row r="2" spans="1:12" ht="15">
      <c r="A2" s="2" t="str">
        <f t="shared" si="0"/>
        <v>20011,20012,20013,20014,20015,20016,20017,20018,20019,20020</v>
      </c>
      <c r="C2">
        <v>20011</v>
      </c>
      <c r="D2">
        <v>20012</v>
      </c>
      <c r="E2">
        <v>20013</v>
      </c>
      <c r="F2">
        <v>20014</v>
      </c>
      <c r="G2">
        <v>20015</v>
      </c>
      <c r="H2">
        <v>20016</v>
      </c>
      <c r="I2">
        <v>20017</v>
      </c>
      <c r="J2">
        <v>20018</v>
      </c>
      <c r="K2">
        <v>20019</v>
      </c>
      <c r="L2">
        <v>20020</v>
      </c>
    </row>
    <row r="3" spans="1:12" ht="15">
      <c r="A3" s="2" t="str">
        <f t="shared" si="0"/>
        <v>20021,20022,20023,20024,20025,20026,20027,20028,20029,20030</v>
      </c>
      <c r="C3">
        <v>20021</v>
      </c>
      <c r="D3">
        <v>20022</v>
      </c>
      <c r="E3">
        <v>20023</v>
      </c>
      <c r="F3">
        <v>20024</v>
      </c>
      <c r="G3">
        <v>20025</v>
      </c>
      <c r="H3">
        <v>20026</v>
      </c>
      <c r="I3">
        <v>20027</v>
      </c>
      <c r="J3">
        <v>20028</v>
      </c>
      <c r="K3">
        <v>20029</v>
      </c>
      <c r="L3">
        <v>20030</v>
      </c>
    </row>
    <row r="4" spans="1:12" ht="15">
      <c r="A4" s="2" t="str">
        <f t="shared" si="0"/>
        <v>20031,20032,20033,20034,20035,20036,20037,20038,20039,20040</v>
      </c>
      <c r="C4">
        <v>20031</v>
      </c>
      <c r="D4">
        <v>20032</v>
      </c>
      <c r="E4">
        <v>20033</v>
      </c>
      <c r="F4">
        <v>20034</v>
      </c>
      <c r="G4">
        <v>20035</v>
      </c>
      <c r="H4">
        <v>20036</v>
      </c>
      <c r="I4">
        <v>20037</v>
      </c>
      <c r="J4">
        <v>20038</v>
      </c>
      <c r="K4">
        <v>20039</v>
      </c>
      <c r="L4">
        <v>20040</v>
      </c>
    </row>
    <row r="5" spans="1:12" ht="15">
      <c r="A5" s="2" t="str">
        <f t="shared" si="0"/>
        <v>20041,20042,20043,20044,20045,20046,20047,20048,20049,20050</v>
      </c>
      <c r="C5">
        <v>20041</v>
      </c>
      <c r="D5">
        <v>20042</v>
      </c>
      <c r="E5">
        <v>20043</v>
      </c>
      <c r="F5">
        <v>20044</v>
      </c>
      <c r="G5">
        <v>20045</v>
      </c>
      <c r="H5">
        <v>20046</v>
      </c>
      <c r="I5">
        <v>20047</v>
      </c>
      <c r="J5">
        <v>20048</v>
      </c>
      <c r="K5">
        <v>20049</v>
      </c>
      <c r="L5">
        <v>20050</v>
      </c>
    </row>
    <row r="6" spans="1:12" ht="15">
      <c r="A6" s="2" t="str">
        <f t="shared" si="0"/>
        <v>20051,20052,20053,20054,20055,20056,20057,20058,20059,20060</v>
      </c>
      <c r="C6">
        <v>20051</v>
      </c>
      <c r="D6">
        <v>20052</v>
      </c>
      <c r="E6">
        <v>20053</v>
      </c>
      <c r="F6">
        <v>20054</v>
      </c>
      <c r="G6">
        <v>20055</v>
      </c>
      <c r="H6">
        <v>20056</v>
      </c>
      <c r="I6">
        <v>20057</v>
      </c>
      <c r="J6">
        <v>20058</v>
      </c>
      <c r="K6">
        <v>20059</v>
      </c>
      <c r="L6">
        <v>20060</v>
      </c>
    </row>
    <row r="7" spans="1:12" ht="15">
      <c r="A7" s="2" t="str">
        <f t="shared" si="0"/>
        <v>20061,20062,20063,20064,20065,20066,20067,20068,20069,20070</v>
      </c>
      <c r="C7">
        <v>20061</v>
      </c>
      <c r="D7">
        <v>20062</v>
      </c>
      <c r="E7">
        <v>20063</v>
      </c>
      <c r="F7">
        <v>20064</v>
      </c>
      <c r="G7">
        <v>20065</v>
      </c>
      <c r="H7">
        <v>20066</v>
      </c>
      <c r="I7">
        <v>20067</v>
      </c>
      <c r="J7">
        <v>20068</v>
      </c>
      <c r="K7">
        <v>20069</v>
      </c>
      <c r="L7">
        <v>20070</v>
      </c>
    </row>
    <row r="8" spans="1:12" ht="15">
      <c r="A8" s="2" t="str">
        <f t="shared" si="0"/>
        <v>20071,20072,20073,20074,20075,20076,20077,20078,20079,20080</v>
      </c>
      <c r="C8">
        <v>20071</v>
      </c>
      <c r="D8">
        <v>20072</v>
      </c>
      <c r="E8">
        <v>20073</v>
      </c>
      <c r="F8">
        <v>20074</v>
      </c>
      <c r="G8">
        <v>20075</v>
      </c>
      <c r="H8">
        <v>20076</v>
      </c>
      <c r="I8">
        <v>20077</v>
      </c>
      <c r="J8">
        <v>20078</v>
      </c>
      <c r="K8">
        <v>20079</v>
      </c>
      <c r="L8">
        <v>20080</v>
      </c>
    </row>
    <row r="9" spans="1:12" ht="15">
      <c r="A9" s="2" t="str">
        <f t="shared" ref="A9:A25" si="1">C9&amp;","&amp;D9&amp;","&amp;E9&amp;","&amp;F9&amp;","&amp;G9&amp;","&amp;H9&amp;","&amp;I9&amp;","&amp;J9&amp;","&amp;K9&amp;","&amp;L9</f>
        <v>20081,20082,20083,20084,20085,20086,20087,20088,20089,20090</v>
      </c>
      <c r="C9">
        <v>20081</v>
      </c>
      <c r="D9">
        <v>20082</v>
      </c>
      <c r="E9">
        <v>20083</v>
      </c>
      <c r="F9">
        <v>20084</v>
      </c>
      <c r="G9">
        <v>20085</v>
      </c>
      <c r="H9">
        <v>20086</v>
      </c>
      <c r="I9">
        <v>20087</v>
      </c>
      <c r="J9">
        <v>20088</v>
      </c>
      <c r="K9">
        <v>20089</v>
      </c>
      <c r="L9">
        <v>20090</v>
      </c>
    </row>
    <row r="10" spans="1:12" ht="15">
      <c r="A10" s="2" t="str">
        <f t="shared" si="1"/>
        <v>20091,20092,20093,20094,20095,20096,20097,20098,20099,20100</v>
      </c>
      <c r="C10">
        <v>20091</v>
      </c>
      <c r="D10">
        <v>20092</v>
      </c>
      <c r="E10">
        <v>20093</v>
      </c>
      <c r="F10">
        <v>20094</v>
      </c>
      <c r="G10">
        <v>20095</v>
      </c>
      <c r="H10">
        <v>20096</v>
      </c>
      <c r="I10">
        <v>20097</v>
      </c>
      <c r="J10">
        <v>20098</v>
      </c>
      <c r="K10">
        <v>20099</v>
      </c>
      <c r="L10">
        <v>20100</v>
      </c>
    </row>
    <row r="11" spans="1:12" ht="15">
      <c r="A11" s="2" t="str">
        <f t="shared" si="1"/>
        <v>20101,20102,20103,20104,20105,20106,20107,20108,20109,20110</v>
      </c>
      <c r="C11">
        <v>20101</v>
      </c>
      <c r="D11">
        <v>20102</v>
      </c>
      <c r="E11">
        <v>20103</v>
      </c>
      <c r="F11">
        <v>20104</v>
      </c>
      <c r="G11">
        <v>20105</v>
      </c>
      <c r="H11">
        <v>20106</v>
      </c>
      <c r="I11">
        <v>20107</v>
      </c>
      <c r="J11">
        <v>20108</v>
      </c>
      <c r="K11">
        <v>20109</v>
      </c>
      <c r="L11">
        <v>20110</v>
      </c>
    </row>
    <row r="12" spans="1:12" ht="15">
      <c r="A12" s="2" t="str">
        <f t="shared" si="1"/>
        <v>20111,20112,20113,20114,20115,20116,20117,20118,20119,20120</v>
      </c>
      <c r="C12">
        <v>20111</v>
      </c>
      <c r="D12">
        <v>20112</v>
      </c>
      <c r="E12">
        <v>20113</v>
      </c>
      <c r="F12">
        <v>20114</v>
      </c>
      <c r="G12">
        <v>20115</v>
      </c>
      <c r="H12">
        <v>20116</v>
      </c>
      <c r="I12">
        <v>20117</v>
      </c>
      <c r="J12">
        <v>20118</v>
      </c>
      <c r="K12">
        <v>20119</v>
      </c>
      <c r="L12">
        <v>20120</v>
      </c>
    </row>
    <row r="13" spans="1:12" ht="15">
      <c r="A13" s="2" t="str">
        <f t="shared" si="1"/>
        <v>,,,,,,,,,</v>
      </c>
    </row>
    <row r="14" spans="1:12" ht="15">
      <c r="A14" s="2" t="str">
        <f t="shared" si="1"/>
        <v>10001,10002,10003,10004,10005,10006,10007,10008,10009,10010</v>
      </c>
      <c r="C14">
        <v>10001</v>
      </c>
      <c r="D14">
        <v>10002</v>
      </c>
      <c r="E14">
        <v>10003</v>
      </c>
      <c r="F14">
        <v>10004</v>
      </c>
      <c r="G14">
        <v>10005</v>
      </c>
      <c r="H14">
        <v>10006</v>
      </c>
      <c r="I14">
        <v>10007</v>
      </c>
      <c r="J14">
        <v>10008</v>
      </c>
      <c r="K14">
        <v>10009</v>
      </c>
      <c r="L14">
        <v>10010</v>
      </c>
    </row>
    <row r="15" spans="1:12" ht="15">
      <c r="A15" s="2" t="str">
        <f t="shared" si="1"/>
        <v>10011,10012,10013,10014,10015,10016,10017,10018,10019,10020</v>
      </c>
      <c r="C15">
        <v>10011</v>
      </c>
      <c r="D15">
        <v>10012</v>
      </c>
      <c r="E15">
        <v>10013</v>
      </c>
      <c r="F15">
        <v>10014</v>
      </c>
      <c r="G15">
        <v>10015</v>
      </c>
      <c r="H15">
        <v>10016</v>
      </c>
      <c r="I15">
        <v>10017</v>
      </c>
      <c r="J15">
        <v>10018</v>
      </c>
      <c r="K15">
        <v>10019</v>
      </c>
      <c r="L15">
        <v>10020</v>
      </c>
    </row>
    <row r="16" spans="1:12" ht="15">
      <c r="A16" s="2" t="str">
        <f t="shared" si="1"/>
        <v>10021,10022,10023,10024,10025,10026,10027,10028,10029,10030</v>
      </c>
      <c r="C16">
        <v>10021</v>
      </c>
      <c r="D16">
        <v>10022</v>
      </c>
      <c r="E16">
        <v>10023</v>
      </c>
      <c r="F16">
        <v>10024</v>
      </c>
      <c r="G16">
        <v>10025</v>
      </c>
      <c r="H16">
        <v>10026</v>
      </c>
      <c r="I16">
        <v>10027</v>
      </c>
      <c r="J16">
        <v>10028</v>
      </c>
      <c r="K16">
        <v>10029</v>
      </c>
      <c r="L16">
        <v>10030</v>
      </c>
    </row>
    <row r="17" spans="1:12" ht="15">
      <c r="A17" s="2" t="str">
        <f t="shared" si="1"/>
        <v>10031,10032,10033,10034,10035,10036,10037,10038,10039,10040</v>
      </c>
      <c r="C17">
        <v>10031</v>
      </c>
      <c r="D17">
        <v>10032</v>
      </c>
      <c r="E17">
        <v>10033</v>
      </c>
      <c r="F17">
        <v>10034</v>
      </c>
      <c r="G17">
        <v>10035</v>
      </c>
      <c r="H17">
        <v>10036</v>
      </c>
      <c r="I17">
        <v>10037</v>
      </c>
      <c r="J17">
        <v>10038</v>
      </c>
      <c r="K17">
        <v>10039</v>
      </c>
      <c r="L17">
        <v>10040</v>
      </c>
    </row>
    <row r="18" spans="1:12" ht="15">
      <c r="A18" s="2" t="str">
        <f t="shared" si="1"/>
        <v>10041,10042,10043,10044,10045,10046,10047,10048,10049,10050</v>
      </c>
      <c r="C18">
        <v>10041</v>
      </c>
      <c r="D18">
        <v>10042</v>
      </c>
      <c r="E18">
        <v>10043</v>
      </c>
      <c r="F18">
        <v>10044</v>
      </c>
      <c r="G18">
        <v>10045</v>
      </c>
      <c r="H18">
        <v>10046</v>
      </c>
      <c r="I18">
        <v>10047</v>
      </c>
      <c r="J18">
        <v>10048</v>
      </c>
      <c r="K18">
        <v>10049</v>
      </c>
      <c r="L18">
        <v>10050</v>
      </c>
    </row>
    <row r="19" spans="1:12" ht="15">
      <c r="A19" s="2" t="str">
        <f t="shared" si="1"/>
        <v>10051,10052,10053,10054,10055,10056,10057,10058,10059,10060</v>
      </c>
      <c r="C19">
        <v>10051</v>
      </c>
      <c r="D19">
        <v>10052</v>
      </c>
      <c r="E19">
        <v>10053</v>
      </c>
      <c r="F19">
        <v>10054</v>
      </c>
      <c r="G19">
        <v>10055</v>
      </c>
      <c r="H19">
        <v>10056</v>
      </c>
      <c r="I19">
        <v>10057</v>
      </c>
      <c r="J19">
        <v>10058</v>
      </c>
      <c r="K19">
        <v>10059</v>
      </c>
      <c r="L19">
        <v>10060</v>
      </c>
    </row>
    <row r="20" spans="1:12" ht="15">
      <c r="A20" s="2" t="str">
        <f t="shared" si="1"/>
        <v>10061,10062,10063,10064,10065,10066,10067,10068,10069,10070</v>
      </c>
      <c r="C20">
        <v>10061</v>
      </c>
      <c r="D20">
        <v>10062</v>
      </c>
      <c r="E20">
        <v>10063</v>
      </c>
      <c r="F20">
        <v>10064</v>
      </c>
      <c r="G20">
        <v>10065</v>
      </c>
      <c r="H20">
        <v>10066</v>
      </c>
      <c r="I20">
        <v>10067</v>
      </c>
      <c r="J20">
        <v>10068</v>
      </c>
      <c r="K20">
        <v>10069</v>
      </c>
      <c r="L20">
        <v>10070</v>
      </c>
    </row>
    <row r="21" spans="1:12" ht="15">
      <c r="A21" s="2" t="str">
        <f t="shared" si="1"/>
        <v>10071,10072,10073,10074,10075,10076,10077,10078,10079,10080</v>
      </c>
      <c r="C21">
        <v>10071</v>
      </c>
      <c r="D21">
        <v>10072</v>
      </c>
      <c r="E21">
        <v>10073</v>
      </c>
      <c r="F21">
        <v>10074</v>
      </c>
      <c r="G21">
        <v>10075</v>
      </c>
      <c r="H21">
        <v>10076</v>
      </c>
      <c r="I21">
        <v>10077</v>
      </c>
      <c r="J21">
        <v>10078</v>
      </c>
      <c r="K21">
        <v>10079</v>
      </c>
      <c r="L21">
        <v>10080</v>
      </c>
    </row>
    <row r="22" spans="1:12" ht="15">
      <c r="A22" s="2" t="str">
        <f t="shared" si="1"/>
        <v>10081,10082,10083,10084,10085,10086,10087,10088,10089,10090</v>
      </c>
      <c r="C22">
        <v>10081</v>
      </c>
      <c r="D22">
        <v>10082</v>
      </c>
      <c r="E22">
        <v>10083</v>
      </c>
      <c r="F22">
        <v>10084</v>
      </c>
      <c r="G22">
        <v>10085</v>
      </c>
      <c r="H22">
        <v>10086</v>
      </c>
      <c r="I22">
        <v>10087</v>
      </c>
      <c r="J22">
        <v>10088</v>
      </c>
      <c r="K22">
        <v>10089</v>
      </c>
      <c r="L22">
        <v>10090</v>
      </c>
    </row>
    <row r="23" spans="1:12" ht="15">
      <c r="A23" s="2" t="str">
        <f t="shared" si="1"/>
        <v>10091,10092,10093,10094,10095,10096,10097,10098,10099,10100</v>
      </c>
      <c r="C23">
        <v>10091</v>
      </c>
      <c r="D23">
        <v>10092</v>
      </c>
      <c r="E23">
        <v>10093</v>
      </c>
      <c r="F23">
        <v>10094</v>
      </c>
      <c r="G23">
        <v>10095</v>
      </c>
      <c r="H23">
        <v>10096</v>
      </c>
      <c r="I23">
        <v>10097</v>
      </c>
      <c r="J23">
        <v>10098</v>
      </c>
      <c r="K23">
        <v>10099</v>
      </c>
      <c r="L23">
        <v>10100</v>
      </c>
    </row>
    <row r="24" spans="1:12" ht="15">
      <c r="A24" s="2" t="str">
        <f t="shared" si="1"/>
        <v>10101,10102,10103,10104,10105,10106,10107,10108,10109,10110</v>
      </c>
      <c r="C24">
        <v>10101</v>
      </c>
      <c r="D24">
        <v>10102</v>
      </c>
      <c r="E24">
        <v>10103</v>
      </c>
      <c r="F24">
        <v>10104</v>
      </c>
      <c r="G24">
        <v>10105</v>
      </c>
      <c r="H24">
        <v>10106</v>
      </c>
      <c r="I24">
        <v>10107</v>
      </c>
      <c r="J24">
        <v>10108</v>
      </c>
      <c r="K24">
        <v>10109</v>
      </c>
      <c r="L24">
        <v>10110</v>
      </c>
    </row>
    <row r="25" spans="1:12" ht="15">
      <c r="A25" s="2" t="str">
        <f t="shared" si="1"/>
        <v>10111,10112,10113,10114,10115,10116,10117,10118,10119,10120</v>
      </c>
      <c r="C25">
        <v>10111</v>
      </c>
      <c r="D25">
        <v>10112</v>
      </c>
      <c r="E25">
        <v>10113</v>
      </c>
      <c r="F25">
        <v>10114</v>
      </c>
      <c r="G25">
        <v>10115</v>
      </c>
      <c r="H25">
        <v>10116</v>
      </c>
      <c r="I25">
        <v>10117</v>
      </c>
      <c r="J25">
        <v>10118</v>
      </c>
      <c r="K25">
        <v>10119</v>
      </c>
      <c r="L25">
        <v>10120</v>
      </c>
    </row>
    <row r="26" spans="1:12">
      <c r="C26">
        <v>10121</v>
      </c>
      <c r="D26">
        <v>10122</v>
      </c>
      <c r="E26">
        <v>10123</v>
      </c>
      <c r="F26">
        <v>10124</v>
      </c>
      <c r="G26">
        <v>10125</v>
      </c>
      <c r="H26">
        <v>10126</v>
      </c>
      <c r="I26">
        <v>10127</v>
      </c>
      <c r="J26">
        <v>10128</v>
      </c>
      <c r="K26">
        <v>10129</v>
      </c>
      <c r="L26">
        <v>10130</v>
      </c>
    </row>
  </sheetData>
  <phoneticPr fontId="5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I4" sqref="I4:I13"/>
    </sheetView>
  </sheetViews>
  <sheetFormatPr defaultColWidth="9" defaultRowHeight="13.5"/>
  <sheetData>
    <row r="1" spans="1:9">
      <c r="A1">
        <v>1</v>
      </c>
      <c r="B1">
        <v>70301</v>
      </c>
      <c r="C1">
        <v>70302</v>
      </c>
      <c r="D1">
        <v>70303</v>
      </c>
      <c r="E1" t="str">
        <f t="shared" ref="E1:E10" si="0">CONCATENATE(B1,",",C1,",",D1)</f>
        <v>70301,70302,70303</v>
      </c>
    </row>
    <row r="2" spans="1:9">
      <c r="A2">
        <v>2</v>
      </c>
      <c r="B2">
        <f t="shared" ref="B2:B10" si="1">B1+3</f>
        <v>70304</v>
      </c>
      <c r="C2">
        <f t="shared" ref="C2:D2" si="2">C1+3</f>
        <v>70305</v>
      </c>
      <c r="D2">
        <f t="shared" si="2"/>
        <v>70306</v>
      </c>
      <c r="E2" t="str">
        <f t="shared" si="0"/>
        <v>70304,70305,70306</v>
      </c>
    </row>
    <row r="3" spans="1:9">
      <c r="A3">
        <v>3</v>
      </c>
      <c r="B3">
        <f t="shared" si="1"/>
        <v>70307</v>
      </c>
      <c r="C3">
        <f t="shared" ref="C3:D10" si="3">C2+3</f>
        <v>70308</v>
      </c>
      <c r="D3">
        <f t="shared" si="3"/>
        <v>70309</v>
      </c>
      <c r="E3" t="str">
        <f t="shared" si="0"/>
        <v>70307,70308,70309</v>
      </c>
    </row>
    <row r="4" spans="1:9">
      <c r="A4">
        <v>4</v>
      </c>
      <c r="B4">
        <f t="shared" si="1"/>
        <v>70310</v>
      </c>
      <c r="C4">
        <f t="shared" si="3"/>
        <v>70311</v>
      </c>
      <c r="D4">
        <f t="shared" si="3"/>
        <v>70312</v>
      </c>
      <c r="E4" t="str">
        <f t="shared" si="0"/>
        <v>70310,70311,70312</v>
      </c>
      <c r="I4" t="s">
        <v>7</v>
      </c>
    </row>
    <row r="5" spans="1:9">
      <c r="A5">
        <v>5</v>
      </c>
      <c r="B5">
        <f t="shared" si="1"/>
        <v>70313</v>
      </c>
      <c r="C5">
        <f t="shared" si="3"/>
        <v>70314</v>
      </c>
      <c r="D5">
        <f t="shared" si="3"/>
        <v>70315</v>
      </c>
      <c r="E5" t="str">
        <f t="shared" si="0"/>
        <v>70313,70314,70315</v>
      </c>
      <c r="I5" t="s">
        <v>8</v>
      </c>
    </row>
    <row r="6" spans="1:9">
      <c r="A6">
        <v>6</v>
      </c>
      <c r="B6">
        <f t="shared" si="1"/>
        <v>70316</v>
      </c>
      <c r="C6">
        <f t="shared" si="3"/>
        <v>70317</v>
      </c>
      <c r="D6">
        <f t="shared" si="3"/>
        <v>70318</v>
      </c>
      <c r="E6" t="str">
        <f t="shared" si="0"/>
        <v>70316,70317,70318</v>
      </c>
      <c r="I6" t="s">
        <v>9</v>
      </c>
    </row>
    <row r="7" spans="1:9">
      <c r="A7">
        <v>7</v>
      </c>
      <c r="B7">
        <f t="shared" si="1"/>
        <v>70319</v>
      </c>
      <c r="C7">
        <f t="shared" si="3"/>
        <v>70320</v>
      </c>
      <c r="D7">
        <f t="shared" si="3"/>
        <v>70321</v>
      </c>
      <c r="E7" t="str">
        <f t="shared" si="0"/>
        <v>70319,70320,70321</v>
      </c>
      <c r="I7" t="s">
        <v>10</v>
      </c>
    </row>
    <row r="8" spans="1:9">
      <c r="A8">
        <v>8</v>
      </c>
      <c r="B8">
        <f t="shared" si="1"/>
        <v>70322</v>
      </c>
      <c r="C8">
        <f t="shared" si="3"/>
        <v>70323</v>
      </c>
      <c r="D8">
        <f t="shared" si="3"/>
        <v>70324</v>
      </c>
      <c r="E8" t="str">
        <f t="shared" si="0"/>
        <v>70322,70323,70324</v>
      </c>
      <c r="I8" t="s">
        <v>11</v>
      </c>
    </row>
    <row r="9" spans="1:9">
      <c r="A9">
        <v>9</v>
      </c>
      <c r="B9">
        <f t="shared" si="1"/>
        <v>70325</v>
      </c>
      <c r="C9">
        <f t="shared" si="3"/>
        <v>70326</v>
      </c>
      <c r="D9">
        <f t="shared" si="3"/>
        <v>70327</v>
      </c>
      <c r="E9" t="str">
        <f t="shared" si="0"/>
        <v>70325,70326,70327</v>
      </c>
      <c r="I9" t="s">
        <v>12</v>
      </c>
    </row>
    <row r="10" spans="1:9">
      <c r="A10">
        <v>10</v>
      </c>
      <c r="B10">
        <f t="shared" si="1"/>
        <v>70328</v>
      </c>
      <c r="C10">
        <f t="shared" si="3"/>
        <v>70329</v>
      </c>
      <c r="D10">
        <f t="shared" si="3"/>
        <v>70330</v>
      </c>
      <c r="E10" t="str">
        <f t="shared" si="0"/>
        <v>70328,70329,70330</v>
      </c>
      <c r="I10" t="s">
        <v>13</v>
      </c>
    </row>
    <row r="11" spans="1:9">
      <c r="I11" t="s">
        <v>14</v>
      </c>
    </row>
    <row r="12" spans="1:9">
      <c r="I12" t="s">
        <v>15</v>
      </c>
    </row>
    <row r="13" spans="1:9">
      <c r="I13" t="s">
        <v>16</v>
      </c>
    </row>
  </sheetData>
  <phoneticPr fontId="5" type="noConversion"/>
  <pageMargins left="0.69930555555555596" right="0.69930555555555596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M14" sqref="M14"/>
    </sheetView>
  </sheetViews>
  <sheetFormatPr defaultRowHeight="13.5"/>
  <sheetData>
    <row r="1" spans="1:6">
      <c r="A1" s="18" t="s">
        <v>17</v>
      </c>
      <c r="B1" s="18">
        <v>6</v>
      </c>
      <c r="C1">
        <v>1110</v>
      </c>
      <c r="D1">
        <v>2574</v>
      </c>
      <c r="E1">
        <f t="shared" ref="E1:E10" si="0">D1-C1</f>
        <v>1464</v>
      </c>
      <c r="F1" s="19">
        <f t="shared" ref="F1:F10" si="1">E1/B1</f>
        <v>244</v>
      </c>
    </row>
    <row r="2" spans="1:6">
      <c r="A2" s="18" t="s">
        <v>20</v>
      </c>
      <c r="B2">
        <v>9</v>
      </c>
      <c r="C2">
        <v>2443</v>
      </c>
      <c r="D2">
        <v>4950</v>
      </c>
      <c r="E2">
        <f t="shared" si="0"/>
        <v>2507</v>
      </c>
      <c r="F2" s="19">
        <f t="shared" si="1"/>
        <v>278.55555555555554</v>
      </c>
    </row>
    <row r="3" spans="1:6">
      <c r="A3" s="18" t="s">
        <v>21</v>
      </c>
      <c r="B3">
        <v>10</v>
      </c>
      <c r="C3">
        <v>2628</v>
      </c>
      <c r="D3">
        <v>5700</v>
      </c>
      <c r="E3">
        <f t="shared" si="0"/>
        <v>3072</v>
      </c>
      <c r="F3" s="19">
        <f t="shared" si="1"/>
        <v>307.2</v>
      </c>
    </row>
    <row r="4" spans="1:6">
      <c r="A4" s="18" t="s">
        <v>19</v>
      </c>
      <c r="B4">
        <v>5</v>
      </c>
      <c r="C4">
        <v>1012</v>
      </c>
      <c r="D4">
        <v>2550</v>
      </c>
      <c r="E4">
        <f t="shared" si="0"/>
        <v>1538</v>
      </c>
      <c r="F4" s="19">
        <f t="shared" si="1"/>
        <v>307.60000000000002</v>
      </c>
    </row>
    <row r="5" spans="1:6">
      <c r="A5" s="18" t="s">
        <v>18</v>
      </c>
      <c r="B5">
        <v>4</v>
      </c>
      <c r="C5">
        <v>998</v>
      </c>
      <c r="D5">
        <v>2250</v>
      </c>
      <c r="E5">
        <f t="shared" si="0"/>
        <v>1252</v>
      </c>
      <c r="F5" s="19">
        <f t="shared" si="1"/>
        <v>313</v>
      </c>
    </row>
    <row r="6" spans="1:6">
      <c r="A6" s="18" t="s">
        <v>24</v>
      </c>
      <c r="B6">
        <v>1</v>
      </c>
      <c r="C6">
        <v>284</v>
      </c>
      <c r="D6">
        <v>600</v>
      </c>
      <c r="E6">
        <f t="shared" si="0"/>
        <v>316</v>
      </c>
      <c r="F6" s="19">
        <f t="shared" si="1"/>
        <v>316</v>
      </c>
    </row>
    <row r="7" spans="1:6">
      <c r="A7" s="18" t="s">
        <v>22</v>
      </c>
      <c r="B7">
        <v>7</v>
      </c>
      <c r="C7">
        <v>1408</v>
      </c>
      <c r="D7">
        <v>3750</v>
      </c>
      <c r="E7">
        <f t="shared" si="0"/>
        <v>2342</v>
      </c>
      <c r="F7" s="19">
        <f t="shared" si="1"/>
        <v>334.57142857142856</v>
      </c>
    </row>
    <row r="8" spans="1:6">
      <c r="A8" s="18" t="s">
        <v>23</v>
      </c>
      <c r="B8">
        <v>2</v>
      </c>
      <c r="C8">
        <v>454</v>
      </c>
      <c r="D8">
        <v>1125</v>
      </c>
      <c r="E8">
        <f t="shared" si="0"/>
        <v>671</v>
      </c>
      <c r="F8" s="19">
        <f t="shared" si="1"/>
        <v>335.5</v>
      </c>
    </row>
    <row r="9" spans="1:6">
      <c r="A9" s="18" t="s">
        <v>26</v>
      </c>
      <c r="B9">
        <v>8</v>
      </c>
      <c r="C9">
        <v>1816</v>
      </c>
      <c r="D9">
        <v>4500</v>
      </c>
      <c r="E9">
        <f t="shared" si="0"/>
        <v>2684</v>
      </c>
      <c r="F9" s="19">
        <f t="shared" si="1"/>
        <v>335.5</v>
      </c>
    </row>
    <row r="10" spans="1:6">
      <c r="A10" s="18" t="s">
        <v>25</v>
      </c>
      <c r="B10">
        <v>3</v>
      </c>
      <c r="C10">
        <v>561</v>
      </c>
      <c r="D10">
        <v>1579</v>
      </c>
      <c r="E10">
        <f t="shared" si="0"/>
        <v>1018</v>
      </c>
      <c r="F10" s="19">
        <f t="shared" si="1"/>
        <v>339.33333333333331</v>
      </c>
    </row>
  </sheetData>
  <sortState ref="A2:F10">
    <sortCondition ref="F2:F10"/>
  </sortState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2006-09-16T00:00:00Z</dcterms:created>
  <dcterms:modified xsi:type="dcterms:W3CDTF">2018-01-19T08:29:11Z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