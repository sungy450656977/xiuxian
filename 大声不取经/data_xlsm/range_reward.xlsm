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30" windowWidth="28800" windowHeight="451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AC38" i="3"/>
  <c r="Y28"/>
  <c r="U21"/>
  <c r="Q33"/>
  <c r="M26"/>
  <c r="Q16"/>
  <c r="Q17"/>
  <c r="Q18"/>
  <c r="Q19"/>
  <c r="Q20"/>
  <c r="Q21"/>
  <c r="Q22"/>
  <c r="Q23"/>
  <c r="Q24"/>
  <c r="Q25"/>
  <c r="Q26"/>
  <c r="Q27"/>
  <c r="Q28"/>
  <c r="Q29"/>
  <c r="Q30"/>
  <c r="Q31"/>
  <c r="Q32"/>
  <c r="U16"/>
  <c r="U17"/>
  <c r="U18"/>
  <c r="U19"/>
  <c r="U20"/>
  <c r="Y16"/>
  <c r="Y17"/>
  <c r="Y18"/>
  <c r="Y19"/>
  <c r="Y20"/>
  <c r="Y21"/>
  <c r="Y22"/>
  <c r="Y23"/>
  <c r="Y24"/>
  <c r="Y25"/>
  <c r="Y26"/>
  <c r="Y27"/>
  <c r="AC28"/>
  <c r="AC29"/>
  <c r="AC30"/>
  <c r="AC31"/>
  <c r="AC32"/>
  <c r="AC33"/>
  <c r="AC34"/>
  <c r="AC35"/>
  <c r="AC36"/>
  <c r="AC37"/>
  <c r="AC16"/>
  <c r="AC17"/>
  <c r="AC18"/>
  <c r="AC19"/>
  <c r="AC20"/>
  <c r="AC21"/>
  <c r="AC22"/>
  <c r="AC23"/>
  <c r="AC24"/>
  <c r="AC25"/>
  <c r="AC26"/>
  <c r="AC27"/>
  <c r="AC15"/>
  <c r="AD15"/>
  <c r="AD16"/>
  <c r="Y15"/>
  <c r="Z15"/>
  <c r="U15"/>
  <c r="V15"/>
  <c r="V16"/>
  <c r="V17"/>
  <c r="Q15"/>
  <c r="R15"/>
  <c r="M16"/>
  <c r="M17"/>
  <c r="M18"/>
  <c r="M19"/>
  <c r="M20"/>
  <c r="M21"/>
  <c r="M22"/>
  <c r="M23"/>
  <c r="M24"/>
  <c r="M25"/>
  <c r="M15"/>
  <c r="N15"/>
  <c r="V18"/>
  <c r="V19"/>
  <c r="V20"/>
  <c r="V21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N16"/>
  <c r="N17"/>
  <c r="N18"/>
  <c r="N19"/>
  <c r="N20"/>
  <c r="N21"/>
  <c r="N22"/>
  <c r="N23"/>
  <c r="N24"/>
  <c r="N25"/>
  <c r="N26"/>
  <c r="Z16"/>
  <c r="Z17"/>
  <c r="Z18"/>
  <c r="Z19"/>
  <c r="Z20"/>
  <c r="Z21"/>
  <c r="Z22"/>
  <c r="Z23"/>
  <c r="Z24"/>
  <c r="Z25"/>
  <c r="Z26"/>
  <c r="Z27"/>
  <c r="Z28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</calcChain>
</file>

<file path=xl/sharedStrings.xml><?xml version="1.0" encoding="utf-8"?>
<sst xmlns="http://schemas.openxmlformats.org/spreadsheetml/2006/main" count="431" uniqueCount="372">
  <si>
    <t>reward_des</t>
  </si>
  <si>
    <t>s</t>
  </si>
  <si>
    <t>二郎神</t>
  </si>
  <si>
    <t>哪吒</t>
  </si>
  <si>
    <t>红孩儿</t>
  </si>
  <si>
    <t>猪八戒</t>
  </si>
  <si>
    <t>紫霞仙子</t>
  </si>
  <si>
    <t>唐三藏</t>
  </si>
  <si>
    <t>六耳猕猴</t>
  </si>
  <si>
    <t>白骨夫人</t>
  </si>
  <si>
    <t>混沌</t>
  </si>
  <si>
    <t>小白龙</t>
  </si>
  <si>
    <t>羊力大仙</t>
  </si>
  <si>
    <t>虎力大仙</t>
  </si>
  <si>
    <t>鹿力大仙</t>
  </si>
  <si>
    <t>铁扇公主</t>
  </si>
  <si>
    <t>玉皇大帝</t>
  </si>
  <si>
    <t>嫦娥</t>
  </si>
  <si>
    <t>地藏王</t>
  </si>
  <si>
    <t>蝎子精</t>
  </si>
  <si>
    <t>混世魔王</t>
  </si>
  <si>
    <t>泾河龙王</t>
  </si>
  <si>
    <t>白龙公主</t>
  </si>
  <si>
    <t>蜘蛛精</t>
  </si>
  <si>
    <t>玉面夫人</t>
  </si>
  <si>
    <t>金钱豹王</t>
  </si>
  <si>
    <t>墨鱼精</t>
  </si>
  <si>
    <t>黑熊精</t>
  </si>
  <si>
    <t>王母娘娘</t>
  </si>
  <si>
    <t>太白金星</t>
  </si>
  <si>
    <t>备注,不做解析。</t>
  </si>
  <si>
    <t>10|5|1133,10|5|1134,10|5|1136,10|5|1138,10|5|1139,10|5|1140,10|5|1141</t>
  </si>
  <si>
    <t>10|5|1142,10|5|1143,10|5|1146,10|5|1147,10|5|1148,10|5|1152,10|5|1155,10|5|1156,10|5|1157,10|5|1158,10|5|1159,10|5|1162,10|5|1163,10|5|1192</t>
  </si>
  <si>
    <t>1|4|34101</t>
  </si>
  <si>
    <t>1|4|34102</t>
  </si>
  <si>
    <t>1|4|34103</t>
  </si>
  <si>
    <t>1|4|34104</t>
  </si>
  <si>
    <t>1|4|34105</t>
  </si>
  <si>
    <t>1|4|34106</t>
  </si>
  <si>
    <t>1|4|34107</t>
  </si>
  <si>
    <t>1|4|34108</t>
  </si>
  <si>
    <t>1|4|34109</t>
  </si>
  <si>
    <t>1|4|34110</t>
  </si>
  <si>
    <t>1|4|34111</t>
  </si>
  <si>
    <t>1|4|34112</t>
  </si>
  <si>
    <t>1|4|34113</t>
  </si>
  <si>
    <t>1|4|34114</t>
  </si>
  <si>
    <t>1|4|34115</t>
  </si>
  <si>
    <t>1|4|34116</t>
  </si>
  <si>
    <t>1|4|34117</t>
  </si>
  <si>
    <t>1|4|34118</t>
  </si>
  <si>
    <t>1|4|34119</t>
  </si>
  <si>
    <t>核心橙将奖池</t>
    <phoneticPr fontId="1" type="noConversion"/>
  </si>
  <si>
    <t>普通橙将奖池1</t>
    <phoneticPr fontId="1" type="noConversion"/>
  </si>
  <si>
    <t>紫将奖池</t>
    <phoneticPr fontId="1" type="noConversion"/>
  </si>
  <si>
    <t>蓝将奖池</t>
    <phoneticPr fontId="1" type="noConversion"/>
  </si>
  <si>
    <t>绿将奖池</t>
    <phoneticPr fontId="1" type="noConversion"/>
  </si>
  <si>
    <t>沙悟净</t>
    <phoneticPr fontId="1" type="noConversion"/>
  </si>
  <si>
    <t>幽萤魂</t>
  </si>
  <si>
    <t>阎罗王</t>
  </si>
  <si>
    <t>白无常</t>
  </si>
  <si>
    <t>马面</t>
  </si>
  <si>
    <t>牛头</t>
  </si>
  <si>
    <t>雷公</t>
  </si>
  <si>
    <t>狮人-光启</t>
  </si>
  <si>
    <t>狮人-立辉</t>
  </si>
  <si>
    <t>石人-离落</t>
    <phoneticPr fontId="1" type="noConversion"/>
  </si>
  <si>
    <t>石人-安和</t>
    <phoneticPr fontId="1" type="noConversion"/>
  </si>
  <si>
    <t>蟒精-雅芙</t>
    <phoneticPr fontId="1" type="noConversion"/>
  </si>
  <si>
    <t>鲛人-嫦曦</t>
  </si>
  <si>
    <t>鲛人-月婵</t>
  </si>
  <si>
    <t>琴仙</t>
  </si>
  <si>
    <t>夜叉-金利</t>
  </si>
  <si>
    <t>夜叉-碧涛</t>
  </si>
  <si>
    <t>天兵-金斌</t>
  </si>
  <si>
    <t>天兵-政仲</t>
  </si>
  <si>
    <t>天兵-火夕</t>
  </si>
  <si>
    <t>狼人-霍金</t>
  </si>
  <si>
    <t>狼人-霍文</t>
  </si>
  <si>
    <t>狼人-霍达</t>
  </si>
  <si>
    <t>狼人-霍格</t>
  </si>
  <si>
    <t>狼人-霍武</t>
  </si>
  <si>
    <t>蜘蛛-元瑶</t>
  </si>
  <si>
    <t>蜘蛛-怜寒</t>
  </si>
  <si>
    <t>蜘蛛-盼香</t>
  </si>
  <si>
    <t>女鬼-歆瑶</t>
  </si>
  <si>
    <t>女鬼-桑榆</t>
  </si>
  <si>
    <t>女鬼-语嫣</t>
  </si>
  <si>
    <t>女鬼-凌菲</t>
  </si>
  <si>
    <t>猴兵</t>
  </si>
  <si>
    <t>山贼</t>
  </si>
  <si>
    <t>斗战胜佛</t>
    <phoneticPr fontId="1" type="noConversion"/>
  </si>
  <si>
    <t>孙悟空</t>
    <phoneticPr fontId="1" type="noConversion"/>
  </si>
  <si>
    <t>牛魔王</t>
    <phoneticPr fontId="1" type="noConversion"/>
  </si>
  <si>
    <t>玉兔</t>
    <phoneticPr fontId="1" type="noConversion"/>
  </si>
  <si>
    <t>石人-博达</t>
    <phoneticPr fontId="1" type="noConversion"/>
  </si>
  <si>
    <t>蟒精-依娜</t>
    <phoneticPr fontId="1" type="noConversion"/>
  </si>
  <si>
    <t>狐狸-优璇</t>
    <phoneticPr fontId="1" type="noConversion"/>
  </si>
  <si>
    <t>狐狸-茹雪</t>
    <phoneticPr fontId="1" type="noConversion"/>
  </si>
  <si>
    <t>狐狸-若火</t>
    <phoneticPr fontId="1" type="noConversion"/>
  </si>
  <si>
    <t>骷髅-德明</t>
    <phoneticPr fontId="1" type="noConversion"/>
  </si>
  <si>
    <t>骷髅-奇伟</t>
    <phoneticPr fontId="1" type="noConversion"/>
  </si>
  <si>
    <t>骷髅-德元</t>
    <phoneticPr fontId="1" type="noConversion"/>
  </si>
  <si>
    <t>骷髅-彭泽</t>
    <phoneticPr fontId="1" type="noConversion"/>
  </si>
  <si>
    <t>虾兵</t>
    <phoneticPr fontId="1" type="noConversion"/>
  </si>
  <si>
    <t>10|5|1153,10|5|1154,10|5|1164,10|5|1165,10|5|1166,10|5|1167,10|5|1168,10|5|1169,10|5|1170,10|5|1171,10|5|1176,10|5|1177,10|5|1178,10|5|1179,10|5|1180,10|5|1181,10|5|1182,10|5|1185,10|5|1186,10|5|1187,10|5|1188,10|5|1193,10|5|1194,10|5|1217</t>
  </si>
  <si>
    <t>10|5|1211,10|5|1119,10|5|1101,10|5|1102,10|5|1103,10|5|1105,10|5|1112,10|5|1117,10|5|1111,10|5|1113,10|5|1120,10|5|1121</t>
  </si>
  <si>
    <t>10|5|1104,10|5|1106,10|5|1110,10|5|1114,10|5|1115,10|5|1116,10|5|1118,10|5|1122,10|5|1123,10|5|1124,10|5|1132,10|5|1131,10|5|1130,10|5|1137,10|5|1207,10|5|1201,10|5|1204,10|5|1205,10|5|1206</t>
  </si>
  <si>
    <t>i</t>
    <phoneticPr fontId="5" type="noConversion"/>
  </si>
  <si>
    <t>props_id</t>
    <phoneticPr fontId="1" type="noConversion"/>
  </si>
  <si>
    <t>掉落组ID
[字符串]</t>
    <phoneticPr fontId="1" type="noConversion"/>
  </si>
  <si>
    <t>id</t>
    <phoneticPr fontId="5" type="noConversion"/>
  </si>
  <si>
    <t>type</t>
    <phoneticPr fontId="5" type="noConversion"/>
  </si>
  <si>
    <t>奖励表
x|y|game_reward_id,x|y|game_reward_id,x|y|game_reward_id,x|y|game_reward_id,x|y|game_reward_id
x-区间下限
y-区间上限
包含的关系，包含x和y</t>
    <phoneticPr fontId="1" type="noConversion"/>
  </si>
  <si>
    <t>1|29|1000001,30|39|1000002,40|49|1000003,50|59|1000004,60|69|1000005,70|79|1000006,80|89|1000007,90|200|1000008</t>
    <phoneticPr fontId="5" type="noConversion"/>
  </si>
  <si>
    <t>1|1|25001,2|2|25002,3|3|25003</t>
    <phoneticPr fontId="5" type="noConversion"/>
  </si>
  <si>
    <t>三星首通奖励测试数据1</t>
    <phoneticPr fontId="5" type="noConversion"/>
  </si>
  <si>
    <t>三星首通奖励测试数据2</t>
  </si>
  <si>
    <t>三星首通奖励测试数据3</t>
  </si>
  <si>
    <t>1|1|25019,2|2|25020,3|3|25021</t>
    <phoneticPr fontId="5" type="noConversion"/>
  </si>
  <si>
    <t>1|1|25103,2|2|25104,3|3|25105</t>
    <phoneticPr fontId="5" type="noConversion"/>
  </si>
  <si>
    <t>开服基金购买人数发奖</t>
    <phoneticPr fontId="5" type="noConversion"/>
  </si>
  <si>
    <t>主线副本挑战结算主角经验+金币奖励</t>
    <phoneticPr fontId="5" type="noConversion"/>
  </si>
  <si>
    <t>1|1|42001,2|2|42002,3|3|42003,4|4|42004,5|5|42005,6|6|42006,7|7|42007,8|8|42008,9|9|42009,10|10|42010,11|11|42011,12|12|42012,13|13|42013,14|14|42014,15|15|42015,16|16|42016,17|17|42017,18|18|42018,19|19|42019,20|20|42020,21|21|42021,22|22|42022,23|23|42023,24|24|42024,25|25|42025,26|26|42026,27|27|42027,28|28|42028,29|29|42029,30|30|42030,31|31|42031,32|32|42032,33|33|42033,34|34|42034,35|35|42035,36|36|42036,37|37|42037,38|38|42038,39|39|42039,40|40|42040,41|41|42041,42|42|42042,43|43|42043,44|44|42044,45|45|42045,46|46|42046,47|47|42047,48|48|42048,49|49|42049,50|50|42050,51|51|42051,52|52|42052,53|53|42053,54|54|42054,55|55|42055,56|56|42056,57|57|42057,58|58|42058,59|59|42059,60|60|42060,61|61|42061,62|62|42062,63|63|42063,64|64|42064,65|65|42065,66|66|42066,67|67|42067,68|68|42068,69|69|42069,70|70|42070,71|71|42071,72|72|42072,73|73|42073,74|74|42074,75|75|42075,76|76|42076,77|77|42077,78|78|42078,79|79|42079,80|80|42080,81|81|42081,82|82|42082,83|83|42083,84|84|42084,85|85|42085,86|86|42086,87|87|42087,88|88|42088,89|89|42089,90|90|42090,91|91|42091,92|92|42092,93|93|42093,94|94|42094,95|95|42095,96|96|42096,97|97|42097,98|98|42098,99|99|42099,100|100|42100,101|101|42101,102|102|42102,103|103|42103,104|104|42104,105|105|42105,106|106|42106,107|107|42107,108|108|42108,109|109|42109,110|110|42110,111|111|42111,112|112|42112,113|113|42113,114|114|42114,115|115|42115,116|116|42116,117|117|42117,118|118|42118,119|119|42119,120|120|42120,121|121|42121,122|122|42122,123|123|42123,124|124|42124,125|125|42125,126|126|42126,127|127|42127,128|128|42128,129|129|42129,130|130|42130,131|131|42131,132|132|42132,133|133|42133,134|134|42134,135|135|42135,136|136|42136,137|137|42137,138|138|42138,139|139|42139,140|140|42140,141|141|42141,142|142|42142,143|143|42143,144|144|42144,145|145|42145,146|146|42146,147|147|42147,148|148|42148,149|149|42149,150|999|42150</t>
    <phoneticPr fontId="5" type="noConversion"/>
  </si>
  <si>
    <t>帮派进度宝箱金币奖励</t>
    <phoneticPr fontId="5" type="noConversion"/>
  </si>
  <si>
    <t>1|29|63101,30|39|63102,40|49|63103,50|59|63104,60|69|63105,70|79|63106,80|89|63107,90|99|63108,100|109|63109,110|119|63110,120|129|63111,130|139|63112,140|149|63113,150|999|63114</t>
    <phoneticPr fontId="5" type="noConversion"/>
  </si>
  <si>
    <t>日常任务进度宝箱30积分奖励</t>
    <phoneticPr fontId="5" type="noConversion"/>
  </si>
  <si>
    <t>日常任务进度宝箱60积分奖励</t>
    <phoneticPr fontId="5" type="noConversion"/>
  </si>
  <si>
    <t>1|29|35011,30|39|35012,40|49|35013,50|59|35014,60|69|35015,70|79|35016,80|89|35017,90|99|35018,100|109|35019,110|119|35020,120|129|35021,130|139|35022,140|149|35023,150|999|35024</t>
  </si>
  <si>
    <t>1|29|35051,30|39|35052,40|49|35053,50|59|35054,60|69|35055,70|79|35056,80|89|35057,90|99|35058,100|109|35059,110|119|35060,120|129|35061,130|139|35062,140|149|35063,150|999|35064</t>
  </si>
  <si>
    <t>招财进度宝箱--金币奖励</t>
    <phoneticPr fontId="5" type="noConversion"/>
  </si>
  <si>
    <t>1|19|91001,20|29|91002,30|39|91003,40|49|91004,50|59|91005,60|69|91006,70|79|91007,80|89|91008,90|99|91009,100|109|91010,110|119|91011,120|129|91012,130|139|91013,140|149|91014,150|159|91015</t>
  </si>
  <si>
    <t>法宝抢夺结算主角经验+金币奖励</t>
    <phoneticPr fontId="5" type="noConversion"/>
  </si>
  <si>
    <t>是否按等级抽奖
1-按主角等级抽奖
2-按VIP等级抽奖
3-按星星数量奖励
4-按排行榜排名奖励</t>
    <phoneticPr fontId="5" type="noConversion"/>
  </si>
  <si>
    <t>灵台斗法每日排名奖励</t>
    <phoneticPr fontId="5" type="noConversion"/>
  </si>
  <si>
    <t>全服Boss每日排名奖励</t>
    <phoneticPr fontId="5" type="noConversion"/>
  </si>
  <si>
    <t>梦魇入侵每日排名奖励</t>
    <phoneticPr fontId="5" type="noConversion"/>
  </si>
  <si>
    <t>无底洞每日排名奖励</t>
    <phoneticPr fontId="5" type="noConversion"/>
  </si>
  <si>
    <t>1|1|99300,2|2|99301,3|3|99302,4|10|99303,11|20|99304,21|50|99305,51|100|99306,101|300|99307,301|500|99308,501|1000|99309</t>
  </si>
  <si>
    <t>1|1|99000,2|2|99001,3|3|99002,4|10|99003,11|20|99004,21|50|99005,51|100|99006,101|300|99007,301|500|99008,501|1000|99009</t>
  </si>
  <si>
    <t>1|1|99100,2|2|99101,3|3|99102,4|10|99103,11|20|99104,21|50|99105,51|100|99106,101|300|99107,301|500|99108,501|1000|99109</t>
  </si>
  <si>
    <t>1|1|99200,2|2|99201,3|3|99202,4|10|99203,11|20|99204,21|30|99205,31|50|99206,51|75|99207,76|100|99208,101|200|99209,201|300|99210,301|500|99211,501|1000|99212</t>
  </si>
  <si>
    <t>第1次招财金币奖励</t>
    <phoneticPr fontId="5" type="noConversion"/>
  </si>
  <si>
    <t>第2次招财金币奖励</t>
  </si>
  <si>
    <t>第3次招财金币奖励</t>
  </si>
  <si>
    <t>第4次招财金币奖励</t>
  </si>
  <si>
    <t>第5次招财金币奖励</t>
  </si>
  <si>
    <t>第6次招财金币奖励</t>
  </si>
  <si>
    <t>第7次招财金币奖励</t>
  </si>
  <si>
    <t>第8次招财金币奖励</t>
  </si>
  <si>
    <t>第9次招财金币奖励</t>
  </si>
  <si>
    <t>第10次招财金币奖励</t>
  </si>
  <si>
    <t>第11次招财金币奖励</t>
  </si>
  <si>
    <t>第12次招财金币奖励</t>
  </si>
  <si>
    <t>第13次招财金币奖励</t>
  </si>
  <si>
    <t>第14次招财金币奖励</t>
  </si>
  <si>
    <t>第15次招财金币奖励</t>
  </si>
  <si>
    <t>第16次招财金币奖励</t>
  </si>
  <si>
    <t>第17次招财金币奖励</t>
  </si>
  <si>
    <t>第18次招财金币奖励</t>
  </si>
  <si>
    <t>第19次招财金币奖励</t>
  </si>
  <si>
    <t>第20次招财金币奖励</t>
  </si>
  <si>
    <t>第21次招财金币奖励</t>
  </si>
  <si>
    <t>第22次招财金币奖励</t>
  </si>
  <si>
    <t>第23次招财金币奖励</t>
  </si>
  <si>
    <t>第24次招财金币奖励</t>
  </si>
  <si>
    <t>第25次招财金币奖励</t>
  </si>
  <si>
    <t>第26次招财金币奖励</t>
  </si>
  <si>
    <t>第27次招财金币奖励</t>
  </si>
  <si>
    <t>第28次招财金币奖励</t>
  </si>
  <si>
    <t>第29次招财金币奖励</t>
  </si>
  <si>
    <t>第30次招财金币奖励</t>
  </si>
  <si>
    <t>第31次招财金币奖励</t>
  </si>
  <si>
    <t>第32次招财金币奖励</t>
  </si>
  <si>
    <t>第33次招财金币奖励</t>
  </si>
  <si>
    <t>第34次招财金币奖励</t>
  </si>
  <si>
    <t>第35次招财金币奖励</t>
  </si>
  <si>
    <t>第36次招财金币奖励</t>
  </si>
  <si>
    <t>第37次招财金币奖励</t>
  </si>
  <si>
    <t>第38次招财金币奖励</t>
  </si>
  <si>
    <t>第39次招财金币奖励</t>
  </si>
  <si>
    <t>第40次招财金币奖励</t>
  </si>
  <si>
    <t>第41次招财金币奖励</t>
  </si>
  <si>
    <t>第42次招财金币奖励</t>
  </si>
  <si>
    <t>第43次招财金币奖励</t>
  </si>
  <si>
    <t>第44次招财金币奖励</t>
  </si>
  <si>
    <t>第45次招财金币奖励</t>
  </si>
  <si>
    <t>第46次招财金币奖励</t>
  </si>
  <si>
    <t>第47次招财金币奖励</t>
  </si>
  <si>
    <t>第48次招财金币奖励</t>
  </si>
  <si>
    <t>第49次招财金币奖励</t>
  </si>
  <si>
    <t>第50次招财金币奖励</t>
  </si>
  <si>
    <t>1|999|90001</t>
    <phoneticPr fontId="5" type="noConversion"/>
  </si>
  <si>
    <t>1|999|90002</t>
  </si>
  <si>
    <t>1|999|90003</t>
  </si>
  <si>
    <t>1|999|90004</t>
  </si>
  <si>
    <t>1|999|90005</t>
  </si>
  <si>
    <t>1|999|90006</t>
  </si>
  <si>
    <t>1|999|90007</t>
  </si>
  <si>
    <t>1|999|90008</t>
  </si>
  <si>
    <t>1|999|90009</t>
  </si>
  <si>
    <t>1|999|90010</t>
  </si>
  <si>
    <t>1|999|90011</t>
  </si>
  <si>
    <t>1|999|90012</t>
  </si>
  <si>
    <t>1|999|90013</t>
  </si>
  <si>
    <t>1|999|90014</t>
  </si>
  <si>
    <t>1|999|90015</t>
  </si>
  <si>
    <t>1|999|90016</t>
  </si>
  <si>
    <t>1|999|90017</t>
  </si>
  <si>
    <t>1|999|90018</t>
  </si>
  <si>
    <t>1|999|90019</t>
  </si>
  <si>
    <t>1|999|90020</t>
  </si>
  <si>
    <t>1|999|90021</t>
  </si>
  <si>
    <t>1|999|90022</t>
  </si>
  <si>
    <t>1|999|90023</t>
  </si>
  <si>
    <t>1|999|90024</t>
  </si>
  <si>
    <t>1|999|90025</t>
  </si>
  <si>
    <t>1|999|90026</t>
  </si>
  <si>
    <t>1|999|90027</t>
  </si>
  <si>
    <t>1|999|90028</t>
  </si>
  <si>
    <t>1|999|90029</t>
  </si>
  <si>
    <t>1|999|90030</t>
  </si>
  <si>
    <t>1|999|90031</t>
  </si>
  <si>
    <t>1|999|90032</t>
  </si>
  <si>
    <t>1|999|90033</t>
  </si>
  <si>
    <t>1|999|90034</t>
  </si>
  <si>
    <t>1|999|90035</t>
  </si>
  <si>
    <t>1|999|90036</t>
  </si>
  <si>
    <t>1|999|90037</t>
  </si>
  <si>
    <t>1|999|90038</t>
  </si>
  <si>
    <t>1|999|90039</t>
  </si>
  <si>
    <t>1|999|90040</t>
  </si>
  <si>
    <t>1|999|90041</t>
  </si>
  <si>
    <t>1|999|90042</t>
  </si>
  <si>
    <t>1|999|90043</t>
  </si>
  <si>
    <t>1|999|90044</t>
  </si>
  <si>
    <t>1|999|90045</t>
  </si>
  <si>
    <t>1|999|90046</t>
  </si>
  <si>
    <t>1|999|90047</t>
  </si>
  <si>
    <t>1|999|90048</t>
  </si>
  <si>
    <t>1|999|90049</t>
  </si>
  <si>
    <t>1|999|90050</t>
  </si>
  <si>
    <t>第51次招财金币奖励</t>
  </si>
  <si>
    <t>第52次招财金币奖励</t>
  </si>
  <si>
    <t>第53次招财金币奖励</t>
  </si>
  <si>
    <t>第54次招财金币奖励</t>
  </si>
  <si>
    <t>第55次招财金币奖励</t>
  </si>
  <si>
    <t>第56次招财金币奖励</t>
  </si>
  <si>
    <t>第57次招财金币奖励</t>
  </si>
  <si>
    <t>第58次招财金币奖励</t>
  </si>
  <si>
    <t>第59次招财金币奖励</t>
  </si>
  <si>
    <t>第60次招财金币奖励</t>
  </si>
  <si>
    <t>第61次招财金币奖励</t>
  </si>
  <si>
    <t>第62次招财金币奖励</t>
  </si>
  <si>
    <t>第63次招财金币奖励</t>
  </si>
  <si>
    <t>第64次招财金币奖励</t>
  </si>
  <si>
    <t>第65次招财金币奖励</t>
  </si>
  <si>
    <t>第66次招财金币奖励</t>
  </si>
  <si>
    <t>第67次招财金币奖励</t>
  </si>
  <si>
    <t>第68次招财金币奖励</t>
  </si>
  <si>
    <t>第69次招财金币奖励</t>
  </si>
  <si>
    <t>第70次招财金币奖励</t>
  </si>
  <si>
    <t>第71次招财金币奖励</t>
  </si>
  <si>
    <t>第72次招财金币奖励</t>
  </si>
  <si>
    <t>第73次招财金币奖励</t>
  </si>
  <si>
    <t>第74次招财金币奖励</t>
  </si>
  <si>
    <t>第75次招财金币奖励</t>
  </si>
  <si>
    <t>第76次招财金币奖励</t>
  </si>
  <si>
    <t>第77次招财金币奖励</t>
  </si>
  <si>
    <t>第78次招财金币奖励</t>
  </si>
  <si>
    <t>第79次招财金币奖励</t>
  </si>
  <si>
    <t>第80次招财金币奖励</t>
  </si>
  <si>
    <t>第81次招财金币奖励</t>
  </si>
  <si>
    <t>第82次招财金币奖励</t>
  </si>
  <si>
    <t>第83次招财金币奖励</t>
  </si>
  <si>
    <t>第84次招财金币奖励</t>
  </si>
  <si>
    <t>第85次招财金币奖励</t>
  </si>
  <si>
    <t>第86次招财金币奖励</t>
  </si>
  <si>
    <t>第87次招财金币奖励</t>
  </si>
  <si>
    <t>第88次招财金币奖励</t>
  </si>
  <si>
    <t>第89次招财金币奖励</t>
  </si>
  <si>
    <t>第90次招财金币奖励</t>
  </si>
  <si>
    <t>第91次招财金币奖励</t>
  </si>
  <si>
    <t>第92次招财金币奖励</t>
  </si>
  <si>
    <t>第93次招财金币奖励</t>
  </si>
  <si>
    <t>第94次招财金币奖励</t>
  </si>
  <si>
    <t>第95次招财金币奖励</t>
  </si>
  <si>
    <t>第96次招财金币奖励</t>
  </si>
  <si>
    <t>第97次招财金币奖励</t>
  </si>
  <si>
    <t>第98次招财金币奖励</t>
  </si>
  <si>
    <t>第99次招财金币奖励</t>
  </si>
  <si>
    <t>第100次招财金币奖励</t>
  </si>
  <si>
    <t>1|999|90051</t>
  </si>
  <si>
    <t>1|999|90052</t>
  </si>
  <si>
    <t>1|999|90053</t>
  </si>
  <si>
    <t>1|999|90054</t>
  </si>
  <si>
    <t>1|999|90055</t>
  </si>
  <si>
    <t>1|999|90056</t>
  </si>
  <si>
    <t>1|999|90057</t>
  </si>
  <si>
    <t>1|999|90058</t>
  </si>
  <si>
    <t>1|999|90059</t>
  </si>
  <si>
    <t>1|999|90060</t>
  </si>
  <si>
    <t>1|999|90061</t>
  </si>
  <si>
    <t>1|999|90062</t>
  </si>
  <si>
    <t>1|999|90063</t>
  </si>
  <si>
    <t>1|999|90064</t>
  </si>
  <si>
    <t>1|999|90065</t>
  </si>
  <si>
    <t>1|999|90066</t>
  </si>
  <si>
    <t>1|999|90067</t>
  </si>
  <si>
    <t>1|999|90068</t>
  </si>
  <si>
    <t>1|999|90069</t>
  </si>
  <si>
    <t>1|999|90070</t>
  </si>
  <si>
    <t>1|999|90071</t>
  </si>
  <si>
    <t>1|999|90072</t>
  </si>
  <si>
    <t>1|999|90073</t>
  </si>
  <si>
    <t>1|999|90074</t>
  </si>
  <si>
    <t>1|999|90075</t>
  </si>
  <si>
    <t>1|999|90076</t>
  </si>
  <si>
    <t>1|999|90077</t>
  </si>
  <si>
    <t>1|999|90078</t>
  </si>
  <si>
    <t>1|999|90079</t>
  </si>
  <si>
    <t>1|999|90080</t>
  </si>
  <si>
    <t>1|999|90081</t>
  </si>
  <si>
    <t>1|999|90082</t>
  </si>
  <si>
    <t>1|999|90083</t>
  </si>
  <si>
    <t>1|999|90084</t>
  </si>
  <si>
    <t>1|999|90085</t>
  </si>
  <si>
    <t>1|999|90086</t>
  </si>
  <si>
    <t>1|999|90087</t>
  </si>
  <si>
    <t>1|999|90088</t>
  </si>
  <si>
    <t>1|999|90089</t>
  </si>
  <si>
    <t>1|999|90090</t>
  </si>
  <si>
    <t>1|999|90091</t>
  </si>
  <si>
    <t>1|999|90092</t>
  </si>
  <si>
    <t>1|999|90093</t>
  </si>
  <si>
    <t>1|999|90094</t>
  </si>
  <si>
    <t>1|999|90095</t>
  </si>
  <si>
    <t>1|999|90096</t>
  </si>
  <si>
    <t>1|999|90097</t>
  </si>
  <si>
    <t>1|999|90098</t>
  </si>
  <si>
    <t>1|999|90099</t>
  </si>
  <si>
    <t>1|999|90100</t>
  </si>
  <si>
    <t>开服战力第8天排名奖励</t>
    <phoneticPr fontId="5" type="noConversion"/>
  </si>
  <si>
    <t>1|1|99400,2|2|99401,3|3|99402,4|10|99403,11|20|99404,21|50|99405,51|100|99406,101|300|99407,301|1000|99408</t>
    <phoneticPr fontId="5" type="noConversion"/>
  </si>
  <si>
    <t>10体力_精英副本挑战结算主角经验+金币奖励</t>
    <phoneticPr fontId="5" type="noConversion"/>
  </si>
  <si>
    <t>15体力_精英副本挑战结算主角经验+金币奖励</t>
    <phoneticPr fontId="5" type="noConversion"/>
  </si>
  <si>
    <t>20体力_精英副本挑战结算主角经验+金币奖励</t>
  </si>
  <si>
    <t>25体力_精英副本挑战结算主角经验+金币奖励</t>
  </si>
  <si>
    <t>30体力_精英副本挑战结算主角经验+金币奖励</t>
  </si>
  <si>
    <t>35体力_精英副本挑战结算主角经验+金币奖励</t>
  </si>
  <si>
    <t>1|1|42301,2|2|42302,3|3|42303,4|4|42304,5|5|42305,6|6|42306,7|7|42307,8|8|42308,9|9|42309,10|10|42310,11|11|42311,12|12|42312,13|13|42313,14|14|42314,15|15|42315,16|16|42316,17|17|42317,18|18|42318,19|19|42319,20|20|42320,21|21|42321,22|22|42322,23|23|42323,24|24|42324,25|25|42325,26|26|42326,27|27|42327,28|28|42328,29|29|42329,30|30|42330,31|31|42331,32|32|42332,33|33|42333,34|34|42334,35|35|42335,36|36|42336,37|37|42337,38|38|42338,39|39|42339,40|40|42340,41|41|42341,42|42|42342,43|43|42343,44|44|42344,45|45|42345,46|46|42346,47|47|42347,48|48|42348,49|49|42349,50|50|42350,51|51|42351,52|52|42352,53|53|42353,54|54|42354,55|55|42355,56|56|42356,57|57|42357,58|58|42358,59|59|42359,60|60|42360,61|61|42361,62|62|42362,63|63|42363,64|64|42364,65|65|42365,66|66|42366,67|67|42367,68|68|42368,69|69|42369,70|70|42370,71|71|42371,72|72|42372,73|73|42373,74|74|42374,75|75|42375,76|76|42376,77|77|42377,78|78|42378,79|79|42379,80|80|42380,81|81|42381,82|82|42382,83|83|42383,84|84|42384,85|85|42385,86|86|42386,87|87|42387,88|88|42388,89|89|42389,90|90|42390,91|91|42391,92|92|42392,93|93|42393,94|94|42394,95|95|42395,96|96|42396,97|97|42397,98|98|42398,99|99|42399,100|100|42400,101|101|42401,102|102|42402,103|103|42403,104|104|42404,105|105|42405,106|106|42406,107|107|42407,108|108|42408,109|109|42409,110|110|42410,111|111|42411,112|112|42412,113|113|42413,114|114|42414,115|115|42415,116|116|42416,117|117|42417,118|118|42418,119|119|42419,120|120|42420,121|121|42421,122|122|42422,123|123|42423,124|124|42424,125|125|42425,126|126|42426,127|127|42427,128|128|42428,129|129|42429,130|130|42430,131|131|42431,132|132|42432,133|133|42433,134|134|42434,135|135|42435,136|136|42436,137|137|42437,138|138|42438,139|139|42439,140|140|42440,141|141|42441,142|142|42442,143|143|42443,144|144|42444,145|145|42445,146|146|42446,147|147|42447,148|148|42448,149|149|42449,150|999|42450</t>
    <phoneticPr fontId="5" type="noConversion"/>
  </si>
  <si>
    <t>1|1|83001,2|2|83002,3|3|83003,4|4|83004,5|5|83005,6|6|83006,7|7|83007,8|8|83008,9|9|83009,10|10|83010,11|11|83011,12|12|83012,13|13|83013,14|14|83014,15|15|83015,16|16|83016,17|17|83017,18|18|83018,19|19|83019,20|20|83020,21|21|83021,22|22|83022,23|23|83023,24|24|83024,25|25|83025,26|26|83026,27|27|83027,28|28|83028,29|29|83029,30|30|83030,31|31|83031,32|32|83032,33|33|83033,34|34|83034,35|35|83035,36|36|83036,37|37|83037,38|38|83038,39|39|83039,40|40|83040,41|41|83041,42|42|83042,43|43|83043,44|44|83044,45|45|83045,46|46|83046,47|47|83047,48|48|83048,49|49|83049,50|50|83050,51|51|83051,52|52|83052,53|53|83053,54|54|83054,55|55|83055,56|56|83056,57|57|83057,58|58|83058,59|59|83059,60|60|83060,61|61|83061,62|62|83062,63|63|83063,64|64|83064,65|65|83065,66|66|83066,67|67|83067,68|68|83068,69|69|83069,70|70|83070,71|71|83071,72|72|83072,73|73|83073,74|74|83074,75|75|83075,76|76|83076,77|77|83077,78|78|83078,79|79|83079,80|80|83080,81|81|83081,82|82|83082,83|83|83083,84|84|83084,85|85|83085,86|86|83086,87|87|83087,88|88|83088,89|89|83089,90|90|83090,91|91|83091,92|92|83092,93|93|83093,94|94|83094,95|95|83095,96|96|83096,97|97|83097,98|98|83098,99|99|83099,100|100|83100,101|101|83101,102|102|83102,103|103|83103,104|104|83104,105|105|83105,106|106|83106,107|107|83107,108|108|83108,109|109|83109,110|110|83110,111|111|83111,112|112|83112,113|113|83113,114|114|83114,115|115|83115,116|116|83116,117|117|83117,118|118|83118,119|119|83119,120|120|83120,121|121|83121,122|122|83122,123|123|83123,124|124|83124,125|125|83125,126|126|83126,127|127|83127,128|128|83128,129|129|83129,130|130|83130,131|131|83131,132|132|83132,133|133|83133,134|134|83134,135|135|83135,136|136|83136,137|137|83137,138|138|83138,139|139|83139,140|140|83140,141|141|83141,142|142|83142,143|143|83143,144|144|83144,145|145|83145,146|146|83146,147|147|83147,148|148|83148,149|149|83149,150|999|83150</t>
    <phoneticPr fontId="5" type="noConversion"/>
  </si>
  <si>
    <t>1|1|42701,2|2|42702,3|3|42703,4|4|42704,5|5|42705,6|6|42706,7|7|42707,8|8|42708,9|9|42709,10|10|42710,11|11|42711,12|12|42712,13|13|42713,14|14|42714,15|15|42715,16|16|42716,17|17|42717,18|18|42718,19|19|42719,20|20|42720,21|21|42721,22|22|42722,23|23|42723,24|24|42724,25|25|42725,26|26|42726,27|27|42727,28|28|42728,29|29|42729,30|30|42730,31|31|42731,32|32|42732,33|33|42733,34|34|42734,35|35|42735,36|36|42736,37|37|42737,38|38|42738,39|39|42739,40|40|42740,41|41|42741,42|42|42742,43|43|42743,44|44|42744,45|45|42745,46|46|42746,47|47|42747,48|48|42748,49|49|42749,50|50|42750,51|51|42751,52|52|42752,53|53|42753,54|54|42754,55|55|42755,56|56|42756,57|57|42757,58|58|42758,59|59|42759,60|60|42760,61|61|42761,62|62|42762,63|63|42763,64|64|42764,65|65|42765,66|66|42766,67|67|42767,68|68|42768,69|69|42769,70|70|42770,71|71|42771,72|72|42772,73|73|42773,74|74|42774,75|75|42775,76|76|42776,77|77|42777,78|78|42778,79|79|42779,80|80|42780,81|81|42781,82|82|42782,83|83|42783,84|84|42784,85|85|42785,86|86|42786,87|87|42787,88|88|42788,89|89|42789,90|90|42790,91|91|42791,92|92|42792,93|93|42793,94|94|42794,95|95|42795,96|96|42796,97|97|42797,98|98|42798,99|99|42799,100|100|42800,101|101|42801,102|102|42802,103|103|42803,104|104|42804,105|105|42805,106|106|42806,107|107|42807,108|108|42808,109|109|42809,110|110|42810,111|111|42811,112|112|42812,113|113|42813,114|114|42814,115|115|42815,116|116|42816,117|117|42817,118|118|42818,119|119|42819,120|120|42820,121|121|42821,122|122|42822,123|123|42823,124|124|42824,125|125|42825,126|126|42826,127|127|42827,128|128|42828,129|129|42829,130|130|42830,131|131|42831,132|132|42832,133|133|42833,134|134|42834,135|135|42835,136|136|42836,137|137|42837,138|138|42838,139|139|42839,140|140|42840,141|141|42841,142|142|42842,143|143|42843,144|144|42844,145|145|42845,146|146|42846,147|147|42847,148|148|42848,149|149|42849,150|999|42850</t>
    <phoneticPr fontId="5" type="noConversion"/>
  </si>
  <si>
    <t>1|1|84001,2|2|84002,3|3|84003,4|4|84004,5|5|84005,6|6|84006,7|7|84007,8|8|84008,9|9|84009,10|10|84010,11|11|84011,12|12|84012,13|13|84013,14|14|84014,15|15|84015,16|16|84016,17|17|84017,18|18|84018,19|19|84019,20|20|84020,21|21|84021,22|22|84022,23|23|84023,24|24|84024,25|25|84025,26|26|84026,27|27|84027,28|28|84028,29|29|84029,30|30|84030,31|31|84031,32|32|84032,33|33|84033,34|34|84034,35|35|84035,36|36|84036,37|37|84037,38|38|84038,39|39|84039,40|40|84040,41|41|84041,42|42|84042,43|43|84043,44|44|84044,45|45|84045,46|46|84046,47|47|84047,48|48|84048,49|49|84049,50|50|84050,51|51|84051,52|52|84052,53|53|84053,54|54|84054,55|55|84055,56|56|84056,57|57|84057,58|58|84058,59|59|84059,60|60|84060,61|61|84061,62|62|84062,63|63|84063,64|64|84064,65|65|84065,66|66|84066,67|67|84067,68|68|84068,69|69|84069,70|70|84070,71|71|84071,72|72|84072,73|73|84073,74|74|84074,75|75|84075,76|76|84076,77|77|84077,78|78|84078,79|79|84079,80|80|84080,81|81|84081,82|82|84082,83|83|84083,84|84|84084,85|85|84085,86|86|84086,87|87|84087,88|88|84088,89|89|84089,90|90|84090,91|91|84091,92|92|84092,93|93|84093,94|94|84094,95|95|84095,96|96|84096,97|97|84097,98|98|84098,99|99|84099,100|100|84100,101|101|84101,102|102|84102,103|103|84103,104|104|84104,105|105|84105,106|106|84106,107|107|84107,108|108|84108,109|109|84109,110|110|84110,111|111|84111,112|112|84112,113|113|84113,114|114|84114,115|115|84115,116|116|84116,117|117|84117,118|118|84118,119|119|84119,120|120|84120,121|121|84121,122|122|84122,123|123|84123,124|124|84124,125|125|84125,126|126|84126,127|127|84127,128|128|84128,129|129|84129,130|130|84130,131|131|84131,132|132|84132,133|133|84133,134|134|84134,135|135|84135,136|136|84136,137|137|84137,138|138|84138,139|139|84139,140|140|84140,141|141|84141,142|142|84142,143|143|84143,144|144|84144,145|145|84145,146|146|84146,147|147|84147,148|148|84148,149|149|84149,150|999|84150</t>
    <phoneticPr fontId="5" type="noConversion"/>
  </si>
  <si>
    <t>1|1|86001,2|2|86002,3|3|86003,4|4|86004,5|5|86005,6|6|86006,7|7|86007,8|8|86008,9|9|86009,10|10|86010,11|11|86011,12|12|86012,13|13|86013,14|14|86014,15|15|86015,16|16|86016,17|17|86017,18|18|86018,19|19|86019,20|20|86020,21|21|86021,22|22|86022,23|23|86023,24|24|86024,25|25|86025,26|26|86026,27|27|86027,28|28|86028,29|29|86029,30|30|86030,31|31|86031,32|32|86032,33|33|86033,34|34|86034,35|35|86035,36|36|86036,37|37|86037,38|38|86038,39|39|86039,40|40|86040,41|41|86041,42|42|86042,43|43|86043,44|44|86044,45|45|86045,46|46|86046,47|47|86047,48|48|86048,49|49|86049,50|50|86050,51|51|86051,52|52|86052,53|53|86053,54|54|86054,55|55|86055,56|56|86056,57|57|86057,58|58|86058,59|59|86059,60|60|86060,61|61|86061,62|62|86062,63|63|86063,64|64|86064,65|65|86065,66|66|86066,67|67|86067,68|68|86068,69|69|86069,70|70|86070,71|71|86071,72|72|86072,73|73|86073,74|74|86074,75|75|86075,76|76|86076,77|77|86077,78|78|86078,79|79|86079,80|80|86080,81|81|86081,82|82|86082,83|83|86083,84|84|86084,85|85|86085,86|86|86086,87|87|86087,88|88|86088,89|89|86089,90|90|86090,91|91|86091,92|92|86092,93|93|86093,94|94|86094,95|95|86095,96|96|86096,97|97|86097,98|98|86098,99|99|86099,100|100|86100,101|101|86101,102|102|86102,103|103|86103,104|104|86104,105|105|86105,106|106|86106,107|107|86107,108|108|86108,109|109|86109,110|110|86110,111|111|86111,112|112|86112,113|113|86113,114|114|86114,115|115|86115,116|116|86116,117|117|86117,118|118|86118,119|119|86119,120|120|86120,121|121|86121,122|122|86122,123|123|86123,124|124|86124,125|125|86125,126|126|86126,127|127|86127,128|128|86128,129|129|86129,130|130|86130,131|131|86131,132|132|86132,133|133|86133,134|134|86134,135|135|86135,136|136|86136,137|137|86137,138|138|86138,139|139|86139,140|140|86140,141|141|86141,142|142|86142,143|143|86143,144|144|86144,145|145|86145,146|146|86146,147|147|86147,148|148|86148,149|149|86149,150|999|86150</t>
    <phoneticPr fontId="5" type="noConversion"/>
  </si>
  <si>
    <t>1|1|87001,2|2|87002,3|3|87003,4|4|87004,5|5|87005,6|6|87006,7|7|87007,8|8|87008,9|9|87009,10|10|87010,11|11|87011,12|12|87012,13|13|87013,14|14|87014,15|15|87015,16|16|87016,17|17|87017,18|18|87018,19|19|87019,20|20|87020,21|21|87021,22|22|87022,23|23|87023,24|24|87024,25|25|87025,26|26|87026,27|27|87027,28|28|87028,29|29|87029,30|30|87030,31|31|87031,32|32|87032,33|33|87033,34|34|87034,35|35|87035,36|36|87036,37|37|87037,38|38|87038,39|39|87039,40|40|87040,41|41|87041,42|42|87042,43|43|87043,44|44|87044,45|45|87045,46|46|87046,47|47|87047,48|48|87048,49|49|87049,50|50|87050,51|51|87051,52|52|87052,53|53|87053,54|54|87054,55|55|87055,56|56|87056,57|57|87057,58|58|87058,59|59|87059,60|60|87060,61|61|87061,62|62|87062,63|63|87063,64|64|87064,65|65|87065,66|66|87066,67|67|87067,68|68|87068,69|69|87069,70|70|87070,71|71|87071,72|72|87072,73|73|87073,74|74|87074,75|75|87075,76|76|87076,77|77|87077,78|78|87078,79|79|87079,80|80|87080,81|81|87081,82|82|87082,83|83|87083,84|84|87084,85|85|87085,86|86|87086,87|87|87087,88|88|87088,89|89|87089,90|90|87090,91|91|87091,92|92|87092,93|93|87093,94|94|87094,95|95|87095,96|96|87096,97|97|87097,98|98|87098,99|99|87099,100|100|87100,101|101|87101,102|102|87102,103|103|87103,104|104|87104,105|105|87105,106|106|87106,107|107|87107,108|108|87108,109|109|87109,110|110|87110,111|111|87111,112|112|87112,113|113|87113,114|114|87114,115|115|87115,116|116|87116,117|117|87117,118|118|87118,119|119|87119,120|120|87120,121|121|87121,122|122|87122,123|123|87123,124|124|87124,125|125|87125,126|126|87126,127|127|87127,128|128|87128,129|129|87129,130|130|87130,131|131|87131,132|132|87132,133|133|87133,134|134|87134,135|135|87135,136|136|87136,137|137|87137,138|138|87138,139|139|87139,140|140|87140,141|141|87141,142|142|87142,143|143|87143,144|144|87144,145|145|87145,146|146|87146,147|147|87147,148|148|87148,149|149|87149,150|999|87150</t>
    <phoneticPr fontId="5" type="noConversion"/>
  </si>
  <si>
    <t>1|1|85001,2|2|85002,3|3|85003,4|4|85004,5|5|85005,6|6|85006,7|7|85007,8|8|85008,9|9|85009,10|10|85010,11|11|85011,12|12|85012,13|13|85013,14|14|85014,15|15|85015,16|16|85016,17|17|85017,18|18|85018,19|19|85019,20|20|85020,21|21|85021,22|22|85022,23|23|85023,24|24|85024,25|25|85025,26|26|85026,27|27|85027,28|28|85028,29|29|85029,30|30|85030,31|31|85031,32|32|85032,33|33|85033,34|34|85034,35|35|85035,36|36|85036,37|37|85037,38|38|85038,39|39|85039,40|40|85040,41|41|85041,42|42|85042,43|43|85043,44|44|85044,45|45|85045,46|46|85046,47|47|85047,48|48|85048,49|49|85049,50|50|85050,51|51|85051,52|52|85052,53|53|85053,54|54|85054,55|55|85055,56|56|85056,57|57|85057,58|58|85058,59|59|85059,60|60|85060,61|61|85061,62|62|85062,63|63|85063,64|64|85064,65|65|85065,66|66|85066,67|67|85067,68|68|85068,69|69|85069,70|70|85070,71|71|85071,72|72|85072,73|73|85073,74|74|85074,75|75|85075,76|76|85076,77|77|85077,78|78|85078,79|79|85079,80|80|85080,81|81|85081,82|82|85082,83|83|85083,84|84|85084,85|85|85085,86|86|85086,87|87|85087,88|88|85088,89|89|85089,90|90|85090,91|91|85091,92|92|85092,93|93|85093,94|94|85094,95|95|85095,96|96|85096,97|97|85097,98|98|85098,99|99|85099,100|100|85100,101|101|85101,102|102|85102,103|103|85103,104|104|85104,105|105|85105,106|106|85106,107|107|85107,108|108|85108,109|109|85109,110|110|85110,111|111|85111,112|112|85112,113|113|85113,114|114|85114,115|115|85115,116|116|85116,117|117|85117,118|118|85118,119|119|85119,120|120|85120,121|121|85121,122|122|85122,123|123|85123,124|124|85124,125|125|85125,126|126|85126,127|127|85127,128|128|85128,129|129|85129,130|130|85130,131|131|85131,132|132|85132,133|133|85133,134|134|85134,135|135|85135,136|136|85136,137|137|85137,138|138|85138,139|139|85139,140|140|85140,141|141|85141,142|142|85142,143|143|85143,144|144|85144,145|145|85145,146|146|85146,147|147|85147,148|148|85148,149|149|85149,150|999|85150</t>
    <phoneticPr fontId="5" type="noConversion"/>
  </si>
  <si>
    <t>幸运轮盘累计排名奖励</t>
  </si>
  <si>
    <t>1|1|99400,2|2|99401,3|3|99402,4|10|99403</t>
    <phoneticPr fontId="5" type="noConversion"/>
  </si>
  <si>
    <t>1|20|57001,21|40|57002,41|60|57003,61|80|57004,81|100|57005,101|999|57006</t>
  </si>
  <si>
    <t>1|20|57021,21|40|57022,41|60|57023,61|80|57024,81|100|57025,101|999|57026</t>
    <phoneticPr fontId="5" type="noConversion"/>
  </si>
  <si>
    <t>幸运轮盘每日排名奖励</t>
    <phoneticPr fontId="5" type="noConversion"/>
  </si>
  <si>
    <t>1|1|58001,2|2|58002,3|3|58003,4|4|58004,5|5|58005,6|6|58006,7|7|58007,8|8|58008,9|9|58009,10|10|58010,11|11|58011,12|12|58012,13|13|58013,14|14|58014,15|15|58015,16|16|58016,17|17|58017,18|18|58018,19|19|58019,20|20|58020</t>
  </si>
  <si>
    <t>1|1|58101,2|2|58102,3|3|58103,4|4|58104,5|5|58105,6|6|58106,7|7|58107,8|8|58108,9|9|58109,10|10|58110</t>
  </si>
  <si>
    <t>1|1|58201,2|2|58202,3|3|58203,4|4|58204,5|5|58205,6|6|58206,7|7|58207,8|8|58208,9|9|58209,10|10|58210</t>
  </si>
  <si>
    <t>1|1|58301,2|2|58302,3|3|58303,4|4|58304,5|5|58305,6|6|58306,7|7|58307,8|8|58308,9|9|58309,10|10|58310,11|11|58311,12|12|58312,13|13|58313,14|14|58314,15|15|58315,16|16|58316,17|17|58317,18|18|58318,19|19|58319,20|20|58320</t>
  </si>
  <si>
    <t>全服Boss致命一击奖励(按BOSS等级发奖)</t>
  </si>
  <si>
    <t>全服Boss最后一击奖励(按BOSS等级发奖)</t>
  </si>
  <si>
    <t>全服Boss荣誉排行奖励（伤害/10000=荣誉）</t>
  </si>
  <si>
    <t>全服Boss单次最高伤害排行奖励</t>
  </si>
  <si>
    <t>全服Boss本服帮会排行奖励（按累计荣誉）</t>
  </si>
  <si>
    <t>全服Boss跨服帮会排行奖励（按累计荣誉）</t>
  </si>
</sst>
</file>

<file path=xl/styles.xml><?xml version="1.0" encoding="utf-8"?>
<styleSheet xmlns="http://schemas.openxmlformats.org/spreadsheetml/2006/main">
  <fonts count="13">
    <font>
      <sz val="11"/>
      <color indexed="8"/>
      <name val="宋体"/>
      <charset val="134"/>
    </font>
    <font>
      <sz val="9"/>
      <name val="宋体"/>
      <family val="3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10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10"/>
      <color theme="0"/>
      <name val="微软雅黑"/>
      <family val="2"/>
      <charset val="134"/>
    </font>
    <font>
      <b/>
      <sz val="10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/>
    <xf numFmtId="4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vertical="center"/>
    </xf>
    <xf numFmtId="49" fontId="3" fillId="4" borderId="1" xfId="0" applyNumberFormat="1" applyFont="1" applyFill="1" applyBorder="1" applyAlignment="1">
      <alignment vertical="center"/>
    </xf>
    <xf numFmtId="0" fontId="3" fillId="0" borderId="0" xfId="0" applyFont="1" applyAlignment="1"/>
    <xf numFmtId="0" fontId="9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/>
    </xf>
    <xf numFmtId="49" fontId="11" fillId="7" borderId="1" xfId="0" applyNumberFormat="1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0" fontId="6" fillId="0" borderId="0" xfId="0" applyFont="1" applyAlignment="1"/>
    <xf numFmtId="0" fontId="6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1" xfId="0" applyNumberFormat="1" applyFont="1" applyFill="1" applyBorder="1" applyAlignment="1">
      <alignment vertical="center" wrapText="1"/>
    </xf>
    <xf numFmtId="0" fontId="3" fillId="6" borderId="0" xfId="0" applyFont="1" applyFill="1" applyAlignment="1">
      <alignment vertical="center"/>
    </xf>
    <xf numFmtId="0" fontId="6" fillId="6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49" fontId="12" fillId="0" borderId="1" xfId="0" applyNumberFormat="1" applyFont="1" applyBorder="1" applyAlignment="1">
      <alignment vertical="center"/>
    </xf>
    <xf numFmtId="0" fontId="12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32"/>
  <sheetViews>
    <sheetView tabSelected="1" workbookViewId="0">
      <pane xSplit="1" ySplit="3" topLeftCell="C118" activePane="bottomRight" state="frozen"/>
      <selection pane="topRight" activeCell="B1" sqref="B1"/>
      <selection pane="bottomLeft" activeCell="A4" sqref="A4"/>
      <selection pane="bottomRight" activeCell="C133" sqref="C133"/>
    </sheetView>
  </sheetViews>
  <sheetFormatPr defaultColWidth="9" defaultRowHeight="16.5"/>
  <cols>
    <col min="1" max="1" width="14.25" style="2" customWidth="1"/>
    <col min="2" max="2" width="24.625" style="17" bestFit="1" customWidth="1"/>
    <col min="3" max="3" width="38.625" style="2" bestFit="1" customWidth="1"/>
    <col min="4" max="4" width="111" style="1" bestFit="1" customWidth="1"/>
    <col min="5" max="16384" width="9" style="7"/>
  </cols>
  <sheetData>
    <row r="1" spans="1:4" s="23" customFormat="1" ht="115.5">
      <c r="A1" s="21" t="s">
        <v>110</v>
      </c>
      <c r="B1" s="24" t="s">
        <v>133</v>
      </c>
      <c r="C1" s="21" t="s">
        <v>30</v>
      </c>
      <c r="D1" s="22" t="s">
        <v>113</v>
      </c>
    </row>
    <row r="2" spans="1:4" ht="18" customHeight="1">
      <c r="A2" s="3" t="s">
        <v>111</v>
      </c>
      <c r="B2" s="20" t="s">
        <v>112</v>
      </c>
      <c r="C2" s="3" t="s">
        <v>0</v>
      </c>
      <c r="D2" s="4" t="s">
        <v>109</v>
      </c>
    </row>
    <row r="3" spans="1:4" s="16" customFormat="1">
      <c r="A3" s="14" t="s">
        <v>1</v>
      </c>
      <c r="B3" s="14" t="s">
        <v>108</v>
      </c>
      <c r="C3" s="14" t="s">
        <v>1</v>
      </c>
      <c r="D3" s="15" t="s">
        <v>1</v>
      </c>
    </row>
    <row r="4" spans="1:4" s="19" customFormat="1">
      <c r="A4" s="17">
        <v>100</v>
      </c>
      <c r="B4" s="17">
        <v>1</v>
      </c>
      <c r="C4" s="17" t="s">
        <v>121</v>
      </c>
      <c r="D4" s="18" t="s">
        <v>114</v>
      </c>
    </row>
    <row r="5" spans="1:4">
      <c r="A5" s="2">
        <v>101</v>
      </c>
      <c r="B5" s="17">
        <v>3</v>
      </c>
      <c r="C5" s="2" t="s">
        <v>116</v>
      </c>
      <c r="D5" s="1" t="s">
        <v>115</v>
      </c>
    </row>
    <row r="6" spans="1:4">
      <c r="A6" s="2">
        <v>102</v>
      </c>
      <c r="B6" s="17">
        <v>3</v>
      </c>
      <c r="C6" s="2" t="s">
        <v>117</v>
      </c>
      <c r="D6" s="1" t="s">
        <v>119</v>
      </c>
    </row>
    <row r="7" spans="1:4">
      <c r="A7" s="2">
        <v>103</v>
      </c>
      <c r="B7" s="17">
        <v>3</v>
      </c>
      <c r="C7" s="2" t="s">
        <v>118</v>
      </c>
      <c r="D7" s="1" t="s">
        <v>120</v>
      </c>
    </row>
    <row r="8" spans="1:4" s="27" customFormat="1">
      <c r="A8" s="25">
        <v>120</v>
      </c>
      <c r="B8" s="25">
        <v>1</v>
      </c>
      <c r="C8" s="25" t="s">
        <v>122</v>
      </c>
      <c r="D8" s="26" t="s">
        <v>123</v>
      </c>
    </row>
    <row r="9" spans="1:4" s="27" customFormat="1">
      <c r="A9" s="25">
        <v>121</v>
      </c>
      <c r="B9" s="25">
        <v>1</v>
      </c>
      <c r="C9" s="25" t="s">
        <v>132</v>
      </c>
      <c r="D9" s="26" t="s">
        <v>350</v>
      </c>
    </row>
    <row r="10" spans="1:4" s="27" customFormat="1">
      <c r="A10" s="25">
        <v>122</v>
      </c>
      <c r="B10" s="25">
        <v>1</v>
      </c>
      <c r="C10" s="25" t="s">
        <v>344</v>
      </c>
      <c r="D10" s="26" t="s">
        <v>352</v>
      </c>
    </row>
    <row r="11" spans="1:4" s="27" customFormat="1">
      <c r="A11" s="25">
        <v>123</v>
      </c>
      <c r="B11" s="25">
        <v>1</v>
      </c>
      <c r="C11" s="25" t="s">
        <v>345</v>
      </c>
      <c r="D11" s="26" t="s">
        <v>351</v>
      </c>
    </row>
    <row r="12" spans="1:4" s="27" customFormat="1">
      <c r="A12" s="25">
        <v>124</v>
      </c>
      <c r="B12" s="25">
        <v>1</v>
      </c>
      <c r="C12" s="25" t="s">
        <v>346</v>
      </c>
      <c r="D12" s="26" t="s">
        <v>353</v>
      </c>
    </row>
    <row r="13" spans="1:4" s="27" customFormat="1">
      <c r="A13" s="25">
        <v>125</v>
      </c>
      <c r="B13" s="25">
        <v>1</v>
      </c>
      <c r="C13" s="25" t="s">
        <v>347</v>
      </c>
      <c r="D13" s="26" t="s">
        <v>356</v>
      </c>
    </row>
    <row r="14" spans="1:4" s="27" customFormat="1">
      <c r="A14" s="25">
        <v>126</v>
      </c>
      <c r="B14" s="25">
        <v>1</v>
      </c>
      <c r="C14" s="25" t="s">
        <v>348</v>
      </c>
      <c r="D14" s="26" t="s">
        <v>354</v>
      </c>
    </row>
    <row r="15" spans="1:4" s="27" customFormat="1">
      <c r="A15" s="25">
        <v>127</v>
      </c>
      <c r="B15" s="25">
        <v>1</v>
      </c>
      <c r="C15" s="25" t="s">
        <v>349</v>
      </c>
      <c r="D15" s="26" t="s">
        <v>355</v>
      </c>
    </row>
    <row r="16" spans="1:4">
      <c r="A16" s="2">
        <v>201</v>
      </c>
      <c r="B16" s="17">
        <v>1</v>
      </c>
      <c r="C16" s="2" t="s">
        <v>142</v>
      </c>
      <c r="D16" s="1" t="s">
        <v>192</v>
      </c>
    </row>
    <row r="17" spans="1:4">
      <c r="A17" s="2">
        <v>202</v>
      </c>
      <c r="B17" s="17">
        <v>1</v>
      </c>
      <c r="C17" s="2" t="s">
        <v>143</v>
      </c>
      <c r="D17" s="1" t="s">
        <v>193</v>
      </c>
    </row>
    <row r="18" spans="1:4">
      <c r="A18" s="2">
        <v>203</v>
      </c>
      <c r="B18" s="17">
        <v>1</v>
      </c>
      <c r="C18" s="2" t="s">
        <v>144</v>
      </c>
      <c r="D18" s="1" t="s">
        <v>194</v>
      </c>
    </row>
    <row r="19" spans="1:4">
      <c r="A19" s="2">
        <v>204</v>
      </c>
      <c r="B19" s="17">
        <v>1</v>
      </c>
      <c r="C19" s="2" t="s">
        <v>145</v>
      </c>
      <c r="D19" s="1" t="s">
        <v>195</v>
      </c>
    </row>
    <row r="20" spans="1:4">
      <c r="A20" s="2">
        <v>205</v>
      </c>
      <c r="B20" s="17">
        <v>1</v>
      </c>
      <c r="C20" s="2" t="s">
        <v>146</v>
      </c>
      <c r="D20" s="1" t="s">
        <v>196</v>
      </c>
    </row>
    <row r="21" spans="1:4">
      <c r="A21" s="2">
        <v>206</v>
      </c>
      <c r="B21" s="17">
        <v>1</v>
      </c>
      <c r="C21" s="2" t="s">
        <v>147</v>
      </c>
      <c r="D21" s="1" t="s">
        <v>197</v>
      </c>
    </row>
    <row r="22" spans="1:4">
      <c r="A22" s="2">
        <v>207</v>
      </c>
      <c r="B22" s="17">
        <v>1</v>
      </c>
      <c r="C22" s="2" t="s">
        <v>148</v>
      </c>
      <c r="D22" s="1" t="s">
        <v>198</v>
      </c>
    </row>
    <row r="23" spans="1:4">
      <c r="A23" s="2">
        <v>208</v>
      </c>
      <c r="B23" s="17">
        <v>1</v>
      </c>
      <c r="C23" s="2" t="s">
        <v>149</v>
      </c>
      <c r="D23" s="1" t="s">
        <v>199</v>
      </c>
    </row>
    <row r="24" spans="1:4">
      <c r="A24" s="2">
        <v>209</v>
      </c>
      <c r="B24" s="17">
        <v>1</v>
      </c>
      <c r="C24" s="2" t="s">
        <v>150</v>
      </c>
      <c r="D24" s="1" t="s">
        <v>200</v>
      </c>
    </row>
    <row r="25" spans="1:4">
      <c r="A25" s="2">
        <v>210</v>
      </c>
      <c r="B25" s="17">
        <v>1</v>
      </c>
      <c r="C25" s="2" t="s">
        <v>151</v>
      </c>
      <c r="D25" s="1" t="s">
        <v>201</v>
      </c>
    </row>
    <row r="26" spans="1:4">
      <c r="A26" s="2">
        <v>211</v>
      </c>
      <c r="B26" s="17">
        <v>1</v>
      </c>
      <c r="C26" s="2" t="s">
        <v>152</v>
      </c>
      <c r="D26" s="1" t="s">
        <v>202</v>
      </c>
    </row>
    <row r="27" spans="1:4">
      <c r="A27" s="2">
        <v>212</v>
      </c>
      <c r="B27" s="17">
        <v>1</v>
      </c>
      <c r="C27" s="2" t="s">
        <v>153</v>
      </c>
      <c r="D27" s="1" t="s">
        <v>203</v>
      </c>
    </row>
    <row r="28" spans="1:4">
      <c r="A28" s="2">
        <v>213</v>
      </c>
      <c r="B28" s="17">
        <v>1</v>
      </c>
      <c r="C28" s="2" t="s">
        <v>154</v>
      </c>
      <c r="D28" s="1" t="s">
        <v>204</v>
      </c>
    </row>
    <row r="29" spans="1:4">
      <c r="A29" s="2">
        <v>214</v>
      </c>
      <c r="B29" s="17">
        <v>1</v>
      </c>
      <c r="C29" s="2" t="s">
        <v>155</v>
      </c>
      <c r="D29" s="1" t="s">
        <v>205</v>
      </c>
    </row>
    <row r="30" spans="1:4">
      <c r="A30" s="2">
        <v>215</v>
      </c>
      <c r="B30" s="17">
        <v>1</v>
      </c>
      <c r="C30" s="2" t="s">
        <v>156</v>
      </c>
      <c r="D30" s="1" t="s">
        <v>206</v>
      </c>
    </row>
    <row r="31" spans="1:4">
      <c r="A31" s="2">
        <v>216</v>
      </c>
      <c r="B31" s="17">
        <v>1</v>
      </c>
      <c r="C31" s="2" t="s">
        <v>157</v>
      </c>
      <c r="D31" s="1" t="s">
        <v>207</v>
      </c>
    </row>
    <row r="32" spans="1:4">
      <c r="A32" s="2">
        <v>217</v>
      </c>
      <c r="B32" s="17">
        <v>1</v>
      </c>
      <c r="C32" s="2" t="s">
        <v>158</v>
      </c>
      <c r="D32" s="1" t="s">
        <v>208</v>
      </c>
    </row>
    <row r="33" spans="1:4">
      <c r="A33" s="2">
        <v>218</v>
      </c>
      <c r="B33" s="17">
        <v>1</v>
      </c>
      <c r="C33" s="2" t="s">
        <v>159</v>
      </c>
      <c r="D33" s="1" t="s">
        <v>209</v>
      </c>
    </row>
    <row r="34" spans="1:4">
      <c r="A34" s="2">
        <v>219</v>
      </c>
      <c r="B34" s="17">
        <v>1</v>
      </c>
      <c r="C34" s="2" t="s">
        <v>160</v>
      </c>
      <c r="D34" s="1" t="s">
        <v>210</v>
      </c>
    </row>
    <row r="35" spans="1:4">
      <c r="A35" s="2">
        <v>220</v>
      </c>
      <c r="B35" s="17">
        <v>1</v>
      </c>
      <c r="C35" s="2" t="s">
        <v>161</v>
      </c>
      <c r="D35" s="1" t="s">
        <v>211</v>
      </c>
    </row>
    <row r="36" spans="1:4">
      <c r="A36" s="2">
        <v>221</v>
      </c>
      <c r="B36" s="17">
        <v>1</v>
      </c>
      <c r="C36" s="2" t="s">
        <v>162</v>
      </c>
      <c r="D36" s="1" t="s">
        <v>212</v>
      </c>
    </row>
    <row r="37" spans="1:4">
      <c r="A37" s="2">
        <v>222</v>
      </c>
      <c r="B37" s="17">
        <v>1</v>
      </c>
      <c r="C37" s="2" t="s">
        <v>163</v>
      </c>
      <c r="D37" s="1" t="s">
        <v>213</v>
      </c>
    </row>
    <row r="38" spans="1:4">
      <c r="A38" s="2">
        <v>223</v>
      </c>
      <c r="B38" s="17">
        <v>1</v>
      </c>
      <c r="C38" s="2" t="s">
        <v>164</v>
      </c>
      <c r="D38" s="1" t="s">
        <v>214</v>
      </c>
    </row>
    <row r="39" spans="1:4">
      <c r="A39" s="2">
        <v>224</v>
      </c>
      <c r="B39" s="17">
        <v>1</v>
      </c>
      <c r="C39" s="2" t="s">
        <v>165</v>
      </c>
      <c r="D39" s="1" t="s">
        <v>215</v>
      </c>
    </row>
    <row r="40" spans="1:4">
      <c r="A40" s="2">
        <v>225</v>
      </c>
      <c r="B40" s="17">
        <v>1</v>
      </c>
      <c r="C40" s="2" t="s">
        <v>166</v>
      </c>
      <c r="D40" s="1" t="s">
        <v>216</v>
      </c>
    </row>
    <row r="41" spans="1:4">
      <c r="A41" s="2">
        <v>226</v>
      </c>
      <c r="B41" s="17">
        <v>1</v>
      </c>
      <c r="C41" s="2" t="s">
        <v>167</v>
      </c>
      <c r="D41" s="1" t="s">
        <v>217</v>
      </c>
    </row>
    <row r="42" spans="1:4">
      <c r="A42" s="2">
        <v>227</v>
      </c>
      <c r="B42" s="17">
        <v>1</v>
      </c>
      <c r="C42" s="2" t="s">
        <v>168</v>
      </c>
      <c r="D42" s="1" t="s">
        <v>218</v>
      </c>
    </row>
    <row r="43" spans="1:4">
      <c r="A43" s="2">
        <v>228</v>
      </c>
      <c r="B43" s="17">
        <v>1</v>
      </c>
      <c r="C43" s="2" t="s">
        <v>169</v>
      </c>
      <c r="D43" s="1" t="s">
        <v>219</v>
      </c>
    </row>
    <row r="44" spans="1:4">
      <c r="A44" s="2">
        <v>229</v>
      </c>
      <c r="B44" s="17">
        <v>1</v>
      </c>
      <c r="C44" s="2" t="s">
        <v>170</v>
      </c>
      <c r="D44" s="1" t="s">
        <v>220</v>
      </c>
    </row>
    <row r="45" spans="1:4">
      <c r="A45" s="2">
        <v>230</v>
      </c>
      <c r="B45" s="17">
        <v>1</v>
      </c>
      <c r="C45" s="2" t="s">
        <v>171</v>
      </c>
      <c r="D45" s="1" t="s">
        <v>221</v>
      </c>
    </row>
    <row r="46" spans="1:4">
      <c r="A46" s="2">
        <v>231</v>
      </c>
      <c r="B46" s="17">
        <v>1</v>
      </c>
      <c r="C46" s="2" t="s">
        <v>172</v>
      </c>
      <c r="D46" s="1" t="s">
        <v>222</v>
      </c>
    </row>
    <row r="47" spans="1:4">
      <c r="A47" s="2">
        <v>232</v>
      </c>
      <c r="B47" s="17">
        <v>1</v>
      </c>
      <c r="C47" s="2" t="s">
        <v>173</v>
      </c>
      <c r="D47" s="1" t="s">
        <v>223</v>
      </c>
    </row>
    <row r="48" spans="1:4">
      <c r="A48" s="2">
        <v>233</v>
      </c>
      <c r="B48" s="17">
        <v>1</v>
      </c>
      <c r="C48" s="2" t="s">
        <v>174</v>
      </c>
      <c r="D48" s="1" t="s">
        <v>224</v>
      </c>
    </row>
    <row r="49" spans="1:4">
      <c r="A49" s="2">
        <v>234</v>
      </c>
      <c r="B49" s="17">
        <v>1</v>
      </c>
      <c r="C49" s="2" t="s">
        <v>175</v>
      </c>
      <c r="D49" s="1" t="s">
        <v>225</v>
      </c>
    </row>
    <row r="50" spans="1:4">
      <c r="A50" s="2">
        <v>235</v>
      </c>
      <c r="B50" s="17">
        <v>1</v>
      </c>
      <c r="C50" s="2" t="s">
        <v>176</v>
      </c>
      <c r="D50" s="1" t="s">
        <v>226</v>
      </c>
    </row>
    <row r="51" spans="1:4">
      <c r="A51" s="2">
        <v>236</v>
      </c>
      <c r="B51" s="17">
        <v>1</v>
      </c>
      <c r="C51" s="2" t="s">
        <v>177</v>
      </c>
      <c r="D51" s="1" t="s">
        <v>227</v>
      </c>
    </row>
    <row r="52" spans="1:4">
      <c r="A52" s="2">
        <v>237</v>
      </c>
      <c r="B52" s="17">
        <v>1</v>
      </c>
      <c r="C52" s="2" t="s">
        <v>178</v>
      </c>
      <c r="D52" s="1" t="s">
        <v>228</v>
      </c>
    </row>
    <row r="53" spans="1:4">
      <c r="A53" s="2">
        <v>238</v>
      </c>
      <c r="B53" s="17">
        <v>1</v>
      </c>
      <c r="C53" s="2" t="s">
        <v>179</v>
      </c>
      <c r="D53" s="1" t="s">
        <v>229</v>
      </c>
    </row>
    <row r="54" spans="1:4">
      <c r="A54" s="2">
        <v>239</v>
      </c>
      <c r="B54" s="17">
        <v>1</v>
      </c>
      <c r="C54" s="2" t="s">
        <v>180</v>
      </c>
      <c r="D54" s="1" t="s">
        <v>230</v>
      </c>
    </row>
    <row r="55" spans="1:4">
      <c r="A55" s="2">
        <v>240</v>
      </c>
      <c r="B55" s="17">
        <v>1</v>
      </c>
      <c r="C55" s="2" t="s">
        <v>181</v>
      </c>
      <c r="D55" s="1" t="s">
        <v>231</v>
      </c>
    </row>
    <row r="56" spans="1:4">
      <c r="A56" s="2">
        <v>241</v>
      </c>
      <c r="B56" s="17">
        <v>1</v>
      </c>
      <c r="C56" s="2" t="s">
        <v>182</v>
      </c>
      <c r="D56" s="1" t="s">
        <v>232</v>
      </c>
    </row>
    <row r="57" spans="1:4">
      <c r="A57" s="2">
        <v>242</v>
      </c>
      <c r="B57" s="17">
        <v>1</v>
      </c>
      <c r="C57" s="2" t="s">
        <v>183</v>
      </c>
      <c r="D57" s="1" t="s">
        <v>233</v>
      </c>
    </row>
    <row r="58" spans="1:4">
      <c r="A58" s="2">
        <v>243</v>
      </c>
      <c r="B58" s="17">
        <v>1</v>
      </c>
      <c r="C58" s="2" t="s">
        <v>184</v>
      </c>
      <c r="D58" s="1" t="s">
        <v>234</v>
      </c>
    </row>
    <row r="59" spans="1:4">
      <c r="A59" s="2">
        <v>244</v>
      </c>
      <c r="B59" s="17">
        <v>1</v>
      </c>
      <c r="C59" s="2" t="s">
        <v>185</v>
      </c>
      <c r="D59" s="1" t="s">
        <v>235</v>
      </c>
    </row>
    <row r="60" spans="1:4">
      <c r="A60" s="2">
        <v>245</v>
      </c>
      <c r="B60" s="17">
        <v>1</v>
      </c>
      <c r="C60" s="2" t="s">
        <v>186</v>
      </c>
      <c r="D60" s="1" t="s">
        <v>236</v>
      </c>
    </row>
    <row r="61" spans="1:4">
      <c r="A61" s="2">
        <v>246</v>
      </c>
      <c r="B61" s="17">
        <v>1</v>
      </c>
      <c r="C61" s="2" t="s">
        <v>187</v>
      </c>
      <c r="D61" s="1" t="s">
        <v>237</v>
      </c>
    </row>
    <row r="62" spans="1:4">
      <c r="A62" s="2">
        <v>247</v>
      </c>
      <c r="B62" s="17">
        <v>1</v>
      </c>
      <c r="C62" s="2" t="s">
        <v>188</v>
      </c>
      <c r="D62" s="1" t="s">
        <v>238</v>
      </c>
    </row>
    <row r="63" spans="1:4">
      <c r="A63" s="2">
        <v>248</v>
      </c>
      <c r="B63" s="17">
        <v>1</v>
      </c>
      <c r="C63" s="2" t="s">
        <v>189</v>
      </c>
      <c r="D63" s="1" t="s">
        <v>239</v>
      </c>
    </row>
    <row r="64" spans="1:4">
      <c r="A64" s="2">
        <v>249</v>
      </c>
      <c r="B64" s="17">
        <v>1</v>
      </c>
      <c r="C64" s="2" t="s">
        <v>190</v>
      </c>
      <c r="D64" s="1" t="s">
        <v>240</v>
      </c>
    </row>
    <row r="65" spans="1:4">
      <c r="A65" s="2">
        <v>250</v>
      </c>
      <c r="B65" s="17">
        <v>1</v>
      </c>
      <c r="C65" s="2" t="s">
        <v>191</v>
      </c>
      <c r="D65" s="1" t="s">
        <v>241</v>
      </c>
    </row>
    <row r="66" spans="1:4">
      <c r="A66" s="2">
        <v>251</v>
      </c>
      <c r="B66" s="17">
        <v>1</v>
      </c>
      <c r="C66" s="2" t="s">
        <v>242</v>
      </c>
      <c r="D66" s="1" t="s">
        <v>292</v>
      </c>
    </row>
    <row r="67" spans="1:4">
      <c r="A67" s="2">
        <v>252</v>
      </c>
      <c r="B67" s="17">
        <v>1</v>
      </c>
      <c r="C67" s="2" t="s">
        <v>243</v>
      </c>
      <c r="D67" s="1" t="s">
        <v>293</v>
      </c>
    </row>
    <row r="68" spans="1:4">
      <c r="A68" s="2">
        <v>253</v>
      </c>
      <c r="B68" s="17">
        <v>1</v>
      </c>
      <c r="C68" s="2" t="s">
        <v>244</v>
      </c>
      <c r="D68" s="1" t="s">
        <v>294</v>
      </c>
    </row>
    <row r="69" spans="1:4">
      <c r="A69" s="2">
        <v>254</v>
      </c>
      <c r="B69" s="17">
        <v>1</v>
      </c>
      <c r="C69" s="2" t="s">
        <v>245</v>
      </c>
      <c r="D69" s="1" t="s">
        <v>295</v>
      </c>
    </row>
    <row r="70" spans="1:4">
      <c r="A70" s="2">
        <v>255</v>
      </c>
      <c r="B70" s="17">
        <v>1</v>
      </c>
      <c r="C70" s="2" t="s">
        <v>246</v>
      </c>
      <c r="D70" s="1" t="s">
        <v>296</v>
      </c>
    </row>
    <row r="71" spans="1:4">
      <c r="A71" s="2">
        <v>256</v>
      </c>
      <c r="B71" s="17">
        <v>1</v>
      </c>
      <c r="C71" s="2" t="s">
        <v>247</v>
      </c>
      <c r="D71" s="1" t="s">
        <v>297</v>
      </c>
    </row>
    <row r="72" spans="1:4">
      <c r="A72" s="2">
        <v>257</v>
      </c>
      <c r="B72" s="17">
        <v>1</v>
      </c>
      <c r="C72" s="2" t="s">
        <v>248</v>
      </c>
      <c r="D72" s="1" t="s">
        <v>298</v>
      </c>
    </row>
    <row r="73" spans="1:4">
      <c r="A73" s="2">
        <v>258</v>
      </c>
      <c r="B73" s="17">
        <v>1</v>
      </c>
      <c r="C73" s="2" t="s">
        <v>249</v>
      </c>
      <c r="D73" s="1" t="s">
        <v>299</v>
      </c>
    </row>
    <row r="74" spans="1:4">
      <c r="A74" s="2">
        <v>259</v>
      </c>
      <c r="B74" s="17">
        <v>1</v>
      </c>
      <c r="C74" s="2" t="s">
        <v>250</v>
      </c>
      <c r="D74" s="1" t="s">
        <v>300</v>
      </c>
    </row>
    <row r="75" spans="1:4">
      <c r="A75" s="2">
        <v>260</v>
      </c>
      <c r="B75" s="17">
        <v>1</v>
      </c>
      <c r="C75" s="2" t="s">
        <v>251</v>
      </c>
      <c r="D75" s="1" t="s">
        <v>301</v>
      </c>
    </row>
    <row r="76" spans="1:4">
      <c r="A76" s="2">
        <v>261</v>
      </c>
      <c r="B76" s="17">
        <v>1</v>
      </c>
      <c r="C76" s="2" t="s">
        <v>252</v>
      </c>
      <c r="D76" s="1" t="s">
        <v>302</v>
      </c>
    </row>
    <row r="77" spans="1:4">
      <c r="A77" s="2">
        <v>262</v>
      </c>
      <c r="B77" s="17">
        <v>1</v>
      </c>
      <c r="C77" s="2" t="s">
        <v>253</v>
      </c>
      <c r="D77" s="1" t="s">
        <v>303</v>
      </c>
    </row>
    <row r="78" spans="1:4">
      <c r="A78" s="2">
        <v>263</v>
      </c>
      <c r="B78" s="17">
        <v>1</v>
      </c>
      <c r="C78" s="2" t="s">
        <v>254</v>
      </c>
      <c r="D78" s="1" t="s">
        <v>304</v>
      </c>
    </row>
    <row r="79" spans="1:4">
      <c r="A79" s="2">
        <v>264</v>
      </c>
      <c r="B79" s="17">
        <v>1</v>
      </c>
      <c r="C79" s="2" t="s">
        <v>255</v>
      </c>
      <c r="D79" s="1" t="s">
        <v>305</v>
      </c>
    </row>
    <row r="80" spans="1:4">
      <c r="A80" s="2">
        <v>265</v>
      </c>
      <c r="B80" s="17">
        <v>1</v>
      </c>
      <c r="C80" s="2" t="s">
        <v>256</v>
      </c>
      <c r="D80" s="1" t="s">
        <v>306</v>
      </c>
    </row>
    <row r="81" spans="1:4">
      <c r="A81" s="2">
        <v>266</v>
      </c>
      <c r="B81" s="17">
        <v>1</v>
      </c>
      <c r="C81" s="2" t="s">
        <v>257</v>
      </c>
      <c r="D81" s="1" t="s">
        <v>307</v>
      </c>
    </row>
    <row r="82" spans="1:4">
      <c r="A82" s="2">
        <v>267</v>
      </c>
      <c r="B82" s="17">
        <v>1</v>
      </c>
      <c r="C82" s="2" t="s">
        <v>258</v>
      </c>
      <c r="D82" s="1" t="s">
        <v>308</v>
      </c>
    </row>
    <row r="83" spans="1:4">
      <c r="A83" s="2">
        <v>268</v>
      </c>
      <c r="B83" s="17">
        <v>1</v>
      </c>
      <c r="C83" s="2" t="s">
        <v>259</v>
      </c>
      <c r="D83" s="1" t="s">
        <v>309</v>
      </c>
    </row>
    <row r="84" spans="1:4">
      <c r="A84" s="2">
        <v>269</v>
      </c>
      <c r="B84" s="17">
        <v>1</v>
      </c>
      <c r="C84" s="2" t="s">
        <v>260</v>
      </c>
      <c r="D84" s="1" t="s">
        <v>310</v>
      </c>
    </row>
    <row r="85" spans="1:4">
      <c r="A85" s="2">
        <v>270</v>
      </c>
      <c r="B85" s="17">
        <v>1</v>
      </c>
      <c r="C85" s="2" t="s">
        <v>261</v>
      </c>
      <c r="D85" s="1" t="s">
        <v>311</v>
      </c>
    </row>
    <row r="86" spans="1:4">
      <c r="A86" s="2">
        <v>271</v>
      </c>
      <c r="B86" s="17">
        <v>1</v>
      </c>
      <c r="C86" s="2" t="s">
        <v>262</v>
      </c>
      <c r="D86" s="1" t="s">
        <v>312</v>
      </c>
    </row>
    <row r="87" spans="1:4">
      <c r="A87" s="2">
        <v>272</v>
      </c>
      <c r="B87" s="17">
        <v>1</v>
      </c>
      <c r="C87" s="2" t="s">
        <v>263</v>
      </c>
      <c r="D87" s="1" t="s">
        <v>313</v>
      </c>
    </row>
    <row r="88" spans="1:4">
      <c r="A88" s="2">
        <v>273</v>
      </c>
      <c r="B88" s="17">
        <v>1</v>
      </c>
      <c r="C88" s="2" t="s">
        <v>264</v>
      </c>
      <c r="D88" s="1" t="s">
        <v>314</v>
      </c>
    </row>
    <row r="89" spans="1:4">
      <c r="A89" s="2">
        <v>274</v>
      </c>
      <c r="B89" s="17">
        <v>1</v>
      </c>
      <c r="C89" s="2" t="s">
        <v>265</v>
      </c>
      <c r="D89" s="1" t="s">
        <v>315</v>
      </c>
    </row>
    <row r="90" spans="1:4">
      <c r="A90" s="2">
        <v>275</v>
      </c>
      <c r="B90" s="17">
        <v>1</v>
      </c>
      <c r="C90" s="2" t="s">
        <v>266</v>
      </c>
      <c r="D90" s="1" t="s">
        <v>316</v>
      </c>
    </row>
    <row r="91" spans="1:4">
      <c r="A91" s="2">
        <v>276</v>
      </c>
      <c r="B91" s="17">
        <v>1</v>
      </c>
      <c r="C91" s="2" t="s">
        <v>267</v>
      </c>
      <c r="D91" s="1" t="s">
        <v>317</v>
      </c>
    </row>
    <row r="92" spans="1:4">
      <c r="A92" s="2">
        <v>277</v>
      </c>
      <c r="B92" s="17">
        <v>1</v>
      </c>
      <c r="C92" s="2" t="s">
        <v>268</v>
      </c>
      <c r="D92" s="1" t="s">
        <v>318</v>
      </c>
    </row>
    <row r="93" spans="1:4">
      <c r="A93" s="2">
        <v>278</v>
      </c>
      <c r="B93" s="17">
        <v>1</v>
      </c>
      <c r="C93" s="2" t="s">
        <v>269</v>
      </c>
      <c r="D93" s="1" t="s">
        <v>319</v>
      </c>
    </row>
    <row r="94" spans="1:4">
      <c r="A94" s="2">
        <v>279</v>
      </c>
      <c r="B94" s="17">
        <v>1</v>
      </c>
      <c r="C94" s="2" t="s">
        <v>270</v>
      </c>
      <c r="D94" s="1" t="s">
        <v>320</v>
      </c>
    </row>
    <row r="95" spans="1:4">
      <c r="A95" s="2">
        <v>280</v>
      </c>
      <c r="B95" s="17">
        <v>1</v>
      </c>
      <c r="C95" s="2" t="s">
        <v>271</v>
      </c>
      <c r="D95" s="1" t="s">
        <v>321</v>
      </c>
    </row>
    <row r="96" spans="1:4">
      <c r="A96" s="2">
        <v>281</v>
      </c>
      <c r="B96" s="17">
        <v>1</v>
      </c>
      <c r="C96" s="2" t="s">
        <v>272</v>
      </c>
      <c r="D96" s="1" t="s">
        <v>322</v>
      </c>
    </row>
    <row r="97" spans="1:4">
      <c r="A97" s="2">
        <v>282</v>
      </c>
      <c r="B97" s="17">
        <v>1</v>
      </c>
      <c r="C97" s="2" t="s">
        <v>273</v>
      </c>
      <c r="D97" s="1" t="s">
        <v>323</v>
      </c>
    </row>
    <row r="98" spans="1:4">
      <c r="A98" s="2">
        <v>283</v>
      </c>
      <c r="B98" s="17">
        <v>1</v>
      </c>
      <c r="C98" s="2" t="s">
        <v>274</v>
      </c>
      <c r="D98" s="1" t="s">
        <v>324</v>
      </c>
    </row>
    <row r="99" spans="1:4">
      <c r="A99" s="2">
        <v>284</v>
      </c>
      <c r="B99" s="17">
        <v>1</v>
      </c>
      <c r="C99" s="2" t="s">
        <v>275</v>
      </c>
      <c r="D99" s="1" t="s">
        <v>325</v>
      </c>
    </row>
    <row r="100" spans="1:4">
      <c r="A100" s="2">
        <v>285</v>
      </c>
      <c r="B100" s="17">
        <v>1</v>
      </c>
      <c r="C100" s="2" t="s">
        <v>276</v>
      </c>
      <c r="D100" s="1" t="s">
        <v>326</v>
      </c>
    </row>
    <row r="101" spans="1:4">
      <c r="A101" s="2">
        <v>286</v>
      </c>
      <c r="B101" s="17">
        <v>1</v>
      </c>
      <c r="C101" s="2" t="s">
        <v>277</v>
      </c>
      <c r="D101" s="1" t="s">
        <v>327</v>
      </c>
    </row>
    <row r="102" spans="1:4">
      <c r="A102" s="2">
        <v>287</v>
      </c>
      <c r="B102" s="17">
        <v>1</v>
      </c>
      <c r="C102" s="2" t="s">
        <v>278</v>
      </c>
      <c r="D102" s="1" t="s">
        <v>328</v>
      </c>
    </row>
    <row r="103" spans="1:4">
      <c r="A103" s="2">
        <v>288</v>
      </c>
      <c r="B103" s="17">
        <v>1</v>
      </c>
      <c r="C103" s="2" t="s">
        <v>279</v>
      </c>
      <c r="D103" s="1" t="s">
        <v>329</v>
      </c>
    </row>
    <row r="104" spans="1:4">
      <c r="A104" s="2">
        <v>289</v>
      </c>
      <c r="B104" s="17">
        <v>1</v>
      </c>
      <c r="C104" s="2" t="s">
        <v>280</v>
      </c>
      <c r="D104" s="1" t="s">
        <v>330</v>
      </c>
    </row>
    <row r="105" spans="1:4">
      <c r="A105" s="2">
        <v>290</v>
      </c>
      <c r="B105" s="17">
        <v>1</v>
      </c>
      <c r="C105" s="2" t="s">
        <v>281</v>
      </c>
      <c r="D105" s="1" t="s">
        <v>331</v>
      </c>
    </row>
    <row r="106" spans="1:4">
      <c r="A106" s="2">
        <v>291</v>
      </c>
      <c r="B106" s="17">
        <v>1</v>
      </c>
      <c r="C106" s="2" t="s">
        <v>282</v>
      </c>
      <c r="D106" s="1" t="s">
        <v>332</v>
      </c>
    </row>
    <row r="107" spans="1:4">
      <c r="A107" s="2">
        <v>292</v>
      </c>
      <c r="B107" s="17">
        <v>1</v>
      </c>
      <c r="C107" s="2" t="s">
        <v>283</v>
      </c>
      <c r="D107" s="1" t="s">
        <v>333</v>
      </c>
    </row>
    <row r="108" spans="1:4">
      <c r="A108" s="2">
        <v>293</v>
      </c>
      <c r="B108" s="17">
        <v>1</v>
      </c>
      <c r="C108" s="2" t="s">
        <v>284</v>
      </c>
      <c r="D108" s="1" t="s">
        <v>334</v>
      </c>
    </row>
    <row r="109" spans="1:4">
      <c r="A109" s="2">
        <v>294</v>
      </c>
      <c r="B109" s="17">
        <v>1</v>
      </c>
      <c r="C109" s="2" t="s">
        <v>285</v>
      </c>
      <c r="D109" s="1" t="s">
        <v>335</v>
      </c>
    </row>
    <row r="110" spans="1:4">
      <c r="A110" s="2">
        <v>295</v>
      </c>
      <c r="B110" s="17">
        <v>1</v>
      </c>
      <c r="C110" s="2" t="s">
        <v>286</v>
      </c>
      <c r="D110" s="1" t="s">
        <v>336</v>
      </c>
    </row>
    <row r="111" spans="1:4">
      <c r="A111" s="2">
        <v>296</v>
      </c>
      <c r="B111" s="17">
        <v>1</v>
      </c>
      <c r="C111" s="2" t="s">
        <v>287</v>
      </c>
      <c r="D111" s="1" t="s">
        <v>337</v>
      </c>
    </row>
    <row r="112" spans="1:4">
      <c r="A112" s="2">
        <v>297</v>
      </c>
      <c r="B112" s="17">
        <v>1</v>
      </c>
      <c r="C112" s="2" t="s">
        <v>288</v>
      </c>
      <c r="D112" s="1" t="s">
        <v>338</v>
      </c>
    </row>
    <row r="113" spans="1:4">
      <c r="A113" s="2">
        <v>298</v>
      </c>
      <c r="B113" s="17">
        <v>1</v>
      </c>
      <c r="C113" s="2" t="s">
        <v>289</v>
      </c>
      <c r="D113" s="1" t="s">
        <v>339</v>
      </c>
    </row>
    <row r="114" spans="1:4">
      <c r="A114" s="2">
        <v>299</v>
      </c>
      <c r="B114" s="17">
        <v>1</v>
      </c>
      <c r="C114" s="2" t="s">
        <v>290</v>
      </c>
      <c r="D114" s="1" t="s">
        <v>340</v>
      </c>
    </row>
    <row r="115" spans="1:4">
      <c r="A115" s="2">
        <v>300</v>
      </c>
      <c r="B115" s="17">
        <v>1</v>
      </c>
      <c r="C115" s="2" t="s">
        <v>291</v>
      </c>
      <c r="D115" s="1" t="s">
        <v>341</v>
      </c>
    </row>
    <row r="116" spans="1:4">
      <c r="A116" s="2">
        <v>301</v>
      </c>
      <c r="B116" s="17">
        <v>1</v>
      </c>
      <c r="C116" s="2" t="s">
        <v>126</v>
      </c>
      <c r="D116" s="1" t="s">
        <v>128</v>
      </c>
    </row>
    <row r="117" spans="1:4">
      <c r="A117" s="2">
        <v>302</v>
      </c>
      <c r="B117" s="17">
        <v>1</v>
      </c>
      <c r="C117" s="2" t="s">
        <v>127</v>
      </c>
      <c r="D117" s="1" t="s">
        <v>129</v>
      </c>
    </row>
    <row r="118" spans="1:4">
      <c r="A118" s="2">
        <v>401</v>
      </c>
      <c r="B118" s="17">
        <v>1</v>
      </c>
      <c r="C118" s="2" t="s">
        <v>124</v>
      </c>
      <c r="D118" s="1" t="s">
        <v>125</v>
      </c>
    </row>
    <row r="119" spans="1:4">
      <c r="A119" s="2">
        <v>500</v>
      </c>
      <c r="B119" s="17">
        <v>1</v>
      </c>
      <c r="C119" s="2" t="s">
        <v>130</v>
      </c>
      <c r="D119" s="1" t="s">
        <v>131</v>
      </c>
    </row>
    <row r="120" spans="1:4" s="19" customFormat="1">
      <c r="A120" s="17">
        <v>1001</v>
      </c>
      <c r="B120" s="17">
        <v>4</v>
      </c>
      <c r="C120" s="17" t="s">
        <v>134</v>
      </c>
      <c r="D120" s="18" t="s">
        <v>139</v>
      </c>
    </row>
    <row r="121" spans="1:4" s="19" customFormat="1">
      <c r="A121" s="17">
        <v>1002</v>
      </c>
      <c r="B121" s="17">
        <v>4</v>
      </c>
      <c r="C121" s="17" t="s">
        <v>135</v>
      </c>
      <c r="D121" s="18" t="s">
        <v>140</v>
      </c>
    </row>
    <row r="122" spans="1:4" s="19" customFormat="1">
      <c r="A122" s="17">
        <v>1003</v>
      </c>
      <c r="B122" s="17">
        <v>4</v>
      </c>
      <c r="C122" s="17" t="s">
        <v>136</v>
      </c>
      <c r="D122" s="18" t="s">
        <v>141</v>
      </c>
    </row>
    <row r="123" spans="1:4" s="19" customFormat="1">
      <c r="A123" s="17">
        <v>1004</v>
      </c>
      <c r="B123" s="17">
        <v>4</v>
      </c>
      <c r="C123" s="17" t="s">
        <v>137</v>
      </c>
      <c r="D123" s="18" t="s">
        <v>138</v>
      </c>
    </row>
    <row r="124" spans="1:4" s="19" customFormat="1">
      <c r="A124" s="17">
        <v>1005</v>
      </c>
      <c r="B124" s="17">
        <v>4</v>
      </c>
      <c r="C124" s="17" t="s">
        <v>342</v>
      </c>
      <c r="D124" s="18" t="s">
        <v>343</v>
      </c>
    </row>
    <row r="125" spans="1:4" s="19" customFormat="1">
      <c r="A125" s="25">
        <v>1006</v>
      </c>
      <c r="B125" s="25">
        <v>4</v>
      </c>
      <c r="C125" s="25" t="s">
        <v>361</v>
      </c>
      <c r="D125" s="26" t="s">
        <v>358</v>
      </c>
    </row>
    <row r="126" spans="1:4" s="19" customFormat="1">
      <c r="A126" s="25">
        <v>1007</v>
      </c>
      <c r="B126" s="25">
        <v>4</v>
      </c>
      <c r="C126" s="25" t="s">
        <v>357</v>
      </c>
      <c r="D126" s="26" t="s">
        <v>358</v>
      </c>
    </row>
    <row r="127" spans="1:4" s="19" customFormat="1">
      <c r="A127" s="25">
        <v>1008</v>
      </c>
      <c r="B127" s="25">
        <v>4</v>
      </c>
      <c r="C127" s="25" t="s">
        <v>366</v>
      </c>
      <c r="D127" s="26" t="s">
        <v>359</v>
      </c>
    </row>
    <row r="128" spans="1:4" s="19" customFormat="1">
      <c r="A128" s="25">
        <v>1009</v>
      </c>
      <c r="B128" s="25">
        <v>4</v>
      </c>
      <c r="C128" s="25" t="s">
        <v>367</v>
      </c>
      <c r="D128" s="26" t="s">
        <v>360</v>
      </c>
    </row>
    <row r="129" spans="1:4" s="19" customFormat="1">
      <c r="A129" s="25">
        <v>1010</v>
      </c>
      <c r="B129" s="25">
        <v>4</v>
      </c>
      <c r="C129" s="25" t="s">
        <v>368</v>
      </c>
      <c r="D129" s="26" t="s">
        <v>362</v>
      </c>
    </row>
    <row r="130" spans="1:4" s="19" customFormat="1">
      <c r="A130" s="25">
        <v>1011</v>
      </c>
      <c r="B130" s="25">
        <v>4</v>
      </c>
      <c r="C130" s="25" t="s">
        <v>369</v>
      </c>
      <c r="D130" s="26" t="s">
        <v>365</v>
      </c>
    </row>
    <row r="131" spans="1:4">
      <c r="A131" s="25">
        <v>1012</v>
      </c>
      <c r="B131" s="25">
        <v>4</v>
      </c>
      <c r="C131" s="25" t="s">
        <v>370</v>
      </c>
      <c r="D131" s="26" t="s">
        <v>363</v>
      </c>
    </row>
    <row r="132" spans="1:4">
      <c r="A132" s="25">
        <v>1013</v>
      </c>
      <c r="B132" s="25">
        <v>4</v>
      </c>
      <c r="C132" s="25" t="s">
        <v>371</v>
      </c>
      <c r="D132" s="26" t="s">
        <v>364</v>
      </c>
    </row>
  </sheetData>
  <sortState ref="A711:D779">
    <sortCondition ref="A711:A779"/>
  </sortState>
  <dataConsolidate>
    <dataRefs count="1">
      <dataRef ref="J69:J83" sheet="Sheet1"/>
    </dataRefs>
  </dataConsolidate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H1:H77"/>
  <sheetViews>
    <sheetView workbookViewId="0">
      <selection activeCell="H75" sqref="H1:H75"/>
    </sheetView>
  </sheetViews>
  <sheetFormatPr defaultRowHeight="13.5"/>
  <sheetData>
    <row r="1" spans="8:8">
      <c r="H1" t="s">
        <v>33</v>
      </c>
    </row>
    <row r="2" spans="8:8">
      <c r="H2" t="s">
        <v>33</v>
      </c>
    </row>
    <row r="3" spans="8:8" ht="16.5">
      <c r="H3" s="6" t="s">
        <v>33</v>
      </c>
    </row>
    <row r="4" spans="8:8" ht="16.5">
      <c r="H4" s="5" t="s">
        <v>33</v>
      </c>
    </row>
    <row r="5" spans="8:8" ht="16.5">
      <c r="H5" s="5" t="s">
        <v>34</v>
      </c>
    </row>
    <row r="6" spans="8:8" ht="16.5">
      <c r="H6" s="5" t="s">
        <v>34</v>
      </c>
    </row>
    <row r="7" spans="8:8" ht="16.5">
      <c r="H7" s="5" t="s">
        <v>34</v>
      </c>
    </row>
    <row r="8" spans="8:8" ht="16.5">
      <c r="H8" s="5" t="s">
        <v>34</v>
      </c>
    </row>
    <row r="9" spans="8:8" ht="16.5">
      <c r="H9" s="5" t="s">
        <v>35</v>
      </c>
    </row>
    <row r="10" spans="8:8" ht="16.5">
      <c r="H10" s="5" t="s">
        <v>35</v>
      </c>
    </row>
    <row r="11" spans="8:8" ht="16.5">
      <c r="H11" s="5" t="s">
        <v>35</v>
      </c>
    </row>
    <row r="12" spans="8:8" ht="16.5">
      <c r="H12" s="5" t="s">
        <v>35</v>
      </c>
    </row>
    <row r="13" spans="8:8" ht="16.5">
      <c r="H13" s="5" t="s">
        <v>36</v>
      </c>
    </row>
    <row r="14" spans="8:8" ht="16.5">
      <c r="H14" s="5" t="s">
        <v>36</v>
      </c>
    </row>
    <row r="15" spans="8:8" ht="16.5">
      <c r="H15" s="5" t="s">
        <v>36</v>
      </c>
    </row>
    <row r="16" spans="8:8" ht="16.5">
      <c r="H16" s="5" t="s">
        <v>36</v>
      </c>
    </row>
    <row r="17" spans="8:8" ht="16.5">
      <c r="H17" s="5" t="s">
        <v>37</v>
      </c>
    </row>
    <row r="18" spans="8:8" ht="16.5">
      <c r="H18" s="5" t="s">
        <v>37</v>
      </c>
    </row>
    <row r="19" spans="8:8" ht="16.5">
      <c r="H19" s="5" t="s">
        <v>37</v>
      </c>
    </row>
    <row r="20" spans="8:8" ht="16.5">
      <c r="H20" s="5" t="s">
        <v>37</v>
      </c>
    </row>
    <row r="21" spans="8:8" ht="16.5">
      <c r="H21" s="5" t="s">
        <v>38</v>
      </c>
    </row>
    <row r="22" spans="8:8" ht="16.5">
      <c r="H22" s="5" t="s">
        <v>38</v>
      </c>
    </row>
    <row r="23" spans="8:8" ht="16.5">
      <c r="H23" s="5" t="s">
        <v>38</v>
      </c>
    </row>
    <row r="24" spans="8:8" ht="16.5">
      <c r="H24" s="5" t="s">
        <v>38</v>
      </c>
    </row>
    <row r="25" spans="8:8" ht="16.5">
      <c r="H25" s="5" t="s">
        <v>39</v>
      </c>
    </row>
    <row r="26" spans="8:8" ht="16.5">
      <c r="H26" s="5" t="s">
        <v>39</v>
      </c>
    </row>
    <row r="27" spans="8:8" ht="16.5">
      <c r="H27" s="5" t="s">
        <v>39</v>
      </c>
    </row>
    <row r="28" spans="8:8" ht="16.5">
      <c r="H28" s="5" t="s">
        <v>39</v>
      </c>
    </row>
    <row r="29" spans="8:8" ht="16.5">
      <c r="H29" s="5" t="s">
        <v>40</v>
      </c>
    </row>
    <row r="30" spans="8:8" ht="16.5">
      <c r="H30" s="5" t="s">
        <v>40</v>
      </c>
    </row>
    <row r="31" spans="8:8" ht="16.5">
      <c r="H31" s="5" t="s">
        <v>40</v>
      </c>
    </row>
    <row r="32" spans="8:8" ht="16.5">
      <c r="H32" s="5" t="s">
        <v>40</v>
      </c>
    </row>
    <row r="33" spans="8:8" ht="16.5">
      <c r="H33" s="5" t="s">
        <v>41</v>
      </c>
    </row>
    <row r="34" spans="8:8" ht="16.5">
      <c r="H34" s="5" t="s">
        <v>41</v>
      </c>
    </row>
    <row r="35" spans="8:8" ht="16.5">
      <c r="H35" s="5" t="s">
        <v>41</v>
      </c>
    </row>
    <row r="36" spans="8:8" ht="16.5">
      <c r="H36" s="5" t="s">
        <v>41</v>
      </c>
    </row>
    <row r="37" spans="8:8" ht="16.5">
      <c r="H37" s="5" t="s">
        <v>42</v>
      </c>
    </row>
    <row r="38" spans="8:8" ht="16.5">
      <c r="H38" s="5" t="s">
        <v>42</v>
      </c>
    </row>
    <row r="39" spans="8:8" ht="16.5">
      <c r="H39" s="5" t="s">
        <v>42</v>
      </c>
    </row>
    <row r="40" spans="8:8" ht="16.5">
      <c r="H40" s="5" t="s">
        <v>42</v>
      </c>
    </row>
    <row r="41" spans="8:8" ht="16.5">
      <c r="H41" s="5" t="s">
        <v>43</v>
      </c>
    </row>
    <row r="42" spans="8:8" ht="16.5">
      <c r="H42" s="5" t="s">
        <v>43</v>
      </c>
    </row>
    <row r="43" spans="8:8" ht="16.5">
      <c r="H43" s="5" t="s">
        <v>43</v>
      </c>
    </row>
    <row r="44" spans="8:8" ht="16.5">
      <c r="H44" s="5" t="s">
        <v>43</v>
      </c>
    </row>
    <row r="45" spans="8:8" ht="16.5">
      <c r="H45" s="5" t="s">
        <v>44</v>
      </c>
    </row>
    <row r="46" spans="8:8" ht="16.5">
      <c r="H46" s="5" t="s">
        <v>44</v>
      </c>
    </row>
    <row r="47" spans="8:8" ht="16.5">
      <c r="H47" s="5" t="s">
        <v>44</v>
      </c>
    </row>
    <row r="48" spans="8:8" ht="16.5">
      <c r="H48" s="5" t="s">
        <v>44</v>
      </c>
    </row>
    <row r="49" spans="8:8" ht="16.5">
      <c r="H49" s="5" t="s">
        <v>45</v>
      </c>
    </row>
    <row r="50" spans="8:8" ht="16.5">
      <c r="H50" s="5" t="s">
        <v>45</v>
      </c>
    </row>
    <row r="51" spans="8:8" ht="16.5">
      <c r="H51" s="5" t="s">
        <v>45</v>
      </c>
    </row>
    <row r="52" spans="8:8" ht="16.5">
      <c r="H52" s="5" t="s">
        <v>45</v>
      </c>
    </row>
    <row r="53" spans="8:8" ht="16.5">
      <c r="H53" s="5" t="s">
        <v>46</v>
      </c>
    </row>
    <row r="54" spans="8:8" ht="16.5">
      <c r="H54" s="5" t="s">
        <v>46</v>
      </c>
    </row>
    <row r="55" spans="8:8" ht="16.5">
      <c r="H55" s="5" t="s">
        <v>46</v>
      </c>
    </row>
    <row r="56" spans="8:8" ht="16.5">
      <c r="H56" s="5" t="s">
        <v>46</v>
      </c>
    </row>
    <row r="57" spans="8:8" ht="16.5">
      <c r="H57" s="5" t="s">
        <v>47</v>
      </c>
    </row>
    <row r="58" spans="8:8" ht="16.5">
      <c r="H58" s="5" t="s">
        <v>47</v>
      </c>
    </row>
    <row r="59" spans="8:8" ht="16.5">
      <c r="H59" s="5" t="s">
        <v>47</v>
      </c>
    </row>
    <row r="60" spans="8:8" ht="16.5">
      <c r="H60" s="5" t="s">
        <v>47</v>
      </c>
    </row>
    <row r="61" spans="8:8" ht="16.5">
      <c r="H61" s="5" t="s">
        <v>48</v>
      </c>
    </row>
    <row r="62" spans="8:8" ht="16.5">
      <c r="H62" s="5" t="s">
        <v>48</v>
      </c>
    </row>
    <row r="63" spans="8:8" ht="16.5">
      <c r="H63" s="5" t="s">
        <v>48</v>
      </c>
    </row>
    <row r="64" spans="8:8" ht="16.5">
      <c r="H64" s="5" t="s">
        <v>48</v>
      </c>
    </row>
    <row r="65" spans="8:8" ht="16.5">
      <c r="H65" s="5" t="s">
        <v>49</v>
      </c>
    </row>
    <row r="66" spans="8:8" ht="16.5">
      <c r="H66" s="5" t="s">
        <v>49</v>
      </c>
    </row>
    <row r="67" spans="8:8" ht="16.5">
      <c r="H67" s="5" t="s">
        <v>49</v>
      </c>
    </row>
    <row r="68" spans="8:8" ht="16.5">
      <c r="H68" s="5" t="s">
        <v>49</v>
      </c>
    </row>
    <row r="69" spans="8:8" ht="16.5">
      <c r="H69" s="5" t="s">
        <v>50</v>
      </c>
    </row>
    <row r="70" spans="8:8" ht="16.5">
      <c r="H70" s="5" t="s">
        <v>50</v>
      </c>
    </row>
    <row r="71" spans="8:8" ht="16.5">
      <c r="H71" s="5" t="s">
        <v>50</v>
      </c>
    </row>
    <row r="72" spans="8:8" ht="16.5">
      <c r="H72" s="5" t="s">
        <v>50</v>
      </c>
    </row>
    <row r="73" spans="8:8" ht="16.5">
      <c r="H73" s="5" t="s">
        <v>51</v>
      </c>
    </row>
    <row r="74" spans="8:8" ht="16.5">
      <c r="H74" s="5" t="s">
        <v>51</v>
      </c>
    </row>
    <row r="75" spans="8:8" ht="16.5">
      <c r="H75" s="5" t="s">
        <v>51</v>
      </c>
    </row>
    <row r="76" spans="8:8" ht="16.5">
      <c r="H76" s="5"/>
    </row>
    <row r="77" spans="8:8" ht="16.5">
      <c r="H77" s="5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6:AD106"/>
  <sheetViews>
    <sheetView workbookViewId="0">
      <selection activeCell="B37" sqref="B37"/>
    </sheetView>
  </sheetViews>
  <sheetFormatPr defaultRowHeight="13.5"/>
  <cols>
    <col min="2" max="2" width="12.5" bestFit="1" customWidth="1"/>
    <col min="21" max="21" width="11.625" bestFit="1" customWidth="1"/>
    <col min="22" max="22" width="11.625" customWidth="1"/>
    <col min="25" max="25" width="11.625" bestFit="1" customWidth="1"/>
    <col min="26" max="26" width="11.625" customWidth="1"/>
    <col min="29" max="29" width="11.625" bestFit="1" customWidth="1"/>
  </cols>
  <sheetData>
    <row r="6" spans="2:30" ht="16.5">
      <c r="B6" s="2" t="s">
        <v>52</v>
      </c>
      <c r="C6" s="1" t="s">
        <v>106</v>
      </c>
    </row>
    <row r="7" spans="2:30" ht="16.5">
      <c r="B7" s="2" t="s">
        <v>53</v>
      </c>
      <c r="C7" s="1" t="s">
        <v>107</v>
      </c>
    </row>
    <row r="8" spans="2:30" ht="16.5">
      <c r="B8" s="2" t="s">
        <v>54</v>
      </c>
      <c r="C8" s="1" t="s">
        <v>31</v>
      </c>
    </row>
    <row r="9" spans="2:30" ht="16.5">
      <c r="B9" s="2" t="s">
        <v>55</v>
      </c>
      <c r="C9" s="1" t="s">
        <v>32</v>
      </c>
    </row>
    <row r="10" spans="2:30" ht="16.5">
      <c r="B10" s="2" t="s">
        <v>56</v>
      </c>
      <c r="C10" s="1" t="s">
        <v>105</v>
      </c>
    </row>
    <row r="14" spans="2:30" ht="16.5">
      <c r="C14" s="8"/>
      <c r="D14" s="8"/>
    </row>
    <row r="15" spans="2:30" ht="16.5">
      <c r="C15" s="9"/>
      <c r="D15" s="9"/>
      <c r="K15" s="9">
        <v>1211</v>
      </c>
      <c r="L15" s="9" t="s">
        <v>91</v>
      </c>
      <c r="M15" t="str">
        <f>"10|5|"&amp;K15&amp;","</f>
        <v>10|5|1211,</v>
      </c>
      <c r="N15" t="str">
        <f>M15</f>
        <v>10|5|1211,</v>
      </c>
      <c r="O15" s="9">
        <v>1104</v>
      </c>
      <c r="P15" s="9" t="s">
        <v>16</v>
      </c>
      <c r="Q15" t="str">
        <f>"10|5|"&amp;O15&amp;","</f>
        <v>10|5|1104,</v>
      </c>
      <c r="R15" t="str">
        <f>Q15</f>
        <v>10|5|1104,</v>
      </c>
      <c r="S15" s="9">
        <v>1133</v>
      </c>
      <c r="T15" s="9" t="s">
        <v>63</v>
      </c>
      <c r="U15" t="str">
        <f>"10|5|"&amp;S15&amp;","</f>
        <v>10|5|1133,</v>
      </c>
      <c r="V15" t="str">
        <f>U15</f>
        <v>10|5|1133,</v>
      </c>
      <c r="W15" s="9">
        <v>1142</v>
      </c>
      <c r="X15" s="9" t="s">
        <v>64</v>
      </c>
      <c r="Y15" t="str">
        <f>"10|5|"&amp;W15&amp;","</f>
        <v>10|5|1142,</v>
      </c>
      <c r="Z15" t="str">
        <f>Y15</f>
        <v>10|5|1142,</v>
      </c>
      <c r="AA15" s="13">
        <v>1153</v>
      </c>
      <c r="AB15" s="13" t="s">
        <v>72</v>
      </c>
      <c r="AC15" t="str">
        <f>"10|5|"&amp;AA15&amp;","</f>
        <v>10|5|1153,</v>
      </c>
      <c r="AD15" t="str">
        <f>AC15</f>
        <v>10|5|1153,</v>
      </c>
    </row>
    <row r="16" spans="2:30" ht="16.5">
      <c r="C16" s="9"/>
      <c r="D16" s="9"/>
      <c r="K16" s="8">
        <v>1119</v>
      </c>
      <c r="L16" s="9" t="s">
        <v>92</v>
      </c>
      <c r="M16" t="str">
        <f t="shared" ref="M16:M25" si="0">"10|5|"&amp;K16&amp;","</f>
        <v>10|5|1119,</v>
      </c>
      <c r="N16" t="str">
        <f>N15&amp;M16</f>
        <v>10|5|1211,10|5|1119,</v>
      </c>
      <c r="O16" s="9">
        <v>1106</v>
      </c>
      <c r="P16" s="9" t="s">
        <v>29</v>
      </c>
      <c r="Q16" t="str">
        <f t="shared" ref="Q16:Q32" si="1">"10|5|"&amp;O16&amp;","</f>
        <v>10|5|1106,</v>
      </c>
      <c r="R16" t="str">
        <f>R15&amp;Q16</f>
        <v>10|5|1104,10|5|1106,</v>
      </c>
      <c r="S16" s="8">
        <v>1134</v>
      </c>
      <c r="T16" s="8" t="s">
        <v>21</v>
      </c>
      <c r="U16" t="str">
        <f t="shared" ref="U16:U20" si="2">"10|5|"&amp;S16&amp;","</f>
        <v>10|5|1134,</v>
      </c>
      <c r="V16" t="str">
        <f>V15&amp;U16</f>
        <v>10|5|1133,10|5|1134,</v>
      </c>
      <c r="W16" s="9">
        <v>1143</v>
      </c>
      <c r="X16" s="9" t="s">
        <v>65</v>
      </c>
      <c r="Y16" t="str">
        <f t="shared" ref="Y16:Y27" si="3">"10|5|"&amp;W16&amp;","</f>
        <v>10|5|1143,</v>
      </c>
      <c r="Z16" t="str">
        <f>Z15&amp;Y16</f>
        <v>10|5|1142,10|5|1143,</v>
      </c>
      <c r="AA16" s="9">
        <v>1154</v>
      </c>
      <c r="AB16" s="9" t="s">
        <v>73</v>
      </c>
      <c r="AC16" t="str">
        <f t="shared" ref="AC16:AC37" si="4">"10|5|"&amp;AA16&amp;","</f>
        <v>10|5|1154,</v>
      </c>
      <c r="AD16" t="str">
        <f>AD15&amp;AC16</f>
        <v>10|5|1153,10|5|1154,</v>
      </c>
    </row>
    <row r="17" spans="3:30" ht="16.5">
      <c r="C17" s="9"/>
      <c r="D17" s="9"/>
      <c r="K17" s="8">
        <v>1101</v>
      </c>
      <c r="L17" s="8" t="s">
        <v>2</v>
      </c>
      <c r="M17" t="str">
        <f t="shared" si="0"/>
        <v>10|5|1101,</v>
      </c>
      <c r="N17" t="str">
        <f t="shared" ref="N17:N26" si="5">N16&amp;M17</f>
        <v>10|5|1211,10|5|1119,10|5|1101,</v>
      </c>
      <c r="O17" s="9">
        <v>1110</v>
      </c>
      <c r="P17" s="9" t="s">
        <v>4</v>
      </c>
      <c r="Q17" t="str">
        <f t="shared" si="1"/>
        <v>10|5|1110,</v>
      </c>
      <c r="R17" t="str">
        <f t="shared" ref="R17:R33" si="6">R16&amp;Q17</f>
        <v>10|5|1104,10|5|1106,10|5|1110,</v>
      </c>
      <c r="S17" s="9">
        <v>1136</v>
      </c>
      <c r="T17" s="9" t="s">
        <v>22</v>
      </c>
      <c r="U17" t="str">
        <f t="shared" si="2"/>
        <v>10|5|1136,</v>
      </c>
      <c r="V17" t="str">
        <f t="shared" ref="V17:V21" si="7">V16&amp;U17</f>
        <v>10|5|1133,10|5|1134,10|5|1136,</v>
      </c>
      <c r="W17" s="9">
        <v>1146</v>
      </c>
      <c r="X17" s="9" t="s">
        <v>95</v>
      </c>
      <c r="Y17" t="str">
        <f t="shared" si="3"/>
        <v>10|5|1146,</v>
      </c>
      <c r="Z17" t="str">
        <f t="shared" ref="Z17:Z28" si="8">Z16&amp;Y17</f>
        <v>10|5|1142,10|5|1143,10|5|1146,</v>
      </c>
      <c r="AA17" s="9">
        <v>1164</v>
      </c>
      <c r="AB17" s="9" t="s">
        <v>74</v>
      </c>
      <c r="AC17" t="str">
        <f t="shared" si="4"/>
        <v>10|5|1164,</v>
      </c>
      <c r="AD17" t="str">
        <f t="shared" ref="AD17:AD38" si="9">AD16&amp;AC17</f>
        <v>10|5|1153,10|5|1154,10|5|1164,</v>
      </c>
    </row>
    <row r="18" spans="3:30" ht="16.5">
      <c r="C18" s="9"/>
      <c r="D18" s="9"/>
      <c r="K18" s="9">
        <v>1102</v>
      </c>
      <c r="L18" s="9" t="s">
        <v>3</v>
      </c>
      <c r="M18" t="str">
        <f t="shared" si="0"/>
        <v>10|5|1102,</v>
      </c>
      <c r="N18" t="str">
        <f t="shared" si="5"/>
        <v>10|5|1211,10|5|1119,10|5|1101,10|5|1102,</v>
      </c>
      <c r="O18" s="9">
        <v>1114</v>
      </c>
      <c r="P18" s="9" t="s">
        <v>14</v>
      </c>
      <c r="Q18" t="str">
        <f t="shared" si="1"/>
        <v>10|5|1114,</v>
      </c>
      <c r="R18" t="str">
        <f t="shared" si="6"/>
        <v>10|5|1104,10|5|1106,10|5|1110,10|5|1114,</v>
      </c>
      <c r="S18" s="9">
        <v>1138</v>
      </c>
      <c r="T18" s="9" t="s">
        <v>24</v>
      </c>
      <c r="U18" t="str">
        <f t="shared" si="2"/>
        <v>10|5|1138,</v>
      </c>
      <c r="V18" t="str">
        <f t="shared" si="7"/>
        <v>10|5|1133,10|5|1134,10|5|1136,10|5|1138,</v>
      </c>
      <c r="W18" s="9">
        <v>1147</v>
      </c>
      <c r="X18" s="9" t="s">
        <v>66</v>
      </c>
      <c r="Y18" t="str">
        <f t="shared" si="3"/>
        <v>10|5|1147,</v>
      </c>
      <c r="Z18" t="str">
        <f t="shared" si="8"/>
        <v>10|5|1142,10|5|1143,10|5|1146,10|5|1147,</v>
      </c>
      <c r="AA18" s="9">
        <v>1165</v>
      </c>
      <c r="AB18" s="9" t="s">
        <v>75</v>
      </c>
      <c r="AC18" t="str">
        <f t="shared" si="4"/>
        <v>10|5|1165,</v>
      </c>
      <c r="AD18" t="str">
        <f t="shared" si="9"/>
        <v>10|5|1153,10|5|1154,10|5|1164,10|5|1165,</v>
      </c>
    </row>
    <row r="19" spans="3:30" ht="16.5">
      <c r="C19" s="9"/>
      <c r="D19" s="9"/>
      <c r="K19" s="9">
        <v>1103</v>
      </c>
      <c r="L19" s="9" t="s">
        <v>17</v>
      </c>
      <c r="M19" t="str">
        <f t="shared" si="0"/>
        <v>10|5|1103,</v>
      </c>
      <c r="N19" t="str">
        <f t="shared" si="5"/>
        <v>10|5|1211,10|5|1119,10|5|1101,10|5|1102,10|5|1103,</v>
      </c>
      <c r="O19" s="9">
        <v>1115</v>
      </c>
      <c r="P19" s="9" t="s">
        <v>12</v>
      </c>
      <c r="Q19" t="str">
        <f t="shared" si="1"/>
        <v>10|5|1115,</v>
      </c>
      <c r="R19" t="str">
        <f t="shared" si="6"/>
        <v>10|5|1104,10|5|1106,10|5|1110,10|5|1114,10|5|1115,</v>
      </c>
      <c r="S19" s="9">
        <v>1139</v>
      </c>
      <c r="T19" s="9" t="s">
        <v>25</v>
      </c>
      <c r="U19" t="str">
        <f t="shared" si="2"/>
        <v>10|5|1139,</v>
      </c>
      <c r="V19" t="str">
        <f t="shared" si="7"/>
        <v>10|5|1133,10|5|1134,10|5|1136,10|5|1138,10|5|1139,</v>
      </c>
      <c r="W19" s="9">
        <v>1148</v>
      </c>
      <c r="X19" s="9" t="s">
        <v>67</v>
      </c>
      <c r="Y19" t="str">
        <f t="shared" si="3"/>
        <v>10|5|1148,</v>
      </c>
      <c r="Z19" t="str">
        <f t="shared" si="8"/>
        <v>10|5|1142,10|5|1143,10|5|1146,10|5|1147,10|5|1148,</v>
      </c>
      <c r="AA19" s="9">
        <v>1166</v>
      </c>
      <c r="AB19" s="9" t="s">
        <v>76</v>
      </c>
      <c r="AC19" t="str">
        <f t="shared" si="4"/>
        <v>10|5|1166,</v>
      </c>
      <c r="AD19" t="str">
        <f t="shared" si="9"/>
        <v>10|5|1153,10|5|1154,10|5|1164,10|5|1165,10|5|1166,</v>
      </c>
    </row>
    <row r="20" spans="3:30" ht="16.5">
      <c r="C20" s="9"/>
      <c r="D20" s="9"/>
      <c r="K20" s="9">
        <v>1105</v>
      </c>
      <c r="L20" s="9" t="s">
        <v>28</v>
      </c>
      <c r="M20" t="str">
        <f t="shared" si="0"/>
        <v>10|5|1105,</v>
      </c>
      <c r="N20" t="str">
        <f t="shared" si="5"/>
        <v>10|5|1211,10|5|1119,10|5|1101,10|5|1102,10|5|1103,10|5|1105,</v>
      </c>
      <c r="O20" s="9">
        <v>1116</v>
      </c>
      <c r="P20" s="9" t="s">
        <v>9</v>
      </c>
      <c r="Q20" t="str">
        <f t="shared" si="1"/>
        <v>10|5|1116,</v>
      </c>
      <c r="R20" t="str">
        <f t="shared" si="6"/>
        <v>10|5|1104,10|5|1106,10|5|1110,10|5|1114,10|5|1115,10|5|1116,</v>
      </c>
      <c r="S20" s="9">
        <v>1140</v>
      </c>
      <c r="T20" s="9" t="s">
        <v>26</v>
      </c>
      <c r="U20" t="str">
        <f t="shared" si="2"/>
        <v>10|5|1140,</v>
      </c>
      <c r="V20" t="str">
        <f t="shared" si="7"/>
        <v>10|5|1133,10|5|1134,10|5|1136,10|5|1138,10|5|1139,10|5|1140,</v>
      </c>
      <c r="W20" s="9">
        <v>1152</v>
      </c>
      <c r="X20" s="9" t="s">
        <v>27</v>
      </c>
      <c r="Y20" t="str">
        <f t="shared" si="3"/>
        <v>10|5|1152,</v>
      </c>
      <c r="Z20" t="str">
        <f t="shared" si="8"/>
        <v>10|5|1142,10|5|1143,10|5|1146,10|5|1147,10|5|1148,10|5|1152,</v>
      </c>
      <c r="AA20" s="13">
        <v>1167</v>
      </c>
      <c r="AB20" s="13" t="s">
        <v>77</v>
      </c>
      <c r="AC20" t="str">
        <f t="shared" si="4"/>
        <v>10|5|1167,</v>
      </c>
      <c r="AD20" t="str">
        <f t="shared" si="9"/>
        <v>10|5|1153,10|5|1154,10|5|1164,10|5|1165,10|5|1166,10|5|1167,</v>
      </c>
    </row>
    <row r="21" spans="3:30" ht="16.5">
      <c r="C21" s="8"/>
      <c r="D21" s="8"/>
      <c r="K21" s="9">
        <v>1112</v>
      </c>
      <c r="L21" s="9" t="s">
        <v>93</v>
      </c>
      <c r="M21" t="str">
        <f t="shared" si="0"/>
        <v>10|5|1112,</v>
      </c>
      <c r="N21" t="str">
        <f t="shared" si="5"/>
        <v>10|5|1211,10|5|1119,10|5|1101,10|5|1102,10|5|1103,10|5|1105,10|5|1112,</v>
      </c>
      <c r="O21" s="9">
        <v>1118</v>
      </c>
      <c r="P21" s="9" t="s">
        <v>10</v>
      </c>
      <c r="Q21" t="str">
        <f t="shared" si="1"/>
        <v>10|5|1118,</v>
      </c>
      <c r="R21" t="str">
        <f t="shared" si="6"/>
        <v>10|5|1104,10|5|1106,10|5|1110,10|5|1114,10|5|1115,10|5|1116,10|5|1118,</v>
      </c>
      <c r="S21" s="9">
        <v>1141</v>
      </c>
      <c r="T21" s="9" t="s">
        <v>94</v>
      </c>
      <c r="U21" t="str">
        <f>"10|5|"&amp;S21</f>
        <v>10|5|1141</v>
      </c>
      <c r="V21" t="str">
        <f t="shared" si="7"/>
        <v>10|5|1133,10|5|1134,10|5|1136,10|5|1138,10|5|1139,10|5|1140,10|5|1141</v>
      </c>
      <c r="W21" s="9">
        <v>1155</v>
      </c>
      <c r="X21" s="9" t="s">
        <v>68</v>
      </c>
      <c r="Y21" t="str">
        <f t="shared" si="3"/>
        <v>10|5|1155,</v>
      </c>
      <c r="Z21" t="str">
        <f t="shared" si="8"/>
        <v>10|5|1142,10|5|1143,10|5|1146,10|5|1147,10|5|1148,10|5|1152,10|5|1155,</v>
      </c>
      <c r="AA21" s="9">
        <v>1168</v>
      </c>
      <c r="AB21" s="9" t="s">
        <v>78</v>
      </c>
      <c r="AC21" t="str">
        <f t="shared" si="4"/>
        <v>10|5|1168,</v>
      </c>
      <c r="AD21" t="str">
        <f t="shared" si="9"/>
        <v>10|5|1153,10|5|1154,10|5|1164,10|5|1165,10|5|1166,10|5|1167,10|5|1168,</v>
      </c>
    </row>
    <row r="22" spans="3:30" ht="16.5">
      <c r="C22" s="9"/>
      <c r="D22" s="9"/>
      <c r="K22" s="9">
        <v>1117</v>
      </c>
      <c r="L22" s="9" t="s">
        <v>8</v>
      </c>
      <c r="M22" t="str">
        <f t="shared" si="0"/>
        <v>10|5|1117,</v>
      </c>
      <c r="N22" t="str">
        <f t="shared" si="5"/>
        <v>10|5|1211,10|5|1119,10|5|1101,10|5|1102,10|5|1103,10|5|1105,10|5|1112,10|5|1117,</v>
      </c>
      <c r="O22" s="9">
        <v>1122</v>
      </c>
      <c r="P22" s="9" t="s">
        <v>7</v>
      </c>
      <c r="Q22" t="str">
        <f t="shared" si="1"/>
        <v>10|5|1122,</v>
      </c>
      <c r="R22" t="str">
        <f t="shared" si="6"/>
        <v>10|5|1104,10|5|1106,10|5|1110,10|5|1114,10|5|1115,10|5|1116,10|5|1118,10|5|1122,</v>
      </c>
      <c r="W22" s="9">
        <v>1156</v>
      </c>
      <c r="X22" s="9" t="s">
        <v>96</v>
      </c>
      <c r="Y22" t="str">
        <f t="shared" si="3"/>
        <v>10|5|1156,</v>
      </c>
      <c r="Z22" t="str">
        <f t="shared" si="8"/>
        <v>10|5|1142,10|5|1143,10|5|1146,10|5|1147,10|5|1148,10|5|1152,10|5|1155,10|5|1156,</v>
      </c>
      <c r="AA22" s="9">
        <v>1169</v>
      </c>
      <c r="AB22" s="9" t="s">
        <v>79</v>
      </c>
      <c r="AC22" t="str">
        <f t="shared" si="4"/>
        <v>10|5|1169,</v>
      </c>
      <c r="AD22" t="str">
        <f t="shared" si="9"/>
        <v>10|5|1153,10|5|1154,10|5|1164,10|5|1165,10|5|1166,10|5|1167,10|5|1168,10|5|1169,</v>
      </c>
    </row>
    <row r="23" spans="3:30" ht="16.5">
      <c r="C23" s="8"/>
      <c r="D23" s="9"/>
      <c r="K23" s="9">
        <v>1111</v>
      </c>
      <c r="L23" s="9" t="s">
        <v>15</v>
      </c>
      <c r="M23" t="str">
        <f t="shared" si="0"/>
        <v>10|5|1111,</v>
      </c>
      <c r="N23" t="str">
        <f t="shared" si="5"/>
        <v>10|5|1211,10|5|1119,10|5|1101,10|5|1102,10|5|1103,10|5|1105,10|5|1112,10|5|1117,10|5|1111,</v>
      </c>
      <c r="O23" s="9">
        <v>1123</v>
      </c>
      <c r="P23" s="9" t="s">
        <v>11</v>
      </c>
      <c r="Q23" t="str">
        <f t="shared" si="1"/>
        <v>10|5|1123,</v>
      </c>
      <c r="R23" t="str">
        <f t="shared" si="6"/>
        <v>10|5|1104,10|5|1106,10|5|1110,10|5|1114,10|5|1115,10|5|1116,10|5|1118,10|5|1122,10|5|1123,</v>
      </c>
      <c r="W23" s="13">
        <v>1157</v>
      </c>
      <c r="X23" s="13" t="s">
        <v>97</v>
      </c>
      <c r="Y23" t="str">
        <f t="shared" si="3"/>
        <v>10|5|1157,</v>
      </c>
      <c r="Z23" t="str">
        <f t="shared" si="8"/>
        <v>10|5|1142,10|5|1143,10|5|1146,10|5|1147,10|5|1148,10|5|1152,10|5|1155,10|5|1156,10|5|1157,</v>
      </c>
      <c r="AA23" s="9">
        <v>1170</v>
      </c>
      <c r="AB23" s="9" t="s">
        <v>80</v>
      </c>
      <c r="AC23" t="str">
        <f t="shared" si="4"/>
        <v>10|5|1170,</v>
      </c>
      <c r="AD23" t="str">
        <f t="shared" si="9"/>
        <v>10|5|1153,10|5|1154,10|5|1164,10|5|1165,10|5|1166,10|5|1167,10|5|1168,10|5|1169,10|5|1170,</v>
      </c>
    </row>
    <row r="24" spans="3:30" ht="16.5">
      <c r="C24" s="8"/>
      <c r="D24" s="8"/>
      <c r="K24" s="8">
        <v>1113</v>
      </c>
      <c r="L24" s="8" t="s">
        <v>13</v>
      </c>
      <c r="M24" t="str">
        <f t="shared" si="0"/>
        <v>10|5|1113,</v>
      </c>
      <c r="N24" t="str">
        <f t="shared" si="5"/>
        <v>10|5|1211,10|5|1119,10|5|1101,10|5|1102,10|5|1103,10|5|1105,10|5|1112,10|5|1117,10|5|1111,10|5|1113,</v>
      </c>
      <c r="O24" s="9">
        <v>1124</v>
      </c>
      <c r="P24" s="9" t="s">
        <v>57</v>
      </c>
      <c r="Q24" t="str">
        <f t="shared" si="1"/>
        <v>10|5|1124,</v>
      </c>
      <c r="R24" t="str">
        <f t="shared" si="6"/>
        <v>10|5|1104,10|5|1106,10|5|1110,10|5|1114,10|5|1115,10|5|1116,10|5|1118,10|5|1122,10|5|1123,10|5|1124,</v>
      </c>
      <c r="W24" s="9">
        <v>1158</v>
      </c>
      <c r="X24" s="9" t="s">
        <v>98</v>
      </c>
      <c r="Y24" t="str">
        <f t="shared" si="3"/>
        <v>10|5|1158,</v>
      </c>
      <c r="Z24" t="str">
        <f t="shared" si="8"/>
        <v>10|5|1142,10|5|1143,10|5|1146,10|5|1147,10|5|1148,10|5|1152,10|5|1155,10|5|1156,10|5|1157,10|5|1158,</v>
      </c>
      <c r="AA24" s="9">
        <v>1171</v>
      </c>
      <c r="AB24" s="9" t="s">
        <v>81</v>
      </c>
      <c r="AC24" t="str">
        <f t="shared" si="4"/>
        <v>10|5|1171,</v>
      </c>
      <c r="AD24" t="str">
        <f t="shared" si="9"/>
        <v>10|5|1153,10|5|1154,10|5|1164,10|5|1165,10|5|1166,10|5|1167,10|5|1168,10|5|1169,10|5|1170,10|5|1171,</v>
      </c>
    </row>
    <row r="25" spans="3:30" ht="16.5">
      <c r="C25" s="8"/>
      <c r="D25" s="8"/>
      <c r="K25" s="8">
        <v>1120</v>
      </c>
      <c r="L25" s="8" t="s">
        <v>5</v>
      </c>
      <c r="M25" t="str">
        <f t="shared" si="0"/>
        <v>10|5|1120,</v>
      </c>
      <c r="N25" t="str">
        <f t="shared" si="5"/>
        <v>10|5|1211,10|5|1119,10|5|1101,10|5|1102,10|5|1103,10|5|1105,10|5|1112,10|5|1117,10|5|1111,10|5|1113,10|5|1120,</v>
      </c>
      <c r="O25" s="9">
        <v>1132</v>
      </c>
      <c r="P25" s="9" t="s">
        <v>20</v>
      </c>
      <c r="Q25" t="str">
        <f t="shared" si="1"/>
        <v>10|5|1132,</v>
      </c>
      <c r="R25" t="str">
        <f t="shared" si="6"/>
        <v>10|5|1104,10|5|1106,10|5|1110,10|5|1114,10|5|1115,10|5|1116,10|5|1118,10|5|1122,10|5|1123,10|5|1124,10|5|1132,</v>
      </c>
      <c r="W25" s="9">
        <v>1159</v>
      </c>
      <c r="X25" s="9" t="s">
        <v>99</v>
      </c>
      <c r="Y25" t="str">
        <f t="shared" si="3"/>
        <v>10|5|1159,</v>
      </c>
      <c r="Z25" t="str">
        <f t="shared" si="8"/>
        <v>10|5|1142,10|5|1143,10|5|1146,10|5|1147,10|5|1148,10|5|1152,10|5|1155,10|5|1156,10|5|1157,10|5|1158,10|5|1159,</v>
      </c>
      <c r="AA25" s="9">
        <v>1176</v>
      </c>
      <c r="AB25" s="9" t="s">
        <v>100</v>
      </c>
      <c r="AC25" t="str">
        <f t="shared" si="4"/>
        <v>10|5|1176,</v>
      </c>
      <c r="AD25" t="str">
        <f t="shared" si="9"/>
        <v>10|5|1153,10|5|1154,10|5|1164,10|5|1165,10|5|1166,10|5|1167,10|5|1168,10|5|1169,10|5|1170,10|5|1171,10|5|1176,</v>
      </c>
    </row>
    <row r="26" spans="3:30" ht="16.5">
      <c r="C26" s="10"/>
      <c r="D26" s="10"/>
      <c r="K26" s="8">
        <v>1121</v>
      </c>
      <c r="L26" s="8" t="s">
        <v>6</v>
      </c>
      <c r="M26" t="str">
        <f>"10|5|"&amp;K26</f>
        <v>10|5|1121</v>
      </c>
      <c r="N26" t="str">
        <f t="shared" si="5"/>
        <v>10|5|1211,10|5|1119,10|5|1101,10|5|1102,10|5|1103,10|5|1105,10|5|1112,10|5|1117,10|5|1111,10|5|1113,10|5|1120,10|5|1121</v>
      </c>
      <c r="O26" s="9">
        <v>1131</v>
      </c>
      <c r="P26" s="9" t="s">
        <v>19</v>
      </c>
      <c r="Q26" t="str">
        <f t="shared" si="1"/>
        <v>10|5|1131,</v>
      </c>
      <c r="R26" t="str">
        <f t="shared" si="6"/>
        <v>10|5|1104,10|5|1106,10|5|1110,10|5|1114,10|5|1115,10|5|1116,10|5|1118,10|5|1122,10|5|1123,10|5|1124,10|5|1132,10|5|1131,</v>
      </c>
      <c r="W26" s="9">
        <v>1162</v>
      </c>
      <c r="X26" s="9" t="s">
        <v>69</v>
      </c>
      <c r="Y26" t="str">
        <f t="shared" si="3"/>
        <v>10|5|1162,</v>
      </c>
      <c r="Z26" t="str">
        <f t="shared" si="8"/>
        <v>10|5|1142,10|5|1143,10|5|1146,10|5|1147,10|5|1148,10|5|1152,10|5|1155,10|5|1156,10|5|1157,10|5|1158,10|5|1159,10|5|1162,</v>
      </c>
      <c r="AA26" s="9">
        <v>1177</v>
      </c>
      <c r="AB26" s="9" t="s">
        <v>101</v>
      </c>
      <c r="AC26" t="str">
        <f t="shared" si="4"/>
        <v>10|5|1177,</v>
      </c>
      <c r="AD26" t="str">
        <f t="shared" si="9"/>
        <v>10|5|1153,10|5|1154,10|5|1164,10|5|1165,10|5|1166,10|5|1167,10|5|1168,10|5|1169,10|5|1170,10|5|1171,10|5|1176,10|5|1177,</v>
      </c>
    </row>
    <row r="27" spans="3:30" ht="16.5">
      <c r="C27" s="10"/>
      <c r="D27" s="10"/>
      <c r="O27" s="9">
        <v>1130</v>
      </c>
      <c r="P27" s="9" t="s">
        <v>18</v>
      </c>
      <c r="Q27" t="str">
        <f t="shared" si="1"/>
        <v>10|5|1130,</v>
      </c>
      <c r="R27" t="str">
        <f t="shared" si="6"/>
        <v>10|5|1104,10|5|1106,10|5|1110,10|5|1114,10|5|1115,10|5|1116,10|5|1118,10|5|1122,10|5|1123,10|5|1124,10|5|1132,10|5|1131,10|5|1130,</v>
      </c>
      <c r="W27" s="9">
        <v>1163</v>
      </c>
      <c r="X27" s="9" t="s">
        <v>70</v>
      </c>
      <c r="Y27" t="str">
        <f t="shared" si="3"/>
        <v>10|5|1163,</v>
      </c>
      <c r="Z27" t="str">
        <f t="shared" si="8"/>
        <v>10|5|1142,10|5|1143,10|5|1146,10|5|1147,10|5|1148,10|5|1152,10|5|1155,10|5|1156,10|5|1157,10|5|1158,10|5|1159,10|5|1162,10|5|1163,</v>
      </c>
      <c r="AA27" s="9">
        <v>1178</v>
      </c>
      <c r="AB27" s="9" t="s">
        <v>102</v>
      </c>
      <c r="AC27" t="str">
        <f t="shared" si="4"/>
        <v>10|5|1178,</v>
      </c>
      <c r="AD27" t="str">
        <f t="shared" si="9"/>
        <v>10|5|1153,10|5|1154,10|5|1164,10|5|1165,10|5|1166,10|5|1167,10|5|1168,10|5|1169,10|5|1170,10|5|1171,10|5|1176,10|5|1177,10|5|1178,</v>
      </c>
    </row>
    <row r="28" spans="3:30" ht="16.5">
      <c r="C28" s="10"/>
      <c r="D28" s="11"/>
      <c r="O28" s="9">
        <v>1137</v>
      </c>
      <c r="P28" s="12" t="s">
        <v>23</v>
      </c>
      <c r="Q28" t="str">
        <f t="shared" si="1"/>
        <v>10|5|1137,</v>
      </c>
      <c r="R28" t="str">
        <f t="shared" si="6"/>
        <v>10|5|1104,10|5|1106,10|5|1110,10|5|1114,10|5|1115,10|5|1116,10|5|1118,10|5|1122,10|5|1123,10|5|1124,10|5|1132,10|5|1131,10|5|1130,10|5|1137,</v>
      </c>
      <c r="W28" s="9">
        <v>1192</v>
      </c>
      <c r="X28" s="9" t="s">
        <v>71</v>
      </c>
      <c r="Y28" t="str">
        <f>"10|5|"&amp;W28</f>
        <v>10|5|1192</v>
      </c>
      <c r="Z28" t="str">
        <f t="shared" si="8"/>
        <v>10|5|1142,10|5|1143,10|5|1146,10|5|1147,10|5|1148,10|5|1152,10|5|1155,10|5|1156,10|5|1157,10|5|1158,10|5|1159,10|5|1162,10|5|1163,10|5|1192</v>
      </c>
      <c r="AA28" s="9">
        <v>1179</v>
      </c>
      <c r="AB28" s="9" t="s">
        <v>103</v>
      </c>
      <c r="AC28" t="str">
        <f>"10|5|"&amp;AA28&amp;","</f>
        <v>10|5|1179,</v>
      </c>
      <c r="AD28" t="str">
        <f t="shared" si="9"/>
        <v>10|5|1153,10|5|1154,10|5|1164,10|5|1165,10|5|1166,10|5|1167,10|5|1168,10|5|1169,10|5|1170,10|5|1171,10|5|1176,10|5|1177,10|5|1178,10|5|1179,</v>
      </c>
    </row>
    <row r="29" spans="3:30" ht="16.5">
      <c r="C29" s="10"/>
      <c r="D29" s="11"/>
      <c r="O29" s="9">
        <v>1207</v>
      </c>
      <c r="P29" s="12" t="s">
        <v>58</v>
      </c>
      <c r="Q29" t="str">
        <f t="shared" si="1"/>
        <v>10|5|1207,</v>
      </c>
      <c r="R29" t="str">
        <f t="shared" si="6"/>
        <v>10|5|1104,10|5|1106,10|5|1110,10|5|1114,10|5|1115,10|5|1116,10|5|1118,10|5|1122,10|5|1123,10|5|1124,10|5|1132,10|5|1131,10|5|1130,10|5|1137,10|5|1207,</v>
      </c>
      <c r="AA29" s="13">
        <v>1180</v>
      </c>
      <c r="AB29" s="13" t="s">
        <v>82</v>
      </c>
      <c r="AC29" t="str">
        <f t="shared" si="4"/>
        <v>10|5|1180,</v>
      </c>
      <c r="AD29" t="str">
        <f t="shared" si="9"/>
        <v>10|5|1153,10|5|1154,10|5|1164,10|5|1165,10|5|1166,10|5|1167,10|5|1168,10|5|1169,10|5|1170,10|5|1171,10|5|1176,10|5|1177,10|5|1178,10|5|1179,10|5|1180,</v>
      </c>
    </row>
    <row r="30" spans="3:30" ht="16.5">
      <c r="C30" s="9"/>
      <c r="D30" s="9"/>
      <c r="O30" s="9">
        <v>1201</v>
      </c>
      <c r="P30" s="12" t="s">
        <v>59</v>
      </c>
      <c r="Q30" t="str">
        <f t="shared" si="1"/>
        <v>10|5|1201,</v>
      </c>
      <c r="R30" t="str">
        <f t="shared" si="6"/>
        <v>10|5|1104,10|5|1106,10|5|1110,10|5|1114,10|5|1115,10|5|1116,10|5|1118,10|5|1122,10|5|1123,10|5|1124,10|5|1132,10|5|1131,10|5|1130,10|5|1137,10|5|1207,10|5|1201,</v>
      </c>
      <c r="AA30" s="9">
        <v>1181</v>
      </c>
      <c r="AB30" s="9" t="s">
        <v>83</v>
      </c>
      <c r="AC30" t="str">
        <f t="shared" si="4"/>
        <v>10|5|1181,</v>
      </c>
      <c r="AD30" t="str">
        <f t="shared" si="9"/>
        <v>10|5|1153,10|5|1154,10|5|1164,10|5|1165,10|5|1166,10|5|1167,10|5|1168,10|5|1169,10|5|1170,10|5|1171,10|5|1176,10|5|1177,10|5|1178,10|5|1179,10|5|1180,10|5|1181,</v>
      </c>
    </row>
    <row r="31" spans="3:30" ht="16.5">
      <c r="C31" s="10"/>
      <c r="D31" s="10"/>
      <c r="O31" s="9">
        <v>1204</v>
      </c>
      <c r="P31" s="12" t="s">
        <v>60</v>
      </c>
      <c r="Q31" t="str">
        <f t="shared" si="1"/>
        <v>10|5|1204,</v>
      </c>
      <c r="R31" t="str">
        <f t="shared" si="6"/>
        <v>10|5|1104,10|5|1106,10|5|1110,10|5|1114,10|5|1115,10|5|1116,10|5|1118,10|5|1122,10|5|1123,10|5|1124,10|5|1132,10|5|1131,10|5|1130,10|5|1137,10|5|1207,10|5|1201,10|5|1204,</v>
      </c>
      <c r="AA31" s="9">
        <v>1182</v>
      </c>
      <c r="AB31" s="9" t="s">
        <v>84</v>
      </c>
      <c r="AC31" t="str">
        <f t="shared" si="4"/>
        <v>10|5|1182,</v>
      </c>
      <c r="AD31" t="str">
        <f t="shared" si="9"/>
        <v>10|5|1153,10|5|1154,10|5|1164,10|5|1165,10|5|1166,10|5|1167,10|5|1168,10|5|1169,10|5|1170,10|5|1171,10|5|1176,10|5|1177,10|5|1178,10|5|1179,10|5|1180,10|5|1181,10|5|1182,</v>
      </c>
    </row>
    <row r="32" spans="3:30" ht="16.5">
      <c r="C32" s="10"/>
      <c r="D32" s="10"/>
      <c r="O32" s="9">
        <v>1205</v>
      </c>
      <c r="P32" s="12" t="s">
        <v>61</v>
      </c>
      <c r="Q32" t="str">
        <f t="shared" si="1"/>
        <v>10|5|1205,</v>
      </c>
      <c r="R32" t="str">
        <f t="shared" si="6"/>
        <v>10|5|1104,10|5|1106,10|5|1110,10|5|1114,10|5|1115,10|5|1116,10|5|1118,10|5|1122,10|5|1123,10|5|1124,10|5|1132,10|5|1131,10|5|1130,10|5|1137,10|5|1207,10|5|1201,10|5|1204,10|5|1205,</v>
      </c>
      <c r="AA32" s="9">
        <v>1185</v>
      </c>
      <c r="AB32" s="9" t="s">
        <v>85</v>
      </c>
      <c r="AC32" t="str">
        <f t="shared" si="4"/>
        <v>10|5|1185,</v>
      </c>
      <c r="AD32" t="str">
        <f t="shared" si="9"/>
        <v>10|5|1153,10|5|1154,10|5|1164,10|5|1165,10|5|1166,10|5|1167,10|5|1168,10|5|1169,10|5|1170,10|5|1171,10|5|1176,10|5|1177,10|5|1178,10|5|1179,10|5|1180,10|5|1181,10|5|1182,10|5|1185,</v>
      </c>
    </row>
    <row r="33" spans="3:30" ht="16.5">
      <c r="C33" s="10"/>
      <c r="D33" s="11"/>
      <c r="O33" s="9">
        <v>1206</v>
      </c>
      <c r="P33" s="12" t="s">
        <v>62</v>
      </c>
      <c r="Q33" t="str">
        <f>"10|5|"&amp;O33</f>
        <v>10|5|1206</v>
      </c>
      <c r="R33" t="str">
        <f t="shared" si="6"/>
        <v>10|5|1104,10|5|1106,10|5|1110,10|5|1114,10|5|1115,10|5|1116,10|5|1118,10|5|1122,10|5|1123,10|5|1124,10|5|1132,10|5|1131,10|5|1130,10|5|1137,10|5|1207,10|5|1201,10|5|1204,10|5|1205,10|5|1206</v>
      </c>
      <c r="AA33" s="9">
        <v>1186</v>
      </c>
      <c r="AB33" s="9" t="s">
        <v>86</v>
      </c>
      <c r="AC33" t="str">
        <f t="shared" si="4"/>
        <v>10|5|1186,</v>
      </c>
      <c r="AD33" t="str">
        <f t="shared" si="9"/>
        <v>10|5|1153,10|5|1154,10|5|1164,10|5|1165,10|5|1166,10|5|1167,10|5|1168,10|5|1169,10|5|1170,10|5|1171,10|5|1176,10|5|1177,10|5|1178,10|5|1179,10|5|1180,10|5|1181,10|5|1182,10|5|1185,10|5|1186,</v>
      </c>
    </row>
    <row r="34" spans="3:30" ht="16.5">
      <c r="C34" s="10"/>
      <c r="D34" s="10"/>
      <c r="AA34" s="9">
        <v>1187</v>
      </c>
      <c r="AB34" s="9" t="s">
        <v>87</v>
      </c>
      <c r="AC34" t="str">
        <f t="shared" si="4"/>
        <v>10|5|1187,</v>
      </c>
      <c r="AD34" t="str">
        <f t="shared" si="9"/>
        <v>10|5|1153,10|5|1154,10|5|1164,10|5|1165,10|5|1166,10|5|1167,10|5|1168,10|5|1169,10|5|1170,10|5|1171,10|5|1176,10|5|1177,10|5|1178,10|5|1179,10|5|1180,10|5|1181,10|5|1182,10|5|1185,10|5|1186,10|5|1187,</v>
      </c>
    </row>
    <row r="35" spans="3:30" ht="16.5">
      <c r="C35" s="9"/>
      <c r="D35" s="9"/>
      <c r="AA35" s="9">
        <v>1188</v>
      </c>
      <c r="AB35" s="9" t="s">
        <v>88</v>
      </c>
      <c r="AC35" t="str">
        <f t="shared" si="4"/>
        <v>10|5|1188,</v>
      </c>
      <c r="AD35" t="str">
        <f t="shared" si="9"/>
        <v>10|5|1153,10|5|1154,10|5|1164,10|5|1165,10|5|1166,10|5|1167,10|5|1168,10|5|1169,10|5|1170,10|5|1171,10|5|1176,10|5|1177,10|5|1178,10|5|1179,10|5|1180,10|5|1181,10|5|1182,10|5|1185,10|5|1186,10|5|1187,10|5|1188,</v>
      </c>
    </row>
    <row r="36" spans="3:30" ht="16.5">
      <c r="C36" s="9"/>
      <c r="D36" s="9"/>
      <c r="AA36" s="9">
        <v>1193</v>
      </c>
      <c r="AB36" s="9" t="s">
        <v>89</v>
      </c>
      <c r="AC36" t="str">
        <f t="shared" si="4"/>
        <v>10|5|1193,</v>
      </c>
      <c r="AD36" t="str">
        <f t="shared" si="9"/>
        <v>10|5|1153,10|5|1154,10|5|1164,10|5|1165,10|5|1166,10|5|1167,10|5|1168,10|5|1169,10|5|1170,10|5|1171,10|5|1176,10|5|1177,10|5|1178,10|5|1179,10|5|1180,10|5|1181,10|5|1182,10|5|1185,10|5|1186,10|5|1187,10|5|1188,10|5|1193,</v>
      </c>
    </row>
    <row r="37" spans="3:30" ht="16.5">
      <c r="C37" s="9"/>
      <c r="D37" s="9"/>
      <c r="AA37" s="9">
        <v>1194</v>
      </c>
      <c r="AB37" s="9" t="s">
        <v>90</v>
      </c>
      <c r="AC37" t="str">
        <f t="shared" si="4"/>
        <v>10|5|1194,</v>
      </c>
      <c r="AD37" t="str">
        <f t="shared" si="9"/>
        <v>10|5|1153,10|5|1154,10|5|1164,10|5|1165,10|5|1166,10|5|1167,10|5|1168,10|5|1169,10|5|1170,10|5|1171,10|5|1176,10|5|1177,10|5|1178,10|5|1179,10|5|1180,10|5|1181,10|5|1182,10|5|1185,10|5|1186,10|5|1187,10|5|1188,10|5|1193,10|5|1194,</v>
      </c>
    </row>
    <row r="38" spans="3:30" ht="16.5">
      <c r="C38" s="9"/>
      <c r="D38" s="9"/>
      <c r="AA38" s="9">
        <v>1217</v>
      </c>
      <c r="AB38" s="9" t="s">
        <v>104</v>
      </c>
      <c r="AC38" t="str">
        <f>"10|5|"&amp;AA38</f>
        <v>10|5|1217</v>
      </c>
      <c r="AD38" t="str">
        <f t="shared" si="9"/>
        <v>10|5|1153,10|5|1154,10|5|1164,10|5|1165,10|5|1166,10|5|1167,10|5|1168,10|5|1169,10|5|1170,10|5|1171,10|5|1176,10|5|1177,10|5|1178,10|5|1179,10|5|1180,10|5|1181,10|5|1182,10|5|1185,10|5|1186,10|5|1187,10|5|1188,10|5|1193,10|5|1194,10|5|1217</v>
      </c>
    </row>
    <row r="39" spans="3:30" ht="16.5">
      <c r="C39" s="9"/>
      <c r="D39" s="9"/>
    </row>
    <row r="40" spans="3:30" ht="16.5">
      <c r="C40" s="9"/>
      <c r="D40" s="9"/>
    </row>
    <row r="41" spans="3:30" ht="16.5">
      <c r="C41" s="9"/>
      <c r="D41" s="9"/>
    </row>
    <row r="42" spans="3:30" ht="16.5">
      <c r="C42" s="9"/>
      <c r="D42" s="9"/>
    </row>
    <row r="43" spans="3:30" ht="16.5">
      <c r="C43" s="9"/>
      <c r="D43" s="9"/>
    </row>
    <row r="44" spans="3:30" ht="16.5">
      <c r="C44" s="9"/>
      <c r="D44" s="9"/>
    </row>
    <row r="45" spans="3:30" ht="16.5">
      <c r="C45" s="9"/>
      <c r="D45" s="9"/>
    </row>
    <row r="46" spans="3:30" ht="16.5">
      <c r="C46" s="9"/>
      <c r="D46" s="9"/>
    </row>
    <row r="47" spans="3:30" ht="16.5">
      <c r="C47" s="9"/>
      <c r="D47" s="12"/>
    </row>
    <row r="48" spans="3:30" ht="16.5">
      <c r="C48" s="9"/>
      <c r="D48" s="12"/>
    </row>
    <row r="49" spans="3:4" ht="16.5">
      <c r="C49" s="9"/>
      <c r="D49" s="12"/>
    </row>
    <row r="50" spans="3:4" ht="16.5">
      <c r="C50" s="10"/>
      <c r="D50" s="10"/>
    </row>
    <row r="51" spans="3:4" ht="16.5">
      <c r="C51" s="10"/>
      <c r="D51" s="11"/>
    </row>
    <row r="52" spans="3:4" ht="16.5">
      <c r="C52" s="10"/>
      <c r="D52" s="10"/>
    </row>
    <row r="53" spans="3:4" ht="16.5">
      <c r="C53" s="9"/>
      <c r="D53" s="12"/>
    </row>
    <row r="54" spans="3:4" ht="16.5">
      <c r="C54" s="10"/>
      <c r="D54" s="11"/>
    </row>
    <row r="55" spans="3:4" ht="16.5">
      <c r="C55" s="10"/>
      <c r="D55" s="11"/>
    </row>
    <row r="56" spans="3:4" ht="16.5">
      <c r="C56" s="9"/>
      <c r="D56" s="12"/>
    </row>
    <row r="57" spans="3:4" ht="16.5">
      <c r="C57" s="9"/>
      <c r="D57" s="12"/>
    </row>
    <row r="58" spans="3:4" ht="16.5">
      <c r="C58" s="9"/>
      <c r="D58" s="12"/>
    </row>
    <row r="59" spans="3:4" ht="16.5">
      <c r="C59" s="10"/>
      <c r="D59" s="10"/>
    </row>
    <row r="60" spans="3:4" ht="16.5">
      <c r="C60" s="9"/>
      <c r="D60" s="9"/>
    </row>
    <row r="61" spans="3:4" ht="16.5">
      <c r="C61" s="8"/>
      <c r="D61" s="8"/>
    </row>
    <row r="62" spans="3:4" ht="16.5">
      <c r="C62" s="9"/>
      <c r="D62" s="9"/>
    </row>
    <row r="63" spans="3:4" ht="16.5">
      <c r="C63" s="9"/>
      <c r="D63" s="9"/>
    </row>
    <row r="64" spans="3:4" ht="16.5">
      <c r="C64" s="9"/>
      <c r="D64" s="9"/>
    </row>
    <row r="65" spans="3:4" ht="16.5">
      <c r="C65" s="9"/>
      <c r="D65" s="9"/>
    </row>
    <row r="66" spans="3:4" ht="16.5">
      <c r="C66" s="9"/>
      <c r="D66" s="9"/>
    </row>
    <row r="67" spans="3:4" ht="16.5">
      <c r="C67" s="10"/>
      <c r="D67" s="10"/>
    </row>
    <row r="68" spans="3:4" ht="16.5">
      <c r="C68" s="8"/>
      <c r="D68" s="8"/>
    </row>
    <row r="69" spans="3:4" ht="16.5">
      <c r="C69" s="9"/>
      <c r="D69" s="9"/>
    </row>
    <row r="70" spans="3:4" ht="16.5">
      <c r="C70" s="9"/>
      <c r="D70" s="9"/>
    </row>
    <row r="71" spans="3:4" ht="16.5">
      <c r="C71" s="9"/>
      <c r="D71" s="9"/>
    </row>
    <row r="72" spans="3:4" ht="16.5">
      <c r="C72" s="9"/>
      <c r="D72" s="9"/>
    </row>
    <row r="73" spans="3:4" ht="16.5">
      <c r="C73" s="9"/>
      <c r="D73" s="9"/>
    </row>
    <row r="74" spans="3:4" ht="16.5">
      <c r="C74" s="9"/>
      <c r="D74" s="9"/>
    </row>
    <row r="75" spans="3:4" ht="16.5">
      <c r="C75" s="9"/>
      <c r="D75" s="9"/>
    </row>
    <row r="76" spans="3:4" ht="16.5">
      <c r="C76" s="9"/>
      <c r="D76" s="9"/>
    </row>
    <row r="77" spans="3:4" ht="16.5">
      <c r="C77" s="13"/>
      <c r="D77" s="13"/>
    </row>
    <row r="78" spans="3:4" ht="16.5">
      <c r="C78" s="9"/>
      <c r="D78" s="9"/>
    </row>
    <row r="79" spans="3:4" ht="16.5">
      <c r="C79" s="9"/>
      <c r="D79" s="9"/>
    </row>
    <row r="80" spans="3:4" ht="16.5">
      <c r="C80" s="9"/>
      <c r="D80" s="9"/>
    </row>
    <row r="81" spans="3:4" ht="16.5">
      <c r="C81" s="9"/>
      <c r="D81" s="9"/>
    </row>
    <row r="82" spans="3:4" ht="16.5">
      <c r="C82" s="9"/>
      <c r="D82" s="9"/>
    </row>
    <row r="83" spans="3:4" ht="16.5">
      <c r="C83" s="13"/>
      <c r="D83" s="13"/>
    </row>
    <row r="84" spans="3:4" ht="16.5">
      <c r="C84" s="9"/>
      <c r="D84" s="9"/>
    </row>
    <row r="85" spans="3:4" ht="16.5">
      <c r="C85" s="9"/>
      <c r="D85" s="9"/>
    </row>
    <row r="86" spans="3:4" ht="16.5">
      <c r="C86" s="9"/>
      <c r="D86" s="9"/>
    </row>
    <row r="87" spans="3:4" ht="16.5">
      <c r="C87" s="9"/>
      <c r="D87" s="9"/>
    </row>
    <row r="88" spans="3:4" ht="16.5">
      <c r="C88" s="13"/>
      <c r="D88" s="13"/>
    </row>
    <row r="89" spans="3:4" ht="16.5">
      <c r="C89" s="9"/>
      <c r="D89" s="9"/>
    </row>
    <row r="90" spans="3:4" ht="16.5">
      <c r="C90" s="9"/>
      <c r="D90" s="9"/>
    </row>
    <row r="91" spans="3:4" ht="16.5">
      <c r="C91" s="9"/>
      <c r="D91" s="9"/>
    </row>
    <row r="92" spans="3:4" ht="16.5">
      <c r="C92" s="9"/>
      <c r="D92" s="9"/>
    </row>
    <row r="93" spans="3:4" ht="16.5">
      <c r="C93" s="9"/>
      <c r="D93" s="9"/>
    </row>
    <row r="94" spans="3:4" ht="16.5">
      <c r="C94" s="9"/>
      <c r="D94" s="9"/>
    </row>
    <row r="95" spans="3:4" ht="16.5">
      <c r="C95" s="9"/>
      <c r="D95" s="9"/>
    </row>
    <row r="96" spans="3:4" ht="16.5">
      <c r="C96" s="9"/>
      <c r="D96" s="9"/>
    </row>
    <row r="97" spans="3:4" ht="16.5">
      <c r="C97" s="13"/>
      <c r="D97" s="13"/>
    </row>
    <row r="98" spans="3:4" ht="16.5">
      <c r="C98" s="9"/>
      <c r="D98" s="9"/>
    </row>
    <row r="99" spans="3:4" ht="16.5">
      <c r="C99" s="9"/>
      <c r="D99" s="9"/>
    </row>
    <row r="100" spans="3:4" ht="16.5">
      <c r="C100" s="9"/>
      <c r="D100" s="9"/>
    </row>
    <row r="101" spans="3:4" ht="16.5">
      <c r="C101" s="9"/>
      <c r="D101" s="9"/>
    </row>
    <row r="102" spans="3:4" ht="16.5">
      <c r="C102" s="9"/>
      <c r="D102" s="9"/>
    </row>
    <row r="103" spans="3:4" ht="16.5">
      <c r="C103" s="9"/>
      <c r="D103" s="9"/>
    </row>
    <row r="104" spans="3:4" ht="16.5">
      <c r="C104" s="9"/>
      <c r="D104" s="9"/>
    </row>
    <row r="105" spans="3:4" ht="16.5">
      <c r="C105" s="9"/>
      <c r="D105" s="9"/>
    </row>
    <row r="106" spans="3:4" ht="16.5">
      <c r="C106" s="9"/>
      <c r="D106" s="9"/>
    </row>
  </sheetData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微软用户</cp:lastModifiedBy>
  <dcterms:created xsi:type="dcterms:W3CDTF">2006-09-16T00:00:00Z</dcterms:created>
  <dcterms:modified xsi:type="dcterms:W3CDTF">2018-02-02T05:52:30Z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2052-9.1.0.5060</vt:lpwstr>
  </property>
</Properties>
</file>