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60" windowWidth="24240" windowHeight="4485"/>
  </bookViews>
  <sheets>
    <sheet name="Sheet1" sheetId="1" r:id="rId1"/>
    <sheet name="Sheet3" sheetId="3" r:id="rId2"/>
  </sheets>
  <functionGroups/>
  <externalReferences>
    <externalReference r:id="rId3"/>
  </externalReferences>
  <definedNames>
    <definedName name="_xlnm._FilterDatabase" localSheetId="0" hidden="1">Sheet1!$A$3:$H$3</definedName>
  </definedNames>
  <calcPr calcId="125725"/>
</workbook>
</file>

<file path=xl/calcChain.xml><?xml version="1.0" encoding="utf-8"?>
<calcChain xmlns="http://schemas.openxmlformats.org/spreadsheetml/2006/main">
  <c r="I312" i="1"/>
  <c r="I313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07" l="1"/>
  <c r="I308" s="1"/>
  <c r="I309" s="1"/>
  <c r="I310" s="1"/>
  <c r="I311" s="1"/>
  <c r="I285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270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48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26" l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08"/>
  <c r="I209" s="1"/>
  <c r="I210" s="1"/>
  <c r="I211" s="1"/>
  <c r="I212" s="1"/>
  <c r="I213" s="1"/>
  <c r="I214" s="1"/>
  <c r="I215" s="1"/>
  <c r="I216" s="1"/>
  <c r="I217" s="1"/>
  <c r="I218" s="1"/>
  <c r="I219" s="1"/>
  <c r="I176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/>
  <c r="I192"/>
  <c r="I193" s="1"/>
  <c r="I194" s="1"/>
  <c r="I195" s="1"/>
  <c r="I196" s="1"/>
  <c r="I197" s="1"/>
  <c r="I198" s="1"/>
  <c r="I199"/>
  <c r="I200"/>
  <c r="I201" s="1"/>
  <c r="I202" s="1"/>
  <c r="I203" s="1"/>
  <c r="I204" s="1"/>
  <c r="I205" s="1"/>
  <c r="I206" s="1"/>
  <c r="I207" s="1"/>
  <c r="I9"/>
  <c r="I10" s="1"/>
  <c r="I11" s="1"/>
  <c r="I12" s="1"/>
  <c r="I13" s="1"/>
  <c r="I14" s="1"/>
  <c r="I15"/>
  <c r="I16" s="1"/>
  <c r="I17" s="1"/>
  <c r="I18" s="1"/>
  <c r="I19" s="1"/>
  <c r="I20" s="1"/>
  <c r="I21"/>
  <c r="I22" s="1"/>
  <c r="I23" s="1"/>
  <c r="I24" s="1"/>
  <c r="I25" s="1"/>
  <c r="I26" s="1"/>
  <c r="I27" s="1"/>
  <c r="I28"/>
  <c r="I29" s="1"/>
  <c r="I30" s="1"/>
  <c r="I31" s="1"/>
  <c r="I32" s="1"/>
  <c r="I33" s="1"/>
  <c r="I34"/>
  <c r="I35" s="1"/>
  <c r="I36" s="1"/>
  <c r="I37" s="1"/>
  <c r="I38" s="1"/>
  <c r="I39" s="1"/>
  <c r="I40"/>
  <c r="I41" s="1"/>
  <c r="I42" s="1"/>
  <c r="I43" s="1"/>
  <c r="I44" s="1"/>
  <c r="I45" s="1"/>
  <c r="I46"/>
  <c r="I47" s="1"/>
  <c r="I48" s="1"/>
  <c r="I49" s="1"/>
  <c r="I50" s="1"/>
  <c r="I51" s="1"/>
  <c r="I52"/>
  <c r="I53" s="1"/>
  <c r="I54" s="1"/>
  <c r="I55" s="1"/>
  <c r="I56" s="1"/>
  <c r="I57" s="1"/>
  <c r="I58"/>
  <c r="I59" s="1"/>
  <c r="I60" s="1"/>
  <c r="I61" s="1"/>
  <c r="I62" s="1"/>
  <c r="I63" s="1"/>
  <c r="I64"/>
  <c r="I65" s="1"/>
  <c r="I66" s="1"/>
  <c r="I67" s="1"/>
  <c r="I68" s="1"/>
  <c r="I69" s="1"/>
  <c r="I70"/>
  <c r="I71" s="1"/>
  <c r="I72" s="1"/>
  <c r="I73" s="1"/>
  <c r="I74" s="1"/>
  <c r="I75" s="1"/>
  <c r="I76"/>
  <c r="I77" s="1"/>
  <c r="I78" s="1"/>
  <c r="I79" s="1"/>
  <c r="I80" s="1"/>
  <c r="I81" s="1"/>
  <c r="I82"/>
  <c r="I83" s="1"/>
  <c r="I84" s="1"/>
  <c r="I85" s="1"/>
  <c r="I86" s="1"/>
  <c r="I87" s="1"/>
  <c r="I88"/>
  <c r="I89" s="1"/>
  <c r="I90" s="1"/>
  <c r="I91" s="1"/>
  <c r="I92" s="1"/>
  <c r="I93" s="1"/>
  <c r="I94" s="1"/>
  <c r="I95" s="1"/>
  <c r="I96"/>
  <c r="I97" s="1"/>
  <c r="I98" s="1"/>
  <c r="I99" s="1"/>
  <c r="I100" s="1"/>
  <c r="I101" s="1"/>
  <c r="I102" s="1"/>
  <c r="I103" s="1"/>
  <c r="I104"/>
  <c r="I105" s="1"/>
  <c r="I106" s="1"/>
  <c r="I107" s="1"/>
  <c r="I108" s="1"/>
  <c r="I109" s="1"/>
  <c r="I110" s="1"/>
  <c r="I111" s="1"/>
  <c r="I112"/>
  <c r="I113" s="1"/>
  <c r="I114" s="1"/>
  <c r="I115" s="1"/>
  <c r="I116" s="1"/>
  <c r="I117" s="1"/>
  <c r="I118" s="1"/>
  <c r="I119" s="1"/>
  <c r="I120"/>
  <c r="I121" s="1"/>
  <c r="I122" s="1"/>
  <c r="I123" s="1"/>
  <c r="I124" s="1"/>
  <c r="I125" s="1"/>
  <c r="I126" s="1"/>
  <c r="I127" s="1"/>
  <c r="I128"/>
  <c r="I129" s="1"/>
  <c r="I130" s="1"/>
  <c r="I131" s="1"/>
  <c r="I132" s="1"/>
  <c r="I133" s="1"/>
  <c r="I134" s="1"/>
  <c r="I135" s="1"/>
  <c r="I136"/>
  <c r="I137" s="1"/>
  <c r="I138" s="1"/>
  <c r="I139" s="1"/>
  <c r="I140" s="1"/>
  <c r="I141" s="1"/>
  <c r="I142" s="1"/>
  <c r="I143" s="1"/>
  <c r="I144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220"/>
  <c r="I221" s="1"/>
  <c r="I222" s="1"/>
  <c r="I223" s="1"/>
  <c r="I224" s="1"/>
  <c r="I225" s="1"/>
  <c r="F221"/>
  <c r="F222"/>
  <c r="F223"/>
  <c r="F224"/>
  <c r="F225"/>
  <c r="D221"/>
  <c r="D222"/>
  <c r="D223"/>
  <c r="D224"/>
  <c r="D225"/>
  <c r="D220"/>
  <c r="I4"/>
  <c r="I5" s="1"/>
  <c r="I6" s="1"/>
  <c r="I7" s="1"/>
  <c r="I8" s="1"/>
  <c r="K55" i="3"/>
  <c r="D5"/>
  <c r="K43" s="1"/>
  <c r="K44"/>
  <c r="K50"/>
  <c r="K42"/>
  <c r="K53"/>
  <c r="K45"/>
  <c r="K56"/>
  <c r="K52"/>
  <c r="D3"/>
  <c r="D4"/>
  <c r="K31" s="1"/>
  <c r="S56"/>
  <c r="Q56"/>
  <c r="O56"/>
  <c r="M56"/>
  <c r="S55"/>
  <c r="Q55"/>
  <c r="O55"/>
  <c r="M55"/>
  <c r="S54"/>
  <c r="Q54"/>
  <c r="O54"/>
  <c r="M54"/>
  <c r="S53"/>
  <c r="Q53"/>
  <c r="O53"/>
  <c r="M53"/>
  <c r="S52"/>
  <c r="Q52"/>
  <c r="O52"/>
  <c r="M52"/>
  <c r="S51"/>
  <c r="Q51"/>
  <c r="O51"/>
  <c r="M51"/>
  <c r="S50"/>
  <c r="Q50"/>
  <c r="O50"/>
  <c r="M50"/>
  <c r="S49"/>
  <c r="Q49"/>
  <c r="O49"/>
  <c r="M49"/>
  <c r="S48"/>
  <c r="Q48"/>
  <c r="O48"/>
  <c r="M48"/>
  <c r="S47"/>
  <c r="Q47"/>
  <c r="O47"/>
  <c r="M47"/>
  <c r="S46"/>
  <c r="Q46"/>
  <c r="O46"/>
  <c r="M46"/>
  <c r="S45"/>
  <c r="Q45"/>
  <c r="O45"/>
  <c r="M45"/>
  <c r="S44"/>
  <c r="Q44"/>
  <c r="O44"/>
  <c r="M44"/>
  <c r="S43"/>
  <c r="Q43"/>
  <c r="O43"/>
  <c r="M43"/>
  <c r="S42"/>
  <c r="Q42"/>
  <c r="O42"/>
  <c r="M42"/>
  <c r="S41"/>
  <c r="Q41"/>
  <c r="O41"/>
  <c r="M41"/>
  <c r="S40"/>
  <c r="Q40"/>
  <c r="O40"/>
  <c r="M40"/>
  <c r="S39"/>
  <c r="Q39"/>
  <c r="O39"/>
  <c r="M39"/>
  <c r="S38"/>
  <c r="Q38"/>
  <c r="O38"/>
  <c r="M38"/>
  <c r="S37"/>
  <c r="Q37"/>
  <c r="O37"/>
  <c r="M37"/>
  <c r="S36"/>
  <c r="Q36"/>
  <c r="O36"/>
  <c r="M36"/>
  <c r="S35"/>
  <c r="Q35"/>
  <c r="O35"/>
  <c r="M35"/>
  <c r="S34"/>
  <c r="Q34"/>
  <c r="O34"/>
  <c r="M34"/>
  <c r="S33"/>
  <c r="Q33"/>
  <c r="O33"/>
  <c r="M33"/>
  <c r="S32"/>
  <c r="Q32"/>
  <c r="O32"/>
  <c r="M32"/>
  <c r="S31"/>
  <c r="Q31"/>
  <c r="O31"/>
  <c r="M31"/>
  <c r="S30"/>
  <c r="Q30"/>
  <c r="O30"/>
  <c r="M30"/>
  <c r="S29"/>
  <c r="Q29"/>
  <c r="O29"/>
  <c r="M29"/>
  <c r="S28"/>
  <c r="Q28"/>
  <c r="O28"/>
  <c r="M28"/>
  <c r="S27"/>
  <c r="Q27"/>
  <c r="O27"/>
  <c r="M27"/>
  <c r="S26"/>
  <c r="Q26"/>
  <c r="O26"/>
  <c r="M26"/>
  <c r="S25"/>
  <c r="Q25"/>
  <c r="O25"/>
  <c r="M25"/>
  <c r="S24"/>
  <c r="Q24"/>
  <c r="O24"/>
  <c r="M24"/>
  <c r="S23"/>
  <c r="Q23"/>
  <c r="O23"/>
  <c r="M23"/>
  <c r="S22"/>
  <c r="Q22"/>
  <c r="O22"/>
  <c r="M22"/>
  <c r="S21"/>
  <c r="Q21"/>
  <c r="O21"/>
  <c r="M21"/>
  <c r="S20"/>
  <c r="Q20"/>
  <c r="O20"/>
  <c r="M20"/>
  <c r="S19"/>
  <c r="Q19"/>
  <c r="O19"/>
  <c r="M19"/>
  <c r="S18"/>
  <c r="Q18"/>
  <c r="O18"/>
  <c r="M18"/>
  <c r="S17"/>
  <c r="Q17"/>
  <c r="O17"/>
  <c r="M17"/>
  <c r="S16"/>
  <c r="Q16"/>
  <c r="O16"/>
  <c r="M16"/>
  <c r="S15"/>
  <c r="Q15"/>
  <c r="O15"/>
  <c r="M15"/>
  <c r="S14"/>
  <c r="Q14"/>
  <c r="O14"/>
  <c r="M14"/>
  <c r="S13"/>
  <c r="Q13"/>
  <c r="O13"/>
  <c r="M13"/>
  <c r="S12"/>
  <c r="Q12"/>
  <c r="O12"/>
  <c r="M12"/>
  <c r="S11"/>
  <c r="Q11"/>
  <c r="O11"/>
  <c r="M11"/>
  <c r="S10"/>
  <c r="Q10"/>
  <c r="O10"/>
  <c r="M10"/>
  <c r="S9"/>
  <c r="Q9"/>
  <c r="O9"/>
  <c r="M9"/>
  <c r="S8"/>
  <c r="Q8"/>
  <c r="O8"/>
  <c r="M8"/>
  <c r="S7"/>
  <c r="Q7"/>
  <c r="O7"/>
  <c r="M7"/>
  <c r="S6"/>
  <c r="Q6"/>
  <c r="O6"/>
  <c r="M6"/>
  <c r="S5"/>
  <c r="Q5"/>
  <c r="O5"/>
  <c r="M5"/>
  <c r="S4"/>
  <c r="Q4"/>
  <c r="O4"/>
  <c r="M4"/>
  <c r="S3"/>
  <c r="Q3"/>
  <c r="O3"/>
  <c r="M3"/>
  <c r="K23"/>
  <c r="K27"/>
  <c r="K35"/>
  <c r="K39"/>
  <c r="K24"/>
  <c r="K32"/>
  <c r="K36"/>
  <c r="K40"/>
  <c r="K25"/>
  <c r="K29"/>
  <c r="K33"/>
  <c r="K41"/>
  <c r="K26"/>
  <c r="K30"/>
  <c r="K38"/>
  <c r="K46"/>
  <c r="K47"/>
  <c r="K7"/>
  <c r="K11"/>
  <c r="K15"/>
  <c r="K19"/>
  <c r="K4"/>
  <c r="K8"/>
  <c r="K12"/>
  <c r="K16"/>
  <c r="K20"/>
  <c r="K5"/>
  <c r="K9"/>
  <c r="K13"/>
  <c r="K17"/>
  <c r="K21"/>
  <c r="K3"/>
  <c r="K6"/>
  <c r="K10"/>
  <c r="K14"/>
  <c r="K18"/>
  <c r="K22"/>
  <c r="K34" l="1"/>
  <c r="K37"/>
  <c r="K48"/>
  <c r="K28"/>
  <c r="K49"/>
  <c r="K54"/>
  <c r="K51"/>
</calcChain>
</file>

<file path=xl/sharedStrings.xml><?xml version="1.0" encoding="utf-8"?>
<sst xmlns="http://schemas.openxmlformats.org/spreadsheetml/2006/main" count="1620" uniqueCount="438">
  <si>
    <t>store_goods</t>
  </si>
  <si>
    <t>s</t>
  </si>
  <si>
    <t xml:space="preserve">备注 </t>
    <phoneticPr fontId="2" type="noConversion"/>
  </si>
  <si>
    <t>limit</t>
    <phoneticPr fontId="2" type="noConversion"/>
  </si>
  <si>
    <t>赛太岁</t>
  </si>
  <si>
    <t>阎罗王</t>
  </si>
  <si>
    <t>地藏王</t>
  </si>
  <si>
    <t>蝎子精</t>
  </si>
  <si>
    <t>混世魔王</t>
  </si>
  <si>
    <t>雷公</t>
  </si>
  <si>
    <t>泾河龙王</t>
  </si>
  <si>
    <t>白龙公主</t>
  </si>
  <si>
    <t>蜘蛛精</t>
  </si>
  <si>
    <t>玉面夫人</t>
  </si>
  <si>
    <t>金钱豹王</t>
  </si>
  <si>
    <t>墨鱼精</t>
  </si>
  <si>
    <t>玉皇大帝</t>
  </si>
  <si>
    <t>王母娘娘</t>
  </si>
  <si>
    <t>太白金星</t>
  </si>
  <si>
    <t>虎力大仙</t>
  </si>
  <si>
    <t>鹿力大仙</t>
  </si>
  <si>
    <t>羊力大仙</t>
  </si>
  <si>
    <t>白骨夫人</t>
  </si>
  <si>
    <t>六耳猕猴</t>
  </si>
  <si>
    <t>混沌</t>
  </si>
  <si>
    <t>唐三藏</t>
  </si>
  <si>
    <t>小白龙</t>
  </si>
  <si>
    <t>品质</t>
    <phoneticPr fontId="2" type="noConversion"/>
  </si>
  <si>
    <t>单价</t>
    <phoneticPr fontId="2" type="noConversion"/>
  </si>
  <si>
    <t>武将ID</t>
    <phoneticPr fontId="2" type="noConversion"/>
  </si>
  <si>
    <t>武将名称</t>
    <phoneticPr fontId="2" type="noConversion"/>
  </si>
  <si>
    <t>武将稀有度</t>
    <phoneticPr fontId="2" type="noConversion"/>
  </si>
  <si>
    <t>武将品质</t>
    <phoneticPr fontId="2" type="noConversion"/>
  </si>
  <si>
    <t>对应碎片ID</t>
    <phoneticPr fontId="2" type="noConversion"/>
  </si>
  <si>
    <t>二郎神</t>
  </si>
  <si>
    <t>哪吒</t>
  </si>
  <si>
    <t>嫦娥</t>
  </si>
  <si>
    <t>托塔天王</t>
  </si>
  <si>
    <t>九天玄女</t>
  </si>
  <si>
    <t>铁扇公主</t>
  </si>
  <si>
    <t>牛魔王</t>
    <phoneticPr fontId="2" type="noConversion"/>
  </si>
  <si>
    <t>孙悟空</t>
    <phoneticPr fontId="2" type="noConversion"/>
  </si>
  <si>
    <t>猪八戒</t>
  </si>
  <si>
    <t>紫霞仙子</t>
  </si>
  <si>
    <t>文殊菩萨</t>
  </si>
  <si>
    <t>弥勒佛</t>
  </si>
  <si>
    <t>斗战胜佛</t>
    <phoneticPr fontId="2" type="noConversion"/>
  </si>
  <si>
    <t>金蝉子</t>
  </si>
  <si>
    <t>龙帝</t>
  </si>
  <si>
    <t>八部天龙</t>
  </si>
  <si>
    <t>善财童子</t>
  </si>
  <si>
    <t>赤脚大仙</t>
  </si>
  <si>
    <t>红孩儿</t>
  </si>
  <si>
    <t>沙悟净</t>
    <phoneticPr fontId="2" type="noConversion"/>
  </si>
  <si>
    <t>迦叶</t>
  </si>
  <si>
    <t>东海龙王</t>
  </si>
  <si>
    <t>人生娃</t>
    <phoneticPr fontId="2" type="noConversion"/>
  </si>
  <si>
    <t>黑无常</t>
  </si>
  <si>
    <t>白无常</t>
  </si>
  <si>
    <t>马面</t>
  </si>
  <si>
    <t>牛头</t>
  </si>
  <si>
    <t>幽萤魂</t>
  </si>
  <si>
    <t>蝶妖</t>
  </si>
  <si>
    <t>女儿国国王</t>
  </si>
  <si>
    <t>玉兔</t>
    <phoneticPr fontId="2" type="noConversion"/>
  </si>
  <si>
    <t>价格</t>
    <phoneticPr fontId="2" type="noConversion"/>
  </si>
  <si>
    <t>出手数量</t>
    <phoneticPr fontId="2" type="noConversion"/>
  </si>
  <si>
    <t>名称</t>
    <phoneticPr fontId="2" type="noConversion"/>
  </si>
  <si>
    <t>售价/钻石</t>
    <phoneticPr fontId="2" type="noConversion"/>
  </si>
  <si>
    <t>单武将价值</t>
    <phoneticPr fontId="2" type="noConversion"/>
  </si>
  <si>
    <t>tips</t>
    <phoneticPr fontId="2" type="noConversion"/>
  </si>
  <si>
    <t>s</t>
    <phoneticPr fontId="2" type="noConversion"/>
  </si>
  <si>
    <t>s</t>
    <phoneticPr fontId="2" type="noConversion"/>
  </si>
  <si>
    <t>i</t>
    <phoneticPr fontId="2" type="noConversion"/>
  </si>
  <si>
    <t>xiangou_value</t>
    <phoneticPr fontId="2" type="noConversion"/>
  </si>
  <si>
    <t>label</t>
    <phoneticPr fontId="2" type="noConversion"/>
  </si>
  <si>
    <t>goods</t>
    <phoneticPr fontId="2" type="noConversion"/>
  </si>
  <si>
    <t>商品
格式：
[[type,id,value],[type,id,value]]</t>
    <phoneticPr fontId="2" type="noConversion"/>
  </si>
  <si>
    <t>唯一ID[字符串]</t>
    <phoneticPr fontId="2" type="noConversion"/>
  </si>
  <si>
    <t>cost</t>
    <phoneticPr fontId="2" type="noConversion"/>
  </si>
  <si>
    <t>活动时段内的购买次数
填次数</t>
    <phoneticPr fontId="2" type="noConversion"/>
  </si>
  <si>
    <t>标签
0-无标签
1-打折（1|折扣数）
2-推荐</t>
    <phoneticPr fontId="2" type="noConversion"/>
  </si>
  <si>
    <t>显示区间
主角等级
填写格式：（包含关系）
等级下限|等级上限
[]-无限制</t>
    <phoneticPr fontId="2" type="noConversion"/>
  </si>
  <si>
    <t>[]</t>
    <phoneticPr fontId="2" type="noConversion"/>
  </si>
  <si>
    <t>购买商品的方式
0-全部购买
1-多选一（只能选择1个）</t>
    <phoneticPr fontId="2" type="noConversion"/>
  </si>
  <si>
    <t>goods_type</t>
    <phoneticPr fontId="2" type="noConversion"/>
  </si>
  <si>
    <t>i</t>
    <phoneticPr fontId="2" type="noConversion"/>
  </si>
  <si>
    <t>a</t>
    <phoneticPr fontId="2" type="noConversion"/>
  </si>
  <si>
    <t>购买消耗货币类型
1=道具（game_items）
2=装备(game_equpment)
4=资源（currency）
5=伙伴（hero_main）
6=法宝(game_fabao)
填写格式：
[type,id,value],[type,id,value]</t>
    <phoneticPr fontId="2" type="noConversion"/>
  </si>
  <si>
    <t>[1,14569,1]</t>
  </si>
  <si>
    <t>[1,14570,1]</t>
  </si>
  <si>
    <t>[1,14515,1]</t>
  </si>
  <si>
    <t>[1,14572,100]</t>
  </si>
  <si>
    <t>[1,14573,100]</t>
  </si>
  <si>
    <t>[1,14562,1]</t>
  </si>
  <si>
    <t>[1,16005,500]</t>
  </si>
  <si>
    <t>[6,4503,10]</t>
  </si>
  <si>
    <t>[1,14527,1]</t>
  </si>
  <si>
    <t>[1,14558,1]</t>
  </si>
  <si>
    <t>[1,14516,1]</t>
  </si>
  <si>
    <t>[1,14517,1]</t>
  </si>
  <si>
    <t>[1,14528,1]</t>
  </si>
  <si>
    <t>[1,14106,500]</t>
  </si>
  <si>
    <t>[1,17001,500]</t>
  </si>
  <si>
    <t>[1,14535,8]</t>
  </si>
  <si>
    <t>[]</t>
  </si>
  <si>
    <t>近战红将选择箱</t>
  </si>
  <si>
    <t>远程红将选择箱</t>
  </si>
  <si>
    <t>橙16防御伙伴选择箱</t>
  </si>
  <si>
    <t>红色神兵碎片选择箱</t>
  </si>
  <si>
    <t>橙16神兵碎片选择箱</t>
  </si>
  <si>
    <t>红色伙伴选择箱</t>
  </si>
  <si>
    <t>装备精炼石</t>
  </si>
  <si>
    <t>橙色经验法宝</t>
  </si>
  <si>
    <t>降魔套装选择箱</t>
  </si>
  <si>
    <t>橙16辅助伙伴选择箱</t>
  </si>
  <si>
    <t>橙16输出伙伴选择箱</t>
  </si>
  <si>
    <t>橙16伙伴选择箱</t>
  </si>
  <si>
    <t>天罡套装选择箱</t>
  </si>
  <si>
    <t>洗炼丹</t>
  </si>
  <si>
    <t>橙色法宝选择箱</t>
  </si>
  <si>
    <t>神兵进阶石</t>
  </si>
  <si>
    <t>1|8</t>
  </si>
  <si>
    <t>[1,14408,100],[4,2,4800]</t>
  </si>
  <si>
    <t>[1,14408,40],[4,2,2400]</t>
  </si>
  <si>
    <t>[1,14408,50],[4,2,3200]</t>
  </si>
  <si>
    <t>[1,14408,20],[4,2,1200]</t>
  </si>
  <si>
    <t>[1,14408,10],[4,2,875]</t>
  </si>
  <si>
    <t>[1,14408,10],[4,2,700]</t>
  </si>
  <si>
    <t>[1,14408,50],[4,2,2880]</t>
  </si>
  <si>
    <t>1|6</t>
  </si>
  <si>
    <t>1|3.5</t>
  </si>
  <si>
    <t>[4,2,1400]</t>
  </si>
  <si>
    <t>[4,2,1050]</t>
  </si>
  <si>
    <t>[4,2,2100]</t>
  </si>
  <si>
    <t>[4,2,640]</t>
  </si>
  <si>
    <t>[4,2,500]</t>
  </si>
  <si>
    <t>[4,2,360]</t>
  </si>
  <si>
    <t>[4,2,3200]</t>
  </si>
  <si>
    <t>[4,2,3800]</t>
  </si>
  <si>
    <t>[4,2,450]</t>
  </si>
  <si>
    <t>[4,2,4000]</t>
  </si>
  <si>
    <t>[4,2,320]</t>
  </si>
  <si>
    <t>[4,2,600]</t>
  </si>
  <si>
    <t>[4,2,300]</t>
  </si>
  <si>
    <t>[4,2,1600]</t>
  </si>
  <si>
    <t>[4,2,1100]</t>
  </si>
  <si>
    <t>[4,2,250]</t>
  </si>
  <si>
    <t>1|5</t>
  </si>
  <si>
    <t>1|7.5</t>
  </si>
  <si>
    <t>1|9</t>
  </si>
  <si>
    <t>1|6.5</t>
  </si>
  <si>
    <t>1|45</t>
  </si>
  <si>
    <t>46|100</t>
  </si>
  <si>
    <t>33|45</t>
  </si>
  <si>
    <t>31|45</t>
  </si>
  <si>
    <t>27|45</t>
  </si>
  <si>
    <t>29|45</t>
  </si>
  <si>
    <t>[1,14506,40]</t>
  </si>
  <si>
    <t>[1,14522,1]</t>
  </si>
  <si>
    <t>[1,14507,20],[1,14509,20],[1,14508,20]</t>
  </si>
  <si>
    <t>[1,14107,500]</t>
  </si>
  <si>
    <t>[1,16010,20]</t>
  </si>
  <si>
    <t>[1,16010,200]</t>
  </si>
  <si>
    <t>[1,14527,1],[1,14528,1]</t>
  </si>
  <si>
    <t>[1,17001,100]</t>
  </si>
  <si>
    <t>[1,17001,1000]</t>
  </si>
  <si>
    <t>[1,14102,20]</t>
  </si>
  <si>
    <t>[4,1,1000000]</t>
  </si>
  <si>
    <t>[1,14578,50],[1,14580,50],[1,14579,50]</t>
  </si>
  <si>
    <t>[1,14578,100],[1,14580,100],[1,14579,100]</t>
  </si>
  <si>
    <t>[1,14575,100],[1,14577,100],[1,14576,100]</t>
  </si>
  <si>
    <t>[1,14315,10],[1,16005,200],[4,1,200000]</t>
  </si>
  <si>
    <t>[1,14101,10]</t>
  </si>
  <si>
    <t>[1,14108,10]</t>
  </si>
  <si>
    <t>[1,14106,500],[1,16010,100]</t>
  </si>
  <si>
    <t>[1,14201,500]</t>
  </si>
  <si>
    <t>每周限购01</t>
    <phoneticPr fontId="2" type="noConversion"/>
  </si>
  <si>
    <t>每周限购02</t>
  </si>
  <si>
    <t>每周限购03</t>
  </si>
  <si>
    <t>每周限购04</t>
  </si>
  <si>
    <t>每周限购05</t>
  </si>
  <si>
    <t>每周限购06</t>
  </si>
  <si>
    <t>限时商铺01</t>
    <phoneticPr fontId="2" type="noConversion"/>
  </si>
  <si>
    <t>限时商铺02</t>
  </si>
  <si>
    <t>限时商铺03</t>
  </si>
  <si>
    <t>限时商铺04</t>
  </si>
  <si>
    <t>限时商铺05</t>
  </si>
  <si>
    <t>限时商铺06</t>
  </si>
  <si>
    <t>限时商铺07</t>
  </si>
  <si>
    <t>限时商铺08</t>
  </si>
  <si>
    <t>限时商铺09</t>
  </si>
  <si>
    <t>限时商铺10</t>
  </si>
  <si>
    <t>限时商铺11</t>
  </si>
  <si>
    <t>限时商铺12</t>
  </si>
  <si>
    <t>限时商铺13</t>
  </si>
  <si>
    <t>限时商铺14</t>
  </si>
  <si>
    <t>限时商铺15</t>
  </si>
  <si>
    <t>限时商铺16</t>
  </si>
  <si>
    <t>限时商铺17</t>
  </si>
  <si>
    <t>限时商铺18</t>
  </si>
  <si>
    <t>限时商铺19</t>
  </si>
  <si>
    <t>限时商铺20</t>
  </si>
  <si>
    <t>限时商铺21</t>
  </si>
  <si>
    <t>限时商铺22</t>
  </si>
  <si>
    <t>限时商铺23</t>
  </si>
  <si>
    <t>限时商铺24</t>
  </si>
  <si>
    <t>限时商铺25</t>
  </si>
  <si>
    <t>限时商铺26</t>
  </si>
  <si>
    <t>限时商铺27</t>
  </si>
  <si>
    <t>限时商铺28</t>
  </si>
  <si>
    <t>限时商铺29</t>
  </si>
  <si>
    <t>限时商铺30</t>
  </si>
  <si>
    <t>限时商铺31</t>
  </si>
  <si>
    <t>[1,14523,1]</t>
    <phoneticPr fontId="2" type="noConversion"/>
  </si>
  <si>
    <t>40|45</t>
    <phoneticPr fontId="2" type="noConversion"/>
  </si>
  <si>
    <t>45|999</t>
    <phoneticPr fontId="2" type="noConversion"/>
  </si>
  <si>
    <t>[1,14101,20],[1,14108,20]</t>
    <phoneticPr fontId="2" type="noConversion"/>
  </si>
  <si>
    <t>[1,14588,30]</t>
  </si>
  <si>
    <t>[1,16010,100]</t>
  </si>
  <si>
    <t>红色装备碎片选择箱</t>
  </si>
  <si>
    <t>洗炼突破丹</t>
  </si>
  <si>
    <t>法宝精炼石</t>
  </si>
  <si>
    <t>[1,14408,100],[4,2,6000]</t>
  </si>
  <si>
    <t>红色法宝碎片选择箱</t>
  </si>
  <si>
    <t>红色法宝选择箱</t>
  </si>
  <si>
    <t>[1,14586,1]</t>
  </si>
  <si>
    <t>[1,14587,1]</t>
  </si>
  <si>
    <t>[1,14408,10],[4,2,560]</t>
  </si>
  <si>
    <t>[1,14408,15],[4,2,720]</t>
  </si>
  <si>
    <t>[1,14523,1]</t>
  </si>
  <si>
    <t>[1,14567,60]</t>
  </si>
  <si>
    <t>[1,14106,100]</t>
  </si>
  <si>
    <t>[1,14004,5]</t>
  </si>
  <si>
    <t>[4,4,800]</t>
  </si>
  <si>
    <t>[1,14513,10]</t>
  </si>
  <si>
    <t>[1,16005,100]</t>
  </si>
  <si>
    <t>[1,14535,1]</t>
  </si>
  <si>
    <t>[1,14201,100]</t>
  </si>
  <si>
    <t>[6,4503,1]</t>
  </si>
  <si>
    <t>[1,14572,50]</t>
  </si>
  <si>
    <t>[1,17000,500]</t>
  </si>
  <si>
    <t>[1,17000,2000]</t>
  </si>
  <si>
    <t>限时商铺32</t>
    <phoneticPr fontId="2" type="noConversion"/>
  </si>
  <si>
    <t>限时商铺_周1-2_01</t>
    <phoneticPr fontId="2" type="noConversion"/>
  </si>
  <si>
    <t>限时商铺_周1-2_02</t>
  </si>
  <si>
    <t>限时商铺_周1-2_03</t>
  </si>
  <si>
    <t>限时商铺_周1-2_04</t>
  </si>
  <si>
    <t>限时商铺_周1-2_05</t>
  </si>
  <si>
    <t>限时商铺_周1-2_06</t>
  </si>
  <si>
    <t>限时商铺_周1-2_07</t>
  </si>
  <si>
    <t>限时商铺_周1-2_08</t>
  </si>
  <si>
    <t>限时商铺_周1-2_09</t>
  </si>
  <si>
    <t>限时商铺_周1-2_10</t>
  </si>
  <si>
    <t>限时商铺_周1-2_11</t>
  </si>
  <si>
    <t>限时商铺_周1-2_12</t>
  </si>
  <si>
    <t>限时商铺_周1-2_13</t>
  </si>
  <si>
    <t>限时商铺_周1-2_14</t>
  </si>
  <si>
    <t>限时商铺_周1-2_15</t>
  </si>
  <si>
    <t>限时商铺_周3-4_02</t>
  </si>
  <si>
    <t>限时商铺_周3-4_03</t>
  </si>
  <si>
    <t>限时商铺_周3-4_04</t>
  </si>
  <si>
    <t>限时商铺_周3-4_05</t>
  </si>
  <si>
    <t>限时商铺_周3-4_06</t>
  </si>
  <si>
    <t>限时商铺_周3-4_07</t>
  </si>
  <si>
    <t>限时商铺_周3-4_08</t>
  </si>
  <si>
    <t>限时商铺_周3-4_01</t>
    <phoneticPr fontId="2" type="noConversion"/>
  </si>
  <si>
    <t>限时商铺_周5-6_01</t>
    <phoneticPr fontId="2" type="noConversion"/>
  </si>
  <si>
    <t>限时商铺_周5-6_02</t>
  </si>
  <si>
    <t>限时商铺_周5-6_03</t>
  </si>
  <si>
    <t>限时商铺_周5-6_04</t>
  </si>
  <si>
    <t>限时商铺_周5-6_05</t>
  </si>
  <si>
    <t>限时商铺_周5-6_06</t>
  </si>
  <si>
    <t>限时商铺_周5-6_07</t>
  </si>
  <si>
    <t>限时商铺_周5-6_08</t>
  </si>
  <si>
    <t>限时商铺_周5-6_09</t>
  </si>
  <si>
    <t>限时商铺_周7_10</t>
  </si>
  <si>
    <t>限时商铺_周7_01</t>
    <phoneticPr fontId="2" type="noConversion"/>
  </si>
  <si>
    <t>限时商铺_周7_02</t>
  </si>
  <si>
    <t>限时商铺_周7_03</t>
  </si>
  <si>
    <t>限时商铺_周7_04</t>
  </si>
  <si>
    <t>限时商铺_周7_05</t>
  </si>
  <si>
    <t>限时商铺_周7_06</t>
  </si>
  <si>
    <t>限时商铺_周7_07</t>
  </si>
  <si>
    <t>限时商铺_周7_08</t>
  </si>
  <si>
    <t>限时商铺_周7_09</t>
  </si>
  <si>
    <t>限时商铺_周7_11</t>
  </si>
  <si>
    <t>限时商铺_周7_12</t>
  </si>
  <si>
    <t>40|999</t>
  </si>
  <si>
    <t>33|999</t>
  </si>
  <si>
    <t>50|999</t>
  </si>
  <si>
    <t>29|999</t>
  </si>
  <si>
    <t>65|999</t>
  </si>
  <si>
    <t>27|999</t>
  </si>
  <si>
    <t>55|999</t>
  </si>
  <si>
    <t>31|999</t>
  </si>
  <si>
    <t>1|7</t>
  </si>
  <si>
    <t>[4,2,3000]</t>
  </si>
  <si>
    <t>[4,2,400]</t>
  </si>
  <si>
    <t>[4,2,560]</t>
  </si>
  <si>
    <t>[4,2,840]</t>
  </si>
  <si>
    <t>[4,2,7500]</t>
  </si>
  <si>
    <t>[4,2,700]</t>
  </si>
  <si>
    <t>[4,2,960]</t>
  </si>
  <si>
    <t>[4,2,160]</t>
  </si>
  <si>
    <t>[4,2,2000]</t>
  </si>
  <si>
    <t>[1,14588,1]</t>
  </si>
  <si>
    <t>[1,14567,1]</t>
  </si>
  <si>
    <t>[1,14572,5]</t>
  </si>
  <si>
    <t>[1,14505,5]</t>
  </si>
  <si>
    <t>[1,14573,5]</t>
  </si>
  <si>
    <t>[1,17102,5]</t>
  </si>
  <si>
    <t>[1,14106,20]</t>
  </si>
  <si>
    <t>[1,16010,10]</t>
  </si>
  <si>
    <t>[1,16005,20]</t>
  </si>
  <si>
    <t>[1,14201,20]</t>
  </si>
  <si>
    <t>[1,17001,20]</t>
  </si>
  <si>
    <t>[1,17000,100]</t>
  </si>
  <si>
    <t>[4,1,100000]</t>
  </si>
  <si>
    <t>[1,14107,100]</t>
  </si>
  <si>
    <t>[4,4,100]</t>
  </si>
  <si>
    <t>[4,5,1000]</t>
  </si>
  <si>
    <t>[4,29,1000]</t>
  </si>
  <si>
    <t>[4,45,1000]</t>
  </si>
  <si>
    <t>[1,14414,1]</t>
  </si>
  <si>
    <t>[1,14413,10]</t>
  </si>
  <si>
    <t>[1,14413,100]</t>
  </si>
  <si>
    <t>[]</t>
    <phoneticPr fontId="2" type="noConversion"/>
  </si>
  <si>
    <t>[1,14413,5]</t>
  </si>
  <si>
    <t>[1,14413,1]</t>
  </si>
  <si>
    <t>[1,14413,4]</t>
  </si>
  <si>
    <t>[1,14413,14]</t>
  </si>
  <si>
    <t>[1,14413,2]</t>
  </si>
  <si>
    <t>[4,2,40]</t>
  </si>
  <si>
    <t>红色伙伴碎片选择箱</t>
  </si>
  <si>
    <t>橙16伙伴碎片选择箱</t>
  </si>
  <si>
    <t>主角神兵碎片</t>
  </si>
  <si>
    <t>神兵强化石</t>
  </si>
  <si>
    <t>铜钱</t>
  </si>
  <si>
    <t>进阶丹</t>
  </si>
  <si>
    <t>精魄</t>
  </si>
  <si>
    <t>斗神玉</t>
  </si>
  <si>
    <t>梦魂沙</t>
  </si>
  <si>
    <t>魂珠</t>
  </si>
  <si>
    <t>小拳拳</t>
  </si>
  <si>
    <t>腊八粥</t>
  </si>
  <si>
    <t>1|6</t>
    <phoneticPr fontId="2" type="noConversion"/>
  </si>
  <si>
    <t>1|9</t>
    <phoneticPr fontId="2" type="noConversion"/>
  </si>
  <si>
    <t>1|8</t>
    <phoneticPr fontId="2" type="noConversion"/>
  </si>
  <si>
    <t>春节礼盒</t>
  </si>
  <si>
    <t>饺子</t>
  </si>
  <si>
    <t>[1,14428,5]</t>
  </si>
  <si>
    <t>[1,14428,1]</t>
  </si>
  <si>
    <t>[1,14428,4]</t>
  </si>
  <si>
    <t>[1,14428,14]</t>
  </si>
  <si>
    <t>[1,14428,2]</t>
  </si>
  <si>
    <t>[4,2,90]</t>
  </si>
  <si>
    <t>1|6</t>
    <phoneticPr fontId="2" type="noConversion"/>
  </si>
  <si>
    <t>1|9</t>
    <phoneticPr fontId="2" type="noConversion"/>
  </si>
  <si>
    <t>1|8</t>
    <phoneticPr fontId="2" type="noConversion"/>
  </si>
  <si>
    <t>[1,14426,1]</t>
  </si>
  <si>
    <t>[1,14428,10]</t>
  </si>
  <si>
    <t>[1,14428,100]</t>
  </si>
  <si>
    <t>[]</t>
    <phoneticPr fontId="2" type="noConversion"/>
  </si>
  <si>
    <t>[1,14588,5]</t>
  </si>
  <si>
    <t>[1,14567,25]</t>
  </si>
  <si>
    <t>[1,14572,25]</t>
  </si>
  <si>
    <t>[1,14586,5]</t>
  </si>
  <si>
    <t>[1,14431,5]</t>
  </si>
  <si>
    <t>[1,14431,4]</t>
  </si>
  <si>
    <t>[1,14431,14]</t>
  </si>
  <si>
    <t>[1,14430,5]</t>
  </si>
  <si>
    <t>[1,14430,4]</t>
  </si>
  <si>
    <t>[1,14430,14]</t>
  </si>
  <si>
    <t>[1,14429,5]</t>
  </si>
  <si>
    <t>[1,14429,4]</t>
  </si>
  <si>
    <t>[1,14429,14]</t>
  </si>
  <si>
    <t>[1,14431,1]</t>
  </si>
  <si>
    <t>[1,14430,1]</t>
  </si>
  <si>
    <t>[1,14429,1]</t>
  </si>
  <si>
    <t>汤圆</t>
  </si>
  <si>
    <t>汤圆</t>
    <phoneticPr fontId="2" type="noConversion"/>
  </si>
  <si>
    <t>[1,14432,5]</t>
  </si>
  <si>
    <t>元宵礼盒</t>
    <phoneticPr fontId="2" type="noConversion"/>
  </si>
  <si>
    <t>[1,14432,1]</t>
  </si>
  <si>
    <t>[1,14432,4]</t>
  </si>
  <si>
    <t>[1,14432,14]</t>
  </si>
  <si>
    <t>[1,14432,2]</t>
  </si>
  <si>
    <t>[1,14432,10]</t>
  </si>
  <si>
    <t>[1,14432,100]</t>
  </si>
  <si>
    <t>[1,14433,1]</t>
    <phoneticPr fontId="2" type="noConversion"/>
  </si>
  <si>
    <t>装备宝箱10</t>
    <phoneticPr fontId="2" type="noConversion"/>
  </si>
  <si>
    <t>装备宝箱20</t>
    <phoneticPr fontId="2" type="noConversion"/>
  </si>
  <si>
    <t>装备宝箱30</t>
  </si>
  <si>
    <t>装备宝箱40</t>
  </si>
  <si>
    <t>装备宝箱50</t>
  </si>
  <si>
    <t>装备宝箱60</t>
  </si>
  <si>
    <t>装备宝箱70</t>
  </si>
  <si>
    <t>装备宝箱80</t>
  </si>
  <si>
    <t>装备宝箱90</t>
  </si>
  <si>
    <t>装备宝箱100</t>
  </si>
  <si>
    <t>装备宝箱110</t>
  </si>
  <si>
    <t>装备宝箱120</t>
  </si>
  <si>
    <t>装备宝箱130</t>
  </si>
  <si>
    <t>装备宝箱140</t>
  </si>
  <si>
    <t>装备宝箱150</t>
  </si>
  <si>
    <t>[1,14591,1]</t>
    <phoneticPr fontId="2" type="noConversion"/>
  </si>
  <si>
    <t>[1,14592,1]</t>
    <phoneticPr fontId="2" type="noConversion"/>
  </si>
  <si>
    <t>10|999</t>
    <phoneticPr fontId="2" type="noConversion"/>
  </si>
  <si>
    <t>20|999</t>
    <phoneticPr fontId="2" type="noConversion"/>
  </si>
  <si>
    <t>30|999</t>
    <phoneticPr fontId="2" type="noConversion"/>
  </si>
  <si>
    <t>40|999</t>
    <phoneticPr fontId="2" type="noConversion"/>
  </si>
  <si>
    <t>50|999</t>
    <phoneticPr fontId="2" type="noConversion"/>
  </si>
  <si>
    <t>60|999</t>
    <phoneticPr fontId="2" type="noConversion"/>
  </si>
  <si>
    <t>70|999</t>
    <phoneticPr fontId="2" type="noConversion"/>
  </si>
  <si>
    <t>80|999</t>
    <phoneticPr fontId="2" type="noConversion"/>
  </si>
  <si>
    <t>90|999</t>
    <phoneticPr fontId="2" type="noConversion"/>
  </si>
  <si>
    <t>100|999</t>
    <phoneticPr fontId="2" type="noConversion"/>
  </si>
  <si>
    <t>110|999</t>
    <phoneticPr fontId="2" type="noConversion"/>
  </si>
  <si>
    <t>120|999</t>
    <phoneticPr fontId="2" type="noConversion"/>
  </si>
  <si>
    <t>130|999</t>
    <phoneticPr fontId="2" type="noConversion"/>
  </si>
  <si>
    <t>140|999</t>
    <phoneticPr fontId="2" type="noConversion"/>
  </si>
  <si>
    <t>[1,14593,1]</t>
    <phoneticPr fontId="2" type="noConversion"/>
  </si>
  <si>
    <t>[1,14594,1]</t>
    <phoneticPr fontId="2" type="noConversion"/>
  </si>
  <si>
    <t>[1,14595,1]</t>
    <phoneticPr fontId="2" type="noConversion"/>
  </si>
  <si>
    <t>[1,14596,1]</t>
    <phoneticPr fontId="2" type="noConversion"/>
  </si>
  <si>
    <t>[1,14597,1]</t>
    <phoneticPr fontId="2" type="noConversion"/>
  </si>
  <si>
    <t>[1,14598,1]</t>
    <phoneticPr fontId="2" type="noConversion"/>
  </si>
  <si>
    <t>[1,14599,1]</t>
    <phoneticPr fontId="2" type="noConversion"/>
  </si>
  <si>
    <t>[1,14600,1]</t>
    <phoneticPr fontId="2" type="noConversion"/>
  </si>
  <si>
    <t>[1,14601,1]</t>
    <phoneticPr fontId="2" type="noConversion"/>
  </si>
  <si>
    <t>[1,14605,1]</t>
    <phoneticPr fontId="2" type="noConversion"/>
  </si>
  <si>
    <t>[1,14604,1]</t>
    <phoneticPr fontId="2" type="noConversion"/>
  </si>
  <si>
    <t>[1,14603,1]</t>
    <phoneticPr fontId="2" type="noConversion"/>
  </si>
  <si>
    <t>[1,14602,1]</t>
    <phoneticPr fontId="2" type="noConversion"/>
  </si>
  <si>
    <t>1|5</t>
    <phoneticPr fontId="2" type="noConversion"/>
  </si>
  <si>
    <t>[4,2,90]</t>
    <phoneticPr fontId="2" type="noConversion"/>
  </si>
  <si>
    <t>149|999</t>
    <phoneticPr fontId="2" type="noConversion"/>
  </si>
</sst>
</file>

<file path=xl/styles.xml><?xml version="1.0" encoding="utf-8"?>
<styleSheet xmlns="http://schemas.openxmlformats.org/spreadsheetml/2006/main">
  <fonts count="12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0"/>
      <color rgb="FFFF000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name val="微软雅黑"/>
      <family val="2"/>
      <charset val="134"/>
    </font>
    <font>
      <sz val="10"/>
      <color theme="0" tint="-0.14999847407452621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sz val="11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6">
    <xf numFmtId="0" fontId="0" fillId="0" borderId="0" xfId="0" applyAlignment="1"/>
    <xf numFmtId="0" fontId="1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/>
    </xf>
    <xf numFmtId="49" fontId="7" fillId="5" borderId="1" xfId="0" applyNumberFormat="1" applyFont="1" applyFill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2" borderId="1" xfId="0" applyNumberFormat="1" applyFont="1" applyFill="1" applyBorder="1" applyAlignment="1">
      <alignment vertical="center" wrapText="1"/>
    </xf>
    <xf numFmtId="0" fontId="4" fillId="3" borderId="1" xfId="0" applyNumberFormat="1" applyFont="1" applyFill="1" applyBorder="1" applyAlignment="1">
      <alignment vertical="center"/>
    </xf>
    <xf numFmtId="0" fontId="7" fillId="5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3" fillId="7" borderId="1" xfId="0" applyNumberFormat="1" applyFont="1" applyFill="1" applyBorder="1" applyAlignment="1">
      <alignment vertical="center" wrapText="1"/>
    </xf>
    <xf numFmtId="0" fontId="3" fillId="7" borderId="1" xfId="0" applyFont="1" applyFill="1" applyBorder="1" applyAlignment="1">
      <alignment vertical="center"/>
    </xf>
    <xf numFmtId="0" fontId="3" fillId="7" borderId="1" xfId="0" applyNumberFormat="1" applyFont="1" applyFill="1" applyBorder="1" applyAlignment="1">
      <alignment vertical="center"/>
    </xf>
    <xf numFmtId="0" fontId="3" fillId="7" borderId="1" xfId="0" applyFont="1" applyFill="1" applyBorder="1" applyAlignment="1">
      <alignment horizontal="left" vertical="center"/>
    </xf>
    <xf numFmtId="49" fontId="3" fillId="7" borderId="1" xfId="0" applyNumberFormat="1" applyFont="1" applyFill="1" applyBorder="1" applyAlignment="1">
      <alignment vertical="center"/>
    </xf>
    <xf numFmtId="49" fontId="3" fillId="7" borderId="1" xfId="0" applyNumberFormat="1" applyFont="1" applyFill="1" applyBorder="1" applyAlignment="1">
      <alignment vertical="center" wrapText="1"/>
    </xf>
    <xf numFmtId="0" fontId="3" fillId="7" borderId="1" xfId="0" applyNumberFormat="1" applyFont="1" applyFill="1" applyBorder="1" applyAlignment="1">
      <alignment horizontal="left" vertical="center"/>
    </xf>
    <xf numFmtId="49" fontId="3" fillId="7" borderId="1" xfId="0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left" vertical="center" wrapText="1"/>
    </xf>
    <xf numFmtId="0" fontId="4" fillId="3" borderId="1" xfId="0" applyNumberFormat="1" applyFont="1" applyFill="1" applyBorder="1" applyAlignment="1">
      <alignment horizontal="left" vertical="center"/>
    </xf>
    <xf numFmtId="0" fontId="7" fillId="5" borderId="1" xfId="0" applyNumberFormat="1" applyFont="1" applyFill="1" applyBorder="1" applyAlignment="1">
      <alignment horizontal="left" vertical="center" wrapText="1"/>
    </xf>
    <xf numFmtId="0" fontId="3" fillId="0" borderId="1" xfId="0" applyNumberFormat="1" applyFont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3" fillId="0" borderId="1" xfId="0" applyNumberFormat="1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vertical="center"/>
    </xf>
    <xf numFmtId="0" fontId="3" fillId="8" borderId="1" xfId="0" applyFont="1" applyFill="1" applyBorder="1" applyAlignment="1">
      <alignment vertical="center"/>
    </xf>
    <xf numFmtId="0" fontId="3" fillId="8" borderId="1" xfId="0" applyNumberFormat="1" applyFont="1" applyFill="1" applyBorder="1" applyAlignment="1">
      <alignment vertical="center"/>
    </xf>
    <xf numFmtId="0" fontId="3" fillId="8" borderId="1" xfId="0" applyNumberFormat="1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vertical="center" wrapText="1"/>
    </xf>
    <xf numFmtId="49" fontId="3" fillId="4" borderId="1" xfId="0" applyNumberFormat="1" applyFont="1" applyFill="1" applyBorder="1" applyAlignment="1">
      <alignment vertical="center"/>
    </xf>
    <xf numFmtId="0" fontId="3" fillId="4" borderId="1" xfId="0" applyNumberFormat="1" applyFont="1" applyFill="1" applyBorder="1" applyAlignment="1">
      <alignment vertical="center"/>
    </xf>
    <xf numFmtId="49" fontId="3" fillId="4" borderId="1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vertical="center"/>
    </xf>
    <xf numFmtId="49" fontId="3" fillId="4" borderId="1" xfId="0" applyNumberFormat="1" applyFont="1" applyFill="1" applyBorder="1" applyAlignment="1">
      <alignment vertical="center" wrapText="1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vertical="center"/>
    </xf>
    <xf numFmtId="0" fontId="3" fillId="9" borderId="1" xfId="0" applyNumberFormat="1" applyFont="1" applyFill="1" applyBorder="1" applyAlignment="1">
      <alignment vertical="center"/>
    </xf>
    <xf numFmtId="0" fontId="3" fillId="9" borderId="1" xfId="0" applyNumberFormat="1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0" fontId="3" fillId="10" borderId="1" xfId="0" applyFont="1" applyFill="1" applyBorder="1" applyAlignment="1">
      <alignment vertical="center"/>
    </xf>
    <xf numFmtId="0" fontId="3" fillId="10" borderId="1" xfId="0" applyNumberFormat="1" applyFont="1" applyFill="1" applyBorder="1" applyAlignment="1">
      <alignment vertical="center"/>
    </xf>
    <xf numFmtId="0" fontId="3" fillId="10" borderId="1" xfId="0" applyNumberFormat="1" applyFont="1" applyFill="1" applyBorder="1" applyAlignment="1">
      <alignment horizontal="left" vertical="center"/>
    </xf>
    <xf numFmtId="0" fontId="3" fillId="10" borderId="1" xfId="0" applyFont="1" applyFill="1" applyBorder="1" applyAlignment="1">
      <alignment horizontal="left" vertical="center"/>
    </xf>
    <xf numFmtId="0" fontId="3" fillId="11" borderId="1" xfId="0" applyFont="1" applyFill="1" applyBorder="1" applyAlignment="1">
      <alignment vertical="center"/>
    </xf>
    <xf numFmtId="0" fontId="3" fillId="11" borderId="1" xfId="0" applyNumberFormat="1" applyFont="1" applyFill="1" applyBorder="1" applyAlignment="1">
      <alignment vertical="center"/>
    </xf>
    <xf numFmtId="0" fontId="3" fillId="11" borderId="1" xfId="0" applyNumberFormat="1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&#25968;&#20540;/&#25968;&#20540;&#35774;&#23450;/&#27963;&#21160;&#30456;&#20851;/&#22823;&#22307;&#26032;&#26381;&#27963;&#2116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新服排期"/>
      <sheetName val="充值VIP月卡"/>
      <sheetName val="七日活动"/>
      <sheetName val="豪华签到"/>
      <sheetName val="琥珀商铺"/>
      <sheetName val="开服送礼"/>
      <sheetName val="特惠礼包"/>
      <sheetName val="单日累充"/>
      <sheetName val="限时商铺"/>
      <sheetName val="每周限购"/>
      <sheetName val="每日签到"/>
      <sheetName val="VIP礼包"/>
      <sheetName val="开服战力"/>
      <sheetName val="VIP购买礼包"/>
      <sheetName val="开服送红将"/>
      <sheetName val="幸运转盘"/>
      <sheetName val="累充送礼"/>
      <sheetName val="登陆福利"/>
      <sheetName val="小妖商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E10">
            <v>500</v>
          </cell>
        </row>
        <row r="11">
          <cell r="E11">
            <v>350</v>
          </cell>
          <cell r="G11" t="str">
            <v>[]</v>
          </cell>
          <cell r="H11" t="str">
            <v>[]</v>
          </cell>
        </row>
        <row r="12">
          <cell r="E12">
            <v>860</v>
          </cell>
          <cell r="G12">
            <v>29</v>
          </cell>
          <cell r="H12">
            <v>999</v>
          </cell>
        </row>
        <row r="13">
          <cell r="E13">
            <v>860</v>
          </cell>
          <cell r="G13">
            <v>31</v>
          </cell>
          <cell r="H13">
            <v>999</v>
          </cell>
        </row>
        <row r="14">
          <cell r="E14">
            <v>1500</v>
          </cell>
          <cell r="G14">
            <v>33</v>
          </cell>
          <cell r="H14">
            <v>999</v>
          </cell>
        </row>
        <row r="15">
          <cell r="E15">
            <v>860</v>
          </cell>
          <cell r="G15">
            <v>39</v>
          </cell>
          <cell r="H15">
            <v>999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26"/>
  <sheetViews>
    <sheetView tabSelected="1" workbookViewId="0">
      <pane xSplit="2" ySplit="3" topLeftCell="C306" activePane="bottomRight" state="frozen"/>
      <selection pane="topRight" activeCell="C1" sqref="C1"/>
      <selection pane="bottomLeft" activeCell="A4" sqref="A4"/>
      <selection pane="bottomRight" activeCell="F328" sqref="F328"/>
    </sheetView>
  </sheetViews>
  <sheetFormatPr defaultColWidth="9" defaultRowHeight="16.5"/>
  <cols>
    <col min="1" max="1" width="12.625" style="14" bestFit="1" customWidth="1"/>
    <col min="2" max="2" width="17.25" style="14" bestFit="1" customWidth="1"/>
    <col min="3" max="3" width="16.75" style="15" bestFit="1" customWidth="1"/>
    <col min="4" max="4" width="30.5" style="34" bestFit="1" customWidth="1"/>
    <col min="5" max="5" width="18.625" style="14" bestFit="1" customWidth="1"/>
    <col min="6" max="6" width="20.375" style="14" bestFit="1" customWidth="1"/>
    <col min="7" max="7" width="18" style="14" bestFit="1" customWidth="1"/>
    <col min="8" max="8" width="37.125" style="22" bestFit="1" customWidth="1"/>
    <col min="9" max="9" width="9" style="22"/>
    <col min="10" max="10" width="9.875" style="22" customWidth="1"/>
    <col min="11" max="12" width="9" style="22"/>
    <col min="13" max="16384" width="9" style="14"/>
  </cols>
  <sheetData>
    <row r="1" spans="1:12" s="11" customFormat="1" ht="165">
      <c r="A1" s="11" t="s">
        <v>78</v>
      </c>
      <c r="B1" s="11" t="s">
        <v>2</v>
      </c>
      <c r="C1" s="16" t="s">
        <v>81</v>
      </c>
      <c r="D1" s="31" t="s">
        <v>88</v>
      </c>
      <c r="E1" s="11" t="s">
        <v>80</v>
      </c>
      <c r="F1" s="11" t="s">
        <v>82</v>
      </c>
      <c r="G1" s="11" t="s">
        <v>84</v>
      </c>
      <c r="H1" s="19" t="s">
        <v>77</v>
      </c>
      <c r="I1" s="19"/>
      <c r="J1" s="19"/>
      <c r="K1" s="19"/>
      <c r="L1" s="19"/>
    </row>
    <row r="2" spans="1:12" s="12" customFormat="1">
      <c r="A2" s="12" t="s">
        <v>0</v>
      </c>
      <c r="B2" s="12" t="s">
        <v>70</v>
      </c>
      <c r="C2" s="17" t="s">
        <v>75</v>
      </c>
      <c r="D2" s="32" t="s">
        <v>79</v>
      </c>
      <c r="E2" s="41" t="s">
        <v>74</v>
      </c>
      <c r="F2" s="12" t="s">
        <v>3</v>
      </c>
      <c r="G2" s="12" t="s">
        <v>85</v>
      </c>
      <c r="H2" s="20" t="s">
        <v>76</v>
      </c>
      <c r="I2" s="20"/>
      <c r="J2" s="20"/>
      <c r="K2" s="20"/>
      <c r="L2" s="20"/>
    </row>
    <row r="3" spans="1:12" s="13" customFormat="1">
      <c r="A3" s="13" t="s">
        <v>1</v>
      </c>
      <c r="B3" s="13" t="s">
        <v>71</v>
      </c>
      <c r="C3" s="18" t="s">
        <v>71</v>
      </c>
      <c r="D3" s="33" t="s">
        <v>87</v>
      </c>
      <c r="E3" s="13" t="s">
        <v>73</v>
      </c>
      <c r="F3" s="13" t="s">
        <v>72</v>
      </c>
      <c r="G3" s="13" t="s">
        <v>86</v>
      </c>
      <c r="H3" s="21" t="s">
        <v>87</v>
      </c>
      <c r="I3" s="21"/>
      <c r="J3" s="21"/>
      <c r="K3" s="21"/>
      <c r="L3" s="21"/>
    </row>
    <row r="4" spans="1:12" s="24" customFormat="1">
      <c r="A4" s="23">
        <v>1000001</v>
      </c>
      <c r="B4" s="27" t="s">
        <v>106</v>
      </c>
      <c r="C4" s="25" t="s">
        <v>122</v>
      </c>
      <c r="D4" s="30" t="s">
        <v>123</v>
      </c>
      <c r="E4" s="24">
        <v>1</v>
      </c>
      <c r="F4" s="28" t="s">
        <v>83</v>
      </c>
      <c r="G4" s="23">
        <v>0</v>
      </c>
      <c r="H4" s="29" t="s">
        <v>89</v>
      </c>
      <c r="I4" s="26">
        <f>IFERROR(IF(A4-A3&lt;&gt;1,A4,$I3&amp;","&amp;A4),A4)</f>
        <v>1000001</v>
      </c>
      <c r="J4" s="26"/>
      <c r="K4" s="26"/>
      <c r="L4" s="26"/>
    </row>
    <row r="5" spans="1:12" s="24" customFormat="1">
      <c r="A5" s="23">
        <v>1000002</v>
      </c>
      <c r="B5" s="27" t="s">
        <v>107</v>
      </c>
      <c r="C5" s="25" t="s">
        <v>122</v>
      </c>
      <c r="D5" s="29" t="s">
        <v>123</v>
      </c>
      <c r="E5" s="24">
        <v>1</v>
      </c>
      <c r="F5" s="28" t="s">
        <v>105</v>
      </c>
      <c r="G5" s="23">
        <v>0</v>
      </c>
      <c r="H5" s="29" t="s">
        <v>90</v>
      </c>
      <c r="I5" s="26" t="str">
        <f t="shared" ref="I5:I71" si="0">IFERROR(IF(A5-A4&lt;&gt;1,A5,$I4&amp;","&amp;A5),A5)</f>
        <v>1000001,1000002</v>
      </c>
      <c r="J5" s="26"/>
      <c r="K5" s="26"/>
      <c r="L5" s="26"/>
    </row>
    <row r="6" spans="1:12" s="24" customFormat="1">
      <c r="A6" s="23">
        <v>1000003</v>
      </c>
      <c r="B6" s="24" t="s">
        <v>108</v>
      </c>
      <c r="C6" s="25" t="s">
        <v>130</v>
      </c>
      <c r="D6" s="29" t="s">
        <v>124</v>
      </c>
      <c r="E6" s="24">
        <v>1</v>
      </c>
      <c r="F6" s="28" t="s">
        <v>105</v>
      </c>
      <c r="G6" s="23">
        <v>0</v>
      </c>
      <c r="H6" s="29" t="s">
        <v>91</v>
      </c>
      <c r="I6" s="26" t="str">
        <f t="shared" si="0"/>
        <v>1000001,1000002,1000003</v>
      </c>
      <c r="J6" s="26"/>
      <c r="K6" s="26"/>
      <c r="L6" s="26"/>
    </row>
    <row r="7" spans="1:12" s="24" customFormat="1">
      <c r="A7" s="23">
        <v>1000004</v>
      </c>
      <c r="B7" s="24" t="s">
        <v>109</v>
      </c>
      <c r="C7" s="25" t="s">
        <v>122</v>
      </c>
      <c r="D7" s="29" t="s">
        <v>125</v>
      </c>
      <c r="E7" s="24">
        <v>1</v>
      </c>
      <c r="F7" s="28" t="s">
        <v>105</v>
      </c>
      <c r="G7" s="23">
        <v>0</v>
      </c>
      <c r="H7" s="30" t="s">
        <v>92</v>
      </c>
      <c r="I7" s="26" t="str">
        <f t="shared" si="0"/>
        <v>1000001,1000002,1000003,1000004</v>
      </c>
      <c r="J7" s="26"/>
      <c r="K7" s="26"/>
      <c r="L7" s="26"/>
    </row>
    <row r="8" spans="1:12" s="24" customFormat="1">
      <c r="A8" s="23">
        <v>1000005</v>
      </c>
      <c r="B8" s="24" t="s">
        <v>110</v>
      </c>
      <c r="C8" s="25" t="s">
        <v>130</v>
      </c>
      <c r="D8" s="30" t="s">
        <v>126</v>
      </c>
      <c r="E8" s="24">
        <v>1</v>
      </c>
      <c r="F8" s="28" t="s">
        <v>105</v>
      </c>
      <c r="G8" s="23">
        <v>0</v>
      </c>
      <c r="H8" s="30" t="s">
        <v>93</v>
      </c>
      <c r="I8" s="26" t="str">
        <f t="shared" si="0"/>
        <v>1000001,1000002,1000003,1000004,1000005</v>
      </c>
      <c r="J8" s="26"/>
      <c r="K8" s="26"/>
      <c r="L8" s="26"/>
    </row>
    <row r="9" spans="1:12" s="36" customFormat="1">
      <c r="A9" s="35">
        <v>1000011</v>
      </c>
      <c r="B9" s="36" t="s">
        <v>111</v>
      </c>
      <c r="C9" s="37" t="s">
        <v>122</v>
      </c>
      <c r="D9" s="38" t="s">
        <v>123</v>
      </c>
      <c r="E9" s="36">
        <v>1</v>
      </c>
      <c r="F9" s="39" t="s">
        <v>105</v>
      </c>
      <c r="G9" s="35">
        <v>0</v>
      </c>
      <c r="H9" s="40" t="s">
        <v>94</v>
      </c>
      <c r="I9" s="40">
        <f t="shared" si="0"/>
        <v>1000011</v>
      </c>
      <c r="J9" s="40"/>
      <c r="K9" s="40"/>
      <c r="L9" s="40"/>
    </row>
    <row r="10" spans="1:12" s="36" customFormat="1">
      <c r="A10" s="35">
        <v>1000012</v>
      </c>
      <c r="B10" s="36" t="s">
        <v>109</v>
      </c>
      <c r="C10" s="37" t="s">
        <v>122</v>
      </c>
      <c r="D10" s="38" t="s">
        <v>125</v>
      </c>
      <c r="E10" s="36">
        <v>1</v>
      </c>
      <c r="F10" s="39" t="s">
        <v>105</v>
      </c>
      <c r="G10" s="35">
        <v>0</v>
      </c>
      <c r="H10" s="40" t="s">
        <v>92</v>
      </c>
      <c r="I10" s="40" t="str">
        <f t="shared" si="0"/>
        <v>1000011,1000012</v>
      </c>
      <c r="J10" s="40"/>
      <c r="K10" s="40"/>
      <c r="L10" s="40"/>
    </row>
    <row r="11" spans="1:12" s="36" customFormat="1">
      <c r="A11" s="35">
        <v>1000013</v>
      </c>
      <c r="B11" s="36" t="s">
        <v>110</v>
      </c>
      <c r="C11" s="37" t="s">
        <v>130</v>
      </c>
      <c r="D11" s="38" t="s">
        <v>126</v>
      </c>
      <c r="E11" s="36">
        <v>1</v>
      </c>
      <c r="F11" s="39" t="s">
        <v>105</v>
      </c>
      <c r="G11" s="35">
        <v>0</v>
      </c>
      <c r="H11" s="40" t="s">
        <v>93</v>
      </c>
      <c r="I11" s="40" t="str">
        <f t="shared" si="0"/>
        <v>1000011,1000012,1000013</v>
      </c>
      <c r="J11" s="40"/>
      <c r="K11" s="40"/>
      <c r="L11" s="40"/>
    </row>
    <row r="12" spans="1:12" s="36" customFormat="1">
      <c r="A12" s="35">
        <v>1000014</v>
      </c>
      <c r="B12" s="36" t="s">
        <v>112</v>
      </c>
      <c r="C12" s="37" t="s">
        <v>131</v>
      </c>
      <c r="D12" s="38" t="s">
        <v>127</v>
      </c>
      <c r="E12" s="36">
        <v>1</v>
      </c>
      <c r="F12" s="39" t="s">
        <v>105</v>
      </c>
      <c r="G12" s="35">
        <v>0</v>
      </c>
      <c r="H12" s="40" t="s">
        <v>95</v>
      </c>
      <c r="I12" s="40" t="str">
        <f t="shared" si="0"/>
        <v>1000011,1000012,1000013,1000014</v>
      </c>
      <c r="J12" s="40"/>
      <c r="K12" s="40"/>
      <c r="L12" s="40"/>
    </row>
    <row r="13" spans="1:12" s="36" customFormat="1">
      <c r="A13" s="35">
        <v>1000015</v>
      </c>
      <c r="B13" s="36" t="s">
        <v>113</v>
      </c>
      <c r="C13" s="37" t="s">
        <v>131</v>
      </c>
      <c r="D13" s="38" t="s">
        <v>128</v>
      </c>
      <c r="E13" s="36">
        <v>1</v>
      </c>
      <c r="F13" s="39" t="s">
        <v>105</v>
      </c>
      <c r="G13" s="35">
        <v>0</v>
      </c>
      <c r="H13" s="40" t="s">
        <v>96</v>
      </c>
      <c r="I13" s="40" t="str">
        <f t="shared" si="0"/>
        <v>1000011,1000012,1000013,1000014,1000015</v>
      </c>
      <c r="J13" s="40"/>
      <c r="K13" s="40"/>
      <c r="L13" s="40"/>
    </row>
    <row r="14" spans="1:12" s="36" customFormat="1">
      <c r="A14" s="35">
        <v>1000016</v>
      </c>
      <c r="B14" s="36" t="s">
        <v>118</v>
      </c>
      <c r="C14" s="37" t="s">
        <v>130</v>
      </c>
      <c r="D14" s="38" t="s">
        <v>129</v>
      </c>
      <c r="E14" s="36">
        <v>1</v>
      </c>
      <c r="F14" s="39" t="s">
        <v>105</v>
      </c>
      <c r="G14" s="35">
        <v>0</v>
      </c>
      <c r="H14" s="40" t="s">
        <v>101</v>
      </c>
      <c r="I14" s="40" t="str">
        <f t="shared" si="0"/>
        <v>1000011,1000012,1000013,1000014,1000015,1000016</v>
      </c>
      <c r="J14" s="40"/>
      <c r="K14" s="40"/>
      <c r="L14" s="40"/>
    </row>
    <row r="15" spans="1:12" s="24" customFormat="1">
      <c r="A15" s="23">
        <v>1000021</v>
      </c>
      <c r="B15" s="27" t="s">
        <v>106</v>
      </c>
      <c r="C15" s="25" t="s">
        <v>122</v>
      </c>
      <c r="D15" s="30" t="s">
        <v>123</v>
      </c>
      <c r="E15" s="24">
        <v>1</v>
      </c>
      <c r="F15" s="28" t="s">
        <v>105</v>
      </c>
      <c r="G15" s="23">
        <v>0</v>
      </c>
      <c r="H15" s="29" t="s">
        <v>89</v>
      </c>
      <c r="I15" s="26">
        <f t="shared" si="0"/>
        <v>1000021</v>
      </c>
      <c r="J15" s="26"/>
      <c r="K15" s="26"/>
      <c r="L15" s="26"/>
    </row>
    <row r="16" spans="1:12" s="24" customFormat="1">
      <c r="A16" s="23">
        <v>1000022</v>
      </c>
      <c r="B16" s="27" t="s">
        <v>107</v>
      </c>
      <c r="C16" s="25" t="s">
        <v>122</v>
      </c>
      <c r="D16" s="29" t="s">
        <v>123</v>
      </c>
      <c r="E16" s="24">
        <v>1</v>
      </c>
      <c r="F16" s="28" t="s">
        <v>105</v>
      </c>
      <c r="G16" s="23">
        <v>0</v>
      </c>
      <c r="H16" s="29" t="s">
        <v>90</v>
      </c>
      <c r="I16" s="26" t="str">
        <f t="shared" si="0"/>
        <v>1000021,1000022</v>
      </c>
      <c r="J16" s="26"/>
      <c r="K16" s="26"/>
      <c r="L16" s="26"/>
    </row>
    <row r="17" spans="1:12" s="24" customFormat="1">
      <c r="A17" s="23">
        <v>1000023</v>
      </c>
      <c r="B17" s="24" t="s">
        <v>109</v>
      </c>
      <c r="C17" s="25" t="s">
        <v>122</v>
      </c>
      <c r="D17" s="29" t="s">
        <v>125</v>
      </c>
      <c r="E17" s="24">
        <v>1</v>
      </c>
      <c r="F17" s="28" t="s">
        <v>105</v>
      </c>
      <c r="G17" s="23">
        <v>0</v>
      </c>
      <c r="H17" s="29" t="s">
        <v>92</v>
      </c>
      <c r="I17" s="26" t="str">
        <f t="shared" si="0"/>
        <v>1000021,1000022,1000023</v>
      </c>
      <c r="J17" s="26"/>
      <c r="K17" s="26"/>
      <c r="L17" s="26"/>
    </row>
    <row r="18" spans="1:12" s="24" customFormat="1">
      <c r="A18" s="23">
        <v>1000024</v>
      </c>
      <c r="B18" s="24" t="s">
        <v>110</v>
      </c>
      <c r="C18" s="25" t="s">
        <v>130</v>
      </c>
      <c r="D18" s="29" t="s">
        <v>126</v>
      </c>
      <c r="E18" s="24">
        <v>1</v>
      </c>
      <c r="F18" s="28" t="s">
        <v>105</v>
      </c>
      <c r="G18" s="23">
        <v>0</v>
      </c>
      <c r="H18" s="30" t="s">
        <v>93</v>
      </c>
      <c r="I18" s="26" t="str">
        <f t="shared" si="0"/>
        <v>1000021,1000022,1000023,1000024</v>
      </c>
      <c r="J18" s="26"/>
      <c r="K18" s="26"/>
      <c r="L18" s="26"/>
    </row>
    <row r="19" spans="1:12" s="24" customFormat="1">
      <c r="A19" s="23">
        <v>1000025</v>
      </c>
      <c r="B19" s="24" t="s">
        <v>114</v>
      </c>
      <c r="C19" s="25" t="s">
        <v>130</v>
      </c>
      <c r="D19" s="30" t="s">
        <v>129</v>
      </c>
      <c r="E19" s="24">
        <v>1</v>
      </c>
      <c r="F19" s="28" t="s">
        <v>105</v>
      </c>
      <c r="G19" s="23">
        <v>0</v>
      </c>
      <c r="H19" s="30" t="s">
        <v>97</v>
      </c>
      <c r="I19" s="26" t="str">
        <f t="shared" si="0"/>
        <v>1000021,1000022,1000023,1000024,1000025</v>
      </c>
      <c r="J19" s="26"/>
      <c r="K19" s="26"/>
      <c r="L19" s="26"/>
    </row>
    <row r="20" spans="1:12" s="24" customFormat="1">
      <c r="A20" s="23">
        <v>1000026</v>
      </c>
      <c r="B20" s="24" t="s">
        <v>118</v>
      </c>
      <c r="C20" s="25" t="s">
        <v>130</v>
      </c>
      <c r="D20" s="30" t="s">
        <v>129</v>
      </c>
      <c r="E20" s="24">
        <v>1</v>
      </c>
      <c r="F20" s="28" t="s">
        <v>105</v>
      </c>
      <c r="G20" s="23">
        <v>0</v>
      </c>
      <c r="H20" s="30" t="s">
        <v>101</v>
      </c>
      <c r="I20" s="26" t="str">
        <f t="shared" si="0"/>
        <v>1000021,1000022,1000023,1000024,1000025,1000026</v>
      </c>
      <c r="J20" s="26"/>
      <c r="K20" s="26"/>
      <c r="L20" s="26"/>
    </row>
    <row r="21" spans="1:12" s="36" customFormat="1">
      <c r="A21" s="35">
        <v>1000031</v>
      </c>
      <c r="B21" s="36" t="s">
        <v>109</v>
      </c>
      <c r="C21" s="37" t="s">
        <v>122</v>
      </c>
      <c r="D21" s="38" t="s">
        <v>125</v>
      </c>
      <c r="E21" s="36">
        <v>1</v>
      </c>
      <c r="F21" s="39" t="s">
        <v>105</v>
      </c>
      <c r="G21" s="35">
        <v>0</v>
      </c>
      <c r="H21" s="40" t="s">
        <v>92</v>
      </c>
      <c r="I21" s="40">
        <f t="shared" si="0"/>
        <v>1000031</v>
      </c>
      <c r="J21" s="40"/>
      <c r="K21" s="40"/>
      <c r="L21" s="40"/>
    </row>
    <row r="22" spans="1:12" s="36" customFormat="1">
      <c r="A22" s="35">
        <v>1000032</v>
      </c>
      <c r="B22" s="36" t="s">
        <v>110</v>
      </c>
      <c r="C22" s="37" t="s">
        <v>130</v>
      </c>
      <c r="D22" s="38" t="s">
        <v>126</v>
      </c>
      <c r="E22" s="36">
        <v>1</v>
      </c>
      <c r="F22" s="39" t="s">
        <v>105</v>
      </c>
      <c r="G22" s="35">
        <v>0</v>
      </c>
      <c r="H22" s="40" t="s">
        <v>93</v>
      </c>
      <c r="I22" s="40" t="str">
        <f t="shared" si="0"/>
        <v>1000031,1000032</v>
      </c>
      <c r="J22" s="40"/>
      <c r="K22" s="40"/>
      <c r="L22" s="40"/>
    </row>
    <row r="23" spans="1:12" s="36" customFormat="1">
      <c r="A23" s="35">
        <v>1000033</v>
      </c>
      <c r="B23" s="36" t="s">
        <v>115</v>
      </c>
      <c r="C23" s="37" t="s">
        <v>130</v>
      </c>
      <c r="D23" s="38" t="s">
        <v>124</v>
      </c>
      <c r="E23" s="36">
        <v>1</v>
      </c>
      <c r="F23" s="39" t="s">
        <v>105</v>
      </c>
      <c r="G23" s="35">
        <v>0</v>
      </c>
      <c r="H23" s="40" t="s">
        <v>98</v>
      </c>
      <c r="I23" s="40" t="str">
        <f t="shared" si="0"/>
        <v>1000031,1000032,1000033</v>
      </c>
      <c r="J23" s="40"/>
      <c r="K23" s="40"/>
      <c r="L23" s="40"/>
    </row>
    <row r="24" spans="1:12" s="36" customFormat="1">
      <c r="A24" s="35">
        <v>1000034</v>
      </c>
      <c r="B24" s="36" t="s">
        <v>108</v>
      </c>
      <c r="C24" s="37" t="s">
        <v>130</v>
      </c>
      <c r="D24" s="38" t="s">
        <v>124</v>
      </c>
      <c r="E24" s="36">
        <v>1</v>
      </c>
      <c r="F24" s="39" t="s">
        <v>105</v>
      </c>
      <c r="G24" s="35">
        <v>0</v>
      </c>
      <c r="H24" s="40" t="s">
        <v>91</v>
      </c>
      <c r="I24" s="40" t="str">
        <f t="shared" si="0"/>
        <v>1000031,1000032,1000033,1000034</v>
      </c>
      <c r="J24" s="40"/>
      <c r="K24" s="40"/>
      <c r="L24" s="40"/>
    </row>
    <row r="25" spans="1:12" s="36" customFormat="1">
      <c r="A25" s="35">
        <v>1000035</v>
      </c>
      <c r="B25" s="36" t="s">
        <v>116</v>
      </c>
      <c r="C25" s="37" t="s">
        <v>130</v>
      </c>
      <c r="D25" s="38" t="s">
        <v>124</v>
      </c>
      <c r="E25" s="36">
        <v>1</v>
      </c>
      <c r="F25" s="39" t="s">
        <v>105</v>
      </c>
      <c r="G25" s="35">
        <v>0</v>
      </c>
      <c r="H25" s="40" t="s">
        <v>99</v>
      </c>
      <c r="I25" s="40" t="str">
        <f t="shared" si="0"/>
        <v>1000031,1000032,1000033,1000034,1000035</v>
      </c>
      <c r="J25" s="40"/>
      <c r="K25" s="40"/>
      <c r="L25" s="40"/>
    </row>
    <row r="26" spans="1:12" s="36" customFormat="1">
      <c r="A26" s="35">
        <v>1000036</v>
      </c>
      <c r="B26" s="36" t="s">
        <v>111</v>
      </c>
      <c r="C26" s="37" t="s">
        <v>122</v>
      </c>
      <c r="D26" s="38" t="s">
        <v>123</v>
      </c>
      <c r="E26" s="36">
        <v>1</v>
      </c>
      <c r="F26" s="39" t="s">
        <v>105</v>
      </c>
      <c r="G26" s="35">
        <v>0</v>
      </c>
      <c r="H26" s="40" t="s">
        <v>94</v>
      </c>
      <c r="I26" s="40" t="str">
        <f t="shared" si="0"/>
        <v>1000031,1000032,1000033,1000034,1000035,1000036</v>
      </c>
      <c r="J26" s="40"/>
      <c r="K26" s="40"/>
      <c r="L26" s="40"/>
    </row>
    <row r="27" spans="1:12" s="36" customFormat="1">
      <c r="A27" s="35">
        <v>1000037</v>
      </c>
      <c r="B27" s="36" t="s">
        <v>118</v>
      </c>
      <c r="C27" s="37" t="s">
        <v>130</v>
      </c>
      <c r="D27" s="38" t="s">
        <v>129</v>
      </c>
      <c r="E27" s="36">
        <v>1</v>
      </c>
      <c r="F27" s="39" t="s">
        <v>105</v>
      </c>
      <c r="G27" s="35">
        <v>0</v>
      </c>
      <c r="H27" s="40" t="s">
        <v>101</v>
      </c>
      <c r="I27" s="40" t="str">
        <f t="shared" si="0"/>
        <v>1000031,1000032,1000033,1000034,1000035,1000036,1000037</v>
      </c>
      <c r="J27" s="40"/>
      <c r="K27" s="40"/>
      <c r="L27" s="40"/>
    </row>
    <row r="28" spans="1:12" s="24" customFormat="1">
      <c r="A28" s="23">
        <v>1000041</v>
      </c>
      <c r="B28" s="27" t="s">
        <v>109</v>
      </c>
      <c r="C28" s="25" t="s">
        <v>122</v>
      </c>
      <c r="D28" s="30" t="s">
        <v>125</v>
      </c>
      <c r="E28" s="24">
        <v>1</v>
      </c>
      <c r="F28" s="28" t="s">
        <v>105</v>
      </c>
      <c r="G28" s="23">
        <v>0</v>
      </c>
      <c r="H28" s="29" t="s">
        <v>92</v>
      </c>
      <c r="I28" s="26">
        <f t="shared" si="0"/>
        <v>1000041</v>
      </c>
      <c r="J28" s="26"/>
      <c r="K28" s="26"/>
      <c r="L28" s="26"/>
    </row>
    <row r="29" spans="1:12" s="24" customFormat="1">
      <c r="A29" s="23">
        <v>1000042</v>
      </c>
      <c r="B29" s="27" t="s">
        <v>110</v>
      </c>
      <c r="C29" s="25" t="s">
        <v>130</v>
      </c>
      <c r="D29" s="29" t="s">
        <v>126</v>
      </c>
      <c r="E29" s="24">
        <v>1</v>
      </c>
      <c r="F29" s="28" t="s">
        <v>105</v>
      </c>
      <c r="G29" s="23">
        <v>0</v>
      </c>
      <c r="H29" s="29" t="s">
        <v>93</v>
      </c>
      <c r="I29" s="26" t="str">
        <f t="shared" si="0"/>
        <v>1000041,1000042</v>
      </c>
      <c r="J29" s="26"/>
      <c r="K29" s="26"/>
      <c r="L29" s="26"/>
    </row>
    <row r="30" spans="1:12" s="24" customFormat="1">
      <c r="A30" s="23">
        <v>1000043</v>
      </c>
      <c r="B30" s="24" t="s">
        <v>117</v>
      </c>
      <c r="C30" s="25" t="s">
        <v>130</v>
      </c>
      <c r="D30" s="29" t="s">
        <v>124</v>
      </c>
      <c r="E30" s="24">
        <v>1</v>
      </c>
      <c r="F30" s="28" t="s">
        <v>105</v>
      </c>
      <c r="G30" s="23">
        <v>0</v>
      </c>
      <c r="H30" s="29" t="s">
        <v>100</v>
      </c>
      <c r="I30" s="26" t="str">
        <f t="shared" si="0"/>
        <v>1000041,1000042,1000043</v>
      </c>
      <c r="J30" s="26"/>
      <c r="K30" s="26"/>
      <c r="L30" s="26"/>
    </row>
    <row r="31" spans="1:12" s="24" customFormat="1">
      <c r="A31" s="23">
        <v>1000044</v>
      </c>
      <c r="B31" s="24" t="s">
        <v>118</v>
      </c>
      <c r="C31" s="25" t="s">
        <v>130</v>
      </c>
      <c r="D31" s="29" t="s">
        <v>129</v>
      </c>
      <c r="E31" s="24">
        <v>1</v>
      </c>
      <c r="F31" s="28" t="s">
        <v>105</v>
      </c>
      <c r="G31" s="23">
        <v>0</v>
      </c>
      <c r="H31" s="30" t="s">
        <v>101</v>
      </c>
      <c r="I31" s="26" t="str">
        <f t="shared" si="0"/>
        <v>1000041,1000042,1000043,1000044</v>
      </c>
      <c r="J31" s="26"/>
      <c r="K31" s="26"/>
      <c r="L31" s="26"/>
    </row>
    <row r="32" spans="1:12" s="24" customFormat="1">
      <c r="A32" s="23">
        <v>1000045</v>
      </c>
      <c r="B32" s="24" t="s">
        <v>119</v>
      </c>
      <c r="C32" s="25" t="s">
        <v>131</v>
      </c>
      <c r="D32" s="30" t="s">
        <v>127</v>
      </c>
      <c r="E32" s="24">
        <v>1</v>
      </c>
      <c r="F32" s="28" t="s">
        <v>105</v>
      </c>
      <c r="G32" s="23">
        <v>0</v>
      </c>
      <c r="H32" s="30" t="s">
        <v>102</v>
      </c>
      <c r="I32" s="26" t="str">
        <f t="shared" si="0"/>
        <v>1000041,1000042,1000043,1000044,1000045</v>
      </c>
      <c r="J32" s="26"/>
      <c r="K32" s="26"/>
      <c r="L32" s="26"/>
    </row>
    <row r="33" spans="1:12" s="24" customFormat="1">
      <c r="A33" s="23">
        <v>1000046</v>
      </c>
      <c r="B33" s="24" t="s">
        <v>111</v>
      </c>
      <c r="C33" s="25" t="s">
        <v>122</v>
      </c>
      <c r="D33" s="30" t="s">
        <v>123</v>
      </c>
      <c r="E33" s="24">
        <v>1</v>
      </c>
      <c r="F33" s="28" t="s">
        <v>105</v>
      </c>
      <c r="G33" s="23">
        <v>0</v>
      </c>
      <c r="H33" s="30" t="s">
        <v>94</v>
      </c>
      <c r="I33" s="26" t="str">
        <f t="shared" si="0"/>
        <v>1000041,1000042,1000043,1000044,1000045,1000046</v>
      </c>
      <c r="J33" s="26"/>
      <c r="K33" s="26"/>
      <c r="L33" s="26"/>
    </row>
    <row r="34" spans="1:12" s="36" customFormat="1">
      <c r="A34" s="35">
        <v>1000051</v>
      </c>
      <c r="B34" s="36" t="s">
        <v>109</v>
      </c>
      <c r="C34" s="37" t="s">
        <v>122</v>
      </c>
      <c r="D34" s="38" t="s">
        <v>125</v>
      </c>
      <c r="E34" s="36">
        <v>1</v>
      </c>
      <c r="F34" s="39" t="s">
        <v>105</v>
      </c>
      <c r="G34" s="35">
        <v>0</v>
      </c>
      <c r="H34" s="40" t="s">
        <v>92</v>
      </c>
      <c r="I34" s="40">
        <f t="shared" si="0"/>
        <v>1000051</v>
      </c>
      <c r="J34" s="40"/>
      <c r="K34" s="40"/>
      <c r="L34" s="40"/>
    </row>
    <row r="35" spans="1:12" s="36" customFormat="1">
      <c r="A35" s="35">
        <v>1000052</v>
      </c>
      <c r="B35" s="36" t="s">
        <v>110</v>
      </c>
      <c r="C35" s="37" t="s">
        <v>130</v>
      </c>
      <c r="D35" s="38" t="s">
        <v>126</v>
      </c>
      <c r="E35" s="36">
        <v>1</v>
      </c>
      <c r="F35" s="39" t="s">
        <v>105</v>
      </c>
      <c r="G35" s="35">
        <v>0</v>
      </c>
      <c r="H35" s="40" t="s">
        <v>93</v>
      </c>
      <c r="I35" s="40" t="str">
        <f t="shared" si="0"/>
        <v>1000051,1000052</v>
      </c>
      <c r="J35" s="40"/>
      <c r="K35" s="40"/>
      <c r="L35" s="40"/>
    </row>
    <row r="36" spans="1:12" s="36" customFormat="1">
      <c r="A36" s="35">
        <v>1000053</v>
      </c>
      <c r="B36" s="36" t="s">
        <v>117</v>
      </c>
      <c r="C36" s="37" t="s">
        <v>130</v>
      </c>
      <c r="D36" s="38" t="s">
        <v>124</v>
      </c>
      <c r="E36" s="36">
        <v>1</v>
      </c>
      <c r="F36" s="39" t="s">
        <v>105</v>
      </c>
      <c r="G36" s="35">
        <v>0</v>
      </c>
      <c r="H36" s="40" t="s">
        <v>100</v>
      </c>
      <c r="I36" s="40" t="str">
        <f t="shared" si="0"/>
        <v>1000051,1000052,1000053</v>
      </c>
      <c r="J36" s="40"/>
      <c r="K36" s="40"/>
      <c r="L36" s="40"/>
    </row>
    <row r="37" spans="1:12" s="36" customFormat="1">
      <c r="A37" s="35">
        <v>1000054</v>
      </c>
      <c r="B37" s="36" t="s">
        <v>121</v>
      </c>
      <c r="C37" s="37" t="s">
        <v>131</v>
      </c>
      <c r="D37" s="38" t="s">
        <v>127</v>
      </c>
      <c r="E37" s="36">
        <v>1</v>
      </c>
      <c r="F37" s="39" t="s">
        <v>105</v>
      </c>
      <c r="G37" s="35">
        <v>0</v>
      </c>
      <c r="H37" s="40" t="s">
        <v>103</v>
      </c>
      <c r="I37" s="40" t="str">
        <f t="shared" si="0"/>
        <v>1000051,1000052,1000053,1000054</v>
      </c>
      <c r="J37" s="40"/>
      <c r="K37" s="40"/>
      <c r="L37" s="40"/>
    </row>
    <row r="38" spans="1:12" s="36" customFormat="1">
      <c r="A38" s="35">
        <v>1000055</v>
      </c>
      <c r="B38" s="36" t="s">
        <v>120</v>
      </c>
      <c r="C38" s="37" t="s">
        <v>130</v>
      </c>
      <c r="D38" s="38" t="s">
        <v>129</v>
      </c>
      <c r="E38" s="36">
        <v>1</v>
      </c>
      <c r="F38" s="39" t="s">
        <v>105</v>
      </c>
      <c r="G38" s="35">
        <v>0</v>
      </c>
      <c r="H38" s="40" t="s">
        <v>104</v>
      </c>
      <c r="I38" s="40" t="str">
        <f t="shared" si="0"/>
        <v>1000051,1000052,1000053,1000054,1000055</v>
      </c>
      <c r="J38" s="40"/>
      <c r="K38" s="40"/>
      <c r="L38" s="40"/>
    </row>
    <row r="39" spans="1:12" s="36" customFormat="1">
      <c r="A39" s="35">
        <v>1000056</v>
      </c>
      <c r="B39" s="36" t="s">
        <v>111</v>
      </c>
      <c r="C39" s="37" t="s">
        <v>122</v>
      </c>
      <c r="D39" s="38" t="s">
        <v>123</v>
      </c>
      <c r="E39" s="36">
        <v>1</v>
      </c>
      <c r="F39" s="39" t="s">
        <v>105</v>
      </c>
      <c r="G39" s="35">
        <v>0</v>
      </c>
      <c r="H39" s="40" t="s">
        <v>94</v>
      </c>
      <c r="I39" s="40" t="str">
        <f t="shared" si="0"/>
        <v>1000051,1000052,1000053,1000054,1000055,1000056</v>
      </c>
      <c r="J39" s="40"/>
      <c r="K39" s="40"/>
      <c r="L39" s="40"/>
    </row>
    <row r="40" spans="1:12" s="24" customFormat="1">
      <c r="A40" s="23">
        <v>1000061</v>
      </c>
      <c r="B40" s="24" t="s">
        <v>106</v>
      </c>
      <c r="C40" s="25" t="s">
        <v>122</v>
      </c>
      <c r="D40" s="30" t="s">
        <v>123</v>
      </c>
      <c r="E40" s="24">
        <v>1</v>
      </c>
      <c r="F40" s="28" t="s">
        <v>105</v>
      </c>
      <c r="G40" s="23">
        <v>0</v>
      </c>
      <c r="H40" s="26" t="s">
        <v>89</v>
      </c>
      <c r="I40" s="26">
        <f t="shared" si="0"/>
        <v>1000061</v>
      </c>
      <c r="J40" s="26"/>
      <c r="K40" s="26"/>
      <c r="L40" s="26"/>
    </row>
    <row r="41" spans="1:12" s="24" customFormat="1">
      <c r="A41" s="23">
        <v>1000062</v>
      </c>
      <c r="B41" s="24" t="s">
        <v>107</v>
      </c>
      <c r="C41" s="25" t="s">
        <v>122</v>
      </c>
      <c r="D41" s="30" t="s">
        <v>123</v>
      </c>
      <c r="E41" s="24">
        <v>1</v>
      </c>
      <c r="F41" s="28" t="s">
        <v>105</v>
      </c>
      <c r="G41" s="23">
        <v>0</v>
      </c>
      <c r="H41" s="26" t="s">
        <v>90</v>
      </c>
      <c r="I41" s="26" t="str">
        <f t="shared" si="0"/>
        <v>1000061,1000062</v>
      </c>
      <c r="J41" s="26"/>
      <c r="K41" s="26"/>
      <c r="L41" s="26"/>
    </row>
    <row r="42" spans="1:12" s="24" customFormat="1">
      <c r="A42" s="23">
        <v>1000063</v>
      </c>
      <c r="B42" s="24" t="s">
        <v>117</v>
      </c>
      <c r="C42" s="25" t="s">
        <v>130</v>
      </c>
      <c r="D42" s="30" t="s">
        <v>124</v>
      </c>
      <c r="E42" s="24">
        <v>1</v>
      </c>
      <c r="F42" s="28" t="s">
        <v>105</v>
      </c>
      <c r="G42" s="23">
        <v>0</v>
      </c>
      <c r="H42" s="26" t="s">
        <v>100</v>
      </c>
      <c r="I42" s="26" t="str">
        <f t="shared" si="0"/>
        <v>1000061,1000062,1000063</v>
      </c>
      <c r="J42" s="26"/>
      <c r="K42" s="26"/>
      <c r="L42" s="26"/>
    </row>
    <row r="43" spans="1:12" s="24" customFormat="1">
      <c r="A43" s="23">
        <v>1000064</v>
      </c>
      <c r="B43" s="24" t="s">
        <v>109</v>
      </c>
      <c r="C43" s="25" t="s">
        <v>122</v>
      </c>
      <c r="D43" s="30" t="s">
        <v>125</v>
      </c>
      <c r="E43" s="24">
        <v>1</v>
      </c>
      <c r="F43" s="28" t="s">
        <v>105</v>
      </c>
      <c r="G43" s="23">
        <v>0</v>
      </c>
      <c r="H43" s="26" t="s">
        <v>92</v>
      </c>
      <c r="I43" s="26" t="str">
        <f t="shared" si="0"/>
        <v>1000061,1000062,1000063,1000064</v>
      </c>
      <c r="J43" s="26"/>
      <c r="K43" s="26"/>
      <c r="L43" s="26"/>
    </row>
    <row r="44" spans="1:12" s="24" customFormat="1">
      <c r="A44" s="23">
        <v>1000065</v>
      </c>
      <c r="B44" s="24" t="s">
        <v>110</v>
      </c>
      <c r="C44" s="25" t="s">
        <v>130</v>
      </c>
      <c r="D44" s="30" t="s">
        <v>126</v>
      </c>
      <c r="E44" s="24">
        <v>1</v>
      </c>
      <c r="F44" s="28" t="s">
        <v>105</v>
      </c>
      <c r="G44" s="23">
        <v>0</v>
      </c>
      <c r="H44" s="26" t="s">
        <v>93</v>
      </c>
      <c r="I44" s="26" t="str">
        <f t="shared" si="0"/>
        <v>1000061,1000062,1000063,1000064,1000065</v>
      </c>
      <c r="J44" s="26"/>
      <c r="K44" s="26"/>
      <c r="L44" s="26"/>
    </row>
    <row r="45" spans="1:12" s="24" customFormat="1">
      <c r="A45" s="23">
        <v>1000066</v>
      </c>
      <c r="B45" s="24" t="s">
        <v>118</v>
      </c>
      <c r="C45" s="25" t="s">
        <v>130</v>
      </c>
      <c r="D45" s="30" t="s">
        <v>129</v>
      </c>
      <c r="E45" s="24">
        <v>1</v>
      </c>
      <c r="F45" s="28" t="s">
        <v>105</v>
      </c>
      <c r="G45" s="23">
        <v>0</v>
      </c>
      <c r="H45" s="26" t="s">
        <v>101</v>
      </c>
      <c r="I45" s="26" t="str">
        <f t="shared" si="0"/>
        <v>1000061,1000062,1000063,1000064,1000065,1000066</v>
      </c>
      <c r="J45" s="26"/>
      <c r="K45" s="26"/>
      <c r="L45" s="26"/>
    </row>
    <row r="46" spans="1:12" s="50" customFormat="1">
      <c r="A46" s="46">
        <v>1000101</v>
      </c>
      <c r="B46" s="47" t="s">
        <v>220</v>
      </c>
      <c r="C46" s="48" t="s">
        <v>122</v>
      </c>
      <c r="D46" s="49" t="s">
        <v>223</v>
      </c>
      <c r="E46" s="50">
        <v>1</v>
      </c>
      <c r="F46" s="51" t="s">
        <v>83</v>
      </c>
      <c r="G46" s="46">
        <v>0</v>
      </c>
      <c r="H46" s="52" t="s">
        <v>218</v>
      </c>
      <c r="I46" s="53">
        <f t="shared" si="0"/>
        <v>1000101</v>
      </c>
      <c r="J46" s="53"/>
      <c r="K46" s="53"/>
      <c r="L46" s="53"/>
    </row>
    <row r="47" spans="1:12" s="50" customFormat="1">
      <c r="A47" s="46">
        <v>1000102</v>
      </c>
      <c r="B47" s="47" t="s">
        <v>111</v>
      </c>
      <c r="C47" s="48" t="s">
        <v>122</v>
      </c>
      <c r="D47" s="52" t="s">
        <v>123</v>
      </c>
      <c r="E47" s="50">
        <v>1</v>
      </c>
      <c r="F47" s="51" t="s">
        <v>105</v>
      </c>
      <c r="G47" s="46">
        <v>0</v>
      </c>
      <c r="H47" s="52" t="s">
        <v>94</v>
      </c>
      <c r="I47" s="53" t="str">
        <f t="shared" si="0"/>
        <v>1000101,1000102</v>
      </c>
      <c r="J47" s="53"/>
      <c r="K47" s="53"/>
      <c r="L47" s="53"/>
    </row>
    <row r="48" spans="1:12" s="50" customFormat="1">
      <c r="A48" s="46">
        <v>1000103</v>
      </c>
      <c r="B48" s="50" t="s">
        <v>117</v>
      </c>
      <c r="C48" s="48" t="s">
        <v>130</v>
      </c>
      <c r="D48" s="52" t="s">
        <v>124</v>
      </c>
      <c r="E48" s="50">
        <v>1</v>
      </c>
      <c r="F48" s="51" t="s">
        <v>105</v>
      </c>
      <c r="G48" s="46">
        <v>0</v>
      </c>
      <c r="H48" s="52" t="s">
        <v>100</v>
      </c>
      <c r="I48" s="53" t="str">
        <f t="shared" si="0"/>
        <v>1000101,1000102,1000103</v>
      </c>
      <c r="J48" s="53"/>
      <c r="K48" s="53"/>
      <c r="L48" s="53"/>
    </row>
    <row r="49" spans="1:12" s="50" customFormat="1">
      <c r="A49" s="46">
        <v>1000104</v>
      </c>
      <c r="B49" s="50" t="s">
        <v>109</v>
      </c>
      <c r="C49" s="48" t="s">
        <v>122</v>
      </c>
      <c r="D49" s="52" t="s">
        <v>125</v>
      </c>
      <c r="E49" s="50">
        <v>1</v>
      </c>
      <c r="F49" s="51" t="s">
        <v>105</v>
      </c>
      <c r="G49" s="46">
        <v>0</v>
      </c>
      <c r="H49" s="49" t="s">
        <v>92</v>
      </c>
      <c r="I49" s="53" t="str">
        <f t="shared" si="0"/>
        <v>1000101,1000102,1000103,1000104</v>
      </c>
      <c r="J49" s="53"/>
      <c r="K49" s="53"/>
      <c r="L49" s="53"/>
    </row>
    <row r="50" spans="1:12" s="50" customFormat="1">
      <c r="A50" s="46">
        <v>1000105</v>
      </c>
      <c r="B50" s="50" t="s">
        <v>110</v>
      </c>
      <c r="C50" s="48" t="s">
        <v>130</v>
      </c>
      <c r="D50" s="49" t="s">
        <v>126</v>
      </c>
      <c r="E50" s="50">
        <v>1</v>
      </c>
      <c r="F50" s="51" t="s">
        <v>105</v>
      </c>
      <c r="G50" s="46">
        <v>0</v>
      </c>
      <c r="H50" s="49" t="s">
        <v>93</v>
      </c>
      <c r="I50" s="53" t="str">
        <f t="shared" si="0"/>
        <v>1000101,1000102,1000103,1000104,1000105</v>
      </c>
      <c r="J50" s="53"/>
      <c r="K50" s="53"/>
      <c r="L50" s="53"/>
    </row>
    <row r="51" spans="1:12" s="50" customFormat="1">
      <c r="A51" s="46">
        <v>1000106</v>
      </c>
      <c r="B51" s="50" t="s">
        <v>121</v>
      </c>
      <c r="C51" s="48" t="s">
        <v>131</v>
      </c>
      <c r="D51" s="49" t="s">
        <v>127</v>
      </c>
      <c r="E51" s="50">
        <v>1</v>
      </c>
      <c r="F51" s="51" t="s">
        <v>105</v>
      </c>
      <c r="G51" s="46">
        <v>0</v>
      </c>
      <c r="H51" s="49" t="s">
        <v>103</v>
      </c>
      <c r="I51" s="53" t="str">
        <f t="shared" si="0"/>
        <v>1000101,1000102,1000103,1000104,1000105,1000106</v>
      </c>
      <c r="J51" s="53"/>
      <c r="K51" s="53"/>
      <c r="L51" s="53"/>
    </row>
    <row r="52" spans="1:12" s="36" customFormat="1">
      <c r="A52" s="35">
        <v>1000201</v>
      </c>
      <c r="B52" s="36" t="s">
        <v>220</v>
      </c>
      <c r="C52" s="37" t="s">
        <v>122</v>
      </c>
      <c r="D52" s="38" t="s">
        <v>223</v>
      </c>
      <c r="E52" s="36">
        <v>1</v>
      </c>
      <c r="F52" s="39" t="s">
        <v>105</v>
      </c>
      <c r="G52" s="35">
        <v>0</v>
      </c>
      <c r="H52" s="40" t="s">
        <v>218</v>
      </c>
      <c r="I52" s="40">
        <f t="shared" si="0"/>
        <v>1000201</v>
      </c>
      <c r="J52" s="40"/>
      <c r="K52" s="40"/>
      <c r="L52" s="40"/>
    </row>
    <row r="53" spans="1:12" s="36" customFormat="1">
      <c r="A53" s="35">
        <v>1000202</v>
      </c>
      <c r="B53" s="36" t="s">
        <v>111</v>
      </c>
      <c r="C53" s="37" t="s">
        <v>122</v>
      </c>
      <c r="D53" s="38" t="s">
        <v>123</v>
      </c>
      <c r="E53" s="36">
        <v>1</v>
      </c>
      <c r="F53" s="39" t="s">
        <v>105</v>
      </c>
      <c r="G53" s="35">
        <v>0</v>
      </c>
      <c r="H53" s="40" t="s">
        <v>94</v>
      </c>
      <c r="I53" s="40" t="str">
        <f t="shared" si="0"/>
        <v>1000201,1000202</v>
      </c>
      <c r="J53" s="40"/>
      <c r="K53" s="40"/>
      <c r="L53" s="40"/>
    </row>
    <row r="54" spans="1:12" s="36" customFormat="1">
      <c r="A54" s="35">
        <v>1000203</v>
      </c>
      <c r="B54" s="36" t="s">
        <v>117</v>
      </c>
      <c r="C54" s="37" t="s">
        <v>130</v>
      </c>
      <c r="D54" s="38" t="s">
        <v>124</v>
      </c>
      <c r="E54" s="36">
        <v>1</v>
      </c>
      <c r="F54" s="39" t="s">
        <v>105</v>
      </c>
      <c r="G54" s="35">
        <v>0</v>
      </c>
      <c r="H54" s="40" t="s">
        <v>100</v>
      </c>
      <c r="I54" s="40" t="str">
        <f t="shared" si="0"/>
        <v>1000201,1000202,1000203</v>
      </c>
      <c r="J54" s="40"/>
      <c r="K54" s="40"/>
      <c r="L54" s="40"/>
    </row>
    <row r="55" spans="1:12" s="36" customFormat="1">
      <c r="A55" s="35">
        <v>1000204</v>
      </c>
      <c r="B55" s="36" t="s">
        <v>109</v>
      </c>
      <c r="C55" s="37" t="s">
        <v>122</v>
      </c>
      <c r="D55" s="38" t="s">
        <v>125</v>
      </c>
      <c r="E55" s="36">
        <v>1</v>
      </c>
      <c r="F55" s="39" t="s">
        <v>105</v>
      </c>
      <c r="G55" s="35">
        <v>0</v>
      </c>
      <c r="H55" s="40" t="s">
        <v>92</v>
      </c>
      <c r="I55" s="40" t="str">
        <f t="shared" si="0"/>
        <v>1000201,1000202,1000203,1000204</v>
      </c>
      <c r="J55" s="40"/>
      <c r="K55" s="40"/>
      <c r="L55" s="40"/>
    </row>
    <row r="56" spans="1:12" s="36" customFormat="1">
      <c r="A56" s="35">
        <v>1000205</v>
      </c>
      <c r="B56" s="36" t="s">
        <v>110</v>
      </c>
      <c r="C56" s="37" t="s">
        <v>130</v>
      </c>
      <c r="D56" s="38" t="s">
        <v>126</v>
      </c>
      <c r="E56" s="36">
        <v>1</v>
      </c>
      <c r="F56" s="39" t="s">
        <v>105</v>
      </c>
      <c r="G56" s="35">
        <v>0</v>
      </c>
      <c r="H56" s="40" t="s">
        <v>93</v>
      </c>
      <c r="I56" s="40" t="str">
        <f t="shared" si="0"/>
        <v>1000201,1000202,1000203,1000204,1000205</v>
      </c>
      <c r="J56" s="40"/>
      <c r="K56" s="40"/>
      <c r="L56" s="40"/>
    </row>
    <row r="57" spans="1:12" s="36" customFormat="1">
      <c r="A57" s="35">
        <v>1000206</v>
      </c>
      <c r="B57" s="36" t="s">
        <v>119</v>
      </c>
      <c r="C57" s="37" t="s">
        <v>131</v>
      </c>
      <c r="D57" s="38" t="s">
        <v>127</v>
      </c>
      <c r="E57" s="36">
        <v>1</v>
      </c>
      <c r="F57" s="39" t="s">
        <v>105</v>
      </c>
      <c r="G57" s="35">
        <v>0</v>
      </c>
      <c r="H57" s="40" t="s">
        <v>102</v>
      </c>
      <c r="I57" s="40" t="str">
        <f t="shared" si="0"/>
        <v>1000201,1000202,1000203,1000204,1000205,1000206</v>
      </c>
      <c r="J57" s="40"/>
      <c r="K57" s="40"/>
      <c r="L57" s="40"/>
    </row>
    <row r="58" spans="1:12" s="24" customFormat="1">
      <c r="A58" s="23">
        <v>1000301</v>
      </c>
      <c r="B58" s="27" t="s">
        <v>220</v>
      </c>
      <c r="C58" s="25" t="s">
        <v>122</v>
      </c>
      <c r="D58" s="30" t="s">
        <v>223</v>
      </c>
      <c r="E58" s="24">
        <v>1</v>
      </c>
      <c r="F58" s="28" t="s">
        <v>105</v>
      </c>
      <c r="G58" s="23">
        <v>0</v>
      </c>
      <c r="H58" s="29" t="s">
        <v>218</v>
      </c>
      <c r="I58" s="26">
        <f t="shared" si="0"/>
        <v>1000301</v>
      </c>
      <c r="J58" s="26"/>
      <c r="K58" s="26"/>
      <c r="L58" s="26"/>
    </row>
    <row r="59" spans="1:12" s="24" customFormat="1">
      <c r="A59" s="23">
        <v>1000302</v>
      </c>
      <c r="B59" s="27" t="s">
        <v>111</v>
      </c>
      <c r="C59" s="25" t="s">
        <v>122</v>
      </c>
      <c r="D59" s="29" t="s">
        <v>123</v>
      </c>
      <c r="E59" s="24">
        <v>1</v>
      </c>
      <c r="F59" s="28" t="s">
        <v>105</v>
      </c>
      <c r="G59" s="23">
        <v>0</v>
      </c>
      <c r="H59" s="29" t="s">
        <v>94</v>
      </c>
      <c r="I59" s="26" t="str">
        <f t="shared" si="0"/>
        <v>1000301,1000302</v>
      </c>
      <c r="J59" s="26"/>
      <c r="K59" s="26"/>
      <c r="L59" s="26"/>
    </row>
    <row r="60" spans="1:12" s="24" customFormat="1">
      <c r="A60" s="23">
        <v>1000303</v>
      </c>
      <c r="B60" s="24" t="s">
        <v>117</v>
      </c>
      <c r="C60" s="25" t="s">
        <v>130</v>
      </c>
      <c r="D60" s="29" t="s">
        <v>124</v>
      </c>
      <c r="E60" s="24">
        <v>1</v>
      </c>
      <c r="F60" s="28" t="s">
        <v>105</v>
      </c>
      <c r="G60" s="23">
        <v>0</v>
      </c>
      <c r="H60" s="29" t="s">
        <v>100</v>
      </c>
      <c r="I60" s="26" t="str">
        <f t="shared" si="0"/>
        <v>1000301,1000302,1000303</v>
      </c>
      <c r="J60" s="26"/>
      <c r="K60" s="26"/>
      <c r="L60" s="26"/>
    </row>
    <row r="61" spans="1:12" s="24" customFormat="1">
      <c r="A61" s="23">
        <v>1000304</v>
      </c>
      <c r="B61" s="24" t="s">
        <v>109</v>
      </c>
      <c r="C61" s="25" t="s">
        <v>122</v>
      </c>
      <c r="D61" s="29" t="s">
        <v>125</v>
      </c>
      <c r="E61" s="24">
        <v>1</v>
      </c>
      <c r="F61" s="28" t="s">
        <v>105</v>
      </c>
      <c r="G61" s="23">
        <v>0</v>
      </c>
      <c r="H61" s="30" t="s">
        <v>92</v>
      </c>
      <c r="I61" s="26" t="str">
        <f t="shared" si="0"/>
        <v>1000301,1000302,1000303,1000304</v>
      </c>
      <c r="J61" s="26"/>
      <c r="K61" s="26"/>
      <c r="L61" s="26"/>
    </row>
    <row r="62" spans="1:12" s="24" customFormat="1">
      <c r="A62" s="23">
        <v>1000305</v>
      </c>
      <c r="B62" s="24" t="s">
        <v>110</v>
      </c>
      <c r="C62" s="25" t="s">
        <v>130</v>
      </c>
      <c r="D62" s="30" t="s">
        <v>126</v>
      </c>
      <c r="E62" s="24">
        <v>1</v>
      </c>
      <c r="F62" s="28" t="s">
        <v>105</v>
      </c>
      <c r="G62" s="23">
        <v>0</v>
      </c>
      <c r="H62" s="30" t="s">
        <v>93</v>
      </c>
      <c r="I62" s="26" t="str">
        <f t="shared" si="0"/>
        <v>1000301,1000302,1000303,1000304,1000305</v>
      </c>
      <c r="J62" s="26"/>
      <c r="K62" s="26"/>
      <c r="L62" s="26"/>
    </row>
    <row r="63" spans="1:12" s="24" customFormat="1">
      <c r="A63" s="23">
        <v>1000306</v>
      </c>
      <c r="B63" s="24" t="s">
        <v>112</v>
      </c>
      <c r="C63" s="25" t="s">
        <v>131</v>
      </c>
      <c r="D63" s="30" t="s">
        <v>127</v>
      </c>
      <c r="E63" s="24">
        <v>1</v>
      </c>
      <c r="F63" s="28" t="s">
        <v>105</v>
      </c>
      <c r="G63" s="23">
        <v>0</v>
      </c>
      <c r="H63" s="30" t="s">
        <v>95</v>
      </c>
      <c r="I63" s="26" t="str">
        <f t="shared" si="0"/>
        <v>1000301,1000302,1000303,1000304,1000305,1000306</v>
      </c>
      <c r="J63" s="26"/>
      <c r="K63" s="26"/>
      <c r="L63" s="26"/>
    </row>
    <row r="64" spans="1:12" s="36" customFormat="1">
      <c r="A64" s="35">
        <v>1000401</v>
      </c>
      <c r="B64" s="36" t="s">
        <v>220</v>
      </c>
      <c r="C64" s="37" t="s">
        <v>122</v>
      </c>
      <c r="D64" s="38" t="s">
        <v>223</v>
      </c>
      <c r="E64" s="36">
        <v>1</v>
      </c>
      <c r="F64" s="39" t="s">
        <v>105</v>
      </c>
      <c r="G64" s="35">
        <v>0</v>
      </c>
      <c r="H64" s="40" t="s">
        <v>218</v>
      </c>
      <c r="I64" s="40">
        <f t="shared" si="0"/>
        <v>1000401</v>
      </c>
      <c r="J64" s="40"/>
      <c r="K64" s="40"/>
      <c r="L64" s="40"/>
    </row>
    <row r="65" spans="1:12" s="36" customFormat="1">
      <c r="A65" s="35">
        <v>1000402</v>
      </c>
      <c r="B65" s="36" t="s">
        <v>111</v>
      </c>
      <c r="C65" s="37" t="s">
        <v>122</v>
      </c>
      <c r="D65" s="38" t="s">
        <v>123</v>
      </c>
      <c r="E65" s="36">
        <v>1</v>
      </c>
      <c r="F65" s="39" t="s">
        <v>105</v>
      </c>
      <c r="G65" s="35">
        <v>0</v>
      </c>
      <c r="H65" s="40" t="s">
        <v>94</v>
      </c>
      <c r="I65" s="40" t="str">
        <f t="shared" si="0"/>
        <v>1000401,1000402</v>
      </c>
      <c r="J65" s="40"/>
      <c r="K65" s="40"/>
      <c r="L65" s="40"/>
    </row>
    <row r="66" spans="1:12" s="36" customFormat="1">
      <c r="A66" s="35">
        <v>1000403</v>
      </c>
      <c r="B66" s="36" t="s">
        <v>117</v>
      </c>
      <c r="C66" s="37" t="s">
        <v>130</v>
      </c>
      <c r="D66" s="38" t="s">
        <v>124</v>
      </c>
      <c r="E66" s="36">
        <v>1</v>
      </c>
      <c r="F66" s="39" t="s">
        <v>105</v>
      </c>
      <c r="G66" s="35">
        <v>0</v>
      </c>
      <c r="H66" s="40" t="s">
        <v>100</v>
      </c>
      <c r="I66" s="40" t="str">
        <f t="shared" si="0"/>
        <v>1000401,1000402,1000403</v>
      </c>
      <c r="J66" s="40"/>
      <c r="K66" s="40"/>
      <c r="L66" s="40"/>
    </row>
    <row r="67" spans="1:12" s="36" customFormat="1">
      <c r="A67" s="35">
        <v>1000404</v>
      </c>
      <c r="B67" s="36" t="s">
        <v>109</v>
      </c>
      <c r="C67" s="37" t="s">
        <v>122</v>
      </c>
      <c r="D67" s="38" t="s">
        <v>125</v>
      </c>
      <c r="E67" s="36">
        <v>1</v>
      </c>
      <c r="F67" s="39" t="s">
        <v>105</v>
      </c>
      <c r="G67" s="35">
        <v>0</v>
      </c>
      <c r="H67" s="40" t="s">
        <v>92</v>
      </c>
      <c r="I67" s="40" t="str">
        <f t="shared" si="0"/>
        <v>1000401,1000402,1000403,1000404</v>
      </c>
      <c r="J67" s="40"/>
      <c r="K67" s="40"/>
      <c r="L67" s="40"/>
    </row>
    <row r="68" spans="1:12" s="36" customFormat="1">
      <c r="A68" s="35">
        <v>1000405</v>
      </c>
      <c r="B68" s="36" t="s">
        <v>110</v>
      </c>
      <c r="C68" s="37" t="s">
        <v>130</v>
      </c>
      <c r="D68" s="38" t="s">
        <v>126</v>
      </c>
      <c r="E68" s="36">
        <v>1</v>
      </c>
      <c r="F68" s="39" t="s">
        <v>105</v>
      </c>
      <c r="G68" s="35">
        <v>0</v>
      </c>
      <c r="H68" s="40" t="s">
        <v>93</v>
      </c>
      <c r="I68" s="40" t="str">
        <f t="shared" si="0"/>
        <v>1000401,1000402,1000403,1000404,1000405</v>
      </c>
      <c r="J68" s="40"/>
      <c r="K68" s="40"/>
      <c r="L68" s="40"/>
    </row>
    <row r="69" spans="1:12" s="36" customFormat="1">
      <c r="A69" s="35">
        <v>1000406</v>
      </c>
      <c r="B69" s="36" t="s">
        <v>113</v>
      </c>
      <c r="C69" s="37" t="s">
        <v>131</v>
      </c>
      <c r="D69" s="38" t="s">
        <v>128</v>
      </c>
      <c r="E69" s="36">
        <v>1</v>
      </c>
      <c r="F69" s="39" t="s">
        <v>105</v>
      </c>
      <c r="G69" s="35">
        <v>0</v>
      </c>
      <c r="H69" s="40" t="s">
        <v>96</v>
      </c>
      <c r="I69" s="40" t="str">
        <f t="shared" si="0"/>
        <v>1000401,1000402,1000403,1000404,1000405,1000406</v>
      </c>
      <c r="J69" s="40"/>
      <c r="K69" s="40"/>
      <c r="L69" s="40"/>
    </row>
    <row r="70" spans="1:12" s="24" customFormat="1">
      <c r="A70" s="23">
        <v>1000501</v>
      </c>
      <c r="B70" s="27" t="s">
        <v>220</v>
      </c>
      <c r="C70" s="25" t="s">
        <v>122</v>
      </c>
      <c r="D70" s="30" t="s">
        <v>223</v>
      </c>
      <c r="E70" s="24">
        <v>1</v>
      </c>
      <c r="F70" s="28" t="s">
        <v>105</v>
      </c>
      <c r="G70" s="23">
        <v>0</v>
      </c>
      <c r="H70" s="29" t="s">
        <v>218</v>
      </c>
      <c r="I70" s="26">
        <f t="shared" si="0"/>
        <v>1000501</v>
      </c>
      <c r="J70" s="26"/>
      <c r="K70" s="26"/>
      <c r="L70" s="26"/>
    </row>
    <row r="71" spans="1:12" s="24" customFormat="1">
      <c r="A71" s="23">
        <v>1000502</v>
      </c>
      <c r="B71" s="27" t="s">
        <v>111</v>
      </c>
      <c r="C71" s="25" t="s">
        <v>122</v>
      </c>
      <c r="D71" s="29" t="s">
        <v>123</v>
      </c>
      <c r="E71" s="24">
        <v>1</v>
      </c>
      <c r="F71" s="28" t="s">
        <v>105</v>
      </c>
      <c r="G71" s="23">
        <v>0</v>
      </c>
      <c r="H71" s="29" t="s">
        <v>94</v>
      </c>
      <c r="I71" s="26" t="str">
        <f t="shared" si="0"/>
        <v>1000501,1000502</v>
      </c>
      <c r="J71" s="26"/>
      <c r="K71" s="26"/>
      <c r="L71" s="26"/>
    </row>
    <row r="72" spans="1:12" s="24" customFormat="1">
      <c r="A72" s="23">
        <v>1000503</v>
      </c>
      <c r="B72" s="24" t="s">
        <v>117</v>
      </c>
      <c r="C72" s="25" t="s">
        <v>130</v>
      </c>
      <c r="D72" s="29" t="s">
        <v>124</v>
      </c>
      <c r="E72" s="24">
        <v>1</v>
      </c>
      <c r="F72" s="28" t="s">
        <v>105</v>
      </c>
      <c r="G72" s="23">
        <v>0</v>
      </c>
      <c r="H72" s="29" t="s">
        <v>100</v>
      </c>
      <c r="I72" s="26" t="str">
        <f t="shared" ref="I72:I135" si="1">IFERROR(IF(A72-A71&lt;&gt;1,A72,$I71&amp;","&amp;A72),A72)</f>
        <v>1000501,1000502,1000503</v>
      </c>
      <c r="J72" s="26"/>
      <c r="K72" s="26"/>
      <c r="L72" s="26"/>
    </row>
    <row r="73" spans="1:12" s="24" customFormat="1">
      <c r="A73" s="23">
        <v>1000504</v>
      </c>
      <c r="B73" s="24" t="s">
        <v>109</v>
      </c>
      <c r="C73" s="25" t="s">
        <v>122</v>
      </c>
      <c r="D73" s="29" t="s">
        <v>125</v>
      </c>
      <c r="E73" s="24">
        <v>1</v>
      </c>
      <c r="F73" s="28" t="s">
        <v>105</v>
      </c>
      <c r="G73" s="23">
        <v>0</v>
      </c>
      <c r="H73" s="30" t="s">
        <v>92</v>
      </c>
      <c r="I73" s="26" t="str">
        <f t="shared" si="1"/>
        <v>1000501,1000502,1000503,1000504</v>
      </c>
      <c r="J73" s="26"/>
      <c r="K73" s="26"/>
      <c r="L73" s="26"/>
    </row>
    <row r="74" spans="1:12" s="24" customFormat="1">
      <c r="A74" s="23">
        <v>1000505</v>
      </c>
      <c r="B74" s="24" t="s">
        <v>110</v>
      </c>
      <c r="C74" s="25" t="s">
        <v>130</v>
      </c>
      <c r="D74" s="30" t="s">
        <v>126</v>
      </c>
      <c r="E74" s="24">
        <v>1</v>
      </c>
      <c r="F74" s="28" t="s">
        <v>105</v>
      </c>
      <c r="G74" s="23">
        <v>0</v>
      </c>
      <c r="H74" s="30" t="s">
        <v>93</v>
      </c>
      <c r="I74" s="26" t="str">
        <f t="shared" si="1"/>
        <v>1000501,1000502,1000503,1000504,1000505</v>
      </c>
      <c r="J74" s="26"/>
      <c r="K74" s="26"/>
      <c r="L74" s="26"/>
    </row>
    <row r="75" spans="1:12" s="24" customFormat="1">
      <c r="A75" s="23">
        <v>1000506</v>
      </c>
      <c r="B75" s="24" t="s">
        <v>121</v>
      </c>
      <c r="C75" s="25" t="s">
        <v>131</v>
      </c>
      <c r="D75" s="30" t="s">
        <v>127</v>
      </c>
      <c r="E75" s="24">
        <v>1</v>
      </c>
      <c r="F75" s="28" t="s">
        <v>105</v>
      </c>
      <c r="G75" s="23">
        <v>0</v>
      </c>
      <c r="H75" s="30" t="s">
        <v>103</v>
      </c>
      <c r="I75" s="26" t="str">
        <f t="shared" si="1"/>
        <v>1000501,1000502,1000503,1000504,1000505,1000506</v>
      </c>
      <c r="J75" s="26"/>
      <c r="K75" s="26"/>
      <c r="L75" s="26"/>
    </row>
    <row r="76" spans="1:12" s="36" customFormat="1">
      <c r="A76" s="35">
        <v>1000601</v>
      </c>
      <c r="B76" s="36" t="s">
        <v>220</v>
      </c>
      <c r="C76" s="37" t="s">
        <v>122</v>
      </c>
      <c r="D76" s="38" t="s">
        <v>223</v>
      </c>
      <c r="E76" s="36">
        <v>1</v>
      </c>
      <c r="F76" s="39" t="s">
        <v>105</v>
      </c>
      <c r="G76" s="35">
        <v>0</v>
      </c>
      <c r="H76" s="40" t="s">
        <v>218</v>
      </c>
      <c r="I76" s="40">
        <f t="shared" si="1"/>
        <v>1000601</v>
      </c>
      <c r="J76" s="40"/>
      <c r="K76" s="40"/>
      <c r="L76" s="40"/>
    </row>
    <row r="77" spans="1:12" s="36" customFormat="1">
      <c r="A77" s="35">
        <v>1000602</v>
      </c>
      <c r="B77" s="36" t="s">
        <v>111</v>
      </c>
      <c r="C77" s="37" t="s">
        <v>122</v>
      </c>
      <c r="D77" s="38" t="s">
        <v>123</v>
      </c>
      <c r="E77" s="36">
        <v>1</v>
      </c>
      <c r="F77" s="39" t="s">
        <v>105</v>
      </c>
      <c r="G77" s="35">
        <v>0</v>
      </c>
      <c r="H77" s="40" t="s">
        <v>94</v>
      </c>
      <c r="I77" s="40" t="str">
        <f t="shared" si="1"/>
        <v>1000601,1000602</v>
      </c>
      <c r="J77" s="40"/>
      <c r="K77" s="40"/>
      <c r="L77" s="40"/>
    </row>
    <row r="78" spans="1:12" s="36" customFormat="1">
      <c r="A78" s="35">
        <v>1000603</v>
      </c>
      <c r="B78" s="36" t="s">
        <v>117</v>
      </c>
      <c r="C78" s="37" t="s">
        <v>130</v>
      </c>
      <c r="D78" s="38" t="s">
        <v>124</v>
      </c>
      <c r="E78" s="36">
        <v>1</v>
      </c>
      <c r="F78" s="39" t="s">
        <v>105</v>
      </c>
      <c r="G78" s="35">
        <v>0</v>
      </c>
      <c r="H78" s="40" t="s">
        <v>100</v>
      </c>
      <c r="I78" s="40" t="str">
        <f t="shared" si="1"/>
        <v>1000601,1000602,1000603</v>
      </c>
      <c r="J78" s="40"/>
      <c r="K78" s="40"/>
      <c r="L78" s="40"/>
    </row>
    <row r="79" spans="1:12" s="36" customFormat="1">
      <c r="A79" s="35">
        <v>1000604</v>
      </c>
      <c r="B79" s="36" t="s">
        <v>109</v>
      </c>
      <c r="C79" s="37" t="s">
        <v>122</v>
      </c>
      <c r="D79" s="38" t="s">
        <v>125</v>
      </c>
      <c r="E79" s="36">
        <v>1</v>
      </c>
      <c r="F79" s="39" t="s">
        <v>105</v>
      </c>
      <c r="G79" s="35">
        <v>0</v>
      </c>
      <c r="H79" s="40" t="s">
        <v>92</v>
      </c>
      <c r="I79" s="40" t="str">
        <f t="shared" si="1"/>
        <v>1000601,1000602,1000603,1000604</v>
      </c>
      <c r="J79" s="40"/>
      <c r="K79" s="40"/>
      <c r="L79" s="40"/>
    </row>
    <row r="80" spans="1:12" s="36" customFormat="1">
      <c r="A80" s="35">
        <v>1000605</v>
      </c>
      <c r="B80" s="36" t="s">
        <v>110</v>
      </c>
      <c r="C80" s="37" t="s">
        <v>130</v>
      </c>
      <c r="D80" s="38" t="s">
        <v>126</v>
      </c>
      <c r="E80" s="36">
        <v>1</v>
      </c>
      <c r="F80" s="39" t="s">
        <v>105</v>
      </c>
      <c r="G80" s="35">
        <v>0</v>
      </c>
      <c r="H80" s="40" t="s">
        <v>93</v>
      </c>
      <c r="I80" s="40" t="str">
        <f t="shared" si="1"/>
        <v>1000601,1000602,1000603,1000604,1000605</v>
      </c>
      <c r="J80" s="40"/>
      <c r="K80" s="40"/>
      <c r="L80" s="40"/>
    </row>
    <row r="81" spans="1:12" s="36" customFormat="1">
      <c r="A81" s="35">
        <v>1000606</v>
      </c>
      <c r="B81" s="36" t="s">
        <v>222</v>
      </c>
      <c r="C81" s="37" t="s">
        <v>131</v>
      </c>
      <c r="D81" s="38" t="s">
        <v>127</v>
      </c>
      <c r="E81" s="36">
        <v>1</v>
      </c>
      <c r="F81" s="39" t="s">
        <v>105</v>
      </c>
      <c r="G81" s="35">
        <v>0</v>
      </c>
      <c r="H81" s="40" t="s">
        <v>176</v>
      </c>
      <c r="I81" s="40" t="str">
        <f t="shared" si="1"/>
        <v>1000601,1000602,1000603,1000604,1000605,1000606</v>
      </c>
      <c r="J81" s="40"/>
      <c r="K81" s="40"/>
      <c r="L81" s="40"/>
    </row>
    <row r="82" spans="1:12" s="24" customFormat="1">
      <c r="A82" s="23">
        <v>1000701</v>
      </c>
      <c r="B82" s="24" t="s">
        <v>220</v>
      </c>
      <c r="C82" s="25" t="s">
        <v>122</v>
      </c>
      <c r="D82" s="30" t="s">
        <v>223</v>
      </c>
      <c r="E82" s="24">
        <v>1</v>
      </c>
      <c r="F82" s="28" t="s">
        <v>105</v>
      </c>
      <c r="G82" s="23">
        <v>0</v>
      </c>
      <c r="H82" s="26" t="s">
        <v>218</v>
      </c>
      <c r="I82" s="26">
        <f t="shared" si="1"/>
        <v>1000701</v>
      </c>
      <c r="J82" s="26"/>
      <c r="K82" s="26"/>
      <c r="L82" s="26"/>
    </row>
    <row r="83" spans="1:12" s="24" customFormat="1">
      <c r="A83" s="23">
        <v>1000702</v>
      </c>
      <c r="B83" s="24" t="s">
        <v>111</v>
      </c>
      <c r="C83" s="25" t="s">
        <v>122</v>
      </c>
      <c r="D83" s="30" t="s">
        <v>123</v>
      </c>
      <c r="E83" s="24">
        <v>1</v>
      </c>
      <c r="F83" s="28" t="s">
        <v>105</v>
      </c>
      <c r="G83" s="23">
        <v>0</v>
      </c>
      <c r="H83" s="26" t="s">
        <v>94</v>
      </c>
      <c r="I83" s="26" t="str">
        <f t="shared" si="1"/>
        <v>1000701,1000702</v>
      </c>
      <c r="J83" s="26"/>
      <c r="K83" s="26"/>
      <c r="L83" s="26"/>
    </row>
    <row r="84" spans="1:12" s="24" customFormat="1">
      <c r="A84" s="23">
        <v>1000703</v>
      </c>
      <c r="B84" s="24" t="s">
        <v>117</v>
      </c>
      <c r="C84" s="25" t="s">
        <v>130</v>
      </c>
      <c r="D84" s="30" t="s">
        <v>124</v>
      </c>
      <c r="E84" s="24">
        <v>1</v>
      </c>
      <c r="F84" s="28" t="s">
        <v>105</v>
      </c>
      <c r="G84" s="23">
        <v>0</v>
      </c>
      <c r="H84" s="26" t="s">
        <v>100</v>
      </c>
      <c r="I84" s="26" t="str">
        <f t="shared" si="1"/>
        <v>1000701,1000702,1000703</v>
      </c>
      <c r="J84" s="26"/>
      <c r="K84" s="26"/>
      <c r="L84" s="26"/>
    </row>
    <row r="85" spans="1:12" s="24" customFormat="1">
      <c r="A85" s="23">
        <v>1000704</v>
      </c>
      <c r="B85" s="24" t="s">
        <v>109</v>
      </c>
      <c r="C85" s="25" t="s">
        <v>122</v>
      </c>
      <c r="D85" s="30" t="s">
        <v>125</v>
      </c>
      <c r="E85" s="24">
        <v>1</v>
      </c>
      <c r="F85" s="28" t="s">
        <v>105</v>
      </c>
      <c r="G85" s="23">
        <v>0</v>
      </c>
      <c r="H85" s="26" t="s">
        <v>92</v>
      </c>
      <c r="I85" s="26" t="str">
        <f t="shared" si="1"/>
        <v>1000701,1000702,1000703,1000704</v>
      </c>
      <c r="J85" s="26"/>
      <c r="K85" s="26"/>
      <c r="L85" s="26"/>
    </row>
    <row r="86" spans="1:12" s="24" customFormat="1">
      <c r="A86" s="23">
        <v>1000705</v>
      </c>
      <c r="B86" s="24" t="s">
        <v>110</v>
      </c>
      <c r="C86" s="25" t="s">
        <v>130</v>
      </c>
      <c r="D86" s="30" t="s">
        <v>126</v>
      </c>
      <c r="E86" s="24">
        <v>1</v>
      </c>
      <c r="F86" s="28" t="s">
        <v>105</v>
      </c>
      <c r="G86" s="23">
        <v>0</v>
      </c>
      <c r="H86" s="26" t="s">
        <v>93</v>
      </c>
      <c r="I86" s="26" t="str">
        <f t="shared" si="1"/>
        <v>1000701,1000702,1000703,1000704,1000705</v>
      </c>
      <c r="J86" s="26"/>
      <c r="K86" s="26"/>
      <c r="L86" s="26"/>
    </row>
    <row r="87" spans="1:12" s="24" customFormat="1">
      <c r="A87" s="23">
        <v>1000706</v>
      </c>
      <c r="B87" s="24" t="s">
        <v>221</v>
      </c>
      <c r="C87" s="25" t="s">
        <v>131</v>
      </c>
      <c r="D87" s="30" t="s">
        <v>128</v>
      </c>
      <c r="E87" s="24">
        <v>1</v>
      </c>
      <c r="F87" s="28" t="s">
        <v>105</v>
      </c>
      <c r="G87" s="23">
        <v>0</v>
      </c>
      <c r="H87" s="26" t="s">
        <v>219</v>
      </c>
      <c r="I87" s="26" t="str">
        <f t="shared" si="1"/>
        <v>1000701,1000702,1000703,1000704,1000705,1000706</v>
      </c>
      <c r="J87" s="26"/>
      <c r="K87" s="26"/>
      <c r="L87" s="26"/>
    </row>
    <row r="88" spans="1:12" s="50" customFormat="1">
      <c r="A88" s="46">
        <v>1001001</v>
      </c>
      <c r="B88" s="47" t="s">
        <v>220</v>
      </c>
      <c r="C88" s="48" t="s">
        <v>122</v>
      </c>
      <c r="D88" s="49" t="s">
        <v>223</v>
      </c>
      <c r="E88" s="50">
        <v>1</v>
      </c>
      <c r="F88" s="51" t="s">
        <v>83</v>
      </c>
      <c r="G88" s="46">
        <v>0</v>
      </c>
      <c r="H88" s="52" t="s">
        <v>218</v>
      </c>
      <c r="I88" s="53">
        <f t="shared" si="1"/>
        <v>1001001</v>
      </c>
      <c r="J88" s="53"/>
      <c r="K88" s="53"/>
      <c r="L88" s="53"/>
    </row>
    <row r="89" spans="1:12" s="50" customFormat="1">
      <c r="A89" s="46">
        <v>1001002</v>
      </c>
      <c r="B89" s="47" t="s">
        <v>224</v>
      </c>
      <c r="C89" s="48" t="s">
        <v>122</v>
      </c>
      <c r="D89" s="52" t="s">
        <v>228</v>
      </c>
      <c r="E89" s="50">
        <v>2</v>
      </c>
      <c r="F89" s="51" t="s">
        <v>105</v>
      </c>
      <c r="G89" s="46">
        <v>0</v>
      </c>
      <c r="H89" s="52" t="s">
        <v>226</v>
      </c>
      <c r="I89" s="53" t="str">
        <f t="shared" si="1"/>
        <v>1001001,1001002</v>
      </c>
      <c r="J89" s="53"/>
      <c r="K89" s="53"/>
      <c r="L89" s="53"/>
    </row>
    <row r="90" spans="1:12" s="50" customFormat="1">
      <c r="A90" s="46">
        <v>1001003</v>
      </c>
      <c r="B90" s="50" t="s">
        <v>225</v>
      </c>
      <c r="C90" s="48" t="s">
        <v>130</v>
      </c>
      <c r="D90" s="52" t="s">
        <v>229</v>
      </c>
      <c r="E90" s="50">
        <v>2</v>
      </c>
      <c r="F90" s="51" t="s">
        <v>105</v>
      </c>
      <c r="G90" s="46">
        <v>0</v>
      </c>
      <c r="H90" s="52" t="s">
        <v>227</v>
      </c>
      <c r="I90" s="53" t="str">
        <f t="shared" si="1"/>
        <v>1001001,1001002,1001003</v>
      </c>
      <c r="J90" s="53"/>
      <c r="K90" s="53"/>
      <c r="L90" s="53"/>
    </row>
    <row r="91" spans="1:12" s="50" customFormat="1">
      <c r="A91" s="46">
        <v>1001004</v>
      </c>
      <c r="B91" s="50" t="s">
        <v>111</v>
      </c>
      <c r="C91" s="48" t="s">
        <v>122</v>
      </c>
      <c r="D91" s="52" t="s">
        <v>123</v>
      </c>
      <c r="E91" s="50">
        <v>1</v>
      </c>
      <c r="F91" s="51" t="s">
        <v>105</v>
      </c>
      <c r="G91" s="46">
        <v>0</v>
      </c>
      <c r="H91" s="49" t="s">
        <v>94</v>
      </c>
      <c r="I91" s="53" t="str">
        <f t="shared" si="1"/>
        <v>1001001,1001002,1001003,1001004</v>
      </c>
      <c r="J91" s="53"/>
      <c r="K91" s="53"/>
      <c r="L91" s="53"/>
    </row>
    <row r="92" spans="1:12" s="50" customFormat="1">
      <c r="A92" s="46">
        <v>1001005</v>
      </c>
      <c r="B92" s="50" t="s">
        <v>117</v>
      </c>
      <c r="C92" s="48" t="s">
        <v>130</v>
      </c>
      <c r="D92" s="49" t="s">
        <v>124</v>
      </c>
      <c r="E92" s="50">
        <v>1</v>
      </c>
      <c r="F92" s="51" t="s">
        <v>105</v>
      </c>
      <c r="G92" s="46">
        <v>0</v>
      </c>
      <c r="H92" s="49" t="s">
        <v>100</v>
      </c>
      <c r="I92" s="53" t="str">
        <f t="shared" si="1"/>
        <v>1001001,1001002,1001003,1001004,1001005</v>
      </c>
      <c r="J92" s="53"/>
      <c r="K92" s="53"/>
      <c r="L92" s="53"/>
    </row>
    <row r="93" spans="1:12" s="50" customFormat="1">
      <c r="A93" s="46">
        <v>1001006</v>
      </c>
      <c r="B93" s="50" t="s">
        <v>109</v>
      </c>
      <c r="C93" s="48" t="s">
        <v>122</v>
      </c>
      <c r="D93" s="49" t="s">
        <v>125</v>
      </c>
      <c r="E93" s="50">
        <v>1</v>
      </c>
      <c r="F93" s="51" t="s">
        <v>105</v>
      </c>
      <c r="G93" s="46">
        <v>0</v>
      </c>
      <c r="H93" s="49" t="s">
        <v>92</v>
      </c>
      <c r="I93" s="53" t="str">
        <f t="shared" si="1"/>
        <v>1001001,1001002,1001003,1001004,1001005,1001006</v>
      </c>
      <c r="J93" s="53"/>
      <c r="K93" s="53"/>
      <c r="L93" s="53"/>
    </row>
    <row r="94" spans="1:12" s="50" customFormat="1">
      <c r="A94" s="46">
        <v>1001007</v>
      </c>
      <c r="B94" s="50" t="s">
        <v>110</v>
      </c>
      <c r="C94" s="48" t="s">
        <v>130</v>
      </c>
      <c r="D94" s="49" t="s">
        <v>126</v>
      </c>
      <c r="E94" s="50">
        <v>1</v>
      </c>
      <c r="F94" s="51" t="s">
        <v>105</v>
      </c>
      <c r="G94" s="46">
        <v>0</v>
      </c>
      <c r="H94" s="49" t="s">
        <v>93</v>
      </c>
      <c r="I94" s="53" t="str">
        <f t="shared" si="1"/>
        <v>1001001,1001002,1001003,1001004,1001005,1001006,1001007</v>
      </c>
      <c r="J94" s="53"/>
      <c r="K94" s="53"/>
      <c r="L94" s="53"/>
    </row>
    <row r="95" spans="1:12" s="50" customFormat="1">
      <c r="A95" s="46">
        <v>1001008</v>
      </c>
      <c r="B95" s="50" t="s">
        <v>121</v>
      </c>
      <c r="C95" s="48" t="s">
        <v>131</v>
      </c>
      <c r="D95" s="49" t="s">
        <v>127</v>
      </c>
      <c r="E95" s="50">
        <v>1</v>
      </c>
      <c r="F95" s="51" t="s">
        <v>105</v>
      </c>
      <c r="G95" s="46">
        <v>0</v>
      </c>
      <c r="H95" s="49" t="s">
        <v>103</v>
      </c>
      <c r="I95" s="53" t="str">
        <f t="shared" si="1"/>
        <v>1001001,1001002,1001003,1001004,1001005,1001006,1001007,1001008</v>
      </c>
      <c r="J95" s="53"/>
      <c r="K95" s="53"/>
      <c r="L95" s="53"/>
    </row>
    <row r="96" spans="1:12" s="36" customFormat="1">
      <c r="A96" s="35">
        <v>1001101</v>
      </c>
      <c r="B96" s="36" t="s">
        <v>220</v>
      </c>
      <c r="C96" s="37" t="s">
        <v>122</v>
      </c>
      <c r="D96" s="38" t="s">
        <v>223</v>
      </c>
      <c r="E96" s="36">
        <v>1</v>
      </c>
      <c r="F96" s="39" t="s">
        <v>105</v>
      </c>
      <c r="G96" s="35">
        <v>0</v>
      </c>
      <c r="H96" s="40" t="s">
        <v>218</v>
      </c>
      <c r="I96" s="40">
        <f t="shared" si="1"/>
        <v>1001101</v>
      </c>
      <c r="J96" s="40"/>
      <c r="K96" s="40"/>
      <c r="L96" s="40"/>
    </row>
    <row r="97" spans="1:12" s="36" customFormat="1">
      <c r="A97" s="35">
        <v>1001102</v>
      </c>
      <c r="B97" s="36" t="s">
        <v>224</v>
      </c>
      <c r="C97" s="37" t="s">
        <v>122</v>
      </c>
      <c r="D97" s="38" t="s">
        <v>228</v>
      </c>
      <c r="E97" s="36">
        <v>2</v>
      </c>
      <c r="F97" s="39" t="s">
        <v>105</v>
      </c>
      <c r="G97" s="35">
        <v>0</v>
      </c>
      <c r="H97" s="40" t="s">
        <v>226</v>
      </c>
      <c r="I97" s="40" t="str">
        <f t="shared" si="1"/>
        <v>1001101,1001102</v>
      </c>
      <c r="J97" s="40"/>
      <c r="K97" s="40"/>
      <c r="L97" s="40"/>
    </row>
    <row r="98" spans="1:12" s="36" customFormat="1">
      <c r="A98" s="35">
        <v>1001103</v>
      </c>
      <c r="B98" s="36" t="s">
        <v>225</v>
      </c>
      <c r="C98" s="37" t="s">
        <v>130</v>
      </c>
      <c r="D98" s="38" t="s">
        <v>229</v>
      </c>
      <c r="E98" s="36">
        <v>2</v>
      </c>
      <c r="F98" s="39" t="s">
        <v>105</v>
      </c>
      <c r="G98" s="35">
        <v>0</v>
      </c>
      <c r="H98" s="40" t="s">
        <v>227</v>
      </c>
      <c r="I98" s="40" t="str">
        <f t="shared" si="1"/>
        <v>1001101,1001102,1001103</v>
      </c>
      <c r="J98" s="40"/>
      <c r="K98" s="40"/>
      <c r="L98" s="40"/>
    </row>
    <row r="99" spans="1:12" s="36" customFormat="1">
      <c r="A99" s="35">
        <v>1001104</v>
      </c>
      <c r="B99" s="36" t="s">
        <v>111</v>
      </c>
      <c r="C99" s="37" t="s">
        <v>122</v>
      </c>
      <c r="D99" s="38" t="s">
        <v>123</v>
      </c>
      <c r="E99" s="36">
        <v>1</v>
      </c>
      <c r="F99" s="39" t="s">
        <v>105</v>
      </c>
      <c r="G99" s="35">
        <v>0</v>
      </c>
      <c r="H99" s="40" t="s">
        <v>94</v>
      </c>
      <c r="I99" s="40" t="str">
        <f t="shared" si="1"/>
        <v>1001101,1001102,1001103,1001104</v>
      </c>
      <c r="J99" s="40"/>
      <c r="K99" s="40"/>
      <c r="L99" s="40"/>
    </row>
    <row r="100" spans="1:12" s="36" customFormat="1">
      <c r="A100" s="35">
        <v>1001105</v>
      </c>
      <c r="B100" s="36" t="s">
        <v>117</v>
      </c>
      <c r="C100" s="37" t="s">
        <v>130</v>
      </c>
      <c r="D100" s="38" t="s">
        <v>124</v>
      </c>
      <c r="E100" s="36">
        <v>1</v>
      </c>
      <c r="F100" s="39" t="s">
        <v>105</v>
      </c>
      <c r="G100" s="35">
        <v>0</v>
      </c>
      <c r="H100" s="40" t="s">
        <v>100</v>
      </c>
      <c r="I100" s="40" t="str">
        <f t="shared" si="1"/>
        <v>1001101,1001102,1001103,1001104,1001105</v>
      </c>
      <c r="J100" s="40"/>
      <c r="K100" s="40"/>
      <c r="L100" s="40"/>
    </row>
    <row r="101" spans="1:12" s="36" customFormat="1">
      <c r="A101" s="35">
        <v>1001106</v>
      </c>
      <c r="B101" s="36" t="s">
        <v>109</v>
      </c>
      <c r="C101" s="37" t="s">
        <v>122</v>
      </c>
      <c r="D101" s="38" t="s">
        <v>125</v>
      </c>
      <c r="E101" s="36">
        <v>1</v>
      </c>
      <c r="F101" s="39" t="s">
        <v>105</v>
      </c>
      <c r="G101" s="35">
        <v>0</v>
      </c>
      <c r="H101" s="40" t="s">
        <v>92</v>
      </c>
      <c r="I101" s="40" t="str">
        <f t="shared" si="1"/>
        <v>1001101,1001102,1001103,1001104,1001105,1001106</v>
      </c>
      <c r="J101" s="40"/>
      <c r="K101" s="40"/>
      <c r="L101" s="40"/>
    </row>
    <row r="102" spans="1:12" s="36" customFormat="1">
      <c r="A102" s="35">
        <v>1001107</v>
      </c>
      <c r="B102" s="36" t="s">
        <v>110</v>
      </c>
      <c r="C102" s="37" t="s">
        <v>130</v>
      </c>
      <c r="D102" s="38" t="s">
        <v>126</v>
      </c>
      <c r="E102" s="36">
        <v>1</v>
      </c>
      <c r="F102" s="39" t="s">
        <v>105</v>
      </c>
      <c r="G102" s="35">
        <v>0</v>
      </c>
      <c r="H102" s="40" t="s">
        <v>93</v>
      </c>
      <c r="I102" s="40" t="str">
        <f t="shared" si="1"/>
        <v>1001101,1001102,1001103,1001104,1001105,1001106,1001107</v>
      </c>
      <c r="J102" s="40"/>
      <c r="K102" s="40"/>
      <c r="L102" s="40"/>
    </row>
    <row r="103" spans="1:12" s="36" customFormat="1">
      <c r="A103" s="35">
        <v>1001108</v>
      </c>
      <c r="B103" s="36" t="s">
        <v>119</v>
      </c>
      <c r="C103" s="37" t="s">
        <v>131</v>
      </c>
      <c r="D103" s="38" t="s">
        <v>127</v>
      </c>
      <c r="E103" s="36">
        <v>1</v>
      </c>
      <c r="F103" s="39" t="s">
        <v>105</v>
      </c>
      <c r="G103" s="35">
        <v>0</v>
      </c>
      <c r="H103" s="40" t="s">
        <v>102</v>
      </c>
      <c r="I103" s="40" t="str">
        <f t="shared" si="1"/>
        <v>1001101,1001102,1001103,1001104,1001105,1001106,1001107,1001108</v>
      </c>
      <c r="J103" s="40"/>
      <c r="K103" s="40"/>
      <c r="L103" s="40"/>
    </row>
    <row r="104" spans="1:12" s="24" customFormat="1">
      <c r="A104" s="23">
        <v>1001201</v>
      </c>
      <c r="B104" s="27" t="s">
        <v>220</v>
      </c>
      <c r="C104" s="25" t="s">
        <v>122</v>
      </c>
      <c r="D104" s="30" t="s">
        <v>223</v>
      </c>
      <c r="E104" s="24">
        <v>1</v>
      </c>
      <c r="F104" s="28" t="s">
        <v>105</v>
      </c>
      <c r="G104" s="23">
        <v>0</v>
      </c>
      <c r="H104" s="29" t="s">
        <v>218</v>
      </c>
      <c r="I104" s="26">
        <f t="shared" si="1"/>
        <v>1001201</v>
      </c>
      <c r="J104" s="26"/>
      <c r="K104" s="26"/>
      <c r="L104" s="26"/>
    </row>
    <row r="105" spans="1:12" s="24" customFormat="1">
      <c r="A105" s="23">
        <v>1001202</v>
      </c>
      <c r="B105" s="27" t="s">
        <v>224</v>
      </c>
      <c r="C105" s="25" t="s">
        <v>122</v>
      </c>
      <c r="D105" s="29" t="s">
        <v>228</v>
      </c>
      <c r="E105" s="24">
        <v>2</v>
      </c>
      <c r="F105" s="28" t="s">
        <v>105</v>
      </c>
      <c r="G105" s="23">
        <v>0</v>
      </c>
      <c r="H105" s="29" t="s">
        <v>226</v>
      </c>
      <c r="I105" s="26" t="str">
        <f t="shared" si="1"/>
        <v>1001201,1001202</v>
      </c>
      <c r="J105" s="26"/>
      <c r="K105" s="26"/>
      <c r="L105" s="26"/>
    </row>
    <row r="106" spans="1:12" s="24" customFormat="1">
      <c r="A106" s="23">
        <v>1001203</v>
      </c>
      <c r="B106" s="24" t="s">
        <v>225</v>
      </c>
      <c r="C106" s="25" t="s">
        <v>130</v>
      </c>
      <c r="D106" s="29" t="s">
        <v>229</v>
      </c>
      <c r="E106" s="24">
        <v>2</v>
      </c>
      <c r="F106" s="28" t="s">
        <v>105</v>
      </c>
      <c r="G106" s="23">
        <v>0</v>
      </c>
      <c r="H106" s="29" t="s">
        <v>227</v>
      </c>
      <c r="I106" s="26" t="str">
        <f t="shared" si="1"/>
        <v>1001201,1001202,1001203</v>
      </c>
      <c r="J106" s="26"/>
      <c r="K106" s="26"/>
      <c r="L106" s="26"/>
    </row>
    <row r="107" spans="1:12" s="24" customFormat="1">
      <c r="A107" s="23">
        <v>1001204</v>
      </c>
      <c r="B107" s="24" t="s">
        <v>111</v>
      </c>
      <c r="C107" s="25" t="s">
        <v>122</v>
      </c>
      <c r="D107" s="29" t="s">
        <v>123</v>
      </c>
      <c r="E107" s="24">
        <v>1</v>
      </c>
      <c r="F107" s="28" t="s">
        <v>105</v>
      </c>
      <c r="G107" s="23">
        <v>0</v>
      </c>
      <c r="H107" s="30" t="s">
        <v>94</v>
      </c>
      <c r="I107" s="26" t="str">
        <f t="shared" si="1"/>
        <v>1001201,1001202,1001203,1001204</v>
      </c>
      <c r="J107" s="26"/>
      <c r="K107" s="26"/>
      <c r="L107" s="26"/>
    </row>
    <row r="108" spans="1:12" s="24" customFormat="1">
      <c r="A108" s="23">
        <v>1001205</v>
      </c>
      <c r="B108" s="24" t="s">
        <v>117</v>
      </c>
      <c r="C108" s="25" t="s">
        <v>130</v>
      </c>
      <c r="D108" s="30" t="s">
        <v>124</v>
      </c>
      <c r="E108" s="24">
        <v>1</v>
      </c>
      <c r="F108" s="28" t="s">
        <v>105</v>
      </c>
      <c r="G108" s="23">
        <v>0</v>
      </c>
      <c r="H108" s="30" t="s">
        <v>100</v>
      </c>
      <c r="I108" s="26" t="str">
        <f t="shared" si="1"/>
        <v>1001201,1001202,1001203,1001204,1001205</v>
      </c>
      <c r="J108" s="26"/>
      <c r="K108" s="26"/>
      <c r="L108" s="26"/>
    </row>
    <row r="109" spans="1:12" s="24" customFormat="1">
      <c r="A109" s="23">
        <v>1001206</v>
      </c>
      <c r="B109" s="24" t="s">
        <v>109</v>
      </c>
      <c r="C109" s="25" t="s">
        <v>122</v>
      </c>
      <c r="D109" s="30" t="s">
        <v>125</v>
      </c>
      <c r="E109" s="24">
        <v>1</v>
      </c>
      <c r="F109" s="28" t="s">
        <v>105</v>
      </c>
      <c r="G109" s="23">
        <v>0</v>
      </c>
      <c r="H109" s="30" t="s">
        <v>92</v>
      </c>
      <c r="I109" s="26" t="str">
        <f t="shared" si="1"/>
        <v>1001201,1001202,1001203,1001204,1001205,1001206</v>
      </c>
      <c r="J109" s="26"/>
      <c r="K109" s="26"/>
      <c r="L109" s="26"/>
    </row>
    <row r="110" spans="1:12" s="24" customFormat="1">
      <c r="A110" s="23">
        <v>1001207</v>
      </c>
      <c r="B110" s="24" t="s">
        <v>110</v>
      </c>
      <c r="C110" s="25" t="s">
        <v>130</v>
      </c>
      <c r="D110" s="30" t="s">
        <v>126</v>
      </c>
      <c r="E110" s="24">
        <v>1</v>
      </c>
      <c r="F110" s="28" t="s">
        <v>105</v>
      </c>
      <c r="G110" s="23">
        <v>0</v>
      </c>
      <c r="H110" s="30" t="s">
        <v>93</v>
      </c>
      <c r="I110" s="26" t="str">
        <f t="shared" si="1"/>
        <v>1001201,1001202,1001203,1001204,1001205,1001206,1001207</v>
      </c>
      <c r="J110" s="26"/>
      <c r="K110" s="26"/>
      <c r="L110" s="26"/>
    </row>
    <row r="111" spans="1:12" s="24" customFormat="1">
      <c r="A111" s="23">
        <v>1001208</v>
      </c>
      <c r="B111" s="24" t="s">
        <v>112</v>
      </c>
      <c r="C111" s="25" t="s">
        <v>131</v>
      </c>
      <c r="D111" s="30" t="s">
        <v>127</v>
      </c>
      <c r="E111" s="24">
        <v>1</v>
      </c>
      <c r="F111" s="28" t="s">
        <v>105</v>
      </c>
      <c r="G111" s="23">
        <v>0</v>
      </c>
      <c r="H111" s="30" t="s">
        <v>95</v>
      </c>
      <c r="I111" s="26" t="str">
        <f t="shared" si="1"/>
        <v>1001201,1001202,1001203,1001204,1001205,1001206,1001207,1001208</v>
      </c>
      <c r="J111" s="26"/>
      <c r="K111" s="26"/>
      <c r="L111" s="26"/>
    </row>
    <row r="112" spans="1:12" s="36" customFormat="1">
      <c r="A112" s="35">
        <v>1001301</v>
      </c>
      <c r="B112" s="36" t="s">
        <v>220</v>
      </c>
      <c r="C112" s="37" t="s">
        <v>122</v>
      </c>
      <c r="D112" s="38" t="s">
        <v>223</v>
      </c>
      <c r="E112" s="36">
        <v>1</v>
      </c>
      <c r="F112" s="39" t="s">
        <v>105</v>
      </c>
      <c r="G112" s="35">
        <v>0</v>
      </c>
      <c r="H112" s="40" t="s">
        <v>218</v>
      </c>
      <c r="I112" s="40">
        <f t="shared" si="1"/>
        <v>1001301</v>
      </c>
      <c r="J112" s="40"/>
      <c r="K112" s="40"/>
      <c r="L112" s="40"/>
    </row>
    <row r="113" spans="1:12" s="36" customFormat="1">
      <c r="A113" s="35">
        <v>1001302</v>
      </c>
      <c r="B113" s="36" t="s">
        <v>224</v>
      </c>
      <c r="C113" s="37" t="s">
        <v>122</v>
      </c>
      <c r="D113" s="38" t="s">
        <v>228</v>
      </c>
      <c r="E113" s="36">
        <v>2</v>
      </c>
      <c r="F113" s="39" t="s">
        <v>105</v>
      </c>
      <c r="G113" s="35">
        <v>0</v>
      </c>
      <c r="H113" s="40" t="s">
        <v>226</v>
      </c>
      <c r="I113" s="40" t="str">
        <f t="shared" si="1"/>
        <v>1001301,1001302</v>
      </c>
      <c r="J113" s="40"/>
      <c r="K113" s="40"/>
      <c r="L113" s="40"/>
    </row>
    <row r="114" spans="1:12" s="36" customFormat="1">
      <c r="A114" s="35">
        <v>1001303</v>
      </c>
      <c r="B114" s="36" t="s">
        <v>225</v>
      </c>
      <c r="C114" s="37" t="s">
        <v>130</v>
      </c>
      <c r="D114" s="38" t="s">
        <v>229</v>
      </c>
      <c r="E114" s="36">
        <v>2</v>
      </c>
      <c r="F114" s="39" t="s">
        <v>105</v>
      </c>
      <c r="G114" s="35">
        <v>0</v>
      </c>
      <c r="H114" s="40" t="s">
        <v>227</v>
      </c>
      <c r="I114" s="40" t="str">
        <f t="shared" si="1"/>
        <v>1001301,1001302,1001303</v>
      </c>
      <c r="J114" s="40"/>
      <c r="K114" s="40"/>
      <c r="L114" s="40"/>
    </row>
    <row r="115" spans="1:12" s="36" customFormat="1">
      <c r="A115" s="35">
        <v>1001304</v>
      </c>
      <c r="B115" s="36" t="s">
        <v>111</v>
      </c>
      <c r="C115" s="37" t="s">
        <v>122</v>
      </c>
      <c r="D115" s="38" t="s">
        <v>123</v>
      </c>
      <c r="E115" s="36">
        <v>1</v>
      </c>
      <c r="F115" s="39" t="s">
        <v>105</v>
      </c>
      <c r="G115" s="35">
        <v>0</v>
      </c>
      <c r="H115" s="40" t="s">
        <v>94</v>
      </c>
      <c r="I115" s="40" t="str">
        <f t="shared" si="1"/>
        <v>1001301,1001302,1001303,1001304</v>
      </c>
      <c r="J115" s="40"/>
      <c r="K115" s="40"/>
      <c r="L115" s="40"/>
    </row>
    <row r="116" spans="1:12" s="36" customFormat="1">
      <c r="A116" s="35">
        <v>1001305</v>
      </c>
      <c r="B116" s="36" t="s">
        <v>117</v>
      </c>
      <c r="C116" s="37" t="s">
        <v>130</v>
      </c>
      <c r="D116" s="38" t="s">
        <v>124</v>
      </c>
      <c r="E116" s="36">
        <v>1</v>
      </c>
      <c r="F116" s="39" t="s">
        <v>105</v>
      </c>
      <c r="G116" s="35">
        <v>0</v>
      </c>
      <c r="H116" s="40" t="s">
        <v>100</v>
      </c>
      <c r="I116" s="40" t="str">
        <f t="shared" si="1"/>
        <v>1001301,1001302,1001303,1001304,1001305</v>
      </c>
      <c r="J116" s="40"/>
      <c r="K116" s="40"/>
      <c r="L116" s="40"/>
    </row>
    <row r="117" spans="1:12" s="36" customFormat="1">
      <c r="A117" s="35">
        <v>1001306</v>
      </c>
      <c r="B117" s="36" t="s">
        <v>109</v>
      </c>
      <c r="C117" s="37" t="s">
        <v>122</v>
      </c>
      <c r="D117" s="38" t="s">
        <v>125</v>
      </c>
      <c r="E117" s="36">
        <v>1</v>
      </c>
      <c r="F117" s="39" t="s">
        <v>105</v>
      </c>
      <c r="G117" s="35">
        <v>0</v>
      </c>
      <c r="H117" s="40" t="s">
        <v>92</v>
      </c>
      <c r="I117" s="40" t="str">
        <f t="shared" si="1"/>
        <v>1001301,1001302,1001303,1001304,1001305,1001306</v>
      </c>
      <c r="J117" s="40"/>
      <c r="K117" s="40"/>
      <c r="L117" s="40"/>
    </row>
    <row r="118" spans="1:12" s="36" customFormat="1">
      <c r="A118" s="35">
        <v>1001307</v>
      </c>
      <c r="B118" s="36" t="s">
        <v>110</v>
      </c>
      <c r="C118" s="37" t="s">
        <v>130</v>
      </c>
      <c r="D118" s="38" t="s">
        <v>126</v>
      </c>
      <c r="E118" s="36">
        <v>1</v>
      </c>
      <c r="F118" s="39" t="s">
        <v>105</v>
      </c>
      <c r="G118" s="35">
        <v>0</v>
      </c>
      <c r="H118" s="40" t="s">
        <v>93</v>
      </c>
      <c r="I118" s="40" t="str">
        <f t="shared" si="1"/>
        <v>1001301,1001302,1001303,1001304,1001305,1001306,1001307</v>
      </c>
      <c r="J118" s="40"/>
      <c r="K118" s="40"/>
      <c r="L118" s="40"/>
    </row>
    <row r="119" spans="1:12" s="36" customFormat="1">
      <c r="A119" s="35">
        <v>1001308</v>
      </c>
      <c r="B119" s="36" t="s">
        <v>113</v>
      </c>
      <c r="C119" s="37" t="s">
        <v>131</v>
      </c>
      <c r="D119" s="38" t="s">
        <v>128</v>
      </c>
      <c r="E119" s="36">
        <v>1</v>
      </c>
      <c r="F119" s="39" t="s">
        <v>105</v>
      </c>
      <c r="G119" s="35">
        <v>0</v>
      </c>
      <c r="H119" s="40" t="s">
        <v>96</v>
      </c>
      <c r="I119" s="40" t="str">
        <f t="shared" si="1"/>
        <v>1001301,1001302,1001303,1001304,1001305,1001306,1001307,1001308</v>
      </c>
      <c r="J119" s="40"/>
      <c r="K119" s="40"/>
      <c r="L119" s="40"/>
    </row>
    <row r="120" spans="1:12" s="24" customFormat="1">
      <c r="A120" s="23">
        <v>1001401</v>
      </c>
      <c r="B120" s="27" t="s">
        <v>220</v>
      </c>
      <c r="C120" s="25" t="s">
        <v>122</v>
      </c>
      <c r="D120" s="30" t="s">
        <v>223</v>
      </c>
      <c r="E120" s="24">
        <v>1</v>
      </c>
      <c r="F120" s="28" t="s">
        <v>105</v>
      </c>
      <c r="G120" s="23">
        <v>0</v>
      </c>
      <c r="H120" s="29" t="s">
        <v>218</v>
      </c>
      <c r="I120" s="26">
        <f t="shared" si="1"/>
        <v>1001401</v>
      </c>
      <c r="J120" s="26"/>
      <c r="K120" s="26"/>
      <c r="L120" s="26"/>
    </row>
    <row r="121" spans="1:12" s="24" customFormat="1">
      <c r="A121" s="23">
        <v>1001402</v>
      </c>
      <c r="B121" s="27" t="s">
        <v>224</v>
      </c>
      <c r="C121" s="25" t="s">
        <v>122</v>
      </c>
      <c r="D121" s="29" t="s">
        <v>228</v>
      </c>
      <c r="E121" s="24">
        <v>2</v>
      </c>
      <c r="F121" s="28" t="s">
        <v>105</v>
      </c>
      <c r="G121" s="23">
        <v>0</v>
      </c>
      <c r="H121" s="29" t="s">
        <v>226</v>
      </c>
      <c r="I121" s="26" t="str">
        <f t="shared" si="1"/>
        <v>1001401,1001402</v>
      </c>
      <c r="J121" s="26"/>
      <c r="K121" s="26"/>
      <c r="L121" s="26"/>
    </row>
    <row r="122" spans="1:12" s="24" customFormat="1">
      <c r="A122" s="23">
        <v>1001403</v>
      </c>
      <c r="B122" s="24" t="s">
        <v>225</v>
      </c>
      <c r="C122" s="25" t="s">
        <v>130</v>
      </c>
      <c r="D122" s="29" t="s">
        <v>229</v>
      </c>
      <c r="E122" s="24">
        <v>2</v>
      </c>
      <c r="F122" s="28" t="s">
        <v>105</v>
      </c>
      <c r="G122" s="23">
        <v>0</v>
      </c>
      <c r="H122" s="29" t="s">
        <v>227</v>
      </c>
      <c r="I122" s="26" t="str">
        <f t="shared" si="1"/>
        <v>1001401,1001402,1001403</v>
      </c>
      <c r="J122" s="26"/>
      <c r="K122" s="26"/>
      <c r="L122" s="26"/>
    </row>
    <row r="123" spans="1:12" s="24" customFormat="1">
      <c r="A123" s="23">
        <v>1001404</v>
      </c>
      <c r="B123" s="24" t="s">
        <v>111</v>
      </c>
      <c r="C123" s="25" t="s">
        <v>122</v>
      </c>
      <c r="D123" s="29" t="s">
        <v>123</v>
      </c>
      <c r="E123" s="24">
        <v>1</v>
      </c>
      <c r="F123" s="28" t="s">
        <v>105</v>
      </c>
      <c r="G123" s="23">
        <v>0</v>
      </c>
      <c r="H123" s="30" t="s">
        <v>94</v>
      </c>
      <c r="I123" s="26" t="str">
        <f t="shared" si="1"/>
        <v>1001401,1001402,1001403,1001404</v>
      </c>
      <c r="J123" s="26"/>
      <c r="K123" s="26"/>
      <c r="L123" s="26"/>
    </row>
    <row r="124" spans="1:12" s="24" customFormat="1">
      <c r="A124" s="23">
        <v>1001405</v>
      </c>
      <c r="B124" s="24" t="s">
        <v>117</v>
      </c>
      <c r="C124" s="25" t="s">
        <v>130</v>
      </c>
      <c r="D124" s="30" t="s">
        <v>124</v>
      </c>
      <c r="E124" s="24">
        <v>1</v>
      </c>
      <c r="F124" s="28" t="s">
        <v>105</v>
      </c>
      <c r="G124" s="23">
        <v>0</v>
      </c>
      <c r="H124" s="30" t="s">
        <v>100</v>
      </c>
      <c r="I124" s="26" t="str">
        <f t="shared" si="1"/>
        <v>1001401,1001402,1001403,1001404,1001405</v>
      </c>
      <c r="J124" s="26"/>
      <c r="K124" s="26"/>
      <c r="L124" s="26"/>
    </row>
    <row r="125" spans="1:12" s="24" customFormat="1">
      <c r="A125" s="23">
        <v>1001406</v>
      </c>
      <c r="B125" s="24" t="s">
        <v>109</v>
      </c>
      <c r="C125" s="25" t="s">
        <v>122</v>
      </c>
      <c r="D125" s="30" t="s">
        <v>125</v>
      </c>
      <c r="E125" s="24">
        <v>1</v>
      </c>
      <c r="F125" s="28" t="s">
        <v>105</v>
      </c>
      <c r="G125" s="23">
        <v>0</v>
      </c>
      <c r="H125" s="30" t="s">
        <v>92</v>
      </c>
      <c r="I125" s="26" t="str">
        <f t="shared" si="1"/>
        <v>1001401,1001402,1001403,1001404,1001405,1001406</v>
      </c>
      <c r="J125" s="26"/>
      <c r="K125" s="26"/>
      <c r="L125" s="26"/>
    </row>
    <row r="126" spans="1:12" s="24" customFormat="1">
      <c r="A126" s="23">
        <v>1001407</v>
      </c>
      <c r="B126" s="24" t="s">
        <v>110</v>
      </c>
      <c r="C126" s="25" t="s">
        <v>130</v>
      </c>
      <c r="D126" s="30" t="s">
        <v>126</v>
      </c>
      <c r="E126" s="24">
        <v>1</v>
      </c>
      <c r="F126" s="28" t="s">
        <v>105</v>
      </c>
      <c r="G126" s="23">
        <v>0</v>
      </c>
      <c r="H126" s="30" t="s">
        <v>93</v>
      </c>
      <c r="I126" s="26" t="str">
        <f t="shared" si="1"/>
        <v>1001401,1001402,1001403,1001404,1001405,1001406,1001407</v>
      </c>
      <c r="J126" s="26"/>
      <c r="K126" s="26"/>
      <c r="L126" s="26"/>
    </row>
    <row r="127" spans="1:12" s="24" customFormat="1">
      <c r="A127" s="23">
        <v>1001408</v>
      </c>
      <c r="B127" s="24" t="s">
        <v>121</v>
      </c>
      <c r="C127" s="25" t="s">
        <v>131</v>
      </c>
      <c r="D127" s="30" t="s">
        <v>127</v>
      </c>
      <c r="E127" s="24">
        <v>1</v>
      </c>
      <c r="F127" s="28" t="s">
        <v>105</v>
      </c>
      <c r="G127" s="23">
        <v>0</v>
      </c>
      <c r="H127" s="30" t="s">
        <v>103</v>
      </c>
      <c r="I127" s="26" t="str">
        <f t="shared" si="1"/>
        <v>1001401,1001402,1001403,1001404,1001405,1001406,1001407,1001408</v>
      </c>
      <c r="J127" s="26"/>
      <c r="K127" s="26"/>
      <c r="L127" s="26"/>
    </row>
    <row r="128" spans="1:12" s="36" customFormat="1">
      <c r="A128" s="35">
        <v>1001501</v>
      </c>
      <c r="B128" s="36" t="s">
        <v>220</v>
      </c>
      <c r="C128" s="37" t="s">
        <v>122</v>
      </c>
      <c r="D128" s="38" t="s">
        <v>223</v>
      </c>
      <c r="E128" s="36">
        <v>1</v>
      </c>
      <c r="F128" s="39" t="s">
        <v>105</v>
      </c>
      <c r="G128" s="35">
        <v>0</v>
      </c>
      <c r="H128" s="40" t="s">
        <v>218</v>
      </c>
      <c r="I128" s="40">
        <f t="shared" si="1"/>
        <v>1001501</v>
      </c>
      <c r="J128" s="40"/>
      <c r="K128" s="40"/>
      <c r="L128" s="40"/>
    </row>
    <row r="129" spans="1:12" s="36" customFormat="1">
      <c r="A129" s="35">
        <v>1001502</v>
      </c>
      <c r="B129" s="36" t="s">
        <v>224</v>
      </c>
      <c r="C129" s="37" t="s">
        <v>122</v>
      </c>
      <c r="D129" s="38" t="s">
        <v>228</v>
      </c>
      <c r="E129" s="36">
        <v>2</v>
      </c>
      <c r="F129" s="39" t="s">
        <v>105</v>
      </c>
      <c r="G129" s="35">
        <v>0</v>
      </c>
      <c r="H129" s="40" t="s">
        <v>226</v>
      </c>
      <c r="I129" s="40" t="str">
        <f t="shared" si="1"/>
        <v>1001501,1001502</v>
      </c>
      <c r="J129" s="40"/>
      <c r="K129" s="40"/>
      <c r="L129" s="40"/>
    </row>
    <row r="130" spans="1:12" s="36" customFormat="1">
      <c r="A130" s="35">
        <v>1001503</v>
      </c>
      <c r="B130" s="36" t="s">
        <v>225</v>
      </c>
      <c r="C130" s="37" t="s">
        <v>130</v>
      </c>
      <c r="D130" s="38" t="s">
        <v>229</v>
      </c>
      <c r="E130" s="36">
        <v>2</v>
      </c>
      <c r="F130" s="39" t="s">
        <v>105</v>
      </c>
      <c r="G130" s="35">
        <v>0</v>
      </c>
      <c r="H130" s="40" t="s">
        <v>227</v>
      </c>
      <c r="I130" s="40" t="str">
        <f t="shared" si="1"/>
        <v>1001501,1001502,1001503</v>
      </c>
      <c r="J130" s="40"/>
      <c r="K130" s="40"/>
      <c r="L130" s="40"/>
    </row>
    <row r="131" spans="1:12" s="36" customFormat="1">
      <c r="A131" s="35">
        <v>1001504</v>
      </c>
      <c r="B131" s="36" t="s">
        <v>111</v>
      </c>
      <c r="C131" s="37" t="s">
        <v>122</v>
      </c>
      <c r="D131" s="38" t="s">
        <v>123</v>
      </c>
      <c r="E131" s="36">
        <v>1</v>
      </c>
      <c r="F131" s="39" t="s">
        <v>105</v>
      </c>
      <c r="G131" s="35">
        <v>0</v>
      </c>
      <c r="H131" s="40" t="s">
        <v>94</v>
      </c>
      <c r="I131" s="40" t="str">
        <f t="shared" si="1"/>
        <v>1001501,1001502,1001503,1001504</v>
      </c>
      <c r="J131" s="40"/>
      <c r="K131" s="40"/>
      <c r="L131" s="40"/>
    </row>
    <row r="132" spans="1:12" s="36" customFormat="1">
      <c r="A132" s="35">
        <v>1001505</v>
      </c>
      <c r="B132" s="36" t="s">
        <v>117</v>
      </c>
      <c r="C132" s="37" t="s">
        <v>130</v>
      </c>
      <c r="D132" s="38" t="s">
        <v>124</v>
      </c>
      <c r="E132" s="36">
        <v>1</v>
      </c>
      <c r="F132" s="39" t="s">
        <v>105</v>
      </c>
      <c r="G132" s="35">
        <v>0</v>
      </c>
      <c r="H132" s="40" t="s">
        <v>100</v>
      </c>
      <c r="I132" s="40" t="str">
        <f t="shared" si="1"/>
        <v>1001501,1001502,1001503,1001504,1001505</v>
      </c>
      <c r="J132" s="40"/>
      <c r="K132" s="40"/>
      <c r="L132" s="40"/>
    </row>
    <row r="133" spans="1:12" s="36" customFormat="1">
      <c r="A133" s="35">
        <v>1001506</v>
      </c>
      <c r="B133" s="36" t="s">
        <v>109</v>
      </c>
      <c r="C133" s="37" t="s">
        <v>122</v>
      </c>
      <c r="D133" s="38" t="s">
        <v>125</v>
      </c>
      <c r="E133" s="36">
        <v>1</v>
      </c>
      <c r="F133" s="39" t="s">
        <v>105</v>
      </c>
      <c r="G133" s="35">
        <v>0</v>
      </c>
      <c r="H133" s="40" t="s">
        <v>92</v>
      </c>
      <c r="I133" s="40" t="str">
        <f t="shared" si="1"/>
        <v>1001501,1001502,1001503,1001504,1001505,1001506</v>
      </c>
      <c r="J133" s="40"/>
      <c r="K133" s="40"/>
      <c r="L133" s="40"/>
    </row>
    <row r="134" spans="1:12" s="36" customFormat="1">
      <c r="A134" s="35">
        <v>1001507</v>
      </c>
      <c r="B134" s="36" t="s">
        <v>110</v>
      </c>
      <c r="C134" s="37" t="s">
        <v>130</v>
      </c>
      <c r="D134" s="38" t="s">
        <v>126</v>
      </c>
      <c r="E134" s="36">
        <v>1</v>
      </c>
      <c r="F134" s="39" t="s">
        <v>105</v>
      </c>
      <c r="G134" s="35">
        <v>0</v>
      </c>
      <c r="H134" s="40" t="s">
        <v>93</v>
      </c>
      <c r="I134" s="40" t="str">
        <f t="shared" si="1"/>
        <v>1001501,1001502,1001503,1001504,1001505,1001506,1001507</v>
      </c>
      <c r="J134" s="40"/>
      <c r="K134" s="40"/>
      <c r="L134" s="40"/>
    </row>
    <row r="135" spans="1:12" s="36" customFormat="1">
      <c r="A135" s="35">
        <v>1001508</v>
      </c>
      <c r="B135" s="36" t="s">
        <v>222</v>
      </c>
      <c r="C135" s="37" t="s">
        <v>131</v>
      </c>
      <c r="D135" s="38" t="s">
        <v>127</v>
      </c>
      <c r="E135" s="36">
        <v>1</v>
      </c>
      <c r="F135" s="39" t="s">
        <v>105</v>
      </c>
      <c r="G135" s="35">
        <v>0</v>
      </c>
      <c r="H135" s="40" t="s">
        <v>176</v>
      </c>
      <c r="I135" s="40" t="str">
        <f t="shared" si="1"/>
        <v>1001501,1001502,1001503,1001504,1001505,1001506,1001507,1001508</v>
      </c>
      <c r="J135" s="40"/>
      <c r="K135" s="40"/>
      <c r="L135" s="40"/>
    </row>
    <row r="136" spans="1:12" s="24" customFormat="1">
      <c r="A136" s="23">
        <v>1001601</v>
      </c>
      <c r="B136" s="24" t="s">
        <v>220</v>
      </c>
      <c r="C136" s="25" t="s">
        <v>122</v>
      </c>
      <c r="D136" s="30" t="s">
        <v>223</v>
      </c>
      <c r="E136" s="24">
        <v>1</v>
      </c>
      <c r="F136" s="28" t="s">
        <v>105</v>
      </c>
      <c r="G136" s="23">
        <v>0</v>
      </c>
      <c r="H136" s="26" t="s">
        <v>218</v>
      </c>
      <c r="I136" s="26">
        <f t="shared" ref="I136:I225" si="2">IFERROR(IF(A136-A135&lt;&gt;1,A136,$I135&amp;","&amp;A136),A136)</f>
        <v>1001601</v>
      </c>
      <c r="J136" s="26"/>
      <c r="K136" s="26"/>
      <c r="L136" s="26"/>
    </row>
    <row r="137" spans="1:12" s="24" customFormat="1">
      <c r="A137" s="23">
        <v>1001602</v>
      </c>
      <c r="B137" s="24" t="s">
        <v>224</v>
      </c>
      <c r="C137" s="25" t="s">
        <v>122</v>
      </c>
      <c r="D137" s="30" t="s">
        <v>228</v>
      </c>
      <c r="E137" s="24">
        <v>2</v>
      </c>
      <c r="F137" s="28" t="s">
        <v>105</v>
      </c>
      <c r="G137" s="23">
        <v>0</v>
      </c>
      <c r="H137" s="26" t="s">
        <v>226</v>
      </c>
      <c r="I137" s="26" t="str">
        <f t="shared" si="2"/>
        <v>1001601,1001602</v>
      </c>
      <c r="J137" s="26"/>
      <c r="K137" s="26"/>
      <c r="L137" s="26"/>
    </row>
    <row r="138" spans="1:12" s="24" customFormat="1">
      <c r="A138" s="23">
        <v>1001603</v>
      </c>
      <c r="B138" s="24" t="s">
        <v>225</v>
      </c>
      <c r="C138" s="25" t="s">
        <v>130</v>
      </c>
      <c r="D138" s="30" t="s">
        <v>229</v>
      </c>
      <c r="E138" s="24">
        <v>2</v>
      </c>
      <c r="F138" s="28" t="s">
        <v>105</v>
      </c>
      <c r="G138" s="23">
        <v>0</v>
      </c>
      <c r="H138" s="26" t="s">
        <v>227</v>
      </c>
      <c r="I138" s="26" t="str">
        <f t="shared" si="2"/>
        <v>1001601,1001602,1001603</v>
      </c>
      <c r="J138" s="26"/>
      <c r="K138" s="26"/>
      <c r="L138" s="26"/>
    </row>
    <row r="139" spans="1:12" s="24" customFormat="1">
      <c r="A139" s="23">
        <v>1001604</v>
      </c>
      <c r="B139" s="24" t="s">
        <v>111</v>
      </c>
      <c r="C139" s="25" t="s">
        <v>122</v>
      </c>
      <c r="D139" s="30" t="s">
        <v>123</v>
      </c>
      <c r="E139" s="24">
        <v>1</v>
      </c>
      <c r="F139" s="28" t="s">
        <v>105</v>
      </c>
      <c r="G139" s="23">
        <v>0</v>
      </c>
      <c r="H139" s="26" t="s">
        <v>94</v>
      </c>
      <c r="I139" s="26" t="str">
        <f t="shared" si="2"/>
        <v>1001601,1001602,1001603,1001604</v>
      </c>
      <c r="J139" s="26"/>
      <c r="K139" s="26"/>
      <c r="L139" s="26"/>
    </row>
    <row r="140" spans="1:12" s="24" customFormat="1">
      <c r="A140" s="23">
        <v>1001605</v>
      </c>
      <c r="B140" s="24" t="s">
        <v>117</v>
      </c>
      <c r="C140" s="25" t="s">
        <v>130</v>
      </c>
      <c r="D140" s="30" t="s">
        <v>124</v>
      </c>
      <c r="E140" s="24">
        <v>1</v>
      </c>
      <c r="F140" s="28" t="s">
        <v>105</v>
      </c>
      <c r="G140" s="23">
        <v>0</v>
      </c>
      <c r="H140" s="26" t="s">
        <v>100</v>
      </c>
      <c r="I140" s="26" t="str">
        <f t="shared" si="2"/>
        <v>1001601,1001602,1001603,1001604,1001605</v>
      </c>
      <c r="J140" s="26"/>
      <c r="K140" s="26"/>
      <c r="L140" s="26"/>
    </row>
    <row r="141" spans="1:12" s="24" customFormat="1">
      <c r="A141" s="23">
        <v>1001606</v>
      </c>
      <c r="B141" s="24" t="s">
        <v>109</v>
      </c>
      <c r="C141" s="25" t="s">
        <v>122</v>
      </c>
      <c r="D141" s="30" t="s">
        <v>125</v>
      </c>
      <c r="E141" s="24">
        <v>1</v>
      </c>
      <c r="F141" s="28" t="s">
        <v>105</v>
      </c>
      <c r="G141" s="23">
        <v>0</v>
      </c>
      <c r="H141" s="26" t="s">
        <v>92</v>
      </c>
      <c r="I141" s="26" t="str">
        <f t="shared" si="2"/>
        <v>1001601,1001602,1001603,1001604,1001605,1001606</v>
      </c>
      <c r="J141" s="26"/>
      <c r="K141" s="26"/>
      <c r="L141" s="26"/>
    </row>
    <row r="142" spans="1:12" s="24" customFormat="1">
      <c r="A142" s="23">
        <v>1001607</v>
      </c>
      <c r="B142" s="24" t="s">
        <v>110</v>
      </c>
      <c r="C142" s="25" t="s">
        <v>130</v>
      </c>
      <c r="D142" s="30" t="s">
        <v>126</v>
      </c>
      <c r="E142" s="24">
        <v>1</v>
      </c>
      <c r="F142" s="28" t="s">
        <v>105</v>
      </c>
      <c r="G142" s="23">
        <v>0</v>
      </c>
      <c r="H142" s="26" t="s">
        <v>93</v>
      </c>
      <c r="I142" s="26" t="str">
        <f t="shared" si="2"/>
        <v>1001601,1001602,1001603,1001604,1001605,1001606,1001607</v>
      </c>
      <c r="J142" s="26"/>
      <c r="K142" s="26"/>
      <c r="L142" s="26"/>
    </row>
    <row r="143" spans="1:12" s="24" customFormat="1">
      <c r="A143" s="23">
        <v>1001608</v>
      </c>
      <c r="B143" s="24" t="s">
        <v>221</v>
      </c>
      <c r="C143" s="25" t="s">
        <v>131</v>
      </c>
      <c r="D143" s="30" t="s">
        <v>128</v>
      </c>
      <c r="E143" s="24">
        <v>1</v>
      </c>
      <c r="F143" s="28" t="s">
        <v>105</v>
      </c>
      <c r="G143" s="23">
        <v>0</v>
      </c>
      <c r="H143" s="26" t="s">
        <v>219</v>
      </c>
      <c r="I143" s="26" t="str">
        <f t="shared" si="2"/>
        <v>1001601,1001602,1001603,1001604,1001605,1001606,1001607,1001608</v>
      </c>
      <c r="J143" s="26"/>
      <c r="K143" s="26"/>
      <c r="L143" s="26"/>
    </row>
    <row r="144" spans="1:12">
      <c r="A144" s="14">
        <v>1100001</v>
      </c>
      <c r="B144" s="14" t="s">
        <v>183</v>
      </c>
      <c r="C144" s="15" t="s">
        <v>148</v>
      </c>
      <c r="D144" s="34" t="s">
        <v>132</v>
      </c>
      <c r="E144" s="14">
        <v>1</v>
      </c>
      <c r="F144" s="14" t="s">
        <v>152</v>
      </c>
      <c r="G144" s="14">
        <v>0</v>
      </c>
      <c r="H144" s="22" t="s">
        <v>214</v>
      </c>
      <c r="I144" s="22">
        <f t="shared" si="2"/>
        <v>1100001</v>
      </c>
    </row>
    <row r="145" spans="1:9">
      <c r="A145" s="14">
        <v>1100002</v>
      </c>
      <c r="B145" s="14" t="s">
        <v>184</v>
      </c>
      <c r="C145" s="15" t="s">
        <v>149</v>
      </c>
      <c r="D145" s="34" t="s">
        <v>133</v>
      </c>
      <c r="E145" s="14">
        <v>6</v>
      </c>
      <c r="F145" s="14" t="s">
        <v>153</v>
      </c>
      <c r="G145" s="14">
        <v>0</v>
      </c>
      <c r="H145" s="22" t="s">
        <v>158</v>
      </c>
      <c r="I145" s="22" t="str">
        <f t="shared" si="2"/>
        <v>1100001,1100002</v>
      </c>
    </row>
    <row r="146" spans="1:9">
      <c r="A146" s="14">
        <v>1100003</v>
      </c>
      <c r="B146" s="14" t="s">
        <v>185</v>
      </c>
      <c r="C146" s="15" t="s">
        <v>149</v>
      </c>
      <c r="D146" s="34" t="s">
        <v>134</v>
      </c>
      <c r="E146" s="14">
        <v>2</v>
      </c>
      <c r="F146" s="14" t="s">
        <v>152</v>
      </c>
      <c r="G146" s="14">
        <v>0</v>
      </c>
      <c r="H146" s="22" t="s">
        <v>159</v>
      </c>
      <c r="I146" s="22" t="str">
        <f t="shared" si="2"/>
        <v>1100001,1100002,1100003</v>
      </c>
    </row>
    <row r="147" spans="1:9">
      <c r="A147" s="14">
        <v>1100004</v>
      </c>
      <c r="B147" s="14" t="s">
        <v>186</v>
      </c>
      <c r="C147" s="15" t="s">
        <v>149</v>
      </c>
      <c r="D147" s="34" t="s">
        <v>134</v>
      </c>
      <c r="E147" s="14">
        <v>2</v>
      </c>
      <c r="F147" s="14" t="s">
        <v>153</v>
      </c>
      <c r="G147" s="14">
        <v>0</v>
      </c>
      <c r="H147" s="22" t="s">
        <v>159</v>
      </c>
      <c r="I147" s="22" t="str">
        <f t="shared" si="2"/>
        <v>1100001,1100002,1100003,1100004</v>
      </c>
    </row>
    <row r="148" spans="1:9">
      <c r="A148" s="14">
        <v>1100005</v>
      </c>
      <c r="B148" s="14" t="s">
        <v>187</v>
      </c>
      <c r="C148" s="15" t="s">
        <v>122</v>
      </c>
      <c r="D148" s="34" t="s">
        <v>135</v>
      </c>
      <c r="E148" s="14">
        <v>10</v>
      </c>
      <c r="F148" s="14" t="s">
        <v>153</v>
      </c>
      <c r="G148" s="14">
        <v>1</v>
      </c>
      <c r="H148" s="22" t="s">
        <v>160</v>
      </c>
      <c r="I148" s="22" t="str">
        <f t="shared" si="2"/>
        <v>1100001,1100002,1100003,1100004,1100005</v>
      </c>
    </row>
    <row r="149" spans="1:9">
      <c r="A149" s="14">
        <v>1100006</v>
      </c>
      <c r="B149" s="14" t="s">
        <v>188</v>
      </c>
      <c r="C149" s="15" t="s">
        <v>105</v>
      </c>
      <c r="D149" s="34" t="s">
        <v>136</v>
      </c>
      <c r="E149" s="14">
        <v>10</v>
      </c>
      <c r="F149" s="14" t="s">
        <v>152</v>
      </c>
      <c r="G149" s="14">
        <v>0</v>
      </c>
      <c r="H149" s="22" t="s">
        <v>161</v>
      </c>
      <c r="I149" s="22" t="str">
        <f t="shared" si="2"/>
        <v>1100001,1100002,1100003,1100004,1100005,1100006</v>
      </c>
    </row>
    <row r="150" spans="1:9">
      <c r="A150" s="14">
        <v>1100007</v>
      </c>
      <c r="B150" s="14" t="s">
        <v>189</v>
      </c>
      <c r="C150" s="15" t="s">
        <v>105</v>
      </c>
      <c r="D150" s="34" t="s">
        <v>136</v>
      </c>
      <c r="E150" s="14">
        <v>10</v>
      </c>
      <c r="F150" s="14" t="s">
        <v>153</v>
      </c>
      <c r="G150" s="14">
        <v>0</v>
      </c>
      <c r="H150" s="22" t="s">
        <v>161</v>
      </c>
      <c r="I150" s="22" t="str">
        <f t="shared" si="2"/>
        <v>1100001,1100002,1100003,1100004,1100005,1100006,1100007</v>
      </c>
    </row>
    <row r="151" spans="1:9">
      <c r="A151" s="14">
        <v>1100008</v>
      </c>
      <c r="B151" s="14" t="s">
        <v>190</v>
      </c>
      <c r="C151" s="15" t="s">
        <v>150</v>
      </c>
      <c r="D151" s="34" t="s">
        <v>137</v>
      </c>
      <c r="E151" s="14">
        <v>5</v>
      </c>
      <c r="F151" s="14" t="s">
        <v>154</v>
      </c>
      <c r="G151" s="14">
        <v>0</v>
      </c>
      <c r="H151" s="22" t="s">
        <v>162</v>
      </c>
      <c r="I151" s="22" t="str">
        <f t="shared" si="2"/>
        <v>1100001,1100002,1100003,1100004,1100005,1100006,1100007,1100008</v>
      </c>
    </row>
    <row r="152" spans="1:9">
      <c r="A152" s="14">
        <v>1100009</v>
      </c>
      <c r="B152" s="14" t="s">
        <v>191</v>
      </c>
      <c r="C152" s="15" t="s">
        <v>150</v>
      </c>
      <c r="D152" s="34" t="s">
        <v>137</v>
      </c>
      <c r="E152" s="14">
        <v>5</v>
      </c>
      <c r="F152" s="14" t="s">
        <v>153</v>
      </c>
      <c r="G152" s="14">
        <v>0</v>
      </c>
      <c r="H152" s="22" t="s">
        <v>162</v>
      </c>
      <c r="I152" s="22" t="str">
        <f t="shared" si="2"/>
        <v>1100001,1100002,1100003,1100004,1100005,1100006,1100007,1100008,1100009</v>
      </c>
    </row>
    <row r="153" spans="1:9">
      <c r="A153" s="14">
        <v>1100010</v>
      </c>
      <c r="B153" s="14" t="s">
        <v>192</v>
      </c>
      <c r="C153" s="15" t="s">
        <v>122</v>
      </c>
      <c r="D153" s="34" t="s">
        <v>138</v>
      </c>
      <c r="E153" s="14">
        <v>2</v>
      </c>
      <c r="F153" s="14" t="s">
        <v>154</v>
      </c>
      <c r="G153" s="14">
        <v>0</v>
      </c>
      <c r="H153" s="22" t="s">
        <v>163</v>
      </c>
      <c r="I153" s="22" t="str">
        <f t="shared" si="2"/>
        <v>1100001,1100002,1100003,1100004,1100005,1100006,1100007,1100008,1100009,1100010</v>
      </c>
    </row>
    <row r="154" spans="1:9">
      <c r="A154" s="14">
        <v>1100011</v>
      </c>
      <c r="B154" s="14" t="s">
        <v>193</v>
      </c>
      <c r="C154" s="15" t="s">
        <v>122</v>
      </c>
      <c r="D154" s="34" t="s">
        <v>138</v>
      </c>
      <c r="E154" s="14">
        <v>2</v>
      </c>
      <c r="F154" s="14" t="s">
        <v>153</v>
      </c>
      <c r="G154" s="14">
        <v>0</v>
      </c>
      <c r="H154" s="22" t="s">
        <v>163</v>
      </c>
      <c r="I154" s="22" t="str">
        <f t="shared" si="2"/>
        <v>1100001,1100002,1100003,1100004,1100005,1100006,1100007,1100008,1100009,1100010,1100011</v>
      </c>
    </row>
    <row r="155" spans="1:9">
      <c r="A155" s="14">
        <v>1100012</v>
      </c>
      <c r="B155" s="14" t="s">
        <v>194</v>
      </c>
      <c r="C155" s="15" t="s">
        <v>122</v>
      </c>
      <c r="D155" s="34" t="s">
        <v>139</v>
      </c>
      <c r="E155" s="14">
        <v>2</v>
      </c>
      <c r="F155" s="14" t="s">
        <v>153</v>
      </c>
      <c r="G155" s="14">
        <v>1</v>
      </c>
      <c r="H155" s="22" t="s">
        <v>164</v>
      </c>
      <c r="I155" s="22" t="str">
        <f t="shared" si="2"/>
        <v>1100001,1100002,1100003,1100004,1100005,1100006,1100007,1100008,1100009,1100010,1100011,1100012</v>
      </c>
    </row>
    <row r="156" spans="1:9">
      <c r="A156" s="14">
        <v>1100013</v>
      </c>
      <c r="B156" s="14" t="s">
        <v>195</v>
      </c>
      <c r="C156" s="15" t="s">
        <v>150</v>
      </c>
      <c r="D156" s="34" t="s">
        <v>140</v>
      </c>
      <c r="E156" s="14">
        <v>5</v>
      </c>
      <c r="F156" s="14" t="s">
        <v>155</v>
      </c>
      <c r="G156" s="14">
        <v>0</v>
      </c>
      <c r="H156" s="22" t="s">
        <v>165</v>
      </c>
      <c r="I156" s="22" t="str">
        <f t="shared" si="2"/>
        <v>1100001,1100002,1100003,1100004,1100005,1100006,1100007,1100008,1100009,1100010,1100011,1100012,1100013</v>
      </c>
    </row>
    <row r="157" spans="1:9">
      <c r="A157" s="14">
        <v>1100014</v>
      </c>
      <c r="B157" s="14" t="s">
        <v>196</v>
      </c>
      <c r="C157" s="15" t="s">
        <v>150</v>
      </c>
      <c r="D157" s="34" t="s">
        <v>140</v>
      </c>
      <c r="E157" s="14">
        <v>5</v>
      </c>
      <c r="F157" s="14" t="s">
        <v>153</v>
      </c>
      <c r="G157" s="14">
        <v>0</v>
      </c>
      <c r="H157" s="22" t="s">
        <v>165</v>
      </c>
      <c r="I157" s="22" t="str">
        <f t="shared" si="2"/>
        <v>1100001,1100002,1100003,1100004,1100005,1100006,1100007,1100008,1100009,1100010,1100011,1100012,1100013,1100014</v>
      </c>
    </row>
    <row r="158" spans="1:9">
      <c r="A158" s="14">
        <v>1100015</v>
      </c>
      <c r="B158" s="14" t="s">
        <v>197</v>
      </c>
      <c r="C158" s="15" t="s">
        <v>122</v>
      </c>
      <c r="D158" s="34" t="s">
        <v>141</v>
      </c>
      <c r="E158" s="14">
        <v>2</v>
      </c>
      <c r="F158" s="14" t="s">
        <v>155</v>
      </c>
      <c r="G158" s="14">
        <v>0</v>
      </c>
      <c r="H158" s="22" t="s">
        <v>166</v>
      </c>
      <c r="I158" s="22" t="str">
        <f t="shared" si="2"/>
        <v>1100001,1100002,1100003,1100004,1100005,1100006,1100007,1100008,1100009,1100010,1100011,1100012,1100013,1100014,1100015</v>
      </c>
    </row>
    <row r="159" spans="1:9">
      <c r="A159" s="14">
        <v>1100016</v>
      </c>
      <c r="B159" s="14" t="s">
        <v>198</v>
      </c>
      <c r="C159" s="15" t="s">
        <v>122</v>
      </c>
      <c r="D159" s="34" t="s">
        <v>141</v>
      </c>
      <c r="E159" s="14">
        <v>2</v>
      </c>
      <c r="F159" s="14" t="s">
        <v>153</v>
      </c>
      <c r="G159" s="14">
        <v>0</v>
      </c>
      <c r="H159" s="22" t="s">
        <v>166</v>
      </c>
      <c r="I159" s="22" t="str">
        <f t="shared" si="2"/>
        <v>1100001,1100002,1100003,1100004,1100005,1100006,1100007,1100008,1100009,1100010,1100011,1100012,1100013,1100014,1100015,1100016</v>
      </c>
    </row>
    <row r="160" spans="1:9">
      <c r="A160" s="14">
        <v>1100017</v>
      </c>
      <c r="B160" s="14" t="s">
        <v>199</v>
      </c>
      <c r="C160" s="15" t="s">
        <v>122</v>
      </c>
      <c r="D160" s="34" t="s">
        <v>142</v>
      </c>
      <c r="E160" s="14">
        <v>10</v>
      </c>
      <c r="F160" s="14" t="s">
        <v>152</v>
      </c>
      <c r="G160" s="14">
        <v>0</v>
      </c>
      <c r="H160" s="22" t="s">
        <v>167</v>
      </c>
      <c r="I160" s="22" t="str">
        <f t="shared" si="2"/>
        <v>1100001,1100002,1100003,1100004,1100005,1100006,1100007,1100008,1100009,1100010,1100011,1100012,1100013,1100014,1100015,1100016,1100017</v>
      </c>
    </row>
    <row r="161" spans="1:12">
      <c r="A161" s="14">
        <v>1100018</v>
      </c>
      <c r="B161" s="14" t="s">
        <v>200</v>
      </c>
      <c r="C161" s="15" t="s">
        <v>122</v>
      </c>
      <c r="D161" s="34" t="s">
        <v>142</v>
      </c>
      <c r="E161" s="14">
        <v>10</v>
      </c>
      <c r="F161" s="14" t="s">
        <v>153</v>
      </c>
      <c r="G161" s="14">
        <v>0</v>
      </c>
      <c r="H161" s="22" t="s">
        <v>167</v>
      </c>
      <c r="I161" s="22" t="str">
        <f t="shared" si="2"/>
        <v>1100001,1100002,1100003,1100004,1100005,1100006,1100007,1100008,1100009,1100010,1100011,1100012,1100013,1100014,1100015,1100016,1100017,1100018</v>
      </c>
    </row>
    <row r="162" spans="1:12">
      <c r="A162" s="14">
        <v>1100019</v>
      </c>
      <c r="B162" s="14" t="s">
        <v>201</v>
      </c>
      <c r="C162" s="15" t="s">
        <v>130</v>
      </c>
      <c r="D162" s="34" t="s">
        <v>143</v>
      </c>
      <c r="E162" s="14">
        <v>5</v>
      </c>
      <c r="F162" s="14" t="s">
        <v>152</v>
      </c>
      <c r="G162" s="14">
        <v>0</v>
      </c>
      <c r="H162" s="22" t="s">
        <v>168</v>
      </c>
      <c r="I162" s="22" t="str">
        <f t="shared" si="2"/>
        <v>1100001,1100002,1100003,1100004,1100005,1100006,1100007,1100008,1100009,1100010,1100011,1100012,1100013,1100014,1100015,1100016,1100017,1100018,1100019</v>
      </c>
    </row>
    <row r="163" spans="1:12">
      <c r="A163" s="14">
        <v>1100020</v>
      </c>
      <c r="B163" s="14" t="s">
        <v>202</v>
      </c>
      <c r="C163" s="15" t="s">
        <v>130</v>
      </c>
      <c r="D163" s="34" t="s">
        <v>143</v>
      </c>
      <c r="E163" s="14">
        <v>5</v>
      </c>
      <c r="F163" s="14" t="s">
        <v>153</v>
      </c>
      <c r="G163" s="14">
        <v>0</v>
      </c>
      <c r="H163" s="22" t="s">
        <v>168</v>
      </c>
      <c r="I163" s="22" t="str">
        <f t="shared" si="2"/>
        <v>1100001,1100002,1100003,1100004,1100005,1100006,1100007,1100008,1100009,1100010,1100011,1100012,1100013,1100014,1100015,1100016,1100017,1100018,1100019,1100020</v>
      </c>
    </row>
    <row r="164" spans="1:12">
      <c r="A164" s="14">
        <v>1100021</v>
      </c>
      <c r="B164" s="14" t="s">
        <v>203</v>
      </c>
      <c r="C164" s="15" t="s">
        <v>130</v>
      </c>
      <c r="D164" s="34" t="s">
        <v>144</v>
      </c>
      <c r="E164" s="14">
        <v>5</v>
      </c>
      <c r="F164" s="14" t="s">
        <v>156</v>
      </c>
      <c r="G164" s="14">
        <v>1</v>
      </c>
      <c r="H164" s="22" t="s">
        <v>169</v>
      </c>
      <c r="I164" s="22" t="str">
        <f t="shared" si="2"/>
        <v>1100001,1100002,1100003,1100004,1100005,1100006,1100007,1100008,1100009,1100010,1100011,1100012,1100013,1100014,1100015,1100016,1100017,1100018,1100019,1100020,1100021</v>
      </c>
    </row>
    <row r="165" spans="1:12">
      <c r="A165" s="14">
        <v>1100022</v>
      </c>
      <c r="B165" s="14" t="s">
        <v>204</v>
      </c>
      <c r="C165" s="15" t="s">
        <v>130</v>
      </c>
      <c r="D165" s="34" t="s">
        <v>144</v>
      </c>
      <c r="E165" s="14">
        <v>5</v>
      </c>
      <c r="F165" s="14" t="s">
        <v>153</v>
      </c>
      <c r="G165" s="14">
        <v>1</v>
      </c>
      <c r="H165" s="22" t="s">
        <v>169</v>
      </c>
      <c r="I165" s="22" t="str">
        <f t="shared" si="2"/>
        <v>1100001,1100002,1100003,1100004,1100005,1100006,1100007,1100008,1100009,1100010,1100011,1100012,1100013,1100014,1100015,1100016,1100017,1100018,1100019,1100020,1100021,1100022</v>
      </c>
    </row>
    <row r="166" spans="1:12">
      <c r="A166" s="14">
        <v>1100023</v>
      </c>
      <c r="B166" s="14" t="s">
        <v>205</v>
      </c>
      <c r="C166" s="15" t="s">
        <v>148</v>
      </c>
      <c r="D166" s="34" t="s">
        <v>136</v>
      </c>
      <c r="E166" s="14">
        <v>2</v>
      </c>
      <c r="F166" s="14" t="s">
        <v>156</v>
      </c>
      <c r="G166" s="14">
        <v>1</v>
      </c>
      <c r="H166" s="22" t="s">
        <v>170</v>
      </c>
      <c r="I166" s="22" t="str">
        <f t="shared" si="2"/>
        <v>1100001,1100002,1100003,1100004,1100005,1100006,1100007,1100008,1100009,1100010,1100011,1100012,1100013,1100014,1100015,1100016,1100017,1100018,1100019,1100020,1100021,1100022,1100023</v>
      </c>
    </row>
    <row r="167" spans="1:12">
      <c r="A167" s="14">
        <v>1100024</v>
      </c>
      <c r="B167" s="14" t="s">
        <v>206</v>
      </c>
      <c r="C167" s="15" t="s">
        <v>148</v>
      </c>
      <c r="D167" s="34" t="s">
        <v>136</v>
      </c>
      <c r="E167" s="14">
        <v>2</v>
      </c>
      <c r="F167" s="14" t="s">
        <v>153</v>
      </c>
      <c r="G167" s="14">
        <v>1</v>
      </c>
      <c r="H167" s="22" t="s">
        <v>170</v>
      </c>
      <c r="I167" s="22" t="str">
        <f t="shared" si="2"/>
        <v>1100001,1100002,1100003,1100004,1100005,1100006,1100007,1100008,1100009,1100010,1100011,1100012,1100013,1100014,1100015,1100016,1100017,1100018,1100019,1100020,1100021,1100022,1100023,1100024</v>
      </c>
    </row>
    <row r="168" spans="1:12">
      <c r="A168" s="14">
        <v>1100025</v>
      </c>
      <c r="B168" s="14" t="s">
        <v>207</v>
      </c>
      <c r="C168" s="15" t="s">
        <v>122</v>
      </c>
      <c r="D168" s="34" t="s">
        <v>145</v>
      </c>
      <c r="E168" s="14">
        <v>2</v>
      </c>
      <c r="F168" s="14" t="s">
        <v>156</v>
      </c>
      <c r="G168" s="14">
        <v>1</v>
      </c>
      <c r="H168" s="22" t="s">
        <v>171</v>
      </c>
      <c r="I168" s="22" t="str">
        <f t="shared" si="2"/>
        <v>1100001,1100002,1100003,1100004,1100005,1100006,1100007,1100008,1100009,1100010,1100011,1100012,1100013,1100014,1100015,1100016,1100017,1100018,1100019,1100020,1100021,1100022,1100023,1100024,1100025</v>
      </c>
    </row>
    <row r="169" spans="1:12">
      <c r="A169" s="14">
        <v>1100026</v>
      </c>
      <c r="B169" s="14" t="s">
        <v>208</v>
      </c>
      <c r="C169" s="15" t="s">
        <v>122</v>
      </c>
      <c r="D169" s="34" t="s">
        <v>145</v>
      </c>
      <c r="E169" s="14">
        <v>2</v>
      </c>
      <c r="F169" s="14" t="s">
        <v>153</v>
      </c>
      <c r="G169" s="14">
        <v>1</v>
      </c>
      <c r="H169" s="22" t="s">
        <v>171</v>
      </c>
      <c r="I169" s="22" t="str">
        <f t="shared" si="2"/>
        <v>1100001,1100002,1100003,1100004,1100005,1100006,1100007,1100008,1100009,1100010,1100011,1100012,1100013,1100014,1100015,1100016,1100017,1100018,1100019,1100020,1100021,1100022,1100023,1100024,1100025,1100026</v>
      </c>
    </row>
    <row r="170" spans="1:12">
      <c r="A170" s="14">
        <v>1100027</v>
      </c>
      <c r="B170" s="14" t="s">
        <v>209</v>
      </c>
      <c r="C170" s="15" t="s">
        <v>151</v>
      </c>
      <c r="D170" s="34" t="s">
        <v>146</v>
      </c>
      <c r="E170" s="14">
        <v>2</v>
      </c>
      <c r="F170" s="14" t="s">
        <v>157</v>
      </c>
      <c r="G170" s="14">
        <v>0</v>
      </c>
      <c r="H170" s="22" t="s">
        <v>172</v>
      </c>
      <c r="I170" s="22" t="str">
        <f t="shared" si="2"/>
        <v>1100001,1100002,1100003,1100004,1100005,1100006,1100007,1100008,1100009,1100010,1100011,1100012,1100013,1100014,1100015,1100016,1100017,1100018,1100019,1100020,1100021,1100022,1100023,1100024,1100025,1100026,1100027</v>
      </c>
    </row>
    <row r="171" spans="1:12">
      <c r="A171" s="14">
        <v>1100028</v>
      </c>
      <c r="B171" s="14" t="s">
        <v>210</v>
      </c>
      <c r="C171" s="15" t="s">
        <v>151</v>
      </c>
      <c r="D171" s="34" t="s">
        <v>146</v>
      </c>
      <c r="E171" s="14">
        <v>2</v>
      </c>
      <c r="F171" s="14" t="s">
        <v>153</v>
      </c>
      <c r="G171" s="14">
        <v>0</v>
      </c>
      <c r="H171" s="22" t="s">
        <v>172</v>
      </c>
      <c r="I171" s="22" t="str">
        <f t="shared" si="2"/>
        <v>1100001,1100002,1100003,1100004,1100005,1100006,1100007,1100008,1100009,1100010,1100011,1100012,1100013,1100014,1100015,1100016,1100017,1100018,1100019,1100020,1100021,1100022,1100023,1100024,1100025,1100026,1100027,1100028</v>
      </c>
    </row>
    <row r="172" spans="1:12">
      <c r="A172" s="14">
        <v>1100029</v>
      </c>
      <c r="B172" s="14" t="s">
        <v>211</v>
      </c>
      <c r="C172" s="15" t="s">
        <v>105</v>
      </c>
      <c r="D172" s="34" t="s">
        <v>147</v>
      </c>
      <c r="E172" s="14">
        <v>2</v>
      </c>
      <c r="F172" s="14" t="s">
        <v>215</v>
      </c>
      <c r="G172" s="14">
        <v>0</v>
      </c>
      <c r="H172" s="22" t="s">
        <v>173</v>
      </c>
      <c r="I172" s="22" t="str">
        <f t="shared" si="2"/>
        <v>1100001,1100002,1100003,1100004,1100005,1100006,1100007,1100008,1100009,1100010,1100011,1100012,1100013,1100014,1100015,1100016,1100017,1100018,1100019,1100020,1100021,1100022,1100023,1100024,1100025,1100026,1100027,1100028,1100029</v>
      </c>
    </row>
    <row r="173" spans="1:12">
      <c r="A173" s="14">
        <v>1100030</v>
      </c>
      <c r="B173" s="14" t="s">
        <v>212</v>
      </c>
      <c r="C173" s="15" t="s">
        <v>105</v>
      </c>
      <c r="D173" s="34" t="s">
        <v>147</v>
      </c>
      <c r="E173" s="14">
        <v>2</v>
      </c>
      <c r="F173" s="14" t="s">
        <v>215</v>
      </c>
      <c r="G173" s="14">
        <v>0</v>
      </c>
      <c r="H173" s="22" t="s">
        <v>174</v>
      </c>
      <c r="I173" s="22" t="str">
        <f t="shared" si="2"/>
        <v>1100001,1100002,1100003,1100004,1100005,1100006,1100007,1100008,1100009,1100010,1100011,1100012,1100013,1100014,1100015,1100016,1100017,1100018,1100019,1100020,1100021,1100022,1100023,1100024,1100025,1100026,1100027,1100028,1100029,1100030</v>
      </c>
    </row>
    <row r="174" spans="1:12">
      <c r="A174" s="14">
        <v>1100031</v>
      </c>
      <c r="B174" s="14" t="s">
        <v>213</v>
      </c>
      <c r="C174" s="15" t="s">
        <v>105</v>
      </c>
      <c r="D174" s="34" t="s">
        <v>147</v>
      </c>
      <c r="E174" s="14">
        <v>2</v>
      </c>
      <c r="F174" s="14" t="s">
        <v>153</v>
      </c>
      <c r="G174" s="14">
        <v>0</v>
      </c>
      <c r="H174" s="22" t="s">
        <v>173</v>
      </c>
      <c r="I174" s="22" t="str">
        <f t="shared" si="2"/>
        <v>1100001,1100002,1100003,1100004,1100005,1100006,1100007,1100008,1100009,1100010,1100011,1100012,1100013,1100014,1100015,1100016,1100017,1100018,1100019,1100020,1100021,1100022,1100023,1100024,1100025,1100026,1100027,1100028,1100029,1100030,1100031</v>
      </c>
    </row>
    <row r="175" spans="1:12">
      <c r="A175" s="14">
        <v>1100032</v>
      </c>
      <c r="B175" s="14" t="s">
        <v>243</v>
      </c>
      <c r="C175" s="15" t="s">
        <v>105</v>
      </c>
      <c r="D175" s="34" t="s">
        <v>147</v>
      </c>
      <c r="E175" s="14">
        <v>2</v>
      </c>
      <c r="F175" s="14" t="s">
        <v>153</v>
      </c>
      <c r="G175" s="14">
        <v>0</v>
      </c>
      <c r="H175" s="22" t="s">
        <v>174</v>
      </c>
      <c r="I175" s="22" t="str">
        <f t="shared" si="2"/>
        <v>1100001,1100002,1100003,1100004,1100005,1100006,1100007,1100008,1100009,1100010,1100011,1100012,1100013,1100014,1100015,1100016,1100017,1100018,1100019,1100020,1100021,1100022,1100023,1100024,1100025,1100026,1100027,1100028,1100029,1100030,1100031,1100032</v>
      </c>
    </row>
    <row r="176" spans="1:12" s="58" customFormat="1">
      <c r="A176" s="58">
        <v>1100101</v>
      </c>
      <c r="B176" s="58" t="s">
        <v>244</v>
      </c>
      <c r="C176" s="59" t="s">
        <v>148</v>
      </c>
      <c r="D176" s="60" t="s">
        <v>132</v>
      </c>
      <c r="E176" s="58">
        <v>1</v>
      </c>
      <c r="F176" s="58" t="s">
        <v>105</v>
      </c>
      <c r="G176" s="58">
        <v>0</v>
      </c>
      <c r="H176" s="61" t="s">
        <v>230</v>
      </c>
      <c r="I176" s="61">
        <f t="shared" ref="I176:I192" si="3">IFERROR(IF(A176-A175&lt;&gt;1,A176,$I175&amp;","&amp;A176),A176)</f>
        <v>1100101</v>
      </c>
      <c r="J176" s="61"/>
      <c r="K176" s="61"/>
      <c r="L176" s="61"/>
    </row>
    <row r="177" spans="1:12" s="58" customFormat="1">
      <c r="A177" s="58">
        <v>1100102</v>
      </c>
      <c r="B177" s="58" t="s">
        <v>245</v>
      </c>
      <c r="C177" s="59" t="s">
        <v>149</v>
      </c>
      <c r="D177" s="60" t="s">
        <v>133</v>
      </c>
      <c r="E177" s="58">
        <v>6</v>
      </c>
      <c r="F177" s="58" t="s">
        <v>105</v>
      </c>
      <c r="G177" s="58">
        <v>0</v>
      </c>
      <c r="H177" s="61" t="s">
        <v>158</v>
      </c>
      <c r="I177" s="61" t="str">
        <f t="shared" si="3"/>
        <v>1100101,1100102</v>
      </c>
      <c r="J177" s="61"/>
      <c r="K177" s="61"/>
      <c r="L177" s="61"/>
    </row>
    <row r="178" spans="1:12" s="58" customFormat="1">
      <c r="A178" s="58">
        <v>1100103</v>
      </c>
      <c r="B178" s="58" t="s">
        <v>246</v>
      </c>
      <c r="C178" s="59" t="s">
        <v>149</v>
      </c>
      <c r="D178" s="60" t="s">
        <v>134</v>
      </c>
      <c r="E178" s="58">
        <v>2</v>
      </c>
      <c r="F178" s="58" t="s">
        <v>105</v>
      </c>
      <c r="G178" s="58">
        <v>0</v>
      </c>
      <c r="H178" s="61" t="s">
        <v>159</v>
      </c>
      <c r="I178" s="61" t="str">
        <f t="shared" si="3"/>
        <v>1100101,1100102,1100103</v>
      </c>
      <c r="J178" s="61"/>
      <c r="K178" s="61"/>
      <c r="L178" s="61"/>
    </row>
    <row r="179" spans="1:12" s="58" customFormat="1">
      <c r="A179" s="58">
        <v>1100104</v>
      </c>
      <c r="B179" s="58" t="s">
        <v>247</v>
      </c>
      <c r="C179" s="59" t="s">
        <v>122</v>
      </c>
      <c r="D179" s="60" t="s">
        <v>135</v>
      </c>
      <c r="E179" s="58">
        <v>10</v>
      </c>
      <c r="F179" s="58" t="s">
        <v>105</v>
      </c>
      <c r="G179" s="58">
        <v>1</v>
      </c>
      <c r="H179" s="61" t="s">
        <v>160</v>
      </c>
      <c r="I179" s="61" t="str">
        <f t="shared" si="3"/>
        <v>1100101,1100102,1100103,1100104</v>
      </c>
      <c r="J179" s="61"/>
      <c r="K179" s="61"/>
      <c r="L179" s="61"/>
    </row>
    <row r="180" spans="1:12" s="58" customFormat="1">
      <c r="A180" s="58">
        <v>1100105</v>
      </c>
      <c r="B180" s="58" t="s">
        <v>248</v>
      </c>
      <c r="C180" s="59" t="s">
        <v>105</v>
      </c>
      <c r="D180" s="60" t="s">
        <v>297</v>
      </c>
      <c r="E180" s="58">
        <v>2</v>
      </c>
      <c r="F180" s="58" t="s">
        <v>288</v>
      </c>
      <c r="G180" s="58">
        <v>0</v>
      </c>
      <c r="H180" s="61" t="s">
        <v>231</v>
      </c>
      <c r="I180" s="61" t="str">
        <f t="shared" si="3"/>
        <v>1100101,1100102,1100103,1100104,1100105</v>
      </c>
      <c r="J180" s="61"/>
      <c r="K180" s="61"/>
      <c r="L180" s="61"/>
    </row>
    <row r="181" spans="1:12" s="58" customFormat="1">
      <c r="A181" s="58">
        <v>1100106</v>
      </c>
      <c r="B181" s="58" t="s">
        <v>249</v>
      </c>
      <c r="C181" s="59" t="s">
        <v>122</v>
      </c>
      <c r="D181" s="60" t="s">
        <v>298</v>
      </c>
      <c r="E181" s="58">
        <v>5</v>
      </c>
      <c r="F181" s="58" t="s">
        <v>289</v>
      </c>
      <c r="G181" s="58">
        <v>0</v>
      </c>
      <c r="H181" s="61" t="s">
        <v>232</v>
      </c>
      <c r="I181" s="61" t="str">
        <f t="shared" si="3"/>
        <v>1100101,1100102,1100103,1100104,1100105,1100106</v>
      </c>
      <c r="J181" s="61"/>
      <c r="K181" s="61"/>
      <c r="L181" s="61"/>
    </row>
    <row r="182" spans="1:12" s="58" customFormat="1">
      <c r="A182" s="58">
        <v>1100107</v>
      </c>
      <c r="B182" s="58" t="s">
        <v>250</v>
      </c>
      <c r="C182" s="59" t="s">
        <v>150</v>
      </c>
      <c r="D182" s="60" t="s">
        <v>137</v>
      </c>
      <c r="E182" s="58">
        <v>5</v>
      </c>
      <c r="F182" s="58" t="s">
        <v>289</v>
      </c>
      <c r="G182" s="58">
        <v>0</v>
      </c>
      <c r="H182" s="61" t="s">
        <v>162</v>
      </c>
      <c r="I182" s="61" t="str">
        <f t="shared" si="3"/>
        <v>1100101,1100102,1100103,1100104,1100105,1100106,1100107</v>
      </c>
      <c r="J182" s="61"/>
      <c r="K182" s="61"/>
      <c r="L182" s="61"/>
    </row>
    <row r="183" spans="1:12" s="58" customFormat="1">
      <c r="A183" s="58">
        <v>1100108</v>
      </c>
      <c r="B183" s="58" t="s">
        <v>251</v>
      </c>
      <c r="C183" s="59" t="s">
        <v>122</v>
      </c>
      <c r="D183" s="60" t="s">
        <v>138</v>
      </c>
      <c r="E183" s="58">
        <v>2</v>
      </c>
      <c r="F183" s="58" t="s">
        <v>289</v>
      </c>
      <c r="G183" s="58">
        <v>0</v>
      </c>
      <c r="H183" s="61" t="s">
        <v>163</v>
      </c>
      <c r="I183" s="61" t="str">
        <f t="shared" si="3"/>
        <v>1100101,1100102,1100103,1100104,1100105,1100106,1100107,1100108</v>
      </c>
      <c r="J183" s="61"/>
      <c r="K183" s="61"/>
      <c r="L183" s="61"/>
    </row>
    <row r="184" spans="1:12" s="58" customFormat="1">
      <c r="A184" s="58">
        <v>1100109</v>
      </c>
      <c r="B184" s="58" t="s">
        <v>252</v>
      </c>
      <c r="C184" s="59" t="s">
        <v>122</v>
      </c>
      <c r="D184" s="60" t="s">
        <v>144</v>
      </c>
      <c r="E184" s="58">
        <v>4</v>
      </c>
      <c r="F184" s="58" t="s">
        <v>105</v>
      </c>
      <c r="G184" s="58">
        <v>0</v>
      </c>
      <c r="H184" s="61" t="s">
        <v>233</v>
      </c>
      <c r="I184" s="61" t="str">
        <f t="shared" si="3"/>
        <v>1100101,1100102,1100103,1100104,1100105,1100106,1100107,1100108,1100109</v>
      </c>
      <c r="J184" s="61"/>
      <c r="K184" s="61"/>
      <c r="L184" s="61"/>
    </row>
    <row r="185" spans="1:12" s="58" customFormat="1">
      <c r="A185" s="58">
        <v>1100110</v>
      </c>
      <c r="B185" s="58" t="s">
        <v>253</v>
      </c>
      <c r="C185" s="59" t="s">
        <v>105</v>
      </c>
      <c r="D185" s="60" t="s">
        <v>136</v>
      </c>
      <c r="E185" s="58">
        <v>10</v>
      </c>
      <c r="F185" s="58" t="s">
        <v>105</v>
      </c>
      <c r="G185" s="58">
        <v>0</v>
      </c>
      <c r="H185" s="61" t="s">
        <v>161</v>
      </c>
      <c r="I185" s="61" t="str">
        <f t="shared" si="3"/>
        <v>1100101,1100102,1100103,1100104,1100105,1100106,1100107,1100108,1100109,1100110</v>
      </c>
      <c r="J185" s="61"/>
      <c r="K185" s="61"/>
      <c r="L185" s="61"/>
    </row>
    <row r="186" spans="1:12" s="58" customFormat="1">
      <c r="A186" s="58">
        <v>1100111</v>
      </c>
      <c r="B186" s="58" t="s">
        <v>254</v>
      </c>
      <c r="C186" s="59" t="s">
        <v>296</v>
      </c>
      <c r="D186" s="60" t="s">
        <v>299</v>
      </c>
      <c r="E186" s="58">
        <v>7</v>
      </c>
      <c r="F186" s="58" t="s">
        <v>105</v>
      </c>
      <c r="G186" s="58">
        <v>0</v>
      </c>
      <c r="H186" s="61" t="s">
        <v>234</v>
      </c>
      <c r="I186" s="61" t="str">
        <f t="shared" si="3"/>
        <v>1100101,1100102,1100103,1100104,1100105,1100106,1100107,1100108,1100109,1100110,1100111</v>
      </c>
      <c r="J186" s="61"/>
      <c r="K186" s="61"/>
      <c r="L186" s="61"/>
    </row>
    <row r="187" spans="1:12" s="58" customFormat="1">
      <c r="A187" s="58">
        <v>1100112</v>
      </c>
      <c r="B187" s="58" t="s">
        <v>255</v>
      </c>
      <c r="C187" s="59" t="s">
        <v>122</v>
      </c>
      <c r="D187" s="60" t="s">
        <v>142</v>
      </c>
      <c r="E187" s="58">
        <v>10</v>
      </c>
      <c r="F187" s="58" t="s">
        <v>105</v>
      </c>
      <c r="G187" s="58">
        <v>0</v>
      </c>
      <c r="H187" s="61" t="s">
        <v>167</v>
      </c>
      <c r="I187" s="61" t="str">
        <f t="shared" si="3"/>
        <v>1100101,1100102,1100103,1100104,1100105,1100106,1100107,1100108,1100109,1100110,1100111,1100112</v>
      </c>
      <c r="J187" s="61"/>
      <c r="K187" s="61"/>
      <c r="L187" s="61"/>
    </row>
    <row r="188" spans="1:12" s="58" customFormat="1">
      <c r="A188" s="58">
        <v>1100113</v>
      </c>
      <c r="B188" s="58" t="s">
        <v>256</v>
      </c>
      <c r="C188" s="59" t="s">
        <v>130</v>
      </c>
      <c r="D188" s="60" t="s">
        <v>143</v>
      </c>
      <c r="E188" s="58">
        <v>5</v>
      </c>
      <c r="F188" s="58" t="s">
        <v>105</v>
      </c>
      <c r="G188" s="58">
        <v>0</v>
      </c>
      <c r="H188" s="61" t="s">
        <v>168</v>
      </c>
      <c r="I188" s="61" t="str">
        <f t="shared" si="3"/>
        <v>1100101,1100102,1100103,1100104,1100105,1100106,1100107,1100108,1100109,1100110,1100111,1100112,1100113</v>
      </c>
      <c r="J188" s="61"/>
      <c r="K188" s="61"/>
      <c r="L188" s="61"/>
    </row>
    <row r="189" spans="1:12" s="58" customFormat="1">
      <c r="A189" s="58">
        <v>1100114</v>
      </c>
      <c r="B189" s="58" t="s">
        <v>257</v>
      </c>
      <c r="C189" s="59" t="s">
        <v>105</v>
      </c>
      <c r="D189" s="60" t="s">
        <v>147</v>
      </c>
      <c r="E189" s="58">
        <v>2</v>
      </c>
      <c r="F189" s="58" t="s">
        <v>105</v>
      </c>
      <c r="G189" s="58">
        <v>0</v>
      </c>
      <c r="H189" s="61" t="s">
        <v>173</v>
      </c>
      <c r="I189" s="61" t="str">
        <f t="shared" si="3"/>
        <v>1100101,1100102,1100103,1100104,1100105,1100106,1100107,1100108,1100109,1100110,1100111,1100112,1100113,1100114</v>
      </c>
      <c r="J189" s="61"/>
      <c r="K189" s="61"/>
      <c r="L189" s="61"/>
    </row>
    <row r="190" spans="1:12" s="58" customFormat="1">
      <c r="A190" s="58">
        <v>1100115</v>
      </c>
      <c r="B190" s="58" t="s">
        <v>258</v>
      </c>
      <c r="C190" s="59" t="s">
        <v>105</v>
      </c>
      <c r="D190" s="60" t="s">
        <v>147</v>
      </c>
      <c r="E190" s="58">
        <v>2</v>
      </c>
      <c r="F190" s="58" t="s">
        <v>105</v>
      </c>
      <c r="G190" s="58">
        <v>0</v>
      </c>
      <c r="H190" s="61" t="s">
        <v>174</v>
      </c>
      <c r="I190" s="61" t="str">
        <f t="shared" si="3"/>
        <v>1100101,1100102,1100103,1100104,1100105,1100106,1100107,1100108,1100109,1100110,1100111,1100112,1100113,1100114,1100115</v>
      </c>
      <c r="J190" s="61"/>
      <c r="K190" s="61"/>
      <c r="L190" s="61"/>
    </row>
    <row r="191" spans="1:12" s="54" customFormat="1">
      <c r="A191" s="54">
        <v>1100201</v>
      </c>
      <c r="B191" s="54" t="s">
        <v>266</v>
      </c>
      <c r="C191" s="55" t="s">
        <v>296</v>
      </c>
      <c r="D191" s="56" t="s">
        <v>300</v>
      </c>
      <c r="E191" s="54">
        <v>8</v>
      </c>
      <c r="F191" s="54" t="s">
        <v>105</v>
      </c>
      <c r="G191" s="54">
        <v>0</v>
      </c>
      <c r="H191" s="57" t="s">
        <v>235</v>
      </c>
      <c r="I191" s="57">
        <f t="shared" si="3"/>
        <v>1100201</v>
      </c>
      <c r="J191" s="57"/>
      <c r="K191" s="57"/>
      <c r="L191" s="57"/>
    </row>
    <row r="192" spans="1:12" s="54" customFormat="1">
      <c r="A192" s="54">
        <v>1100202</v>
      </c>
      <c r="B192" s="54" t="s">
        <v>259</v>
      </c>
      <c r="C192" s="55" t="s">
        <v>105</v>
      </c>
      <c r="D192" s="56" t="s">
        <v>301</v>
      </c>
      <c r="E192" s="54">
        <v>2</v>
      </c>
      <c r="F192" s="54" t="s">
        <v>290</v>
      </c>
      <c r="G192" s="54">
        <v>0</v>
      </c>
      <c r="H192" s="57" t="s">
        <v>218</v>
      </c>
      <c r="I192" s="57" t="str">
        <f t="shared" si="3"/>
        <v>1100201,1100202</v>
      </c>
      <c r="J192" s="57"/>
      <c r="K192" s="57"/>
      <c r="L192" s="57"/>
    </row>
    <row r="193" spans="1:12" s="54" customFormat="1">
      <c r="A193" s="54">
        <v>1100203</v>
      </c>
      <c r="B193" s="54" t="s">
        <v>260</v>
      </c>
      <c r="C193" s="55" t="s">
        <v>122</v>
      </c>
      <c r="D193" s="56" t="s">
        <v>298</v>
      </c>
      <c r="E193" s="54">
        <v>5</v>
      </c>
      <c r="F193" s="54" t="s">
        <v>291</v>
      </c>
      <c r="G193" s="54">
        <v>0</v>
      </c>
      <c r="H193" s="57" t="s">
        <v>236</v>
      </c>
      <c r="I193" s="57" t="str">
        <f t="shared" ref="I193:I219" si="4">IFERROR(IF(A193-A192&lt;&gt;1,A193,$I192&amp;","&amp;A193),A193)</f>
        <v>1100201,1100202,1100203</v>
      </c>
      <c r="J193" s="57"/>
      <c r="K193" s="57"/>
      <c r="L193" s="57"/>
    </row>
    <row r="194" spans="1:12" s="54" customFormat="1">
      <c r="A194" s="54">
        <v>1100204</v>
      </c>
      <c r="B194" s="54" t="s">
        <v>261</v>
      </c>
      <c r="C194" s="55" t="s">
        <v>151</v>
      </c>
      <c r="D194" s="56" t="s">
        <v>146</v>
      </c>
      <c r="E194" s="54">
        <v>2</v>
      </c>
      <c r="F194" s="54" t="s">
        <v>291</v>
      </c>
      <c r="G194" s="54">
        <v>0</v>
      </c>
      <c r="H194" s="57" t="s">
        <v>172</v>
      </c>
      <c r="I194" s="57" t="str">
        <f t="shared" si="4"/>
        <v>1100201,1100202,1100203,1100204</v>
      </c>
      <c r="J194" s="57"/>
      <c r="K194" s="57"/>
      <c r="L194" s="57"/>
    </row>
    <row r="195" spans="1:12" s="54" customFormat="1">
      <c r="A195" s="54">
        <v>1100205</v>
      </c>
      <c r="B195" s="54" t="s">
        <v>262</v>
      </c>
      <c r="C195" s="55" t="s">
        <v>122</v>
      </c>
      <c r="D195" s="56" t="s">
        <v>142</v>
      </c>
      <c r="E195" s="54">
        <v>10</v>
      </c>
      <c r="F195" s="54" t="s">
        <v>105</v>
      </c>
      <c r="G195" s="54">
        <v>0</v>
      </c>
      <c r="H195" s="57" t="s">
        <v>167</v>
      </c>
      <c r="I195" s="57" t="str">
        <f t="shared" si="4"/>
        <v>1100201,1100202,1100203,1100204,1100205</v>
      </c>
      <c r="J195" s="57"/>
      <c r="K195" s="57"/>
      <c r="L195" s="57"/>
    </row>
    <row r="196" spans="1:12" s="54" customFormat="1">
      <c r="A196" s="54">
        <v>1100206</v>
      </c>
      <c r="B196" s="54" t="s">
        <v>263</v>
      </c>
      <c r="C196" s="55" t="s">
        <v>130</v>
      </c>
      <c r="D196" s="56" t="s">
        <v>143</v>
      </c>
      <c r="E196" s="54">
        <v>5</v>
      </c>
      <c r="F196" s="54" t="s">
        <v>105</v>
      </c>
      <c r="G196" s="54">
        <v>0</v>
      </c>
      <c r="H196" s="57" t="s">
        <v>168</v>
      </c>
      <c r="I196" s="57" t="str">
        <f t="shared" si="4"/>
        <v>1100201,1100202,1100203,1100204,1100205,1100206</v>
      </c>
      <c r="J196" s="57"/>
      <c r="K196" s="57"/>
      <c r="L196" s="57"/>
    </row>
    <row r="197" spans="1:12" s="54" customFormat="1">
      <c r="A197" s="54">
        <v>1100207</v>
      </c>
      <c r="B197" s="54" t="s">
        <v>264</v>
      </c>
      <c r="C197" s="55" t="s">
        <v>105</v>
      </c>
      <c r="D197" s="56" t="s">
        <v>147</v>
      </c>
      <c r="E197" s="54">
        <v>2</v>
      </c>
      <c r="F197" s="54" t="s">
        <v>105</v>
      </c>
      <c r="G197" s="54">
        <v>0</v>
      </c>
      <c r="H197" s="57" t="s">
        <v>173</v>
      </c>
      <c r="I197" s="57" t="str">
        <f t="shared" si="4"/>
        <v>1100201,1100202,1100203,1100204,1100205,1100206,1100207</v>
      </c>
      <c r="J197" s="57"/>
      <c r="K197" s="57"/>
      <c r="L197" s="57"/>
    </row>
    <row r="198" spans="1:12" s="54" customFormat="1">
      <c r="A198" s="54">
        <v>1100208</v>
      </c>
      <c r="B198" s="54" t="s">
        <v>265</v>
      </c>
      <c r="C198" s="55" t="s">
        <v>105</v>
      </c>
      <c r="D198" s="56" t="s">
        <v>147</v>
      </c>
      <c r="E198" s="54">
        <v>2</v>
      </c>
      <c r="F198" s="54" t="s">
        <v>105</v>
      </c>
      <c r="G198" s="54">
        <v>0</v>
      </c>
      <c r="H198" s="57" t="s">
        <v>174</v>
      </c>
      <c r="I198" s="57" t="str">
        <f t="shared" si="4"/>
        <v>1100201,1100202,1100203,1100204,1100205,1100206,1100207,1100208</v>
      </c>
      <c r="J198" s="57"/>
      <c r="K198" s="57"/>
      <c r="L198" s="57"/>
    </row>
    <row r="199" spans="1:12">
      <c r="A199" s="14">
        <v>1100301</v>
      </c>
      <c r="B199" s="14" t="s">
        <v>267</v>
      </c>
      <c r="C199" s="15" t="s">
        <v>130</v>
      </c>
      <c r="D199" s="34" t="s">
        <v>137</v>
      </c>
      <c r="E199" s="14">
        <v>5</v>
      </c>
      <c r="F199" s="14" t="s">
        <v>105</v>
      </c>
      <c r="G199" s="14">
        <v>0</v>
      </c>
      <c r="H199" s="22" t="s">
        <v>237</v>
      </c>
      <c r="I199" s="22">
        <f t="shared" si="4"/>
        <v>1100301</v>
      </c>
    </row>
    <row r="200" spans="1:12">
      <c r="A200" s="14">
        <v>1100302</v>
      </c>
      <c r="B200" s="14" t="s">
        <v>268</v>
      </c>
      <c r="C200" s="15" t="s">
        <v>105</v>
      </c>
      <c r="D200" s="34" t="s">
        <v>302</v>
      </c>
      <c r="E200" s="14">
        <v>2</v>
      </c>
      <c r="F200" s="14" t="s">
        <v>292</v>
      </c>
      <c r="G200" s="14">
        <v>0</v>
      </c>
      <c r="H200" s="22" t="s">
        <v>226</v>
      </c>
      <c r="I200" s="22" t="str">
        <f t="shared" si="4"/>
        <v>1100301,1100302</v>
      </c>
    </row>
    <row r="201" spans="1:12">
      <c r="A201" s="14">
        <v>1100303</v>
      </c>
      <c r="B201" s="14" t="s">
        <v>269</v>
      </c>
      <c r="C201" s="15" t="s">
        <v>122</v>
      </c>
      <c r="D201" s="34" t="s">
        <v>303</v>
      </c>
      <c r="E201" s="14">
        <v>2</v>
      </c>
      <c r="F201" s="14" t="s">
        <v>292</v>
      </c>
      <c r="G201" s="14">
        <v>0</v>
      </c>
      <c r="H201" s="22" t="s">
        <v>227</v>
      </c>
      <c r="I201" s="22" t="str">
        <f t="shared" si="4"/>
        <v>1100301,1100302,1100303</v>
      </c>
    </row>
    <row r="202" spans="1:12">
      <c r="A202" s="14">
        <v>1100304</v>
      </c>
      <c r="B202" s="14" t="s">
        <v>270</v>
      </c>
      <c r="C202" s="15" t="s">
        <v>122</v>
      </c>
      <c r="D202" s="34" t="s">
        <v>298</v>
      </c>
      <c r="E202" s="14">
        <v>5</v>
      </c>
      <c r="F202" s="14" t="s">
        <v>291</v>
      </c>
      <c r="G202" s="14">
        <v>0</v>
      </c>
      <c r="H202" s="22" t="s">
        <v>238</v>
      </c>
      <c r="I202" s="22" t="str">
        <f t="shared" si="4"/>
        <v>1100301,1100302,1100303,1100304</v>
      </c>
    </row>
    <row r="203" spans="1:12">
      <c r="A203" s="14">
        <v>1100305</v>
      </c>
      <c r="B203" s="14" t="s">
        <v>271</v>
      </c>
      <c r="C203" s="15" t="s">
        <v>122</v>
      </c>
      <c r="D203" s="34" t="s">
        <v>304</v>
      </c>
      <c r="E203" s="14">
        <v>10</v>
      </c>
      <c r="F203" s="14" t="s">
        <v>105</v>
      </c>
      <c r="G203" s="14">
        <v>0</v>
      </c>
      <c r="H203" s="22" t="s">
        <v>239</v>
      </c>
      <c r="I203" s="22" t="str">
        <f t="shared" si="4"/>
        <v>1100301,1100302,1100303,1100304,1100305</v>
      </c>
    </row>
    <row r="204" spans="1:12">
      <c r="A204" s="14">
        <v>1100306</v>
      </c>
      <c r="B204" s="14" t="s">
        <v>272</v>
      </c>
      <c r="C204" s="15" t="s">
        <v>122</v>
      </c>
      <c r="D204" s="34" t="s">
        <v>142</v>
      </c>
      <c r="E204" s="14">
        <v>10</v>
      </c>
      <c r="F204" s="14" t="s">
        <v>105</v>
      </c>
      <c r="G204" s="14">
        <v>0</v>
      </c>
      <c r="H204" s="22" t="s">
        <v>167</v>
      </c>
      <c r="I204" s="22" t="str">
        <f t="shared" si="4"/>
        <v>1100301,1100302,1100303,1100304,1100305,1100306</v>
      </c>
    </row>
    <row r="205" spans="1:12">
      <c r="A205" s="14">
        <v>1100307</v>
      </c>
      <c r="B205" s="14" t="s">
        <v>273</v>
      </c>
      <c r="C205" s="15" t="s">
        <v>130</v>
      </c>
      <c r="D205" s="34" t="s">
        <v>143</v>
      </c>
      <c r="E205" s="14">
        <v>5</v>
      </c>
      <c r="F205" s="14" t="s">
        <v>105</v>
      </c>
      <c r="G205" s="14">
        <v>0</v>
      </c>
      <c r="H205" s="22" t="s">
        <v>168</v>
      </c>
      <c r="I205" s="22" t="str">
        <f t="shared" si="4"/>
        <v>1100301,1100302,1100303,1100304,1100305,1100306,1100307</v>
      </c>
    </row>
    <row r="206" spans="1:12">
      <c r="A206" s="14">
        <v>1100308</v>
      </c>
      <c r="B206" s="14" t="s">
        <v>274</v>
      </c>
      <c r="C206" s="15" t="s">
        <v>105</v>
      </c>
      <c r="D206" s="34" t="s">
        <v>147</v>
      </c>
      <c r="E206" s="14">
        <v>2</v>
      </c>
      <c r="F206" s="14" t="s">
        <v>105</v>
      </c>
      <c r="G206" s="14">
        <v>0</v>
      </c>
      <c r="H206" s="22" t="s">
        <v>173</v>
      </c>
      <c r="I206" s="22" t="str">
        <f t="shared" si="4"/>
        <v>1100301,1100302,1100303,1100304,1100305,1100306,1100307,1100308</v>
      </c>
    </row>
    <row r="207" spans="1:12">
      <c r="A207" s="14">
        <v>1100309</v>
      </c>
      <c r="B207" s="14" t="s">
        <v>275</v>
      </c>
      <c r="C207" s="15" t="s">
        <v>105</v>
      </c>
      <c r="D207" s="34" t="s">
        <v>147</v>
      </c>
      <c r="E207" s="14">
        <v>2</v>
      </c>
      <c r="F207" s="14" t="s">
        <v>105</v>
      </c>
      <c r="G207" s="14">
        <v>0</v>
      </c>
      <c r="H207" s="22" t="s">
        <v>174</v>
      </c>
      <c r="I207" s="22" t="str">
        <f t="shared" si="4"/>
        <v>1100301,1100302,1100303,1100304,1100305,1100306,1100307,1100308,1100309</v>
      </c>
    </row>
    <row r="208" spans="1:12" s="54" customFormat="1">
      <c r="A208" s="54">
        <v>1100401</v>
      </c>
      <c r="B208" s="54" t="s">
        <v>277</v>
      </c>
      <c r="C208" s="55" t="s">
        <v>130</v>
      </c>
      <c r="D208" s="56" t="s">
        <v>144</v>
      </c>
      <c r="E208" s="54">
        <v>5</v>
      </c>
      <c r="F208" s="54" t="s">
        <v>293</v>
      </c>
      <c r="G208" s="54">
        <v>1</v>
      </c>
      <c r="H208" s="57" t="s">
        <v>169</v>
      </c>
      <c r="I208" s="57">
        <f t="shared" si="4"/>
        <v>1100401</v>
      </c>
      <c r="J208" s="57"/>
      <c r="K208" s="57"/>
      <c r="L208" s="57"/>
    </row>
    <row r="209" spans="1:12" s="54" customFormat="1">
      <c r="A209" s="54">
        <v>1100402</v>
      </c>
      <c r="B209" s="54" t="s">
        <v>278</v>
      </c>
      <c r="C209" s="55" t="s">
        <v>148</v>
      </c>
      <c r="D209" s="56" t="s">
        <v>136</v>
      </c>
      <c r="E209" s="54">
        <v>2</v>
      </c>
      <c r="F209" s="54" t="s">
        <v>293</v>
      </c>
      <c r="G209" s="54">
        <v>1</v>
      </c>
      <c r="H209" s="57" t="s">
        <v>170</v>
      </c>
      <c r="I209" s="57" t="str">
        <f t="shared" si="4"/>
        <v>1100401,1100402</v>
      </c>
      <c r="J209" s="57"/>
      <c r="K209" s="57"/>
      <c r="L209" s="57"/>
    </row>
    <row r="210" spans="1:12" s="54" customFormat="1">
      <c r="A210" s="54">
        <v>1100403</v>
      </c>
      <c r="B210" s="54" t="s">
        <v>279</v>
      </c>
      <c r="C210" s="55" t="s">
        <v>122</v>
      </c>
      <c r="D210" s="56" t="s">
        <v>145</v>
      </c>
      <c r="E210" s="54">
        <v>2</v>
      </c>
      <c r="F210" s="54" t="s">
        <v>293</v>
      </c>
      <c r="G210" s="54">
        <v>1</v>
      </c>
      <c r="H210" s="57" t="s">
        <v>171</v>
      </c>
      <c r="I210" s="57" t="str">
        <f t="shared" si="4"/>
        <v>1100401,1100402,1100403</v>
      </c>
      <c r="J210" s="57"/>
      <c r="K210" s="57"/>
      <c r="L210" s="57"/>
    </row>
    <row r="211" spans="1:12" s="54" customFormat="1">
      <c r="A211" s="54">
        <v>1100404</v>
      </c>
      <c r="B211" s="54" t="s">
        <v>280</v>
      </c>
      <c r="C211" s="55" t="s">
        <v>105</v>
      </c>
      <c r="D211" s="56" t="s">
        <v>305</v>
      </c>
      <c r="E211" s="54">
        <v>6</v>
      </c>
      <c r="F211" s="54" t="s">
        <v>294</v>
      </c>
      <c r="G211" s="54">
        <v>0</v>
      </c>
      <c r="H211" s="57" t="s">
        <v>240</v>
      </c>
      <c r="I211" s="57" t="str">
        <f t="shared" si="4"/>
        <v>1100401,1100402,1100403,1100404</v>
      </c>
      <c r="J211" s="57"/>
      <c r="K211" s="57"/>
      <c r="L211" s="57"/>
    </row>
    <row r="212" spans="1:12" s="54" customFormat="1">
      <c r="A212" s="54">
        <v>1100405</v>
      </c>
      <c r="B212" s="54" t="s">
        <v>281</v>
      </c>
      <c r="C212" s="55" t="s">
        <v>150</v>
      </c>
      <c r="D212" s="56" t="s">
        <v>140</v>
      </c>
      <c r="E212" s="54">
        <v>5</v>
      </c>
      <c r="F212" s="54" t="s">
        <v>295</v>
      </c>
      <c r="G212" s="54">
        <v>0</v>
      </c>
      <c r="H212" s="57" t="s">
        <v>165</v>
      </c>
      <c r="I212" s="57" t="str">
        <f t="shared" si="4"/>
        <v>1100401,1100402,1100403,1100404,1100405</v>
      </c>
      <c r="J212" s="57"/>
      <c r="K212" s="57"/>
      <c r="L212" s="57"/>
    </row>
    <row r="213" spans="1:12" s="54" customFormat="1">
      <c r="A213" s="54">
        <v>1100406</v>
      </c>
      <c r="B213" s="54" t="s">
        <v>282</v>
      </c>
      <c r="C213" s="55" t="s">
        <v>122</v>
      </c>
      <c r="D213" s="56" t="s">
        <v>141</v>
      </c>
      <c r="E213" s="54">
        <v>2</v>
      </c>
      <c r="F213" s="54" t="s">
        <v>295</v>
      </c>
      <c r="G213" s="54">
        <v>0</v>
      </c>
      <c r="H213" s="57" t="s">
        <v>166</v>
      </c>
      <c r="I213" s="57" t="str">
        <f t="shared" si="4"/>
        <v>1100401,1100402,1100403,1100404,1100405,1100406</v>
      </c>
      <c r="J213" s="57"/>
      <c r="K213" s="57"/>
      <c r="L213" s="57"/>
    </row>
    <row r="214" spans="1:12" s="54" customFormat="1">
      <c r="A214" s="54">
        <v>1100407</v>
      </c>
      <c r="B214" s="54" t="s">
        <v>283</v>
      </c>
      <c r="C214" s="55" t="s">
        <v>150</v>
      </c>
      <c r="D214" s="56" t="s">
        <v>140</v>
      </c>
      <c r="E214" s="54">
        <v>5</v>
      </c>
      <c r="F214" s="54" t="s">
        <v>295</v>
      </c>
      <c r="G214" s="54">
        <v>0</v>
      </c>
      <c r="H214" s="57" t="s">
        <v>241</v>
      </c>
      <c r="I214" s="57" t="str">
        <f t="shared" si="4"/>
        <v>1100401,1100402,1100403,1100404,1100405,1100406,1100407</v>
      </c>
      <c r="J214" s="57"/>
      <c r="K214" s="57"/>
      <c r="L214" s="57"/>
    </row>
    <row r="215" spans="1:12" s="54" customFormat="1">
      <c r="A215" s="54">
        <v>1100408</v>
      </c>
      <c r="B215" s="54" t="s">
        <v>284</v>
      </c>
      <c r="C215" s="55" t="s">
        <v>122</v>
      </c>
      <c r="D215" s="56" t="s">
        <v>145</v>
      </c>
      <c r="E215" s="54">
        <v>2</v>
      </c>
      <c r="F215" s="54" t="s">
        <v>295</v>
      </c>
      <c r="G215" s="54">
        <v>0</v>
      </c>
      <c r="H215" s="57" t="s">
        <v>242</v>
      </c>
      <c r="I215" s="57" t="str">
        <f t="shared" si="4"/>
        <v>1100401,1100402,1100403,1100404,1100405,1100406,1100407,1100408</v>
      </c>
      <c r="J215" s="57"/>
      <c r="K215" s="57"/>
      <c r="L215" s="57"/>
    </row>
    <row r="216" spans="1:12" s="54" customFormat="1">
      <c r="A216" s="54">
        <v>1100409</v>
      </c>
      <c r="B216" s="54" t="s">
        <v>285</v>
      </c>
      <c r="C216" s="55" t="s">
        <v>122</v>
      </c>
      <c r="D216" s="56" t="s">
        <v>142</v>
      </c>
      <c r="E216" s="54">
        <v>10</v>
      </c>
      <c r="F216" s="54" t="s">
        <v>105</v>
      </c>
      <c r="G216" s="54">
        <v>0</v>
      </c>
      <c r="H216" s="57" t="s">
        <v>167</v>
      </c>
      <c r="I216" s="57" t="str">
        <f t="shared" si="4"/>
        <v>1100401,1100402,1100403,1100404,1100405,1100406,1100407,1100408,1100409</v>
      </c>
      <c r="J216" s="57"/>
      <c r="K216" s="57"/>
      <c r="L216" s="57"/>
    </row>
    <row r="217" spans="1:12" s="54" customFormat="1">
      <c r="A217" s="54">
        <v>1100410</v>
      </c>
      <c r="B217" s="54" t="s">
        <v>276</v>
      </c>
      <c r="C217" s="55" t="s">
        <v>130</v>
      </c>
      <c r="D217" s="56" t="s">
        <v>143</v>
      </c>
      <c r="E217" s="54">
        <v>5</v>
      </c>
      <c r="F217" s="54" t="s">
        <v>105</v>
      </c>
      <c r="G217" s="54">
        <v>0</v>
      </c>
      <c r="H217" s="57" t="s">
        <v>168</v>
      </c>
      <c r="I217" s="57" t="str">
        <f t="shared" si="4"/>
        <v>1100401,1100402,1100403,1100404,1100405,1100406,1100407,1100408,1100409,1100410</v>
      </c>
      <c r="J217" s="57"/>
      <c r="K217" s="57"/>
      <c r="L217" s="57"/>
    </row>
    <row r="218" spans="1:12" s="54" customFormat="1">
      <c r="A218" s="54">
        <v>1100411</v>
      </c>
      <c r="B218" s="54" t="s">
        <v>286</v>
      </c>
      <c r="C218" s="55" t="s">
        <v>105</v>
      </c>
      <c r="D218" s="56" t="s">
        <v>147</v>
      </c>
      <c r="E218" s="54">
        <v>1</v>
      </c>
      <c r="F218" s="54" t="s">
        <v>105</v>
      </c>
      <c r="G218" s="54">
        <v>0</v>
      </c>
      <c r="H218" s="57" t="s">
        <v>173</v>
      </c>
      <c r="I218" s="57" t="str">
        <f t="shared" si="4"/>
        <v>1100401,1100402,1100403,1100404,1100405,1100406,1100407,1100408,1100409,1100410,1100411</v>
      </c>
      <c r="J218" s="57"/>
      <c r="K218" s="57"/>
      <c r="L218" s="57"/>
    </row>
    <row r="219" spans="1:12" s="54" customFormat="1">
      <c r="A219" s="54">
        <v>1100412</v>
      </c>
      <c r="B219" s="54" t="s">
        <v>287</v>
      </c>
      <c r="C219" s="55" t="s">
        <v>105</v>
      </c>
      <c r="D219" s="56" t="s">
        <v>147</v>
      </c>
      <c r="E219" s="54">
        <v>1</v>
      </c>
      <c r="F219" s="54" t="s">
        <v>105</v>
      </c>
      <c r="G219" s="54">
        <v>0</v>
      </c>
      <c r="H219" s="57" t="s">
        <v>174</v>
      </c>
      <c r="I219" s="57" t="str">
        <f t="shared" si="4"/>
        <v>1100401,1100402,1100403,1100404,1100405,1100406,1100407,1100408,1100409,1100410,1100411,1100412</v>
      </c>
      <c r="J219" s="57"/>
      <c r="K219" s="57"/>
      <c r="L219" s="57"/>
    </row>
    <row r="220" spans="1:12" s="42" customFormat="1">
      <c r="A220" s="42">
        <v>1200001</v>
      </c>
      <c r="B220" s="42" t="s">
        <v>177</v>
      </c>
      <c r="C220" s="43" t="s">
        <v>148</v>
      </c>
      <c r="D220" s="44" t="str">
        <f>"[4,2,"&amp;[1]每周限购!$E10&amp;"]"</f>
        <v>[4,2,500]</v>
      </c>
      <c r="E220" s="42">
        <v>1</v>
      </c>
      <c r="F220" s="42" t="s">
        <v>216</v>
      </c>
      <c r="G220" s="42">
        <v>0</v>
      </c>
      <c r="H220" s="45" t="s">
        <v>217</v>
      </c>
      <c r="I220" s="45">
        <f>IFERROR(IF(A220-A175&lt;&gt;1,A220,$I175&amp;","&amp;A220),A220)</f>
        <v>1200001</v>
      </c>
      <c r="J220" s="45"/>
      <c r="K220" s="45"/>
      <c r="L220" s="45"/>
    </row>
    <row r="221" spans="1:12" s="42" customFormat="1">
      <c r="A221" s="42">
        <v>1200002</v>
      </c>
      <c r="B221" s="42" t="s">
        <v>178</v>
      </c>
      <c r="C221" s="43" t="s">
        <v>131</v>
      </c>
      <c r="D221" s="44" t="str">
        <f>"[4,2,"&amp;[1]每周限购!$E11&amp;"]"</f>
        <v>[4,2,350]</v>
      </c>
      <c r="E221" s="42">
        <v>3</v>
      </c>
      <c r="F221" s="42" t="str">
        <f>IF([1]每周限购!G11="[]","[]",[1]每周限购!$G11&amp;"|"&amp;[1]每周限购!$H11)</f>
        <v>[]</v>
      </c>
      <c r="G221" s="42">
        <v>0</v>
      </c>
      <c r="H221" s="45" t="s">
        <v>168</v>
      </c>
      <c r="I221" s="45" t="str">
        <f t="shared" si="2"/>
        <v>1200001,1200002</v>
      </c>
      <c r="J221" s="45"/>
      <c r="K221" s="45"/>
      <c r="L221" s="45"/>
    </row>
    <row r="222" spans="1:12" s="42" customFormat="1">
      <c r="A222" s="42">
        <v>1200003</v>
      </c>
      <c r="B222" s="42" t="s">
        <v>179</v>
      </c>
      <c r="C222" s="43" t="s">
        <v>131</v>
      </c>
      <c r="D222" s="44" t="str">
        <f>"[4,2,"&amp;[1]每周限购!$E12&amp;"]"</f>
        <v>[4,2,860]</v>
      </c>
      <c r="E222" s="42">
        <v>2</v>
      </c>
      <c r="F222" s="42" t="str">
        <f>IF([1]每周限购!G12="[]","[]",[1]每周限购!$G12&amp;"|"&amp;[1]每周限购!$H12)</f>
        <v>29|999</v>
      </c>
      <c r="G222" s="42">
        <v>0</v>
      </c>
      <c r="H222" s="45" t="s">
        <v>95</v>
      </c>
      <c r="I222" s="45" t="str">
        <f t="shared" si="2"/>
        <v>1200001,1200002,1200003</v>
      </c>
      <c r="J222" s="45"/>
      <c r="K222" s="45"/>
      <c r="L222" s="45"/>
    </row>
    <row r="223" spans="1:12" s="42" customFormat="1">
      <c r="A223" s="42">
        <v>1200004</v>
      </c>
      <c r="B223" s="42" t="s">
        <v>180</v>
      </c>
      <c r="C223" s="43" t="s">
        <v>131</v>
      </c>
      <c r="D223" s="44" t="str">
        <f>"[4,2,"&amp;[1]每周限购!$E13&amp;"]"</f>
        <v>[4,2,860]</v>
      </c>
      <c r="E223" s="42">
        <v>2</v>
      </c>
      <c r="F223" s="42" t="str">
        <f>IF([1]每周限购!G13="[]","[]",[1]每周限购!$G13&amp;"|"&amp;[1]每周限购!$H13)</f>
        <v>31|999</v>
      </c>
      <c r="G223" s="42">
        <v>0</v>
      </c>
      <c r="H223" s="45" t="s">
        <v>103</v>
      </c>
      <c r="I223" s="45" t="str">
        <f t="shared" si="2"/>
        <v>1200001,1200002,1200003,1200004</v>
      </c>
      <c r="J223" s="45"/>
      <c r="K223" s="45"/>
      <c r="L223" s="45"/>
    </row>
    <row r="224" spans="1:12" s="42" customFormat="1">
      <c r="A224" s="42">
        <v>1200005</v>
      </c>
      <c r="B224" s="42" t="s">
        <v>181</v>
      </c>
      <c r="C224" s="43" t="s">
        <v>131</v>
      </c>
      <c r="D224" s="44" t="str">
        <f>"[4,2,"&amp;[1]每周限购!$E14&amp;"]"</f>
        <v>[4,2,1500]</v>
      </c>
      <c r="E224" s="42">
        <v>2</v>
      </c>
      <c r="F224" s="42" t="str">
        <f>IF([1]每周限购!G14="[]","[]",[1]每周限购!$G14&amp;"|"&amp;[1]每周限购!$H14)</f>
        <v>33|999</v>
      </c>
      <c r="G224" s="42">
        <v>0</v>
      </c>
      <c r="H224" s="45" t="s">
        <v>175</v>
      </c>
      <c r="I224" s="45" t="str">
        <f t="shared" si="2"/>
        <v>1200001,1200002,1200003,1200004,1200005</v>
      </c>
      <c r="J224" s="45"/>
      <c r="K224" s="45"/>
      <c r="L224" s="45"/>
    </row>
    <row r="225" spans="1:12" s="42" customFormat="1">
      <c r="A225" s="42">
        <v>1200006</v>
      </c>
      <c r="B225" s="42" t="s">
        <v>182</v>
      </c>
      <c r="C225" s="43" t="s">
        <v>131</v>
      </c>
      <c r="D225" s="44" t="str">
        <f>"[4,2,"&amp;[1]每周限购!$E15&amp;"]"</f>
        <v>[4,2,860]</v>
      </c>
      <c r="E225" s="42">
        <v>2</v>
      </c>
      <c r="F225" s="42" t="str">
        <f>IF([1]每周限购!G15="[]","[]",[1]每周限购!$G15&amp;"|"&amp;[1]每周限购!$H15)</f>
        <v>39|999</v>
      </c>
      <c r="G225" s="42">
        <v>0</v>
      </c>
      <c r="H225" s="45" t="s">
        <v>176</v>
      </c>
      <c r="I225" s="45" t="str">
        <f t="shared" si="2"/>
        <v>1200001,1200002,1200003,1200004,1200005,1200006</v>
      </c>
      <c r="J225" s="45"/>
      <c r="K225" s="45"/>
      <c r="L225" s="45"/>
    </row>
    <row r="226" spans="1:12" s="54" customFormat="1">
      <c r="A226" s="54">
        <v>1210001</v>
      </c>
      <c r="B226" s="54" t="s">
        <v>220</v>
      </c>
      <c r="C226" s="55">
        <v>0</v>
      </c>
      <c r="D226" s="56" t="s">
        <v>328</v>
      </c>
      <c r="E226" s="54">
        <v>120</v>
      </c>
      <c r="F226" s="54" t="s">
        <v>290</v>
      </c>
      <c r="G226" s="54">
        <v>0</v>
      </c>
      <c r="H226" s="57" t="s">
        <v>306</v>
      </c>
      <c r="I226" s="57">
        <f t="shared" ref="I226:I247" si="5">IFERROR(IF(A226-A225&lt;&gt;1,A226,$I225&amp;","&amp;A226),A226)</f>
        <v>1210001</v>
      </c>
      <c r="J226" s="57"/>
      <c r="K226" s="57"/>
      <c r="L226" s="57"/>
    </row>
    <row r="227" spans="1:12" s="54" customFormat="1">
      <c r="A227" s="54">
        <v>1210002</v>
      </c>
      <c r="B227" s="54" t="s">
        <v>334</v>
      </c>
      <c r="C227" s="55">
        <v>0</v>
      </c>
      <c r="D227" s="56" t="s">
        <v>329</v>
      </c>
      <c r="E227" s="54">
        <v>240</v>
      </c>
      <c r="F227" s="54" t="s">
        <v>288</v>
      </c>
      <c r="G227" s="54">
        <v>0</v>
      </c>
      <c r="H227" s="57" t="s">
        <v>307</v>
      </c>
      <c r="I227" s="57" t="str">
        <f t="shared" si="5"/>
        <v>1210001,1210002</v>
      </c>
      <c r="J227" s="57"/>
      <c r="K227" s="57"/>
      <c r="L227" s="57"/>
    </row>
    <row r="228" spans="1:12" s="54" customFormat="1">
      <c r="A228" s="54">
        <v>1210003</v>
      </c>
      <c r="B228" s="54" t="s">
        <v>109</v>
      </c>
      <c r="C228" s="55">
        <v>0</v>
      </c>
      <c r="D228" s="56" t="s">
        <v>330</v>
      </c>
      <c r="E228" s="54">
        <v>80</v>
      </c>
      <c r="F228" s="54" t="s">
        <v>294</v>
      </c>
      <c r="G228" s="54">
        <v>0</v>
      </c>
      <c r="H228" s="57" t="s">
        <v>308</v>
      </c>
      <c r="I228" s="57" t="str">
        <f t="shared" si="5"/>
        <v>1210001,1210002,1210003</v>
      </c>
      <c r="J228" s="57"/>
      <c r="K228" s="57"/>
      <c r="L228" s="57"/>
    </row>
    <row r="229" spans="1:12" s="54" customFormat="1">
      <c r="A229" s="54">
        <v>1210004</v>
      </c>
      <c r="B229" s="54" t="s">
        <v>224</v>
      </c>
      <c r="C229" s="55">
        <v>0</v>
      </c>
      <c r="D229" s="56" t="s">
        <v>331</v>
      </c>
      <c r="E229" s="54">
        <v>5</v>
      </c>
      <c r="F229" s="54" t="s">
        <v>292</v>
      </c>
      <c r="G229" s="54">
        <v>0</v>
      </c>
      <c r="H229" s="57" t="s">
        <v>226</v>
      </c>
      <c r="I229" s="57" t="str">
        <f t="shared" si="5"/>
        <v>1210001,1210002,1210003,1210004</v>
      </c>
      <c r="J229" s="57"/>
      <c r="K229" s="57"/>
      <c r="L229" s="57"/>
    </row>
    <row r="230" spans="1:12" s="54" customFormat="1">
      <c r="A230" s="54">
        <v>1210005</v>
      </c>
      <c r="B230" s="54" t="s">
        <v>335</v>
      </c>
      <c r="C230" s="55">
        <v>0</v>
      </c>
      <c r="D230" s="56" t="s">
        <v>330</v>
      </c>
      <c r="E230" s="54">
        <v>40</v>
      </c>
      <c r="F230" s="54" t="s">
        <v>327</v>
      </c>
      <c r="G230" s="54">
        <v>0</v>
      </c>
      <c r="H230" s="57" t="s">
        <v>309</v>
      </c>
      <c r="I230" s="57" t="str">
        <f t="shared" si="5"/>
        <v>1210001,1210002,1210003,1210004,1210005</v>
      </c>
      <c r="J230" s="57"/>
      <c r="K230" s="57"/>
      <c r="L230" s="57"/>
    </row>
    <row r="231" spans="1:12" s="54" customFormat="1">
      <c r="A231" s="54">
        <v>1210006</v>
      </c>
      <c r="B231" s="54" t="s">
        <v>110</v>
      </c>
      <c r="C231" s="55">
        <v>0</v>
      </c>
      <c r="D231" s="56" t="s">
        <v>332</v>
      </c>
      <c r="E231" s="54">
        <v>40</v>
      </c>
      <c r="F231" s="54" t="s">
        <v>327</v>
      </c>
      <c r="G231" s="54">
        <v>0</v>
      </c>
      <c r="H231" s="57" t="s">
        <v>310</v>
      </c>
      <c r="I231" s="57" t="str">
        <f t="shared" si="5"/>
        <v>1210001,1210002,1210003,1210004,1210005,1210006</v>
      </c>
      <c r="J231" s="57"/>
      <c r="K231" s="57"/>
      <c r="L231" s="57"/>
    </row>
    <row r="232" spans="1:12" s="54" customFormat="1">
      <c r="A232" s="54">
        <v>1210007</v>
      </c>
      <c r="B232" s="54" t="s">
        <v>336</v>
      </c>
      <c r="C232" s="55">
        <v>0</v>
      </c>
      <c r="D232" s="56" t="s">
        <v>329</v>
      </c>
      <c r="E232" s="54">
        <v>40</v>
      </c>
      <c r="F232" s="54" t="s">
        <v>327</v>
      </c>
      <c r="G232" s="54">
        <v>0</v>
      </c>
      <c r="H232" s="57" t="s">
        <v>311</v>
      </c>
      <c r="I232" s="57" t="str">
        <f t="shared" si="5"/>
        <v>1210001,1210002,1210003,1210004,1210005,1210006,1210007</v>
      </c>
      <c r="J232" s="57"/>
      <c r="K232" s="57"/>
      <c r="L232" s="57"/>
    </row>
    <row r="233" spans="1:12" s="54" customFormat="1">
      <c r="A233" s="54">
        <v>1210008</v>
      </c>
      <c r="B233" s="54" t="s">
        <v>119</v>
      </c>
      <c r="C233" s="55">
        <v>0</v>
      </c>
      <c r="D233" s="56" t="s">
        <v>332</v>
      </c>
      <c r="E233" s="54">
        <v>100</v>
      </c>
      <c r="F233" s="54" t="s">
        <v>327</v>
      </c>
      <c r="G233" s="54">
        <v>0</v>
      </c>
      <c r="H233" s="57" t="s">
        <v>312</v>
      </c>
      <c r="I233" s="57" t="str">
        <f t="shared" si="5"/>
        <v>1210001,1210002,1210003,1210004,1210005,1210006,1210007,1210008</v>
      </c>
      <c r="J233" s="57"/>
      <c r="K233" s="57"/>
      <c r="L233" s="57"/>
    </row>
    <row r="234" spans="1:12" s="54" customFormat="1">
      <c r="A234" s="54">
        <v>1210009</v>
      </c>
      <c r="B234" s="54" t="s">
        <v>221</v>
      </c>
      <c r="C234" s="55">
        <v>0</v>
      </c>
      <c r="D234" s="56" t="s">
        <v>330</v>
      </c>
      <c r="E234" s="54">
        <v>100</v>
      </c>
      <c r="F234" s="54" t="s">
        <v>327</v>
      </c>
      <c r="G234" s="54">
        <v>0</v>
      </c>
      <c r="H234" s="57" t="s">
        <v>313</v>
      </c>
      <c r="I234" s="57" t="str">
        <f t="shared" si="5"/>
        <v>1210001,1210002,1210003,1210004,1210005,1210006,1210007,1210008,1210009</v>
      </c>
      <c r="J234" s="57"/>
      <c r="K234" s="57"/>
      <c r="L234" s="57"/>
    </row>
    <row r="235" spans="1:12" s="54" customFormat="1">
      <c r="A235" s="54">
        <v>1210010</v>
      </c>
      <c r="B235" s="54" t="s">
        <v>112</v>
      </c>
      <c r="C235" s="55">
        <v>0</v>
      </c>
      <c r="D235" s="56" t="s">
        <v>332</v>
      </c>
      <c r="E235" s="54">
        <v>100</v>
      </c>
      <c r="F235" s="54" t="s">
        <v>327</v>
      </c>
      <c r="G235" s="54">
        <v>0</v>
      </c>
      <c r="H235" s="57" t="s">
        <v>314</v>
      </c>
      <c r="I235" s="57" t="str">
        <f t="shared" si="5"/>
        <v>1210001,1210002,1210003,1210004,1210005,1210006,1210007,1210008,1210009,1210010</v>
      </c>
      <c r="J235" s="57"/>
      <c r="K235" s="57"/>
      <c r="L235" s="57"/>
    </row>
    <row r="236" spans="1:12" s="54" customFormat="1">
      <c r="A236" s="54">
        <v>1210011</v>
      </c>
      <c r="B236" s="54" t="s">
        <v>222</v>
      </c>
      <c r="C236" s="55">
        <v>0</v>
      </c>
      <c r="D236" s="56" t="s">
        <v>332</v>
      </c>
      <c r="E236" s="54">
        <v>100</v>
      </c>
      <c r="F236" s="54" t="s">
        <v>327</v>
      </c>
      <c r="G236" s="54">
        <v>0</v>
      </c>
      <c r="H236" s="57" t="s">
        <v>315</v>
      </c>
      <c r="I236" s="57" t="str">
        <f t="shared" si="5"/>
        <v>1210001,1210002,1210003,1210004,1210005,1210006,1210007,1210008,1210009,1210010,1210011</v>
      </c>
      <c r="J236" s="57"/>
      <c r="K236" s="57"/>
      <c r="L236" s="57"/>
    </row>
    <row r="237" spans="1:12" s="54" customFormat="1">
      <c r="A237" s="54">
        <v>1210012</v>
      </c>
      <c r="B237" s="54" t="s">
        <v>121</v>
      </c>
      <c r="C237" s="55">
        <v>0</v>
      </c>
      <c r="D237" s="56" t="s">
        <v>332</v>
      </c>
      <c r="E237" s="54">
        <v>100</v>
      </c>
      <c r="F237" s="54" t="s">
        <v>327</v>
      </c>
      <c r="G237" s="54">
        <v>0</v>
      </c>
      <c r="H237" s="57" t="s">
        <v>316</v>
      </c>
      <c r="I237" s="57" t="str">
        <f t="shared" si="5"/>
        <v>1210001,1210002,1210003,1210004,1210005,1210006,1210007,1210008,1210009,1210010,1210011,1210012</v>
      </c>
      <c r="J237" s="57"/>
      <c r="K237" s="57"/>
      <c r="L237" s="57"/>
    </row>
    <row r="238" spans="1:12" s="54" customFormat="1">
      <c r="A238" s="54">
        <v>1210013</v>
      </c>
      <c r="B238" s="54" t="s">
        <v>337</v>
      </c>
      <c r="C238" s="55">
        <v>0</v>
      </c>
      <c r="D238" s="56" t="s">
        <v>332</v>
      </c>
      <c r="E238" s="54">
        <v>100</v>
      </c>
      <c r="F238" s="54" t="s">
        <v>327</v>
      </c>
      <c r="G238" s="54">
        <v>0</v>
      </c>
      <c r="H238" s="57" t="s">
        <v>317</v>
      </c>
      <c r="I238" s="57" t="str">
        <f t="shared" si="5"/>
        <v>1210001,1210002,1210003,1210004,1210005,1210006,1210007,1210008,1210009,1210010,1210011,1210012,1210013</v>
      </c>
      <c r="J238" s="57"/>
      <c r="K238" s="57"/>
      <c r="L238" s="57"/>
    </row>
    <row r="239" spans="1:12" s="54" customFormat="1">
      <c r="A239" s="54">
        <v>1210014</v>
      </c>
      <c r="B239" s="54" t="s">
        <v>338</v>
      </c>
      <c r="C239" s="55">
        <v>0</v>
      </c>
      <c r="D239" s="56" t="s">
        <v>332</v>
      </c>
      <c r="E239" s="54">
        <v>200</v>
      </c>
      <c r="F239" s="54" t="s">
        <v>327</v>
      </c>
      <c r="G239" s="54">
        <v>0</v>
      </c>
      <c r="H239" s="57" t="s">
        <v>318</v>
      </c>
      <c r="I239" s="57" t="str">
        <f t="shared" si="5"/>
        <v>1210001,1210002,1210003,1210004,1210005,1210006,1210007,1210008,1210009,1210010,1210011,1210012,1210013,1210014</v>
      </c>
      <c r="J239" s="57"/>
      <c r="K239" s="57"/>
      <c r="L239" s="57"/>
    </row>
    <row r="240" spans="1:12" s="54" customFormat="1">
      <c r="A240" s="54">
        <v>1210015</v>
      </c>
      <c r="B240" s="54" t="s">
        <v>339</v>
      </c>
      <c r="C240" s="55">
        <v>0</v>
      </c>
      <c r="D240" s="56" t="s">
        <v>332</v>
      </c>
      <c r="E240" s="54">
        <v>200</v>
      </c>
      <c r="F240" s="54" t="s">
        <v>327</v>
      </c>
      <c r="G240" s="54">
        <v>0</v>
      </c>
      <c r="H240" s="57" t="s">
        <v>319</v>
      </c>
      <c r="I240" s="57" t="str">
        <f t="shared" si="5"/>
        <v>1210001,1210002,1210003,1210004,1210005,1210006,1210007,1210008,1210009,1210010,1210011,1210012,1210013,1210014,1210015</v>
      </c>
      <c r="J240" s="57"/>
      <c r="K240" s="57"/>
      <c r="L240" s="57"/>
    </row>
    <row r="241" spans="1:12" s="54" customFormat="1">
      <c r="A241" s="54">
        <v>1210016</v>
      </c>
      <c r="B241" s="54" t="s">
        <v>340</v>
      </c>
      <c r="C241" s="55">
        <v>0</v>
      </c>
      <c r="D241" s="56" t="s">
        <v>332</v>
      </c>
      <c r="E241" s="54">
        <v>100</v>
      </c>
      <c r="F241" s="54" t="s">
        <v>327</v>
      </c>
      <c r="G241" s="54">
        <v>0</v>
      </c>
      <c r="H241" s="57" t="s">
        <v>320</v>
      </c>
      <c r="I241" s="57" t="str">
        <f t="shared" si="5"/>
        <v>1210001,1210002,1210003,1210004,1210005,1210006,1210007,1210008,1210009,1210010,1210011,1210012,1210013,1210014,1210015,1210016</v>
      </c>
      <c r="J241" s="57"/>
      <c r="K241" s="57"/>
      <c r="L241" s="57"/>
    </row>
    <row r="242" spans="1:12" s="54" customFormat="1">
      <c r="A242" s="54">
        <v>1210017</v>
      </c>
      <c r="B242" s="54" t="s">
        <v>341</v>
      </c>
      <c r="C242" s="55">
        <v>0</v>
      </c>
      <c r="D242" s="56" t="s">
        <v>332</v>
      </c>
      <c r="E242" s="54">
        <v>100</v>
      </c>
      <c r="F242" s="54" t="s">
        <v>327</v>
      </c>
      <c r="G242" s="54">
        <v>0</v>
      </c>
      <c r="H242" s="57" t="s">
        <v>321</v>
      </c>
      <c r="I242" s="57" t="str">
        <f t="shared" si="5"/>
        <v>1210001,1210002,1210003,1210004,1210005,1210006,1210007,1210008,1210009,1210010,1210011,1210012,1210013,1210014,1210015,1210016,1210017</v>
      </c>
      <c r="J242" s="57"/>
      <c r="K242" s="57"/>
      <c r="L242" s="57"/>
    </row>
    <row r="243" spans="1:12" s="54" customFormat="1">
      <c r="A243" s="54">
        <v>1210018</v>
      </c>
      <c r="B243" s="54" t="s">
        <v>342</v>
      </c>
      <c r="C243" s="55">
        <v>0</v>
      </c>
      <c r="D243" s="56" t="s">
        <v>332</v>
      </c>
      <c r="E243" s="54">
        <v>100</v>
      </c>
      <c r="F243" s="54" t="s">
        <v>327</v>
      </c>
      <c r="G243" s="54">
        <v>0</v>
      </c>
      <c r="H243" s="57" t="s">
        <v>322</v>
      </c>
      <c r="I243" s="57" t="str">
        <f t="shared" si="5"/>
        <v>1210001,1210002,1210003,1210004,1210005,1210006,1210007,1210008,1210009,1210010,1210011,1210012,1210013,1210014,1210015,1210016,1210017,1210018</v>
      </c>
      <c r="J243" s="57"/>
      <c r="K243" s="57"/>
      <c r="L243" s="57"/>
    </row>
    <row r="244" spans="1:12" s="54" customFormat="1">
      <c r="A244" s="54">
        <v>1210019</v>
      </c>
      <c r="B244" s="54" t="s">
        <v>343</v>
      </c>
      <c r="C244" s="55">
        <v>0</v>
      </c>
      <c r="D244" s="56" t="s">
        <v>332</v>
      </c>
      <c r="E244" s="54">
        <v>100</v>
      </c>
      <c r="F244" s="54" t="s">
        <v>327</v>
      </c>
      <c r="G244" s="54">
        <v>0</v>
      </c>
      <c r="H244" s="57" t="s">
        <v>323</v>
      </c>
      <c r="I244" s="57" t="str">
        <f t="shared" si="5"/>
        <v>1210001,1210002,1210003,1210004,1210005,1210006,1210007,1210008,1210009,1210010,1210011,1210012,1210013,1210014,1210015,1210016,1210017,1210018,1210019</v>
      </c>
      <c r="J244" s="57"/>
      <c r="K244" s="57"/>
      <c r="L244" s="57"/>
    </row>
    <row r="245" spans="1:12" s="54" customFormat="1">
      <c r="A245" s="54">
        <v>1210020</v>
      </c>
      <c r="B245" s="54" t="s">
        <v>344</v>
      </c>
      <c r="C245" s="55" t="s">
        <v>346</v>
      </c>
      <c r="D245" s="56" t="s">
        <v>333</v>
      </c>
      <c r="E245" s="54">
        <v>100</v>
      </c>
      <c r="F245" s="54" t="s">
        <v>327</v>
      </c>
      <c r="G245" s="54">
        <v>0</v>
      </c>
      <c r="H245" s="57" t="s">
        <v>324</v>
      </c>
      <c r="I245" s="57" t="str">
        <f t="shared" si="5"/>
        <v>1210001,1210002,1210003,1210004,1210005,1210006,1210007,1210008,1210009,1210010,1210011,1210012,1210013,1210014,1210015,1210016,1210017,1210018,1210019,1210020</v>
      </c>
      <c r="J245" s="57"/>
      <c r="K245" s="57"/>
      <c r="L245" s="57"/>
    </row>
    <row r="246" spans="1:12" s="54" customFormat="1">
      <c r="A246" s="54">
        <v>1210021</v>
      </c>
      <c r="B246" s="54" t="s">
        <v>345</v>
      </c>
      <c r="C246" s="55" t="s">
        <v>347</v>
      </c>
      <c r="D246" s="56" t="s">
        <v>140</v>
      </c>
      <c r="E246" s="54">
        <v>20</v>
      </c>
      <c r="F246" s="54" t="s">
        <v>327</v>
      </c>
      <c r="G246" s="54">
        <v>0</v>
      </c>
      <c r="H246" s="57" t="s">
        <v>325</v>
      </c>
      <c r="I246" s="57" t="str">
        <f t="shared" si="5"/>
        <v>1210001,1210002,1210003,1210004,1210005,1210006,1210007,1210008,1210009,1210010,1210011,1210012,1210013,1210014,1210015,1210016,1210017,1210018,1210019,1210020,1210021</v>
      </c>
      <c r="J246" s="57"/>
      <c r="K246" s="57"/>
      <c r="L246" s="57"/>
    </row>
    <row r="247" spans="1:12" s="54" customFormat="1">
      <c r="A247" s="54">
        <v>1210022</v>
      </c>
      <c r="B247" s="54" t="s">
        <v>345</v>
      </c>
      <c r="C247" s="55" t="s">
        <v>348</v>
      </c>
      <c r="D247" s="56" t="s">
        <v>141</v>
      </c>
      <c r="E247" s="54">
        <v>10</v>
      </c>
      <c r="F247" s="54" t="s">
        <v>327</v>
      </c>
      <c r="G247" s="54">
        <v>0</v>
      </c>
      <c r="H247" s="57" t="s">
        <v>326</v>
      </c>
      <c r="I247" s="57" t="str">
        <f t="shared" si="5"/>
        <v>1210001,1210002,1210003,1210004,1210005,1210006,1210007,1210008,1210009,1210010,1210011,1210012,1210013,1210014,1210015,1210016,1210017,1210018,1210019,1210020,1210021,1210022</v>
      </c>
      <c r="J247" s="57"/>
      <c r="K247" s="57"/>
      <c r="L247" s="57"/>
    </row>
    <row r="248" spans="1:12" s="50" customFormat="1">
      <c r="A248" s="50">
        <v>1210101</v>
      </c>
      <c r="B248" s="50" t="s">
        <v>220</v>
      </c>
      <c r="C248" s="48">
        <v>0</v>
      </c>
      <c r="D248" s="52" t="s">
        <v>351</v>
      </c>
      <c r="E248" s="50">
        <v>120</v>
      </c>
      <c r="F248" s="50" t="s">
        <v>290</v>
      </c>
      <c r="G248" s="50">
        <v>0</v>
      </c>
      <c r="H248" s="53" t="s">
        <v>306</v>
      </c>
      <c r="I248" s="53">
        <f t="shared" ref="I248:I269" si="6">IFERROR(IF(A248-A247&lt;&gt;1,A248,$I247&amp;","&amp;A248),A248)</f>
        <v>1210101</v>
      </c>
      <c r="J248" s="53"/>
      <c r="K248" s="53"/>
      <c r="L248" s="53"/>
    </row>
    <row r="249" spans="1:12" s="50" customFormat="1">
      <c r="A249" s="50">
        <v>1210102</v>
      </c>
      <c r="B249" s="50" t="s">
        <v>334</v>
      </c>
      <c r="C249" s="48">
        <v>0</v>
      </c>
      <c r="D249" s="52" t="s">
        <v>352</v>
      </c>
      <c r="E249" s="50">
        <v>240</v>
      </c>
      <c r="F249" s="50" t="s">
        <v>288</v>
      </c>
      <c r="G249" s="50">
        <v>0</v>
      </c>
      <c r="H249" s="53" t="s">
        <v>307</v>
      </c>
      <c r="I249" s="53" t="str">
        <f t="shared" si="6"/>
        <v>1210101,1210102</v>
      </c>
      <c r="J249" s="53"/>
      <c r="K249" s="53"/>
      <c r="L249" s="53"/>
    </row>
    <row r="250" spans="1:12" s="50" customFormat="1">
      <c r="A250" s="50">
        <v>1210103</v>
      </c>
      <c r="B250" s="50" t="s">
        <v>109</v>
      </c>
      <c r="C250" s="48">
        <v>0</v>
      </c>
      <c r="D250" s="52" t="s">
        <v>353</v>
      </c>
      <c r="E250" s="50">
        <v>80</v>
      </c>
      <c r="F250" s="50" t="s">
        <v>294</v>
      </c>
      <c r="G250" s="50">
        <v>0</v>
      </c>
      <c r="H250" s="53" t="s">
        <v>308</v>
      </c>
      <c r="I250" s="53" t="str">
        <f t="shared" si="6"/>
        <v>1210101,1210102,1210103</v>
      </c>
      <c r="J250" s="53"/>
      <c r="K250" s="53"/>
      <c r="L250" s="53"/>
    </row>
    <row r="251" spans="1:12" s="50" customFormat="1">
      <c r="A251" s="50">
        <v>1210104</v>
      </c>
      <c r="B251" s="50" t="s">
        <v>224</v>
      </c>
      <c r="C251" s="48">
        <v>0</v>
      </c>
      <c r="D251" s="52" t="s">
        <v>354</v>
      </c>
      <c r="E251" s="50">
        <v>5</v>
      </c>
      <c r="F251" s="50" t="s">
        <v>292</v>
      </c>
      <c r="G251" s="50">
        <v>0</v>
      </c>
      <c r="H251" s="53" t="s">
        <v>226</v>
      </c>
      <c r="I251" s="53" t="str">
        <f t="shared" si="6"/>
        <v>1210101,1210102,1210103,1210104</v>
      </c>
      <c r="J251" s="53"/>
      <c r="K251" s="53"/>
      <c r="L251" s="53"/>
    </row>
    <row r="252" spans="1:12" s="50" customFormat="1">
      <c r="A252" s="50">
        <v>1210105</v>
      </c>
      <c r="B252" s="50" t="s">
        <v>335</v>
      </c>
      <c r="C252" s="48">
        <v>0</v>
      </c>
      <c r="D252" s="52" t="s">
        <v>353</v>
      </c>
      <c r="E252" s="50">
        <v>40</v>
      </c>
      <c r="F252" s="50" t="s">
        <v>327</v>
      </c>
      <c r="G252" s="50">
        <v>0</v>
      </c>
      <c r="H252" s="53" t="s">
        <v>309</v>
      </c>
      <c r="I252" s="53" t="str">
        <f t="shared" si="6"/>
        <v>1210101,1210102,1210103,1210104,1210105</v>
      </c>
      <c r="J252" s="53"/>
      <c r="K252" s="53"/>
      <c r="L252" s="53"/>
    </row>
    <row r="253" spans="1:12" s="50" customFormat="1">
      <c r="A253" s="50">
        <v>1210106</v>
      </c>
      <c r="B253" s="50" t="s">
        <v>110</v>
      </c>
      <c r="C253" s="48">
        <v>0</v>
      </c>
      <c r="D253" s="52" t="s">
        <v>355</v>
      </c>
      <c r="E253" s="50">
        <v>40</v>
      </c>
      <c r="F253" s="50" t="s">
        <v>327</v>
      </c>
      <c r="G253" s="50">
        <v>0</v>
      </c>
      <c r="H253" s="53" t="s">
        <v>310</v>
      </c>
      <c r="I253" s="53" t="str">
        <f t="shared" si="6"/>
        <v>1210101,1210102,1210103,1210104,1210105,1210106</v>
      </c>
      <c r="J253" s="53"/>
      <c r="K253" s="53"/>
      <c r="L253" s="53"/>
    </row>
    <row r="254" spans="1:12" s="50" customFormat="1">
      <c r="A254" s="50">
        <v>1210107</v>
      </c>
      <c r="B254" s="50" t="s">
        <v>336</v>
      </c>
      <c r="C254" s="48">
        <v>0</v>
      </c>
      <c r="D254" s="52" t="s">
        <v>352</v>
      </c>
      <c r="E254" s="50">
        <v>40</v>
      </c>
      <c r="F254" s="50" t="s">
        <v>327</v>
      </c>
      <c r="G254" s="50">
        <v>0</v>
      </c>
      <c r="H254" s="53" t="s">
        <v>311</v>
      </c>
      <c r="I254" s="53" t="str">
        <f t="shared" si="6"/>
        <v>1210101,1210102,1210103,1210104,1210105,1210106,1210107</v>
      </c>
      <c r="J254" s="53"/>
      <c r="K254" s="53"/>
      <c r="L254" s="53"/>
    </row>
    <row r="255" spans="1:12" s="50" customFormat="1">
      <c r="A255" s="50">
        <v>1210108</v>
      </c>
      <c r="B255" s="50" t="s">
        <v>119</v>
      </c>
      <c r="C255" s="48">
        <v>0</v>
      </c>
      <c r="D255" s="52" t="s">
        <v>355</v>
      </c>
      <c r="E255" s="50">
        <v>100</v>
      </c>
      <c r="F255" s="50" t="s">
        <v>327</v>
      </c>
      <c r="G255" s="50">
        <v>0</v>
      </c>
      <c r="H255" s="53" t="s">
        <v>312</v>
      </c>
      <c r="I255" s="53" t="str">
        <f t="shared" si="6"/>
        <v>1210101,1210102,1210103,1210104,1210105,1210106,1210107,1210108</v>
      </c>
      <c r="J255" s="53"/>
      <c r="K255" s="53"/>
      <c r="L255" s="53"/>
    </row>
    <row r="256" spans="1:12" s="50" customFormat="1">
      <c r="A256" s="50">
        <v>1210109</v>
      </c>
      <c r="B256" s="50" t="s">
        <v>221</v>
      </c>
      <c r="C256" s="48">
        <v>0</v>
      </c>
      <c r="D256" s="52" t="s">
        <v>353</v>
      </c>
      <c r="E256" s="50">
        <v>100</v>
      </c>
      <c r="F256" s="50" t="s">
        <v>327</v>
      </c>
      <c r="G256" s="50">
        <v>0</v>
      </c>
      <c r="H256" s="53" t="s">
        <v>313</v>
      </c>
      <c r="I256" s="53" t="str">
        <f t="shared" si="6"/>
        <v>1210101,1210102,1210103,1210104,1210105,1210106,1210107,1210108,1210109</v>
      </c>
      <c r="J256" s="53"/>
      <c r="K256" s="53"/>
      <c r="L256" s="53"/>
    </row>
    <row r="257" spans="1:12" s="50" customFormat="1">
      <c r="A257" s="50">
        <v>1210110</v>
      </c>
      <c r="B257" s="50" t="s">
        <v>112</v>
      </c>
      <c r="C257" s="48">
        <v>0</v>
      </c>
      <c r="D257" s="52" t="s">
        <v>355</v>
      </c>
      <c r="E257" s="50">
        <v>100</v>
      </c>
      <c r="F257" s="50" t="s">
        <v>327</v>
      </c>
      <c r="G257" s="50">
        <v>0</v>
      </c>
      <c r="H257" s="53" t="s">
        <v>314</v>
      </c>
      <c r="I257" s="53" t="str">
        <f t="shared" si="6"/>
        <v>1210101,1210102,1210103,1210104,1210105,1210106,1210107,1210108,1210109,1210110</v>
      </c>
      <c r="J257" s="53"/>
      <c r="K257" s="53"/>
      <c r="L257" s="53"/>
    </row>
    <row r="258" spans="1:12" s="50" customFormat="1">
      <c r="A258" s="50">
        <v>1210111</v>
      </c>
      <c r="B258" s="50" t="s">
        <v>222</v>
      </c>
      <c r="C258" s="48">
        <v>0</v>
      </c>
      <c r="D258" s="52" t="s">
        <v>355</v>
      </c>
      <c r="E258" s="50">
        <v>100</v>
      </c>
      <c r="F258" s="50" t="s">
        <v>327</v>
      </c>
      <c r="G258" s="50">
        <v>0</v>
      </c>
      <c r="H258" s="53" t="s">
        <v>315</v>
      </c>
      <c r="I258" s="53" t="str">
        <f t="shared" si="6"/>
        <v>1210101,1210102,1210103,1210104,1210105,1210106,1210107,1210108,1210109,1210110,1210111</v>
      </c>
      <c r="J258" s="53"/>
      <c r="K258" s="53"/>
      <c r="L258" s="53"/>
    </row>
    <row r="259" spans="1:12" s="50" customFormat="1">
      <c r="A259" s="50">
        <v>1210112</v>
      </c>
      <c r="B259" s="50" t="s">
        <v>121</v>
      </c>
      <c r="C259" s="48">
        <v>0</v>
      </c>
      <c r="D259" s="52" t="s">
        <v>355</v>
      </c>
      <c r="E259" s="50">
        <v>100</v>
      </c>
      <c r="F259" s="50" t="s">
        <v>327</v>
      </c>
      <c r="G259" s="50">
        <v>0</v>
      </c>
      <c r="H259" s="53" t="s">
        <v>316</v>
      </c>
      <c r="I259" s="53" t="str">
        <f t="shared" si="6"/>
        <v>1210101,1210102,1210103,1210104,1210105,1210106,1210107,1210108,1210109,1210110,1210111,1210112</v>
      </c>
      <c r="J259" s="53"/>
      <c r="K259" s="53"/>
      <c r="L259" s="53"/>
    </row>
    <row r="260" spans="1:12" s="50" customFormat="1">
      <c r="A260" s="50">
        <v>1210113</v>
      </c>
      <c r="B260" s="50" t="s">
        <v>337</v>
      </c>
      <c r="C260" s="48">
        <v>0</v>
      </c>
      <c r="D260" s="52" t="s">
        <v>355</v>
      </c>
      <c r="E260" s="50">
        <v>100</v>
      </c>
      <c r="F260" s="50" t="s">
        <v>327</v>
      </c>
      <c r="G260" s="50">
        <v>0</v>
      </c>
      <c r="H260" s="53" t="s">
        <v>317</v>
      </c>
      <c r="I260" s="53" t="str">
        <f t="shared" si="6"/>
        <v>1210101,1210102,1210103,1210104,1210105,1210106,1210107,1210108,1210109,1210110,1210111,1210112,1210113</v>
      </c>
      <c r="J260" s="53"/>
      <c r="K260" s="53"/>
      <c r="L260" s="53"/>
    </row>
    <row r="261" spans="1:12" s="50" customFormat="1">
      <c r="A261" s="50">
        <v>1210114</v>
      </c>
      <c r="B261" s="50" t="s">
        <v>338</v>
      </c>
      <c r="C261" s="48">
        <v>0</v>
      </c>
      <c r="D261" s="52" t="s">
        <v>355</v>
      </c>
      <c r="E261" s="50">
        <v>200</v>
      </c>
      <c r="F261" s="50" t="s">
        <v>327</v>
      </c>
      <c r="G261" s="50">
        <v>0</v>
      </c>
      <c r="H261" s="53" t="s">
        <v>318</v>
      </c>
      <c r="I261" s="53" t="str">
        <f t="shared" si="6"/>
        <v>1210101,1210102,1210103,1210104,1210105,1210106,1210107,1210108,1210109,1210110,1210111,1210112,1210113,1210114</v>
      </c>
      <c r="J261" s="53"/>
      <c r="K261" s="53"/>
      <c r="L261" s="53"/>
    </row>
    <row r="262" spans="1:12" s="50" customFormat="1">
      <c r="A262" s="50">
        <v>1210115</v>
      </c>
      <c r="B262" s="50" t="s">
        <v>339</v>
      </c>
      <c r="C262" s="48">
        <v>0</v>
      </c>
      <c r="D262" s="52" t="s">
        <v>355</v>
      </c>
      <c r="E262" s="50">
        <v>200</v>
      </c>
      <c r="F262" s="50" t="s">
        <v>327</v>
      </c>
      <c r="G262" s="50">
        <v>0</v>
      </c>
      <c r="H262" s="53" t="s">
        <v>319</v>
      </c>
      <c r="I262" s="53" t="str">
        <f t="shared" si="6"/>
        <v>1210101,1210102,1210103,1210104,1210105,1210106,1210107,1210108,1210109,1210110,1210111,1210112,1210113,1210114,1210115</v>
      </c>
      <c r="J262" s="53"/>
      <c r="K262" s="53"/>
      <c r="L262" s="53"/>
    </row>
    <row r="263" spans="1:12" s="50" customFormat="1">
      <c r="A263" s="50">
        <v>1210116</v>
      </c>
      <c r="B263" s="50" t="s">
        <v>340</v>
      </c>
      <c r="C263" s="48">
        <v>0</v>
      </c>
      <c r="D263" s="52" t="s">
        <v>355</v>
      </c>
      <c r="E263" s="50">
        <v>100</v>
      </c>
      <c r="F263" s="50" t="s">
        <v>327</v>
      </c>
      <c r="G263" s="50">
        <v>0</v>
      </c>
      <c r="H263" s="53" t="s">
        <v>320</v>
      </c>
      <c r="I263" s="53" t="str">
        <f t="shared" si="6"/>
        <v>1210101,1210102,1210103,1210104,1210105,1210106,1210107,1210108,1210109,1210110,1210111,1210112,1210113,1210114,1210115,1210116</v>
      </c>
      <c r="J263" s="53"/>
      <c r="K263" s="53"/>
      <c r="L263" s="53"/>
    </row>
    <row r="264" spans="1:12" s="50" customFormat="1">
      <c r="A264" s="50">
        <v>1210117</v>
      </c>
      <c r="B264" s="50" t="s">
        <v>341</v>
      </c>
      <c r="C264" s="48">
        <v>0</v>
      </c>
      <c r="D264" s="52" t="s">
        <v>355</v>
      </c>
      <c r="E264" s="50">
        <v>100</v>
      </c>
      <c r="F264" s="50" t="s">
        <v>327</v>
      </c>
      <c r="G264" s="50">
        <v>0</v>
      </c>
      <c r="H264" s="53" t="s">
        <v>321</v>
      </c>
      <c r="I264" s="53" t="str">
        <f t="shared" si="6"/>
        <v>1210101,1210102,1210103,1210104,1210105,1210106,1210107,1210108,1210109,1210110,1210111,1210112,1210113,1210114,1210115,1210116,1210117</v>
      </c>
      <c r="J264" s="53"/>
      <c r="K264" s="53"/>
      <c r="L264" s="53"/>
    </row>
    <row r="265" spans="1:12" s="50" customFormat="1">
      <c r="A265" s="50">
        <v>1210118</v>
      </c>
      <c r="B265" s="50" t="s">
        <v>342</v>
      </c>
      <c r="C265" s="48">
        <v>0</v>
      </c>
      <c r="D265" s="52" t="s">
        <v>355</v>
      </c>
      <c r="E265" s="50">
        <v>100</v>
      </c>
      <c r="F265" s="50" t="s">
        <v>327</v>
      </c>
      <c r="G265" s="50">
        <v>0</v>
      </c>
      <c r="H265" s="53" t="s">
        <v>322</v>
      </c>
      <c r="I265" s="53" t="str">
        <f t="shared" si="6"/>
        <v>1210101,1210102,1210103,1210104,1210105,1210106,1210107,1210108,1210109,1210110,1210111,1210112,1210113,1210114,1210115,1210116,1210117,1210118</v>
      </c>
      <c r="J265" s="53"/>
      <c r="K265" s="53"/>
      <c r="L265" s="53"/>
    </row>
    <row r="266" spans="1:12" s="50" customFormat="1">
      <c r="A266" s="50">
        <v>1210119</v>
      </c>
      <c r="B266" s="50" t="s">
        <v>343</v>
      </c>
      <c r="C266" s="48">
        <v>0</v>
      </c>
      <c r="D266" s="52" t="s">
        <v>355</v>
      </c>
      <c r="E266" s="50">
        <v>100</v>
      </c>
      <c r="F266" s="50" t="s">
        <v>327</v>
      </c>
      <c r="G266" s="50">
        <v>0</v>
      </c>
      <c r="H266" s="53" t="s">
        <v>323</v>
      </c>
      <c r="I266" s="53" t="str">
        <f t="shared" si="6"/>
        <v>1210101,1210102,1210103,1210104,1210105,1210106,1210107,1210108,1210109,1210110,1210111,1210112,1210113,1210114,1210115,1210116,1210117,1210118,1210119</v>
      </c>
      <c r="J266" s="53"/>
      <c r="K266" s="53"/>
      <c r="L266" s="53"/>
    </row>
    <row r="267" spans="1:12" s="50" customFormat="1">
      <c r="A267" s="50">
        <v>1210120</v>
      </c>
      <c r="B267" s="50" t="s">
        <v>349</v>
      </c>
      <c r="C267" s="48" t="s">
        <v>357</v>
      </c>
      <c r="D267" s="52" t="s">
        <v>356</v>
      </c>
      <c r="E267" s="50">
        <v>100</v>
      </c>
      <c r="F267" s="50" t="s">
        <v>327</v>
      </c>
      <c r="G267" s="50">
        <v>0</v>
      </c>
      <c r="H267" s="53" t="s">
        <v>360</v>
      </c>
      <c r="I267" s="53" t="str">
        <f t="shared" si="6"/>
        <v>1210101,1210102,1210103,1210104,1210105,1210106,1210107,1210108,1210109,1210110,1210111,1210112,1210113,1210114,1210115,1210116,1210117,1210118,1210119,1210120</v>
      </c>
      <c r="J267" s="53"/>
      <c r="K267" s="53"/>
      <c r="L267" s="53"/>
    </row>
    <row r="268" spans="1:12" s="50" customFormat="1">
      <c r="A268" s="50">
        <v>1210121</v>
      </c>
      <c r="B268" s="50" t="s">
        <v>350</v>
      </c>
      <c r="C268" s="48" t="s">
        <v>358</v>
      </c>
      <c r="D268" s="52" t="s">
        <v>140</v>
      </c>
      <c r="E268" s="50">
        <v>20</v>
      </c>
      <c r="F268" s="50" t="s">
        <v>327</v>
      </c>
      <c r="G268" s="50">
        <v>0</v>
      </c>
      <c r="H268" s="53" t="s">
        <v>361</v>
      </c>
      <c r="I268" s="53" t="str">
        <f t="shared" si="6"/>
        <v>1210101,1210102,1210103,1210104,1210105,1210106,1210107,1210108,1210109,1210110,1210111,1210112,1210113,1210114,1210115,1210116,1210117,1210118,1210119,1210120,1210121</v>
      </c>
      <c r="J268" s="53"/>
      <c r="K268" s="53"/>
      <c r="L268" s="53"/>
    </row>
    <row r="269" spans="1:12" s="50" customFormat="1">
      <c r="A269" s="50">
        <v>1210122</v>
      </c>
      <c r="B269" s="50" t="s">
        <v>350</v>
      </c>
      <c r="C269" s="48" t="s">
        <v>359</v>
      </c>
      <c r="D269" s="52" t="s">
        <v>141</v>
      </c>
      <c r="E269" s="50">
        <v>10</v>
      </c>
      <c r="F269" s="50" t="s">
        <v>327</v>
      </c>
      <c r="G269" s="50">
        <v>0</v>
      </c>
      <c r="H269" s="53" t="s">
        <v>362</v>
      </c>
      <c r="I269" s="53" t="str">
        <f t="shared" si="6"/>
        <v>1210101,1210102,1210103,1210104,1210105,1210106,1210107,1210108,1210109,1210110,1210111,1210112,1210113,1210114,1210115,1210116,1210117,1210118,1210119,1210120,1210121,1210122</v>
      </c>
      <c r="J269" s="53"/>
      <c r="K269" s="53"/>
      <c r="L269" s="53"/>
    </row>
    <row r="270" spans="1:12" s="62" customFormat="1">
      <c r="A270" s="62">
        <v>1210201</v>
      </c>
      <c r="B270" s="62" t="s">
        <v>220</v>
      </c>
      <c r="C270" s="63">
        <v>0</v>
      </c>
      <c r="D270" s="64" t="s">
        <v>368</v>
      </c>
      <c r="E270" s="62">
        <v>30</v>
      </c>
      <c r="F270" s="62" t="s">
        <v>290</v>
      </c>
      <c r="G270" s="62">
        <v>0</v>
      </c>
      <c r="H270" s="65" t="s">
        <v>364</v>
      </c>
      <c r="I270" s="65">
        <f t="shared" ref="I270:I306" si="7">IFERROR(IF(A270-A269&lt;&gt;1,A270,$I269&amp;","&amp;A270),A270)</f>
        <v>1210201</v>
      </c>
      <c r="J270" s="65"/>
      <c r="K270" s="65"/>
      <c r="L270" s="65"/>
    </row>
    <row r="271" spans="1:12" s="62" customFormat="1">
      <c r="A271" s="62">
        <v>1210202</v>
      </c>
      <c r="B271" s="62" t="s">
        <v>334</v>
      </c>
      <c r="C271" s="63">
        <v>0</v>
      </c>
      <c r="D271" s="64" t="s">
        <v>368</v>
      </c>
      <c r="E271" s="62">
        <v>10</v>
      </c>
      <c r="F271" s="62" t="s">
        <v>288</v>
      </c>
      <c r="G271" s="62">
        <v>0</v>
      </c>
      <c r="H271" s="65" t="s">
        <v>365</v>
      </c>
      <c r="I271" s="65" t="str">
        <f t="shared" si="7"/>
        <v>1210201,1210202</v>
      </c>
      <c r="J271" s="65"/>
      <c r="K271" s="65"/>
      <c r="L271" s="65"/>
    </row>
    <row r="272" spans="1:12" s="62" customFormat="1">
      <c r="A272" s="62">
        <v>1210203</v>
      </c>
      <c r="B272" s="62" t="s">
        <v>109</v>
      </c>
      <c r="C272" s="63">
        <v>0</v>
      </c>
      <c r="D272" s="64" t="s">
        <v>369</v>
      </c>
      <c r="E272" s="62">
        <v>10</v>
      </c>
      <c r="F272" s="62" t="s">
        <v>294</v>
      </c>
      <c r="G272" s="62">
        <v>0</v>
      </c>
      <c r="H272" s="65" t="s">
        <v>366</v>
      </c>
      <c r="I272" s="65" t="str">
        <f t="shared" si="7"/>
        <v>1210201,1210202,1210203</v>
      </c>
      <c r="J272" s="65"/>
      <c r="K272" s="65"/>
      <c r="L272" s="65"/>
    </row>
    <row r="273" spans="1:12" s="62" customFormat="1">
      <c r="A273" s="62">
        <v>1210204</v>
      </c>
      <c r="B273" s="62" t="s">
        <v>224</v>
      </c>
      <c r="C273" s="63">
        <v>0</v>
      </c>
      <c r="D273" s="64" t="s">
        <v>370</v>
      </c>
      <c r="E273" s="62">
        <v>2</v>
      </c>
      <c r="F273" s="62" t="s">
        <v>292</v>
      </c>
      <c r="G273" s="62">
        <v>0</v>
      </c>
      <c r="H273" s="65" t="s">
        <v>367</v>
      </c>
      <c r="I273" s="65" t="str">
        <f t="shared" si="7"/>
        <v>1210201,1210202,1210203,1210204</v>
      </c>
      <c r="J273" s="65"/>
      <c r="K273" s="65"/>
      <c r="L273" s="65"/>
    </row>
    <row r="274" spans="1:12" s="62" customFormat="1">
      <c r="A274" s="62">
        <v>1210205</v>
      </c>
      <c r="B274" s="62" t="s">
        <v>220</v>
      </c>
      <c r="C274" s="63">
        <v>0</v>
      </c>
      <c r="D274" s="64" t="s">
        <v>371</v>
      </c>
      <c r="E274" s="62">
        <v>30</v>
      </c>
      <c r="F274" s="62" t="s">
        <v>290</v>
      </c>
      <c r="G274" s="62">
        <v>0</v>
      </c>
      <c r="H274" s="65" t="s">
        <v>364</v>
      </c>
      <c r="I274" s="65" t="str">
        <f t="shared" si="7"/>
        <v>1210201,1210202,1210203,1210204,1210205</v>
      </c>
      <c r="J274" s="65"/>
      <c r="K274" s="65"/>
      <c r="L274" s="65"/>
    </row>
    <row r="275" spans="1:12" s="62" customFormat="1">
      <c r="A275" s="62">
        <v>1210206</v>
      </c>
      <c r="B275" s="62" t="s">
        <v>334</v>
      </c>
      <c r="C275" s="63">
        <v>0</v>
      </c>
      <c r="D275" s="64" t="s">
        <v>371</v>
      </c>
      <c r="E275" s="62">
        <v>10</v>
      </c>
      <c r="F275" s="62" t="s">
        <v>288</v>
      </c>
      <c r="G275" s="62">
        <v>0</v>
      </c>
      <c r="H275" s="65" t="s">
        <v>365</v>
      </c>
      <c r="I275" s="65" t="str">
        <f t="shared" si="7"/>
        <v>1210201,1210202,1210203,1210204,1210205,1210206</v>
      </c>
      <c r="J275" s="65"/>
      <c r="K275" s="65"/>
      <c r="L275" s="65"/>
    </row>
    <row r="276" spans="1:12" s="62" customFormat="1">
      <c r="A276" s="62">
        <v>1210207</v>
      </c>
      <c r="B276" s="62" t="s">
        <v>109</v>
      </c>
      <c r="C276" s="63">
        <v>0</v>
      </c>
      <c r="D276" s="64" t="s">
        <v>372</v>
      </c>
      <c r="E276" s="62">
        <v>10</v>
      </c>
      <c r="F276" s="62" t="s">
        <v>294</v>
      </c>
      <c r="G276" s="62">
        <v>0</v>
      </c>
      <c r="H276" s="65" t="s">
        <v>366</v>
      </c>
      <c r="I276" s="65" t="str">
        <f t="shared" si="7"/>
        <v>1210201,1210202,1210203,1210204,1210205,1210206,1210207</v>
      </c>
      <c r="J276" s="65"/>
      <c r="K276" s="65"/>
      <c r="L276" s="65"/>
    </row>
    <row r="277" spans="1:12" s="62" customFormat="1">
      <c r="A277" s="62">
        <v>1210208</v>
      </c>
      <c r="B277" s="62" t="s">
        <v>224</v>
      </c>
      <c r="C277" s="63">
        <v>0</v>
      </c>
      <c r="D277" s="64" t="s">
        <v>373</v>
      </c>
      <c r="E277" s="62">
        <v>2</v>
      </c>
      <c r="F277" s="62" t="s">
        <v>292</v>
      </c>
      <c r="G277" s="62">
        <v>0</v>
      </c>
      <c r="H277" s="65" t="s">
        <v>367</v>
      </c>
      <c r="I277" s="65" t="str">
        <f t="shared" si="7"/>
        <v>1210201,1210202,1210203,1210204,1210205,1210206,1210207,1210208</v>
      </c>
      <c r="J277" s="65"/>
      <c r="K277" s="65"/>
      <c r="L277" s="65"/>
    </row>
    <row r="278" spans="1:12" s="62" customFormat="1">
      <c r="A278" s="62">
        <v>1210209</v>
      </c>
      <c r="B278" s="62" t="s">
        <v>220</v>
      </c>
      <c r="C278" s="63">
        <v>0</v>
      </c>
      <c r="D278" s="64" t="s">
        <v>374</v>
      </c>
      <c r="E278" s="62">
        <v>30</v>
      </c>
      <c r="F278" s="62" t="s">
        <v>290</v>
      </c>
      <c r="G278" s="62">
        <v>0</v>
      </c>
      <c r="H278" s="65" t="s">
        <v>364</v>
      </c>
      <c r="I278" s="65" t="str">
        <f t="shared" si="7"/>
        <v>1210201,1210202,1210203,1210204,1210205,1210206,1210207,1210208,1210209</v>
      </c>
      <c r="J278" s="65"/>
      <c r="K278" s="65"/>
      <c r="L278" s="65"/>
    </row>
    <row r="279" spans="1:12" s="62" customFormat="1">
      <c r="A279" s="62">
        <v>1210210</v>
      </c>
      <c r="B279" s="62" t="s">
        <v>334</v>
      </c>
      <c r="C279" s="63">
        <v>0</v>
      </c>
      <c r="D279" s="64" t="s">
        <v>374</v>
      </c>
      <c r="E279" s="62">
        <v>10</v>
      </c>
      <c r="F279" s="62" t="s">
        <v>288</v>
      </c>
      <c r="G279" s="62">
        <v>0</v>
      </c>
      <c r="H279" s="65" t="s">
        <v>365</v>
      </c>
      <c r="I279" s="65" t="str">
        <f t="shared" si="7"/>
        <v>1210201,1210202,1210203,1210204,1210205,1210206,1210207,1210208,1210209,1210210</v>
      </c>
      <c r="J279" s="65"/>
      <c r="K279" s="65"/>
      <c r="L279" s="65"/>
    </row>
    <row r="280" spans="1:12" s="62" customFormat="1">
      <c r="A280" s="62">
        <v>1210211</v>
      </c>
      <c r="B280" s="62" t="s">
        <v>109</v>
      </c>
      <c r="C280" s="63">
        <v>0</v>
      </c>
      <c r="D280" s="64" t="s">
        <v>375</v>
      </c>
      <c r="E280" s="62">
        <v>10</v>
      </c>
      <c r="F280" s="62" t="s">
        <v>294</v>
      </c>
      <c r="G280" s="62">
        <v>0</v>
      </c>
      <c r="H280" s="65" t="s">
        <v>366</v>
      </c>
      <c r="I280" s="65" t="str">
        <f t="shared" si="7"/>
        <v>1210201,1210202,1210203,1210204,1210205,1210206,1210207,1210208,1210209,1210210,1210211</v>
      </c>
      <c r="J280" s="65"/>
      <c r="K280" s="65"/>
      <c r="L280" s="65"/>
    </row>
    <row r="281" spans="1:12" s="62" customFormat="1">
      <c r="A281" s="62">
        <v>1210212</v>
      </c>
      <c r="B281" s="62" t="s">
        <v>224</v>
      </c>
      <c r="C281" s="63">
        <v>0</v>
      </c>
      <c r="D281" s="64" t="s">
        <v>376</v>
      </c>
      <c r="E281" s="62">
        <v>2</v>
      </c>
      <c r="F281" s="62" t="s">
        <v>292</v>
      </c>
      <c r="G281" s="62">
        <v>0</v>
      </c>
      <c r="H281" s="65" t="s">
        <v>367</v>
      </c>
      <c r="I281" s="65" t="str">
        <f t="shared" si="7"/>
        <v>1210201,1210202,1210203,1210204,1210205,1210206,1210207,1210208,1210209,1210210,1210211,1210212</v>
      </c>
      <c r="J281" s="65"/>
      <c r="K281" s="65"/>
      <c r="L281" s="65"/>
    </row>
    <row r="282" spans="1:12" s="62" customFormat="1">
      <c r="A282" s="62">
        <v>1210213</v>
      </c>
      <c r="B282" s="62" t="s">
        <v>350</v>
      </c>
      <c r="C282" s="63">
        <v>0</v>
      </c>
      <c r="D282" s="64" t="s">
        <v>377</v>
      </c>
      <c r="E282" s="62">
        <v>300</v>
      </c>
      <c r="F282" s="62" t="s">
        <v>363</v>
      </c>
      <c r="G282" s="62">
        <v>0</v>
      </c>
      <c r="H282" s="65" t="s">
        <v>351</v>
      </c>
      <c r="I282" s="65" t="str">
        <f t="shared" si="7"/>
        <v>1210201,1210202,1210203,1210204,1210205,1210206,1210207,1210208,1210209,1210210,1210211,1210212,1210213</v>
      </c>
      <c r="J282" s="65"/>
      <c r="K282" s="65"/>
      <c r="L282" s="65"/>
    </row>
    <row r="283" spans="1:12" s="62" customFormat="1">
      <c r="A283" s="62">
        <v>1210214</v>
      </c>
      <c r="B283" s="62" t="s">
        <v>350</v>
      </c>
      <c r="C283" s="63">
        <v>0</v>
      </c>
      <c r="D283" s="64" t="s">
        <v>378</v>
      </c>
      <c r="E283" s="62">
        <v>300</v>
      </c>
      <c r="F283" s="62" t="s">
        <v>105</v>
      </c>
      <c r="G283" s="62">
        <v>0</v>
      </c>
      <c r="H283" s="65" t="s">
        <v>351</v>
      </c>
      <c r="I283" s="65" t="str">
        <f t="shared" si="7"/>
        <v>1210201,1210202,1210203,1210204,1210205,1210206,1210207,1210208,1210209,1210210,1210211,1210212,1210213,1210214</v>
      </c>
      <c r="J283" s="65"/>
      <c r="K283" s="65"/>
      <c r="L283" s="65"/>
    </row>
    <row r="284" spans="1:12" s="62" customFormat="1">
      <c r="A284" s="62">
        <v>1210215</v>
      </c>
      <c r="B284" s="62" t="s">
        <v>350</v>
      </c>
      <c r="C284" s="63">
        <v>0</v>
      </c>
      <c r="D284" s="64" t="s">
        <v>379</v>
      </c>
      <c r="E284" s="62">
        <v>300</v>
      </c>
      <c r="F284" s="62" t="s">
        <v>105</v>
      </c>
      <c r="G284" s="62">
        <v>0</v>
      </c>
      <c r="H284" s="65" t="s">
        <v>351</v>
      </c>
      <c r="I284" s="65" t="str">
        <f t="shared" si="7"/>
        <v>1210201,1210202,1210203,1210204,1210205,1210206,1210207,1210208,1210209,1210210,1210211,1210212,1210213,1210214,1210215</v>
      </c>
      <c r="J284" s="65"/>
      <c r="K284" s="65"/>
      <c r="L284" s="65"/>
    </row>
    <row r="285" spans="1:12" s="50" customFormat="1">
      <c r="A285" s="50">
        <v>1210301</v>
      </c>
      <c r="B285" s="50" t="s">
        <v>220</v>
      </c>
      <c r="C285" s="48">
        <v>0</v>
      </c>
      <c r="D285" s="52" t="s">
        <v>382</v>
      </c>
      <c r="E285" s="50">
        <v>120</v>
      </c>
      <c r="F285" s="50" t="s">
        <v>290</v>
      </c>
      <c r="G285" s="50">
        <v>0</v>
      </c>
      <c r="H285" s="53" t="s">
        <v>306</v>
      </c>
      <c r="I285" s="53">
        <f t="shared" si="7"/>
        <v>1210301</v>
      </c>
      <c r="J285" s="53"/>
      <c r="K285" s="53"/>
      <c r="L285" s="53"/>
    </row>
    <row r="286" spans="1:12" s="50" customFormat="1">
      <c r="A286" s="50">
        <v>1210302</v>
      </c>
      <c r="B286" s="50" t="s">
        <v>334</v>
      </c>
      <c r="C286" s="48">
        <v>0</v>
      </c>
      <c r="D286" s="52" t="s">
        <v>384</v>
      </c>
      <c r="E286" s="50">
        <v>240</v>
      </c>
      <c r="F286" s="50" t="s">
        <v>288</v>
      </c>
      <c r="G286" s="50">
        <v>0</v>
      </c>
      <c r="H286" s="53" t="s">
        <v>307</v>
      </c>
      <c r="I286" s="53" t="str">
        <f t="shared" si="7"/>
        <v>1210301,1210302</v>
      </c>
      <c r="J286" s="53"/>
      <c r="K286" s="53"/>
      <c r="L286" s="53"/>
    </row>
    <row r="287" spans="1:12" s="50" customFormat="1">
      <c r="A287" s="50">
        <v>1210303</v>
      </c>
      <c r="B287" s="50" t="s">
        <v>109</v>
      </c>
      <c r="C287" s="48">
        <v>0</v>
      </c>
      <c r="D287" s="52" t="s">
        <v>385</v>
      </c>
      <c r="E287" s="50">
        <v>80</v>
      </c>
      <c r="F287" s="50" t="s">
        <v>294</v>
      </c>
      <c r="G287" s="50">
        <v>0</v>
      </c>
      <c r="H287" s="53" t="s">
        <v>308</v>
      </c>
      <c r="I287" s="53" t="str">
        <f t="shared" si="7"/>
        <v>1210301,1210302,1210303</v>
      </c>
      <c r="J287" s="53"/>
      <c r="K287" s="53"/>
      <c r="L287" s="53"/>
    </row>
    <row r="288" spans="1:12" s="50" customFormat="1">
      <c r="A288" s="50">
        <v>1210304</v>
      </c>
      <c r="B288" s="50" t="s">
        <v>224</v>
      </c>
      <c r="C288" s="48">
        <v>0</v>
      </c>
      <c r="D288" s="52" t="s">
        <v>386</v>
      </c>
      <c r="E288" s="50">
        <v>5</v>
      </c>
      <c r="F288" s="50" t="s">
        <v>292</v>
      </c>
      <c r="G288" s="50">
        <v>0</v>
      </c>
      <c r="H288" s="53" t="s">
        <v>226</v>
      </c>
      <c r="I288" s="53" t="str">
        <f t="shared" si="7"/>
        <v>1210301,1210302,1210303,1210304</v>
      </c>
      <c r="J288" s="53"/>
      <c r="K288" s="53"/>
      <c r="L288" s="53"/>
    </row>
    <row r="289" spans="1:12" s="50" customFormat="1">
      <c r="A289" s="50">
        <v>1210305</v>
      </c>
      <c r="B289" s="50" t="s">
        <v>335</v>
      </c>
      <c r="C289" s="48">
        <v>0</v>
      </c>
      <c r="D289" s="52" t="s">
        <v>385</v>
      </c>
      <c r="E289" s="50">
        <v>40</v>
      </c>
      <c r="F289" s="50" t="s">
        <v>327</v>
      </c>
      <c r="G289" s="50">
        <v>0</v>
      </c>
      <c r="H289" s="53" t="s">
        <v>309</v>
      </c>
      <c r="I289" s="53" t="str">
        <f t="shared" si="7"/>
        <v>1210301,1210302,1210303,1210304,1210305</v>
      </c>
      <c r="J289" s="53"/>
      <c r="K289" s="53"/>
      <c r="L289" s="53"/>
    </row>
    <row r="290" spans="1:12" s="50" customFormat="1">
      <c r="A290" s="50">
        <v>1210306</v>
      </c>
      <c r="B290" s="50" t="s">
        <v>110</v>
      </c>
      <c r="C290" s="48">
        <v>0</v>
      </c>
      <c r="D290" s="52" t="s">
        <v>387</v>
      </c>
      <c r="E290" s="50">
        <v>40</v>
      </c>
      <c r="F290" s="50" t="s">
        <v>327</v>
      </c>
      <c r="G290" s="50">
        <v>0</v>
      </c>
      <c r="H290" s="53" t="s">
        <v>310</v>
      </c>
      <c r="I290" s="53" t="str">
        <f t="shared" si="7"/>
        <v>1210301,1210302,1210303,1210304,1210305,1210306</v>
      </c>
      <c r="J290" s="53"/>
      <c r="K290" s="53"/>
      <c r="L290" s="53"/>
    </row>
    <row r="291" spans="1:12" s="50" customFormat="1">
      <c r="A291" s="50">
        <v>1210307</v>
      </c>
      <c r="B291" s="50" t="s">
        <v>336</v>
      </c>
      <c r="C291" s="48">
        <v>0</v>
      </c>
      <c r="D291" s="52" t="s">
        <v>384</v>
      </c>
      <c r="E291" s="50">
        <v>40</v>
      </c>
      <c r="F291" s="50" t="s">
        <v>327</v>
      </c>
      <c r="G291" s="50">
        <v>0</v>
      </c>
      <c r="H291" s="53" t="s">
        <v>311</v>
      </c>
      <c r="I291" s="53" t="str">
        <f t="shared" si="7"/>
        <v>1210301,1210302,1210303,1210304,1210305,1210306,1210307</v>
      </c>
      <c r="J291" s="53"/>
      <c r="K291" s="53"/>
      <c r="L291" s="53"/>
    </row>
    <row r="292" spans="1:12" s="50" customFormat="1">
      <c r="A292" s="50">
        <v>1210308</v>
      </c>
      <c r="B292" s="50" t="s">
        <v>119</v>
      </c>
      <c r="C292" s="48">
        <v>0</v>
      </c>
      <c r="D292" s="52" t="s">
        <v>387</v>
      </c>
      <c r="E292" s="50">
        <v>100</v>
      </c>
      <c r="F292" s="50" t="s">
        <v>327</v>
      </c>
      <c r="G292" s="50">
        <v>0</v>
      </c>
      <c r="H292" s="53" t="s">
        <v>312</v>
      </c>
      <c r="I292" s="53" t="str">
        <f t="shared" si="7"/>
        <v>1210301,1210302,1210303,1210304,1210305,1210306,1210307,1210308</v>
      </c>
      <c r="J292" s="53"/>
      <c r="K292" s="53"/>
      <c r="L292" s="53"/>
    </row>
    <row r="293" spans="1:12" s="50" customFormat="1">
      <c r="A293" s="50">
        <v>1210309</v>
      </c>
      <c r="B293" s="50" t="s">
        <v>221</v>
      </c>
      <c r="C293" s="48">
        <v>0</v>
      </c>
      <c r="D293" s="52" t="s">
        <v>385</v>
      </c>
      <c r="E293" s="50">
        <v>100</v>
      </c>
      <c r="F293" s="50" t="s">
        <v>327</v>
      </c>
      <c r="G293" s="50">
        <v>0</v>
      </c>
      <c r="H293" s="53" t="s">
        <v>313</v>
      </c>
      <c r="I293" s="53" t="str">
        <f t="shared" si="7"/>
        <v>1210301,1210302,1210303,1210304,1210305,1210306,1210307,1210308,1210309</v>
      </c>
      <c r="J293" s="53"/>
      <c r="K293" s="53"/>
      <c r="L293" s="53"/>
    </row>
    <row r="294" spans="1:12" s="50" customFormat="1">
      <c r="A294" s="50">
        <v>1210310</v>
      </c>
      <c r="B294" s="50" t="s">
        <v>112</v>
      </c>
      <c r="C294" s="48">
        <v>0</v>
      </c>
      <c r="D294" s="52" t="s">
        <v>387</v>
      </c>
      <c r="E294" s="50">
        <v>100</v>
      </c>
      <c r="F294" s="50" t="s">
        <v>327</v>
      </c>
      <c r="G294" s="50">
        <v>0</v>
      </c>
      <c r="H294" s="53" t="s">
        <v>314</v>
      </c>
      <c r="I294" s="53" t="str">
        <f t="shared" si="7"/>
        <v>1210301,1210302,1210303,1210304,1210305,1210306,1210307,1210308,1210309,1210310</v>
      </c>
      <c r="J294" s="53"/>
      <c r="K294" s="53"/>
      <c r="L294" s="53"/>
    </row>
    <row r="295" spans="1:12" s="50" customFormat="1">
      <c r="A295" s="50">
        <v>1210311</v>
      </c>
      <c r="B295" s="50" t="s">
        <v>222</v>
      </c>
      <c r="C295" s="48">
        <v>0</v>
      </c>
      <c r="D295" s="52" t="s">
        <v>387</v>
      </c>
      <c r="E295" s="50">
        <v>100</v>
      </c>
      <c r="F295" s="50" t="s">
        <v>327</v>
      </c>
      <c r="G295" s="50">
        <v>0</v>
      </c>
      <c r="H295" s="53" t="s">
        <v>315</v>
      </c>
      <c r="I295" s="53" t="str">
        <f t="shared" si="7"/>
        <v>1210301,1210302,1210303,1210304,1210305,1210306,1210307,1210308,1210309,1210310,1210311</v>
      </c>
      <c r="J295" s="53"/>
      <c r="K295" s="53"/>
      <c r="L295" s="53"/>
    </row>
    <row r="296" spans="1:12" s="50" customFormat="1">
      <c r="A296" s="50">
        <v>1210312</v>
      </c>
      <c r="B296" s="50" t="s">
        <v>121</v>
      </c>
      <c r="C296" s="48">
        <v>0</v>
      </c>
      <c r="D296" s="52" t="s">
        <v>387</v>
      </c>
      <c r="E296" s="50">
        <v>100</v>
      </c>
      <c r="F296" s="50" t="s">
        <v>327</v>
      </c>
      <c r="G296" s="50">
        <v>0</v>
      </c>
      <c r="H296" s="53" t="s">
        <v>316</v>
      </c>
      <c r="I296" s="53" t="str">
        <f t="shared" si="7"/>
        <v>1210301,1210302,1210303,1210304,1210305,1210306,1210307,1210308,1210309,1210310,1210311,1210312</v>
      </c>
      <c r="J296" s="53"/>
      <c r="K296" s="53"/>
      <c r="L296" s="53"/>
    </row>
    <row r="297" spans="1:12" s="50" customFormat="1">
      <c r="A297" s="50">
        <v>1210313</v>
      </c>
      <c r="B297" s="50" t="s">
        <v>337</v>
      </c>
      <c r="C297" s="48">
        <v>0</v>
      </c>
      <c r="D297" s="52" t="s">
        <v>387</v>
      </c>
      <c r="E297" s="50">
        <v>100</v>
      </c>
      <c r="F297" s="50" t="s">
        <v>327</v>
      </c>
      <c r="G297" s="50">
        <v>0</v>
      </c>
      <c r="H297" s="53" t="s">
        <v>317</v>
      </c>
      <c r="I297" s="53" t="str">
        <f t="shared" si="7"/>
        <v>1210301,1210302,1210303,1210304,1210305,1210306,1210307,1210308,1210309,1210310,1210311,1210312,1210313</v>
      </c>
      <c r="J297" s="53"/>
      <c r="K297" s="53"/>
      <c r="L297" s="53"/>
    </row>
    <row r="298" spans="1:12" s="50" customFormat="1">
      <c r="A298" s="50">
        <v>1210314</v>
      </c>
      <c r="B298" s="50" t="s">
        <v>338</v>
      </c>
      <c r="C298" s="48">
        <v>0</v>
      </c>
      <c r="D298" s="52" t="s">
        <v>387</v>
      </c>
      <c r="E298" s="50">
        <v>200</v>
      </c>
      <c r="F298" s="50" t="s">
        <v>327</v>
      </c>
      <c r="G298" s="50">
        <v>0</v>
      </c>
      <c r="H298" s="53" t="s">
        <v>318</v>
      </c>
      <c r="I298" s="53" t="str">
        <f t="shared" si="7"/>
        <v>1210301,1210302,1210303,1210304,1210305,1210306,1210307,1210308,1210309,1210310,1210311,1210312,1210313,1210314</v>
      </c>
      <c r="J298" s="53"/>
      <c r="K298" s="53"/>
      <c r="L298" s="53"/>
    </row>
    <row r="299" spans="1:12" s="50" customFormat="1">
      <c r="A299" s="50">
        <v>1210315</v>
      </c>
      <c r="B299" s="50" t="s">
        <v>339</v>
      </c>
      <c r="C299" s="48">
        <v>0</v>
      </c>
      <c r="D299" s="52" t="s">
        <v>387</v>
      </c>
      <c r="E299" s="50">
        <v>200</v>
      </c>
      <c r="F299" s="50" t="s">
        <v>327</v>
      </c>
      <c r="G299" s="50">
        <v>0</v>
      </c>
      <c r="H299" s="53" t="s">
        <v>319</v>
      </c>
      <c r="I299" s="53" t="str">
        <f t="shared" si="7"/>
        <v>1210301,1210302,1210303,1210304,1210305,1210306,1210307,1210308,1210309,1210310,1210311,1210312,1210313,1210314,1210315</v>
      </c>
      <c r="J299" s="53"/>
      <c r="K299" s="53"/>
      <c r="L299" s="53"/>
    </row>
    <row r="300" spans="1:12" s="50" customFormat="1">
      <c r="A300" s="50">
        <v>1210316</v>
      </c>
      <c r="B300" s="50" t="s">
        <v>340</v>
      </c>
      <c r="C300" s="48">
        <v>0</v>
      </c>
      <c r="D300" s="52" t="s">
        <v>387</v>
      </c>
      <c r="E300" s="50">
        <v>100</v>
      </c>
      <c r="F300" s="50" t="s">
        <v>327</v>
      </c>
      <c r="G300" s="50">
        <v>0</v>
      </c>
      <c r="H300" s="53" t="s">
        <v>320</v>
      </c>
      <c r="I300" s="53" t="str">
        <f t="shared" si="7"/>
        <v>1210301,1210302,1210303,1210304,1210305,1210306,1210307,1210308,1210309,1210310,1210311,1210312,1210313,1210314,1210315,1210316</v>
      </c>
      <c r="J300" s="53"/>
      <c r="K300" s="53"/>
      <c r="L300" s="53"/>
    </row>
    <row r="301" spans="1:12" s="50" customFormat="1">
      <c r="A301" s="50">
        <v>1210317</v>
      </c>
      <c r="B301" s="50" t="s">
        <v>341</v>
      </c>
      <c r="C301" s="48">
        <v>0</v>
      </c>
      <c r="D301" s="52" t="s">
        <v>387</v>
      </c>
      <c r="E301" s="50">
        <v>100</v>
      </c>
      <c r="F301" s="50" t="s">
        <v>327</v>
      </c>
      <c r="G301" s="50">
        <v>0</v>
      </c>
      <c r="H301" s="53" t="s">
        <v>321</v>
      </c>
      <c r="I301" s="53" t="str">
        <f t="shared" si="7"/>
        <v>1210301,1210302,1210303,1210304,1210305,1210306,1210307,1210308,1210309,1210310,1210311,1210312,1210313,1210314,1210315,1210316,1210317</v>
      </c>
      <c r="J301" s="53"/>
      <c r="K301" s="53"/>
      <c r="L301" s="53"/>
    </row>
    <row r="302" spans="1:12" s="50" customFormat="1">
      <c r="A302" s="50">
        <v>1210318</v>
      </c>
      <c r="B302" s="50" t="s">
        <v>342</v>
      </c>
      <c r="C302" s="48">
        <v>0</v>
      </c>
      <c r="D302" s="52" t="s">
        <v>387</v>
      </c>
      <c r="E302" s="50">
        <v>100</v>
      </c>
      <c r="F302" s="50" t="s">
        <v>327</v>
      </c>
      <c r="G302" s="50">
        <v>0</v>
      </c>
      <c r="H302" s="53" t="s">
        <v>322</v>
      </c>
      <c r="I302" s="53" t="str">
        <f t="shared" si="7"/>
        <v>1210301,1210302,1210303,1210304,1210305,1210306,1210307,1210308,1210309,1210310,1210311,1210312,1210313,1210314,1210315,1210316,1210317,1210318</v>
      </c>
      <c r="J302" s="53"/>
      <c r="K302" s="53"/>
      <c r="L302" s="53"/>
    </row>
    <row r="303" spans="1:12" s="50" customFormat="1">
      <c r="A303" s="50">
        <v>1210319</v>
      </c>
      <c r="B303" s="50" t="s">
        <v>343</v>
      </c>
      <c r="C303" s="48">
        <v>0</v>
      </c>
      <c r="D303" s="52" t="s">
        <v>387</v>
      </c>
      <c r="E303" s="50">
        <v>100</v>
      </c>
      <c r="F303" s="50" t="s">
        <v>327</v>
      </c>
      <c r="G303" s="50">
        <v>0</v>
      </c>
      <c r="H303" s="53" t="s">
        <v>323</v>
      </c>
      <c r="I303" s="53" t="str">
        <f t="shared" si="7"/>
        <v>1210301,1210302,1210303,1210304,1210305,1210306,1210307,1210308,1210309,1210310,1210311,1210312,1210313,1210314,1210315,1210316,1210317,1210318,1210319</v>
      </c>
      <c r="J303" s="53"/>
      <c r="K303" s="53"/>
      <c r="L303" s="53"/>
    </row>
    <row r="304" spans="1:12" s="50" customFormat="1">
      <c r="A304" s="50">
        <v>1210320</v>
      </c>
      <c r="B304" s="50" t="s">
        <v>383</v>
      </c>
      <c r="C304" s="48" t="s">
        <v>357</v>
      </c>
      <c r="D304" s="52" t="s">
        <v>356</v>
      </c>
      <c r="E304" s="50">
        <v>100</v>
      </c>
      <c r="F304" s="50" t="s">
        <v>327</v>
      </c>
      <c r="G304" s="50">
        <v>0</v>
      </c>
      <c r="H304" s="53" t="s">
        <v>390</v>
      </c>
      <c r="I304" s="53" t="str">
        <f t="shared" si="7"/>
        <v>1210301,1210302,1210303,1210304,1210305,1210306,1210307,1210308,1210309,1210310,1210311,1210312,1210313,1210314,1210315,1210316,1210317,1210318,1210319,1210320</v>
      </c>
      <c r="J304" s="53"/>
      <c r="K304" s="53"/>
      <c r="L304" s="53"/>
    </row>
    <row r="305" spans="1:12" s="50" customFormat="1">
      <c r="A305" s="50">
        <v>1210321</v>
      </c>
      <c r="B305" s="50" t="s">
        <v>380</v>
      </c>
      <c r="C305" s="48" t="s">
        <v>358</v>
      </c>
      <c r="D305" s="52" t="s">
        <v>140</v>
      </c>
      <c r="E305" s="50">
        <v>20</v>
      </c>
      <c r="F305" s="50" t="s">
        <v>327</v>
      </c>
      <c r="G305" s="50">
        <v>0</v>
      </c>
      <c r="H305" s="53" t="s">
        <v>388</v>
      </c>
      <c r="I305" s="53" t="str">
        <f t="shared" si="7"/>
        <v>1210301,1210302,1210303,1210304,1210305,1210306,1210307,1210308,1210309,1210310,1210311,1210312,1210313,1210314,1210315,1210316,1210317,1210318,1210319,1210320,1210321</v>
      </c>
      <c r="J305" s="53"/>
      <c r="K305" s="53"/>
      <c r="L305" s="53"/>
    </row>
    <row r="306" spans="1:12" s="50" customFormat="1">
      <c r="A306" s="50">
        <v>1210322</v>
      </c>
      <c r="B306" s="50" t="s">
        <v>380</v>
      </c>
      <c r="C306" s="48" t="s">
        <v>359</v>
      </c>
      <c r="D306" s="52" t="s">
        <v>141</v>
      </c>
      <c r="E306" s="50">
        <v>10</v>
      </c>
      <c r="F306" s="50" t="s">
        <v>327</v>
      </c>
      <c r="G306" s="50">
        <v>0</v>
      </c>
      <c r="H306" s="53" t="s">
        <v>389</v>
      </c>
      <c r="I306" s="53" t="str">
        <f t="shared" si="7"/>
        <v>1210301,1210302,1210303,1210304,1210305,1210306,1210307,1210308,1210309,1210310,1210311,1210312,1210313,1210314,1210315,1210316,1210317,1210318,1210319,1210320,1210321,1210322</v>
      </c>
      <c r="J306" s="53"/>
      <c r="K306" s="53"/>
      <c r="L306" s="53"/>
    </row>
    <row r="307" spans="1:12" s="62" customFormat="1">
      <c r="A307" s="62">
        <v>1210401</v>
      </c>
      <c r="B307" s="62" t="s">
        <v>220</v>
      </c>
      <c r="C307" s="63">
        <v>0</v>
      </c>
      <c r="D307" s="64" t="s">
        <v>371</v>
      </c>
      <c r="E307" s="62">
        <v>30</v>
      </c>
      <c r="F307" s="62" t="s">
        <v>290</v>
      </c>
      <c r="G307" s="62">
        <v>0</v>
      </c>
      <c r="H307" s="65" t="s">
        <v>364</v>
      </c>
      <c r="I307" s="65">
        <f t="shared" ref="I307:I326" si="8">IFERROR(IF(A307-A306&lt;&gt;1,A307,$I306&amp;","&amp;A307),A307)</f>
        <v>1210401</v>
      </c>
      <c r="J307" s="65"/>
      <c r="K307" s="65"/>
      <c r="L307" s="65"/>
    </row>
    <row r="308" spans="1:12" s="62" customFormat="1">
      <c r="A308" s="62">
        <v>1210402</v>
      </c>
      <c r="B308" s="62" t="s">
        <v>334</v>
      </c>
      <c r="C308" s="63">
        <v>0</v>
      </c>
      <c r="D308" s="64" t="s">
        <v>371</v>
      </c>
      <c r="E308" s="62">
        <v>10</v>
      </c>
      <c r="F308" s="62" t="s">
        <v>288</v>
      </c>
      <c r="G308" s="62">
        <v>0</v>
      </c>
      <c r="H308" s="65" t="s">
        <v>365</v>
      </c>
      <c r="I308" s="65" t="str">
        <f t="shared" si="8"/>
        <v>1210401,1210402</v>
      </c>
      <c r="J308" s="65"/>
      <c r="K308" s="65"/>
      <c r="L308" s="65"/>
    </row>
    <row r="309" spans="1:12" s="62" customFormat="1">
      <c r="A309" s="62">
        <v>1210403</v>
      </c>
      <c r="B309" s="62" t="s">
        <v>109</v>
      </c>
      <c r="C309" s="63">
        <v>0</v>
      </c>
      <c r="D309" s="64" t="s">
        <v>372</v>
      </c>
      <c r="E309" s="62">
        <v>10</v>
      </c>
      <c r="F309" s="62" t="s">
        <v>294</v>
      </c>
      <c r="G309" s="62">
        <v>0</v>
      </c>
      <c r="H309" s="65" t="s">
        <v>366</v>
      </c>
      <c r="I309" s="65" t="str">
        <f t="shared" si="8"/>
        <v>1210401,1210402,1210403</v>
      </c>
      <c r="J309" s="65"/>
      <c r="K309" s="65"/>
      <c r="L309" s="65"/>
    </row>
    <row r="310" spans="1:12" s="62" customFormat="1">
      <c r="A310" s="62">
        <v>1210404</v>
      </c>
      <c r="B310" s="62" t="s">
        <v>224</v>
      </c>
      <c r="C310" s="63">
        <v>0</v>
      </c>
      <c r="D310" s="64" t="s">
        <v>373</v>
      </c>
      <c r="E310" s="62">
        <v>2</v>
      </c>
      <c r="F310" s="62" t="s">
        <v>292</v>
      </c>
      <c r="G310" s="62">
        <v>0</v>
      </c>
      <c r="H310" s="65" t="s">
        <v>367</v>
      </c>
      <c r="I310" s="65" t="str">
        <f t="shared" si="8"/>
        <v>1210401,1210402,1210403,1210404</v>
      </c>
      <c r="J310" s="65"/>
      <c r="K310" s="65"/>
      <c r="L310" s="65"/>
    </row>
    <row r="311" spans="1:12" s="62" customFormat="1">
      <c r="A311" s="62">
        <v>1210405</v>
      </c>
      <c r="B311" s="62" t="s">
        <v>381</v>
      </c>
      <c r="C311" s="63">
        <v>0</v>
      </c>
      <c r="D311" s="64" t="s">
        <v>378</v>
      </c>
      <c r="E311" s="62">
        <v>300</v>
      </c>
      <c r="F311" s="62" t="s">
        <v>105</v>
      </c>
      <c r="G311" s="62">
        <v>0</v>
      </c>
      <c r="H311" s="65" t="s">
        <v>382</v>
      </c>
      <c r="I311" s="65" t="str">
        <f t="shared" si="8"/>
        <v>1210401,1210402,1210403,1210404,1210405</v>
      </c>
      <c r="J311" s="65"/>
      <c r="K311" s="65"/>
      <c r="L311" s="65"/>
    </row>
    <row r="312" spans="1:12">
      <c r="A312" s="62">
        <v>1210407</v>
      </c>
      <c r="B312" s="14" t="s">
        <v>391</v>
      </c>
      <c r="C312" s="15" t="s">
        <v>435</v>
      </c>
      <c r="D312" s="52" t="s">
        <v>436</v>
      </c>
      <c r="E312" s="14">
        <v>999</v>
      </c>
      <c r="F312" s="14" t="s">
        <v>408</v>
      </c>
      <c r="G312" s="62">
        <v>0</v>
      </c>
      <c r="H312" s="22" t="s">
        <v>406</v>
      </c>
      <c r="I312" s="65">
        <f>IFERROR(IF(A312-A311&lt;&gt;1,A312,$I311&amp;","&amp;A312),A312)</f>
        <v>1210407</v>
      </c>
    </row>
    <row r="313" spans="1:12">
      <c r="A313" s="62">
        <v>1210408</v>
      </c>
      <c r="B313" s="14" t="s">
        <v>392</v>
      </c>
      <c r="C313" s="15" t="s">
        <v>435</v>
      </c>
      <c r="D313" s="52" t="s">
        <v>356</v>
      </c>
      <c r="E313" s="14">
        <v>999</v>
      </c>
      <c r="F313" s="14" t="s">
        <v>409</v>
      </c>
      <c r="G313" s="62">
        <v>0</v>
      </c>
      <c r="H313" s="22" t="s">
        <v>407</v>
      </c>
      <c r="I313" s="65" t="str">
        <f t="shared" si="8"/>
        <v>1210407,1210408</v>
      </c>
    </row>
    <row r="314" spans="1:12">
      <c r="A314" s="62">
        <v>1210409</v>
      </c>
      <c r="B314" s="14" t="s">
        <v>393</v>
      </c>
      <c r="C314" s="15" t="s">
        <v>435</v>
      </c>
      <c r="D314" s="52" t="s">
        <v>356</v>
      </c>
      <c r="E314" s="14">
        <v>999</v>
      </c>
      <c r="F314" s="14" t="s">
        <v>410</v>
      </c>
      <c r="G314" s="62">
        <v>0</v>
      </c>
      <c r="H314" s="22" t="s">
        <v>422</v>
      </c>
      <c r="I314" s="65" t="str">
        <f t="shared" si="8"/>
        <v>1210407,1210408,1210409</v>
      </c>
    </row>
    <row r="315" spans="1:12">
      <c r="A315" s="62">
        <v>1210410</v>
      </c>
      <c r="B315" s="14" t="s">
        <v>394</v>
      </c>
      <c r="C315" s="15" t="s">
        <v>435</v>
      </c>
      <c r="D315" s="52" t="s">
        <v>356</v>
      </c>
      <c r="E315" s="14">
        <v>999</v>
      </c>
      <c r="F315" s="14" t="s">
        <v>411</v>
      </c>
      <c r="G315" s="62">
        <v>0</v>
      </c>
      <c r="H315" s="22" t="s">
        <v>423</v>
      </c>
      <c r="I315" s="65" t="str">
        <f t="shared" si="8"/>
        <v>1210407,1210408,1210409,1210410</v>
      </c>
    </row>
    <row r="316" spans="1:12">
      <c r="A316" s="62">
        <v>1210411</v>
      </c>
      <c r="B316" s="14" t="s">
        <v>395</v>
      </c>
      <c r="C316" s="15" t="s">
        <v>435</v>
      </c>
      <c r="D316" s="52" t="s">
        <v>356</v>
      </c>
      <c r="E316" s="14">
        <v>999</v>
      </c>
      <c r="F316" s="14" t="s">
        <v>412</v>
      </c>
      <c r="G316" s="62">
        <v>0</v>
      </c>
      <c r="H316" s="22" t="s">
        <v>424</v>
      </c>
      <c r="I316" s="65" t="str">
        <f t="shared" si="8"/>
        <v>1210407,1210408,1210409,1210410,1210411</v>
      </c>
    </row>
    <row r="317" spans="1:12">
      <c r="A317" s="62">
        <v>1210412</v>
      </c>
      <c r="B317" s="14" t="s">
        <v>396</v>
      </c>
      <c r="C317" s="15" t="s">
        <v>435</v>
      </c>
      <c r="D317" s="52" t="s">
        <v>356</v>
      </c>
      <c r="E317" s="14">
        <v>999</v>
      </c>
      <c r="F317" s="14" t="s">
        <v>413</v>
      </c>
      <c r="G317" s="62">
        <v>0</v>
      </c>
      <c r="H317" s="22" t="s">
        <v>425</v>
      </c>
      <c r="I317" s="65" t="str">
        <f t="shared" si="8"/>
        <v>1210407,1210408,1210409,1210410,1210411,1210412</v>
      </c>
    </row>
    <row r="318" spans="1:12">
      <c r="A318" s="62">
        <v>1210413</v>
      </c>
      <c r="B318" s="14" t="s">
        <v>397</v>
      </c>
      <c r="C318" s="15" t="s">
        <v>435</v>
      </c>
      <c r="D318" s="52" t="s">
        <v>356</v>
      </c>
      <c r="E318" s="14">
        <v>999</v>
      </c>
      <c r="F318" s="14" t="s">
        <v>414</v>
      </c>
      <c r="G318" s="62">
        <v>0</v>
      </c>
      <c r="H318" s="22" t="s">
        <v>426</v>
      </c>
      <c r="I318" s="65" t="str">
        <f t="shared" si="8"/>
        <v>1210407,1210408,1210409,1210410,1210411,1210412,1210413</v>
      </c>
    </row>
    <row r="319" spans="1:12">
      <c r="A319" s="62">
        <v>1210414</v>
      </c>
      <c r="B319" s="14" t="s">
        <v>398</v>
      </c>
      <c r="C319" s="15" t="s">
        <v>435</v>
      </c>
      <c r="D319" s="52" t="s">
        <v>356</v>
      </c>
      <c r="E319" s="14">
        <v>999</v>
      </c>
      <c r="F319" s="14" t="s">
        <v>415</v>
      </c>
      <c r="G319" s="62">
        <v>0</v>
      </c>
      <c r="H319" s="22" t="s">
        <v>427</v>
      </c>
      <c r="I319" s="65" t="str">
        <f t="shared" si="8"/>
        <v>1210407,1210408,1210409,1210410,1210411,1210412,1210413,1210414</v>
      </c>
    </row>
    <row r="320" spans="1:12">
      <c r="A320" s="62">
        <v>1210415</v>
      </c>
      <c r="B320" s="14" t="s">
        <v>399</v>
      </c>
      <c r="C320" s="15" t="s">
        <v>435</v>
      </c>
      <c r="D320" s="52" t="s">
        <v>356</v>
      </c>
      <c r="E320" s="14">
        <v>999</v>
      </c>
      <c r="F320" s="14" t="s">
        <v>416</v>
      </c>
      <c r="G320" s="62">
        <v>0</v>
      </c>
      <c r="H320" s="22" t="s">
        <v>428</v>
      </c>
      <c r="I320" s="65" t="str">
        <f t="shared" si="8"/>
        <v>1210407,1210408,1210409,1210410,1210411,1210412,1210413,1210414,1210415</v>
      </c>
    </row>
    <row r="321" spans="1:9">
      <c r="A321" s="62">
        <v>1210416</v>
      </c>
      <c r="B321" s="14" t="s">
        <v>400</v>
      </c>
      <c r="C321" s="15" t="s">
        <v>435</v>
      </c>
      <c r="D321" s="52" t="s">
        <v>356</v>
      </c>
      <c r="E321" s="14">
        <v>999</v>
      </c>
      <c r="F321" s="14" t="s">
        <v>417</v>
      </c>
      <c r="G321" s="62">
        <v>0</v>
      </c>
      <c r="H321" s="22" t="s">
        <v>429</v>
      </c>
      <c r="I321" s="65" t="str">
        <f t="shared" si="8"/>
        <v>1210407,1210408,1210409,1210410,1210411,1210412,1210413,1210414,1210415,1210416</v>
      </c>
    </row>
    <row r="322" spans="1:9">
      <c r="A322" s="62">
        <v>1210417</v>
      </c>
      <c r="B322" s="14" t="s">
        <v>401</v>
      </c>
      <c r="C322" s="15" t="s">
        <v>435</v>
      </c>
      <c r="D322" s="52" t="s">
        <v>356</v>
      </c>
      <c r="E322" s="14">
        <v>999</v>
      </c>
      <c r="F322" s="14" t="s">
        <v>418</v>
      </c>
      <c r="G322" s="62">
        <v>0</v>
      </c>
      <c r="H322" s="22" t="s">
        <v>430</v>
      </c>
      <c r="I322" s="65" t="str">
        <f t="shared" si="8"/>
        <v>1210407,1210408,1210409,1210410,1210411,1210412,1210413,1210414,1210415,1210416,1210417</v>
      </c>
    </row>
    <row r="323" spans="1:9">
      <c r="A323" s="62">
        <v>1210418</v>
      </c>
      <c r="B323" s="14" t="s">
        <v>402</v>
      </c>
      <c r="C323" s="15" t="s">
        <v>435</v>
      </c>
      <c r="D323" s="52" t="s">
        <v>356</v>
      </c>
      <c r="E323" s="14">
        <v>999</v>
      </c>
      <c r="F323" s="14" t="s">
        <v>419</v>
      </c>
      <c r="G323" s="62">
        <v>0</v>
      </c>
      <c r="H323" s="22" t="s">
        <v>434</v>
      </c>
      <c r="I323" s="65" t="str">
        <f t="shared" si="8"/>
        <v>1210407,1210408,1210409,1210410,1210411,1210412,1210413,1210414,1210415,1210416,1210417,1210418</v>
      </c>
    </row>
    <row r="324" spans="1:9">
      <c r="A324" s="62">
        <v>1210419</v>
      </c>
      <c r="B324" s="14" t="s">
        <v>403</v>
      </c>
      <c r="C324" s="15" t="s">
        <v>435</v>
      </c>
      <c r="D324" s="52" t="s">
        <v>356</v>
      </c>
      <c r="E324" s="14">
        <v>999</v>
      </c>
      <c r="F324" s="14" t="s">
        <v>420</v>
      </c>
      <c r="G324" s="62">
        <v>0</v>
      </c>
      <c r="H324" s="22" t="s">
        <v>433</v>
      </c>
      <c r="I324" s="65" t="str">
        <f t="shared" si="8"/>
        <v>1210407,1210408,1210409,1210410,1210411,1210412,1210413,1210414,1210415,1210416,1210417,1210418,1210419</v>
      </c>
    </row>
    <row r="325" spans="1:9">
      <c r="A325" s="62">
        <v>1210420</v>
      </c>
      <c r="B325" s="14" t="s">
        <v>404</v>
      </c>
      <c r="C325" s="15" t="s">
        <v>435</v>
      </c>
      <c r="D325" s="52" t="s">
        <v>356</v>
      </c>
      <c r="E325" s="14">
        <v>999</v>
      </c>
      <c r="F325" s="14" t="s">
        <v>421</v>
      </c>
      <c r="G325" s="62">
        <v>0</v>
      </c>
      <c r="H325" s="22" t="s">
        <v>432</v>
      </c>
      <c r="I325" s="65" t="str">
        <f t="shared" si="8"/>
        <v>1210407,1210408,1210409,1210410,1210411,1210412,1210413,1210414,1210415,1210416,1210417,1210418,1210419,1210420</v>
      </c>
    </row>
    <row r="326" spans="1:9">
      <c r="A326" s="62">
        <v>1210421</v>
      </c>
      <c r="B326" s="14" t="s">
        <v>405</v>
      </c>
      <c r="C326" s="15" t="s">
        <v>435</v>
      </c>
      <c r="D326" s="52" t="s">
        <v>356</v>
      </c>
      <c r="E326" s="14">
        <v>999</v>
      </c>
      <c r="F326" s="14" t="s">
        <v>437</v>
      </c>
      <c r="G326" s="62">
        <v>0</v>
      </c>
      <c r="H326" s="22" t="s">
        <v>431</v>
      </c>
      <c r="I326" s="65" t="str">
        <f t="shared" si="8"/>
        <v>1210407,1210408,1210409,1210410,1210411,1210412,1210413,1210414,1210415,1210416,1210417,1210418,1210419,1210420,1210421</v>
      </c>
    </row>
  </sheetData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2:S56"/>
  <sheetViews>
    <sheetView topLeftCell="A7" zoomScale="85" zoomScaleNormal="85" workbookViewId="0">
      <selection activeCell="D15" sqref="A15:D15"/>
    </sheetView>
  </sheetViews>
  <sheetFormatPr defaultRowHeight="16.5"/>
  <cols>
    <col min="1" max="3" width="9" style="8"/>
    <col min="4" max="4" width="11.25" style="8" bestFit="1" customWidth="1"/>
    <col min="5" max="5" width="9" style="8"/>
    <col min="6" max="6" width="11.375" style="8" bestFit="1" customWidth="1"/>
    <col min="7" max="7" width="13.25" style="8" bestFit="1" customWidth="1"/>
    <col min="8" max="10" width="11.375" style="8" bestFit="1" customWidth="1"/>
    <col min="11" max="11" width="11.375" style="8" customWidth="1"/>
    <col min="12" max="12" width="11.375" style="8" bestFit="1" customWidth="1"/>
    <col min="13" max="15" width="17.125" style="8" customWidth="1"/>
    <col min="16" max="16" width="7.125" style="8" customWidth="1"/>
    <col min="17" max="19" width="17.125" style="8" customWidth="1"/>
    <col min="20" max="16384" width="9" style="8"/>
  </cols>
  <sheetData>
    <row r="2" spans="2:19">
      <c r="B2" s="1" t="s">
        <v>27</v>
      </c>
      <c r="C2" s="1" t="s">
        <v>28</v>
      </c>
      <c r="D2" s="1" t="s">
        <v>69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68</v>
      </c>
      <c r="M2" s="1" t="s">
        <v>67</v>
      </c>
      <c r="N2" s="1" t="s">
        <v>66</v>
      </c>
      <c r="O2" s="1" t="s">
        <v>65</v>
      </c>
      <c r="Q2" s="1" t="s">
        <v>67</v>
      </c>
      <c r="R2" s="1" t="s">
        <v>66</v>
      </c>
      <c r="S2" s="1" t="s">
        <v>65</v>
      </c>
    </row>
    <row r="3" spans="2:19">
      <c r="B3" s="1">
        <v>16</v>
      </c>
      <c r="C3" s="1">
        <v>30</v>
      </c>
      <c r="D3" s="1">
        <f>C3*80</f>
        <v>2400</v>
      </c>
      <c r="F3" s="2">
        <v>1101</v>
      </c>
      <c r="G3" s="2" t="s">
        <v>34</v>
      </c>
      <c r="H3" s="2">
        <v>4</v>
      </c>
      <c r="I3" s="2">
        <v>16</v>
      </c>
      <c r="J3" s="2">
        <v>10001</v>
      </c>
      <c r="K3" s="2">
        <f>VLOOKUP($I3,$B$3:$D$5,3,0)</f>
        <v>2400</v>
      </c>
      <c r="M3" s="2" t="str">
        <f>$G3&amp;"碎片"&amp;"*"&amp;N3</f>
        <v>二郎神碎片*5</v>
      </c>
      <c r="N3" s="2">
        <v>5</v>
      </c>
      <c r="O3" s="2">
        <f t="shared" ref="O3:O34" si="0">VLOOKUP($I3,$B$3:$C$5,2,0)*$N3</f>
        <v>150</v>
      </c>
      <c r="Q3" s="2" t="str">
        <f>$G3&amp;"碎片"&amp;"*"&amp;R3</f>
        <v>二郎神碎片*10</v>
      </c>
      <c r="R3" s="2">
        <v>10</v>
      </c>
      <c r="S3" s="2">
        <f t="shared" ref="S3:S34" si="1">VLOOKUP($I3,$B$3:$C$5,2,0)*$R3</f>
        <v>300</v>
      </c>
    </row>
    <row r="4" spans="2:19">
      <c r="B4" s="1">
        <v>13</v>
      </c>
      <c r="C4" s="1">
        <v>25</v>
      </c>
      <c r="D4" s="1">
        <f>C4*80</f>
        <v>2000</v>
      </c>
      <c r="F4" s="3">
        <v>1102</v>
      </c>
      <c r="G4" s="3" t="s">
        <v>35</v>
      </c>
      <c r="H4" s="3">
        <v>4</v>
      </c>
      <c r="I4" s="3">
        <v>16</v>
      </c>
      <c r="J4" s="3">
        <v>10002</v>
      </c>
      <c r="K4" s="3">
        <f t="shared" ref="K4:K56" si="2">VLOOKUP($I4,$B$3:$D$5,3,0)</f>
        <v>2400</v>
      </c>
      <c r="M4" s="3" t="str">
        <f t="shared" ref="M4:M56" si="3">$G4&amp;"碎片"&amp;"*"&amp;N4</f>
        <v>哪吒碎片*5</v>
      </c>
      <c r="N4" s="3">
        <v>5</v>
      </c>
      <c r="O4" s="3">
        <f t="shared" si="0"/>
        <v>150</v>
      </c>
      <c r="Q4" s="3" t="str">
        <f t="shared" ref="Q4:Q56" si="4">$G4&amp;"碎片"&amp;"*"&amp;R4</f>
        <v>哪吒碎片*10</v>
      </c>
      <c r="R4" s="3">
        <v>10</v>
      </c>
      <c r="S4" s="3">
        <f t="shared" si="1"/>
        <v>300</v>
      </c>
    </row>
    <row r="5" spans="2:19">
      <c r="B5" s="1">
        <v>11</v>
      </c>
      <c r="C5" s="1">
        <v>20</v>
      </c>
      <c r="D5" s="1">
        <f>C5*40</f>
        <v>800</v>
      </c>
      <c r="F5" s="3">
        <v>1103</v>
      </c>
      <c r="G5" s="3" t="s">
        <v>36</v>
      </c>
      <c r="H5" s="3">
        <v>4</v>
      </c>
      <c r="I5" s="3">
        <v>16</v>
      </c>
      <c r="J5" s="3">
        <v>10003</v>
      </c>
      <c r="K5" s="3">
        <f t="shared" si="2"/>
        <v>2400</v>
      </c>
      <c r="M5" s="3" t="str">
        <f t="shared" si="3"/>
        <v>嫦娥碎片*5</v>
      </c>
      <c r="N5" s="3">
        <v>5</v>
      </c>
      <c r="O5" s="3">
        <f t="shared" si="0"/>
        <v>150</v>
      </c>
      <c r="Q5" s="3" t="str">
        <f t="shared" si="4"/>
        <v>嫦娥碎片*10</v>
      </c>
      <c r="R5" s="3">
        <v>10</v>
      </c>
      <c r="S5" s="3">
        <f t="shared" si="1"/>
        <v>300</v>
      </c>
    </row>
    <row r="6" spans="2:19">
      <c r="F6" s="3">
        <v>1105</v>
      </c>
      <c r="G6" s="3" t="s">
        <v>17</v>
      </c>
      <c r="H6" s="3">
        <v>4</v>
      </c>
      <c r="I6" s="3">
        <v>16</v>
      </c>
      <c r="J6" s="3">
        <v>10005</v>
      </c>
      <c r="K6" s="3">
        <f t="shared" si="2"/>
        <v>2400</v>
      </c>
      <c r="M6" s="3" t="str">
        <f t="shared" si="3"/>
        <v>王母娘娘碎片*5</v>
      </c>
      <c r="N6" s="3">
        <v>5</v>
      </c>
      <c r="O6" s="3">
        <f t="shared" si="0"/>
        <v>150</v>
      </c>
      <c r="Q6" s="3" t="str">
        <f t="shared" si="4"/>
        <v>王母娘娘碎片*10</v>
      </c>
      <c r="R6" s="3">
        <v>10</v>
      </c>
      <c r="S6" s="3">
        <f t="shared" si="1"/>
        <v>300</v>
      </c>
    </row>
    <row r="7" spans="2:19">
      <c r="F7" s="4">
        <v>1108</v>
      </c>
      <c r="G7" s="4" t="s">
        <v>37</v>
      </c>
      <c r="H7" s="4">
        <v>4</v>
      </c>
      <c r="I7" s="4">
        <v>16</v>
      </c>
      <c r="J7" s="4">
        <v>10008</v>
      </c>
      <c r="K7" s="4">
        <f t="shared" si="2"/>
        <v>2400</v>
      </c>
      <c r="L7" s="8">
        <v>1</v>
      </c>
      <c r="M7" s="4" t="str">
        <f t="shared" si="3"/>
        <v>托塔天王碎片*5</v>
      </c>
      <c r="N7" s="4">
        <v>5</v>
      </c>
      <c r="O7" s="4">
        <f t="shared" si="0"/>
        <v>150</v>
      </c>
      <c r="Q7" s="4" t="str">
        <f t="shared" si="4"/>
        <v>托塔天王碎片*10</v>
      </c>
      <c r="R7" s="4">
        <v>10</v>
      </c>
      <c r="S7" s="4">
        <f t="shared" si="1"/>
        <v>300</v>
      </c>
    </row>
    <row r="8" spans="2:19">
      <c r="F8" s="5">
        <v>1109</v>
      </c>
      <c r="G8" s="5" t="s">
        <v>38</v>
      </c>
      <c r="H8" s="5">
        <v>4</v>
      </c>
      <c r="I8" s="5">
        <v>16</v>
      </c>
      <c r="J8" s="5">
        <v>10009</v>
      </c>
      <c r="K8" s="5">
        <f t="shared" si="2"/>
        <v>2400</v>
      </c>
      <c r="M8" s="5" t="str">
        <f t="shared" si="3"/>
        <v>九天玄女碎片*5</v>
      </c>
      <c r="N8" s="5">
        <v>5</v>
      </c>
      <c r="O8" s="5">
        <f t="shared" si="0"/>
        <v>150</v>
      </c>
      <c r="Q8" s="5" t="str">
        <f t="shared" si="4"/>
        <v>九天玄女碎片*10</v>
      </c>
      <c r="R8" s="5">
        <v>10</v>
      </c>
      <c r="S8" s="5">
        <f t="shared" si="1"/>
        <v>300</v>
      </c>
    </row>
    <row r="9" spans="2:19">
      <c r="F9" s="3">
        <v>1111</v>
      </c>
      <c r="G9" s="3" t="s">
        <v>39</v>
      </c>
      <c r="H9" s="3">
        <v>4</v>
      </c>
      <c r="I9" s="3">
        <v>16</v>
      </c>
      <c r="J9" s="3">
        <v>10011</v>
      </c>
      <c r="K9" s="3">
        <f t="shared" si="2"/>
        <v>2400</v>
      </c>
      <c r="M9" s="3" t="str">
        <f t="shared" si="3"/>
        <v>铁扇公主碎片*5</v>
      </c>
      <c r="N9" s="3">
        <v>5</v>
      </c>
      <c r="O9" s="3">
        <f t="shared" si="0"/>
        <v>150</v>
      </c>
      <c r="Q9" s="3" t="str">
        <f t="shared" si="4"/>
        <v>铁扇公主碎片*10</v>
      </c>
      <c r="R9" s="3">
        <v>10</v>
      </c>
      <c r="S9" s="3">
        <f t="shared" si="1"/>
        <v>300</v>
      </c>
    </row>
    <row r="10" spans="2:19">
      <c r="F10" s="3">
        <v>1112</v>
      </c>
      <c r="G10" s="3" t="s">
        <v>40</v>
      </c>
      <c r="H10" s="3">
        <v>4</v>
      </c>
      <c r="I10" s="3">
        <v>16</v>
      </c>
      <c r="J10" s="3">
        <v>10012</v>
      </c>
      <c r="K10" s="3">
        <f t="shared" si="2"/>
        <v>2400</v>
      </c>
      <c r="M10" s="3" t="str">
        <f t="shared" si="3"/>
        <v>牛魔王碎片*5</v>
      </c>
      <c r="N10" s="3">
        <v>5</v>
      </c>
      <c r="O10" s="3">
        <f t="shared" si="0"/>
        <v>150</v>
      </c>
      <c r="Q10" s="3" t="str">
        <f t="shared" si="4"/>
        <v>牛魔王碎片*10</v>
      </c>
      <c r="R10" s="3">
        <v>10</v>
      </c>
      <c r="S10" s="3">
        <f t="shared" si="1"/>
        <v>300</v>
      </c>
    </row>
    <row r="11" spans="2:19">
      <c r="F11" s="2">
        <v>1113</v>
      </c>
      <c r="G11" s="2" t="s">
        <v>19</v>
      </c>
      <c r="H11" s="2">
        <v>4</v>
      </c>
      <c r="I11" s="2">
        <v>16</v>
      </c>
      <c r="J11" s="2">
        <v>10013</v>
      </c>
      <c r="K11" s="2">
        <f t="shared" si="2"/>
        <v>2400</v>
      </c>
      <c r="M11" s="2" t="str">
        <f t="shared" si="3"/>
        <v>虎力大仙碎片*5</v>
      </c>
      <c r="N11" s="2">
        <v>5</v>
      </c>
      <c r="O11" s="2">
        <f t="shared" si="0"/>
        <v>150</v>
      </c>
      <c r="Q11" s="2" t="str">
        <f t="shared" si="4"/>
        <v>虎力大仙碎片*10</v>
      </c>
      <c r="R11" s="2">
        <v>10</v>
      </c>
      <c r="S11" s="2">
        <f t="shared" si="1"/>
        <v>300</v>
      </c>
    </row>
    <row r="12" spans="2:19">
      <c r="F12" s="3">
        <v>1117</v>
      </c>
      <c r="G12" s="3" t="s">
        <v>23</v>
      </c>
      <c r="H12" s="3">
        <v>4</v>
      </c>
      <c r="I12" s="3">
        <v>16</v>
      </c>
      <c r="J12" s="3">
        <v>10017</v>
      </c>
      <c r="K12" s="3">
        <f t="shared" si="2"/>
        <v>2400</v>
      </c>
      <c r="M12" s="3" t="str">
        <f t="shared" si="3"/>
        <v>六耳猕猴碎片*5</v>
      </c>
      <c r="N12" s="3">
        <v>5</v>
      </c>
      <c r="O12" s="3">
        <f t="shared" si="0"/>
        <v>150</v>
      </c>
      <c r="Q12" s="3" t="str">
        <f t="shared" si="4"/>
        <v>六耳猕猴碎片*10</v>
      </c>
      <c r="R12" s="3">
        <v>10</v>
      </c>
      <c r="S12" s="3">
        <f t="shared" si="1"/>
        <v>300</v>
      </c>
    </row>
    <row r="13" spans="2:19">
      <c r="F13" s="2">
        <v>1119</v>
      </c>
      <c r="G13" s="3" t="s">
        <v>41</v>
      </c>
      <c r="H13" s="2">
        <v>4</v>
      </c>
      <c r="I13" s="2">
        <v>16</v>
      </c>
      <c r="J13" s="2">
        <v>10019</v>
      </c>
      <c r="K13" s="2">
        <f t="shared" si="2"/>
        <v>2400</v>
      </c>
      <c r="M13" s="2" t="str">
        <f t="shared" si="3"/>
        <v>孙悟空碎片*5</v>
      </c>
      <c r="N13" s="2">
        <v>5</v>
      </c>
      <c r="O13" s="2">
        <f t="shared" si="0"/>
        <v>150</v>
      </c>
      <c r="Q13" s="2" t="str">
        <f t="shared" si="4"/>
        <v>孙悟空碎片*10</v>
      </c>
      <c r="R13" s="2">
        <v>10</v>
      </c>
      <c r="S13" s="2">
        <f t="shared" si="1"/>
        <v>300</v>
      </c>
    </row>
    <row r="14" spans="2:19">
      <c r="F14" s="2">
        <v>1120</v>
      </c>
      <c r="G14" s="2" t="s">
        <v>42</v>
      </c>
      <c r="H14" s="2">
        <v>4</v>
      </c>
      <c r="I14" s="2">
        <v>16</v>
      </c>
      <c r="J14" s="2">
        <v>10020</v>
      </c>
      <c r="K14" s="2">
        <f t="shared" si="2"/>
        <v>2400</v>
      </c>
      <c r="M14" s="2" t="str">
        <f t="shared" si="3"/>
        <v>猪八戒碎片*5</v>
      </c>
      <c r="N14" s="2">
        <v>5</v>
      </c>
      <c r="O14" s="2">
        <f t="shared" si="0"/>
        <v>150</v>
      </c>
      <c r="Q14" s="2" t="str">
        <f t="shared" si="4"/>
        <v>猪八戒碎片*10</v>
      </c>
      <c r="R14" s="2">
        <v>10</v>
      </c>
      <c r="S14" s="2">
        <f t="shared" si="1"/>
        <v>300</v>
      </c>
    </row>
    <row r="15" spans="2:19">
      <c r="F15" s="2">
        <v>1121</v>
      </c>
      <c r="G15" s="2" t="s">
        <v>43</v>
      </c>
      <c r="H15" s="2">
        <v>4</v>
      </c>
      <c r="I15" s="2">
        <v>16</v>
      </c>
      <c r="J15" s="2">
        <v>10021</v>
      </c>
      <c r="K15" s="2">
        <f t="shared" si="2"/>
        <v>2400</v>
      </c>
      <c r="M15" s="2" t="str">
        <f t="shared" si="3"/>
        <v>紫霞仙子碎片*5</v>
      </c>
      <c r="N15" s="2">
        <v>5</v>
      </c>
      <c r="O15" s="2">
        <f t="shared" si="0"/>
        <v>150</v>
      </c>
      <c r="Q15" s="2" t="str">
        <f t="shared" si="4"/>
        <v>紫霞仙子碎片*10</v>
      </c>
      <c r="R15" s="2">
        <v>10</v>
      </c>
      <c r="S15" s="2">
        <f t="shared" si="1"/>
        <v>300</v>
      </c>
    </row>
    <row r="16" spans="2:19">
      <c r="F16" s="4">
        <v>1126</v>
      </c>
      <c r="G16" s="4" t="s">
        <v>44</v>
      </c>
      <c r="H16" s="4">
        <v>4</v>
      </c>
      <c r="I16" s="4">
        <v>16</v>
      </c>
      <c r="J16" s="4">
        <v>10026</v>
      </c>
      <c r="K16" s="4">
        <f t="shared" si="2"/>
        <v>2400</v>
      </c>
      <c r="L16" s="8">
        <v>1</v>
      </c>
      <c r="M16" s="4" t="str">
        <f t="shared" si="3"/>
        <v>文殊菩萨碎片*5</v>
      </c>
      <c r="N16" s="4">
        <v>5</v>
      </c>
      <c r="O16" s="4">
        <f t="shared" si="0"/>
        <v>150</v>
      </c>
      <c r="Q16" s="4" t="str">
        <f t="shared" si="4"/>
        <v>文殊菩萨碎片*10</v>
      </c>
      <c r="R16" s="4">
        <v>10</v>
      </c>
      <c r="S16" s="4">
        <f t="shared" si="1"/>
        <v>300</v>
      </c>
    </row>
    <row r="17" spans="6:19">
      <c r="F17" s="4">
        <v>1127</v>
      </c>
      <c r="G17" s="4" t="s">
        <v>45</v>
      </c>
      <c r="H17" s="4">
        <v>4</v>
      </c>
      <c r="I17" s="4">
        <v>16</v>
      </c>
      <c r="J17" s="4">
        <v>10027</v>
      </c>
      <c r="K17" s="4">
        <f t="shared" si="2"/>
        <v>2400</v>
      </c>
      <c r="L17" s="8">
        <v>1</v>
      </c>
      <c r="M17" s="4" t="str">
        <f t="shared" si="3"/>
        <v>弥勒佛碎片*5</v>
      </c>
      <c r="N17" s="4">
        <v>5</v>
      </c>
      <c r="O17" s="4">
        <f t="shared" si="0"/>
        <v>150</v>
      </c>
      <c r="Q17" s="4" t="str">
        <f t="shared" si="4"/>
        <v>弥勒佛碎片*10</v>
      </c>
      <c r="R17" s="4">
        <v>10</v>
      </c>
      <c r="S17" s="4">
        <f t="shared" si="1"/>
        <v>300</v>
      </c>
    </row>
    <row r="18" spans="6:19">
      <c r="F18" s="3">
        <v>1211</v>
      </c>
      <c r="G18" s="3" t="s">
        <v>46</v>
      </c>
      <c r="H18" s="3">
        <v>4</v>
      </c>
      <c r="I18" s="3">
        <v>16</v>
      </c>
      <c r="J18" s="3">
        <v>10111</v>
      </c>
      <c r="K18" s="3">
        <f t="shared" si="2"/>
        <v>2400</v>
      </c>
      <c r="L18" s="8">
        <v>1</v>
      </c>
      <c r="M18" s="3" t="str">
        <f t="shared" si="3"/>
        <v>斗战胜佛碎片*5</v>
      </c>
      <c r="N18" s="3">
        <v>5</v>
      </c>
      <c r="O18" s="3">
        <f t="shared" si="0"/>
        <v>150</v>
      </c>
      <c r="Q18" s="3" t="str">
        <f t="shared" si="4"/>
        <v>斗战胜佛碎片*10</v>
      </c>
      <c r="R18" s="3">
        <v>10</v>
      </c>
      <c r="S18" s="3">
        <f t="shared" si="1"/>
        <v>300</v>
      </c>
    </row>
    <row r="19" spans="6:19">
      <c r="F19" s="4">
        <v>1212</v>
      </c>
      <c r="G19" s="4" t="s">
        <v>47</v>
      </c>
      <c r="H19" s="4">
        <v>4</v>
      </c>
      <c r="I19" s="4">
        <v>16</v>
      </c>
      <c r="J19" s="4">
        <v>10112</v>
      </c>
      <c r="K19" s="4">
        <f t="shared" si="2"/>
        <v>2400</v>
      </c>
      <c r="L19" s="8">
        <v>1</v>
      </c>
      <c r="M19" s="4" t="str">
        <f t="shared" si="3"/>
        <v>金蝉子碎片*5</v>
      </c>
      <c r="N19" s="4">
        <v>5</v>
      </c>
      <c r="O19" s="4">
        <f t="shared" si="0"/>
        <v>150</v>
      </c>
      <c r="Q19" s="4" t="str">
        <f t="shared" si="4"/>
        <v>金蝉子碎片*10</v>
      </c>
      <c r="R19" s="4">
        <v>10</v>
      </c>
      <c r="S19" s="4">
        <f t="shared" si="1"/>
        <v>300</v>
      </c>
    </row>
    <row r="20" spans="6:19">
      <c r="F20" s="4">
        <v>1213</v>
      </c>
      <c r="G20" s="4" t="s">
        <v>48</v>
      </c>
      <c r="H20" s="4">
        <v>4</v>
      </c>
      <c r="I20" s="4">
        <v>16</v>
      </c>
      <c r="J20" s="4">
        <v>10113</v>
      </c>
      <c r="K20" s="4">
        <f t="shared" si="2"/>
        <v>2400</v>
      </c>
      <c r="L20" s="8">
        <v>1</v>
      </c>
      <c r="M20" s="4" t="str">
        <f t="shared" si="3"/>
        <v>龙帝碎片*5</v>
      </c>
      <c r="N20" s="4">
        <v>5</v>
      </c>
      <c r="O20" s="4">
        <f t="shared" si="0"/>
        <v>150</v>
      </c>
      <c r="Q20" s="4" t="str">
        <f t="shared" si="4"/>
        <v>龙帝碎片*10</v>
      </c>
      <c r="R20" s="4">
        <v>10</v>
      </c>
      <c r="S20" s="4">
        <f t="shared" si="1"/>
        <v>300</v>
      </c>
    </row>
    <row r="21" spans="6:19">
      <c r="F21" s="4">
        <v>1214</v>
      </c>
      <c r="G21" s="4" t="s">
        <v>49</v>
      </c>
      <c r="H21" s="4">
        <v>4</v>
      </c>
      <c r="I21" s="4">
        <v>16</v>
      </c>
      <c r="J21" s="4">
        <v>10114</v>
      </c>
      <c r="K21" s="4">
        <f t="shared" si="2"/>
        <v>2400</v>
      </c>
      <c r="L21" s="8">
        <v>1</v>
      </c>
      <c r="M21" s="4" t="str">
        <f t="shared" si="3"/>
        <v>八部天龙碎片*5</v>
      </c>
      <c r="N21" s="4">
        <v>5</v>
      </c>
      <c r="O21" s="4">
        <f t="shared" si="0"/>
        <v>150</v>
      </c>
      <c r="Q21" s="4" t="str">
        <f t="shared" si="4"/>
        <v>八部天龙碎片*10</v>
      </c>
      <c r="R21" s="4">
        <v>10</v>
      </c>
      <c r="S21" s="4">
        <f t="shared" si="1"/>
        <v>300</v>
      </c>
    </row>
    <row r="22" spans="6:19">
      <c r="F22" s="6">
        <v>1215</v>
      </c>
      <c r="G22" s="6" t="s">
        <v>50</v>
      </c>
      <c r="H22" s="6">
        <v>4</v>
      </c>
      <c r="I22" s="6">
        <v>16</v>
      </c>
      <c r="J22" s="6">
        <v>10115</v>
      </c>
      <c r="K22" s="6">
        <f t="shared" si="2"/>
        <v>2400</v>
      </c>
      <c r="L22" s="8">
        <v>1</v>
      </c>
      <c r="M22" s="6" t="str">
        <f t="shared" si="3"/>
        <v>善财童子碎片*5</v>
      </c>
      <c r="N22" s="6">
        <v>5</v>
      </c>
      <c r="O22" s="6">
        <f t="shared" si="0"/>
        <v>150</v>
      </c>
      <c r="Q22" s="6" t="str">
        <f t="shared" si="4"/>
        <v>善财童子碎片*10</v>
      </c>
      <c r="R22" s="6">
        <v>10</v>
      </c>
      <c r="S22" s="6">
        <f t="shared" si="1"/>
        <v>300</v>
      </c>
    </row>
    <row r="23" spans="6:19">
      <c r="F23" s="3">
        <v>1104</v>
      </c>
      <c r="G23" s="3" t="s">
        <v>16</v>
      </c>
      <c r="H23" s="3">
        <v>4</v>
      </c>
      <c r="I23" s="3">
        <v>13</v>
      </c>
      <c r="J23" s="3">
        <v>10004</v>
      </c>
      <c r="K23" s="3">
        <f t="shared" si="2"/>
        <v>2000</v>
      </c>
      <c r="M23" s="3" t="str">
        <f t="shared" si="3"/>
        <v>玉皇大帝碎片*5</v>
      </c>
      <c r="N23" s="3">
        <v>5</v>
      </c>
      <c r="O23" s="3">
        <f t="shared" si="0"/>
        <v>125</v>
      </c>
      <c r="Q23" s="3" t="str">
        <f t="shared" si="4"/>
        <v>玉皇大帝碎片*10</v>
      </c>
      <c r="R23" s="3">
        <v>10</v>
      </c>
      <c r="S23" s="3">
        <f t="shared" si="1"/>
        <v>250</v>
      </c>
    </row>
    <row r="24" spans="6:19">
      <c r="F24" s="3">
        <v>1106</v>
      </c>
      <c r="G24" s="3" t="s">
        <v>18</v>
      </c>
      <c r="H24" s="3">
        <v>4</v>
      </c>
      <c r="I24" s="3">
        <v>13</v>
      </c>
      <c r="J24" s="3">
        <v>10006</v>
      </c>
      <c r="K24" s="3">
        <f t="shared" si="2"/>
        <v>2000</v>
      </c>
      <c r="M24" s="3" t="str">
        <f t="shared" si="3"/>
        <v>太白金星碎片*5</v>
      </c>
      <c r="N24" s="3">
        <v>5</v>
      </c>
      <c r="O24" s="3">
        <f t="shared" si="0"/>
        <v>125</v>
      </c>
      <c r="Q24" s="3" t="str">
        <f t="shared" si="4"/>
        <v>太白金星碎片*10</v>
      </c>
      <c r="R24" s="3">
        <v>10</v>
      </c>
      <c r="S24" s="3">
        <f t="shared" si="1"/>
        <v>250</v>
      </c>
    </row>
    <row r="25" spans="6:19">
      <c r="F25" s="7">
        <v>1107</v>
      </c>
      <c r="G25" s="7" t="s">
        <v>51</v>
      </c>
      <c r="H25" s="7">
        <v>4</v>
      </c>
      <c r="I25" s="7">
        <v>13</v>
      </c>
      <c r="J25" s="7">
        <v>10007</v>
      </c>
      <c r="K25" s="7">
        <f t="shared" si="2"/>
        <v>2000</v>
      </c>
      <c r="L25" s="8">
        <v>1</v>
      </c>
      <c r="M25" s="7" t="str">
        <f t="shared" si="3"/>
        <v>赤脚大仙碎片*5</v>
      </c>
      <c r="N25" s="7">
        <v>5</v>
      </c>
      <c r="O25" s="7">
        <f t="shared" si="0"/>
        <v>125</v>
      </c>
      <c r="Q25" s="7" t="str">
        <f t="shared" si="4"/>
        <v>赤脚大仙碎片*10</v>
      </c>
      <c r="R25" s="7">
        <v>10</v>
      </c>
      <c r="S25" s="7">
        <f t="shared" si="1"/>
        <v>250</v>
      </c>
    </row>
    <row r="26" spans="6:19">
      <c r="F26" s="3">
        <v>1110</v>
      </c>
      <c r="G26" s="3" t="s">
        <v>52</v>
      </c>
      <c r="H26" s="3">
        <v>4</v>
      </c>
      <c r="I26" s="3">
        <v>13</v>
      </c>
      <c r="J26" s="3">
        <v>10010</v>
      </c>
      <c r="K26" s="3">
        <f t="shared" si="2"/>
        <v>2000</v>
      </c>
      <c r="M26" s="3" t="str">
        <f t="shared" si="3"/>
        <v>红孩儿碎片*5</v>
      </c>
      <c r="N26" s="3">
        <v>5</v>
      </c>
      <c r="O26" s="3">
        <f t="shared" si="0"/>
        <v>125</v>
      </c>
      <c r="Q26" s="3" t="str">
        <f t="shared" si="4"/>
        <v>红孩儿碎片*10</v>
      </c>
      <c r="R26" s="3">
        <v>10</v>
      </c>
      <c r="S26" s="3">
        <f t="shared" si="1"/>
        <v>250</v>
      </c>
    </row>
    <row r="27" spans="6:19">
      <c r="F27" s="3">
        <v>1114</v>
      </c>
      <c r="G27" s="3" t="s">
        <v>20</v>
      </c>
      <c r="H27" s="3">
        <v>4</v>
      </c>
      <c r="I27" s="3">
        <v>13</v>
      </c>
      <c r="J27" s="3">
        <v>10014</v>
      </c>
      <c r="K27" s="3">
        <f t="shared" si="2"/>
        <v>2000</v>
      </c>
      <c r="M27" s="3" t="str">
        <f t="shared" si="3"/>
        <v>鹿力大仙碎片*5</v>
      </c>
      <c r="N27" s="3">
        <v>5</v>
      </c>
      <c r="O27" s="3">
        <f t="shared" si="0"/>
        <v>125</v>
      </c>
      <c r="Q27" s="3" t="str">
        <f t="shared" si="4"/>
        <v>鹿力大仙碎片*10</v>
      </c>
      <c r="R27" s="3">
        <v>10</v>
      </c>
      <c r="S27" s="3">
        <f t="shared" si="1"/>
        <v>250</v>
      </c>
    </row>
    <row r="28" spans="6:19">
      <c r="F28" s="3">
        <v>1115</v>
      </c>
      <c r="G28" s="3" t="s">
        <v>21</v>
      </c>
      <c r="H28" s="3">
        <v>4</v>
      </c>
      <c r="I28" s="3">
        <v>13</v>
      </c>
      <c r="J28" s="3">
        <v>10015</v>
      </c>
      <c r="K28" s="3">
        <f t="shared" si="2"/>
        <v>2000</v>
      </c>
      <c r="M28" s="3" t="str">
        <f t="shared" si="3"/>
        <v>羊力大仙碎片*5</v>
      </c>
      <c r="N28" s="3">
        <v>5</v>
      </c>
      <c r="O28" s="3">
        <f t="shared" si="0"/>
        <v>125</v>
      </c>
      <c r="Q28" s="3" t="str">
        <f t="shared" si="4"/>
        <v>羊力大仙碎片*10</v>
      </c>
      <c r="R28" s="3">
        <v>10</v>
      </c>
      <c r="S28" s="3">
        <f t="shared" si="1"/>
        <v>250</v>
      </c>
    </row>
    <row r="29" spans="6:19">
      <c r="F29" s="3">
        <v>1116</v>
      </c>
      <c r="G29" s="3" t="s">
        <v>22</v>
      </c>
      <c r="H29" s="3">
        <v>4</v>
      </c>
      <c r="I29" s="3">
        <v>13</v>
      </c>
      <c r="J29" s="3">
        <v>10016</v>
      </c>
      <c r="K29" s="3">
        <f t="shared" si="2"/>
        <v>2000</v>
      </c>
      <c r="M29" s="3" t="str">
        <f t="shared" si="3"/>
        <v>白骨夫人碎片*5</v>
      </c>
      <c r="N29" s="3">
        <v>5</v>
      </c>
      <c r="O29" s="3">
        <f t="shared" si="0"/>
        <v>125</v>
      </c>
      <c r="Q29" s="3" t="str">
        <f t="shared" si="4"/>
        <v>白骨夫人碎片*10</v>
      </c>
      <c r="R29" s="3">
        <v>10</v>
      </c>
      <c r="S29" s="3">
        <f t="shared" si="1"/>
        <v>250</v>
      </c>
    </row>
    <row r="30" spans="6:19">
      <c r="F30" s="3">
        <v>1118</v>
      </c>
      <c r="G30" s="3" t="s">
        <v>24</v>
      </c>
      <c r="H30" s="3">
        <v>4</v>
      </c>
      <c r="I30" s="3">
        <v>13</v>
      </c>
      <c r="J30" s="3">
        <v>10018</v>
      </c>
      <c r="K30" s="3">
        <f t="shared" si="2"/>
        <v>2000</v>
      </c>
      <c r="M30" s="3" t="str">
        <f t="shared" si="3"/>
        <v>混沌碎片*5</v>
      </c>
      <c r="N30" s="3">
        <v>5</v>
      </c>
      <c r="O30" s="3">
        <f t="shared" si="0"/>
        <v>125</v>
      </c>
      <c r="Q30" s="3" t="str">
        <f t="shared" si="4"/>
        <v>混沌碎片*10</v>
      </c>
      <c r="R30" s="3">
        <v>10</v>
      </c>
      <c r="S30" s="3">
        <f t="shared" si="1"/>
        <v>250</v>
      </c>
    </row>
    <row r="31" spans="6:19">
      <c r="F31" s="3">
        <v>1122</v>
      </c>
      <c r="G31" s="3" t="s">
        <v>25</v>
      </c>
      <c r="H31" s="3">
        <v>4</v>
      </c>
      <c r="I31" s="3">
        <v>13</v>
      </c>
      <c r="J31" s="3">
        <v>10022</v>
      </c>
      <c r="K31" s="3">
        <f t="shared" si="2"/>
        <v>2000</v>
      </c>
      <c r="M31" s="3" t="str">
        <f t="shared" si="3"/>
        <v>唐三藏碎片*5</v>
      </c>
      <c r="N31" s="3">
        <v>5</v>
      </c>
      <c r="O31" s="3">
        <f t="shared" si="0"/>
        <v>125</v>
      </c>
      <c r="Q31" s="3" t="str">
        <f t="shared" si="4"/>
        <v>唐三藏碎片*10</v>
      </c>
      <c r="R31" s="3">
        <v>10</v>
      </c>
      <c r="S31" s="3">
        <f t="shared" si="1"/>
        <v>250</v>
      </c>
    </row>
    <row r="32" spans="6:19">
      <c r="F32" s="3">
        <v>1123</v>
      </c>
      <c r="G32" s="3" t="s">
        <v>26</v>
      </c>
      <c r="H32" s="3">
        <v>4</v>
      </c>
      <c r="I32" s="3">
        <v>13</v>
      </c>
      <c r="J32" s="3">
        <v>10023</v>
      </c>
      <c r="K32" s="3">
        <f t="shared" si="2"/>
        <v>2000</v>
      </c>
      <c r="M32" s="3" t="str">
        <f t="shared" si="3"/>
        <v>小白龙碎片*5</v>
      </c>
      <c r="N32" s="3">
        <v>5</v>
      </c>
      <c r="O32" s="3">
        <f t="shared" si="0"/>
        <v>125</v>
      </c>
      <c r="Q32" s="3" t="str">
        <f t="shared" si="4"/>
        <v>小白龙碎片*10</v>
      </c>
      <c r="R32" s="3">
        <v>10</v>
      </c>
      <c r="S32" s="3">
        <f t="shared" si="1"/>
        <v>250</v>
      </c>
    </row>
    <row r="33" spans="6:19">
      <c r="F33" s="3">
        <v>1124</v>
      </c>
      <c r="G33" s="3" t="s">
        <v>53</v>
      </c>
      <c r="H33" s="3">
        <v>4</v>
      </c>
      <c r="I33" s="3">
        <v>13</v>
      </c>
      <c r="J33" s="3">
        <v>10024</v>
      </c>
      <c r="K33" s="3">
        <f t="shared" si="2"/>
        <v>2000</v>
      </c>
      <c r="M33" s="3" t="str">
        <f t="shared" si="3"/>
        <v>沙悟净碎片*5</v>
      </c>
      <c r="N33" s="3">
        <v>5</v>
      </c>
      <c r="O33" s="3">
        <f t="shared" si="0"/>
        <v>125</v>
      </c>
      <c r="Q33" s="3" t="str">
        <f t="shared" si="4"/>
        <v>沙悟净碎片*10</v>
      </c>
      <c r="R33" s="3">
        <v>10</v>
      </c>
      <c r="S33" s="3">
        <f t="shared" si="1"/>
        <v>250</v>
      </c>
    </row>
    <row r="34" spans="6:19" s="9" customFormat="1">
      <c r="F34" s="6">
        <v>1125</v>
      </c>
      <c r="G34" s="6" t="s">
        <v>54</v>
      </c>
      <c r="H34" s="6">
        <v>4</v>
      </c>
      <c r="I34" s="6">
        <v>13</v>
      </c>
      <c r="J34" s="6">
        <v>10025</v>
      </c>
      <c r="K34" s="6">
        <f t="shared" si="2"/>
        <v>2000</v>
      </c>
      <c r="L34" s="10">
        <v>1</v>
      </c>
      <c r="M34" s="6" t="str">
        <f t="shared" si="3"/>
        <v>迦叶碎片*5</v>
      </c>
      <c r="N34" s="6">
        <v>5</v>
      </c>
      <c r="O34" s="6">
        <f t="shared" si="0"/>
        <v>125</v>
      </c>
      <c r="Q34" s="6" t="str">
        <f t="shared" si="4"/>
        <v>迦叶碎片*10</v>
      </c>
      <c r="R34" s="6">
        <v>10</v>
      </c>
      <c r="S34" s="6">
        <f t="shared" si="1"/>
        <v>250</v>
      </c>
    </row>
    <row r="35" spans="6:19">
      <c r="F35" s="3">
        <v>1130</v>
      </c>
      <c r="G35" s="3" t="s">
        <v>6</v>
      </c>
      <c r="H35" s="3">
        <v>4</v>
      </c>
      <c r="I35" s="3">
        <v>13</v>
      </c>
      <c r="J35" s="3">
        <v>10030</v>
      </c>
      <c r="K35" s="3">
        <f t="shared" si="2"/>
        <v>2000</v>
      </c>
      <c r="M35" s="3" t="str">
        <f t="shared" si="3"/>
        <v>地藏王碎片*5</v>
      </c>
      <c r="N35" s="3">
        <v>5</v>
      </c>
      <c r="O35" s="3">
        <f t="shared" ref="O35:O56" si="5">VLOOKUP($I35,$B$3:$C$5,2,0)*$N35</f>
        <v>125</v>
      </c>
      <c r="Q35" s="3" t="str">
        <f t="shared" si="4"/>
        <v>地藏王碎片*10</v>
      </c>
      <c r="R35" s="3">
        <v>10</v>
      </c>
      <c r="S35" s="3">
        <f t="shared" ref="S35:S56" si="6">VLOOKUP($I35,$B$3:$C$5,2,0)*$R35</f>
        <v>250</v>
      </c>
    </row>
    <row r="36" spans="6:19">
      <c r="F36" s="3">
        <v>1131</v>
      </c>
      <c r="G36" s="3" t="s">
        <v>7</v>
      </c>
      <c r="H36" s="3">
        <v>4</v>
      </c>
      <c r="I36" s="3">
        <v>13</v>
      </c>
      <c r="J36" s="3">
        <v>10031</v>
      </c>
      <c r="K36" s="3">
        <f t="shared" si="2"/>
        <v>2000</v>
      </c>
      <c r="M36" s="3" t="str">
        <f t="shared" si="3"/>
        <v>蝎子精碎片*5</v>
      </c>
      <c r="N36" s="3">
        <v>5</v>
      </c>
      <c r="O36" s="3">
        <f t="shared" si="5"/>
        <v>125</v>
      </c>
      <c r="Q36" s="3" t="str">
        <f t="shared" si="4"/>
        <v>蝎子精碎片*10</v>
      </c>
      <c r="R36" s="3">
        <v>10</v>
      </c>
      <c r="S36" s="3">
        <f t="shared" si="6"/>
        <v>250</v>
      </c>
    </row>
    <row r="37" spans="6:19">
      <c r="F37" s="3">
        <v>1132</v>
      </c>
      <c r="G37" s="3" t="s">
        <v>8</v>
      </c>
      <c r="H37" s="3">
        <v>4</v>
      </c>
      <c r="I37" s="3">
        <v>13</v>
      </c>
      <c r="J37" s="3">
        <v>10032</v>
      </c>
      <c r="K37" s="3">
        <f t="shared" si="2"/>
        <v>2000</v>
      </c>
      <c r="M37" s="3" t="str">
        <f t="shared" si="3"/>
        <v>混世魔王碎片*5</v>
      </c>
      <c r="N37" s="3">
        <v>5</v>
      </c>
      <c r="O37" s="3">
        <f t="shared" si="5"/>
        <v>125</v>
      </c>
      <c r="Q37" s="3" t="str">
        <f t="shared" si="4"/>
        <v>混世魔王碎片*10</v>
      </c>
      <c r="R37" s="3">
        <v>10</v>
      </c>
      <c r="S37" s="3">
        <f t="shared" si="6"/>
        <v>250</v>
      </c>
    </row>
    <row r="38" spans="6:19">
      <c r="F38" s="3">
        <v>1135</v>
      </c>
      <c r="G38" s="3" t="s">
        <v>55</v>
      </c>
      <c r="H38" s="3">
        <v>4</v>
      </c>
      <c r="I38" s="3">
        <v>13</v>
      </c>
      <c r="J38" s="3">
        <v>10035</v>
      </c>
      <c r="K38" s="3">
        <f t="shared" si="2"/>
        <v>2000</v>
      </c>
      <c r="M38" s="3" t="str">
        <f t="shared" si="3"/>
        <v>东海龙王碎片*5</v>
      </c>
      <c r="N38" s="3">
        <v>5</v>
      </c>
      <c r="O38" s="3">
        <f t="shared" si="5"/>
        <v>125</v>
      </c>
      <c r="Q38" s="3" t="str">
        <f t="shared" si="4"/>
        <v>东海龙王碎片*10</v>
      </c>
      <c r="R38" s="3">
        <v>10</v>
      </c>
      <c r="S38" s="3">
        <f t="shared" si="6"/>
        <v>250</v>
      </c>
    </row>
    <row r="39" spans="6:19">
      <c r="F39" s="3">
        <v>1137</v>
      </c>
      <c r="G39" s="3" t="s">
        <v>12</v>
      </c>
      <c r="H39" s="3">
        <v>4</v>
      </c>
      <c r="I39" s="3">
        <v>13</v>
      </c>
      <c r="J39" s="3">
        <v>10037</v>
      </c>
      <c r="K39" s="3">
        <f t="shared" si="2"/>
        <v>2000</v>
      </c>
      <c r="M39" s="3" t="str">
        <f t="shared" si="3"/>
        <v>蜘蛛精碎片*5</v>
      </c>
      <c r="N39" s="3">
        <v>5</v>
      </c>
      <c r="O39" s="3">
        <f t="shared" si="5"/>
        <v>125</v>
      </c>
      <c r="Q39" s="3" t="str">
        <f t="shared" si="4"/>
        <v>蜘蛛精碎片*10</v>
      </c>
      <c r="R39" s="3">
        <v>10</v>
      </c>
      <c r="S39" s="3">
        <f t="shared" si="6"/>
        <v>250</v>
      </c>
    </row>
    <row r="40" spans="6:19">
      <c r="F40" s="3">
        <v>1201</v>
      </c>
      <c r="G40" s="3" t="s">
        <v>5</v>
      </c>
      <c r="H40" s="3">
        <v>4</v>
      </c>
      <c r="I40" s="3">
        <v>13</v>
      </c>
      <c r="J40" s="3">
        <v>10101</v>
      </c>
      <c r="K40" s="3">
        <f t="shared" si="2"/>
        <v>2000</v>
      </c>
      <c r="M40" s="3" t="str">
        <f t="shared" si="3"/>
        <v>阎罗王碎片*5</v>
      </c>
      <c r="N40" s="3">
        <v>5</v>
      </c>
      <c r="O40" s="3">
        <f t="shared" si="5"/>
        <v>125</v>
      </c>
      <c r="Q40" s="3" t="str">
        <f t="shared" si="4"/>
        <v>阎罗王碎片*10</v>
      </c>
      <c r="R40" s="3">
        <v>10</v>
      </c>
      <c r="S40" s="3">
        <f t="shared" si="6"/>
        <v>250</v>
      </c>
    </row>
    <row r="41" spans="6:19">
      <c r="F41" s="7">
        <v>1202</v>
      </c>
      <c r="G41" s="7" t="s">
        <v>56</v>
      </c>
      <c r="H41" s="7">
        <v>4</v>
      </c>
      <c r="I41" s="7">
        <v>13</v>
      </c>
      <c r="J41" s="7">
        <v>10102</v>
      </c>
      <c r="K41" s="7">
        <f t="shared" si="2"/>
        <v>2000</v>
      </c>
      <c r="L41" s="8">
        <v>1</v>
      </c>
      <c r="M41" s="7" t="str">
        <f t="shared" si="3"/>
        <v>人生娃碎片*5</v>
      </c>
      <c r="N41" s="7">
        <v>5</v>
      </c>
      <c r="O41" s="7">
        <f t="shared" si="5"/>
        <v>125</v>
      </c>
      <c r="Q41" s="7" t="str">
        <f t="shared" si="4"/>
        <v>人生娃碎片*10</v>
      </c>
      <c r="R41" s="7">
        <v>10</v>
      </c>
      <c r="S41" s="7">
        <f t="shared" si="6"/>
        <v>250</v>
      </c>
    </row>
    <row r="42" spans="6:19">
      <c r="F42" s="7">
        <v>1203</v>
      </c>
      <c r="G42" s="7" t="s">
        <v>57</v>
      </c>
      <c r="H42" s="7">
        <v>3</v>
      </c>
      <c r="I42" s="7">
        <v>11</v>
      </c>
      <c r="J42" s="7">
        <v>10103</v>
      </c>
      <c r="K42" s="7">
        <f t="shared" si="2"/>
        <v>800</v>
      </c>
      <c r="L42" s="8">
        <v>1</v>
      </c>
      <c r="M42" s="7" t="str">
        <f t="shared" si="3"/>
        <v>黑无常碎片*5</v>
      </c>
      <c r="N42" s="7">
        <v>5</v>
      </c>
      <c r="O42" s="7">
        <f t="shared" si="5"/>
        <v>100</v>
      </c>
      <c r="Q42" s="7" t="str">
        <f t="shared" si="4"/>
        <v>黑无常碎片*10</v>
      </c>
      <c r="R42" s="7">
        <v>10</v>
      </c>
      <c r="S42" s="7">
        <f t="shared" si="6"/>
        <v>200</v>
      </c>
    </row>
    <row r="43" spans="6:19">
      <c r="F43" s="3">
        <v>1204</v>
      </c>
      <c r="G43" s="3" t="s">
        <v>58</v>
      </c>
      <c r="H43" s="3">
        <v>3</v>
      </c>
      <c r="I43" s="3">
        <v>11</v>
      </c>
      <c r="J43" s="3">
        <v>10104</v>
      </c>
      <c r="K43" s="3">
        <f t="shared" si="2"/>
        <v>800</v>
      </c>
      <c r="M43" s="3" t="str">
        <f t="shared" si="3"/>
        <v>白无常碎片*5</v>
      </c>
      <c r="N43" s="3">
        <v>5</v>
      </c>
      <c r="O43" s="3">
        <f t="shared" si="5"/>
        <v>100</v>
      </c>
      <c r="Q43" s="3" t="str">
        <f t="shared" si="4"/>
        <v>白无常碎片*10</v>
      </c>
      <c r="R43" s="3">
        <v>10</v>
      </c>
      <c r="S43" s="3">
        <f t="shared" si="6"/>
        <v>200</v>
      </c>
    </row>
    <row r="44" spans="6:19">
      <c r="F44" s="3">
        <v>1205</v>
      </c>
      <c r="G44" s="3" t="s">
        <v>59</v>
      </c>
      <c r="H44" s="3">
        <v>3</v>
      </c>
      <c r="I44" s="3">
        <v>11</v>
      </c>
      <c r="J44" s="3">
        <v>10105</v>
      </c>
      <c r="K44" s="3">
        <f t="shared" si="2"/>
        <v>800</v>
      </c>
      <c r="M44" s="3" t="str">
        <f t="shared" si="3"/>
        <v>马面碎片*5</v>
      </c>
      <c r="N44" s="3">
        <v>5</v>
      </c>
      <c r="O44" s="3">
        <f t="shared" si="5"/>
        <v>100</v>
      </c>
      <c r="Q44" s="3" t="str">
        <f t="shared" si="4"/>
        <v>马面碎片*10</v>
      </c>
      <c r="R44" s="3">
        <v>10</v>
      </c>
      <c r="S44" s="3">
        <f t="shared" si="6"/>
        <v>200</v>
      </c>
    </row>
    <row r="45" spans="6:19">
      <c r="F45" s="3">
        <v>1206</v>
      </c>
      <c r="G45" s="3" t="s">
        <v>60</v>
      </c>
      <c r="H45" s="3">
        <v>3</v>
      </c>
      <c r="I45" s="3">
        <v>11</v>
      </c>
      <c r="J45" s="3">
        <v>10106</v>
      </c>
      <c r="K45" s="3">
        <f t="shared" si="2"/>
        <v>800</v>
      </c>
      <c r="M45" s="3" t="str">
        <f t="shared" si="3"/>
        <v>牛头碎片*5</v>
      </c>
      <c r="N45" s="3">
        <v>5</v>
      </c>
      <c r="O45" s="3">
        <f t="shared" si="5"/>
        <v>100</v>
      </c>
      <c r="Q45" s="3" t="str">
        <f t="shared" si="4"/>
        <v>牛头碎片*10</v>
      </c>
      <c r="R45" s="3">
        <v>10</v>
      </c>
      <c r="S45" s="3">
        <f t="shared" si="6"/>
        <v>200</v>
      </c>
    </row>
    <row r="46" spans="6:19">
      <c r="F46" s="3">
        <v>1207</v>
      </c>
      <c r="G46" s="3" t="s">
        <v>61</v>
      </c>
      <c r="H46" s="3">
        <v>4</v>
      </c>
      <c r="I46" s="3">
        <v>13</v>
      </c>
      <c r="J46" s="3">
        <v>10107</v>
      </c>
      <c r="K46" s="3">
        <f t="shared" si="2"/>
        <v>2000</v>
      </c>
      <c r="M46" s="3" t="str">
        <f t="shared" si="3"/>
        <v>幽萤魂碎片*5</v>
      </c>
      <c r="N46" s="3">
        <v>5</v>
      </c>
      <c r="O46" s="3">
        <f t="shared" si="5"/>
        <v>125</v>
      </c>
      <c r="Q46" s="3" t="str">
        <f t="shared" si="4"/>
        <v>幽萤魂碎片*10</v>
      </c>
      <c r="R46" s="3">
        <v>10</v>
      </c>
      <c r="S46" s="3">
        <f t="shared" si="6"/>
        <v>250</v>
      </c>
    </row>
    <row r="47" spans="6:19">
      <c r="F47" s="6">
        <v>1208</v>
      </c>
      <c r="G47" s="6" t="s">
        <v>62</v>
      </c>
      <c r="H47" s="6">
        <v>4</v>
      </c>
      <c r="I47" s="6">
        <v>13</v>
      </c>
      <c r="J47" s="6">
        <v>10108</v>
      </c>
      <c r="K47" s="6">
        <f t="shared" si="2"/>
        <v>2000</v>
      </c>
      <c r="L47" s="8">
        <v>1</v>
      </c>
      <c r="M47" s="6" t="str">
        <f t="shared" si="3"/>
        <v>蝶妖碎片*5</v>
      </c>
      <c r="N47" s="6">
        <v>5</v>
      </c>
      <c r="O47" s="6">
        <f t="shared" si="5"/>
        <v>125</v>
      </c>
      <c r="Q47" s="6" t="str">
        <f t="shared" si="4"/>
        <v>蝶妖碎片*10</v>
      </c>
      <c r="R47" s="6">
        <v>10</v>
      </c>
      <c r="S47" s="6">
        <f t="shared" si="6"/>
        <v>250</v>
      </c>
    </row>
    <row r="48" spans="6:19">
      <c r="F48" s="7">
        <v>1216</v>
      </c>
      <c r="G48" s="7" t="s">
        <v>63</v>
      </c>
      <c r="H48" s="7">
        <v>4</v>
      </c>
      <c r="I48" s="7">
        <v>13</v>
      </c>
      <c r="J48" s="7">
        <v>10116</v>
      </c>
      <c r="K48" s="7">
        <f t="shared" si="2"/>
        <v>2000</v>
      </c>
      <c r="L48" s="8">
        <v>1</v>
      </c>
      <c r="M48" s="7" t="str">
        <f t="shared" si="3"/>
        <v>女儿国国王碎片*5</v>
      </c>
      <c r="N48" s="7">
        <v>5</v>
      </c>
      <c r="O48" s="7">
        <f t="shared" si="5"/>
        <v>125</v>
      </c>
      <c r="Q48" s="7" t="str">
        <f t="shared" si="4"/>
        <v>女儿国国王碎片*10</v>
      </c>
      <c r="R48" s="7">
        <v>10</v>
      </c>
      <c r="S48" s="7">
        <f t="shared" si="6"/>
        <v>250</v>
      </c>
    </row>
    <row r="49" spans="6:19">
      <c r="F49" s="7">
        <v>1128</v>
      </c>
      <c r="G49" s="7" t="s">
        <v>4</v>
      </c>
      <c r="H49" s="7">
        <v>3</v>
      </c>
      <c r="I49" s="7">
        <v>11</v>
      </c>
      <c r="J49" s="7">
        <v>10028</v>
      </c>
      <c r="K49" s="7">
        <f t="shared" si="2"/>
        <v>800</v>
      </c>
      <c r="L49" s="8">
        <v>1</v>
      </c>
      <c r="M49" s="7" t="str">
        <f t="shared" si="3"/>
        <v>赛太岁碎片*5</v>
      </c>
      <c r="N49" s="7">
        <v>5</v>
      </c>
      <c r="O49" s="7">
        <f t="shared" si="5"/>
        <v>100</v>
      </c>
      <c r="Q49" s="7" t="str">
        <f t="shared" si="4"/>
        <v>赛太岁碎片*10</v>
      </c>
      <c r="R49" s="7">
        <v>10</v>
      </c>
      <c r="S49" s="7">
        <f t="shared" si="6"/>
        <v>200</v>
      </c>
    </row>
    <row r="50" spans="6:19">
      <c r="F50" s="3">
        <v>1133</v>
      </c>
      <c r="G50" s="3" t="s">
        <v>9</v>
      </c>
      <c r="H50" s="3">
        <v>3</v>
      </c>
      <c r="I50" s="3">
        <v>11</v>
      </c>
      <c r="J50" s="3">
        <v>10033</v>
      </c>
      <c r="K50" s="3">
        <f t="shared" si="2"/>
        <v>800</v>
      </c>
      <c r="M50" s="3" t="str">
        <f t="shared" si="3"/>
        <v>雷公碎片*5</v>
      </c>
      <c r="N50" s="3">
        <v>5</v>
      </c>
      <c r="O50" s="3">
        <f t="shared" si="5"/>
        <v>100</v>
      </c>
      <c r="Q50" s="3" t="str">
        <f t="shared" si="4"/>
        <v>雷公碎片*10</v>
      </c>
      <c r="R50" s="3">
        <v>10</v>
      </c>
      <c r="S50" s="3">
        <f t="shared" si="6"/>
        <v>200</v>
      </c>
    </row>
    <row r="51" spans="6:19">
      <c r="F51" s="2">
        <v>1134</v>
      </c>
      <c r="G51" s="2" t="s">
        <v>10</v>
      </c>
      <c r="H51" s="2">
        <v>3</v>
      </c>
      <c r="I51" s="2">
        <v>11</v>
      </c>
      <c r="J51" s="2">
        <v>10034</v>
      </c>
      <c r="K51" s="2">
        <f t="shared" si="2"/>
        <v>800</v>
      </c>
      <c r="M51" s="2" t="str">
        <f t="shared" si="3"/>
        <v>泾河龙王碎片*5</v>
      </c>
      <c r="N51" s="2">
        <v>5</v>
      </c>
      <c r="O51" s="2">
        <f t="shared" si="5"/>
        <v>100</v>
      </c>
      <c r="Q51" s="2" t="str">
        <f t="shared" si="4"/>
        <v>泾河龙王碎片*10</v>
      </c>
      <c r="R51" s="2">
        <v>10</v>
      </c>
      <c r="S51" s="2">
        <f t="shared" si="6"/>
        <v>200</v>
      </c>
    </row>
    <row r="52" spans="6:19">
      <c r="F52" s="3">
        <v>1136</v>
      </c>
      <c r="G52" s="3" t="s">
        <v>11</v>
      </c>
      <c r="H52" s="3">
        <v>3</v>
      </c>
      <c r="I52" s="3">
        <v>11</v>
      </c>
      <c r="J52" s="3">
        <v>10036</v>
      </c>
      <c r="K52" s="3">
        <f t="shared" si="2"/>
        <v>800</v>
      </c>
      <c r="M52" s="3" t="str">
        <f t="shared" si="3"/>
        <v>白龙公主碎片*5</v>
      </c>
      <c r="N52" s="3">
        <v>5</v>
      </c>
      <c r="O52" s="3">
        <f t="shared" si="5"/>
        <v>100</v>
      </c>
      <c r="Q52" s="3" t="str">
        <f t="shared" si="4"/>
        <v>白龙公主碎片*10</v>
      </c>
      <c r="R52" s="3">
        <v>10</v>
      </c>
      <c r="S52" s="3">
        <f t="shared" si="6"/>
        <v>200</v>
      </c>
    </row>
    <row r="53" spans="6:19">
      <c r="F53" s="3">
        <v>1138</v>
      </c>
      <c r="G53" s="3" t="s">
        <v>13</v>
      </c>
      <c r="H53" s="3">
        <v>3</v>
      </c>
      <c r="I53" s="3">
        <v>11</v>
      </c>
      <c r="J53" s="3">
        <v>10038</v>
      </c>
      <c r="K53" s="3">
        <f t="shared" si="2"/>
        <v>800</v>
      </c>
      <c r="M53" s="3" t="str">
        <f t="shared" si="3"/>
        <v>玉面夫人碎片*5</v>
      </c>
      <c r="N53" s="3">
        <v>5</v>
      </c>
      <c r="O53" s="3">
        <f t="shared" si="5"/>
        <v>100</v>
      </c>
      <c r="Q53" s="3" t="str">
        <f t="shared" si="4"/>
        <v>玉面夫人碎片*10</v>
      </c>
      <c r="R53" s="3">
        <v>10</v>
      </c>
      <c r="S53" s="3">
        <f t="shared" si="6"/>
        <v>200</v>
      </c>
    </row>
    <row r="54" spans="6:19">
      <c r="F54" s="3">
        <v>1139</v>
      </c>
      <c r="G54" s="3" t="s">
        <v>14</v>
      </c>
      <c r="H54" s="3">
        <v>3</v>
      </c>
      <c r="I54" s="3">
        <v>11</v>
      </c>
      <c r="J54" s="3">
        <v>10039</v>
      </c>
      <c r="K54" s="3">
        <f t="shared" si="2"/>
        <v>800</v>
      </c>
      <c r="M54" s="3" t="str">
        <f t="shared" si="3"/>
        <v>金钱豹王碎片*5</v>
      </c>
      <c r="N54" s="3">
        <v>5</v>
      </c>
      <c r="O54" s="3">
        <f t="shared" si="5"/>
        <v>100</v>
      </c>
      <c r="Q54" s="3" t="str">
        <f t="shared" si="4"/>
        <v>金钱豹王碎片*10</v>
      </c>
      <c r="R54" s="3">
        <v>10</v>
      </c>
      <c r="S54" s="3">
        <f t="shared" si="6"/>
        <v>200</v>
      </c>
    </row>
    <row r="55" spans="6:19">
      <c r="F55" s="3">
        <v>1140</v>
      </c>
      <c r="G55" s="3" t="s">
        <v>15</v>
      </c>
      <c r="H55" s="3">
        <v>3</v>
      </c>
      <c r="I55" s="3">
        <v>11</v>
      </c>
      <c r="J55" s="3">
        <v>10040</v>
      </c>
      <c r="K55" s="3">
        <f t="shared" si="2"/>
        <v>800</v>
      </c>
      <c r="M55" s="3" t="str">
        <f t="shared" si="3"/>
        <v>墨鱼精碎片*5</v>
      </c>
      <c r="N55" s="3">
        <v>5</v>
      </c>
      <c r="O55" s="3">
        <f t="shared" si="5"/>
        <v>100</v>
      </c>
      <c r="Q55" s="3" t="str">
        <f t="shared" si="4"/>
        <v>墨鱼精碎片*10</v>
      </c>
      <c r="R55" s="3">
        <v>10</v>
      </c>
      <c r="S55" s="3">
        <f t="shared" si="6"/>
        <v>200</v>
      </c>
    </row>
    <row r="56" spans="6:19">
      <c r="F56" s="3">
        <v>1141</v>
      </c>
      <c r="G56" s="3" t="s">
        <v>64</v>
      </c>
      <c r="H56" s="3">
        <v>3</v>
      </c>
      <c r="I56" s="3">
        <v>11</v>
      </c>
      <c r="J56" s="3">
        <v>10041</v>
      </c>
      <c r="K56" s="3">
        <f t="shared" si="2"/>
        <v>800</v>
      </c>
      <c r="M56" s="3" t="str">
        <f t="shared" si="3"/>
        <v>玉兔碎片*5</v>
      </c>
      <c r="N56" s="3">
        <v>5</v>
      </c>
      <c r="O56" s="3">
        <f t="shared" si="5"/>
        <v>100</v>
      </c>
      <c r="Q56" s="3" t="str">
        <f t="shared" si="4"/>
        <v>玉兔碎片*10</v>
      </c>
      <c r="R56" s="3">
        <v>10</v>
      </c>
      <c r="S56" s="3">
        <f t="shared" si="6"/>
        <v>200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Administrator</cp:lastModifiedBy>
  <dcterms:created xsi:type="dcterms:W3CDTF">2006-09-16T00:00:00Z</dcterms:created>
  <dcterms:modified xsi:type="dcterms:W3CDTF">2018-03-03T21:22:07Z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2052-9.1.0.5100</vt:lpwstr>
  </property>
</Properties>
</file>