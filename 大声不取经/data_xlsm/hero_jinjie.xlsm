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90" windowWidth="20730" windowHeight="11670"/>
  </bookViews>
  <sheets>
    <sheet name="Sheet1" sheetId="6" r:id="rId1"/>
    <sheet name="Sheet7" sheetId="2" r:id="rId2"/>
    <sheet name="Sheet2" sheetId="3" r:id="rId3"/>
    <sheet name="Sheet3" sheetId="4" r:id="rId4"/>
    <sheet name="Sheet4" sheetId="5" r:id="rId5"/>
    <sheet name="Sheet6" sheetId="7" r:id="rId6"/>
  </sheets>
  <functionGroups/>
  <externalReferences>
    <externalReference r:id="rId7"/>
  </externalReferences>
  <definedNames>
    <definedName name="_xlnm._FilterDatabase" localSheetId="5" hidden="1">Sheet6!$F$1:$M$1</definedName>
  </definedNames>
  <calcPr calcId="125725" concurrentCalc="0"/>
</workbook>
</file>

<file path=xl/calcChain.xml><?xml version="1.0" encoding="utf-8"?>
<calcChain xmlns="http://schemas.openxmlformats.org/spreadsheetml/2006/main">
  <c r="I19" i="7"/>
  <c r="J19"/>
  <c r="K19"/>
  <c r="L19"/>
  <c r="I20"/>
  <c r="J20"/>
  <c r="K20"/>
  <c r="L20"/>
  <c r="I21"/>
  <c r="J21"/>
  <c r="K21"/>
  <c r="L21"/>
  <c r="I22"/>
  <c r="J22"/>
  <c r="K22"/>
  <c r="L22"/>
  <c r="I23"/>
  <c r="J23"/>
  <c r="K23"/>
  <c r="L23"/>
  <c r="I24"/>
  <c r="J24"/>
  <c r="K24"/>
  <c r="L24"/>
  <c r="I25"/>
  <c r="J25"/>
  <c r="K25"/>
  <c r="L25"/>
  <c r="I26"/>
  <c r="J26"/>
  <c r="K26"/>
  <c r="L26"/>
  <c r="I27"/>
  <c r="J27"/>
  <c r="K27"/>
  <c r="L27"/>
  <c r="I28"/>
  <c r="J28"/>
  <c r="K28"/>
  <c r="L28"/>
  <c r="I29"/>
  <c r="J29"/>
  <c r="K29"/>
  <c r="L29"/>
  <c r="I30"/>
  <c r="J30"/>
  <c r="K30"/>
  <c r="L30"/>
  <c r="I31"/>
  <c r="J31"/>
  <c r="K31"/>
  <c r="L31"/>
  <c r="I32"/>
  <c r="J32"/>
  <c r="K32"/>
  <c r="L32"/>
  <c r="I33"/>
  <c r="J33"/>
  <c r="K33"/>
  <c r="L33"/>
  <c r="I34"/>
  <c r="J34"/>
  <c r="K34"/>
  <c r="L34"/>
  <c r="I35"/>
  <c r="J35"/>
  <c r="K35"/>
  <c r="L35"/>
  <c r="I36"/>
  <c r="J36"/>
  <c r="K36"/>
  <c r="L36"/>
  <c r="I37"/>
  <c r="J37"/>
  <c r="K37"/>
  <c r="L37"/>
  <c r="I38"/>
  <c r="J38"/>
  <c r="K38"/>
  <c r="L38"/>
  <c r="I39"/>
  <c r="J39"/>
  <c r="K39"/>
  <c r="L39"/>
  <c r="I40"/>
  <c r="J40"/>
  <c r="K40"/>
  <c r="L40"/>
  <c r="I41"/>
  <c r="J41"/>
  <c r="K41"/>
  <c r="L41"/>
  <c r="I42"/>
  <c r="J42"/>
  <c r="K42"/>
  <c r="L42"/>
  <c r="I43"/>
  <c r="J43"/>
  <c r="K43"/>
  <c r="L43"/>
  <c r="I44"/>
  <c r="J44"/>
  <c r="K44"/>
  <c r="L44"/>
  <c r="I45"/>
  <c r="J45"/>
  <c r="K45"/>
  <c r="L45"/>
  <c r="I46"/>
  <c r="J46"/>
  <c r="K46"/>
  <c r="L46"/>
  <c r="I47"/>
  <c r="J47"/>
  <c r="K47"/>
  <c r="L47"/>
  <c r="I48"/>
  <c r="J48"/>
  <c r="K48"/>
  <c r="L48"/>
  <c r="I49"/>
  <c r="J49"/>
  <c r="K49"/>
  <c r="L49"/>
  <c r="I50"/>
  <c r="J50"/>
  <c r="K50"/>
  <c r="L50"/>
  <c r="I51"/>
  <c r="J51"/>
  <c r="K51"/>
  <c r="L51"/>
  <c r="I52"/>
  <c r="J52"/>
  <c r="K52"/>
  <c r="L52"/>
  <c r="I53"/>
  <c r="J53"/>
  <c r="K53"/>
  <c r="L53"/>
  <c r="I54"/>
  <c r="J54"/>
  <c r="K54"/>
  <c r="L54"/>
  <c r="I55"/>
  <c r="J55"/>
  <c r="K55"/>
  <c r="L55"/>
  <c r="I56"/>
  <c r="J56"/>
  <c r="K56"/>
  <c r="L56"/>
  <c r="I57"/>
  <c r="J57"/>
  <c r="K57"/>
  <c r="L57"/>
  <c r="I58"/>
  <c r="J58"/>
  <c r="K58"/>
  <c r="L58"/>
  <c r="I59"/>
  <c r="J59"/>
  <c r="K59"/>
  <c r="L59"/>
  <c r="I60"/>
  <c r="J60"/>
  <c r="K60"/>
  <c r="L60"/>
  <c r="I61"/>
  <c r="J61"/>
  <c r="K61"/>
  <c r="L61"/>
  <c r="I62"/>
  <c r="J62"/>
  <c r="K62"/>
  <c r="L62"/>
  <c r="I63"/>
  <c r="J63"/>
  <c r="K63"/>
  <c r="L63"/>
  <c r="I64"/>
  <c r="J64"/>
  <c r="K64"/>
  <c r="L64"/>
  <c r="I65"/>
  <c r="J65"/>
  <c r="K65"/>
  <c r="L65"/>
  <c r="I66"/>
  <c r="J66"/>
  <c r="K66"/>
  <c r="L66"/>
  <c r="I67"/>
  <c r="J67"/>
  <c r="K67"/>
  <c r="L67"/>
  <c r="I68"/>
  <c r="J68"/>
  <c r="K68"/>
  <c r="L68"/>
  <c r="I69"/>
  <c r="J69"/>
  <c r="K69"/>
  <c r="L69"/>
  <c r="I70"/>
  <c r="J70"/>
  <c r="K70"/>
  <c r="L70"/>
  <c r="I71"/>
  <c r="J71"/>
  <c r="K71"/>
  <c r="L71"/>
  <c r="I72"/>
  <c r="J72"/>
  <c r="K72"/>
  <c r="L72"/>
  <c r="I73"/>
  <c r="J73"/>
  <c r="K73"/>
  <c r="L73"/>
  <c r="I74"/>
  <c r="J74"/>
  <c r="K74"/>
  <c r="L74"/>
  <c r="I75"/>
  <c r="J75"/>
  <c r="K75"/>
  <c r="L75"/>
  <c r="I76"/>
  <c r="J76"/>
  <c r="K76"/>
  <c r="L76"/>
  <c r="I77"/>
  <c r="J77"/>
  <c r="K77"/>
  <c r="L77"/>
  <c r="I78"/>
  <c r="J78"/>
  <c r="K78"/>
  <c r="L78"/>
  <c r="I79"/>
  <c r="J79"/>
  <c r="K79"/>
  <c r="L79"/>
  <c r="I80"/>
  <c r="J80"/>
  <c r="K80"/>
  <c r="L80"/>
  <c r="I81"/>
  <c r="J81"/>
  <c r="K81"/>
  <c r="L81"/>
  <c r="I82"/>
  <c r="J82"/>
  <c r="K82"/>
  <c r="L82"/>
  <c r="I83"/>
  <c r="J83"/>
  <c r="K83"/>
  <c r="L83"/>
  <c r="I84"/>
  <c r="J84"/>
  <c r="K84"/>
  <c r="L84"/>
  <c r="I85"/>
  <c r="J85"/>
  <c r="K85"/>
  <c r="L85"/>
  <c r="I86"/>
  <c r="J86"/>
  <c r="K86"/>
  <c r="L86"/>
  <c r="I87"/>
  <c r="J87"/>
  <c r="K87"/>
  <c r="L87"/>
  <c r="I88"/>
  <c r="J88"/>
  <c r="K88"/>
  <c r="L88"/>
  <c r="I89"/>
  <c r="J89"/>
  <c r="K89"/>
  <c r="L89"/>
  <c r="I90"/>
  <c r="J90"/>
  <c r="K90"/>
  <c r="L90"/>
  <c r="I91"/>
  <c r="J91"/>
  <c r="K91"/>
  <c r="L91"/>
  <c r="I92"/>
  <c r="J92"/>
  <c r="K92"/>
  <c r="L92"/>
  <c r="I93"/>
  <c r="J93"/>
  <c r="K93"/>
  <c r="L93"/>
  <c r="I94"/>
  <c r="J94"/>
  <c r="K94"/>
  <c r="L94"/>
  <c r="I95"/>
  <c r="J95"/>
  <c r="K95"/>
  <c r="L95"/>
  <c r="I96"/>
  <c r="J96"/>
  <c r="K96"/>
  <c r="L96"/>
  <c r="I97"/>
  <c r="J97"/>
  <c r="K97"/>
  <c r="L97"/>
  <c r="I98"/>
  <c r="J98"/>
  <c r="K98"/>
  <c r="L98"/>
  <c r="I99"/>
  <c r="J99"/>
  <c r="K99"/>
  <c r="L99"/>
  <c r="I100"/>
  <c r="J100"/>
  <c r="K100"/>
  <c r="L100"/>
  <c r="I101"/>
  <c r="J101"/>
  <c r="K101"/>
  <c r="L101"/>
  <c r="I102"/>
  <c r="J102"/>
  <c r="K102"/>
  <c r="L102"/>
  <c r="I103"/>
  <c r="J103"/>
  <c r="K103"/>
  <c r="L103"/>
  <c r="I104"/>
  <c r="J104"/>
  <c r="K104"/>
  <c r="L104"/>
  <c r="I105"/>
  <c r="J105"/>
  <c r="K105"/>
  <c r="L105"/>
  <c r="I106"/>
  <c r="J106"/>
  <c r="K106"/>
  <c r="L106"/>
  <c r="I107"/>
  <c r="J107"/>
  <c r="K107"/>
  <c r="L107"/>
  <c r="I108"/>
  <c r="J108"/>
  <c r="K108"/>
  <c r="L108"/>
  <c r="I109"/>
  <c r="J109"/>
  <c r="K109"/>
  <c r="L109"/>
  <c r="I110"/>
  <c r="J110"/>
  <c r="K110"/>
  <c r="L110"/>
  <c r="I111"/>
  <c r="J111"/>
  <c r="K111"/>
  <c r="L111"/>
  <c r="I112"/>
  <c r="J112"/>
  <c r="K112"/>
  <c r="L112"/>
  <c r="I113"/>
  <c r="J113"/>
  <c r="K113"/>
  <c r="L113"/>
  <c r="I114"/>
  <c r="J114"/>
  <c r="K114"/>
  <c r="L114"/>
  <c r="I115"/>
  <c r="J115"/>
  <c r="K115"/>
  <c r="L115"/>
  <c r="I116"/>
  <c r="J116"/>
  <c r="K116"/>
  <c r="L116"/>
  <c r="I117"/>
  <c r="J117"/>
  <c r="K117"/>
  <c r="L117"/>
  <c r="I118"/>
  <c r="J118"/>
  <c r="K118"/>
  <c r="L118"/>
  <c r="I119"/>
  <c r="J119"/>
  <c r="K119"/>
  <c r="L119"/>
  <c r="I120"/>
  <c r="J120"/>
  <c r="K120"/>
  <c r="L120"/>
  <c r="I121"/>
  <c r="J121"/>
  <c r="K121"/>
  <c r="L121"/>
  <c r="I122"/>
  <c r="J122"/>
  <c r="K122"/>
  <c r="L122"/>
  <c r="I123"/>
  <c r="J123"/>
  <c r="K123"/>
  <c r="L123"/>
  <c r="I124"/>
  <c r="J124"/>
  <c r="K124"/>
  <c r="L124"/>
  <c r="I125"/>
  <c r="J125"/>
  <c r="K125"/>
  <c r="L125"/>
  <c r="I126"/>
  <c r="J126"/>
  <c r="K126"/>
  <c r="L126"/>
  <c r="I127"/>
  <c r="J127"/>
  <c r="K127"/>
  <c r="L127"/>
  <c r="I128"/>
  <c r="J128"/>
  <c r="K128"/>
  <c r="L128"/>
  <c r="I129"/>
  <c r="J129"/>
  <c r="K129"/>
  <c r="L129"/>
  <c r="I130"/>
  <c r="J130"/>
  <c r="K130"/>
  <c r="L130"/>
  <c r="I131"/>
  <c r="J131"/>
  <c r="K131"/>
  <c r="L131"/>
  <c r="I132"/>
  <c r="J132"/>
  <c r="K132"/>
  <c r="L132"/>
  <c r="I133"/>
  <c r="J133"/>
  <c r="K133"/>
  <c r="L133"/>
  <c r="I134"/>
  <c r="J134"/>
  <c r="K134"/>
  <c r="L134"/>
  <c r="I135"/>
  <c r="J135"/>
  <c r="K135"/>
  <c r="L135"/>
  <c r="I136"/>
  <c r="J136"/>
  <c r="K136"/>
  <c r="L136"/>
  <c r="I137"/>
  <c r="J137"/>
  <c r="K137"/>
  <c r="L137"/>
  <c r="I138"/>
  <c r="J138"/>
  <c r="K138"/>
  <c r="L138"/>
  <c r="I139"/>
  <c r="J139"/>
  <c r="K139"/>
  <c r="L139"/>
  <c r="I140"/>
  <c r="J140"/>
  <c r="K140"/>
  <c r="L140"/>
  <c r="I141"/>
  <c r="J141"/>
  <c r="K141"/>
  <c r="L141"/>
  <c r="I142"/>
  <c r="J142"/>
  <c r="K142"/>
  <c r="L142"/>
  <c r="I143"/>
  <c r="J143"/>
  <c r="K143"/>
  <c r="L143"/>
  <c r="I144"/>
  <c r="J144"/>
  <c r="K144"/>
  <c r="L144"/>
  <c r="I145"/>
  <c r="J145"/>
  <c r="K145"/>
  <c r="L145"/>
  <c r="I146"/>
  <c r="J146"/>
  <c r="K146"/>
  <c r="L146"/>
  <c r="I147"/>
  <c r="J147"/>
  <c r="K147"/>
  <c r="L147"/>
  <c r="I148"/>
  <c r="J148"/>
  <c r="K148"/>
  <c r="L148"/>
  <c r="I149"/>
  <c r="J149"/>
  <c r="K149"/>
  <c r="L149"/>
  <c r="I150"/>
  <c r="J150"/>
  <c r="K150"/>
  <c r="L150"/>
  <c r="I151"/>
  <c r="J151"/>
  <c r="K151"/>
  <c r="L151"/>
  <c r="I152"/>
  <c r="J152"/>
  <c r="K152"/>
  <c r="L152"/>
  <c r="I153"/>
  <c r="J153"/>
  <c r="K153"/>
  <c r="L153"/>
  <c r="I154"/>
  <c r="J154"/>
  <c r="K154"/>
  <c r="L154"/>
  <c r="I155"/>
  <c r="J155"/>
  <c r="K155"/>
  <c r="L155"/>
  <c r="I156"/>
  <c r="J156"/>
  <c r="K156"/>
  <c r="L156"/>
  <c r="I157"/>
  <c r="J157"/>
  <c r="K157"/>
  <c r="L157"/>
  <c r="I158"/>
  <c r="J158"/>
  <c r="K158"/>
  <c r="L158"/>
  <c r="I159"/>
  <c r="J159"/>
  <c r="K159"/>
  <c r="L159"/>
  <c r="I160"/>
  <c r="J160"/>
  <c r="K160"/>
  <c r="L160"/>
  <c r="I161"/>
  <c r="J161"/>
  <c r="K161"/>
  <c r="L161"/>
  <c r="I162"/>
  <c r="J162"/>
  <c r="K162"/>
  <c r="L162"/>
  <c r="I163"/>
  <c r="J163"/>
  <c r="K163"/>
  <c r="L163"/>
  <c r="I164"/>
  <c r="J164"/>
  <c r="K164"/>
  <c r="L164"/>
  <c r="I165"/>
  <c r="J165"/>
  <c r="K165"/>
  <c r="L165"/>
  <c r="I166"/>
  <c r="J166"/>
  <c r="K166"/>
  <c r="L166"/>
  <c r="I167"/>
  <c r="J167"/>
  <c r="K167"/>
  <c r="L167"/>
  <c r="I168"/>
  <c r="J168"/>
  <c r="K168"/>
  <c r="L168"/>
  <c r="I169"/>
  <c r="J169"/>
  <c r="K169"/>
  <c r="L169"/>
  <c r="I170"/>
  <c r="J170"/>
  <c r="K170"/>
  <c r="L170"/>
  <c r="I171"/>
  <c r="J171"/>
  <c r="K171"/>
  <c r="L171"/>
  <c r="I172"/>
  <c r="J172"/>
  <c r="K172"/>
  <c r="L172"/>
  <c r="I173"/>
  <c r="J173"/>
  <c r="K173"/>
  <c r="L173"/>
  <c r="I174"/>
  <c r="J174"/>
  <c r="K174"/>
  <c r="L174"/>
  <c r="I175"/>
  <c r="J175"/>
  <c r="K175"/>
  <c r="L175"/>
  <c r="I176"/>
  <c r="J176"/>
  <c r="K176"/>
  <c r="L176"/>
  <c r="I177"/>
  <c r="J177"/>
  <c r="K177"/>
  <c r="L177"/>
  <c r="I178"/>
  <c r="J178"/>
  <c r="K178"/>
  <c r="L178"/>
  <c r="I179"/>
  <c r="J179"/>
  <c r="K179"/>
  <c r="L179"/>
  <c r="I180"/>
  <c r="J180"/>
  <c r="K180"/>
  <c r="L180"/>
  <c r="I181"/>
  <c r="J181"/>
  <c r="K181"/>
  <c r="L181"/>
  <c r="I182"/>
  <c r="J182"/>
  <c r="K182"/>
  <c r="L182"/>
  <c r="I183"/>
  <c r="J183"/>
  <c r="K183"/>
  <c r="L183"/>
  <c r="I184"/>
  <c r="J184"/>
  <c r="K184"/>
  <c r="L184"/>
  <c r="I185"/>
  <c r="J185"/>
  <c r="K185"/>
  <c r="L185"/>
  <c r="I186"/>
  <c r="J186"/>
  <c r="K186"/>
  <c r="L186"/>
  <c r="I187"/>
  <c r="J187"/>
  <c r="K187"/>
  <c r="L187"/>
  <c r="I188"/>
  <c r="J188"/>
  <c r="K188"/>
  <c r="L188"/>
  <c r="I189"/>
  <c r="J189"/>
  <c r="K189"/>
  <c r="L189"/>
  <c r="I190"/>
  <c r="J190"/>
  <c r="K190"/>
  <c r="L190"/>
  <c r="I191"/>
  <c r="J191"/>
  <c r="K191"/>
  <c r="L191"/>
  <c r="I192"/>
  <c r="J192"/>
  <c r="K192"/>
  <c r="L192"/>
  <c r="I193"/>
  <c r="J193"/>
  <c r="K193"/>
  <c r="L193"/>
  <c r="I194"/>
  <c r="J194"/>
  <c r="K194"/>
  <c r="L194"/>
  <c r="I195"/>
  <c r="J195"/>
  <c r="K195"/>
  <c r="L195"/>
  <c r="I196"/>
  <c r="J196"/>
  <c r="K196"/>
  <c r="L196"/>
  <c r="I197"/>
  <c r="J197"/>
  <c r="K197"/>
  <c r="L197"/>
  <c r="I198"/>
  <c r="J198"/>
  <c r="K198"/>
  <c r="L198"/>
  <c r="I199"/>
  <c r="J199"/>
  <c r="K199"/>
  <c r="L199"/>
  <c r="I200"/>
  <c r="J200"/>
  <c r="K200"/>
  <c r="L200"/>
  <c r="I201"/>
  <c r="J201"/>
  <c r="K201"/>
  <c r="L201"/>
  <c r="I202"/>
  <c r="J202"/>
  <c r="K202"/>
  <c r="L202"/>
  <c r="I203"/>
  <c r="J203"/>
  <c r="K203"/>
  <c r="L203"/>
  <c r="I204"/>
  <c r="J204"/>
  <c r="K204"/>
  <c r="L204"/>
  <c r="I205"/>
  <c r="J205"/>
  <c r="K205"/>
  <c r="L205"/>
  <c r="I206"/>
  <c r="J206"/>
  <c r="K206"/>
  <c r="L206"/>
  <c r="I207"/>
  <c r="J207"/>
  <c r="K207"/>
  <c r="L207"/>
  <c r="I208"/>
  <c r="J208"/>
  <c r="K208"/>
  <c r="L208"/>
  <c r="I209"/>
  <c r="J209"/>
  <c r="K209"/>
  <c r="L209"/>
  <c r="I210"/>
  <c r="J210"/>
  <c r="K210"/>
  <c r="L210"/>
  <c r="I211"/>
  <c r="J211"/>
  <c r="K211"/>
  <c r="L211"/>
  <c r="I212"/>
  <c r="J212"/>
  <c r="K212"/>
  <c r="L212"/>
  <c r="I213"/>
  <c r="J213"/>
  <c r="K213"/>
  <c r="L213"/>
  <c r="I214"/>
  <c r="J214"/>
  <c r="K214"/>
  <c r="L214"/>
  <c r="I215"/>
  <c r="J215"/>
  <c r="K215"/>
  <c r="L215"/>
  <c r="I216"/>
  <c r="J216"/>
  <c r="K216"/>
  <c r="L216"/>
  <c r="I217"/>
  <c r="J217"/>
  <c r="K217"/>
  <c r="L217"/>
  <c r="I218"/>
  <c r="J218"/>
  <c r="K218"/>
  <c r="L218"/>
  <c r="I219"/>
  <c r="J219"/>
  <c r="K219"/>
  <c r="L219"/>
  <c r="I220"/>
  <c r="J220"/>
  <c r="K220"/>
  <c r="L220"/>
  <c r="I221"/>
  <c r="J221"/>
  <c r="K221"/>
  <c r="L221"/>
  <c r="I222"/>
  <c r="J222"/>
  <c r="K222"/>
  <c r="L222"/>
  <c r="I223"/>
  <c r="J223"/>
  <c r="K223"/>
  <c r="L223"/>
  <c r="I224"/>
  <c r="J224"/>
  <c r="K224"/>
  <c r="L224"/>
  <c r="I225"/>
  <c r="J225"/>
  <c r="K225"/>
  <c r="L225"/>
  <c r="I226"/>
  <c r="J226"/>
  <c r="K226"/>
  <c r="L226"/>
  <c r="I227"/>
  <c r="J227"/>
  <c r="K227"/>
  <c r="L227"/>
  <c r="I228"/>
  <c r="J228"/>
  <c r="K228"/>
  <c r="L228"/>
  <c r="I229"/>
  <c r="J229"/>
  <c r="K229"/>
  <c r="L229"/>
  <c r="I230"/>
  <c r="J230"/>
  <c r="K230"/>
  <c r="L230"/>
  <c r="I231"/>
  <c r="J231"/>
  <c r="K231"/>
  <c r="L231"/>
  <c r="I232"/>
  <c r="J232"/>
  <c r="K232"/>
  <c r="L232"/>
  <c r="I233"/>
  <c r="J233"/>
  <c r="K233"/>
  <c r="L233"/>
  <c r="I234"/>
  <c r="J234"/>
  <c r="K234"/>
  <c r="L234"/>
  <c r="I235"/>
  <c r="J235"/>
  <c r="K235"/>
  <c r="L235"/>
  <c r="I236"/>
  <c r="J236"/>
  <c r="K236"/>
  <c r="L236"/>
  <c r="I237"/>
  <c r="J237"/>
  <c r="K237"/>
  <c r="L237"/>
  <c r="I238"/>
  <c r="J238"/>
  <c r="K238"/>
  <c r="L238"/>
  <c r="I239"/>
  <c r="J239"/>
  <c r="K239"/>
  <c r="L239"/>
  <c r="I240"/>
  <c r="J240"/>
  <c r="K240"/>
  <c r="L240"/>
  <c r="I241"/>
  <c r="J241"/>
  <c r="K241"/>
  <c r="L241"/>
  <c r="I242"/>
  <c r="J242"/>
  <c r="K242"/>
  <c r="L242"/>
  <c r="I243"/>
  <c r="J243"/>
  <c r="K243"/>
  <c r="L243"/>
  <c r="I244"/>
  <c r="J244"/>
  <c r="K244"/>
  <c r="L244"/>
  <c r="I245"/>
  <c r="J245"/>
  <c r="K245"/>
  <c r="L245"/>
  <c r="I246"/>
  <c r="J246"/>
  <c r="K246"/>
  <c r="L246"/>
  <c r="I247"/>
  <c r="J247"/>
  <c r="K247"/>
  <c r="L247"/>
  <c r="I248"/>
  <c r="J248"/>
  <c r="K248"/>
  <c r="L248"/>
  <c r="I249"/>
  <c r="J249"/>
  <c r="K249"/>
  <c r="L249"/>
  <c r="I250"/>
  <c r="J250"/>
  <c r="K250"/>
  <c r="L250"/>
  <c r="I251"/>
  <c r="J251"/>
  <c r="K251"/>
  <c r="L251"/>
  <c r="I252"/>
  <c r="J252"/>
  <c r="K252"/>
  <c r="L252"/>
  <c r="I253"/>
  <c r="J253"/>
  <c r="K253"/>
  <c r="L253"/>
  <c r="I254"/>
  <c r="J254"/>
  <c r="K254"/>
  <c r="L254"/>
  <c r="I255"/>
  <c r="J255"/>
  <c r="K255"/>
  <c r="L255"/>
  <c r="I256"/>
  <c r="J256"/>
  <c r="K256"/>
  <c r="L256"/>
  <c r="I257"/>
  <c r="J257"/>
  <c r="K257"/>
  <c r="L257"/>
  <c r="I258"/>
  <c r="J258"/>
  <c r="K258"/>
  <c r="L258"/>
  <c r="I259"/>
  <c r="J259"/>
  <c r="K259"/>
  <c r="L259"/>
  <c r="I260"/>
  <c r="J260"/>
  <c r="K260"/>
  <c r="L260"/>
  <c r="I261"/>
  <c r="J261"/>
  <c r="K261"/>
  <c r="L261"/>
  <c r="I262"/>
  <c r="J262"/>
  <c r="K262"/>
  <c r="L262"/>
  <c r="I263"/>
  <c r="J263"/>
  <c r="K263"/>
  <c r="L263"/>
  <c r="I264"/>
  <c r="J264"/>
  <c r="K264"/>
  <c r="L264"/>
  <c r="I265"/>
  <c r="J265"/>
  <c r="K265"/>
  <c r="L265"/>
  <c r="I266"/>
  <c r="J266"/>
  <c r="K266"/>
  <c r="L266"/>
  <c r="I267"/>
  <c r="J267"/>
  <c r="K267"/>
  <c r="L267"/>
  <c r="I268"/>
  <c r="J268"/>
  <c r="K268"/>
  <c r="L268"/>
  <c r="I269"/>
  <c r="J269"/>
  <c r="K269"/>
  <c r="L269"/>
  <c r="I270"/>
  <c r="J270"/>
  <c r="K270"/>
  <c r="L270"/>
  <c r="I271"/>
  <c r="J271"/>
  <c r="K271"/>
  <c r="L271"/>
  <c r="I272"/>
  <c r="J272"/>
  <c r="K272"/>
  <c r="L272"/>
  <c r="I273"/>
  <c r="J273"/>
  <c r="K273"/>
  <c r="L273"/>
  <c r="I274"/>
  <c r="J274"/>
  <c r="K274"/>
  <c r="L274"/>
  <c r="I275"/>
  <c r="J275"/>
  <c r="K275"/>
  <c r="L275"/>
  <c r="I276"/>
  <c r="J276"/>
  <c r="K276"/>
  <c r="L276"/>
  <c r="I277"/>
  <c r="J277"/>
  <c r="K277"/>
  <c r="L277"/>
  <c r="I278"/>
  <c r="J278"/>
  <c r="K278"/>
  <c r="L278"/>
  <c r="I279"/>
  <c r="J279"/>
  <c r="K279"/>
  <c r="L279"/>
  <c r="I280"/>
  <c r="J280"/>
  <c r="K280"/>
  <c r="L280"/>
  <c r="I281"/>
  <c r="J281"/>
  <c r="K281"/>
  <c r="L281"/>
  <c r="I282"/>
  <c r="J282"/>
  <c r="K282"/>
  <c r="L282"/>
  <c r="I283"/>
  <c r="J283"/>
  <c r="K283"/>
  <c r="L283"/>
  <c r="I284"/>
  <c r="J284"/>
  <c r="K284"/>
  <c r="L284"/>
  <c r="I285"/>
  <c r="J285"/>
  <c r="K285"/>
  <c r="L285"/>
  <c r="I286"/>
  <c r="J286"/>
  <c r="K286"/>
  <c r="L286"/>
  <c r="I287"/>
  <c r="J287"/>
  <c r="K287"/>
  <c r="L287"/>
  <c r="I288"/>
  <c r="J288"/>
  <c r="K288"/>
  <c r="L288"/>
  <c r="J4"/>
  <c r="K4"/>
  <c r="L4"/>
  <c r="J5"/>
  <c r="K5"/>
  <c r="L5"/>
  <c r="J6"/>
  <c r="K6"/>
  <c r="L6"/>
  <c r="J7"/>
  <c r="K7"/>
  <c r="L7"/>
  <c r="J8"/>
  <c r="K8"/>
  <c r="L8"/>
  <c r="J9"/>
  <c r="K9"/>
  <c r="L9"/>
  <c r="J10"/>
  <c r="K10"/>
  <c r="L10"/>
  <c r="J11"/>
  <c r="K11"/>
  <c r="L11"/>
  <c r="J12"/>
  <c r="K12"/>
  <c r="L12"/>
  <c r="J13"/>
  <c r="K13"/>
  <c r="L13"/>
  <c r="J14"/>
  <c r="K14"/>
  <c r="L14"/>
  <c r="J15"/>
  <c r="K15"/>
  <c r="L15"/>
  <c r="J16"/>
  <c r="K16"/>
  <c r="L16"/>
  <c r="J17"/>
  <c r="K17"/>
  <c r="L17"/>
  <c r="J18"/>
  <c r="K18"/>
  <c r="L18"/>
  <c r="I5"/>
  <c r="I6"/>
  <c r="I7"/>
  <c r="I8"/>
  <c r="I9"/>
  <c r="I10"/>
  <c r="I11"/>
  <c r="I12"/>
  <c r="I13"/>
  <c r="I14"/>
  <c r="I15"/>
  <c r="I16"/>
  <c r="I17"/>
  <c r="I18"/>
  <c r="I4"/>
  <c r="E18"/>
  <c r="E17"/>
  <c r="E16"/>
  <c r="E15"/>
  <c r="E14"/>
  <c r="E13"/>
  <c r="S4"/>
  <c r="E12"/>
  <c r="E11"/>
  <c r="E10"/>
  <c r="E9"/>
  <c r="E8"/>
  <c r="E7"/>
  <c r="E6"/>
  <c r="E5"/>
  <c r="E4"/>
  <c r="B14" i="5"/>
  <c r="B19"/>
  <c r="B24"/>
  <c r="B29"/>
  <c r="B34"/>
  <c r="B39"/>
  <c r="B44"/>
  <c r="B49"/>
  <c r="B54"/>
  <c r="B59"/>
  <c r="B64"/>
  <c r="B15"/>
  <c r="B20"/>
  <c r="B25"/>
  <c r="B30"/>
  <c r="B35"/>
  <c r="B40"/>
  <c r="B45"/>
  <c r="B50"/>
  <c r="B55"/>
  <c r="B60"/>
  <c r="B65"/>
  <c r="B16"/>
  <c r="B21"/>
  <c r="B26"/>
  <c r="B31"/>
  <c r="B36"/>
  <c r="B41"/>
  <c r="B46"/>
  <c r="B51"/>
  <c r="B56"/>
  <c r="B61"/>
  <c r="B66"/>
  <c r="B17"/>
  <c r="B22"/>
  <c r="B27"/>
  <c r="B32"/>
  <c r="B37"/>
  <c r="B42"/>
  <c r="B47"/>
  <c r="B52"/>
  <c r="B57"/>
  <c r="B62"/>
  <c r="B67"/>
  <c r="B13"/>
  <c r="B18"/>
  <c r="B23"/>
  <c r="B28"/>
  <c r="B33"/>
  <c r="B38"/>
  <c r="B43"/>
  <c r="B48"/>
  <c r="B53"/>
  <c r="B58"/>
  <c r="B63"/>
  <c r="F3" i="3"/>
  <c r="F2"/>
  <c r="D3" i="4"/>
  <c r="I5" i="3"/>
  <c r="E3" i="4"/>
  <c r="K5" i="3"/>
  <c r="I6"/>
  <c r="K6"/>
  <c r="I7"/>
  <c r="K7"/>
  <c r="I8"/>
  <c r="K8"/>
  <c r="I9"/>
  <c r="K9"/>
  <c r="I10"/>
  <c r="K10"/>
  <c r="I11"/>
  <c r="K11"/>
  <c r="I12"/>
  <c r="K12"/>
  <c r="I13"/>
  <c r="K13"/>
  <c r="I14"/>
  <c r="K14"/>
  <c r="I15"/>
  <c r="K15"/>
  <c r="G3" i="4"/>
  <c r="M4" i="3"/>
  <c r="K4"/>
  <c r="F3" i="4"/>
  <c r="L5" i="3"/>
  <c r="M5"/>
  <c r="I4"/>
  <c r="E24"/>
  <c r="E36"/>
  <c r="E48"/>
  <c r="E60"/>
  <c r="E72"/>
  <c r="E84"/>
  <c r="E96"/>
  <c r="E108"/>
  <c r="E120"/>
  <c r="E132"/>
  <c r="E144"/>
  <c r="E156"/>
  <c r="E168"/>
  <c r="E180"/>
  <c r="E192"/>
  <c r="E204"/>
  <c r="H24"/>
  <c r="H36"/>
  <c r="H48"/>
  <c r="H60"/>
  <c r="H72"/>
  <c r="H84"/>
  <c r="H96"/>
  <c r="H108"/>
  <c r="H120"/>
  <c r="H132"/>
  <c r="H144"/>
  <c r="H156"/>
  <c r="H168"/>
  <c r="H180"/>
  <c r="H192"/>
  <c r="H204"/>
  <c r="E25"/>
  <c r="E37"/>
  <c r="E49"/>
  <c r="E61"/>
  <c r="E73"/>
  <c r="E85"/>
  <c r="E97"/>
  <c r="E109"/>
  <c r="E121"/>
  <c r="E133"/>
  <c r="E145"/>
  <c r="E157"/>
  <c r="E169"/>
  <c r="E181"/>
  <c r="E193"/>
  <c r="E205"/>
  <c r="H25"/>
  <c r="H37"/>
  <c r="H49"/>
  <c r="H61"/>
  <c r="H73"/>
  <c r="H85"/>
  <c r="H97"/>
  <c r="H109"/>
  <c r="H121"/>
  <c r="H133"/>
  <c r="H145"/>
  <c r="H157"/>
  <c r="H169"/>
  <c r="H181"/>
  <c r="H193"/>
  <c r="H205"/>
  <c r="E26"/>
  <c r="E38"/>
  <c r="E50"/>
  <c r="E62"/>
  <c r="E74"/>
  <c r="E86"/>
  <c r="E98"/>
  <c r="E110"/>
  <c r="E122"/>
  <c r="E134"/>
  <c r="E146"/>
  <c r="E158"/>
  <c r="E170"/>
  <c r="E182"/>
  <c r="E194"/>
  <c r="E206"/>
  <c r="H26"/>
  <c r="H38"/>
  <c r="H50"/>
  <c r="H62"/>
  <c r="H74"/>
  <c r="H86"/>
  <c r="H98"/>
  <c r="H110"/>
  <c r="H122"/>
  <c r="H134"/>
  <c r="H146"/>
  <c r="H158"/>
  <c r="H170"/>
  <c r="H182"/>
  <c r="H194"/>
  <c r="H206"/>
  <c r="E27"/>
  <c r="E39"/>
  <c r="E51"/>
  <c r="E63"/>
  <c r="E75"/>
  <c r="E87"/>
  <c r="E99"/>
  <c r="E111"/>
  <c r="E123"/>
  <c r="E135"/>
  <c r="E147"/>
  <c r="E159"/>
  <c r="E171"/>
  <c r="E183"/>
  <c r="E195"/>
  <c r="E207"/>
  <c r="H27"/>
  <c r="H39"/>
  <c r="H51"/>
  <c r="H63"/>
  <c r="H75"/>
  <c r="H87"/>
  <c r="H99"/>
  <c r="H111"/>
  <c r="H123"/>
  <c r="H135"/>
  <c r="H147"/>
  <c r="H159"/>
  <c r="H171"/>
  <c r="H183"/>
  <c r="H195"/>
  <c r="H207"/>
  <c r="H18"/>
  <c r="H30"/>
  <c r="H42"/>
  <c r="H54"/>
  <c r="H66"/>
  <c r="H78"/>
  <c r="H90"/>
  <c r="H102"/>
  <c r="H114"/>
  <c r="H126"/>
  <c r="H138"/>
  <c r="H150"/>
  <c r="H162"/>
  <c r="H174"/>
  <c r="H186"/>
  <c r="H198"/>
  <c r="E17"/>
  <c r="E29"/>
  <c r="E41"/>
  <c r="E53"/>
  <c r="E65"/>
  <c r="E77"/>
  <c r="E89"/>
  <c r="E101"/>
  <c r="E113"/>
  <c r="E125"/>
  <c r="E137"/>
  <c r="E149"/>
  <c r="E161"/>
  <c r="E173"/>
  <c r="E185"/>
  <c r="E197"/>
  <c r="H17"/>
  <c r="H29"/>
  <c r="H41"/>
  <c r="H53"/>
  <c r="H65"/>
  <c r="H77"/>
  <c r="H89"/>
  <c r="H101"/>
  <c r="H113"/>
  <c r="H125"/>
  <c r="H137"/>
  <c r="H149"/>
  <c r="H161"/>
  <c r="H173"/>
  <c r="H185"/>
  <c r="H197"/>
  <c r="E18"/>
  <c r="E30"/>
  <c r="E42"/>
  <c r="E54"/>
  <c r="E66"/>
  <c r="E78"/>
  <c r="E90"/>
  <c r="E102"/>
  <c r="E114"/>
  <c r="E126"/>
  <c r="E138"/>
  <c r="E150"/>
  <c r="E162"/>
  <c r="E174"/>
  <c r="E186"/>
  <c r="E198"/>
  <c r="E19"/>
  <c r="E31"/>
  <c r="E43"/>
  <c r="E55"/>
  <c r="E67"/>
  <c r="E79"/>
  <c r="E91"/>
  <c r="E103"/>
  <c r="E115"/>
  <c r="E127"/>
  <c r="E139"/>
  <c r="E151"/>
  <c r="E163"/>
  <c r="E175"/>
  <c r="E187"/>
  <c r="E199"/>
  <c r="H19"/>
  <c r="H31"/>
  <c r="H43"/>
  <c r="H55"/>
  <c r="H67"/>
  <c r="H79"/>
  <c r="H91"/>
  <c r="H103"/>
  <c r="H115"/>
  <c r="H127"/>
  <c r="H139"/>
  <c r="H151"/>
  <c r="H163"/>
  <c r="H175"/>
  <c r="H187"/>
  <c r="H199"/>
  <c r="E20"/>
  <c r="E32"/>
  <c r="E44"/>
  <c r="E56"/>
  <c r="E68"/>
  <c r="E80"/>
  <c r="E92"/>
  <c r="E104"/>
  <c r="E116"/>
  <c r="E128"/>
  <c r="E140"/>
  <c r="E152"/>
  <c r="E164"/>
  <c r="E176"/>
  <c r="E188"/>
  <c r="E200"/>
  <c r="H20"/>
  <c r="H32"/>
  <c r="H44"/>
  <c r="H56"/>
  <c r="H68"/>
  <c r="H80"/>
  <c r="H92"/>
  <c r="H104"/>
  <c r="H116"/>
  <c r="H128"/>
  <c r="H140"/>
  <c r="H152"/>
  <c r="H164"/>
  <c r="H176"/>
  <c r="H188"/>
  <c r="H200"/>
  <c r="E21"/>
  <c r="E33"/>
  <c r="E45"/>
  <c r="E57"/>
  <c r="E69"/>
  <c r="E81"/>
  <c r="E93"/>
  <c r="E105"/>
  <c r="E117"/>
  <c r="E129"/>
  <c r="E141"/>
  <c r="E153"/>
  <c r="E165"/>
  <c r="E177"/>
  <c r="E189"/>
  <c r="E201"/>
  <c r="H21"/>
  <c r="H33"/>
  <c r="H45"/>
  <c r="H57"/>
  <c r="H69"/>
  <c r="H81"/>
  <c r="H93"/>
  <c r="H105"/>
  <c r="H117"/>
  <c r="H129"/>
  <c r="H141"/>
  <c r="H153"/>
  <c r="H165"/>
  <c r="H177"/>
  <c r="H189"/>
  <c r="H201"/>
  <c r="E22"/>
  <c r="E34"/>
  <c r="E46"/>
  <c r="E58"/>
  <c r="E70"/>
  <c r="E82"/>
  <c r="E94"/>
  <c r="E106"/>
  <c r="E118"/>
  <c r="E130"/>
  <c r="E142"/>
  <c r="E154"/>
  <c r="E166"/>
  <c r="E178"/>
  <c r="E190"/>
  <c r="E202"/>
  <c r="H22"/>
  <c r="H34"/>
  <c r="H46"/>
  <c r="H58"/>
  <c r="H70"/>
  <c r="H82"/>
  <c r="H94"/>
  <c r="H106"/>
  <c r="H118"/>
  <c r="H130"/>
  <c r="H142"/>
  <c r="H154"/>
  <c r="H166"/>
  <c r="H178"/>
  <c r="H190"/>
  <c r="H202"/>
  <c r="E23"/>
  <c r="E35"/>
  <c r="E47"/>
  <c r="E59"/>
  <c r="E71"/>
  <c r="E83"/>
  <c r="E95"/>
  <c r="E107"/>
  <c r="E119"/>
  <c r="E131"/>
  <c r="E143"/>
  <c r="E155"/>
  <c r="E167"/>
  <c r="E179"/>
  <c r="E191"/>
  <c r="E203"/>
  <c r="H23"/>
  <c r="H35"/>
  <c r="H47"/>
  <c r="H59"/>
  <c r="H71"/>
  <c r="H83"/>
  <c r="H95"/>
  <c r="H107"/>
  <c r="H119"/>
  <c r="H131"/>
  <c r="H143"/>
  <c r="H155"/>
  <c r="H167"/>
  <c r="H179"/>
  <c r="H191"/>
  <c r="H203"/>
  <c r="H16"/>
  <c r="H28"/>
  <c r="H40"/>
  <c r="H52"/>
  <c r="H64"/>
  <c r="H76"/>
  <c r="H88"/>
  <c r="H100"/>
  <c r="H112"/>
  <c r="H124"/>
  <c r="H136"/>
  <c r="H148"/>
  <c r="H160"/>
  <c r="H172"/>
  <c r="H184"/>
  <c r="H196"/>
  <c r="E16"/>
  <c r="E28"/>
  <c r="E40"/>
  <c r="E52"/>
  <c r="E64"/>
  <c r="E76"/>
  <c r="E88"/>
  <c r="E100"/>
  <c r="E112"/>
  <c r="E124"/>
  <c r="E136"/>
  <c r="E148"/>
  <c r="E160"/>
  <c r="E172"/>
  <c r="E184"/>
  <c r="E196"/>
  <c r="F5"/>
  <c r="F17"/>
  <c r="F29"/>
  <c r="F41"/>
  <c r="F53"/>
  <c r="F65"/>
  <c r="F77"/>
  <c r="F89"/>
  <c r="F101"/>
  <c r="F113"/>
  <c r="F125"/>
  <c r="F137"/>
  <c r="F149"/>
  <c r="F161"/>
  <c r="F173"/>
  <c r="F185"/>
  <c r="F197"/>
  <c r="F6"/>
  <c r="F18"/>
  <c r="F30"/>
  <c r="F42"/>
  <c r="F54"/>
  <c r="F66"/>
  <c r="F78"/>
  <c r="F90"/>
  <c r="F102"/>
  <c r="F114"/>
  <c r="F126"/>
  <c r="F138"/>
  <c r="F150"/>
  <c r="F162"/>
  <c r="F174"/>
  <c r="F186"/>
  <c r="F198"/>
  <c r="F7"/>
  <c r="F19"/>
  <c r="F31"/>
  <c r="F43"/>
  <c r="F55"/>
  <c r="F67"/>
  <c r="F79"/>
  <c r="F91"/>
  <c r="F103"/>
  <c r="F115"/>
  <c r="F127"/>
  <c r="F139"/>
  <c r="F151"/>
  <c r="F163"/>
  <c r="F175"/>
  <c r="F187"/>
  <c r="F199"/>
  <c r="F8"/>
  <c r="F20"/>
  <c r="F32"/>
  <c r="F44"/>
  <c r="F56"/>
  <c r="F68"/>
  <c r="F80"/>
  <c r="F92"/>
  <c r="F104"/>
  <c r="F116"/>
  <c r="F128"/>
  <c r="F140"/>
  <c r="F152"/>
  <c r="F164"/>
  <c r="F176"/>
  <c r="F188"/>
  <c r="F200"/>
  <c r="F9"/>
  <c r="F21"/>
  <c r="F33"/>
  <c r="F45"/>
  <c r="F57"/>
  <c r="F69"/>
  <c r="F81"/>
  <c r="F93"/>
  <c r="F105"/>
  <c r="F117"/>
  <c r="F129"/>
  <c r="F141"/>
  <c r="F153"/>
  <c r="F165"/>
  <c r="F177"/>
  <c r="F189"/>
  <c r="F201"/>
  <c r="F10"/>
  <c r="F22"/>
  <c r="F34"/>
  <c r="F46"/>
  <c r="F58"/>
  <c r="F70"/>
  <c r="F82"/>
  <c r="F94"/>
  <c r="F106"/>
  <c r="F118"/>
  <c r="F130"/>
  <c r="F142"/>
  <c r="F154"/>
  <c r="F166"/>
  <c r="F178"/>
  <c r="F190"/>
  <c r="F202"/>
  <c r="F11"/>
  <c r="F23"/>
  <c r="F35"/>
  <c r="F47"/>
  <c r="F59"/>
  <c r="F71"/>
  <c r="F83"/>
  <c r="F95"/>
  <c r="F107"/>
  <c r="F119"/>
  <c r="F131"/>
  <c r="F143"/>
  <c r="F155"/>
  <c r="F167"/>
  <c r="F179"/>
  <c r="F191"/>
  <c r="F203"/>
  <c r="F12"/>
  <c r="F24"/>
  <c r="F36"/>
  <c r="F48"/>
  <c r="F60"/>
  <c r="F72"/>
  <c r="F84"/>
  <c r="F96"/>
  <c r="F108"/>
  <c r="F120"/>
  <c r="F132"/>
  <c r="F144"/>
  <c r="F156"/>
  <c r="F168"/>
  <c r="F180"/>
  <c r="F192"/>
  <c r="F204"/>
  <c r="F13"/>
  <c r="F25"/>
  <c r="F37"/>
  <c r="F49"/>
  <c r="F61"/>
  <c r="F73"/>
  <c r="F85"/>
  <c r="F97"/>
  <c r="F109"/>
  <c r="F121"/>
  <c r="F133"/>
  <c r="F145"/>
  <c r="F157"/>
  <c r="F169"/>
  <c r="F181"/>
  <c r="F193"/>
  <c r="F205"/>
  <c r="F14"/>
  <c r="F26"/>
  <c r="F38"/>
  <c r="F50"/>
  <c r="F62"/>
  <c r="F74"/>
  <c r="F86"/>
  <c r="F98"/>
  <c r="F110"/>
  <c r="F122"/>
  <c r="F134"/>
  <c r="F146"/>
  <c r="F158"/>
  <c r="F170"/>
  <c r="F182"/>
  <c r="F194"/>
  <c r="F206"/>
  <c r="F15"/>
  <c r="F27"/>
  <c r="F39"/>
  <c r="F51"/>
  <c r="F63"/>
  <c r="F75"/>
  <c r="F87"/>
  <c r="F99"/>
  <c r="F111"/>
  <c r="F123"/>
  <c r="F135"/>
  <c r="F147"/>
  <c r="F159"/>
  <c r="F171"/>
  <c r="F183"/>
  <c r="F195"/>
  <c r="F207"/>
  <c r="F4"/>
  <c r="F16"/>
  <c r="F28"/>
  <c r="F40"/>
  <c r="F52"/>
  <c r="F64"/>
  <c r="F76"/>
  <c r="F88"/>
  <c r="F100"/>
  <c r="F112"/>
  <c r="F124"/>
  <c r="F136"/>
  <c r="F148"/>
  <c r="F160"/>
  <c r="F172"/>
  <c r="F184"/>
  <c r="F196"/>
  <c r="D17"/>
  <c r="D29"/>
  <c r="D41"/>
  <c r="D53"/>
  <c r="D65"/>
  <c r="D77"/>
  <c r="D89"/>
  <c r="D101"/>
  <c r="D113"/>
  <c r="D125"/>
  <c r="D137"/>
  <c r="D149"/>
  <c r="D161"/>
  <c r="D173"/>
  <c r="D185"/>
  <c r="D197"/>
  <c r="D18"/>
  <c r="D30"/>
  <c r="D42"/>
  <c r="D54"/>
  <c r="D66"/>
  <c r="D78"/>
  <c r="D90"/>
  <c r="D102"/>
  <c r="D114"/>
  <c r="D126"/>
  <c r="D138"/>
  <c r="D150"/>
  <c r="D162"/>
  <c r="D174"/>
  <c r="D186"/>
  <c r="D198"/>
  <c r="D19"/>
  <c r="D31"/>
  <c r="D43"/>
  <c r="D55"/>
  <c r="D67"/>
  <c r="D79"/>
  <c r="D91"/>
  <c r="D103"/>
  <c r="D115"/>
  <c r="D127"/>
  <c r="D139"/>
  <c r="D151"/>
  <c r="D163"/>
  <c r="D175"/>
  <c r="D187"/>
  <c r="D199"/>
  <c r="D20"/>
  <c r="D32"/>
  <c r="D44"/>
  <c r="D56"/>
  <c r="D68"/>
  <c r="D80"/>
  <c r="D92"/>
  <c r="D104"/>
  <c r="D116"/>
  <c r="D128"/>
  <c r="D140"/>
  <c r="D152"/>
  <c r="D164"/>
  <c r="D176"/>
  <c r="D188"/>
  <c r="D200"/>
  <c r="D21"/>
  <c r="D33"/>
  <c r="D45"/>
  <c r="D57"/>
  <c r="D69"/>
  <c r="D81"/>
  <c r="D93"/>
  <c r="D105"/>
  <c r="D117"/>
  <c r="D129"/>
  <c r="D141"/>
  <c r="D153"/>
  <c r="D165"/>
  <c r="D177"/>
  <c r="D189"/>
  <c r="D201"/>
  <c r="D22"/>
  <c r="D34"/>
  <c r="D46"/>
  <c r="D58"/>
  <c r="D70"/>
  <c r="D82"/>
  <c r="D94"/>
  <c r="D106"/>
  <c r="D118"/>
  <c r="D130"/>
  <c r="D142"/>
  <c r="D154"/>
  <c r="D166"/>
  <c r="D178"/>
  <c r="D190"/>
  <c r="D202"/>
  <c r="D23"/>
  <c r="D35"/>
  <c r="D47"/>
  <c r="D59"/>
  <c r="D71"/>
  <c r="D83"/>
  <c r="D95"/>
  <c r="D107"/>
  <c r="D119"/>
  <c r="D131"/>
  <c r="D143"/>
  <c r="D155"/>
  <c r="D167"/>
  <c r="D179"/>
  <c r="D191"/>
  <c r="D203"/>
  <c r="D24"/>
  <c r="D36"/>
  <c r="D48"/>
  <c r="D60"/>
  <c r="D72"/>
  <c r="D84"/>
  <c r="D96"/>
  <c r="D108"/>
  <c r="D120"/>
  <c r="D132"/>
  <c r="D144"/>
  <c r="D156"/>
  <c r="D168"/>
  <c r="D180"/>
  <c r="D192"/>
  <c r="D204"/>
  <c r="D25"/>
  <c r="D37"/>
  <c r="D49"/>
  <c r="D61"/>
  <c r="D73"/>
  <c r="D85"/>
  <c r="D97"/>
  <c r="D109"/>
  <c r="D121"/>
  <c r="D133"/>
  <c r="D145"/>
  <c r="D157"/>
  <c r="D169"/>
  <c r="D181"/>
  <c r="D193"/>
  <c r="D205"/>
  <c r="D26"/>
  <c r="D38"/>
  <c r="D50"/>
  <c r="D62"/>
  <c r="D74"/>
  <c r="D86"/>
  <c r="D98"/>
  <c r="D110"/>
  <c r="D122"/>
  <c r="D134"/>
  <c r="D146"/>
  <c r="D158"/>
  <c r="D170"/>
  <c r="D182"/>
  <c r="D194"/>
  <c r="D206"/>
  <c r="D27"/>
  <c r="D39"/>
  <c r="D51"/>
  <c r="D63"/>
  <c r="D75"/>
  <c r="D87"/>
  <c r="D99"/>
  <c r="D111"/>
  <c r="D123"/>
  <c r="D135"/>
  <c r="D147"/>
  <c r="D159"/>
  <c r="D171"/>
  <c r="D183"/>
  <c r="D195"/>
  <c r="D207"/>
  <c r="D16"/>
  <c r="D28"/>
  <c r="D40"/>
  <c r="D52"/>
  <c r="D64"/>
  <c r="D76"/>
  <c r="D88"/>
  <c r="D100"/>
  <c r="D112"/>
  <c r="D124"/>
  <c r="D136"/>
  <c r="D148"/>
  <c r="D160"/>
  <c r="D172"/>
  <c r="D184"/>
  <c r="D196"/>
  <c r="B29"/>
  <c r="B53"/>
  <c r="B77"/>
  <c r="B101"/>
  <c r="B125"/>
  <c r="B149"/>
  <c r="B173"/>
  <c r="B197"/>
  <c r="C29"/>
  <c r="C53"/>
  <c r="C77"/>
  <c r="C101"/>
  <c r="C125"/>
  <c r="C149"/>
  <c r="C173"/>
  <c r="C197"/>
  <c r="B30"/>
  <c r="C30"/>
  <c r="C54"/>
  <c r="C78"/>
  <c r="C102"/>
  <c r="C126"/>
  <c r="C150"/>
  <c r="C174"/>
  <c r="C198"/>
  <c r="B31"/>
  <c r="B55"/>
  <c r="B79"/>
  <c r="B103"/>
  <c r="B127"/>
  <c r="B151"/>
  <c r="B175"/>
  <c r="B199"/>
  <c r="C31"/>
  <c r="C55"/>
  <c r="C79"/>
  <c r="C103"/>
  <c r="C127"/>
  <c r="C151"/>
  <c r="C175"/>
  <c r="C199"/>
  <c r="B32"/>
  <c r="C32"/>
  <c r="B33"/>
  <c r="B57"/>
  <c r="B81"/>
  <c r="B105"/>
  <c r="B129"/>
  <c r="B153"/>
  <c r="B177"/>
  <c r="B201"/>
  <c r="C33"/>
  <c r="C57"/>
  <c r="C81"/>
  <c r="C105"/>
  <c r="C129"/>
  <c r="C153"/>
  <c r="C177"/>
  <c r="C201"/>
  <c r="B34"/>
  <c r="B58"/>
  <c r="B82"/>
  <c r="B106"/>
  <c r="B130"/>
  <c r="B154"/>
  <c r="B178"/>
  <c r="B202"/>
  <c r="C34"/>
  <c r="C58"/>
  <c r="C82"/>
  <c r="C106"/>
  <c r="C130"/>
  <c r="C154"/>
  <c r="C178"/>
  <c r="C202"/>
  <c r="B35"/>
  <c r="B59"/>
  <c r="B83"/>
  <c r="B107"/>
  <c r="B131"/>
  <c r="B155"/>
  <c r="B179"/>
  <c r="B203"/>
  <c r="C35"/>
  <c r="C59"/>
  <c r="C83"/>
  <c r="C107"/>
  <c r="C131"/>
  <c r="C155"/>
  <c r="C179"/>
  <c r="C203"/>
  <c r="B36"/>
  <c r="C36"/>
  <c r="C60"/>
  <c r="C84"/>
  <c r="C108"/>
  <c r="C132"/>
  <c r="C156"/>
  <c r="C180"/>
  <c r="C204"/>
  <c r="B37"/>
  <c r="C37"/>
  <c r="C61"/>
  <c r="C85"/>
  <c r="C109"/>
  <c r="C133"/>
  <c r="C157"/>
  <c r="C181"/>
  <c r="C205"/>
  <c r="B38"/>
  <c r="B62"/>
  <c r="B86"/>
  <c r="B110"/>
  <c r="B134"/>
  <c r="B158"/>
  <c r="B182"/>
  <c r="B206"/>
  <c r="C38"/>
  <c r="C62"/>
  <c r="C86"/>
  <c r="C110"/>
  <c r="C134"/>
  <c r="C158"/>
  <c r="C182"/>
  <c r="C206"/>
  <c r="B39"/>
  <c r="B63"/>
  <c r="C39"/>
  <c r="C63"/>
  <c r="C87"/>
  <c r="C111"/>
  <c r="C135"/>
  <c r="C159"/>
  <c r="C183"/>
  <c r="C207"/>
  <c r="B40"/>
  <c r="C40"/>
  <c r="C64"/>
  <c r="C88"/>
  <c r="C112"/>
  <c r="C136"/>
  <c r="C160"/>
  <c r="C184"/>
  <c r="B41"/>
  <c r="B65"/>
  <c r="B89"/>
  <c r="B113"/>
  <c r="B137"/>
  <c r="B161"/>
  <c r="B185"/>
  <c r="C41"/>
  <c r="C65"/>
  <c r="C89"/>
  <c r="C113"/>
  <c r="C137"/>
  <c r="C161"/>
  <c r="C185"/>
  <c r="B42"/>
  <c r="C42"/>
  <c r="C66"/>
  <c r="C90"/>
  <c r="B43"/>
  <c r="B67"/>
  <c r="B91"/>
  <c r="C43"/>
  <c r="C67"/>
  <c r="C91"/>
  <c r="C115"/>
  <c r="C139"/>
  <c r="C163"/>
  <c r="C187"/>
  <c r="B44"/>
  <c r="B68"/>
  <c r="B92"/>
  <c r="B116"/>
  <c r="B140"/>
  <c r="B164"/>
  <c r="B188"/>
  <c r="C44"/>
  <c r="C68"/>
  <c r="C92"/>
  <c r="C116"/>
  <c r="C140"/>
  <c r="C164"/>
  <c r="C188"/>
  <c r="B45"/>
  <c r="C45"/>
  <c r="C69"/>
  <c r="C93"/>
  <c r="C117"/>
  <c r="C141"/>
  <c r="C165"/>
  <c r="C189"/>
  <c r="B46"/>
  <c r="B70"/>
  <c r="B94"/>
  <c r="B118"/>
  <c r="B142"/>
  <c r="B166"/>
  <c r="B190"/>
  <c r="C46"/>
  <c r="C70"/>
  <c r="C94"/>
  <c r="C118"/>
  <c r="C142"/>
  <c r="C166"/>
  <c r="C190"/>
  <c r="B47"/>
  <c r="B71"/>
  <c r="B95"/>
  <c r="B119"/>
  <c r="B143"/>
  <c r="B167"/>
  <c r="B191"/>
  <c r="C47"/>
  <c r="C71"/>
  <c r="C95"/>
  <c r="C119"/>
  <c r="C143"/>
  <c r="C167"/>
  <c r="C191"/>
  <c r="B48"/>
  <c r="C48"/>
  <c r="C72"/>
  <c r="C96"/>
  <c r="C120"/>
  <c r="B49"/>
  <c r="B73"/>
  <c r="B97"/>
  <c r="B121"/>
  <c r="B145"/>
  <c r="B169"/>
  <c r="B193"/>
  <c r="C49"/>
  <c r="C73"/>
  <c r="C97"/>
  <c r="C121"/>
  <c r="C145"/>
  <c r="C169"/>
  <c r="C193"/>
  <c r="B50"/>
  <c r="B74"/>
  <c r="B98"/>
  <c r="B122"/>
  <c r="B146"/>
  <c r="B170"/>
  <c r="B194"/>
  <c r="C50"/>
  <c r="C74"/>
  <c r="C98"/>
  <c r="C122"/>
  <c r="C146"/>
  <c r="C170"/>
  <c r="C194"/>
  <c r="B51"/>
  <c r="B75"/>
  <c r="B99"/>
  <c r="B123"/>
  <c r="B147"/>
  <c r="B171"/>
  <c r="B195"/>
  <c r="C51"/>
  <c r="C75"/>
  <c r="C99"/>
  <c r="C123"/>
  <c r="C147"/>
  <c r="C171"/>
  <c r="C195"/>
  <c r="B54"/>
  <c r="B78"/>
  <c r="B102"/>
  <c r="B126"/>
  <c r="B150"/>
  <c r="B174"/>
  <c r="B198"/>
  <c r="B56"/>
  <c r="B80"/>
  <c r="B104"/>
  <c r="B128"/>
  <c r="B152"/>
  <c r="B176"/>
  <c r="B200"/>
  <c r="C56"/>
  <c r="C80"/>
  <c r="C104"/>
  <c r="C128"/>
  <c r="C152"/>
  <c r="C176"/>
  <c r="C200"/>
  <c r="B60"/>
  <c r="B84"/>
  <c r="B108"/>
  <c r="B132"/>
  <c r="B156"/>
  <c r="B180"/>
  <c r="B204"/>
  <c r="B61"/>
  <c r="B85"/>
  <c r="B109"/>
  <c r="B133"/>
  <c r="B157"/>
  <c r="B181"/>
  <c r="B205"/>
  <c r="B64"/>
  <c r="B88"/>
  <c r="B112"/>
  <c r="B136"/>
  <c r="B160"/>
  <c r="B184"/>
  <c r="B66"/>
  <c r="B90"/>
  <c r="B114"/>
  <c r="B138"/>
  <c r="B162"/>
  <c r="B186"/>
  <c r="B69"/>
  <c r="B93"/>
  <c r="B117"/>
  <c r="B141"/>
  <c r="B165"/>
  <c r="B189"/>
  <c r="B72"/>
  <c r="B96"/>
  <c r="B120"/>
  <c r="B144"/>
  <c r="B168"/>
  <c r="B192"/>
  <c r="B87"/>
  <c r="B111"/>
  <c r="C114"/>
  <c r="C138"/>
  <c r="C162"/>
  <c r="C186"/>
  <c r="B115"/>
  <c r="B139"/>
  <c r="B163"/>
  <c r="B187"/>
  <c r="B135"/>
  <c r="B159"/>
  <c r="B183"/>
  <c r="B207"/>
  <c r="C144"/>
  <c r="C168"/>
  <c r="C192"/>
  <c r="C28"/>
  <c r="C52"/>
  <c r="C76"/>
  <c r="C100"/>
  <c r="C124"/>
  <c r="C148"/>
  <c r="C172"/>
  <c r="C196"/>
  <c r="B28"/>
  <c r="B52"/>
  <c r="B76"/>
  <c r="B100"/>
  <c r="B124"/>
  <c r="B148"/>
  <c r="B172"/>
  <c r="B196"/>
  <c r="A23"/>
  <c r="A35"/>
  <c r="A95"/>
  <c r="M95"/>
  <c r="A27"/>
  <c r="A39"/>
  <c r="A16"/>
  <c r="A28"/>
  <c r="A88"/>
  <c r="A17"/>
  <c r="A18"/>
  <c r="I18"/>
  <c r="A19"/>
  <c r="A20"/>
  <c r="M20"/>
  <c r="A21"/>
  <c r="M21"/>
  <c r="A22"/>
  <c r="I22"/>
  <c r="I23"/>
  <c r="A24"/>
  <c r="I24"/>
  <c r="A25"/>
  <c r="A26"/>
  <c r="I26"/>
  <c r="M27"/>
  <c r="B2"/>
  <c r="C2"/>
  <c r="D2"/>
  <c r="E2"/>
  <c r="G2"/>
  <c r="H2"/>
  <c r="I2"/>
  <c r="J2"/>
  <c r="K2"/>
  <c r="L2"/>
  <c r="M2"/>
  <c r="N2"/>
  <c r="O2"/>
  <c r="P2"/>
  <c r="Q2"/>
  <c r="R2"/>
  <c r="B3"/>
  <c r="C3"/>
  <c r="D3"/>
  <c r="E3"/>
  <c r="G3"/>
  <c r="H3"/>
  <c r="I3"/>
  <c r="J3"/>
  <c r="K3"/>
  <c r="L3"/>
  <c r="M3"/>
  <c r="N3"/>
  <c r="O3"/>
  <c r="P3"/>
  <c r="Q3"/>
  <c r="R3"/>
  <c r="A2"/>
  <c r="A3"/>
  <c r="L18"/>
  <c r="M15"/>
  <c r="M14"/>
  <c r="M13"/>
  <c r="M12"/>
  <c r="M11"/>
  <c r="M10"/>
  <c r="M9"/>
  <c r="M8"/>
  <c r="M7"/>
  <c r="M6"/>
  <c r="K26"/>
  <c r="L4"/>
  <c r="K18"/>
  <c r="A30"/>
  <c r="K30"/>
  <c r="L15"/>
  <c r="L14"/>
  <c r="L13"/>
  <c r="L12"/>
  <c r="L11"/>
  <c r="L10"/>
  <c r="L9"/>
  <c r="L8"/>
  <c r="L7"/>
  <c r="L6"/>
  <c r="M22"/>
  <c r="A34"/>
  <c r="I34"/>
  <c r="L28"/>
  <c r="L22"/>
  <c r="M16"/>
  <c r="M26"/>
  <c r="M28"/>
  <c r="L16"/>
  <c r="L26"/>
  <c r="M18"/>
  <c r="M24"/>
  <c r="L24"/>
  <c r="M30"/>
  <c r="A38"/>
  <c r="L38"/>
  <c r="M23"/>
  <c r="I30"/>
  <c r="I25"/>
  <c r="K25"/>
  <c r="L25"/>
  <c r="A29"/>
  <c r="I17"/>
  <c r="K17"/>
  <c r="L17"/>
  <c r="M17"/>
  <c r="L88"/>
  <c r="A148"/>
  <c r="M88"/>
  <c r="K88"/>
  <c r="A33"/>
  <c r="I21"/>
  <c r="K21"/>
  <c r="L21"/>
  <c r="A32"/>
  <c r="I20"/>
  <c r="K20"/>
  <c r="A37"/>
  <c r="A97"/>
  <c r="K97"/>
  <c r="M25"/>
  <c r="L20"/>
  <c r="I88"/>
  <c r="I27"/>
  <c r="K27"/>
  <c r="L27"/>
  <c r="I19"/>
  <c r="K19"/>
  <c r="A31"/>
  <c r="L19"/>
  <c r="M19"/>
  <c r="K16"/>
  <c r="K28"/>
  <c r="K24"/>
  <c r="K22"/>
  <c r="L30"/>
  <c r="A36"/>
  <c r="L36"/>
  <c r="I16"/>
  <c r="I28"/>
  <c r="L23"/>
  <c r="K23"/>
  <c r="A40"/>
  <c r="A47"/>
  <c r="A59"/>
  <c r="A119"/>
  <c r="M35"/>
  <c r="K35"/>
  <c r="I35"/>
  <c r="I95"/>
  <c r="A98"/>
  <c r="I38"/>
  <c r="K38"/>
  <c r="M34"/>
  <c r="A46"/>
  <c r="M47"/>
  <c r="A99"/>
  <c r="K39"/>
  <c r="I39"/>
  <c r="L39"/>
  <c r="M39"/>
  <c r="L35"/>
  <c r="A157"/>
  <c r="A155"/>
  <c r="K95"/>
  <c r="L95"/>
  <c r="A107"/>
  <c r="A51"/>
  <c r="A50"/>
  <c r="M36"/>
  <c r="L34"/>
  <c r="A90"/>
  <c r="A42"/>
  <c r="K36"/>
  <c r="K34"/>
  <c r="L90"/>
  <c r="A94"/>
  <c r="M38"/>
  <c r="I90"/>
  <c r="K37"/>
  <c r="L47"/>
  <c r="L37"/>
  <c r="L97"/>
  <c r="I37"/>
  <c r="A49"/>
  <c r="L49"/>
  <c r="I47"/>
  <c r="A96"/>
  <c r="I36"/>
  <c r="A48"/>
  <c r="K31"/>
  <c r="L31"/>
  <c r="M31"/>
  <c r="A91"/>
  <c r="I31"/>
  <c r="A43"/>
  <c r="K33"/>
  <c r="L33"/>
  <c r="M33"/>
  <c r="A93"/>
  <c r="I33"/>
  <c r="A45"/>
  <c r="M97"/>
  <c r="I97"/>
  <c r="M37"/>
  <c r="I40"/>
  <c r="K40"/>
  <c r="L40"/>
  <c r="M40"/>
  <c r="A100"/>
  <c r="A52"/>
  <c r="K148"/>
  <c r="L148"/>
  <c r="I148"/>
  <c r="M148"/>
  <c r="K29"/>
  <c r="L29"/>
  <c r="A41"/>
  <c r="M29"/>
  <c r="A89"/>
  <c r="I29"/>
  <c r="K47"/>
  <c r="K32"/>
  <c r="A44"/>
  <c r="L32"/>
  <c r="I32"/>
  <c r="A92"/>
  <c r="M32"/>
  <c r="A109"/>
  <c r="M109"/>
  <c r="I49"/>
  <c r="K49"/>
  <c r="A61"/>
  <c r="A73"/>
  <c r="M49"/>
  <c r="A106"/>
  <c r="I46"/>
  <c r="K46"/>
  <c r="L46"/>
  <c r="M46"/>
  <c r="A58"/>
  <c r="K51"/>
  <c r="L51"/>
  <c r="M51"/>
  <c r="I51"/>
  <c r="L109"/>
  <c r="K155"/>
  <c r="I155"/>
  <c r="M155"/>
  <c r="L155"/>
  <c r="A179"/>
  <c r="K119"/>
  <c r="L119"/>
  <c r="M119"/>
  <c r="I119"/>
  <c r="A154"/>
  <c r="I94"/>
  <c r="K94"/>
  <c r="L94"/>
  <c r="M94"/>
  <c r="A159"/>
  <c r="K99"/>
  <c r="L99"/>
  <c r="M99"/>
  <c r="I99"/>
  <c r="A71"/>
  <c r="K59"/>
  <c r="L59"/>
  <c r="M59"/>
  <c r="I59"/>
  <c r="K157"/>
  <c r="M157"/>
  <c r="L157"/>
  <c r="I157"/>
  <c r="I50"/>
  <c r="K50"/>
  <c r="L50"/>
  <c r="M50"/>
  <c r="A167"/>
  <c r="K107"/>
  <c r="L107"/>
  <c r="M107"/>
  <c r="I107"/>
  <c r="A158"/>
  <c r="I98"/>
  <c r="K98"/>
  <c r="L98"/>
  <c r="M98"/>
  <c r="A63"/>
  <c r="A111"/>
  <c r="A62"/>
  <c r="A110"/>
  <c r="M42"/>
  <c r="K42"/>
  <c r="A102"/>
  <c r="I42"/>
  <c r="L42"/>
  <c r="A54"/>
  <c r="M90"/>
  <c r="A150"/>
  <c r="L61"/>
  <c r="K90"/>
  <c r="I109"/>
  <c r="L41"/>
  <c r="I41"/>
  <c r="A101"/>
  <c r="M41"/>
  <c r="A53"/>
  <c r="K41"/>
  <c r="K100"/>
  <c r="M100"/>
  <c r="L100"/>
  <c r="A160"/>
  <c r="I100"/>
  <c r="A57"/>
  <c r="K45"/>
  <c r="I45"/>
  <c r="L45"/>
  <c r="M45"/>
  <c r="A105"/>
  <c r="I91"/>
  <c r="M91"/>
  <c r="A151"/>
  <c r="K91"/>
  <c r="L91"/>
  <c r="A56"/>
  <c r="M44"/>
  <c r="I44"/>
  <c r="K44"/>
  <c r="L44"/>
  <c r="A104"/>
  <c r="I93"/>
  <c r="L93"/>
  <c r="A153"/>
  <c r="K93"/>
  <c r="M93"/>
  <c r="K109"/>
  <c r="L43"/>
  <c r="M43"/>
  <c r="A55"/>
  <c r="I43"/>
  <c r="A103"/>
  <c r="K43"/>
  <c r="A152"/>
  <c r="I92"/>
  <c r="K92"/>
  <c r="M92"/>
  <c r="L92"/>
  <c r="A169"/>
  <c r="M48"/>
  <c r="A108"/>
  <c r="A60"/>
  <c r="I48"/>
  <c r="K48"/>
  <c r="L48"/>
  <c r="K89"/>
  <c r="A149"/>
  <c r="I89"/>
  <c r="M89"/>
  <c r="L89"/>
  <c r="M96"/>
  <c r="K96"/>
  <c r="L96"/>
  <c r="A156"/>
  <c r="I96"/>
  <c r="M52"/>
  <c r="A64"/>
  <c r="I52"/>
  <c r="K52"/>
  <c r="L52"/>
  <c r="A112"/>
  <c r="M61"/>
  <c r="A121"/>
  <c r="A181"/>
  <c r="I61"/>
  <c r="K61"/>
  <c r="K159"/>
  <c r="I159"/>
  <c r="L159"/>
  <c r="M159"/>
  <c r="A85"/>
  <c r="K73"/>
  <c r="I73"/>
  <c r="L73"/>
  <c r="M73"/>
  <c r="A133"/>
  <c r="A170"/>
  <c r="I110"/>
  <c r="K110"/>
  <c r="L110"/>
  <c r="M110"/>
  <c r="I158"/>
  <c r="K158"/>
  <c r="L158"/>
  <c r="M158"/>
  <c r="K167"/>
  <c r="I167"/>
  <c r="L167"/>
  <c r="M167"/>
  <c r="A166"/>
  <c r="I106"/>
  <c r="K106"/>
  <c r="L106"/>
  <c r="M106"/>
  <c r="I62"/>
  <c r="K62"/>
  <c r="L62"/>
  <c r="M62"/>
  <c r="I154"/>
  <c r="K154"/>
  <c r="L154"/>
  <c r="M154"/>
  <c r="A70"/>
  <c r="I58"/>
  <c r="K58"/>
  <c r="L58"/>
  <c r="M58"/>
  <c r="A118"/>
  <c r="K169"/>
  <c r="M169"/>
  <c r="I169"/>
  <c r="L169"/>
  <c r="A171"/>
  <c r="K111"/>
  <c r="L111"/>
  <c r="M111"/>
  <c r="I111"/>
  <c r="K63"/>
  <c r="L63"/>
  <c r="M63"/>
  <c r="I63"/>
  <c r="K179"/>
  <c r="I179"/>
  <c r="L179"/>
  <c r="M179"/>
  <c r="A83"/>
  <c r="K71"/>
  <c r="L71"/>
  <c r="M71"/>
  <c r="I71"/>
  <c r="A131"/>
  <c r="A74"/>
  <c r="A122"/>
  <c r="A75"/>
  <c r="A123"/>
  <c r="M150"/>
  <c r="L150"/>
  <c r="I150"/>
  <c r="K150"/>
  <c r="A162"/>
  <c r="M102"/>
  <c r="I102"/>
  <c r="L102"/>
  <c r="K102"/>
  <c r="K54"/>
  <c r="I54"/>
  <c r="M54"/>
  <c r="L54"/>
  <c r="A66"/>
  <c r="A114"/>
  <c r="I121"/>
  <c r="L121"/>
  <c r="M108"/>
  <c r="A168"/>
  <c r="I108"/>
  <c r="K108"/>
  <c r="L108"/>
  <c r="L103"/>
  <c r="I103"/>
  <c r="A163"/>
  <c r="K103"/>
  <c r="M103"/>
  <c r="L153"/>
  <c r="M153"/>
  <c r="I153"/>
  <c r="K153"/>
  <c r="M56"/>
  <c r="A116"/>
  <c r="A68"/>
  <c r="I56"/>
  <c r="K56"/>
  <c r="L56"/>
  <c r="I149"/>
  <c r="M149"/>
  <c r="L149"/>
  <c r="K149"/>
  <c r="A113"/>
  <c r="M53"/>
  <c r="I53"/>
  <c r="A65"/>
  <c r="K53"/>
  <c r="L53"/>
  <c r="A172"/>
  <c r="I112"/>
  <c r="K112"/>
  <c r="M112"/>
  <c r="L112"/>
  <c r="A164"/>
  <c r="I104"/>
  <c r="K104"/>
  <c r="M104"/>
  <c r="L104"/>
  <c r="I151"/>
  <c r="L151"/>
  <c r="M151"/>
  <c r="K151"/>
  <c r="L57"/>
  <c r="M57"/>
  <c r="A117"/>
  <c r="A69"/>
  <c r="K57"/>
  <c r="I57"/>
  <c r="M64"/>
  <c r="A76"/>
  <c r="I64"/>
  <c r="K64"/>
  <c r="A124"/>
  <c r="L64"/>
  <c r="A67"/>
  <c r="A115"/>
  <c r="K55"/>
  <c r="M55"/>
  <c r="L55"/>
  <c r="I55"/>
  <c r="L160"/>
  <c r="K160"/>
  <c r="M160"/>
  <c r="I160"/>
  <c r="I156"/>
  <c r="K156"/>
  <c r="L156"/>
  <c r="M156"/>
  <c r="M101"/>
  <c r="A161"/>
  <c r="I101"/>
  <c r="L101"/>
  <c r="K101"/>
  <c r="M121"/>
  <c r="K121"/>
  <c r="A120"/>
  <c r="K60"/>
  <c r="A72"/>
  <c r="L60"/>
  <c r="M60"/>
  <c r="I60"/>
  <c r="I152"/>
  <c r="K152"/>
  <c r="L152"/>
  <c r="M152"/>
  <c r="K105"/>
  <c r="I105"/>
  <c r="M105"/>
  <c r="L105"/>
  <c r="A165"/>
  <c r="A182"/>
  <c r="I122"/>
  <c r="K122"/>
  <c r="L122"/>
  <c r="M122"/>
  <c r="I74"/>
  <c r="K74"/>
  <c r="L74"/>
  <c r="M74"/>
  <c r="A178"/>
  <c r="I118"/>
  <c r="K118"/>
  <c r="L118"/>
  <c r="M118"/>
  <c r="A191"/>
  <c r="K131"/>
  <c r="L131"/>
  <c r="M131"/>
  <c r="I131"/>
  <c r="A143"/>
  <c r="K83"/>
  <c r="L83"/>
  <c r="M83"/>
  <c r="I83"/>
  <c r="K171"/>
  <c r="I171"/>
  <c r="M171"/>
  <c r="L171"/>
  <c r="K181"/>
  <c r="M181"/>
  <c r="L181"/>
  <c r="I181"/>
  <c r="A183"/>
  <c r="K123"/>
  <c r="L123"/>
  <c r="M123"/>
  <c r="I123"/>
  <c r="I170"/>
  <c r="K170"/>
  <c r="L170"/>
  <c r="M170"/>
  <c r="I166"/>
  <c r="K166"/>
  <c r="L166"/>
  <c r="M166"/>
  <c r="A145"/>
  <c r="K85"/>
  <c r="I85"/>
  <c r="L85"/>
  <c r="M85"/>
  <c r="K75"/>
  <c r="L75"/>
  <c r="M75"/>
  <c r="I75"/>
  <c r="A82"/>
  <c r="I70"/>
  <c r="K70"/>
  <c r="L70"/>
  <c r="M70"/>
  <c r="A130"/>
  <c r="A193"/>
  <c r="K133"/>
  <c r="M133"/>
  <c r="L133"/>
  <c r="I133"/>
  <c r="A87"/>
  <c r="A135"/>
  <c r="A86"/>
  <c r="A134"/>
  <c r="L114"/>
  <c r="I114"/>
  <c r="K114"/>
  <c r="A174"/>
  <c r="M114"/>
  <c r="I66"/>
  <c r="A126"/>
  <c r="L66"/>
  <c r="A78"/>
  <c r="K66"/>
  <c r="M66"/>
  <c r="K162"/>
  <c r="M162"/>
  <c r="I162"/>
  <c r="L162"/>
  <c r="M163"/>
  <c r="L163"/>
  <c r="K163"/>
  <c r="I163"/>
  <c r="M124"/>
  <c r="I124"/>
  <c r="A184"/>
  <c r="K124"/>
  <c r="L124"/>
  <c r="M117"/>
  <c r="I117"/>
  <c r="A177"/>
  <c r="K117"/>
  <c r="L117"/>
  <c r="L172"/>
  <c r="M172"/>
  <c r="I172"/>
  <c r="K172"/>
  <c r="M120"/>
  <c r="K120"/>
  <c r="A180"/>
  <c r="I120"/>
  <c r="L120"/>
  <c r="A136"/>
  <c r="I76"/>
  <c r="L76"/>
  <c r="K76"/>
  <c r="M76"/>
  <c r="K72"/>
  <c r="M72"/>
  <c r="L72"/>
  <c r="A84"/>
  <c r="A132"/>
  <c r="I72"/>
  <c r="K161"/>
  <c r="M161"/>
  <c r="I161"/>
  <c r="L161"/>
  <c r="A129"/>
  <c r="L69"/>
  <c r="M69"/>
  <c r="A81"/>
  <c r="K69"/>
  <c r="I69"/>
  <c r="M116"/>
  <c r="A176"/>
  <c r="I116"/>
  <c r="K116"/>
  <c r="L116"/>
  <c r="I164"/>
  <c r="K164"/>
  <c r="L164"/>
  <c r="M164"/>
  <c r="I65"/>
  <c r="M65"/>
  <c r="A77"/>
  <c r="K65"/>
  <c r="L65"/>
  <c r="A125"/>
  <c r="I115"/>
  <c r="A175"/>
  <c r="K115"/>
  <c r="L115"/>
  <c r="M115"/>
  <c r="L168"/>
  <c r="M168"/>
  <c r="I168"/>
  <c r="K168"/>
  <c r="I165"/>
  <c r="L165"/>
  <c r="K165"/>
  <c r="M165"/>
  <c r="A127"/>
  <c r="A79"/>
  <c r="L67"/>
  <c r="K67"/>
  <c r="M67"/>
  <c r="I67"/>
  <c r="K113"/>
  <c r="A173"/>
  <c r="I113"/>
  <c r="M113"/>
  <c r="L113"/>
  <c r="M68"/>
  <c r="A80"/>
  <c r="I68"/>
  <c r="K68"/>
  <c r="L68"/>
  <c r="A128"/>
  <c r="I182"/>
  <c r="K182"/>
  <c r="L182"/>
  <c r="M182"/>
  <c r="A203"/>
  <c r="K143"/>
  <c r="L143"/>
  <c r="M143"/>
  <c r="I143"/>
  <c r="I178"/>
  <c r="K178"/>
  <c r="L178"/>
  <c r="M178"/>
  <c r="A147"/>
  <c r="K87"/>
  <c r="L87"/>
  <c r="M87"/>
  <c r="I87"/>
  <c r="A142"/>
  <c r="I82"/>
  <c r="K82"/>
  <c r="L82"/>
  <c r="M82"/>
  <c r="A195"/>
  <c r="K135"/>
  <c r="L135"/>
  <c r="M135"/>
  <c r="I135"/>
  <c r="K191"/>
  <c r="I191"/>
  <c r="L191"/>
  <c r="M191"/>
  <c r="K183"/>
  <c r="I183"/>
  <c r="L183"/>
  <c r="M183"/>
  <c r="A194"/>
  <c r="I134"/>
  <c r="K134"/>
  <c r="L134"/>
  <c r="M134"/>
  <c r="K193"/>
  <c r="I193"/>
  <c r="L193"/>
  <c r="M193"/>
  <c r="A146"/>
  <c r="I86"/>
  <c r="K86"/>
  <c r="L86"/>
  <c r="M86"/>
  <c r="A190"/>
  <c r="I130"/>
  <c r="K130"/>
  <c r="L130"/>
  <c r="M130"/>
  <c r="A205"/>
  <c r="K145"/>
  <c r="M145"/>
  <c r="L145"/>
  <c r="I145"/>
  <c r="I126"/>
  <c r="L126"/>
  <c r="A186"/>
  <c r="M126"/>
  <c r="K126"/>
  <c r="L174"/>
  <c r="I174"/>
  <c r="K174"/>
  <c r="M174"/>
  <c r="M78"/>
  <c r="K78"/>
  <c r="I78"/>
  <c r="A138"/>
  <c r="L78"/>
  <c r="K173"/>
  <c r="M173"/>
  <c r="L173"/>
  <c r="I173"/>
  <c r="M77"/>
  <c r="A137"/>
  <c r="I77"/>
  <c r="L77"/>
  <c r="K77"/>
  <c r="I84"/>
  <c r="K84"/>
  <c r="M84"/>
  <c r="A144"/>
  <c r="L84"/>
  <c r="A196"/>
  <c r="K136"/>
  <c r="I136"/>
  <c r="L136"/>
  <c r="M136"/>
  <c r="M129"/>
  <c r="A189"/>
  <c r="L129"/>
  <c r="I129"/>
  <c r="K129"/>
  <c r="K184"/>
  <c r="I184"/>
  <c r="L184"/>
  <c r="M184"/>
  <c r="L176"/>
  <c r="I176"/>
  <c r="K176"/>
  <c r="M176"/>
  <c r="M80"/>
  <c r="A140"/>
  <c r="I80"/>
  <c r="K80"/>
  <c r="L80"/>
  <c r="I175"/>
  <c r="L175"/>
  <c r="M175"/>
  <c r="K175"/>
  <c r="M180"/>
  <c r="I180"/>
  <c r="K180"/>
  <c r="L180"/>
  <c r="M177"/>
  <c r="L177"/>
  <c r="I177"/>
  <c r="K177"/>
  <c r="K79"/>
  <c r="M79"/>
  <c r="I79"/>
  <c r="L79"/>
  <c r="A139"/>
  <c r="L81"/>
  <c r="A141"/>
  <c r="I81"/>
  <c r="M81"/>
  <c r="K81"/>
  <c r="M125"/>
  <c r="K125"/>
  <c r="L125"/>
  <c r="A185"/>
  <c r="I125"/>
  <c r="M128"/>
  <c r="A188"/>
  <c r="I128"/>
  <c r="K128"/>
  <c r="L128"/>
  <c r="K127"/>
  <c r="A187"/>
  <c r="L127"/>
  <c r="M127"/>
  <c r="I127"/>
  <c r="I132"/>
  <c r="K132"/>
  <c r="A192"/>
  <c r="L132"/>
  <c r="M132"/>
  <c r="A202"/>
  <c r="I142"/>
  <c r="K142"/>
  <c r="L142"/>
  <c r="M142"/>
  <c r="A207"/>
  <c r="K147"/>
  <c r="L147"/>
  <c r="M147"/>
  <c r="I147"/>
  <c r="K205"/>
  <c r="I205"/>
  <c r="L205"/>
  <c r="M205"/>
  <c r="A206"/>
  <c r="I146"/>
  <c r="K146"/>
  <c r="L146"/>
  <c r="M146"/>
  <c r="K194"/>
  <c r="L194"/>
  <c r="I194"/>
  <c r="M194"/>
  <c r="K190"/>
  <c r="L190"/>
  <c r="I190"/>
  <c r="M190"/>
  <c r="K195"/>
  <c r="L195"/>
  <c r="M195"/>
  <c r="I195"/>
  <c r="K203"/>
  <c r="M203"/>
  <c r="I203"/>
  <c r="L203"/>
  <c r="K186"/>
  <c r="L186"/>
  <c r="I186"/>
  <c r="M186"/>
  <c r="A198"/>
  <c r="M138"/>
  <c r="K138"/>
  <c r="L138"/>
  <c r="I138"/>
  <c r="K141"/>
  <c r="A201"/>
  <c r="M141"/>
  <c r="I141"/>
  <c r="L141"/>
  <c r="I187"/>
  <c r="M187"/>
  <c r="K187"/>
  <c r="L187"/>
  <c r="K185"/>
  <c r="M185"/>
  <c r="I185"/>
  <c r="L185"/>
  <c r="M196"/>
  <c r="K196"/>
  <c r="L196"/>
  <c r="I196"/>
  <c r="K139"/>
  <c r="L139"/>
  <c r="M139"/>
  <c r="I139"/>
  <c r="A199"/>
  <c r="M137"/>
  <c r="A197"/>
  <c r="K137"/>
  <c r="L137"/>
  <c r="I137"/>
  <c r="M192"/>
  <c r="K192"/>
  <c r="L192"/>
  <c r="I192"/>
  <c r="K189"/>
  <c r="L189"/>
  <c r="I189"/>
  <c r="M189"/>
  <c r="L144"/>
  <c r="M144"/>
  <c r="A204"/>
  <c r="I144"/>
  <c r="K144"/>
  <c r="K188"/>
  <c r="I188"/>
  <c r="L188"/>
  <c r="M188"/>
  <c r="K140"/>
  <c r="M140"/>
  <c r="A200"/>
  <c r="L140"/>
  <c r="I140"/>
  <c r="K207"/>
  <c r="I207"/>
  <c r="L207"/>
  <c r="M207"/>
  <c r="K206"/>
  <c r="M206"/>
  <c r="I206"/>
  <c r="L206"/>
  <c r="K202"/>
  <c r="L202"/>
  <c r="I202"/>
  <c r="M202"/>
  <c r="I198"/>
  <c r="K198"/>
  <c r="L198"/>
  <c r="M198"/>
  <c r="M200"/>
  <c r="I200"/>
  <c r="K200"/>
  <c r="L200"/>
  <c r="M204"/>
  <c r="I204"/>
  <c r="L204"/>
  <c r="K204"/>
  <c r="K197"/>
  <c r="L197"/>
  <c r="M197"/>
  <c r="I197"/>
  <c r="L199"/>
  <c r="M199"/>
  <c r="K199"/>
  <c r="I199"/>
  <c r="K201"/>
  <c r="I201"/>
  <c r="M201"/>
  <c r="L201"/>
  <c r="G4" i="7"/>
  <c r="U12"/>
  <c r="V11"/>
  <c r="S10"/>
  <c r="T9"/>
  <c r="U8"/>
  <c r="V7"/>
  <c r="S6"/>
  <c r="T5"/>
  <c r="U4"/>
  <c r="T12"/>
  <c r="U11"/>
  <c r="V10"/>
  <c r="S9"/>
  <c r="T8"/>
  <c r="U7"/>
  <c r="V6"/>
  <c r="S5"/>
  <c r="T4"/>
  <c r="S12"/>
  <c r="T11"/>
  <c r="U10"/>
  <c r="V9"/>
  <c r="S8"/>
  <c r="T7"/>
  <c r="U6"/>
  <c r="V5"/>
  <c r="S11"/>
  <c r="U9"/>
  <c r="S7"/>
  <c r="U5"/>
  <c r="V8"/>
  <c r="T6"/>
  <c r="T10"/>
  <c r="V12"/>
  <c r="V4"/>
  <c r="G4" i="6"/>
</calcChain>
</file>

<file path=xl/sharedStrings.xml><?xml version="1.0" encoding="utf-8"?>
<sst xmlns="http://schemas.openxmlformats.org/spreadsheetml/2006/main" count="3251" uniqueCount="215">
  <si>
    <t>n</t>
  </si>
  <si>
    <t>mp</t>
  </si>
  <si>
    <t>defense_p</t>
  </si>
  <si>
    <t>hit_prop</t>
  </si>
  <si>
    <t>dodge_prop</t>
  </si>
  <si>
    <t>crit_prop</t>
  </si>
  <si>
    <t>uncrit_prop</t>
  </si>
  <si>
    <t>进阶描述
[字符串]</t>
  </si>
  <si>
    <t>进阶限制
[字符串]                               调用game_limit里面的限制id</t>
  </si>
  <si>
    <t xml:space="preserve">进阶消耗金币
 [整型]                                     </t>
  </si>
  <si>
    <t>进阶魔法成长系数 [整型]</t>
  </si>
  <si>
    <t>进阶攻击成长系数 [整型]</t>
  </si>
  <si>
    <t>进阶物理防御成长系数 [整型]</t>
  </si>
  <si>
    <t>进阶魔法防御成长系数 [整型]</t>
  </si>
  <si>
    <t>进阶闪避成长系数 [浮点型]</t>
  </si>
  <si>
    <t>进阶命中成长系数 [浮点型]</t>
  </si>
  <si>
    <t>进阶暴击成长系数 [浮点型]</t>
  </si>
  <si>
    <t>进阶抗暴成长系数 [浮点型]</t>
  </si>
  <si>
    <t>进阶等级[整型]</t>
  </si>
  <si>
    <t>jinjie_id</t>
  </si>
  <si>
    <t>jinjie_description</t>
  </si>
  <si>
    <t>jinjie_limit</t>
  </si>
  <si>
    <t>cost_gold</t>
  </si>
  <si>
    <t>cost_item</t>
  </si>
  <si>
    <t>cost_hero</t>
  </si>
  <si>
    <t>attack</t>
  </si>
  <si>
    <t>jinjie_leval</t>
  </si>
  <si>
    <t>s</t>
  </si>
  <si>
    <t>i</t>
  </si>
  <si>
    <t>14107|600</t>
  </si>
  <si>
    <t>进阶消耗相同角色数量
[整型]
自动判断读取相同的hero_id</t>
  </si>
  <si>
    <t>进阶+10</t>
  </si>
  <si>
    <t>进阶+9</t>
  </si>
  <si>
    <t>进阶+1</t>
  </si>
  <si>
    <t>进阶+2</t>
  </si>
  <si>
    <t>进阶+3</t>
  </si>
  <si>
    <t>进阶+4</t>
  </si>
  <si>
    <t>进阶+5</t>
  </si>
  <si>
    <t>进阶+6</t>
  </si>
  <si>
    <t>进阶+7</t>
  </si>
  <si>
    <t>进阶+8</t>
  </si>
  <si>
    <t>伙伴15级时开启</t>
  </si>
  <si>
    <t>伙伴25级时开启</t>
  </si>
  <si>
    <t>伙伴35级时开启</t>
  </si>
  <si>
    <t>伙伴45级时开启</t>
  </si>
  <si>
    <t>伙伴55级时开启</t>
  </si>
  <si>
    <t>伙伴65级时开启</t>
  </si>
  <si>
    <t>伙伴75级时开启</t>
  </si>
  <si>
    <t>伙伴5级时开启</t>
  </si>
  <si>
    <t>进阶ID
[字符串]
1000蓝色
2000紫色
3000橙13
4000橙16</t>
  </si>
  <si>
    <t>进阶限制说明</t>
  </si>
  <si>
    <t>进阶消耗进阶石[字符串]
item_id|数量
调用game_items里面的id</t>
  </si>
  <si>
    <t>进阶ID
[字符串]
1000蓝色
2000紫色
3000橙13
4000橙16</t>
    <phoneticPr fontId="8" type="noConversion"/>
  </si>
  <si>
    <t>进阶描述
[字符串]</t>
    <phoneticPr fontId="8" type="noConversion"/>
  </si>
  <si>
    <t>进阶限制
[字符串]                               调用game_limit里面的限制id</t>
    <phoneticPr fontId="8" type="noConversion"/>
  </si>
  <si>
    <t xml:space="preserve">进阶消耗金币
 [整型]                                     </t>
    <phoneticPr fontId="8" type="noConversion"/>
  </si>
  <si>
    <t>进阶消耗进阶石[字符串]
item_id|数量
调用game_items里面的id</t>
    <phoneticPr fontId="8" type="noConversion"/>
  </si>
  <si>
    <t>进阶等级[整型]</t>
    <phoneticPr fontId="8" type="noConversion"/>
  </si>
  <si>
    <t>进阶抗暴成长系数 [浮点型]</t>
    <phoneticPr fontId="8" type="noConversion"/>
  </si>
  <si>
    <t>进阶暴击成长系数 [浮点型]</t>
    <phoneticPr fontId="8" type="noConversion"/>
  </si>
  <si>
    <t>进阶命中成长系数 [浮点型]</t>
    <phoneticPr fontId="8" type="noConversion"/>
  </si>
  <si>
    <t>进阶闪避成长系数 [浮点型]</t>
    <phoneticPr fontId="8" type="noConversion"/>
  </si>
  <si>
    <t>进阶魔法防御成长系数 [整型]</t>
    <phoneticPr fontId="8" type="noConversion"/>
  </si>
  <si>
    <t>进阶物理防御成长系数 [整型]</t>
    <phoneticPr fontId="8" type="noConversion"/>
  </si>
  <si>
    <t>进阶消耗相同角色数量
[整型]
自动判断读取相同的hero_id</t>
    <phoneticPr fontId="8" type="noConversion"/>
  </si>
  <si>
    <t>进阶魔法成长系数 [整型]</t>
    <phoneticPr fontId="8" type="noConversion"/>
  </si>
  <si>
    <t>进阶攻击成长系数 [整型]</t>
    <phoneticPr fontId="8" type="noConversion"/>
  </si>
  <si>
    <t>进阶生命成长系数 
[整型]</t>
  </si>
  <si>
    <t>进阶生命成长系数 
[整型]</t>
    <phoneticPr fontId="8" type="noConversion"/>
  </si>
  <si>
    <t>伙伴85级时开启</t>
  </si>
  <si>
    <t>伙伴85级时开启</t>
    <phoneticPr fontId="8" type="noConversion"/>
  </si>
  <si>
    <t>伙伴95级时开启</t>
  </si>
  <si>
    <t>伙伴95级时开启</t>
    <phoneticPr fontId="8" type="noConversion"/>
  </si>
  <si>
    <t>伙伴105级时开启</t>
  </si>
  <si>
    <t>进阶+11</t>
  </si>
  <si>
    <t>伙伴115级时开启</t>
  </si>
  <si>
    <t>进阶+12</t>
  </si>
  <si>
    <t>game_limit_illust</t>
  </si>
  <si>
    <t>武将品质</t>
  </si>
  <si>
    <t>属性调整</t>
  </si>
  <si>
    <t>生命</t>
  </si>
  <si>
    <t>攻击</t>
  </si>
  <si>
    <t>物防</t>
  </si>
  <si>
    <t>法防</t>
  </si>
  <si>
    <t>14107|1200</t>
  </si>
  <si>
    <t>14107|2400</t>
  </si>
  <si>
    <t>14107|3600</t>
  </si>
  <si>
    <t>14107|6000</t>
  </si>
  <si>
    <t>14107|10000</t>
  </si>
  <si>
    <t>14107|15000</t>
  </si>
  <si>
    <t>14107|20000</t>
  </si>
  <si>
    <t>14107|24000</t>
  </si>
  <si>
    <t>hp</t>
    <phoneticPr fontId="2" type="noConversion"/>
  </si>
  <si>
    <t>defense_m</t>
    <phoneticPr fontId="2" type="noConversion"/>
  </si>
  <si>
    <t>进阶后固定增加属性值
生命
[整型]</t>
    <phoneticPr fontId="2" type="noConversion"/>
  </si>
  <si>
    <t>进阶后固定增加属性值
攻击
[整型]</t>
    <phoneticPr fontId="2" type="noConversion"/>
  </si>
  <si>
    <t>进阶后固定增加属性值
物防
[整型]</t>
    <phoneticPr fontId="2" type="noConversion"/>
  </si>
  <si>
    <t>进阶后固定增加属性值
法防
[整型]</t>
    <phoneticPr fontId="2" type="noConversion"/>
  </si>
  <si>
    <t>hp_add</t>
    <phoneticPr fontId="2" type="noConversion"/>
  </si>
  <si>
    <t>attack_add</t>
    <phoneticPr fontId="2" type="noConversion"/>
  </si>
  <si>
    <t>defense_m_add</t>
    <phoneticPr fontId="2" type="noConversion"/>
  </si>
  <si>
    <t>14107|50</t>
  </si>
  <si>
    <t>14107|200</t>
  </si>
  <si>
    <t>14107|500</t>
  </si>
  <si>
    <t>14107|1000</t>
  </si>
  <si>
    <t>14107|2000</t>
  </si>
  <si>
    <t>14107|3000</t>
  </si>
  <si>
    <t>14107|5000</t>
  </si>
  <si>
    <t>14107|8000</t>
  </si>
  <si>
    <t>14107|12000</t>
  </si>
  <si>
    <t>14107|16000</t>
  </si>
  <si>
    <t>14107|25000</t>
  </si>
  <si>
    <t>14107|60</t>
  </si>
  <si>
    <t>14107|240</t>
  </si>
  <si>
    <t>14107|30000</t>
  </si>
  <si>
    <t>defense_p_add</t>
    <phoneticPr fontId="2" type="noConversion"/>
  </si>
  <si>
    <t>hit_prop_add</t>
    <phoneticPr fontId="2" type="noConversion"/>
  </si>
  <si>
    <t>dodge_prop_add</t>
    <phoneticPr fontId="2" type="noConversion"/>
  </si>
  <si>
    <t>crit_prop_add</t>
    <phoneticPr fontId="2" type="noConversion"/>
  </si>
  <si>
    <t>uncrit_prop_add</t>
    <phoneticPr fontId="2" type="noConversion"/>
  </si>
  <si>
    <t>mp_add</t>
    <phoneticPr fontId="2" type="noConversion"/>
  </si>
  <si>
    <t>伙伴1级时开启</t>
  </si>
  <si>
    <t>伙伴1级时开启</t>
    <phoneticPr fontId="2" type="noConversion"/>
  </si>
  <si>
    <t>主角1级时开启</t>
    <phoneticPr fontId="2" type="noConversion"/>
  </si>
  <si>
    <t>主角15级时开启</t>
    <phoneticPr fontId="2" type="noConversion"/>
  </si>
  <si>
    <t>主角25级时开启</t>
  </si>
  <si>
    <t>主角35级时开启</t>
  </si>
  <si>
    <t>主角45级时开启</t>
  </si>
  <si>
    <t>主角55级时开启</t>
  </si>
  <si>
    <t>主角65级时开启</t>
  </si>
  <si>
    <t>主角75级时开启</t>
  </si>
  <si>
    <t>主角85级时开启</t>
  </si>
  <si>
    <t>主角95级时开启</t>
  </si>
  <si>
    <t>主角105级时开启</t>
  </si>
  <si>
    <t>主角115级时开启</t>
  </si>
  <si>
    <t>1阶属性成长</t>
  </si>
  <si>
    <t>2阶属性成长</t>
  </si>
  <si>
    <t>3阶属性成长</t>
  </si>
  <si>
    <t>4阶属性成长</t>
  </si>
  <si>
    <t>5阶属性成长</t>
  </si>
  <si>
    <t>6阶属性成长</t>
  </si>
  <si>
    <t>7阶属性成长</t>
  </si>
  <si>
    <t>8阶属性成长</t>
  </si>
  <si>
    <t>9阶属性成长</t>
  </si>
  <si>
    <t>10阶属性成长</t>
  </si>
  <si>
    <t>11阶属性成长</t>
  </si>
  <si>
    <t>12阶属性成长</t>
  </si>
  <si>
    <t>成长属性</t>
  </si>
  <si>
    <t>生命成长</t>
    <phoneticPr fontId="12" type="noConversion"/>
  </si>
  <si>
    <t>攻击成长</t>
    <phoneticPr fontId="12" type="noConversion"/>
  </si>
  <si>
    <t>物防成长</t>
    <phoneticPr fontId="12" type="noConversion"/>
  </si>
  <si>
    <t>法防成长</t>
    <phoneticPr fontId="12" type="noConversion"/>
  </si>
  <si>
    <t>进阶ID
[字符串]
100主角
1000绿色
2000蓝色
3000紫色
4000橙13
5000橙16</t>
    <phoneticPr fontId="12" type="noConversion"/>
  </si>
  <si>
    <t>14107|80</t>
  </si>
  <si>
    <t>14107|280</t>
  </si>
  <si>
    <t>14107|700</t>
  </si>
  <si>
    <t>14107|1400</t>
  </si>
  <si>
    <t>14107|2800</t>
  </si>
  <si>
    <t>14107|4200</t>
  </si>
  <si>
    <t>14107|7000</t>
  </si>
  <si>
    <t>14107|17000</t>
  </si>
  <si>
    <t>14107|22000</t>
  </si>
  <si>
    <t>14107|28000</t>
  </si>
  <si>
    <t>14107|35000</t>
  </si>
  <si>
    <t>2-13</t>
  </si>
  <si>
    <t>2-2</t>
  </si>
  <si>
    <t>2-6</t>
  </si>
  <si>
    <t>2-11</t>
  </si>
  <si>
    <t>4-13</t>
  </si>
  <si>
    <t>3-13</t>
  </si>
  <si>
    <t>5-13</t>
  </si>
  <si>
    <t>1-13</t>
  </si>
  <si>
    <t>4-16</t>
  </si>
  <si>
    <t>3-16</t>
  </si>
  <si>
    <t>5-16</t>
  </si>
  <si>
    <t>2-16</t>
  </si>
  <si>
    <t>1-16</t>
  </si>
  <si>
    <t>1-20</t>
  </si>
  <si>
    <t>2-20</t>
  </si>
  <si>
    <t>3-20</t>
  </si>
  <si>
    <t>4-20</t>
  </si>
  <si>
    <t>5-20</t>
  </si>
  <si>
    <t>伙伴125级时开启</t>
  </si>
  <si>
    <t>进阶+13</t>
  </si>
  <si>
    <t>伙伴135级时开启</t>
  </si>
  <si>
    <t>进阶+14</t>
  </si>
  <si>
    <t>伙伴145级时开启</t>
  </si>
  <si>
    <t>进阶+15</t>
  </si>
  <si>
    <t>14107|36000</t>
  </si>
  <si>
    <t>14107|36000</t>
    <phoneticPr fontId="12" type="noConversion"/>
  </si>
  <si>
    <t>14107|48000</t>
  </si>
  <si>
    <t>14107|48000</t>
    <phoneticPr fontId="12" type="noConversion"/>
  </si>
  <si>
    <t>14107|60000</t>
  </si>
  <si>
    <t>14107|60000</t>
    <phoneticPr fontId="12" type="noConversion"/>
  </si>
  <si>
    <t>14107|30000</t>
    <phoneticPr fontId="12" type="noConversion"/>
  </si>
  <si>
    <t>14107|50000</t>
  </si>
  <si>
    <t>14107|50000</t>
    <phoneticPr fontId="12" type="noConversion"/>
  </si>
  <si>
    <t>14107|40000</t>
  </si>
  <si>
    <t>14107|40000</t>
    <phoneticPr fontId="12" type="noConversion"/>
  </si>
  <si>
    <t>14107|36000</t>
    <phoneticPr fontId="12" type="noConversion"/>
  </si>
  <si>
    <t>14107|42000</t>
  </si>
  <si>
    <t>14107|42000</t>
    <phoneticPr fontId="12" type="noConversion"/>
  </si>
  <si>
    <t>14107|56000</t>
  </si>
  <si>
    <t>14107|56000</t>
    <phoneticPr fontId="12" type="noConversion"/>
  </si>
  <si>
    <t>14107|70000</t>
  </si>
  <si>
    <t>14107|70000</t>
    <phoneticPr fontId="12" type="noConversion"/>
  </si>
  <si>
    <t>14107|300</t>
  </si>
  <si>
    <t>14107|750</t>
  </si>
  <si>
    <t>14107|1500</t>
  </si>
  <si>
    <t>14107|4500</t>
  </si>
  <si>
    <t>14107|7500</t>
  </si>
  <si>
    <t>14107|18000</t>
  </si>
  <si>
    <t>14107|37500</t>
  </si>
  <si>
    <t>14107|45000</t>
  </si>
  <si>
    <t>14107|75000</t>
  </si>
</sst>
</file>

<file path=xl/styles.xml><?xml version="1.0" encoding="utf-8"?>
<styleSheet xmlns="http://schemas.openxmlformats.org/spreadsheetml/2006/main">
  <fonts count="18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5">
    <xf numFmtId="0" fontId="0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23">
    <xf numFmtId="0" fontId="0" fillId="0" borderId="0" xfId="0" applyAlignment="1"/>
    <xf numFmtId="0" fontId="6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 wrapText="1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top"/>
    </xf>
    <xf numFmtId="0" fontId="4" fillId="0" borderId="0" xfId="0" applyFont="1" applyFill="1" applyAlignment="1">
      <alignment horizontal="left" vertical="top"/>
    </xf>
    <xf numFmtId="0" fontId="6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4" borderId="0" xfId="0" applyFill="1" applyAlignment="1"/>
    <xf numFmtId="0" fontId="0" fillId="0" borderId="1" xfId="0" applyBorder="1" applyAlignment="1"/>
    <xf numFmtId="0" fontId="7" fillId="0" borderId="1" xfId="3" applyFont="1" applyBorder="1">
      <alignment vertical="center"/>
    </xf>
    <xf numFmtId="0" fontId="10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top" wrapText="1"/>
    </xf>
    <xf numFmtId="0" fontId="10" fillId="3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3" fillId="0" borderId="0" xfId="0" applyFont="1" applyAlignment="1"/>
    <xf numFmtId="0" fontId="3" fillId="0" borderId="0" xfId="0" applyFont="1" applyAlignment="1"/>
    <xf numFmtId="0" fontId="15" fillId="3" borderId="1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left" vertical="top"/>
    </xf>
    <xf numFmtId="0" fontId="4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left" vertical="top"/>
    </xf>
    <xf numFmtId="0" fontId="4" fillId="11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left" vertical="top"/>
    </xf>
    <xf numFmtId="0" fontId="4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left" vertical="top"/>
    </xf>
    <xf numFmtId="0" fontId="4" fillId="12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left" vertical="top"/>
    </xf>
    <xf numFmtId="0" fontId="4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top"/>
    </xf>
    <xf numFmtId="0" fontId="14" fillId="11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4" fillId="13" borderId="0" xfId="0" applyFont="1" applyFill="1" applyAlignment="1">
      <alignment horizontal="left" vertical="top"/>
    </xf>
    <xf numFmtId="0" fontId="10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top"/>
    </xf>
    <xf numFmtId="0" fontId="4" fillId="14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4" fillId="14" borderId="0" xfId="0" applyFont="1" applyFill="1" applyAlignment="1">
      <alignment horizontal="left" vertical="top"/>
    </xf>
    <xf numFmtId="0" fontId="14" fillId="15" borderId="1" xfId="0" applyFont="1" applyFill="1" applyBorder="1" applyAlignment="1">
      <alignment vertical="center"/>
    </xf>
    <xf numFmtId="0" fontId="14" fillId="10" borderId="1" xfId="0" applyFont="1" applyFill="1" applyBorder="1" applyAlignment="1">
      <alignment vertical="center"/>
    </xf>
    <xf numFmtId="0" fontId="14" fillId="9" borderId="1" xfId="0" applyFont="1" applyFill="1" applyBorder="1" applyAlignment="1">
      <alignment vertical="center"/>
    </xf>
    <xf numFmtId="0" fontId="14" fillId="8" borderId="1" xfId="0" applyFont="1" applyFill="1" applyBorder="1" applyAlignment="1">
      <alignment vertical="center"/>
    </xf>
    <xf numFmtId="0" fontId="14" fillId="2" borderId="1" xfId="0" applyFont="1" applyFill="1" applyBorder="1" applyAlignment="1">
      <alignment vertical="center"/>
    </xf>
    <xf numFmtId="0" fontId="14" fillId="5" borderId="1" xfId="0" applyFont="1" applyFill="1" applyBorder="1" applyAlignment="1">
      <alignment vertical="center"/>
    </xf>
    <xf numFmtId="0" fontId="17" fillId="8" borderId="3" xfId="0" applyFont="1" applyFill="1" applyBorder="1" applyAlignment="1">
      <alignment vertical="center"/>
    </xf>
    <xf numFmtId="0" fontId="17" fillId="8" borderId="1" xfId="0" applyFont="1" applyFill="1" applyBorder="1" applyAlignment="1">
      <alignment vertical="center"/>
    </xf>
    <xf numFmtId="0" fontId="17" fillId="8" borderId="4" xfId="0" applyFont="1" applyFill="1" applyBorder="1" applyAlignment="1">
      <alignment vertical="center"/>
    </xf>
    <xf numFmtId="0" fontId="17" fillId="11" borderId="5" xfId="0" applyFont="1" applyFill="1" applyBorder="1" applyAlignment="1">
      <alignment vertical="center"/>
    </xf>
    <xf numFmtId="0" fontId="17" fillId="11" borderId="6" xfId="0" applyFont="1" applyFill="1" applyBorder="1" applyAlignment="1">
      <alignment vertical="center"/>
    </xf>
    <xf numFmtId="0" fontId="17" fillId="11" borderId="7" xfId="0" applyFont="1" applyFill="1" applyBorder="1" applyAlignment="1">
      <alignment vertical="center"/>
    </xf>
    <xf numFmtId="0" fontId="17" fillId="10" borderId="3" xfId="0" applyFont="1" applyFill="1" applyBorder="1" applyAlignment="1">
      <alignment vertical="center"/>
    </xf>
    <xf numFmtId="0" fontId="17" fillId="10" borderId="1" xfId="0" applyFont="1" applyFill="1" applyBorder="1" applyAlignment="1">
      <alignment vertical="center"/>
    </xf>
    <xf numFmtId="0" fontId="17" fillId="10" borderId="4" xfId="0" applyFont="1" applyFill="1" applyBorder="1" applyAlignment="1">
      <alignment vertical="center"/>
    </xf>
    <xf numFmtId="0" fontId="17" fillId="9" borderId="3" xfId="0" applyFont="1" applyFill="1" applyBorder="1" applyAlignment="1">
      <alignment vertical="center"/>
    </xf>
    <xf numFmtId="0" fontId="17" fillId="9" borderId="1" xfId="0" applyFont="1" applyFill="1" applyBorder="1" applyAlignment="1">
      <alignment vertical="center"/>
    </xf>
    <xf numFmtId="0" fontId="17" fillId="9" borderId="4" xfId="0" applyFont="1" applyFill="1" applyBorder="1" applyAlignment="1">
      <alignment vertical="center"/>
    </xf>
    <xf numFmtId="0" fontId="17" fillId="2" borderId="3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7" fillId="2" borderId="4" xfId="0" applyFont="1" applyFill="1" applyBorder="1" applyAlignment="1">
      <alignment vertical="center"/>
    </xf>
    <xf numFmtId="0" fontId="17" fillId="14" borderId="3" xfId="0" applyFont="1" applyFill="1" applyBorder="1" applyAlignment="1">
      <alignment vertical="center"/>
    </xf>
    <xf numFmtId="0" fontId="17" fillId="14" borderId="1" xfId="0" applyFont="1" applyFill="1" applyBorder="1" applyAlignment="1">
      <alignment vertical="center"/>
    </xf>
    <xf numFmtId="0" fontId="17" fillId="14" borderId="4" xfId="0" applyFont="1" applyFill="1" applyBorder="1" applyAlignment="1">
      <alignment vertical="center"/>
    </xf>
  </cellXfs>
  <cellStyles count="15">
    <cellStyle name="常规" xfId="0" builtinId="0"/>
    <cellStyle name="常规 2" xfId="1"/>
    <cellStyle name="常规 2 2" xfId="2"/>
    <cellStyle name="常规 2 3" xfId="4"/>
    <cellStyle name="常规 21" xfId="6"/>
    <cellStyle name="常规 22" xfId="8"/>
    <cellStyle name="常规 23" xfId="9"/>
    <cellStyle name="常规 24" xfId="10"/>
    <cellStyle name="常规 25" xfId="11"/>
    <cellStyle name="常规 26" xfId="12"/>
    <cellStyle name="常规 27" xfId="13"/>
    <cellStyle name="常规 28" xfId="14"/>
    <cellStyle name="常规 3" xfId="7"/>
    <cellStyle name="常规 4" xfId="5"/>
    <cellStyle name="常规 5" xfId="3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&#32844;&#19994;&#23646;&#2461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属性设定"/>
      <sheetName val="伙伴升级"/>
      <sheetName val="角色基础"/>
      <sheetName val="进阶天赋"/>
      <sheetName val="缘分属性"/>
      <sheetName val="觉醒"/>
      <sheetName val="培养"/>
      <sheetName val="装备基础和强化"/>
      <sheetName val="装备精炼"/>
      <sheetName val="装备标准"/>
      <sheetName val="装备套装"/>
      <sheetName val="法宝"/>
      <sheetName val="强化大师"/>
      <sheetName val="神兵"/>
      <sheetName val="西游真经"/>
      <sheetName val="物品定价"/>
      <sheetName val="人物标准模型"/>
      <sheetName val="标准属性战力"/>
      <sheetName val="系统坑位"/>
    </sheetNames>
    <sheetDataSet>
      <sheetData sheetId="0"/>
      <sheetData sheetId="1"/>
      <sheetData sheetId="2">
        <row r="12">
          <cell r="AC12" t="str">
            <v>hp</v>
          </cell>
          <cell r="AD12" t="str">
            <v>attack</v>
          </cell>
          <cell r="AE12" t="str">
            <v>defense_p</v>
          </cell>
          <cell r="AF12" t="str">
            <v>defense_m</v>
          </cell>
        </row>
        <row r="16">
          <cell r="J16" t="str">
            <v>4-20</v>
          </cell>
          <cell r="AC16">
            <v>375</v>
          </cell>
          <cell r="AD16">
            <v>15</v>
          </cell>
          <cell r="AE16">
            <v>8</v>
          </cell>
          <cell r="AF16">
            <v>8</v>
          </cell>
          <cell r="AG16">
            <v>750</v>
          </cell>
          <cell r="AH16">
            <v>30</v>
          </cell>
          <cell r="AI16">
            <v>15</v>
          </cell>
          <cell r="AJ16">
            <v>15</v>
          </cell>
          <cell r="AK16">
            <v>1125</v>
          </cell>
          <cell r="AL16">
            <v>45</v>
          </cell>
          <cell r="AM16">
            <v>23</v>
          </cell>
          <cell r="AN16">
            <v>23</v>
          </cell>
          <cell r="AO16">
            <v>1500</v>
          </cell>
          <cell r="AP16">
            <v>60</v>
          </cell>
          <cell r="AQ16">
            <v>30</v>
          </cell>
          <cell r="AR16">
            <v>30</v>
          </cell>
          <cell r="AS16">
            <v>1875</v>
          </cell>
          <cell r="AT16">
            <v>75</v>
          </cell>
          <cell r="AU16">
            <v>38</v>
          </cell>
          <cell r="AV16">
            <v>38</v>
          </cell>
          <cell r="AW16">
            <v>2250</v>
          </cell>
          <cell r="AX16">
            <v>90</v>
          </cell>
          <cell r="AY16">
            <v>45</v>
          </cell>
          <cell r="AZ16">
            <v>45</v>
          </cell>
          <cell r="BA16">
            <v>2625</v>
          </cell>
          <cell r="BB16">
            <v>105</v>
          </cell>
          <cell r="BC16">
            <v>53</v>
          </cell>
          <cell r="BD16">
            <v>53</v>
          </cell>
          <cell r="BE16">
            <v>3000</v>
          </cell>
          <cell r="BF16">
            <v>120</v>
          </cell>
          <cell r="BG16">
            <v>60</v>
          </cell>
          <cell r="BH16">
            <v>60</v>
          </cell>
          <cell r="BI16">
            <v>3375</v>
          </cell>
          <cell r="BJ16">
            <v>135</v>
          </cell>
          <cell r="BK16">
            <v>68</v>
          </cell>
          <cell r="BL16">
            <v>68</v>
          </cell>
          <cell r="BM16">
            <v>3750</v>
          </cell>
          <cell r="BN16">
            <v>150</v>
          </cell>
          <cell r="BO16">
            <v>75</v>
          </cell>
          <cell r="BP16">
            <v>75</v>
          </cell>
          <cell r="BQ16">
            <v>4125</v>
          </cell>
          <cell r="BR16">
            <v>165</v>
          </cell>
          <cell r="BS16">
            <v>83</v>
          </cell>
          <cell r="BT16">
            <v>83</v>
          </cell>
          <cell r="BU16">
            <v>4500</v>
          </cell>
          <cell r="BV16">
            <v>180</v>
          </cell>
          <cell r="BW16">
            <v>90</v>
          </cell>
          <cell r="BX16">
            <v>90</v>
          </cell>
          <cell r="BY16">
            <v>4875</v>
          </cell>
          <cell r="BZ16">
            <v>195</v>
          </cell>
          <cell r="CA16">
            <v>98</v>
          </cell>
          <cell r="CB16">
            <v>98</v>
          </cell>
          <cell r="CC16">
            <v>5250</v>
          </cell>
          <cell r="CD16">
            <v>210</v>
          </cell>
          <cell r="CE16">
            <v>105</v>
          </cell>
          <cell r="CF16">
            <v>105</v>
          </cell>
          <cell r="CG16">
            <v>5625</v>
          </cell>
          <cell r="CH16">
            <v>225</v>
          </cell>
          <cell r="CI16">
            <v>113</v>
          </cell>
          <cell r="CJ16">
            <v>113</v>
          </cell>
        </row>
        <row r="17">
          <cell r="J17" t="str">
            <v>3-20</v>
          </cell>
          <cell r="AC17">
            <v>375</v>
          </cell>
          <cell r="AD17">
            <v>15</v>
          </cell>
          <cell r="AE17">
            <v>8</v>
          </cell>
          <cell r="AF17">
            <v>8</v>
          </cell>
          <cell r="AG17">
            <v>750</v>
          </cell>
          <cell r="AH17">
            <v>30</v>
          </cell>
          <cell r="AI17">
            <v>15</v>
          </cell>
          <cell r="AJ17">
            <v>15</v>
          </cell>
          <cell r="AK17">
            <v>1125</v>
          </cell>
          <cell r="AL17">
            <v>45</v>
          </cell>
          <cell r="AM17">
            <v>23</v>
          </cell>
          <cell r="AN17">
            <v>23</v>
          </cell>
          <cell r="AO17">
            <v>1500</v>
          </cell>
          <cell r="AP17">
            <v>60</v>
          </cell>
          <cell r="AQ17">
            <v>30</v>
          </cell>
          <cell r="AR17">
            <v>30</v>
          </cell>
          <cell r="AS17">
            <v>1875</v>
          </cell>
          <cell r="AT17">
            <v>75</v>
          </cell>
          <cell r="AU17">
            <v>38</v>
          </cell>
          <cell r="AV17">
            <v>38</v>
          </cell>
          <cell r="AW17">
            <v>2250</v>
          </cell>
          <cell r="AX17">
            <v>90</v>
          </cell>
          <cell r="AY17">
            <v>45</v>
          </cell>
          <cell r="AZ17">
            <v>45</v>
          </cell>
          <cell r="BA17">
            <v>2625</v>
          </cell>
          <cell r="BB17">
            <v>105</v>
          </cell>
          <cell r="BC17">
            <v>53</v>
          </cell>
          <cell r="BD17">
            <v>53</v>
          </cell>
          <cell r="BE17">
            <v>3000</v>
          </cell>
          <cell r="BF17">
            <v>120</v>
          </cell>
          <cell r="BG17">
            <v>60</v>
          </cell>
          <cell r="BH17">
            <v>60</v>
          </cell>
          <cell r="BI17">
            <v>3375</v>
          </cell>
          <cell r="BJ17">
            <v>135</v>
          </cell>
          <cell r="BK17">
            <v>68</v>
          </cell>
          <cell r="BL17">
            <v>68</v>
          </cell>
          <cell r="BM17">
            <v>3750</v>
          </cell>
          <cell r="BN17">
            <v>150</v>
          </cell>
          <cell r="BO17">
            <v>75</v>
          </cell>
          <cell r="BP17">
            <v>75</v>
          </cell>
          <cell r="BQ17">
            <v>4125</v>
          </cell>
          <cell r="BR17">
            <v>165</v>
          </cell>
          <cell r="BS17">
            <v>83</v>
          </cell>
          <cell r="BT17">
            <v>83</v>
          </cell>
          <cell r="BU17">
            <v>4500</v>
          </cell>
          <cell r="BV17">
            <v>180</v>
          </cell>
          <cell r="BW17">
            <v>90</v>
          </cell>
          <cell r="BX17">
            <v>90</v>
          </cell>
          <cell r="BY17">
            <v>4875</v>
          </cell>
          <cell r="BZ17">
            <v>195</v>
          </cell>
          <cell r="CA17">
            <v>98</v>
          </cell>
          <cell r="CB17">
            <v>98</v>
          </cell>
          <cell r="CC17">
            <v>5250</v>
          </cell>
          <cell r="CD17">
            <v>210</v>
          </cell>
          <cell r="CE17">
            <v>105</v>
          </cell>
          <cell r="CF17">
            <v>105</v>
          </cell>
          <cell r="CG17">
            <v>5625</v>
          </cell>
          <cell r="CH17">
            <v>225</v>
          </cell>
          <cell r="CI17">
            <v>113</v>
          </cell>
          <cell r="CJ17">
            <v>113</v>
          </cell>
        </row>
        <row r="18">
          <cell r="J18" t="str">
            <v>5-20</v>
          </cell>
          <cell r="AC18">
            <v>375</v>
          </cell>
          <cell r="AD18">
            <v>15</v>
          </cell>
          <cell r="AE18">
            <v>8</v>
          </cell>
          <cell r="AF18">
            <v>8</v>
          </cell>
          <cell r="AG18">
            <v>750</v>
          </cell>
          <cell r="AH18">
            <v>30</v>
          </cell>
          <cell r="AI18">
            <v>15</v>
          </cell>
          <cell r="AJ18">
            <v>15</v>
          </cell>
          <cell r="AK18">
            <v>1125</v>
          </cell>
          <cell r="AL18">
            <v>45</v>
          </cell>
          <cell r="AM18">
            <v>23</v>
          </cell>
          <cell r="AN18">
            <v>23</v>
          </cell>
          <cell r="AO18">
            <v>1500</v>
          </cell>
          <cell r="AP18">
            <v>60</v>
          </cell>
          <cell r="AQ18">
            <v>30</v>
          </cell>
          <cell r="AR18">
            <v>30</v>
          </cell>
          <cell r="AS18">
            <v>1875</v>
          </cell>
          <cell r="AT18">
            <v>75</v>
          </cell>
          <cell r="AU18">
            <v>38</v>
          </cell>
          <cell r="AV18">
            <v>38</v>
          </cell>
          <cell r="AW18">
            <v>2250</v>
          </cell>
          <cell r="AX18">
            <v>90</v>
          </cell>
          <cell r="AY18">
            <v>45</v>
          </cell>
          <cell r="AZ18">
            <v>45</v>
          </cell>
          <cell r="BA18">
            <v>2625</v>
          </cell>
          <cell r="BB18">
            <v>105</v>
          </cell>
          <cell r="BC18">
            <v>53</v>
          </cell>
          <cell r="BD18">
            <v>53</v>
          </cell>
          <cell r="BE18">
            <v>3000</v>
          </cell>
          <cell r="BF18">
            <v>120</v>
          </cell>
          <cell r="BG18">
            <v>60</v>
          </cell>
          <cell r="BH18">
            <v>60</v>
          </cell>
          <cell r="BI18">
            <v>3375</v>
          </cell>
          <cell r="BJ18">
            <v>135</v>
          </cell>
          <cell r="BK18">
            <v>68</v>
          </cell>
          <cell r="BL18">
            <v>68</v>
          </cell>
          <cell r="BM18">
            <v>3750</v>
          </cell>
          <cell r="BN18">
            <v>150</v>
          </cell>
          <cell r="BO18">
            <v>75</v>
          </cell>
          <cell r="BP18">
            <v>75</v>
          </cell>
          <cell r="BQ18">
            <v>4125</v>
          </cell>
          <cell r="BR18">
            <v>165</v>
          </cell>
          <cell r="BS18">
            <v>83</v>
          </cell>
          <cell r="BT18">
            <v>83</v>
          </cell>
          <cell r="BU18">
            <v>4500</v>
          </cell>
          <cell r="BV18">
            <v>180</v>
          </cell>
          <cell r="BW18">
            <v>90</v>
          </cell>
          <cell r="BX18">
            <v>90</v>
          </cell>
          <cell r="BY18">
            <v>4875</v>
          </cell>
          <cell r="BZ18">
            <v>195</v>
          </cell>
          <cell r="CA18">
            <v>98</v>
          </cell>
          <cell r="CB18">
            <v>98</v>
          </cell>
          <cell r="CC18">
            <v>5250</v>
          </cell>
          <cell r="CD18">
            <v>210</v>
          </cell>
          <cell r="CE18">
            <v>105</v>
          </cell>
          <cell r="CF18">
            <v>105</v>
          </cell>
          <cell r="CG18">
            <v>5625</v>
          </cell>
          <cell r="CH18">
            <v>225</v>
          </cell>
          <cell r="CI18">
            <v>113</v>
          </cell>
          <cell r="CJ18">
            <v>113</v>
          </cell>
        </row>
        <row r="19">
          <cell r="J19" t="str">
            <v>2-20</v>
          </cell>
          <cell r="AC19">
            <v>375</v>
          </cell>
          <cell r="AD19">
            <v>15</v>
          </cell>
          <cell r="AE19">
            <v>8</v>
          </cell>
          <cell r="AF19">
            <v>8</v>
          </cell>
          <cell r="AG19">
            <v>750</v>
          </cell>
          <cell r="AH19">
            <v>30</v>
          </cell>
          <cell r="AI19">
            <v>15</v>
          </cell>
          <cell r="AJ19">
            <v>15</v>
          </cell>
          <cell r="AK19">
            <v>1125</v>
          </cell>
          <cell r="AL19">
            <v>45</v>
          </cell>
          <cell r="AM19">
            <v>23</v>
          </cell>
          <cell r="AN19">
            <v>23</v>
          </cell>
          <cell r="AO19">
            <v>1500</v>
          </cell>
          <cell r="AP19">
            <v>60</v>
          </cell>
          <cell r="AQ19">
            <v>30</v>
          </cell>
          <cell r="AR19">
            <v>30</v>
          </cell>
          <cell r="AS19">
            <v>1875</v>
          </cell>
          <cell r="AT19">
            <v>75</v>
          </cell>
          <cell r="AU19">
            <v>38</v>
          </cell>
          <cell r="AV19">
            <v>38</v>
          </cell>
          <cell r="AW19">
            <v>2250</v>
          </cell>
          <cell r="AX19">
            <v>90</v>
          </cell>
          <cell r="AY19">
            <v>45</v>
          </cell>
          <cell r="AZ19">
            <v>45</v>
          </cell>
          <cell r="BA19">
            <v>2625</v>
          </cell>
          <cell r="BB19">
            <v>105</v>
          </cell>
          <cell r="BC19">
            <v>53</v>
          </cell>
          <cell r="BD19">
            <v>53</v>
          </cell>
          <cell r="BE19">
            <v>3000</v>
          </cell>
          <cell r="BF19">
            <v>120</v>
          </cell>
          <cell r="BG19">
            <v>60</v>
          </cell>
          <cell r="BH19">
            <v>60</v>
          </cell>
          <cell r="BI19">
            <v>3375</v>
          </cell>
          <cell r="BJ19">
            <v>135</v>
          </cell>
          <cell r="BK19">
            <v>68</v>
          </cell>
          <cell r="BL19">
            <v>68</v>
          </cell>
          <cell r="BM19">
            <v>3750</v>
          </cell>
          <cell r="BN19">
            <v>150</v>
          </cell>
          <cell r="BO19">
            <v>75</v>
          </cell>
          <cell r="BP19">
            <v>75</v>
          </cell>
          <cell r="BQ19">
            <v>4125</v>
          </cell>
          <cell r="BR19">
            <v>165</v>
          </cell>
          <cell r="BS19">
            <v>83</v>
          </cell>
          <cell r="BT19">
            <v>83</v>
          </cell>
          <cell r="BU19">
            <v>4500</v>
          </cell>
          <cell r="BV19">
            <v>180</v>
          </cell>
          <cell r="BW19">
            <v>90</v>
          </cell>
          <cell r="BX19">
            <v>90</v>
          </cell>
          <cell r="BY19">
            <v>4875</v>
          </cell>
          <cell r="BZ19">
            <v>195</v>
          </cell>
          <cell r="CA19">
            <v>98</v>
          </cell>
          <cell r="CB19">
            <v>98</v>
          </cell>
          <cell r="CC19">
            <v>5250</v>
          </cell>
          <cell r="CD19">
            <v>210</v>
          </cell>
          <cell r="CE19">
            <v>105</v>
          </cell>
          <cell r="CF19">
            <v>105</v>
          </cell>
          <cell r="CG19">
            <v>5625</v>
          </cell>
          <cell r="CH19">
            <v>225</v>
          </cell>
          <cell r="CI19">
            <v>113</v>
          </cell>
          <cell r="CJ19">
            <v>113</v>
          </cell>
        </row>
        <row r="20">
          <cell r="J20" t="str">
            <v>1-20</v>
          </cell>
          <cell r="AC20">
            <v>375</v>
          </cell>
          <cell r="AD20">
            <v>15</v>
          </cell>
          <cell r="AE20">
            <v>8</v>
          </cell>
          <cell r="AF20">
            <v>8</v>
          </cell>
          <cell r="AG20">
            <v>750</v>
          </cell>
          <cell r="AH20">
            <v>30</v>
          </cell>
          <cell r="AI20">
            <v>15</v>
          </cell>
          <cell r="AJ20">
            <v>15</v>
          </cell>
          <cell r="AK20">
            <v>1125</v>
          </cell>
          <cell r="AL20">
            <v>45</v>
          </cell>
          <cell r="AM20">
            <v>23</v>
          </cell>
          <cell r="AN20">
            <v>23</v>
          </cell>
          <cell r="AO20">
            <v>1500</v>
          </cell>
          <cell r="AP20">
            <v>60</v>
          </cell>
          <cell r="AQ20">
            <v>30</v>
          </cell>
          <cell r="AR20">
            <v>30</v>
          </cell>
          <cell r="AS20">
            <v>1875</v>
          </cell>
          <cell r="AT20">
            <v>75</v>
          </cell>
          <cell r="AU20">
            <v>38</v>
          </cell>
          <cell r="AV20">
            <v>38</v>
          </cell>
          <cell r="AW20">
            <v>2250</v>
          </cell>
          <cell r="AX20">
            <v>90</v>
          </cell>
          <cell r="AY20">
            <v>45</v>
          </cell>
          <cell r="AZ20">
            <v>45</v>
          </cell>
          <cell r="BA20">
            <v>2625</v>
          </cell>
          <cell r="BB20">
            <v>105</v>
          </cell>
          <cell r="BC20">
            <v>53</v>
          </cell>
          <cell r="BD20">
            <v>53</v>
          </cell>
          <cell r="BE20">
            <v>3000</v>
          </cell>
          <cell r="BF20">
            <v>120</v>
          </cell>
          <cell r="BG20">
            <v>60</v>
          </cell>
          <cell r="BH20">
            <v>60</v>
          </cell>
          <cell r="BI20">
            <v>3375</v>
          </cell>
          <cell r="BJ20">
            <v>135</v>
          </cell>
          <cell r="BK20">
            <v>68</v>
          </cell>
          <cell r="BL20">
            <v>68</v>
          </cell>
          <cell r="BM20">
            <v>3750</v>
          </cell>
          <cell r="BN20">
            <v>150</v>
          </cell>
          <cell r="BO20">
            <v>75</v>
          </cell>
          <cell r="BP20">
            <v>75</v>
          </cell>
          <cell r="BQ20">
            <v>4125</v>
          </cell>
          <cell r="BR20">
            <v>165</v>
          </cell>
          <cell r="BS20">
            <v>83</v>
          </cell>
          <cell r="BT20">
            <v>83</v>
          </cell>
          <cell r="BU20">
            <v>4500</v>
          </cell>
          <cell r="BV20">
            <v>180</v>
          </cell>
          <cell r="BW20">
            <v>90</v>
          </cell>
          <cell r="BX20">
            <v>90</v>
          </cell>
          <cell r="BY20">
            <v>4875</v>
          </cell>
          <cell r="BZ20">
            <v>195</v>
          </cell>
          <cell r="CA20">
            <v>98</v>
          </cell>
          <cell r="CB20">
            <v>98</v>
          </cell>
          <cell r="CC20">
            <v>5250</v>
          </cell>
          <cell r="CD20">
            <v>210</v>
          </cell>
          <cell r="CE20">
            <v>105</v>
          </cell>
          <cell r="CF20">
            <v>105</v>
          </cell>
          <cell r="CG20">
            <v>5625</v>
          </cell>
          <cell r="CH20">
            <v>225</v>
          </cell>
          <cell r="CI20">
            <v>113</v>
          </cell>
          <cell r="CJ20">
            <v>113</v>
          </cell>
        </row>
        <row r="21">
          <cell r="J21" t="str">
            <v>4-16</v>
          </cell>
          <cell r="AC21">
            <v>188</v>
          </cell>
          <cell r="AD21">
            <v>8</v>
          </cell>
          <cell r="AE21">
            <v>4</v>
          </cell>
          <cell r="AF21">
            <v>4</v>
          </cell>
          <cell r="AG21">
            <v>375</v>
          </cell>
          <cell r="AH21">
            <v>15</v>
          </cell>
          <cell r="AI21">
            <v>8</v>
          </cell>
          <cell r="AJ21">
            <v>8</v>
          </cell>
          <cell r="AK21">
            <v>563</v>
          </cell>
          <cell r="AL21">
            <v>23</v>
          </cell>
          <cell r="AM21">
            <v>11</v>
          </cell>
          <cell r="AN21">
            <v>11</v>
          </cell>
          <cell r="AO21">
            <v>750</v>
          </cell>
          <cell r="AP21">
            <v>30</v>
          </cell>
          <cell r="AQ21">
            <v>15</v>
          </cell>
          <cell r="AR21">
            <v>15</v>
          </cell>
          <cell r="AS21">
            <v>938</v>
          </cell>
          <cell r="AT21">
            <v>38</v>
          </cell>
          <cell r="AU21">
            <v>19</v>
          </cell>
          <cell r="AV21">
            <v>19</v>
          </cell>
          <cell r="AW21">
            <v>1125</v>
          </cell>
          <cell r="AX21">
            <v>45</v>
          </cell>
          <cell r="AY21">
            <v>23</v>
          </cell>
          <cell r="AZ21">
            <v>23</v>
          </cell>
          <cell r="BA21">
            <v>1313</v>
          </cell>
          <cell r="BB21">
            <v>53</v>
          </cell>
          <cell r="BC21">
            <v>26</v>
          </cell>
          <cell r="BD21">
            <v>26</v>
          </cell>
          <cell r="BE21">
            <v>1500</v>
          </cell>
          <cell r="BF21">
            <v>60</v>
          </cell>
          <cell r="BG21">
            <v>30</v>
          </cell>
          <cell r="BH21">
            <v>30</v>
          </cell>
          <cell r="BI21">
            <v>1688</v>
          </cell>
          <cell r="BJ21">
            <v>68</v>
          </cell>
          <cell r="BK21">
            <v>34</v>
          </cell>
          <cell r="BL21">
            <v>34</v>
          </cell>
          <cell r="BM21">
            <v>1875</v>
          </cell>
          <cell r="BN21">
            <v>75</v>
          </cell>
          <cell r="BO21">
            <v>38</v>
          </cell>
          <cell r="BP21">
            <v>38</v>
          </cell>
          <cell r="BQ21">
            <v>2063</v>
          </cell>
          <cell r="BR21">
            <v>83</v>
          </cell>
          <cell r="BS21">
            <v>41</v>
          </cell>
          <cell r="BT21">
            <v>41</v>
          </cell>
          <cell r="BU21">
            <v>2250</v>
          </cell>
          <cell r="BV21">
            <v>90</v>
          </cell>
          <cell r="BW21">
            <v>45</v>
          </cell>
          <cell r="BX21">
            <v>45</v>
          </cell>
          <cell r="BY21">
            <v>2438</v>
          </cell>
          <cell r="BZ21">
            <v>98</v>
          </cell>
          <cell r="CA21">
            <v>49</v>
          </cell>
          <cell r="CB21">
            <v>49</v>
          </cell>
          <cell r="CC21">
            <v>2625</v>
          </cell>
          <cell r="CD21">
            <v>105</v>
          </cell>
          <cell r="CE21">
            <v>53</v>
          </cell>
          <cell r="CF21">
            <v>53</v>
          </cell>
          <cell r="CG21">
            <v>2813</v>
          </cell>
          <cell r="CH21">
            <v>113</v>
          </cell>
          <cell r="CI21">
            <v>56</v>
          </cell>
          <cell r="CJ21">
            <v>56</v>
          </cell>
        </row>
        <row r="22">
          <cell r="J22" t="str">
            <v>3-16</v>
          </cell>
          <cell r="AC22">
            <v>188</v>
          </cell>
          <cell r="AD22">
            <v>8</v>
          </cell>
          <cell r="AE22">
            <v>4</v>
          </cell>
          <cell r="AF22">
            <v>4</v>
          </cell>
          <cell r="AG22">
            <v>375</v>
          </cell>
          <cell r="AH22">
            <v>15</v>
          </cell>
          <cell r="AI22">
            <v>8</v>
          </cell>
          <cell r="AJ22">
            <v>8</v>
          </cell>
          <cell r="AK22">
            <v>563</v>
          </cell>
          <cell r="AL22">
            <v>23</v>
          </cell>
          <cell r="AM22">
            <v>11</v>
          </cell>
          <cell r="AN22">
            <v>11</v>
          </cell>
          <cell r="AO22">
            <v>750</v>
          </cell>
          <cell r="AP22">
            <v>30</v>
          </cell>
          <cell r="AQ22">
            <v>15</v>
          </cell>
          <cell r="AR22">
            <v>15</v>
          </cell>
          <cell r="AS22">
            <v>938</v>
          </cell>
          <cell r="AT22">
            <v>38</v>
          </cell>
          <cell r="AU22">
            <v>19</v>
          </cell>
          <cell r="AV22">
            <v>19</v>
          </cell>
          <cell r="AW22">
            <v>1125</v>
          </cell>
          <cell r="AX22">
            <v>45</v>
          </cell>
          <cell r="AY22">
            <v>23</v>
          </cell>
          <cell r="AZ22">
            <v>23</v>
          </cell>
          <cell r="BA22">
            <v>1313</v>
          </cell>
          <cell r="BB22">
            <v>53</v>
          </cell>
          <cell r="BC22">
            <v>26</v>
          </cell>
          <cell r="BD22">
            <v>26</v>
          </cell>
          <cell r="BE22">
            <v>1500</v>
          </cell>
          <cell r="BF22">
            <v>60</v>
          </cell>
          <cell r="BG22">
            <v>30</v>
          </cell>
          <cell r="BH22">
            <v>30</v>
          </cell>
          <cell r="BI22">
            <v>1688</v>
          </cell>
          <cell r="BJ22">
            <v>68</v>
          </cell>
          <cell r="BK22">
            <v>34</v>
          </cell>
          <cell r="BL22">
            <v>34</v>
          </cell>
          <cell r="BM22">
            <v>1875</v>
          </cell>
          <cell r="BN22">
            <v>75</v>
          </cell>
          <cell r="BO22">
            <v>38</v>
          </cell>
          <cell r="BP22">
            <v>38</v>
          </cell>
          <cell r="BQ22">
            <v>2063</v>
          </cell>
          <cell r="BR22">
            <v>83</v>
          </cell>
          <cell r="BS22">
            <v>41</v>
          </cell>
          <cell r="BT22">
            <v>41</v>
          </cell>
          <cell r="BU22">
            <v>2250</v>
          </cell>
          <cell r="BV22">
            <v>90</v>
          </cell>
          <cell r="BW22">
            <v>45</v>
          </cell>
          <cell r="BX22">
            <v>45</v>
          </cell>
          <cell r="BY22">
            <v>2438</v>
          </cell>
          <cell r="BZ22">
            <v>98</v>
          </cell>
          <cell r="CA22">
            <v>49</v>
          </cell>
          <cell r="CB22">
            <v>49</v>
          </cell>
          <cell r="CC22">
            <v>2625</v>
          </cell>
          <cell r="CD22">
            <v>105</v>
          </cell>
          <cell r="CE22">
            <v>53</v>
          </cell>
          <cell r="CF22">
            <v>53</v>
          </cell>
          <cell r="CG22">
            <v>2813</v>
          </cell>
          <cell r="CH22">
            <v>113</v>
          </cell>
          <cell r="CI22">
            <v>56</v>
          </cell>
          <cell r="CJ22">
            <v>56</v>
          </cell>
        </row>
        <row r="23">
          <cell r="J23" t="str">
            <v>5-16</v>
          </cell>
          <cell r="AC23">
            <v>188</v>
          </cell>
          <cell r="AD23">
            <v>8</v>
          </cell>
          <cell r="AE23">
            <v>4</v>
          </cell>
          <cell r="AF23">
            <v>4</v>
          </cell>
          <cell r="AG23">
            <v>375</v>
          </cell>
          <cell r="AH23">
            <v>15</v>
          </cell>
          <cell r="AI23">
            <v>8</v>
          </cell>
          <cell r="AJ23">
            <v>8</v>
          </cell>
          <cell r="AK23">
            <v>563</v>
          </cell>
          <cell r="AL23">
            <v>23</v>
          </cell>
          <cell r="AM23">
            <v>11</v>
          </cell>
          <cell r="AN23">
            <v>11</v>
          </cell>
          <cell r="AO23">
            <v>750</v>
          </cell>
          <cell r="AP23">
            <v>30</v>
          </cell>
          <cell r="AQ23">
            <v>15</v>
          </cell>
          <cell r="AR23">
            <v>15</v>
          </cell>
          <cell r="AS23">
            <v>938</v>
          </cell>
          <cell r="AT23">
            <v>38</v>
          </cell>
          <cell r="AU23">
            <v>19</v>
          </cell>
          <cell r="AV23">
            <v>19</v>
          </cell>
          <cell r="AW23">
            <v>1125</v>
          </cell>
          <cell r="AX23">
            <v>45</v>
          </cell>
          <cell r="AY23">
            <v>23</v>
          </cell>
          <cell r="AZ23">
            <v>23</v>
          </cell>
          <cell r="BA23">
            <v>1313</v>
          </cell>
          <cell r="BB23">
            <v>53</v>
          </cell>
          <cell r="BC23">
            <v>26</v>
          </cell>
          <cell r="BD23">
            <v>26</v>
          </cell>
          <cell r="BE23">
            <v>1500</v>
          </cell>
          <cell r="BF23">
            <v>60</v>
          </cell>
          <cell r="BG23">
            <v>30</v>
          </cell>
          <cell r="BH23">
            <v>30</v>
          </cell>
          <cell r="BI23">
            <v>1688</v>
          </cell>
          <cell r="BJ23">
            <v>68</v>
          </cell>
          <cell r="BK23">
            <v>34</v>
          </cell>
          <cell r="BL23">
            <v>34</v>
          </cell>
          <cell r="BM23">
            <v>1875</v>
          </cell>
          <cell r="BN23">
            <v>75</v>
          </cell>
          <cell r="BO23">
            <v>38</v>
          </cell>
          <cell r="BP23">
            <v>38</v>
          </cell>
          <cell r="BQ23">
            <v>2063</v>
          </cell>
          <cell r="BR23">
            <v>83</v>
          </cell>
          <cell r="BS23">
            <v>41</v>
          </cell>
          <cell r="BT23">
            <v>41</v>
          </cell>
          <cell r="BU23">
            <v>2250</v>
          </cell>
          <cell r="BV23">
            <v>90</v>
          </cell>
          <cell r="BW23">
            <v>45</v>
          </cell>
          <cell r="BX23">
            <v>45</v>
          </cell>
          <cell r="BY23">
            <v>2438</v>
          </cell>
          <cell r="BZ23">
            <v>98</v>
          </cell>
          <cell r="CA23">
            <v>49</v>
          </cell>
          <cell r="CB23">
            <v>49</v>
          </cell>
          <cell r="CC23">
            <v>2625</v>
          </cell>
          <cell r="CD23">
            <v>105</v>
          </cell>
          <cell r="CE23">
            <v>53</v>
          </cell>
          <cell r="CF23">
            <v>53</v>
          </cell>
          <cell r="CG23">
            <v>2813</v>
          </cell>
          <cell r="CH23">
            <v>113</v>
          </cell>
          <cell r="CI23">
            <v>56</v>
          </cell>
          <cell r="CJ23">
            <v>56</v>
          </cell>
        </row>
        <row r="24">
          <cell r="J24" t="str">
            <v>2-16</v>
          </cell>
          <cell r="AC24">
            <v>188</v>
          </cell>
          <cell r="AD24">
            <v>8</v>
          </cell>
          <cell r="AE24">
            <v>4</v>
          </cell>
          <cell r="AF24">
            <v>4</v>
          </cell>
          <cell r="AG24">
            <v>375</v>
          </cell>
          <cell r="AH24">
            <v>15</v>
          </cell>
          <cell r="AI24">
            <v>8</v>
          </cell>
          <cell r="AJ24">
            <v>8</v>
          </cell>
          <cell r="AK24">
            <v>563</v>
          </cell>
          <cell r="AL24">
            <v>23</v>
          </cell>
          <cell r="AM24">
            <v>11</v>
          </cell>
          <cell r="AN24">
            <v>11</v>
          </cell>
          <cell r="AO24">
            <v>750</v>
          </cell>
          <cell r="AP24">
            <v>30</v>
          </cell>
          <cell r="AQ24">
            <v>15</v>
          </cell>
          <cell r="AR24">
            <v>15</v>
          </cell>
          <cell r="AS24">
            <v>938</v>
          </cell>
          <cell r="AT24">
            <v>38</v>
          </cell>
          <cell r="AU24">
            <v>19</v>
          </cell>
          <cell r="AV24">
            <v>19</v>
          </cell>
          <cell r="AW24">
            <v>1125</v>
          </cell>
          <cell r="AX24">
            <v>45</v>
          </cell>
          <cell r="AY24">
            <v>23</v>
          </cell>
          <cell r="AZ24">
            <v>23</v>
          </cell>
          <cell r="BA24">
            <v>1313</v>
          </cell>
          <cell r="BB24">
            <v>53</v>
          </cell>
          <cell r="BC24">
            <v>26</v>
          </cell>
          <cell r="BD24">
            <v>26</v>
          </cell>
          <cell r="BE24">
            <v>1500</v>
          </cell>
          <cell r="BF24">
            <v>60</v>
          </cell>
          <cell r="BG24">
            <v>30</v>
          </cell>
          <cell r="BH24">
            <v>30</v>
          </cell>
          <cell r="BI24">
            <v>1688</v>
          </cell>
          <cell r="BJ24">
            <v>68</v>
          </cell>
          <cell r="BK24">
            <v>34</v>
          </cell>
          <cell r="BL24">
            <v>34</v>
          </cell>
          <cell r="BM24">
            <v>1875</v>
          </cell>
          <cell r="BN24">
            <v>75</v>
          </cell>
          <cell r="BO24">
            <v>38</v>
          </cell>
          <cell r="BP24">
            <v>38</v>
          </cell>
          <cell r="BQ24">
            <v>2063</v>
          </cell>
          <cell r="BR24">
            <v>83</v>
          </cell>
          <cell r="BS24">
            <v>41</v>
          </cell>
          <cell r="BT24">
            <v>41</v>
          </cell>
          <cell r="BU24">
            <v>2250</v>
          </cell>
          <cell r="BV24">
            <v>90</v>
          </cell>
          <cell r="BW24">
            <v>45</v>
          </cell>
          <cell r="BX24">
            <v>45</v>
          </cell>
          <cell r="BY24">
            <v>2438</v>
          </cell>
          <cell r="BZ24">
            <v>98</v>
          </cell>
          <cell r="CA24">
            <v>49</v>
          </cell>
          <cell r="CB24">
            <v>49</v>
          </cell>
          <cell r="CC24">
            <v>2625</v>
          </cell>
          <cell r="CD24">
            <v>105</v>
          </cell>
          <cell r="CE24">
            <v>53</v>
          </cell>
          <cell r="CF24">
            <v>53</v>
          </cell>
          <cell r="CG24">
            <v>2813</v>
          </cell>
          <cell r="CH24">
            <v>113</v>
          </cell>
          <cell r="CI24">
            <v>56</v>
          </cell>
          <cell r="CJ24">
            <v>56</v>
          </cell>
        </row>
        <row r="25">
          <cell r="J25" t="str">
            <v>1-16</v>
          </cell>
          <cell r="AC25">
            <v>188</v>
          </cell>
          <cell r="AD25">
            <v>8</v>
          </cell>
          <cell r="AE25">
            <v>4</v>
          </cell>
          <cell r="AF25">
            <v>4</v>
          </cell>
          <cell r="AG25">
            <v>375</v>
          </cell>
          <cell r="AH25">
            <v>15</v>
          </cell>
          <cell r="AI25">
            <v>8</v>
          </cell>
          <cell r="AJ25">
            <v>8</v>
          </cell>
          <cell r="AK25">
            <v>563</v>
          </cell>
          <cell r="AL25">
            <v>23</v>
          </cell>
          <cell r="AM25">
            <v>11</v>
          </cell>
          <cell r="AN25">
            <v>11</v>
          </cell>
          <cell r="AO25">
            <v>750</v>
          </cell>
          <cell r="AP25">
            <v>30</v>
          </cell>
          <cell r="AQ25">
            <v>15</v>
          </cell>
          <cell r="AR25">
            <v>15</v>
          </cell>
          <cell r="AS25">
            <v>938</v>
          </cell>
          <cell r="AT25">
            <v>38</v>
          </cell>
          <cell r="AU25">
            <v>19</v>
          </cell>
          <cell r="AV25">
            <v>19</v>
          </cell>
          <cell r="AW25">
            <v>1125</v>
          </cell>
          <cell r="AX25">
            <v>45</v>
          </cell>
          <cell r="AY25">
            <v>23</v>
          </cell>
          <cell r="AZ25">
            <v>23</v>
          </cell>
          <cell r="BA25">
            <v>1313</v>
          </cell>
          <cell r="BB25">
            <v>53</v>
          </cell>
          <cell r="BC25">
            <v>26</v>
          </cell>
          <cell r="BD25">
            <v>26</v>
          </cell>
          <cell r="BE25">
            <v>1500</v>
          </cell>
          <cell r="BF25">
            <v>60</v>
          </cell>
          <cell r="BG25">
            <v>30</v>
          </cell>
          <cell r="BH25">
            <v>30</v>
          </cell>
          <cell r="BI25">
            <v>1688</v>
          </cell>
          <cell r="BJ25">
            <v>68</v>
          </cell>
          <cell r="BK25">
            <v>34</v>
          </cell>
          <cell r="BL25">
            <v>34</v>
          </cell>
          <cell r="BM25">
            <v>1875</v>
          </cell>
          <cell r="BN25">
            <v>75</v>
          </cell>
          <cell r="BO25">
            <v>38</v>
          </cell>
          <cell r="BP25">
            <v>38</v>
          </cell>
          <cell r="BQ25">
            <v>2063</v>
          </cell>
          <cell r="BR25">
            <v>83</v>
          </cell>
          <cell r="BS25">
            <v>41</v>
          </cell>
          <cell r="BT25">
            <v>41</v>
          </cell>
          <cell r="BU25">
            <v>2250</v>
          </cell>
          <cell r="BV25">
            <v>90</v>
          </cell>
          <cell r="BW25">
            <v>45</v>
          </cell>
          <cell r="BX25">
            <v>45</v>
          </cell>
          <cell r="BY25">
            <v>2438</v>
          </cell>
          <cell r="BZ25">
            <v>98</v>
          </cell>
          <cell r="CA25">
            <v>49</v>
          </cell>
          <cell r="CB25">
            <v>49</v>
          </cell>
          <cell r="CC25">
            <v>2625</v>
          </cell>
          <cell r="CD25">
            <v>105</v>
          </cell>
          <cell r="CE25">
            <v>53</v>
          </cell>
          <cell r="CF25">
            <v>53</v>
          </cell>
          <cell r="CG25">
            <v>2813</v>
          </cell>
          <cell r="CH25">
            <v>113</v>
          </cell>
          <cell r="CI25">
            <v>56</v>
          </cell>
          <cell r="CJ25">
            <v>56</v>
          </cell>
        </row>
        <row r="26">
          <cell r="J26" t="str">
            <v>4-13</v>
          </cell>
          <cell r="AC26">
            <v>156</v>
          </cell>
          <cell r="AD26">
            <v>6</v>
          </cell>
          <cell r="AE26">
            <v>3</v>
          </cell>
          <cell r="AF26">
            <v>3</v>
          </cell>
          <cell r="AG26">
            <v>313</v>
          </cell>
          <cell r="AH26">
            <v>13</v>
          </cell>
          <cell r="AI26">
            <v>7</v>
          </cell>
          <cell r="AJ26">
            <v>7</v>
          </cell>
          <cell r="AK26">
            <v>469</v>
          </cell>
          <cell r="AL26">
            <v>19</v>
          </cell>
          <cell r="AM26">
            <v>10</v>
          </cell>
          <cell r="AN26">
            <v>10</v>
          </cell>
          <cell r="AO26">
            <v>625</v>
          </cell>
          <cell r="AP26">
            <v>25</v>
          </cell>
          <cell r="AQ26">
            <v>13</v>
          </cell>
          <cell r="AR26">
            <v>13</v>
          </cell>
          <cell r="AS26">
            <v>781</v>
          </cell>
          <cell r="AT26">
            <v>31</v>
          </cell>
          <cell r="AU26">
            <v>16</v>
          </cell>
          <cell r="AV26">
            <v>16</v>
          </cell>
          <cell r="AW26">
            <v>938</v>
          </cell>
          <cell r="AX26">
            <v>38</v>
          </cell>
          <cell r="AY26">
            <v>20</v>
          </cell>
          <cell r="AZ26">
            <v>20</v>
          </cell>
          <cell r="BA26">
            <v>1094</v>
          </cell>
          <cell r="BB26">
            <v>44</v>
          </cell>
          <cell r="BC26">
            <v>23</v>
          </cell>
          <cell r="BD26">
            <v>23</v>
          </cell>
          <cell r="BE26">
            <v>1250</v>
          </cell>
          <cell r="BF26">
            <v>50</v>
          </cell>
          <cell r="BG26">
            <v>26</v>
          </cell>
          <cell r="BH26">
            <v>26</v>
          </cell>
          <cell r="BI26">
            <v>1406</v>
          </cell>
          <cell r="BJ26">
            <v>56</v>
          </cell>
          <cell r="BK26">
            <v>29</v>
          </cell>
          <cell r="BL26">
            <v>29</v>
          </cell>
          <cell r="BM26">
            <v>1563</v>
          </cell>
          <cell r="BN26">
            <v>63</v>
          </cell>
          <cell r="BO26">
            <v>33</v>
          </cell>
          <cell r="BP26">
            <v>33</v>
          </cell>
          <cell r="BQ26">
            <v>1719</v>
          </cell>
          <cell r="BR26">
            <v>69</v>
          </cell>
          <cell r="BS26">
            <v>36</v>
          </cell>
          <cell r="BT26">
            <v>36</v>
          </cell>
          <cell r="BU26">
            <v>1875</v>
          </cell>
          <cell r="BV26">
            <v>75</v>
          </cell>
          <cell r="BW26">
            <v>39</v>
          </cell>
          <cell r="BX26">
            <v>39</v>
          </cell>
          <cell r="BY26">
            <v>2031</v>
          </cell>
          <cell r="BZ26">
            <v>81</v>
          </cell>
          <cell r="CA26">
            <v>42</v>
          </cell>
          <cell r="CB26">
            <v>42</v>
          </cell>
          <cell r="CC26">
            <v>2188</v>
          </cell>
          <cell r="CD26">
            <v>88</v>
          </cell>
          <cell r="CE26">
            <v>46</v>
          </cell>
          <cell r="CF26">
            <v>46</v>
          </cell>
          <cell r="CG26">
            <v>2344</v>
          </cell>
          <cell r="CH26">
            <v>94</v>
          </cell>
          <cell r="CI26">
            <v>49</v>
          </cell>
          <cell r="CJ26">
            <v>49</v>
          </cell>
        </row>
        <row r="27">
          <cell r="J27" t="str">
            <v>3-13</v>
          </cell>
          <cell r="AC27">
            <v>156</v>
          </cell>
          <cell r="AD27">
            <v>6</v>
          </cell>
          <cell r="AE27">
            <v>3</v>
          </cell>
          <cell r="AF27">
            <v>3</v>
          </cell>
          <cell r="AG27">
            <v>313</v>
          </cell>
          <cell r="AH27">
            <v>13</v>
          </cell>
          <cell r="AI27">
            <v>7</v>
          </cell>
          <cell r="AJ27">
            <v>7</v>
          </cell>
          <cell r="AK27">
            <v>469</v>
          </cell>
          <cell r="AL27">
            <v>19</v>
          </cell>
          <cell r="AM27">
            <v>10</v>
          </cell>
          <cell r="AN27">
            <v>10</v>
          </cell>
          <cell r="AO27">
            <v>625</v>
          </cell>
          <cell r="AP27">
            <v>25</v>
          </cell>
          <cell r="AQ27">
            <v>13</v>
          </cell>
          <cell r="AR27">
            <v>13</v>
          </cell>
          <cell r="AS27">
            <v>781</v>
          </cell>
          <cell r="AT27">
            <v>31</v>
          </cell>
          <cell r="AU27">
            <v>16</v>
          </cell>
          <cell r="AV27">
            <v>16</v>
          </cell>
          <cell r="AW27">
            <v>938</v>
          </cell>
          <cell r="AX27">
            <v>38</v>
          </cell>
          <cell r="AY27">
            <v>20</v>
          </cell>
          <cell r="AZ27">
            <v>20</v>
          </cell>
          <cell r="BA27">
            <v>1094</v>
          </cell>
          <cell r="BB27">
            <v>44</v>
          </cell>
          <cell r="BC27">
            <v>23</v>
          </cell>
          <cell r="BD27">
            <v>23</v>
          </cell>
          <cell r="BE27">
            <v>1250</v>
          </cell>
          <cell r="BF27">
            <v>50</v>
          </cell>
          <cell r="BG27">
            <v>26</v>
          </cell>
          <cell r="BH27">
            <v>26</v>
          </cell>
          <cell r="BI27">
            <v>1406</v>
          </cell>
          <cell r="BJ27">
            <v>56</v>
          </cell>
          <cell r="BK27">
            <v>29</v>
          </cell>
          <cell r="BL27">
            <v>29</v>
          </cell>
          <cell r="BM27">
            <v>1563</v>
          </cell>
          <cell r="BN27">
            <v>63</v>
          </cell>
          <cell r="BO27">
            <v>33</v>
          </cell>
          <cell r="BP27">
            <v>33</v>
          </cell>
          <cell r="BQ27">
            <v>1719</v>
          </cell>
          <cell r="BR27">
            <v>69</v>
          </cell>
          <cell r="BS27">
            <v>36</v>
          </cell>
          <cell r="BT27">
            <v>36</v>
          </cell>
          <cell r="BU27">
            <v>1875</v>
          </cell>
          <cell r="BV27">
            <v>75</v>
          </cell>
          <cell r="BW27">
            <v>39</v>
          </cell>
          <cell r="BX27">
            <v>39</v>
          </cell>
          <cell r="BY27">
            <v>2031</v>
          </cell>
          <cell r="BZ27">
            <v>81</v>
          </cell>
          <cell r="CA27">
            <v>42</v>
          </cell>
          <cell r="CB27">
            <v>42</v>
          </cell>
          <cell r="CC27">
            <v>2188</v>
          </cell>
          <cell r="CD27">
            <v>88</v>
          </cell>
          <cell r="CE27">
            <v>46</v>
          </cell>
          <cell r="CF27">
            <v>46</v>
          </cell>
          <cell r="CG27">
            <v>2344</v>
          </cell>
          <cell r="CH27">
            <v>94</v>
          </cell>
          <cell r="CI27">
            <v>49</v>
          </cell>
          <cell r="CJ27">
            <v>49</v>
          </cell>
        </row>
        <row r="28">
          <cell r="J28" t="str">
            <v>5-13</v>
          </cell>
          <cell r="AC28">
            <v>156</v>
          </cell>
          <cell r="AD28">
            <v>6</v>
          </cell>
          <cell r="AE28">
            <v>3</v>
          </cell>
          <cell r="AF28">
            <v>3</v>
          </cell>
          <cell r="AG28">
            <v>313</v>
          </cell>
          <cell r="AH28">
            <v>13</v>
          </cell>
          <cell r="AI28">
            <v>7</v>
          </cell>
          <cell r="AJ28">
            <v>7</v>
          </cell>
          <cell r="AK28">
            <v>469</v>
          </cell>
          <cell r="AL28">
            <v>19</v>
          </cell>
          <cell r="AM28">
            <v>10</v>
          </cell>
          <cell r="AN28">
            <v>10</v>
          </cell>
          <cell r="AO28">
            <v>625</v>
          </cell>
          <cell r="AP28">
            <v>25</v>
          </cell>
          <cell r="AQ28">
            <v>13</v>
          </cell>
          <cell r="AR28">
            <v>13</v>
          </cell>
          <cell r="AS28">
            <v>781</v>
          </cell>
          <cell r="AT28">
            <v>31</v>
          </cell>
          <cell r="AU28">
            <v>16</v>
          </cell>
          <cell r="AV28">
            <v>16</v>
          </cell>
          <cell r="AW28">
            <v>938</v>
          </cell>
          <cell r="AX28">
            <v>38</v>
          </cell>
          <cell r="AY28">
            <v>20</v>
          </cell>
          <cell r="AZ28">
            <v>20</v>
          </cell>
          <cell r="BA28">
            <v>1094</v>
          </cell>
          <cell r="BB28">
            <v>44</v>
          </cell>
          <cell r="BC28">
            <v>23</v>
          </cell>
          <cell r="BD28">
            <v>23</v>
          </cell>
          <cell r="BE28">
            <v>1250</v>
          </cell>
          <cell r="BF28">
            <v>50</v>
          </cell>
          <cell r="BG28">
            <v>26</v>
          </cell>
          <cell r="BH28">
            <v>26</v>
          </cell>
          <cell r="BI28">
            <v>1406</v>
          </cell>
          <cell r="BJ28">
            <v>56</v>
          </cell>
          <cell r="BK28">
            <v>29</v>
          </cell>
          <cell r="BL28">
            <v>29</v>
          </cell>
          <cell r="BM28">
            <v>1563</v>
          </cell>
          <cell r="BN28">
            <v>63</v>
          </cell>
          <cell r="BO28">
            <v>33</v>
          </cell>
          <cell r="BP28">
            <v>33</v>
          </cell>
          <cell r="BQ28">
            <v>1719</v>
          </cell>
          <cell r="BR28">
            <v>69</v>
          </cell>
          <cell r="BS28">
            <v>36</v>
          </cell>
          <cell r="BT28">
            <v>36</v>
          </cell>
          <cell r="BU28">
            <v>1875</v>
          </cell>
          <cell r="BV28">
            <v>75</v>
          </cell>
          <cell r="BW28">
            <v>39</v>
          </cell>
          <cell r="BX28">
            <v>39</v>
          </cell>
          <cell r="BY28">
            <v>2031</v>
          </cell>
          <cell r="BZ28">
            <v>81</v>
          </cell>
          <cell r="CA28">
            <v>42</v>
          </cell>
          <cell r="CB28">
            <v>42</v>
          </cell>
          <cell r="CC28">
            <v>2188</v>
          </cell>
          <cell r="CD28">
            <v>88</v>
          </cell>
          <cell r="CE28">
            <v>46</v>
          </cell>
          <cell r="CF28">
            <v>46</v>
          </cell>
          <cell r="CG28">
            <v>2344</v>
          </cell>
          <cell r="CH28">
            <v>94</v>
          </cell>
          <cell r="CI28">
            <v>49</v>
          </cell>
          <cell r="CJ28">
            <v>49</v>
          </cell>
        </row>
        <row r="29">
          <cell r="J29" t="str">
            <v>2-13</v>
          </cell>
          <cell r="AC29">
            <v>156</v>
          </cell>
          <cell r="AD29">
            <v>6</v>
          </cell>
          <cell r="AE29">
            <v>3</v>
          </cell>
          <cell r="AF29">
            <v>3</v>
          </cell>
          <cell r="AG29">
            <v>313</v>
          </cell>
          <cell r="AH29">
            <v>13</v>
          </cell>
          <cell r="AI29">
            <v>7</v>
          </cell>
          <cell r="AJ29">
            <v>7</v>
          </cell>
          <cell r="AK29">
            <v>469</v>
          </cell>
          <cell r="AL29">
            <v>19</v>
          </cell>
          <cell r="AM29">
            <v>10</v>
          </cell>
          <cell r="AN29">
            <v>10</v>
          </cell>
          <cell r="AO29">
            <v>625</v>
          </cell>
          <cell r="AP29">
            <v>25</v>
          </cell>
          <cell r="AQ29">
            <v>13</v>
          </cell>
          <cell r="AR29">
            <v>13</v>
          </cell>
          <cell r="AS29">
            <v>781</v>
          </cell>
          <cell r="AT29">
            <v>31</v>
          </cell>
          <cell r="AU29">
            <v>16</v>
          </cell>
          <cell r="AV29">
            <v>16</v>
          </cell>
          <cell r="AW29">
            <v>938</v>
          </cell>
          <cell r="AX29">
            <v>38</v>
          </cell>
          <cell r="AY29">
            <v>20</v>
          </cell>
          <cell r="AZ29">
            <v>20</v>
          </cell>
          <cell r="BA29">
            <v>1094</v>
          </cell>
          <cell r="BB29">
            <v>44</v>
          </cell>
          <cell r="BC29">
            <v>23</v>
          </cell>
          <cell r="BD29">
            <v>23</v>
          </cell>
          <cell r="BE29">
            <v>1250</v>
          </cell>
          <cell r="BF29">
            <v>50</v>
          </cell>
          <cell r="BG29">
            <v>26</v>
          </cell>
          <cell r="BH29">
            <v>26</v>
          </cell>
          <cell r="BI29">
            <v>1406</v>
          </cell>
          <cell r="BJ29">
            <v>56</v>
          </cell>
          <cell r="BK29">
            <v>29</v>
          </cell>
          <cell r="BL29">
            <v>29</v>
          </cell>
          <cell r="BM29">
            <v>1563</v>
          </cell>
          <cell r="BN29">
            <v>63</v>
          </cell>
          <cell r="BO29">
            <v>33</v>
          </cell>
          <cell r="BP29">
            <v>33</v>
          </cell>
          <cell r="BQ29">
            <v>1719</v>
          </cell>
          <cell r="BR29">
            <v>69</v>
          </cell>
          <cell r="BS29">
            <v>36</v>
          </cell>
          <cell r="BT29">
            <v>36</v>
          </cell>
          <cell r="BU29">
            <v>1875</v>
          </cell>
          <cell r="BV29">
            <v>75</v>
          </cell>
          <cell r="BW29">
            <v>39</v>
          </cell>
          <cell r="BX29">
            <v>39</v>
          </cell>
          <cell r="BY29">
            <v>2031</v>
          </cell>
          <cell r="BZ29">
            <v>81</v>
          </cell>
          <cell r="CA29">
            <v>42</v>
          </cell>
          <cell r="CB29">
            <v>42</v>
          </cell>
          <cell r="CC29">
            <v>2188</v>
          </cell>
          <cell r="CD29">
            <v>88</v>
          </cell>
          <cell r="CE29">
            <v>46</v>
          </cell>
          <cell r="CF29">
            <v>46</v>
          </cell>
          <cell r="CG29">
            <v>2344</v>
          </cell>
          <cell r="CH29">
            <v>94</v>
          </cell>
          <cell r="CI29">
            <v>49</v>
          </cell>
          <cell r="CJ29">
            <v>49</v>
          </cell>
        </row>
        <row r="30">
          <cell r="J30" t="str">
            <v>1-13</v>
          </cell>
          <cell r="AC30">
            <v>156</v>
          </cell>
          <cell r="AD30">
            <v>6</v>
          </cell>
          <cell r="AE30">
            <v>3</v>
          </cell>
          <cell r="AF30">
            <v>3</v>
          </cell>
          <cell r="AG30">
            <v>313</v>
          </cell>
          <cell r="AH30">
            <v>13</v>
          </cell>
          <cell r="AI30">
            <v>7</v>
          </cell>
          <cell r="AJ30">
            <v>7</v>
          </cell>
          <cell r="AK30">
            <v>469</v>
          </cell>
          <cell r="AL30">
            <v>19</v>
          </cell>
          <cell r="AM30">
            <v>10</v>
          </cell>
          <cell r="AN30">
            <v>10</v>
          </cell>
          <cell r="AO30">
            <v>625</v>
          </cell>
          <cell r="AP30">
            <v>25</v>
          </cell>
          <cell r="AQ30">
            <v>13</v>
          </cell>
          <cell r="AR30">
            <v>13</v>
          </cell>
          <cell r="AS30">
            <v>781</v>
          </cell>
          <cell r="AT30">
            <v>31</v>
          </cell>
          <cell r="AU30">
            <v>16</v>
          </cell>
          <cell r="AV30">
            <v>16</v>
          </cell>
          <cell r="AW30">
            <v>938</v>
          </cell>
          <cell r="AX30">
            <v>38</v>
          </cell>
          <cell r="AY30">
            <v>20</v>
          </cell>
          <cell r="AZ30">
            <v>20</v>
          </cell>
          <cell r="BA30">
            <v>1094</v>
          </cell>
          <cell r="BB30">
            <v>44</v>
          </cell>
          <cell r="BC30">
            <v>23</v>
          </cell>
          <cell r="BD30">
            <v>23</v>
          </cell>
          <cell r="BE30">
            <v>1250</v>
          </cell>
          <cell r="BF30">
            <v>50</v>
          </cell>
          <cell r="BG30">
            <v>26</v>
          </cell>
          <cell r="BH30">
            <v>26</v>
          </cell>
          <cell r="BI30">
            <v>1406</v>
          </cell>
          <cell r="BJ30">
            <v>56</v>
          </cell>
          <cell r="BK30">
            <v>29</v>
          </cell>
          <cell r="BL30">
            <v>29</v>
          </cell>
          <cell r="BM30">
            <v>1563</v>
          </cell>
          <cell r="BN30">
            <v>63</v>
          </cell>
          <cell r="BO30">
            <v>33</v>
          </cell>
          <cell r="BP30">
            <v>33</v>
          </cell>
          <cell r="BQ30">
            <v>1719</v>
          </cell>
          <cell r="BR30">
            <v>69</v>
          </cell>
          <cell r="BS30">
            <v>36</v>
          </cell>
          <cell r="BT30">
            <v>36</v>
          </cell>
          <cell r="BU30">
            <v>1875</v>
          </cell>
          <cell r="BV30">
            <v>75</v>
          </cell>
          <cell r="BW30">
            <v>39</v>
          </cell>
          <cell r="BX30">
            <v>39</v>
          </cell>
          <cell r="BY30">
            <v>2031</v>
          </cell>
          <cell r="BZ30">
            <v>81</v>
          </cell>
          <cell r="CA30">
            <v>42</v>
          </cell>
          <cell r="CB30">
            <v>42</v>
          </cell>
          <cell r="CC30">
            <v>2188</v>
          </cell>
          <cell r="CD30">
            <v>88</v>
          </cell>
          <cell r="CE30">
            <v>46</v>
          </cell>
          <cell r="CF30">
            <v>46</v>
          </cell>
          <cell r="CG30">
            <v>2344</v>
          </cell>
          <cell r="CH30">
            <v>94</v>
          </cell>
          <cell r="CI30">
            <v>49</v>
          </cell>
          <cell r="CJ30">
            <v>49</v>
          </cell>
        </row>
        <row r="31">
          <cell r="J31" t="str">
            <v>4-11</v>
          </cell>
          <cell r="AC31">
            <v>100</v>
          </cell>
          <cell r="AD31">
            <v>4</v>
          </cell>
          <cell r="AE31">
            <v>2</v>
          </cell>
          <cell r="AF31">
            <v>2</v>
          </cell>
          <cell r="AG31">
            <v>200</v>
          </cell>
          <cell r="AH31">
            <v>8</v>
          </cell>
          <cell r="AI31">
            <v>4</v>
          </cell>
          <cell r="AJ31">
            <v>4</v>
          </cell>
          <cell r="AK31">
            <v>300</v>
          </cell>
          <cell r="AL31">
            <v>12</v>
          </cell>
          <cell r="AM31">
            <v>6</v>
          </cell>
          <cell r="AN31">
            <v>6</v>
          </cell>
          <cell r="AO31">
            <v>400</v>
          </cell>
          <cell r="AP31">
            <v>16</v>
          </cell>
          <cell r="AQ31">
            <v>8</v>
          </cell>
          <cell r="AR31">
            <v>8</v>
          </cell>
          <cell r="AS31">
            <v>500</v>
          </cell>
          <cell r="AT31">
            <v>20</v>
          </cell>
          <cell r="AU31">
            <v>10</v>
          </cell>
          <cell r="AV31">
            <v>10</v>
          </cell>
          <cell r="AW31">
            <v>600</v>
          </cell>
          <cell r="AX31">
            <v>24</v>
          </cell>
          <cell r="AY31">
            <v>12</v>
          </cell>
          <cell r="AZ31">
            <v>12</v>
          </cell>
          <cell r="BA31">
            <v>700</v>
          </cell>
          <cell r="BB31">
            <v>28</v>
          </cell>
          <cell r="BC31">
            <v>14</v>
          </cell>
          <cell r="BD31">
            <v>14</v>
          </cell>
          <cell r="BE31">
            <v>800</v>
          </cell>
          <cell r="BF31">
            <v>32</v>
          </cell>
          <cell r="BG31">
            <v>16</v>
          </cell>
          <cell r="BH31">
            <v>16</v>
          </cell>
          <cell r="BI31">
            <v>900</v>
          </cell>
          <cell r="BJ31">
            <v>36</v>
          </cell>
          <cell r="BK31">
            <v>18</v>
          </cell>
          <cell r="BL31">
            <v>18</v>
          </cell>
          <cell r="BM31">
            <v>1000</v>
          </cell>
          <cell r="BN31">
            <v>40</v>
          </cell>
          <cell r="BO31">
            <v>20</v>
          </cell>
          <cell r="BP31">
            <v>20</v>
          </cell>
          <cell r="BQ31">
            <v>1100</v>
          </cell>
          <cell r="BR31">
            <v>44</v>
          </cell>
          <cell r="BS31">
            <v>22</v>
          </cell>
          <cell r="BT31">
            <v>22</v>
          </cell>
          <cell r="BU31">
            <v>1200</v>
          </cell>
          <cell r="BV31">
            <v>48</v>
          </cell>
          <cell r="BW31">
            <v>24</v>
          </cell>
          <cell r="BX31">
            <v>24</v>
          </cell>
          <cell r="BY31">
            <v>1300</v>
          </cell>
          <cell r="BZ31">
            <v>52</v>
          </cell>
          <cell r="CA31">
            <v>26</v>
          </cell>
          <cell r="CB31">
            <v>26</v>
          </cell>
          <cell r="CC31">
            <v>1400</v>
          </cell>
          <cell r="CD31">
            <v>56</v>
          </cell>
          <cell r="CE31">
            <v>28</v>
          </cell>
          <cell r="CF31">
            <v>28</v>
          </cell>
          <cell r="CG31">
            <v>1500</v>
          </cell>
          <cell r="CH31">
            <v>60</v>
          </cell>
          <cell r="CI31">
            <v>30</v>
          </cell>
          <cell r="CJ31">
            <v>30</v>
          </cell>
        </row>
        <row r="32">
          <cell r="J32" t="str">
            <v>3-11</v>
          </cell>
          <cell r="AC32">
            <v>100</v>
          </cell>
          <cell r="AD32">
            <v>4</v>
          </cell>
          <cell r="AE32">
            <v>2</v>
          </cell>
          <cell r="AF32">
            <v>2</v>
          </cell>
          <cell r="AG32">
            <v>200</v>
          </cell>
          <cell r="AH32">
            <v>8</v>
          </cell>
          <cell r="AI32">
            <v>4</v>
          </cell>
          <cell r="AJ32">
            <v>4</v>
          </cell>
          <cell r="AK32">
            <v>300</v>
          </cell>
          <cell r="AL32">
            <v>12</v>
          </cell>
          <cell r="AM32">
            <v>6</v>
          </cell>
          <cell r="AN32">
            <v>6</v>
          </cell>
          <cell r="AO32">
            <v>400</v>
          </cell>
          <cell r="AP32">
            <v>16</v>
          </cell>
          <cell r="AQ32">
            <v>8</v>
          </cell>
          <cell r="AR32">
            <v>8</v>
          </cell>
          <cell r="AS32">
            <v>500</v>
          </cell>
          <cell r="AT32">
            <v>20</v>
          </cell>
          <cell r="AU32">
            <v>10</v>
          </cell>
          <cell r="AV32">
            <v>10</v>
          </cell>
          <cell r="AW32">
            <v>600</v>
          </cell>
          <cell r="AX32">
            <v>24</v>
          </cell>
          <cell r="AY32">
            <v>12</v>
          </cell>
          <cell r="AZ32">
            <v>12</v>
          </cell>
          <cell r="BA32">
            <v>700</v>
          </cell>
          <cell r="BB32">
            <v>28</v>
          </cell>
          <cell r="BC32">
            <v>14</v>
          </cell>
          <cell r="BD32">
            <v>14</v>
          </cell>
          <cell r="BE32">
            <v>800</v>
          </cell>
          <cell r="BF32">
            <v>32</v>
          </cell>
          <cell r="BG32">
            <v>16</v>
          </cell>
          <cell r="BH32">
            <v>16</v>
          </cell>
          <cell r="BI32">
            <v>900</v>
          </cell>
          <cell r="BJ32">
            <v>36</v>
          </cell>
          <cell r="BK32">
            <v>18</v>
          </cell>
          <cell r="BL32">
            <v>18</v>
          </cell>
          <cell r="BM32">
            <v>1000</v>
          </cell>
          <cell r="BN32">
            <v>40</v>
          </cell>
          <cell r="BO32">
            <v>20</v>
          </cell>
          <cell r="BP32">
            <v>20</v>
          </cell>
          <cell r="BQ32">
            <v>1100</v>
          </cell>
          <cell r="BR32">
            <v>44</v>
          </cell>
          <cell r="BS32">
            <v>22</v>
          </cell>
          <cell r="BT32">
            <v>22</v>
          </cell>
          <cell r="BU32">
            <v>1200</v>
          </cell>
          <cell r="BV32">
            <v>48</v>
          </cell>
          <cell r="BW32">
            <v>24</v>
          </cell>
          <cell r="BX32">
            <v>24</v>
          </cell>
          <cell r="BY32">
            <v>1300</v>
          </cell>
          <cell r="BZ32">
            <v>52</v>
          </cell>
          <cell r="CA32">
            <v>26</v>
          </cell>
          <cell r="CB32">
            <v>26</v>
          </cell>
          <cell r="CC32">
            <v>1400</v>
          </cell>
          <cell r="CD32">
            <v>56</v>
          </cell>
          <cell r="CE32">
            <v>28</v>
          </cell>
          <cell r="CF32">
            <v>28</v>
          </cell>
          <cell r="CG32">
            <v>1500</v>
          </cell>
          <cell r="CH32">
            <v>60</v>
          </cell>
          <cell r="CI32">
            <v>30</v>
          </cell>
          <cell r="CJ32">
            <v>30</v>
          </cell>
        </row>
        <row r="33">
          <cell r="J33" t="str">
            <v>5-11</v>
          </cell>
          <cell r="AC33">
            <v>100</v>
          </cell>
          <cell r="AD33">
            <v>4</v>
          </cell>
          <cell r="AE33">
            <v>2</v>
          </cell>
          <cell r="AF33">
            <v>2</v>
          </cell>
          <cell r="AG33">
            <v>200</v>
          </cell>
          <cell r="AH33">
            <v>8</v>
          </cell>
          <cell r="AI33">
            <v>4</v>
          </cell>
          <cell r="AJ33">
            <v>4</v>
          </cell>
          <cell r="AK33">
            <v>300</v>
          </cell>
          <cell r="AL33">
            <v>12</v>
          </cell>
          <cell r="AM33">
            <v>6</v>
          </cell>
          <cell r="AN33">
            <v>6</v>
          </cell>
          <cell r="AO33">
            <v>400</v>
          </cell>
          <cell r="AP33">
            <v>16</v>
          </cell>
          <cell r="AQ33">
            <v>8</v>
          </cell>
          <cell r="AR33">
            <v>8</v>
          </cell>
          <cell r="AS33">
            <v>500</v>
          </cell>
          <cell r="AT33">
            <v>20</v>
          </cell>
          <cell r="AU33">
            <v>10</v>
          </cell>
          <cell r="AV33">
            <v>10</v>
          </cell>
          <cell r="AW33">
            <v>600</v>
          </cell>
          <cell r="AX33">
            <v>24</v>
          </cell>
          <cell r="AY33">
            <v>12</v>
          </cell>
          <cell r="AZ33">
            <v>12</v>
          </cell>
          <cell r="BA33">
            <v>700</v>
          </cell>
          <cell r="BB33">
            <v>28</v>
          </cell>
          <cell r="BC33">
            <v>14</v>
          </cell>
          <cell r="BD33">
            <v>14</v>
          </cell>
          <cell r="BE33">
            <v>800</v>
          </cell>
          <cell r="BF33">
            <v>32</v>
          </cell>
          <cell r="BG33">
            <v>16</v>
          </cell>
          <cell r="BH33">
            <v>16</v>
          </cell>
          <cell r="BI33">
            <v>900</v>
          </cell>
          <cell r="BJ33">
            <v>36</v>
          </cell>
          <cell r="BK33">
            <v>18</v>
          </cell>
          <cell r="BL33">
            <v>18</v>
          </cell>
          <cell r="BM33">
            <v>1000</v>
          </cell>
          <cell r="BN33">
            <v>40</v>
          </cell>
          <cell r="BO33">
            <v>20</v>
          </cell>
          <cell r="BP33">
            <v>20</v>
          </cell>
          <cell r="BQ33">
            <v>1100</v>
          </cell>
          <cell r="BR33">
            <v>44</v>
          </cell>
          <cell r="BS33">
            <v>22</v>
          </cell>
          <cell r="BT33">
            <v>22</v>
          </cell>
          <cell r="BU33">
            <v>1200</v>
          </cell>
          <cell r="BV33">
            <v>48</v>
          </cell>
          <cell r="BW33">
            <v>24</v>
          </cell>
          <cell r="BX33">
            <v>24</v>
          </cell>
          <cell r="BY33">
            <v>1300</v>
          </cell>
          <cell r="BZ33">
            <v>52</v>
          </cell>
          <cell r="CA33">
            <v>26</v>
          </cell>
          <cell r="CB33">
            <v>26</v>
          </cell>
          <cell r="CC33">
            <v>1400</v>
          </cell>
          <cell r="CD33">
            <v>56</v>
          </cell>
          <cell r="CE33">
            <v>28</v>
          </cell>
          <cell r="CF33">
            <v>28</v>
          </cell>
          <cell r="CG33">
            <v>1500</v>
          </cell>
          <cell r="CH33">
            <v>60</v>
          </cell>
          <cell r="CI33">
            <v>30</v>
          </cell>
          <cell r="CJ33">
            <v>30</v>
          </cell>
        </row>
        <row r="34">
          <cell r="J34" t="str">
            <v>2-11</v>
          </cell>
          <cell r="AC34">
            <v>100</v>
          </cell>
          <cell r="AD34">
            <v>4</v>
          </cell>
          <cell r="AE34">
            <v>2</v>
          </cell>
          <cell r="AF34">
            <v>2</v>
          </cell>
          <cell r="AG34">
            <v>200</v>
          </cell>
          <cell r="AH34">
            <v>8</v>
          </cell>
          <cell r="AI34">
            <v>4</v>
          </cell>
          <cell r="AJ34">
            <v>4</v>
          </cell>
          <cell r="AK34">
            <v>300</v>
          </cell>
          <cell r="AL34">
            <v>12</v>
          </cell>
          <cell r="AM34">
            <v>6</v>
          </cell>
          <cell r="AN34">
            <v>6</v>
          </cell>
          <cell r="AO34">
            <v>400</v>
          </cell>
          <cell r="AP34">
            <v>16</v>
          </cell>
          <cell r="AQ34">
            <v>8</v>
          </cell>
          <cell r="AR34">
            <v>8</v>
          </cell>
          <cell r="AS34">
            <v>500</v>
          </cell>
          <cell r="AT34">
            <v>20</v>
          </cell>
          <cell r="AU34">
            <v>10</v>
          </cell>
          <cell r="AV34">
            <v>10</v>
          </cell>
          <cell r="AW34">
            <v>600</v>
          </cell>
          <cell r="AX34">
            <v>24</v>
          </cell>
          <cell r="AY34">
            <v>12</v>
          </cell>
          <cell r="AZ34">
            <v>12</v>
          </cell>
          <cell r="BA34">
            <v>700</v>
          </cell>
          <cell r="BB34">
            <v>28</v>
          </cell>
          <cell r="BC34">
            <v>14</v>
          </cell>
          <cell r="BD34">
            <v>14</v>
          </cell>
          <cell r="BE34">
            <v>800</v>
          </cell>
          <cell r="BF34">
            <v>32</v>
          </cell>
          <cell r="BG34">
            <v>16</v>
          </cell>
          <cell r="BH34">
            <v>16</v>
          </cell>
          <cell r="BI34">
            <v>900</v>
          </cell>
          <cell r="BJ34">
            <v>36</v>
          </cell>
          <cell r="BK34">
            <v>18</v>
          </cell>
          <cell r="BL34">
            <v>18</v>
          </cell>
          <cell r="BM34">
            <v>1000</v>
          </cell>
          <cell r="BN34">
            <v>40</v>
          </cell>
          <cell r="BO34">
            <v>20</v>
          </cell>
          <cell r="BP34">
            <v>20</v>
          </cell>
          <cell r="BQ34">
            <v>1100</v>
          </cell>
          <cell r="BR34">
            <v>44</v>
          </cell>
          <cell r="BS34">
            <v>22</v>
          </cell>
          <cell r="BT34">
            <v>22</v>
          </cell>
          <cell r="BU34">
            <v>1200</v>
          </cell>
          <cell r="BV34">
            <v>48</v>
          </cell>
          <cell r="BW34">
            <v>24</v>
          </cell>
          <cell r="BX34">
            <v>24</v>
          </cell>
          <cell r="BY34">
            <v>1300</v>
          </cell>
          <cell r="BZ34">
            <v>52</v>
          </cell>
          <cell r="CA34">
            <v>26</v>
          </cell>
          <cell r="CB34">
            <v>26</v>
          </cell>
          <cell r="CC34">
            <v>1400</v>
          </cell>
          <cell r="CD34">
            <v>56</v>
          </cell>
          <cell r="CE34">
            <v>28</v>
          </cell>
          <cell r="CF34">
            <v>28</v>
          </cell>
          <cell r="CG34">
            <v>1500</v>
          </cell>
          <cell r="CH34">
            <v>60</v>
          </cell>
          <cell r="CI34">
            <v>30</v>
          </cell>
          <cell r="CJ34">
            <v>30</v>
          </cell>
        </row>
        <row r="35">
          <cell r="J35" t="str">
            <v>1-11</v>
          </cell>
          <cell r="AC35">
            <v>100</v>
          </cell>
          <cell r="AD35">
            <v>4</v>
          </cell>
          <cell r="AE35">
            <v>2</v>
          </cell>
          <cell r="AF35">
            <v>2</v>
          </cell>
          <cell r="AG35">
            <v>200</v>
          </cell>
          <cell r="AH35">
            <v>8</v>
          </cell>
          <cell r="AI35">
            <v>4</v>
          </cell>
          <cell r="AJ35">
            <v>4</v>
          </cell>
          <cell r="AK35">
            <v>300</v>
          </cell>
          <cell r="AL35">
            <v>12</v>
          </cell>
          <cell r="AM35">
            <v>6</v>
          </cell>
          <cell r="AN35">
            <v>6</v>
          </cell>
          <cell r="AO35">
            <v>400</v>
          </cell>
          <cell r="AP35">
            <v>16</v>
          </cell>
          <cell r="AQ35">
            <v>8</v>
          </cell>
          <cell r="AR35">
            <v>8</v>
          </cell>
          <cell r="AS35">
            <v>500</v>
          </cell>
          <cell r="AT35">
            <v>20</v>
          </cell>
          <cell r="AU35">
            <v>10</v>
          </cell>
          <cell r="AV35">
            <v>10</v>
          </cell>
          <cell r="AW35">
            <v>600</v>
          </cell>
          <cell r="AX35">
            <v>24</v>
          </cell>
          <cell r="AY35">
            <v>12</v>
          </cell>
          <cell r="AZ35">
            <v>12</v>
          </cell>
          <cell r="BA35">
            <v>700</v>
          </cell>
          <cell r="BB35">
            <v>28</v>
          </cell>
          <cell r="BC35">
            <v>14</v>
          </cell>
          <cell r="BD35">
            <v>14</v>
          </cell>
          <cell r="BE35">
            <v>800</v>
          </cell>
          <cell r="BF35">
            <v>32</v>
          </cell>
          <cell r="BG35">
            <v>16</v>
          </cell>
          <cell r="BH35">
            <v>16</v>
          </cell>
          <cell r="BI35">
            <v>900</v>
          </cell>
          <cell r="BJ35">
            <v>36</v>
          </cell>
          <cell r="BK35">
            <v>18</v>
          </cell>
          <cell r="BL35">
            <v>18</v>
          </cell>
          <cell r="BM35">
            <v>1000</v>
          </cell>
          <cell r="BN35">
            <v>40</v>
          </cell>
          <cell r="BO35">
            <v>20</v>
          </cell>
          <cell r="BP35">
            <v>20</v>
          </cell>
          <cell r="BQ35">
            <v>1100</v>
          </cell>
          <cell r="BR35">
            <v>44</v>
          </cell>
          <cell r="BS35">
            <v>22</v>
          </cell>
          <cell r="BT35">
            <v>22</v>
          </cell>
          <cell r="BU35">
            <v>1200</v>
          </cell>
          <cell r="BV35">
            <v>48</v>
          </cell>
          <cell r="BW35">
            <v>24</v>
          </cell>
          <cell r="BX35">
            <v>24</v>
          </cell>
          <cell r="BY35">
            <v>1300</v>
          </cell>
          <cell r="BZ35">
            <v>52</v>
          </cell>
          <cell r="CA35">
            <v>26</v>
          </cell>
          <cell r="CB35">
            <v>26</v>
          </cell>
          <cell r="CC35">
            <v>1400</v>
          </cell>
          <cell r="CD35">
            <v>56</v>
          </cell>
          <cell r="CE35">
            <v>28</v>
          </cell>
          <cell r="CF35">
            <v>28</v>
          </cell>
          <cell r="CG35">
            <v>1500</v>
          </cell>
          <cell r="CH35">
            <v>60</v>
          </cell>
          <cell r="CI35">
            <v>30</v>
          </cell>
          <cell r="CJ35">
            <v>30</v>
          </cell>
        </row>
        <row r="36">
          <cell r="J36" t="str">
            <v>4-6</v>
          </cell>
          <cell r="AC36">
            <v>75</v>
          </cell>
          <cell r="AD36">
            <v>3</v>
          </cell>
          <cell r="AE36">
            <v>2</v>
          </cell>
          <cell r="AF36">
            <v>2</v>
          </cell>
          <cell r="AG36">
            <v>150</v>
          </cell>
          <cell r="AH36">
            <v>6</v>
          </cell>
          <cell r="AI36">
            <v>3</v>
          </cell>
          <cell r="AJ36">
            <v>3</v>
          </cell>
          <cell r="AK36">
            <v>225</v>
          </cell>
          <cell r="AL36">
            <v>9</v>
          </cell>
          <cell r="AM36">
            <v>5</v>
          </cell>
          <cell r="AN36">
            <v>5</v>
          </cell>
          <cell r="AO36">
            <v>300</v>
          </cell>
          <cell r="AP36">
            <v>12</v>
          </cell>
          <cell r="AQ36">
            <v>6</v>
          </cell>
          <cell r="AR36">
            <v>6</v>
          </cell>
          <cell r="AS36">
            <v>375</v>
          </cell>
          <cell r="AT36">
            <v>15</v>
          </cell>
          <cell r="AU36">
            <v>8</v>
          </cell>
          <cell r="AV36">
            <v>8</v>
          </cell>
          <cell r="AW36">
            <v>450</v>
          </cell>
          <cell r="AX36">
            <v>18</v>
          </cell>
          <cell r="AY36">
            <v>9</v>
          </cell>
          <cell r="AZ36">
            <v>9</v>
          </cell>
          <cell r="BA36">
            <v>525</v>
          </cell>
          <cell r="BB36">
            <v>21</v>
          </cell>
          <cell r="BC36">
            <v>11</v>
          </cell>
          <cell r="BD36">
            <v>11</v>
          </cell>
          <cell r="BE36">
            <v>600</v>
          </cell>
          <cell r="BF36">
            <v>24</v>
          </cell>
          <cell r="BG36">
            <v>12</v>
          </cell>
          <cell r="BH36">
            <v>12</v>
          </cell>
          <cell r="BI36">
            <v>675</v>
          </cell>
          <cell r="BJ36">
            <v>27</v>
          </cell>
          <cell r="BK36">
            <v>14</v>
          </cell>
          <cell r="BL36">
            <v>14</v>
          </cell>
          <cell r="BM36">
            <v>750</v>
          </cell>
          <cell r="BN36">
            <v>30</v>
          </cell>
          <cell r="BO36">
            <v>15</v>
          </cell>
          <cell r="BP36">
            <v>15</v>
          </cell>
          <cell r="BQ36">
            <v>825</v>
          </cell>
          <cell r="BR36">
            <v>33</v>
          </cell>
          <cell r="BS36">
            <v>17</v>
          </cell>
          <cell r="BT36">
            <v>17</v>
          </cell>
          <cell r="BU36">
            <v>900</v>
          </cell>
          <cell r="BV36">
            <v>36</v>
          </cell>
          <cell r="BW36">
            <v>18</v>
          </cell>
          <cell r="BX36">
            <v>18</v>
          </cell>
          <cell r="BY36">
            <v>975</v>
          </cell>
          <cell r="BZ36">
            <v>39</v>
          </cell>
          <cell r="CA36">
            <v>20</v>
          </cell>
          <cell r="CB36">
            <v>20</v>
          </cell>
          <cell r="CC36">
            <v>1050</v>
          </cell>
          <cell r="CD36">
            <v>42</v>
          </cell>
          <cell r="CE36">
            <v>21</v>
          </cell>
          <cell r="CF36">
            <v>21</v>
          </cell>
          <cell r="CG36">
            <v>1125</v>
          </cell>
          <cell r="CH36">
            <v>45</v>
          </cell>
          <cell r="CI36">
            <v>23</v>
          </cell>
          <cell r="CJ36">
            <v>23</v>
          </cell>
        </row>
        <row r="37">
          <cell r="J37" t="str">
            <v>3-6</v>
          </cell>
          <cell r="AC37">
            <v>75</v>
          </cell>
          <cell r="AD37">
            <v>3</v>
          </cell>
          <cell r="AE37">
            <v>2</v>
          </cell>
          <cell r="AF37">
            <v>2</v>
          </cell>
          <cell r="AG37">
            <v>150</v>
          </cell>
          <cell r="AH37">
            <v>6</v>
          </cell>
          <cell r="AI37">
            <v>3</v>
          </cell>
          <cell r="AJ37">
            <v>3</v>
          </cell>
          <cell r="AK37">
            <v>225</v>
          </cell>
          <cell r="AL37">
            <v>9</v>
          </cell>
          <cell r="AM37">
            <v>5</v>
          </cell>
          <cell r="AN37">
            <v>5</v>
          </cell>
          <cell r="AO37">
            <v>300</v>
          </cell>
          <cell r="AP37">
            <v>12</v>
          </cell>
          <cell r="AQ37">
            <v>6</v>
          </cell>
          <cell r="AR37">
            <v>6</v>
          </cell>
          <cell r="AS37">
            <v>375</v>
          </cell>
          <cell r="AT37">
            <v>15</v>
          </cell>
          <cell r="AU37">
            <v>8</v>
          </cell>
          <cell r="AV37">
            <v>8</v>
          </cell>
          <cell r="AW37">
            <v>450</v>
          </cell>
          <cell r="AX37">
            <v>18</v>
          </cell>
          <cell r="AY37">
            <v>9</v>
          </cell>
          <cell r="AZ37">
            <v>9</v>
          </cell>
          <cell r="BA37">
            <v>525</v>
          </cell>
          <cell r="BB37">
            <v>21</v>
          </cell>
          <cell r="BC37">
            <v>11</v>
          </cell>
          <cell r="BD37">
            <v>11</v>
          </cell>
          <cell r="BE37">
            <v>600</v>
          </cell>
          <cell r="BF37">
            <v>24</v>
          </cell>
          <cell r="BG37">
            <v>12</v>
          </cell>
          <cell r="BH37">
            <v>12</v>
          </cell>
          <cell r="BI37">
            <v>675</v>
          </cell>
          <cell r="BJ37">
            <v>27</v>
          </cell>
          <cell r="BK37">
            <v>14</v>
          </cell>
          <cell r="BL37">
            <v>14</v>
          </cell>
          <cell r="BM37">
            <v>750</v>
          </cell>
          <cell r="BN37">
            <v>30</v>
          </cell>
          <cell r="BO37">
            <v>15</v>
          </cell>
          <cell r="BP37">
            <v>15</v>
          </cell>
          <cell r="BQ37">
            <v>825</v>
          </cell>
          <cell r="BR37">
            <v>33</v>
          </cell>
          <cell r="BS37">
            <v>17</v>
          </cell>
          <cell r="BT37">
            <v>17</v>
          </cell>
          <cell r="BU37">
            <v>900</v>
          </cell>
          <cell r="BV37">
            <v>36</v>
          </cell>
          <cell r="BW37">
            <v>18</v>
          </cell>
          <cell r="BX37">
            <v>18</v>
          </cell>
          <cell r="BY37">
            <v>975</v>
          </cell>
          <cell r="BZ37">
            <v>39</v>
          </cell>
          <cell r="CA37">
            <v>20</v>
          </cell>
          <cell r="CB37">
            <v>20</v>
          </cell>
          <cell r="CC37">
            <v>1050</v>
          </cell>
          <cell r="CD37">
            <v>42</v>
          </cell>
          <cell r="CE37">
            <v>21</v>
          </cell>
          <cell r="CF37">
            <v>21</v>
          </cell>
          <cell r="CG37">
            <v>1125</v>
          </cell>
          <cell r="CH37">
            <v>45</v>
          </cell>
          <cell r="CI37">
            <v>23</v>
          </cell>
          <cell r="CJ37">
            <v>23</v>
          </cell>
        </row>
        <row r="38">
          <cell r="J38" t="str">
            <v>5-6</v>
          </cell>
          <cell r="AC38">
            <v>75</v>
          </cell>
          <cell r="AD38">
            <v>3</v>
          </cell>
          <cell r="AE38">
            <v>2</v>
          </cell>
          <cell r="AF38">
            <v>2</v>
          </cell>
          <cell r="AG38">
            <v>150</v>
          </cell>
          <cell r="AH38">
            <v>6</v>
          </cell>
          <cell r="AI38">
            <v>3</v>
          </cell>
          <cell r="AJ38">
            <v>3</v>
          </cell>
          <cell r="AK38">
            <v>225</v>
          </cell>
          <cell r="AL38">
            <v>9</v>
          </cell>
          <cell r="AM38">
            <v>5</v>
          </cell>
          <cell r="AN38">
            <v>5</v>
          </cell>
          <cell r="AO38">
            <v>300</v>
          </cell>
          <cell r="AP38">
            <v>12</v>
          </cell>
          <cell r="AQ38">
            <v>6</v>
          </cell>
          <cell r="AR38">
            <v>6</v>
          </cell>
          <cell r="AS38">
            <v>375</v>
          </cell>
          <cell r="AT38">
            <v>15</v>
          </cell>
          <cell r="AU38">
            <v>8</v>
          </cell>
          <cell r="AV38">
            <v>8</v>
          </cell>
          <cell r="AW38">
            <v>450</v>
          </cell>
          <cell r="AX38">
            <v>18</v>
          </cell>
          <cell r="AY38">
            <v>9</v>
          </cell>
          <cell r="AZ38">
            <v>9</v>
          </cell>
          <cell r="BA38">
            <v>525</v>
          </cell>
          <cell r="BB38">
            <v>21</v>
          </cell>
          <cell r="BC38">
            <v>11</v>
          </cell>
          <cell r="BD38">
            <v>11</v>
          </cell>
          <cell r="BE38">
            <v>600</v>
          </cell>
          <cell r="BF38">
            <v>24</v>
          </cell>
          <cell r="BG38">
            <v>12</v>
          </cell>
          <cell r="BH38">
            <v>12</v>
          </cell>
          <cell r="BI38">
            <v>675</v>
          </cell>
          <cell r="BJ38">
            <v>27</v>
          </cell>
          <cell r="BK38">
            <v>14</v>
          </cell>
          <cell r="BL38">
            <v>14</v>
          </cell>
          <cell r="BM38">
            <v>750</v>
          </cell>
          <cell r="BN38">
            <v>30</v>
          </cell>
          <cell r="BO38">
            <v>15</v>
          </cell>
          <cell r="BP38">
            <v>15</v>
          </cell>
          <cell r="BQ38">
            <v>825</v>
          </cell>
          <cell r="BR38">
            <v>33</v>
          </cell>
          <cell r="BS38">
            <v>17</v>
          </cell>
          <cell r="BT38">
            <v>17</v>
          </cell>
          <cell r="BU38">
            <v>900</v>
          </cell>
          <cell r="BV38">
            <v>36</v>
          </cell>
          <cell r="BW38">
            <v>18</v>
          </cell>
          <cell r="BX38">
            <v>18</v>
          </cell>
          <cell r="BY38">
            <v>975</v>
          </cell>
          <cell r="BZ38">
            <v>39</v>
          </cell>
          <cell r="CA38">
            <v>20</v>
          </cell>
          <cell r="CB38">
            <v>20</v>
          </cell>
          <cell r="CC38">
            <v>1050</v>
          </cell>
          <cell r="CD38">
            <v>42</v>
          </cell>
          <cell r="CE38">
            <v>21</v>
          </cell>
          <cell r="CF38">
            <v>21</v>
          </cell>
          <cell r="CG38">
            <v>1125</v>
          </cell>
          <cell r="CH38">
            <v>45</v>
          </cell>
          <cell r="CI38">
            <v>23</v>
          </cell>
          <cell r="CJ38">
            <v>23</v>
          </cell>
        </row>
        <row r="39">
          <cell r="J39" t="str">
            <v>2-6</v>
          </cell>
          <cell r="AC39">
            <v>75</v>
          </cell>
          <cell r="AD39">
            <v>3</v>
          </cell>
          <cell r="AE39">
            <v>2</v>
          </cell>
          <cell r="AF39">
            <v>2</v>
          </cell>
          <cell r="AG39">
            <v>150</v>
          </cell>
          <cell r="AH39">
            <v>6</v>
          </cell>
          <cell r="AI39">
            <v>3</v>
          </cell>
          <cell r="AJ39">
            <v>3</v>
          </cell>
          <cell r="AK39">
            <v>225</v>
          </cell>
          <cell r="AL39">
            <v>9</v>
          </cell>
          <cell r="AM39">
            <v>5</v>
          </cell>
          <cell r="AN39">
            <v>5</v>
          </cell>
          <cell r="AO39">
            <v>300</v>
          </cell>
          <cell r="AP39">
            <v>12</v>
          </cell>
          <cell r="AQ39">
            <v>6</v>
          </cell>
          <cell r="AR39">
            <v>6</v>
          </cell>
          <cell r="AS39">
            <v>375</v>
          </cell>
          <cell r="AT39">
            <v>15</v>
          </cell>
          <cell r="AU39">
            <v>8</v>
          </cell>
          <cell r="AV39">
            <v>8</v>
          </cell>
          <cell r="AW39">
            <v>450</v>
          </cell>
          <cell r="AX39">
            <v>18</v>
          </cell>
          <cell r="AY39">
            <v>9</v>
          </cell>
          <cell r="AZ39">
            <v>9</v>
          </cell>
          <cell r="BA39">
            <v>525</v>
          </cell>
          <cell r="BB39">
            <v>21</v>
          </cell>
          <cell r="BC39">
            <v>11</v>
          </cell>
          <cell r="BD39">
            <v>11</v>
          </cell>
          <cell r="BE39">
            <v>600</v>
          </cell>
          <cell r="BF39">
            <v>24</v>
          </cell>
          <cell r="BG39">
            <v>12</v>
          </cell>
          <cell r="BH39">
            <v>12</v>
          </cell>
          <cell r="BI39">
            <v>675</v>
          </cell>
          <cell r="BJ39">
            <v>27</v>
          </cell>
          <cell r="BK39">
            <v>14</v>
          </cell>
          <cell r="BL39">
            <v>14</v>
          </cell>
          <cell r="BM39">
            <v>750</v>
          </cell>
          <cell r="BN39">
            <v>30</v>
          </cell>
          <cell r="BO39">
            <v>15</v>
          </cell>
          <cell r="BP39">
            <v>15</v>
          </cell>
          <cell r="BQ39">
            <v>825</v>
          </cell>
          <cell r="BR39">
            <v>33</v>
          </cell>
          <cell r="BS39">
            <v>17</v>
          </cell>
          <cell r="BT39">
            <v>17</v>
          </cell>
          <cell r="BU39">
            <v>900</v>
          </cell>
          <cell r="BV39">
            <v>36</v>
          </cell>
          <cell r="BW39">
            <v>18</v>
          </cell>
          <cell r="BX39">
            <v>18</v>
          </cell>
          <cell r="BY39">
            <v>975</v>
          </cell>
          <cell r="BZ39">
            <v>39</v>
          </cell>
          <cell r="CA39">
            <v>20</v>
          </cell>
          <cell r="CB39">
            <v>20</v>
          </cell>
          <cell r="CC39">
            <v>1050</v>
          </cell>
          <cell r="CD39">
            <v>42</v>
          </cell>
          <cell r="CE39">
            <v>21</v>
          </cell>
          <cell r="CF39">
            <v>21</v>
          </cell>
          <cell r="CG39">
            <v>1125</v>
          </cell>
          <cell r="CH39">
            <v>45</v>
          </cell>
          <cell r="CI39">
            <v>23</v>
          </cell>
          <cell r="CJ39">
            <v>23</v>
          </cell>
        </row>
        <row r="40">
          <cell r="J40" t="str">
            <v>1-6</v>
          </cell>
          <cell r="AC40">
            <v>75</v>
          </cell>
          <cell r="AD40">
            <v>3</v>
          </cell>
          <cell r="AE40">
            <v>2</v>
          </cell>
          <cell r="AF40">
            <v>2</v>
          </cell>
          <cell r="AG40">
            <v>150</v>
          </cell>
          <cell r="AH40">
            <v>6</v>
          </cell>
          <cell r="AI40">
            <v>3</v>
          </cell>
          <cell r="AJ40">
            <v>3</v>
          </cell>
          <cell r="AK40">
            <v>225</v>
          </cell>
          <cell r="AL40">
            <v>9</v>
          </cell>
          <cell r="AM40">
            <v>5</v>
          </cell>
          <cell r="AN40">
            <v>5</v>
          </cell>
          <cell r="AO40">
            <v>300</v>
          </cell>
          <cell r="AP40">
            <v>12</v>
          </cell>
          <cell r="AQ40">
            <v>6</v>
          </cell>
          <cell r="AR40">
            <v>6</v>
          </cell>
          <cell r="AS40">
            <v>375</v>
          </cell>
          <cell r="AT40">
            <v>15</v>
          </cell>
          <cell r="AU40">
            <v>8</v>
          </cell>
          <cell r="AV40">
            <v>8</v>
          </cell>
          <cell r="AW40">
            <v>450</v>
          </cell>
          <cell r="AX40">
            <v>18</v>
          </cell>
          <cell r="AY40">
            <v>9</v>
          </cell>
          <cell r="AZ40">
            <v>9</v>
          </cell>
          <cell r="BA40">
            <v>525</v>
          </cell>
          <cell r="BB40">
            <v>21</v>
          </cell>
          <cell r="BC40">
            <v>11</v>
          </cell>
          <cell r="BD40">
            <v>11</v>
          </cell>
          <cell r="BE40">
            <v>600</v>
          </cell>
          <cell r="BF40">
            <v>24</v>
          </cell>
          <cell r="BG40">
            <v>12</v>
          </cell>
          <cell r="BH40">
            <v>12</v>
          </cell>
          <cell r="BI40">
            <v>675</v>
          </cell>
          <cell r="BJ40">
            <v>27</v>
          </cell>
          <cell r="BK40">
            <v>14</v>
          </cell>
          <cell r="BL40">
            <v>14</v>
          </cell>
          <cell r="BM40">
            <v>750</v>
          </cell>
          <cell r="BN40">
            <v>30</v>
          </cell>
          <cell r="BO40">
            <v>15</v>
          </cell>
          <cell r="BP40">
            <v>15</v>
          </cell>
          <cell r="BQ40">
            <v>825</v>
          </cell>
          <cell r="BR40">
            <v>33</v>
          </cell>
          <cell r="BS40">
            <v>17</v>
          </cell>
          <cell r="BT40">
            <v>17</v>
          </cell>
          <cell r="BU40">
            <v>900</v>
          </cell>
          <cell r="BV40">
            <v>36</v>
          </cell>
          <cell r="BW40">
            <v>18</v>
          </cell>
          <cell r="BX40">
            <v>18</v>
          </cell>
          <cell r="BY40">
            <v>975</v>
          </cell>
          <cell r="BZ40">
            <v>39</v>
          </cell>
          <cell r="CA40">
            <v>20</v>
          </cell>
          <cell r="CB40">
            <v>20</v>
          </cell>
          <cell r="CC40">
            <v>1050</v>
          </cell>
          <cell r="CD40">
            <v>42</v>
          </cell>
          <cell r="CE40">
            <v>21</v>
          </cell>
          <cell r="CF40">
            <v>21</v>
          </cell>
          <cell r="CG40">
            <v>1125</v>
          </cell>
          <cell r="CH40">
            <v>45</v>
          </cell>
          <cell r="CI40">
            <v>23</v>
          </cell>
          <cell r="CJ40">
            <v>23</v>
          </cell>
        </row>
        <row r="41">
          <cell r="J41" t="str">
            <v>4-2</v>
          </cell>
          <cell r="AC41">
            <v>50</v>
          </cell>
          <cell r="AD41">
            <v>2</v>
          </cell>
          <cell r="AE41">
            <v>1</v>
          </cell>
          <cell r="AF41">
            <v>1</v>
          </cell>
          <cell r="AG41">
            <v>100</v>
          </cell>
          <cell r="AH41">
            <v>4</v>
          </cell>
          <cell r="AI41">
            <v>2</v>
          </cell>
          <cell r="AJ41">
            <v>2</v>
          </cell>
          <cell r="AK41">
            <v>150</v>
          </cell>
          <cell r="AL41">
            <v>6</v>
          </cell>
          <cell r="AM41">
            <v>3</v>
          </cell>
          <cell r="AN41">
            <v>3</v>
          </cell>
          <cell r="AO41">
            <v>200</v>
          </cell>
          <cell r="AP41">
            <v>8</v>
          </cell>
          <cell r="AQ41">
            <v>4</v>
          </cell>
          <cell r="AR41">
            <v>4</v>
          </cell>
          <cell r="AS41">
            <v>250</v>
          </cell>
          <cell r="AT41">
            <v>10</v>
          </cell>
          <cell r="AU41">
            <v>5</v>
          </cell>
          <cell r="AV41">
            <v>5</v>
          </cell>
          <cell r="AW41">
            <v>300</v>
          </cell>
          <cell r="AX41">
            <v>12</v>
          </cell>
          <cell r="AY41">
            <v>6</v>
          </cell>
          <cell r="AZ41">
            <v>6</v>
          </cell>
          <cell r="BA41">
            <v>350</v>
          </cell>
          <cell r="BB41">
            <v>14</v>
          </cell>
          <cell r="BC41">
            <v>7</v>
          </cell>
          <cell r="BD41">
            <v>7</v>
          </cell>
          <cell r="BE41">
            <v>400</v>
          </cell>
          <cell r="BF41">
            <v>16</v>
          </cell>
          <cell r="BG41">
            <v>8</v>
          </cell>
          <cell r="BH41">
            <v>8</v>
          </cell>
          <cell r="BI41">
            <v>450</v>
          </cell>
          <cell r="BJ41">
            <v>18</v>
          </cell>
          <cell r="BK41">
            <v>9</v>
          </cell>
          <cell r="BL41">
            <v>9</v>
          </cell>
          <cell r="BM41">
            <v>500</v>
          </cell>
          <cell r="BN41">
            <v>20</v>
          </cell>
          <cell r="BO41">
            <v>10</v>
          </cell>
          <cell r="BP41">
            <v>10</v>
          </cell>
          <cell r="BQ41">
            <v>550</v>
          </cell>
          <cell r="BR41">
            <v>22</v>
          </cell>
          <cell r="BS41">
            <v>11</v>
          </cell>
          <cell r="BT41">
            <v>11</v>
          </cell>
          <cell r="BU41">
            <v>600</v>
          </cell>
          <cell r="BV41">
            <v>24</v>
          </cell>
          <cell r="BW41">
            <v>12</v>
          </cell>
          <cell r="BX41">
            <v>12</v>
          </cell>
          <cell r="BY41">
            <v>650</v>
          </cell>
          <cell r="BZ41">
            <v>26</v>
          </cell>
          <cell r="CA41">
            <v>13</v>
          </cell>
          <cell r="CB41">
            <v>13</v>
          </cell>
          <cell r="CC41">
            <v>700</v>
          </cell>
          <cell r="CD41">
            <v>28</v>
          </cell>
          <cell r="CE41">
            <v>14</v>
          </cell>
          <cell r="CF41">
            <v>14</v>
          </cell>
          <cell r="CG41">
            <v>750</v>
          </cell>
          <cell r="CH41">
            <v>30</v>
          </cell>
          <cell r="CI41">
            <v>15</v>
          </cell>
          <cell r="CJ41">
            <v>15</v>
          </cell>
        </row>
        <row r="42">
          <cell r="J42" t="str">
            <v>3-2</v>
          </cell>
          <cell r="AC42">
            <v>50</v>
          </cell>
          <cell r="AD42">
            <v>2</v>
          </cell>
          <cell r="AE42">
            <v>1</v>
          </cell>
          <cell r="AF42">
            <v>1</v>
          </cell>
          <cell r="AG42">
            <v>100</v>
          </cell>
          <cell r="AH42">
            <v>4</v>
          </cell>
          <cell r="AI42">
            <v>2</v>
          </cell>
          <cell r="AJ42">
            <v>2</v>
          </cell>
          <cell r="AK42">
            <v>150</v>
          </cell>
          <cell r="AL42">
            <v>6</v>
          </cell>
          <cell r="AM42">
            <v>3</v>
          </cell>
          <cell r="AN42">
            <v>3</v>
          </cell>
          <cell r="AO42">
            <v>200</v>
          </cell>
          <cell r="AP42">
            <v>8</v>
          </cell>
          <cell r="AQ42">
            <v>4</v>
          </cell>
          <cell r="AR42">
            <v>4</v>
          </cell>
          <cell r="AS42">
            <v>250</v>
          </cell>
          <cell r="AT42">
            <v>10</v>
          </cell>
          <cell r="AU42">
            <v>5</v>
          </cell>
          <cell r="AV42">
            <v>5</v>
          </cell>
          <cell r="AW42">
            <v>300</v>
          </cell>
          <cell r="AX42">
            <v>12</v>
          </cell>
          <cell r="AY42">
            <v>6</v>
          </cell>
          <cell r="AZ42">
            <v>6</v>
          </cell>
          <cell r="BA42">
            <v>350</v>
          </cell>
          <cell r="BB42">
            <v>14</v>
          </cell>
          <cell r="BC42">
            <v>7</v>
          </cell>
          <cell r="BD42">
            <v>7</v>
          </cell>
          <cell r="BE42">
            <v>400</v>
          </cell>
          <cell r="BF42">
            <v>16</v>
          </cell>
          <cell r="BG42">
            <v>8</v>
          </cell>
          <cell r="BH42">
            <v>8</v>
          </cell>
          <cell r="BI42">
            <v>450</v>
          </cell>
          <cell r="BJ42">
            <v>18</v>
          </cell>
          <cell r="BK42">
            <v>9</v>
          </cell>
          <cell r="BL42">
            <v>9</v>
          </cell>
          <cell r="BM42">
            <v>500</v>
          </cell>
          <cell r="BN42">
            <v>20</v>
          </cell>
          <cell r="BO42">
            <v>10</v>
          </cell>
          <cell r="BP42">
            <v>10</v>
          </cell>
          <cell r="BQ42">
            <v>550</v>
          </cell>
          <cell r="BR42">
            <v>22</v>
          </cell>
          <cell r="BS42">
            <v>11</v>
          </cell>
          <cell r="BT42">
            <v>11</v>
          </cell>
          <cell r="BU42">
            <v>600</v>
          </cell>
          <cell r="BV42">
            <v>24</v>
          </cell>
          <cell r="BW42">
            <v>12</v>
          </cell>
          <cell r="BX42">
            <v>12</v>
          </cell>
          <cell r="BY42">
            <v>650</v>
          </cell>
          <cell r="BZ42">
            <v>26</v>
          </cell>
          <cell r="CA42">
            <v>13</v>
          </cell>
          <cell r="CB42">
            <v>13</v>
          </cell>
          <cell r="CC42">
            <v>700</v>
          </cell>
          <cell r="CD42">
            <v>28</v>
          </cell>
          <cell r="CE42">
            <v>14</v>
          </cell>
          <cell r="CF42">
            <v>14</v>
          </cell>
          <cell r="CG42">
            <v>750</v>
          </cell>
          <cell r="CH42">
            <v>30</v>
          </cell>
          <cell r="CI42">
            <v>15</v>
          </cell>
          <cell r="CJ42">
            <v>15</v>
          </cell>
        </row>
        <row r="43">
          <cell r="J43" t="str">
            <v>5-2</v>
          </cell>
          <cell r="AC43">
            <v>50</v>
          </cell>
          <cell r="AD43">
            <v>2</v>
          </cell>
          <cell r="AE43">
            <v>1</v>
          </cell>
          <cell r="AF43">
            <v>1</v>
          </cell>
          <cell r="AG43">
            <v>100</v>
          </cell>
          <cell r="AH43">
            <v>4</v>
          </cell>
          <cell r="AI43">
            <v>2</v>
          </cell>
          <cell r="AJ43">
            <v>2</v>
          </cell>
          <cell r="AK43">
            <v>150</v>
          </cell>
          <cell r="AL43">
            <v>6</v>
          </cell>
          <cell r="AM43">
            <v>3</v>
          </cell>
          <cell r="AN43">
            <v>3</v>
          </cell>
          <cell r="AO43">
            <v>200</v>
          </cell>
          <cell r="AP43">
            <v>8</v>
          </cell>
          <cell r="AQ43">
            <v>4</v>
          </cell>
          <cell r="AR43">
            <v>4</v>
          </cell>
          <cell r="AS43">
            <v>250</v>
          </cell>
          <cell r="AT43">
            <v>10</v>
          </cell>
          <cell r="AU43">
            <v>5</v>
          </cell>
          <cell r="AV43">
            <v>5</v>
          </cell>
          <cell r="AW43">
            <v>300</v>
          </cell>
          <cell r="AX43">
            <v>12</v>
          </cell>
          <cell r="AY43">
            <v>6</v>
          </cell>
          <cell r="AZ43">
            <v>6</v>
          </cell>
          <cell r="BA43">
            <v>350</v>
          </cell>
          <cell r="BB43">
            <v>14</v>
          </cell>
          <cell r="BC43">
            <v>7</v>
          </cell>
          <cell r="BD43">
            <v>7</v>
          </cell>
          <cell r="BE43">
            <v>400</v>
          </cell>
          <cell r="BF43">
            <v>16</v>
          </cell>
          <cell r="BG43">
            <v>8</v>
          </cell>
          <cell r="BH43">
            <v>8</v>
          </cell>
          <cell r="BI43">
            <v>450</v>
          </cell>
          <cell r="BJ43">
            <v>18</v>
          </cell>
          <cell r="BK43">
            <v>9</v>
          </cell>
          <cell r="BL43">
            <v>9</v>
          </cell>
          <cell r="BM43">
            <v>500</v>
          </cell>
          <cell r="BN43">
            <v>20</v>
          </cell>
          <cell r="BO43">
            <v>10</v>
          </cell>
          <cell r="BP43">
            <v>10</v>
          </cell>
          <cell r="BQ43">
            <v>550</v>
          </cell>
          <cell r="BR43">
            <v>22</v>
          </cell>
          <cell r="BS43">
            <v>11</v>
          </cell>
          <cell r="BT43">
            <v>11</v>
          </cell>
          <cell r="BU43">
            <v>600</v>
          </cell>
          <cell r="BV43">
            <v>24</v>
          </cell>
          <cell r="BW43">
            <v>12</v>
          </cell>
          <cell r="BX43">
            <v>12</v>
          </cell>
          <cell r="BY43">
            <v>650</v>
          </cell>
          <cell r="BZ43">
            <v>26</v>
          </cell>
          <cell r="CA43">
            <v>13</v>
          </cell>
          <cell r="CB43">
            <v>13</v>
          </cell>
          <cell r="CC43">
            <v>700</v>
          </cell>
          <cell r="CD43">
            <v>28</v>
          </cell>
          <cell r="CE43">
            <v>14</v>
          </cell>
          <cell r="CF43">
            <v>14</v>
          </cell>
          <cell r="CG43">
            <v>750</v>
          </cell>
          <cell r="CH43">
            <v>30</v>
          </cell>
          <cell r="CI43">
            <v>15</v>
          </cell>
          <cell r="CJ43">
            <v>15</v>
          </cell>
        </row>
        <row r="44">
          <cell r="J44" t="str">
            <v>2-2</v>
          </cell>
          <cell r="AC44">
            <v>50</v>
          </cell>
          <cell r="AD44">
            <v>2</v>
          </cell>
          <cell r="AE44">
            <v>1</v>
          </cell>
          <cell r="AF44">
            <v>1</v>
          </cell>
          <cell r="AG44">
            <v>100</v>
          </cell>
          <cell r="AH44">
            <v>4</v>
          </cell>
          <cell r="AI44">
            <v>2</v>
          </cell>
          <cell r="AJ44">
            <v>2</v>
          </cell>
          <cell r="AK44">
            <v>150</v>
          </cell>
          <cell r="AL44">
            <v>6</v>
          </cell>
          <cell r="AM44">
            <v>3</v>
          </cell>
          <cell r="AN44">
            <v>3</v>
          </cell>
          <cell r="AO44">
            <v>200</v>
          </cell>
          <cell r="AP44">
            <v>8</v>
          </cell>
          <cell r="AQ44">
            <v>4</v>
          </cell>
          <cell r="AR44">
            <v>4</v>
          </cell>
          <cell r="AS44">
            <v>250</v>
          </cell>
          <cell r="AT44">
            <v>10</v>
          </cell>
          <cell r="AU44">
            <v>5</v>
          </cell>
          <cell r="AV44">
            <v>5</v>
          </cell>
          <cell r="AW44">
            <v>300</v>
          </cell>
          <cell r="AX44">
            <v>12</v>
          </cell>
          <cell r="AY44">
            <v>6</v>
          </cell>
          <cell r="AZ44">
            <v>6</v>
          </cell>
          <cell r="BA44">
            <v>350</v>
          </cell>
          <cell r="BB44">
            <v>14</v>
          </cell>
          <cell r="BC44">
            <v>7</v>
          </cell>
          <cell r="BD44">
            <v>7</v>
          </cell>
          <cell r="BE44">
            <v>400</v>
          </cell>
          <cell r="BF44">
            <v>16</v>
          </cell>
          <cell r="BG44">
            <v>8</v>
          </cell>
          <cell r="BH44">
            <v>8</v>
          </cell>
          <cell r="BI44">
            <v>450</v>
          </cell>
          <cell r="BJ44">
            <v>18</v>
          </cell>
          <cell r="BK44">
            <v>9</v>
          </cell>
          <cell r="BL44">
            <v>9</v>
          </cell>
          <cell r="BM44">
            <v>500</v>
          </cell>
          <cell r="BN44">
            <v>20</v>
          </cell>
          <cell r="BO44">
            <v>10</v>
          </cell>
          <cell r="BP44">
            <v>10</v>
          </cell>
          <cell r="BQ44">
            <v>550</v>
          </cell>
          <cell r="BR44">
            <v>22</v>
          </cell>
          <cell r="BS44">
            <v>11</v>
          </cell>
          <cell r="BT44">
            <v>11</v>
          </cell>
          <cell r="BU44">
            <v>600</v>
          </cell>
          <cell r="BV44">
            <v>24</v>
          </cell>
          <cell r="BW44">
            <v>12</v>
          </cell>
          <cell r="BX44">
            <v>12</v>
          </cell>
          <cell r="BY44">
            <v>650</v>
          </cell>
          <cell r="BZ44">
            <v>26</v>
          </cell>
          <cell r="CA44">
            <v>13</v>
          </cell>
          <cell r="CB44">
            <v>13</v>
          </cell>
          <cell r="CC44">
            <v>700</v>
          </cell>
          <cell r="CD44">
            <v>28</v>
          </cell>
          <cell r="CE44">
            <v>14</v>
          </cell>
          <cell r="CF44">
            <v>14</v>
          </cell>
          <cell r="CG44">
            <v>750</v>
          </cell>
          <cell r="CH44">
            <v>30</v>
          </cell>
          <cell r="CI44">
            <v>15</v>
          </cell>
          <cell r="CJ44">
            <v>15</v>
          </cell>
        </row>
        <row r="45">
          <cell r="J45" t="str">
            <v>1-2</v>
          </cell>
          <cell r="AC45">
            <v>50</v>
          </cell>
          <cell r="AD45">
            <v>2</v>
          </cell>
          <cell r="AE45">
            <v>1</v>
          </cell>
          <cell r="AF45">
            <v>1</v>
          </cell>
          <cell r="AG45">
            <v>100</v>
          </cell>
          <cell r="AH45">
            <v>4</v>
          </cell>
          <cell r="AI45">
            <v>2</v>
          </cell>
          <cell r="AJ45">
            <v>2</v>
          </cell>
          <cell r="AK45">
            <v>150</v>
          </cell>
          <cell r="AL45">
            <v>6</v>
          </cell>
          <cell r="AM45">
            <v>3</v>
          </cell>
          <cell r="AN45">
            <v>3</v>
          </cell>
          <cell r="AO45">
            <v>200</v>
          </cell>
          <cell r="AP45">
            <v>8</v>
          </cell>
          <cell r="AQ45">
            <v>4</v>
          </cell>
          <cell r="AR45">
            <v>4</v>
          </cell>
          <cell r="AS45">
            <v>250</v>
          </cell>
          <cell r="AT45">
            <v>10</v>
          </cell>
          <cell r="AU45">
            <v>5</v>
          </cell>
          <cell r="AV45">
            <v>5</v>
          </cell>
          <cell r="AW45">
            <v>300</v>
          </cell>
          <cell r="AX45">
            <v>12</v>
          </cell>
          <cell r="AY45">
            <v>6</v>
          </cell>
          <cell r="AZ45">
            <v>6</v>
          </cell>
          <cell r="BA45">
            <v>350</v>
          </cell>
          <cell r="BB45">
            <v>14</v>
          </cell>
          <cell r="BC45">
            <v>7</v>
          </cell>
          <cell r="BD45">
            <v>7</v>
          </cell>
          <cell r="BE45">
            <v>400</v>
          </cell>
          <cell r="BF45">
            <v>16</v>
          </cell>
          <cell r="BG45">
            <v>8</v>
          </cell>
          <cell r="BH45">
            <v>8</v>
          </cell>
          <cell r="BI45">
            <v>450</v>
          </cell>
          <cell r="BJ45">
            <v>18</v>
          </cell>
          <cell r="BK45">
            <v>9</v>
          </cell>
          <cell r="BL45">
            <v>9</v>
          </cell>
          <cell r="BM45">
            <v>500</v>
          </cell>
          <cell r="BN45">
            <v>20</v>
          </cell>
          <cell r="BO45">
            <v>10</v>
          </cell>
          <cell r="BP45">
            <v>10</v>
          </cell>
          <cell r="BQ45">
            <v>550</v>
          </cell>
          <cell r="BR45">
            <v>22</v>
          </cell>
          <cell r="BS45">
            <v>11</v>
          </cell>
          <cell r="BT45">
            <v>11</v>
          </cell>
          <cell r="BU45">
            <v>600</v>
          </cell>
          <cell r="BV45">
            <v>24</v>
          </cell>
          <cell r="BW45">
            <v>12</v>
          </cell>
          <cell r="BX45">
            <v>12</v>
          </cell>
          <cell r="BY45">
            <v>650</v>
          </cell>
          <cell r="BZ45">
            <v>26</v>
          </cell>
          <cell r="CA45">
            <v>13</v>
          </cell>
          <cell r="CB45">
            <v>13</v>
          </cell>
          <cell r="CC45">
            <v>700</v>
          </cell>
          <cell r="CD45">
            <v>28</v>
          </cell>
          <cell r="CE45">
            <v>14</v>
          </cell>
          <cell r="CF45">
            <v>14</v>
          </cell>
          <cell r="CG45">
            <v>750</v>
          </cell>
          <cell r="CH45">
            <v>30</v>
          </cell>
          <cell r="CI45">
            <v>15</v>
          </cell>
          <cell r="CJ45">
            <v>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A288"/>
  <sheetViews>
    <sheetView tabSelected="1" zoomScale="85" zoomScaleNormal="85" workbookViewId="0">
      <pane xSplit="3" ySplit="3" topLeftCell="D214" activePane="bottomRight" state="frozen"/>
      <selection pane="topRight" activeCell="D1" sqref="D1"/>
      <selection pane="bottomLeft" activeCell="A4" sqref="A4"/>
      <selection pane="bottomRight" activeCell="H233" sqref="H233"/>
    </sheetView>
  </sheetViews>
  <sheetFormatPr defaultColWidth="12" defaultRowHeight="16.5"/>
  <cols>
    <col min="1" max="5" width="16.375" style="11" customWidth="1"/>
    <col min="6" max="6" width="39.625" style="11" bestFit="1" customWidth="1"/>
    <col min="7" max="7" width="14.875" style="11" bestFit="1" customWidth="1"/>
    <col min="8" max="8" width="12" style="46"/>
    <col min="9" max="17" width="12" style="11"/>
    <col min="18" max="18" width="18.625" style="21" customWidth="1"/>
    <col min="19" max="22" width="18.625" style="21" bestFit="1" customWidth="1"/>
    <col min="23" max="23" width="18.375" style="21" bestFit="1" customWidth="1"/>
    <col min="24" max="24" width="14.25" style="21" bestFit="1" customWidth="1"/>
    <col min="25" max="25" width="15" style="21" bestFit="1" customWidth="1"/>
    <col min="26" max="26" width="17.5" style="21" bestFit="1" customWidth="1"/>
    <col min="27" max="16384" width="12" style="4"/>
  </cols>
  <sheetData>
    <row r="1" spans="1:27" s="11" customFormat="1" ht="185.25" customHeight="1">
      <c r="A1" s="10" t="s">
        <v>152</v>
      </c>
      <c r="B1" s="10" t="s">
        <v>7</v>
      </c>
      <c r="C1" s="10" t="s">
        <v>50</v>
      </c>
      <c r="D1" s="10" t="s">
        <v>8</v>
      </c>
      <c r="E1" s="10" t="s">
        <v>9</v>
      </c>
      <c r="F1" s="10" t="s">
        <v>51</v>
      </c>
      <c r="G1" s="10" t="s">
        <v>30</v>
      </c>
      <c r="H1" s="42" t="s">
        <v>10</v>
      </c>
      <c r="I1" s="10" t="s">
        <v>67</v>
      </c>
      <c r="J1" s="10" t="s">
        <v>11</v>
      </c>
      <c r="K1" s="10" t="s">
        <v>12</v>
      </c>
      <c r="L1" s="10" t="s">
        <v>13</v>
      </c>
      <c r="M1" s="10" t="s">
        <v>14</v>
      </c>
      <c r="N1" s="10" t="s">
        <v>15</v>
      </c>
      <c r="O1" s="10" t="s">
        <v>16</v>
      </c>
      <c r="P1" s="10" t="s">
        <v>17</v>
      </c>
      <c r="Q1" s="10" t="s">
        <v>18</v>
      </c>
      <c r="R1" s="17" t="s">
        <v>10</v>
      </c>
      <c r="S1" s="17" t="s">
        <v>94</v>
      </c>
      <c r="T1" s="17" t="s">
        <v>95</v>
      </c>
      <c r="U1" s="17" t="s">
        <v>96</v>
      </c>
      <c r="V1" s="17" t="s">
        <v>97</v>
      </c>
      <c r="W1" s="33" t="s">
        <v>15</v>
      </c>
      <c r="X1" s="33" t="s">
        <v>14</v>
      </c>
      <c r="Y1" s="33" t="s">
        <v>16</v>
      </c>
      <c r="Z1" s="33" t="s">
        <v>17</v>
      </c>
    </row>
    <row r="2" spans="1:27" s="6" customFormat="1">
      <c r="A2" s="2" t="s">
        <v>19</v>
      </c>
      <c r="B2" s="2" t="s">
        <v>20</v>
      </c>
      <c r="C2" s="2" t="s">
        <v>77</v>
      </c>
      <c r="D2" s="2" t="s">
        <v>21</v>
      </c>
      <c r="E2" s="2" t="s">
        <v>22</v>
      </c>
      <c r="F2" s="3" t="s">
        <v>23</v>
      </c>
      <c r="G2" s="3" t="s">
        <v>24</v>
      </c>
      <c r="H2" s="43" t="s">
        <v>1</v>
      </c>
      <c r="I2" s="3" t="s">
        <v>92</v>
      </c>
      <c r="J2" s="3" t="s">
        <v>25</v>
      </c>
      <c r="K2" s="3" t="s">
        <v>2</v>
      </c>
      <c r="L2" s="3" t="s">
        <v>93</v>
      </c>
      <c r="M2" s="3" t="s">
        <v>3</v>
      </c>
      <c r="N2" s="3" t="s">
        <v>4</v>
      </c>
      <c r="O2" s="3" t="s">
        <v>5</v>
      </c>
      <c r="P2" s="3" t="s">
        <v>6</v>
      </c>
      <c r="Q2" s="3" t="s">
        <v>26</v>
      </c>
      <c r="R2" s="18" t="s">
        <v>120</v>
      </c>
      <c r="S2" s="18" t="s">
        <v>98</v>
      </c>
      <c r="T2" s="18" t="s">
        <v>99</v>
      </c>
      <c r="U2" s="18" t="s">
        <v>115</v>
      </c>
      <c r="V2" s="18" t="s">
        <v>100</v>
      </c>
      <c r="W2" s="18" t="s">
        <v>117</v>
      </c>
      <c r="X2" s="18" t="s">
        <v>116</v>
      </c>
      <c r="Y2" s="18" t="s">
        <v>118</v>
      </c>
      <c r="Z2" s="18" t="s">
        <v>119</v>
      </c>
    </row>
    <row r="3" spans="1:27" s="7" customFormat="1">
      <c r="A3" s="2" t="s">
        <v>27</v>
      </c>
      <c r="B3" s="2" t="s">
        <v>27</v>
      </c>
      <c r="C3" s="2" t="s">
        <v>27</v>
      </c>
      <c r="D3" s="2" t="s">
        <v>27</v>
      </c>
      <c r="E3" s="2" t="s">
        <v>28</v>
      </c>
      <c r="F3" s="1" t="s">
        <v>27</v>
      </c>
      <c r="G3" s="1" t="s">
        <v>28</v>
      </c>
      <c r="H3" s="44" t="s">
        <v>28</v>
      </c>
      <c r="I3" s="1" t="s">
        <v>28</v>
      </c>
      <c r="J3" s="1" t="s">
        <v>28</v>
      </c>
      <c r="K3" s="1" t="s">
        <v>28</v>
      </c>
      <c r="L3" s="1" t="s">
        <v>28</v>
      </c>
      <c r="M3" s="1" t="s">
        <v>0</v>
      </c>
      <c r="N3" s="1" t="s">
        <v>0</v>
      </c>
      <c r="O3" s="1" t="s">
        <v>0</v>
      </c>
      <c r="P3" s="1" t="s">
        <v>0</v>
      </c>
      <c r="Q3" s="1" t="s">
        <v>28</v>
      </c>
      <c r="R3" s="19" t="s">
        <v>28</v>
      </c>
      <c r="S3" s="19" t="s">
        <v>28</v>
      </c>
      <c r="T3" s="19" t="s">
        <v>28</v>
      </c>
      <c r="U3" s="19" t="s">
        <v>28</v>
      </c>
      <c r="V3" s="19" t="s">
        <v>28</v>
      </c>
      <c r="W3" s="19" t="s">
        <v>0</v>
      </c>
      <c r="X3" s="19" t="s">
        <v>0</v>
      </c>
      <c r="Y3" s="19" t="s">
        <v>0</v>
      </c>
      <c r="Z3" s="19" t="s">
        <v>0</v>
      </c>
    </row>
    <row r="4" spans="1:27" s="8" customFormat="1">
      <c r="A4" s="5">
        <v>101</v>
      </c>
      <c r="B4" s="5" t="s">
        <v>121</v>
      </c>
      <c r="C4" s="5" t="s">
        <v>33</v>
      </c>
      <c r="D4" s="5">
        <v>10001</v>
      </c>
      <c r="E4" s="5">
        <v>6000</v>
      </c>
      <c r="F4" s="5" t="s">
        <v>112</v>
      </c>
      <c r="G4" s="5">
        <f>G139</f>
        <v>0</v>
      </c>
      <c r="H4" s="45">
        <v>0</v>
      </c>
      <c r="I4" s="105">
        <v>156</v>
      </c>
      <c r="J4" s="106">
        <v>6</v>
      </c>
      <c r="K4" s="106">
        <v>3</v>
      </c>
      <c r="L4" s="107">
        <v>3</v>
      </c>
      <c r="M4" s="5">
        <v>0</v>
      </c>
      <c r="N4" s="5">
        <v>0</v>
      </c>
      <c r="O4" s="5">
        <v>0</v>
      </c>
      <c r="P4" s="5">
        <v>0</v>
      </c>
      <c r="Q4" s="5">
        <v>1</v>
      </c>
      <c r="R4" s="20">
        <v>0</v>
      </c>
      <c r="S4" s="102">
        <v>3750</v>
      </c>
      <c r="T4" s="102">
        <v>150</v>
      </c>
      <c r="U4" s="102">
        <v>75</v>
      </c>
      <c r="V4" s="102">
        <v>75</v>
      </c>
      <c r="W4" s="34">
        <v>0</v>
      </c>
      <c r="X4" s="34">
        <v>0</v>
      </c>
      <c r="Y4" s="34">
        <v>0</v>
      </c>
      <c r="Z4" s="34">
        <v>0</v>
      </c>
      <c r="AA4" s="8" t="s">
        <v>164</v>
      </c>
    </row>
    <row r="5" spans="1:27" s="8" customFormat="1">
      <c r="A5" s="5">
        <v>102</v>
      </c>
      <c r="B5" s="5" t="s">
        <v>41</v>
      </c>
      <c r="C5" s="5" t="s">
        <v>34</v>
      </c>
      <c r="D5" s="5">
        <v>10015</v>
      </c>
      <c r="E5" s="5">
        <v>24000</v>
      </c>
      <c r="F5" s="5" t="s">
        <v>113</v>
      </c>
      <c r="G5" s="5">
        <v>0</v>
      </c>
      <c r="H5" s="45">
        <v>0</v>
      </c>
      <c r="I5" s="105">
        <v>313</v>
      </c>
      <c r="J5" s="106">
        <v>13</v>
      </c>
      <c r="K5" s="106">
        <v>7</v>
      </c>
      <c r="L5" s="107">
        <v>7</v>
      </c>
      <c r="M5" s="5">
        <v>0</v>
      </c>
      <c r="N5" s="5">
        <v>0</v>
      </c>
      <c r="O5" s="5">
        <v>0</v>
      </c>
      <c r="P5" s="5">
        <v>0</v>
      </c>
      <c r="Q5" s="5">
        <v>2</v>
      </c>
      <c r="R5" s="20">
        <v>0</v>
      </c>
      <c r="S5" s="102">
        <v>3750</v>
      </c>
      <c r="T5" s="102">
        <v>150</v>
      </c>
      <c r="U5" s="102">
        <v>75</v>
      </c>
      <c r="V5" s="102">
        <v>75</v>
      </c>
      <c r="W5" s="34">
        <v>0</v>
      </c>
      <c r="X5" s="34">
        <v>0</v>
      </c>
      <c r="Y5" s="34">
        <v>0</v>
      </c>
      <c r="Z5" s="34">
        <v>0</v>
      </c>
      <c r="AA5" s="8" t="s">
        <v>164</v>
      </c>
    </row>
    <row r="6" spans="1:27" s="8" customFormat="1">
      <c r="A6" s="5">
        <v>103</v>
      </c>
      <c r="B6" s="5" t="s">
        <v>42</v>
      </c>
      <c r="C6" s="5" t="s">
        <v>35</v>
      </c>
      <c r="D6" s="5">
        <v>10025</v>
      </c>
      <c r="E6" s="5">
        <v>60000</v>
      </c>
      <c r="F6" s="5" t="s">
        <v>29</v>
      </c>
      <c r="G6" s="5">
        <v>0</v>
      </c>
      <c r="H6" s="45">
        <v>0</v>
      </c>
      <c r="I6" s="105">
        <v>469</v>
      </c>
      <c r="J6" s="106">
        <v>19</v>
      </c>
      <c r="K6" s="106">
        <v>10</v>
      </c>
      <c r="L6" s="107">
        <v>10</v>
      </c>
      <c r="M6" s="5">
        <v>0</v>
      </c>
      <c r="N6" s="5">
        <v>0</v>
      </c>
      <c r="O6" s="5">
        <v>0</v>
      </c>
      <c r="P6" s="5">
        <v>0</v>
      </c>
      <c r="Q6" s="5">
        <v>3</v>
      </c>
      <c r="R6" s="20">
        <v>0</v>
      </c>
      <c r="S6" s="102">
        <v>3750</v>
      </c>
      <c r="T6" s="102">
        <v>150</v>
      </c>
      <c r="U6" s="102">
        <v>75</v>
      </c>
      <c r="V6" s="102">
        <v>75</v>
      </c>
      <c r="W6" s="34">
        <v>0</v>
      </c>
      <c r="X6" s="34">
        <v>0</v>
      </c>
      <c r="Y6" s="34">
        <v>0</v>
      </c>
      <c r="Z6" s="34">
        <v>0</v>
      </c>
      <c r="AA6" s="8" t="s">
        <v>164</v>
      </c>
    </row>
    <row r="7" spans="1:27" s="8" customFormat="1">
      <c r="A7" s="5">
        <v>104</v>
      </c>
      <c r="B7" s="5" t="s">
        <v>43</v>
      </c>
      <c r="C7" s="5" t="s">
        <v>36</v>
      </c>
      <c r="D7" s="5">
        <v>10035</v>
      </c>
      <c r="E7" s="5">
        <v>120000</v>
      </c>
      <c r="F7" s="5" t="s">
        <v>84</v>
      </c>
      <c r="G7" s="5">
        <v>0</v>
      </c>
      <c r="H7" s="45">
        <v>0</v>
      </c>
      <c r="I7" s="105">
        <v>625</v>
      </c>
      <c r="J7" s="106">
        <v>25</v>
      </c>
      <c r="K7" s="106">
        <v>13</v>
      </c>
      <c r="L7" s="107">
        <v>13</v>
      </c>
      <c r="M7" s="5">
        <v>0</v>
      </c>
      <c r="N7" s="5">
        <v>0</v>
      </c>
      <c r="O7" s="5">
        <v>0</v>
      </c>
      <c r="P7" s="5">
        <v>0</v>
      </c>
      <c r="Q7" s="5">
        <v>4</v>
      </c>
      <c r="R7" s="20">
        <v>0</v>
      </c>
      <c r="S7" s="102">
        <v>3750</v>
      </c>
      <c r="T7" s="102">
        <v>150</v>
      </c>
      <c r="U7" s="102">
        <v>75</v>
      </c>
      <c r="V7" s="102">
        <v>75</v>
      </c>
      <c r="W7" s="34">
        <v>0</v>
      </c>
      <c r="X7" s="34">
        <v>0</v>
      </c>
      <c r="Y7" s="34">
        <v>0</v>
      </c>
      <c r="Z7" s="34">
        <v>0</v>
      </c>
      <c r="AA7" s="8" t="s">
        <v>164</v>
      </c>
    </row>
    <row r="8" spans="1:27" s="8" customFormat="1">
      <c r="A8" s="5">
        <v>105</v>
      </c>
      <c r="B8" s="5" t="s">
        <v>44</v>
      </c>
      <c r="C8" s="5" t="s">
        <v>37</v>
      </c>
      <c r="D8" s="5">
        <v>10045</v>
      </c>
      <c r="E8" s="5">
        <v>240000</v>
      </c>
      <c r="F8" s="5" t="s">
        <v>85</v>
      </c>
      <c r="G8" s="5">
        <v>0</v>
      </c>
      <c r="H8" s="45">
        <v>0</v>
      </c>
      <c r="I8" s="105">
        <v>781</v>
      </c>
      <c r="J8" s="106">
        <v>31</v>
      </c>
      <c r="K8" s="106">
        <v>16</v>
      </c>
      <c r="L8" s="107">
        <v>16</v>
      </c>
      <c r="M8" s="5">
        <v>0</v>
      </c>
      <c r="N8" s="5">
        <v>0</v>
      </c>
      <c r="O8" s="5">
        <v>0</v>
      </c>
      <c r="P8" s="5">
        <v>0</v>
      </c>
      <c r="Q8" s="5">
        <v>5</v>
      </c>
      <c r="R8" s="20">
        <v>0</v>
      </c>
      <c r="S8" s="102">
        <v>3750</v>
      </c>
      <c r="T8" s="102">
        <v>150</v>
      </c>
      <c r="U8" s="102">
        <v>75</v>
      </c>
      <c r="V8" s="102">
        <v>75</v>
      </c>
      <c r="W8" s="34">
        <v>0</v>
      </c>
      <c r="X8" s="34">
        <v>0</v>
      </c>
      <c r="Y8" s="34">
        <v>0</v>
      </c>
      <c r="Z8" s="34">
        <v>0</v>
      </c>
      <c r="AA8" s="8" t="s">
        <v>164</v>
      </c>
    </row>
    <row r="9" spans="1:27" s="8" customFormat="1">
      <c r="A9" s="5">
        <v>106</v>
      </c>
      <c r="B9" s="5" t="s">
        <v>45</v>
      </c>
      <c r="C9" s="5" t="s">
        <v>38</v>
      </c>
      <c r="D9" s="5">
        <v>10055</v>
      </c>
      <c r="E9" s="5">
        <v>360000</v>
      </c>
      <c r="F9" s="5" t="s">
        <v>86</v>
      </c>
      <c r="G9" s="5">
        <v>0</v>
      </c>
      <c r="H9" s="45">
        <v>0</v>
      </c>
      <c r="I9" s="105">
        <v>938</v>
      </c>
      <c r="J9" s="106">
        <v>38</v>
      </c>
      <c r="K9" s="106">
        <v>20</v>
      </c>
      <c r="L9" s="107">
        <v>20</v>
      </c>
      <c r="M9" s="5">
        <v>0</v>
      </c>
      <c r="N9" s="5">
        <v>0</v>
      </c>
      <c r="O9" s="5">
        <v>0</v>
      </c>
      <c r="P9" s="5">
        <v>0</v>
      </c>
      <c r="Q9" s="5">
        <v>6</v>
      </c>
      <c r="R9" s="20">
        <v>0</v>
      </c>
      <c r="S9" s="102">
        <v>3750</v>
      </c>
      <c r="T9" s="102">
        <v>150</v>
      </c>
      <c r="U9" s="102">
        <v>75</v>
      </c>
      <c r="V9" s="102">
        <v>75</v>
      </c>
      <c r="W9" s="34">
        <v>0</v>
      </c>
      <c r="X9" s="34">
        <v>0</v>
      </c>
      <c r="Y9" s="34">
        <v>0</v>
      </c>
      <c r="Z9" s="34">
        <v>0</v>
      </c>
      <c r="AA9" s="8" t="s">
        <v>164</v>
      </c>
    </row>
    <row r="10" spans="1:27" s="8" customFormat="1">
      <c r="A10" s="5">
        <v>107</v>
      </c>
      <c r="B10" s="5" t="s">
        <v>46</v>
      </c>
      <c r="C10" s="5" t="s">
        <v>39</v>
      </c>
      <c r="D10" s="5">
        <v>10065</v>
      </c>
      <c r="E10" s="5">
        <v>600000</v>
      </c>
      <c r="F10" s="5" t="s">
        <v>87</v>
      </c>
      <c r="G10" s="5">
        <v>0</v>
      </c>
      <c r="H10" s="45">
        <v>0</v>
      </c>
      <c r="I10" s="105">
        <v>1094</v>
      </c>
      <c r="J10" s="106">
        <v>44</v>
      </c>
      <c r="K10" s="106">
        <v>23</v>
      </c>
      <c r="L10" s="107">
        <v>23</v>
      </c>
      <c r="M10" s="5">
        <v>0</v>
      </c>
      <c r="N10" s="5">
        <v>0</v>
      </c>
      <c r="O10" s="5">
        <v>0</v>
      </c>
      <c r="P10" s="5">
        <v>0</v>
      </c>
      <c r="Q10" s="5">
        <v>7</v>
      </c>
      <c r="R10" s="20">
        <v>0</v>
      </c>
      <c r="S10" s="102">
        <v>3750</v>
      </c>
      <c r="T10" s="102">
        <v>150</v>
      </c>
      <c r="U10" s="102">
        <v>75</v>
      </c>
      <c r="V10" s="102">
        <v>75</v>
      </c>
      <c r="W10" s="34">
        <v>0</v>
      </c>
      <c r="X10" s="34">
        <v>0</v>
      </c>
      <c r="Y10" s="34">
        <v>0</v>
      </c>
      <c r="Z10" s="34">
        <v>0</v>
      </c>
      <c r="AA10" s="8" t="s">
        <v>164</v>
      </c>
    </row>
    <row r="11" spans="1:27" s="8" customFormat="1">
      <c r="A11" s="5">
        <v>108</v>
      </c>
      <c r="B11" s="5" t="s">
        <v>47</v>
      </c>
      <c r="C11" s="5" t="s">
        <v>40</v>
      </c>
      <c r="D11" s="5">
        <v>10075</v>
      </c>
      <c r="E11" s="5">
        <v>1000000</v>
      </c>
      <c r="F11" s="5" t="s">
        <v>88</v>
      </c>
      <c r="G11" s="5">
        <v>0</v>
      </c>
      <c r="H11" s="45">
        <v>0</v>
      </c>
      <c r="I11" s="105">
        <v>1250</v>
      </c>
      <c r="J11" s="106">
        <v>50</v>
      </c>
      <c r="K11" s="106">
        <v>26</v>
      </c>
      <c r="L11" s="107">
        <v>26</v>
      </c>
      <c r="M11" s="5">
        <v>0</v>
      </c>
      <c r="N11" s="5">
        <v>0</v>
      </c>
      <c r="O11" s="5">
        <v>0</v>
      </c>
      <c r="P11" s="5">
        <v>0</v>
      </c>
      <c r="Q11" s="5">
        <v>8</v>
      </c>
      <c r="R11" s="20">
        <v>0</v>
      </c>
      <c r="S11" s="102">
        <v>3750</v>
      </c>
      <c r="T11" s="102">
        <v>150</v>
      </c>
      <c r="U11" s="102">
        <v>75</v>
      </c>
      <c r="V11" s="102">
        <v>75</v>
      </c>
      <c r="W11" s="34">
        <v>0</v>
      </c>
      <c r="X11" s="34">
        <v>0</v>
      </c>
      <c r="Y11" s="34">
        <v>0</v>
      </c>
      <c r="Z11" s="34">
        <v>0</v>
      </c>
      <c r="AA11" s="8" t="s">
        <v>164</v>
      </c>
    </row>
    <row r="12" spans="1:27" s="8" customFormat="1">
      <c r="A12" s="5">
        <v>109</v>
      </c>
      <c r="B12" s="5" t="s">
        <v>69</v>
      </c>
      <c r="C12" s="5" t="s">
        <v>32</v>
      </c>
      <c r="D12" s="5">
        <v>10085</v>
      </c>
      <c r="E12" s="5">
        <v>1500000</v>
      </c>
      <c r="F12" s="5" t="s">
        <v>89</v>
      </c>
      <c r="G12" s="5">
        <v>0</v>
      </c>
      <c r="H12" s="45">
        <v>0</v>
      </c>
      <c r="I12" s="105">
        <v>1406</v>
      </c>
      <c r="J12" s="106">
        <v>56</v>
      </c>
      <c r="K12" s="106">
        <v>29</v>
      </c>
      <c r="L12" s="107">
        <v>29</v>
      </c>
      <c r="M12" s="5">
        <v>0</v>
      </c>
      <c r="N12" s="5">
        <v>0</v>
      </c>
      <c r="O12" s="5">
        <v>0</v>
      </c>
      <c r="P12" s="5">
        <v>0</v>
      </c>
      <c r="Q12" s="5">
        <v>9</v>
      </c>
      <c r="R12" s="20">
        <v>0</v>
      </c>
      <c r="S12" s="102">
        <v>3750</v>
      </c>
      <c r="T12" s="102">
        <v>150</v>
      </c>
      <c r="U12" s="102">
        <v>75</v>
      </c>
      <c r="V12" s="102">
        <v>75</v>
      </c>
      <c r="W12" s="34">
        <v>0</v>
      </c>
      <c r="X12" s="34">
        <v>0</v>
      </c>
      <c r="Y12" s="34">
        <v>0</v>
      </c>
      <c r="Z12" s="34">
        <v>0</v>
      </c>
      <c r="AA12" s="8" t="s">
        <v>164</v>
      </c>
    </row>
    <row r="13" spans="1:27" s="8" customFormat="1">
      <c r="A13" s="5">
        <v>110</v>
      </c>
      <c r="B13" s="5" t="s">
        <v>71</v>
      </c>
      <c r="C13" s="5" t="s">
        <v>31</v>
      </c>
      <c r="D13" s="5">
        <v>10095</v>
      </c>
      <c r="E13" s="5">
        <v>2000000</v>
      </c>
      <c r="F13" s="5" t="s">
        <v>90</v>
      </c>
      <c r="G13" s="5">
        <v>0</v>
      </c>
      <c r="H13" s="45">
        <v>0</v>
      </c>
      <c r="I13" s="105">
        <v>1563</v>
      </c>
      <c r="J13" s="106">
        <v>63</v>
      </c>
      <c r="K13" s="106">
        <v>33</v>
      </c>
      <c r="L13" s="107">
        <v>33</v>
      </c>
      <c r="M13" s="5">
        <v>0</v>
      </c>
      <c r="N13" s="5">
        <v>0</v>
      </c>
      <c r="O13" s="5">
        <v>0</v>
      </c>
      <c r="P13" s="5">
        <v>0</v>
      </c>
      <c r="Q13" s="5">
        <v>10</v>
      </c>
      <c r="R13" s="20">
        <v>0</v>
      </c>
      <c r="S13" s="102">
        <v>3750</v>
      </c>
      <c r="T13" s="102">
        <v>150</v>
      </c>
      <c r="U13" s="102">
        <v>75</v>
      </c>
      <c r="V13" s="102">
        <v>75</v>
      </c>
      <c r="W13" s="34">
        <v>0</v>
      </c>
      <c r="X13" s="34">
        <v>0</v>
      </c>
      <c r="Y13" s="34">
        <v>0</v>
      </c>
      <c r="Z13" s="34">
        <v>0</v>
      </c>
      <c r="AA13" s="8" t="s">
        <v>164</v>
      </c>
    </row>
    <row r="14" spans="1:27" s="8" customFormat="1">
      <c r="A14" s="5">
        <v>111</v>
      </c>
      <c r="B14" s="5" t="s">
        <v>73</v>
      </c>
      <c r="C14" s="5" t="s">
        <v>74</v>
      </c>
      <c r="D14" s="5">
        <v>10105</v>
      </c>
      <c r="E14" s="5">
        <v>2400000</v>
      </c>
      <c r="F14" s="5" t="s">
        <v>91</v>
      </c>
      <c r="G14" s="5">
        <v>0</v>
      </c>
      <c r="H14" s="45">
        <v>0</v>
      </c>
      <c r="I14" s="105">
        <v>1719</v>
      </c>
      <c r="J14" s="106">
        <v>69</v>
      </c>
      <c r="K14" s="106">
        <v>36</v>
      </c>
      <c r="L14" s="107">
        <v>36</v>
      </c>
      <c r="M14" s="5">
        <v>0</v>
      </c>
      <c r="N14" s="5">
        <v>0</v>
      </c>
      <c r="O14" s="5">
        <v>0</v>
      </c>
      <c r="P14" s="5">
        <v>0</v>
      </c>
      <c r="Q14" s="5">
        <v>11</v>
      </c>
      <c r="R14" s="20">
        <v>0</v>
      </c>
      <c r="S14" s="102">
        <v>3750</v>
      </c>
      <c r="T14" s="102">
        <v>150</v>
      </c>
      <c r="U14" s="102">
        <v>75</v>
      </c>
      <c r="V14" s="102">
        <v>75</v>
      </c>
      <c r="W14" s="34">
        <v>0</v>
      </c>
      <c r="X14" s="34">
        <v>0</v>
      </c>
      <c r="Y14" s="34">
        <v>0</v>
      </c>
      <c r="Z14" s="34">
        <v>0</v>
      </c>
      <c r="AA14" s="8" t="s">
        <v>164</v>
      </c>
    </row>
    <row r="15" spans="1:27" s="8" customFormat="1">
      <c r="A15" s="5">
        <v>112</v>
      </c>
      <c r="B15" s="5" t="s">
        <v>75</v>
      </c>
      <c r="C15" s="5" t="s">
        <v>76</v>
      </c>
      <c r="D15" s="5">
        <v>10115</v>
      </c>
      <c r="E15" s="5">
        <v>3000000</v>
      </c>
      <c r="F15" s="5" t="s">
        <v>114</v>
      </c>
      <c r="G15" s="5">
        <v>0</v>
      </c>
      <c r="H15" s="45">
        <v>0</v>
      </c>
      <c r="I15" s="105">
        <v>1875</v>
      </c>
      <c r="J15" s="106">
        <v>75</v>
      </c>
      <c r="K15" s="106">
        <v>39</v>
      </c>
      <c r="L15" s="107">
        <v>39</v>
      </c>
      <c r="M15" s="5">
        <v>0</v>
      </c>
      <c r="N15" s="5">
        <v>0</v>
      </c>
      <c r="O15" s="5">
        <v>0</v>
      </c>
      <c r="P15" s="5">
        <v>0</v>
      </c>
      <c r="Q15" s="5">
        <v>12</v>
      </c>
      <c r="R15" s="20">
        <v>0</v>
      </c>
      <c r="S15" s="102">
        <v>3750</v>
      </c>
      <c r="T15" s="102">
        <v>150</v>
      </c>
      <c r="U15" s="102">
        <v>75</v>
      </c>
      <c r="V15" s="102">
        <v>75</v>
      </c>
      <c r="W15" s="34">
        <v>0</v>
      </c>
      <c r="X15" s="34">
        <v>0</v>
      </c>
      <c r="Y15" s="34">
        <v>0</v>
      </c>
      <c r="Z15" s="34">
        <v>0</v>
      </c>
      <c r="AA15" s="8" t="s">
        <v>164</v>
      </c>
    </row>
    <row r="16" spans="1:27" s="8" customFormat="1">
      <c r="A16" s="5">
        <v>113</v>
      </c>
      <c r="B16" s="5" t="s">
        <v>182</v>
      </c>
      <c r="C16" s="5" t="s">
        <v>183</v>
      </c>
      <c r="D16" s="5">
        <v>10125</v>
      </c>
      <c r="E16" s="5">
        <v>3600000</v>
      </c>
      <c r="F16" s="5" t="s">
        <v>188</v>
      </c>
      <c r="G16" s="5">
        <v>0</v>
      </c>
      <c r="H16" s="45">
        <v>0</v>
      </c>
      <c r="I16" s="105">
        <v>2031</v>
      </c>
      <c r="J16" s="106">
        <v>81</v>
      </c>
      <c r="K16" s="106">
        <v>42</v>
      </c>
      <c r="L16" s="107">
        <v>42</v>
      </c>
      <c r="M16" s="5">
        <v>0</v>
      </c>
      <c r="N16" s="5">
        <v>0</v>
      </c>
      <c r="O16" s="5">
        <v>0</v>
      </c>
      <c r="P16" s="5">
        <v>0</v>
      </c>
      <c r="Q16" s="5">
        <v>13</v>
      </c>
      <c r="R16" s="20">
        <v>0</v>
      </c>
      <c r="S16" s="102">
        <v>3750</v>
      </c>
      <c r="T16" s="102">
        <v>150</v>
      </c>
      <c r="U16" s="102">
        <v>75</v>
      </c>
      <c r="V16" s="102">
        <v>75</v>
      </c>
      <c r="W16" s="34">
        <v>0</v>
      </c>
      <c r="X16" s="34">
        <v>0</v>
      </c>
      <c r="Y16" s="34">
        <v>0</v>
      </c>
      <c r="Z16" s="34">
        <v>0</v>
      </c>
      <c r="AA16" s="8" t="s">
        <v>164</v>
      </c>
    </row>
    <row r="17" spans="1:27" s="8" customFormat="1">
      <c r="A17" s="5">
        <v>114</v>
      </c>
      <c r="B17" s="5" t="s">
        <v>184</v>
      </c>
      <c r="C17" s="5" t="s">
        <v>185</v>
      </c>
      <c r="D17" s="5">
        <v>10135</v>
      </c>
      <c r="E17" s="5">
        <v>4800000</v>
      </c>
      <c r="F17" s="5" t="s">
        <v>190</v>
      </c>
      <c r="G17" s="5">
        <v>0</v>
      </c>
      <c r="H17" s="45">
        <v>0</v>
      </c>
      <c r="I17" s="105">
        <v>2188</v>
      </c>
      <c r="J17" s="106">
        <v>88</v>
      </c>
      <c r="K17" s="106">
        <v>46</v>
      </c>
      <c r="L17" s="107">
        <v>46</v>
      </c>
      <c r="M17" s="5">
        <v>0</v>
      </c>
      <c r="N17" s="5">
        <v>0</v>
      </c>
      <c r="O17" s="5">
        <v>0</v>
      </c>
      <c r="P17" s="5">
        <v>0</v>
      </c>
      <c r="Q17" s="5">
        <v>14</v>
      </c>
      <c r="R17" s="20">
        <v>0</v>
      </c>
      <c r="S17" s="102">
        <v>3750</v>
      </c>
      <c r="T17" s="102">
        <v>150</v>
      </c>
      <c r="U17" s="102">
        <v>75</v>
      </c>
      <c r="V17" s="102">
        <v>75</v>
      </c>
      <c r="W17" s="34">
        <v>0</v>
      </c>
      <c r="X17" s="34">
        <v>0</v>
      </c>
      <c r="Y17" s="34">
        <v>0</v>
      </c>
      <c r="Z17" s="34">
        <v>0</v>
      </c>
      <c r="AA17" s="8" t="s">
        <v>164</v>
      </c>
    </row>
    <row r="18" spans="1:27" s="8" customFormat="1">
      <c r="A18" s="5">
        <v>115</v>
      </c>
      <c r="B18" s="5" t="s">
        <v>186</v>
      </c>
      <c r="C18" s="5" t="s">
        <v>187</v>
      </c>
      <c r="D18" s="5">
        <v>10145</v>
      </c>
      <c r="E18" s="5">
        <v>6000000</v>
      </c>
      <c r="F18" s="5" t="s">
        <v>192</v>
      </c>
      <c r="G18" s="5">
        <v>0</v>
      </c>
      <c r="H18" s="45">
        <v>0</v>
      </c>
      <c r="I18" s="105">
        <v>2344</v>
      </c>
      <c r="J18" s="106">
        <v>94</v>
      </c>
      <c r="K18" s="106">
        <v>49</v>
      </c>
      <c r="L18" s="107">
        <v>49</v>
      </c>
      <c r="M18" s="5">
        <v>0</v>
      </c>
      <c r="N18" s="5">
        <v>0</v>
      </c>
      <c r="O18" s="5">
        <v>0</v>
      </c>
      <c r="P18" s="5">
        <v>0</v>
      </c>
      <c r="Q18" s="5">
        <v>15</v>
      </c>
      <c r="R18" s="20">
        <v>0</v>
      </c>
      <c r="S18" s="102">
        <v>3750</v>
      </c>
      <c r="T18" s="102">
        <v>150</v>
      </c>
      <c r="U18" s="102">
        <v>75</v>
      </c>
      <c r="V18" s="102">
        <v>75</v>
      </c>
      <c r="W18" s="34">
        <v>0</v>
      </c>
      <c r="X18" s="34">
        <v>0</v>
      </c>
      <c r="Y18" s="34">
        <v>0</v>
      </c>
      <c r="Z18" s="34">
        <v>0</v>
      </c>
      <c r="AA18" s="8" t="s">
        <v>164</v>
      </c>
    </row>
    <row r="19" spans="1:27" s="65" customFormat="1" ht="17.25" thickBot="1">
      <c r="A19" s="59">
        <v>1001</v>
      </c>
      <c r="B19" s="59" t="s">
        <v>122</v>
      </c>
      <c r="C19" s="59" t="s">
        <v>33</v>
      </c>
      <c r="D19" s="59">
        <v>10001</v>
      </c>
      <c r="E19" s="60">
        <v>5000</v>
      </c>
      <c r="F19" s="59" t="s">
        <v>101</v>
      </c>
      <c r="G19" s="59">
        <v>0</v>
      </c>
      <c r="H19" s="61">
        <v>0</v>
      </c>
      <c r="I19" s="108">
        <v>50</v>
      </c>
      <c r="J19" s="109">
        <v>2</v>
      </c>
      <c r="K19" s="109">
        <v>1</v>
      </c>
      <c r="L19" s="110">
        <v>1</v>
      </c>
      <c r="M19" s="59">
        <v>0</v>
      </c>
      <c r="N19" s="59">
        <v>0</v>
      </c>
      <c r="O19" s="59">
        <v>0</v>
      </c>
      <c r="P19" s="59">
        <v>0</v>
      </c>
      <c r="Q19" s="59">
        <v>1</v>
      </c>
      <c r="R19" s="63">
        <v>0</v>
      </c>
      <c r="S19" s="99">
        <v>1200</v>
      </c>
      <c r="T19" s="99">
        <v>48</v>
      </c>
      <c r="U19" s="99">
        <v>24</v>
      </c>
      <c r="V19" s="99">
        <v>24</v>
      </c>
      <c r="W19" s="64">
        <v>0</v>
      </c>
      <c r="X19" s="64">
        <v>0</v>
      </c>
      <c r="Y19" s="64">
        <v>0</v>
      </c>
      <c r="Z19" s="64">
        <v>0</v>
      </c>
      <c r="AA19" s="65" t="s">
        <v>165</v>
      </c>
    </row>
    <row r="20" spans="1:27" s="65" customFormat="1" ht="17.25" thickBot="1">
      <c r="A20" s="59">
        <v>1002</v>
      </c>
      <c r="B20" s="59" t="s">
        <v>41</v>
      </c>
      <c r="C20" s="59" t="s">
        <v>34</v>
      </c>
      <c r="D20" s="59">
        <v>10015</v>
      </c>
      <c r="E20" s="60">
        <v>20000</v>
      </c>
      <c r="F20" s="59" t="s">
        <v>102</v>
      </c>
      <c r="G20" s="59">
        <v>0</v>
      </c>
      <c r="H20" s="61">
        <v>0</v>
      </c>
      <c r="I20" s="108">
        <v>100</v>
      </c>
      <c r="J20" s="109">
        <v>4</v>
      </c>
      <c r="K20" s="109">
        <v>2</v>
      </c>
      <c r="L20" s="110">
        <v>2</v>
      </c>
      <c r="M20" s="59">
        <v>0</v>
      </c>
      <c r="N20" s="59">
        <v>0</v>
      </c>
      <c r="O20" s="59">
        <v>0</v>
      </c>
      <c r="P20" s="59">
        <v>0</v>
      </c>
      <c r="Q20" s="59">
        <v>2</v>
      </c>
      <c r="R20" s="63">
        <v>0</v>
      </c>
      <c r="S20" s="99">
        <v>1200</v>
      </c>
      <c r="T20" s="99">
        <v>48</v>
      </c>
      <c r="U20" s="99">
        <v>24</v>
      </c>
      <c r="V20" s="99">
        <v>24</v>
      </c>
      <c r="W20" s="64">
        <v>0</v>
      </c>
      <c r="X20" s="64">
        <v>0</v>
      </c>
      <c r="Y20" s="64">
        <v>0</v>
      </c>
      <c r="Z20" s="64">
        <v>0</v>
      </c>
      <c r="AA20" s="65" t="s">
        <v>165</v>
      </c>
    </row>
    <row r="21" spans="1:27" s="65" customFormat="1" ht="17.25" thickBot="1">
      <c r="A21" s="59">
        <v>1003</v>
      </c>
      <c r="B21" s="59" t="s">
        <v>42</v>
      </c>
      <c r="C21" s="59" t="s">
        <v>35</v>
      </c>
      <c r="D21" s="59">
        <v>10025</v>
      </c>
      <c r="E21" s="60">
        <v>50000</v>
      </c>
      <c r="F21" s="59" t="s">
        <v>103</v>
      </c>
      <c r="G21" s="59">
        <v>1</v>
      </c>
      <c r="H21" s="61">
        <v>0</v>
      </c>
      <c r="I21" s="108">
        <v>150</v>
      </c>
      <c r="J21" s="109">
        <v>6</v>
      </c>
      <c r="K21" s="109">
        <v>3</v>
      </c>
      <c r="L21" s="110">
        <v>3</v>
      </c>
      <c r="M21" s="59">
        <v>0</v>
      </c>
      <c r="N21" s="59">
        <v>0</v>
      </c>
      <c r="O21" s="59">
        <v>0</v>
      </c>
      <c r="P21" s="59">
        <v>0</v>
      </c>
      <c r="Q21" s="59">
        <v>3</v>
      </c>
      <c r="R21" s="63">
        <v>0</v>
      </c>
      <c r="S21" s="99">
        <v>1200</v>
      </c>
      <c r="T21" s="99">
        <v>48</v>
      </c>
      <c r="U21" s="99">
        <v>24</v>
      </c>
      <c r="V21" s="99">
        <v>24</v>
      </c>
      <c r="W21" s="64">
        <v>0</v>
      </c>
      <c r="X21" s="64">
        <v>0</v>
      </c>
      <c r="Y21" s="64">
        <v>0</v>
      </c>
      <c r="Z21" s="64">
        <v>0</v>
      </c>
      <c r="AA21" s="65" t="s">
        <v>165</v>
      </c>
    </row>
    <row r="22" spans="1:27" s="65" customFormat="1" ht="17.25" thickBot="1">
      <c r="A22" s="59">
        <v>1004</v>
      </c>
      <c r="B22" s="59" t="s">
        <v>43</v>
      </c>
      <c r="C22" s="59" t="s">
        <v>36</v>
      </c>
      <c r="D22" s="59">
        <v>10035</v>
      </c>
      <c r="E22" s="60">
        <v>100000</v>
      </c>
      <c r="F22" s="59" t="s">
        <v>104</v>
      </c>
      <c r="G22" s="59">
        <v>1</v>
      </c>
      <c r="H22" s="61">
        <v>0</v>
      </c>
      <c r="I22" s="108">
        <v>200</v>
      </c>
      <c r="J22" s="109">
        <v>8</v>
      </c>
      <c r="K22" s="109">
        <v>4</v>
      </c>
      <c r="L22" s="110">
        <v>4</v>
      </c>
      <c r="M22" s="59">
        <v>0</v>
      </c>
      <c r="N22" s="59">
        <v>0</v>
      </c>
      <c r="O22" s="59">
        <v>0</v>
      </c>
      <c r="P22" s="59">
        <v>0</v>
      </c>
      <c r="Q22" s="59">
        <v>4</v>
      </c>
      <c r="R22" s="63">
        <v>0</v>
      </c>
      <c r="S22" s="99">
        <v>1200</v>
      </c>
      <c r="T22" s="99">
        <v>48</v>
      </c>
      <c r="U22" s="99">
        <v>24</v>
      </c>
      <c r="V22" s="99">
        <v>24</v>
      </c>
      <c r="W22" s="64">
        <v>0</v>
      </c>
      <c r="X22" s="64">
        <v>0</v>
      </c>
      <c r="Y22" s="64">
        <v>0</v>
      </c>
      <c r="Z22" s="64">
        <v>0</v>
      </c>
      <c r="AA22" s="65" t="s">
        <v>165</v>
      </c>
    </row>
    <row r="23" spans="1:27" s="65" customFormat="1" ht="17.25" thickBot="1">
      <c r="A23" s="59">
        <v>1005</v>
      </c>
      <c r="B23" s="59" t="s">
        <v>44</v>
      </c>
      <c r="C23" s="59" t="s">
        <v>37</v>
      </c>
      <c r="D23" s="59">
        <v>10045</v>
      </c>
      <c r="E23" s="60">
        <v>200000</v>
      </c>
      <c r="F23" s="59" t="s">
        <v>105</v>
      </c>
      <c r="G23" s="59">
        <v>2</v>
      </c>
      <c r="H23" s="61">
        <v>0</v>
      </c>
      <c r="I23" s="108">
        <v>250</v>
      </c>
      <c r="J23" s="109">
        <v>10</v>
      </c>
      <c r="K23" s="109">
        <v>5</v>
      </c>
      <c r="L23" s="110">
        <v>5</v>
      </c>
      <c r="M23" s="59">
        <v>0</v>
      </c>
      <c r="N23" s="59">
        <v>0</v>
      </c>
      <c r="O23" s="59">
        <v>0</v>
      </c>
      <c r="P23" s="59">
        <v>0</v>
      </c>
      <c r="Q23" s="59">
        <v>5</v>
      </c>
      <c r="R23" s="63">
        <v>0</v>
      </c>
      <c r="S23" s="99">
        <v>1200</v>
      </c>
      <c r="T23" s="99">
        <v>48</v>
      </c>
      <c r="U23" s="99">
        <v>24</v>
      </c>
      <c r="V23" s="99">
        <v>24</v>
      </c>
      <c r="W23" s="64">
        <v>0</v>
      </c>
      <c r="X23" s="64">
        <v>0</v>
      </c>
      <c r="Y23" s="64">
        <v>0</v>
      </c>
      <c r="Z23" s="64">
        <v>0</v>
      </c>
      <c r="AA23" s="65" t="s">
        <v>165</v>
      </c>
    </row>
    <row r="24" spans="1:27" s="65" customFormat="1" ht="17.25" thickBot="1">
      <c r="A24" s="59">
        <v>1006</v>
      </c>
      <c r="B24" s="59" t="s">
        <v>45</v>
      </c>
      <c r="C24" s="59" t="s">
        <v>38</v>
      </c>
      <c r="D24" s="59">
        <v>10055</v>
      </c>
      <c r="E24" s="60">
        <v>300000</v>
      </c>
      <c r="F24" s="59" t="s">
        <v>106</v>
      </c>
      <c r="G24" s="59">
        <v>2</v>
      </c>
      <c r="H24" s="61">
        <v>0</v>
      </c>
      <c r="I24" s="108">
        <v>300</v>
      </c>
      <c r="J24" s="109">
        <v>12</v>
      </c>
      <c r="K24" s="109">
        <v>6</v>
      </c>
      <c r="L24" s="110">
        <v>6</v>
      </c>
      <c r="M24" s="59">
        <v>0</v>
      </c>
      <c r="N24" s="59">
        <v>0</v>
      </c>
      <c r="O24" s="59">
        <v>0</v>
      </c>
      <c r="P24" s="59">
        <v>0</v>
      </c>
      <c r="Q24" s="59">
        <v>6</v>
      </c>
      <c r="R24" s="63">
        <v>0</v>
      </c>
      <c r="S24" s="99">
        <v>1200</v>
      </c>
      <c r="T24" s="99">
        <v>48</v>
      </c>
      <c r="U24" s="99">
        <v>24</v>
      </c>
      <c r="V24" s="99">
        <v>24</v>
      </c>
      <c r="W24" s="64">
        <v>0</v>
      </c>
      <c r="X24" s="64">
        <v>0</v>
      </c>
      <c r="Y24" s="64">
        <v>0</v>
      </c>
      <c r="Z24" s="64">
        <v>0</v>
      </c>
      <c r="AA24" s="65" t="s">
        <v>165</v>
      </c>
    </row>
    <row r="25" spans="1:27" s="65" customFormat="1" ht="17.25" thickBot="1">
      <c r="A25" s="59">
        <v>1007</v>
      </c>
      <c r="B25" s="59" t="s">
        <v>46</v>
      </c>
      <c r="C25" s="59" t="s">
        <v>39</v>
      </c>
      <c r="D25" s="59">
        <v>10065</v>
      </c>
      <c r="E25" s="60">
        <v>500000</v>
      </c>
      <c r="F25" s="59" t="s">
        <v>107</v>
      </c>
      <c r="G25" s="59">
        <v>4</v>
      </c>
      <c r="H25" s="61">
        <v>0</v>
      </c>
      <c r="I25" s="108">
        <v>350</v>
      </c>
      <c r="J25" s="109">
        <v>14</v>
      </c>
      <c r="K25" s="109">
        <v>7</v>
      </c>
      <c r="L25" s="110">
        <v>7</v>
      </c>
      <c r="M25" s="59">
        <v>0</v>
      </c>
      <c r="N25" s="59">
        <v>0</v>
      </c>
      <c r="O25" s="59">
        <v>0</v>
      </c>
      <c r="P25" s="59">
        <v>0</v>
      </c>
      <c r="Q25" s="59">
        <v>7</v>
      </c>
      <c r="R25" s="63">
        <v>0</v>
      </c>
      <c r="S25" s="99">
        <v>1200</v>
      </c>
      <c r="T25" s="99">
        <v>48</v>
      </c>
      <c r="U25" s="99">
        <v>24</v>
      </c>
      <c r="V25" s="99">
        <v>24</v>
      </c>
      <c r="W25" s="64">
        <v>0</v>
      </c>
      <c r="X25" s="64">
        <v>0</v>
      </c>
      <c r="Y25" s="64">
        <v>0</v>
      </c>
      <c r="Z25" s="64">
        <v>0</v>
      </c>
      <c r="AA25" s="65" t="s">
        <v>165</v>
      </c>
    </row>
    <row r="26" spans="1:27" s="65" customFormat="1" ht="17.25" thickBot="1">
      <c r="A26" s="59">
        <v>1008</v>
      </c>
      <c r="B26" s="59" t="s">
        <v>47</v>
      </c>
      <c r="C26" s="59" t="s">
        <v>40</v>
      </c>
      <c r="D26" s="59">
        <v>10075</v>
      </c>
      <c r="E26" s="60">
        <v>800000</v>
      </c>
      <c r="F26" s="59" t="s">
        <v>108</v>
      </c>
      <c r="G26" s="59">
        <v>6</v>
      </c>
      <c r="H26" s="61">
        <v>0</v>
      </c>
      <c r="I26" s="108">
        <v>400</v>
      </c>
      <c r="J26" s="109">
        <v>16</v>
      </c>
      <c r="K26" s="109">
        <v>8</v>
      </c>
      <c r="L26" s="110">
        <v>8</v>
      </c>
      <c r="M26" s="59">
        <v>0</v>
      </c>
      <c r="N26" s="59">
        <v>0</v>
      </c>
      <c r="O26" s="59">
        <v>0</v>
      </c>
      <c r="P26" s="59">
        <v>0</v>
      </c>
      <c r="Q26" s="59">
        <v>8</v>
      </c>
      <c r="R26" s="63">
        <v>0</v>
      </c>
      <c r="S26" s="99">
        <v>1200</v>
      </c>
      <c r="T26" s="99">
        <v>48</v>
      </c>
      <c r="U26" s="99">
        <v>24</v>
      </c>
      <c r="V26" s="99">
        <v>24</v>
      </c>
      <c r="W26" s="64">
        <v>0</v>
      </c>
      <c r="X26" s="64">
        <v>0</v>
      </c>
      <c r="Y26" s="64">
        <v>0</v>
      </c>
      <c r="Z26" s="64">
        <v>0</v>
      </c>
      <c r="AA26" s="65" t="s">
        <v>165</v>
      </c>
    </row>
    <row r="27" spans="1:27" s="65" customFormat="1" ht="17.25" thickBot="1">
      <c r="A27" s="59">
        <v>1009</v>
      </c>
      <c r="B27" s="59" t="s">
        <v>69</v>
      </c>
      <c r="C27" s="59" t="s">
        <v>32</v>
      </c>
      <c r="D27" s="59">
        <v>10085</v>
      </c>
      <c r="E27" s="60">
        <v>1200000</v>
      </c>
      <c r="F27" s="59" t="s">
        <v>109</v>
      </c>
      <c r="G27" s="59">
        <v>8</v>
      </c>
      <c r="H27" s="61">
        <v>0</v>
      </c>
      <c r="I27" s="108">
        <v>450</v>
      </c>
      <c r="J27" s="109">
        <v>18</v>
      </c>
      <c r="K27" s="109">
        <v>9</v>
      </c>
      <c r="L27" s="110">
        <v>9</v>
      </c>
      <c r="M27" s="59">
        <v>0</v>
      </c>
      <c r="N27" s="59">
        <v>0</v>
      </c>
      <c r="O27" s="59">
        <v>0</v>
      </c>
      <c r="P27" s="59">
        <v>0</v>
      </c>
      <c r="Q27" s="59">
        <v>9</v>
      </c>
      <c r="R27" s="63">
        <v>0</v>
      </c>
      <c r="S27" s="99">
        <v>1200</v>
      </c>
      <c r="T27" s="99">
        <v>48</v>
      </c>
      <c r="U27" s="99">
        <v>24</v>
      </c>
      <c r="V27" s="99">
        <v>24</v>
      </c>
      <c r="W27" s="64">
        <v>0</v>
      </c>
      <c r="X27" s="64">
        <v>0</v>
      </c>
      <c r="Y27" s="64">
        <v>0</v>
      </c>
      <c r="Z27" s="64">
        <v>0</v>
      </c>
      <c r="AA27" s="65" t="s">
        <v>165</v>
      </c>
    </row>
    <row r="28" spans="1:27" s="65" customFormat="1" ht="17.25" thickBot="1">
      <c r="A28" s="59">
        <v>1010</v>
      </c>
      <c r="B28" s="59" t="s">
        <v>71</v>
      </c>
      <c r="C28" s="59" t="s">
        <v>31</v>
      </c>
      <c r="D28" s="59">
        <v>10095</v>
      </c>
      <c r="E28" s="60">
        <v>1600000</v>
      </c>
      <c r="F28" s="59" t="s">
        <v>110</v>
      </c>
      <c r="G28" s="59">
        <v>10</v>
      </c>
      <c r="H28" s="61">
        <v>0</v>
      </c>
      <c r="I28" s="108">
        <v>500</v>
      </c>
      <c r="J28" s="109">
        <v>20</v>
      </c>
      <c r="K28" s="109">
        <v>10</v>
      </c>
      <c r="L28" s="110">
        <v>10</v>
      </c>
      <c r="M28" s="59">
        <v>0</v>
      </c>
      <c r="N28" s="59">
        <v>0</v>
      </c>
      <c r="O28" s="59">
        <v>0</v>
      </c>
      <c r="P28" s="59">
        <v>0</v>
      </c>
      <c r="Q28" s="59">
        <v>10</v>
      </c>
      <c r="R28" s="63">
        <v>0</v>
      </c>
      <c r="S28" s="99">
        <v>1200</v>
      </c>
      <c r="T28" s="99">
        <v>48</v>
      </c>
      <c r="U28" s="99">
        <v>24</v>
      </c>
      <c r="V28" s="99">
        <v>24</v>
      </c>
      <c r="W28" s="64">
        <v>0</v>
      </c>
      <c r="X28" s="64">
        <v>0</v>
      </c>
      <c r="Y28" s="64">
        <v>0</v>
      </c>
      <c r="Z28" s="64">
        <v>0</v>
      </c>
      <c r="AA28" s="65" t="s">
        <v>165</v>
      </c>
    </row>
    <row r="29" spans="1:27" s="65" customFormat="1" ht="17.25" thickBot="1">
      <c r="A29" s="59">
        <v>1011</v>
      </c>
      <c r="B29" s="59" t="s">
        <v>73</v>
      </c>
      <c r="C29" s="59" t="s">
        <v>74</v>
      </c>
      <c r="D29" s="59">
        <v>10105</v>
      </c>
      <c r="E29" s="60">
        <v>2000000</v>
      </c>
      <c r="F29" s="59" t="s">
        <v>90</v>
      </c>
      <c r="G29" s="59">
        <v>12</v>
      </c>
      <c r="H29" s="61">
        <v>0</v>
      </c>
      <c r="I29" s="108">
        <v>550</v>
      </c>
      <c r="J29" s="109">
        <v>22</v>
      </c>
      <c r="K29" s="109">
        <v>11</v>
      </c>
      <c r="L29" s="110">
        <v>11</v>
      </c>
      <c r="M29" s="59">
        <v>0</v>
      </c>
      <c r="N29" s="59">
        <v>0</v>
      </c>
      <c r="O29" s="59">
        <v>0</v>
      </c>
      <c r="P29" s="59">
        <v>0</v>
      </c>
      <c r="Q29" s="59">
        <v>11</v>
      </c>
      <c r="R29" s="63">
        <v>0</v>
      </c>
      <c r="S29" s="99">
        <v>1200</v>
      </c>
      <c r="T29" s="99">
        <v>48</v>
      </c>
      <c r="U29" s="99">
        <v>24</v>
      </c>
      <c r="V29" s="99">
        <v>24</v>
      </c>
      <c r="W29" s="64">
        <v>0</v>
      </c>
      <c r="X29" s="64">
        <v>0</v>
      </c>
      <c r="Y29" s="64">
        <v>0</v>
      </c>
      <c r="Z29" s="64">
        <v>0</v>
      </c>
      <c r="AA29" s="65" t="s">
        <v>165</v>
      </c>
    </row>
    <row r="30" spans="1:27" s="65" customFormat="1" ht="17.25" thickBot="1">
      <c r="A30" s="59">
        <v>1012</v>
      </c>
      <c r="B30" s="59" t="s">
        <v>75</v>
      </c>
      <c r="C30" s="59" t="s">
        <v>76</v>
      </c>
      <c r="D30" s="59">
        <v>10115</v>
      </c>
      <c r="E30" s="60">
        <v>2500000</v>
      </c>
      <c r="F30" s="59" t="s">
        <v>111</v>
      </c>
      <c r="G30" s="59">
        <v>14</v>
      </c>
      <c r="H30" s="61">
        <v>0</v>
      </c>
      <c r="I30" s="108">
        <v>600</v>
      </c>
      <c r="J30" s="109">
        <v>24</v>
      </c>
      <c r="K30" s="109">
        <v>12</v>
      </c>
      <c r="L30" s="110">
        <v>12</v>
      </c>
      <c r="M30" s="59">
        <v>0</v>
      </c>
      <c r="N30" s="59">
        <v>0</v>
      </c>
      <c r="O30" s="59">
        <v>0</v>
      </c>
      <c r="P30" s="59">
        <v>0</v>
      </c>
      <c r="Q30" s="59">
        <v>12</v>
      </c>
      <c r="R30" s="63">
        <v>0</v>
      </c>
      <c r="S30" s="99">
        <v>1200</v>
      </c>
      <c r="T30" s="99">
        <v>48</v>
      </c>
      <c r="U30" s="99">
        <v>24</v>
      </c>
      <c r="V30" s="99">
        <v>24</v>
      </c>
      <c r="W30" s="64">
        <v>0</v>
      </c>
      <c r="X30" s="64">
        <v>0</v>
      </c>
      <c r="Y30" s="64">
        <v>0</v>
      </c>
      <c r="Z30" s="64">
        <v>0</v>
      </c>
      <c r="AA30" s="65" t="s">
        <v>165</v>
      </c>
    </row>
    <row r="31" spans="1:27" s="65" customFormat="1" ht="17.25" thickBot="1">
      <c r="A31" s="59">
        <v>1013</v>
      </c>
      <c r="B31" s="59" t="s">
        <v>182</v>
      </c>
      <c r="C31" s="59" t="s">
        <v>183</v>
      </c>
      <c r="D31" s="59">
        <v>10125</v>
      </c>
      <c r="E31" s="60">
        <v>3000000</v>
      </c>
      <c r="F31" s="59" t="s">
        <v>114</v>
      </c>
      <c r="G31" s="59">
        <v>16</v>
      </c>
      <c r="H31" s="61">
        <v>0</v>
      </c>
      <c r="I31" s="108">
        <v>650</v>
      </c>
      <c r="J31" s="109">
        <v>26</v>
      </c>
      <c r="K31" s="109">
        <v>13</v>
      </c>
      <c r="L31" s="110">
        <v>13</v>
      </c>
      <c r="M31" s="59">
        <v>0</v>
      </c>
      <c r="N31" s="59">
        <v>0</v>
      </c>
      <c r="O31" s="59">
        <v>0</v>
      </c>
      <c r="P31" s="59">
        <v>0</v>
      </c>
      <c r="Q31" s="59">
        <v>13</v>
      </c>
      <c r="R31" s="63">
        <v>0</v>
      </c>
      <c r="S31" s="99">
        <v>1200</v>
      </c>
      <c r="T31" s="99">
        <v>48</v>
      </c>
      <c r="U31" s="99">
        <v>24</v>
      </c>
      <c r="V31" s="99">
        <v>24</v>
      </c>
      <c r="W31" s="64">
        <v>0</v>
      </c>
      <c r="X31" s="64">
        <v>0</v>
      </c>
      <c r="Y31" s="64">
        <v>0</v>
      </c>
      <c r="Z31" s="64">
        <v>0</v>
      </c>
      <c r="AA31" s="65" t="s">
        <v>165</v>
      </c>
    </row>
    <row r="32" spans="1:27" s="65" customFormat="1" ht="17.25" thickBot="1">
      <c r="A32" s="59">
        <v>1014</v>
      </c>
      <c r="B32" s="59" t="s">
        <v>184</v>
      </c>
      <c r="C32" s="59" t="s">
        <v>185</v>
      </c>
      <c r="D32" s="59">
        <v>10135</v>
      </c>
      <c r="E32" s="60">
        <v>4000000</v>
      </c>
      <c r="F32" s="59" t="s">
        <v>197</v>
      </c>
      <c r="G32" s="59">
        <v>20</v>
      </c>
      <c r="H32" s="61">
        <v>0</v>
      </c>
      <c r="I32" s="108">
        <v>700</v>
      </c>
      <c r="J32" s="109">
        <v>28</v>
      </c>
      <c r="K32" s="109">
        <v>14</v>
      </c>
      <c r="L32" s="110">
        <v>14</v>
      </c>
      <c r="M32" s="59">
        <v>0</v>
      </c>
      <c r="N32" s="59">
        <v>0</v>
      </c>
      <c r="O32" s="59">
        <v>0</v>
      </c>
      <c r="P32" s="59">
        <v>0</v>
      </c>
      <c r="Q32" s="59">
        <v>14</v>
      </c>
      <c r="R32" s="63">
        <v>0</v>
      </c>
      <c r="S32" s="99">
        <v>1200</v>
      </c>
      <c r="T32" s="99">
        <v>48</v>
      </c>
      <c r="U32" s="99">
        <v>24</v>
      </c>
      <c r="V32" s="99">
        <v>24</v>
      </c>
      <c r="W32" s="64">
        <v>0</v>
      </c>
      <c r="X32" s="64">
        <v>0</v>
      </c>
      <c r="Y32" s="64">
        <v>0</v>
      </c>
      <c r="Z32" s="64">
        <v>0</v>
      </c>
      <c r="AA32" s="65" t="s">
        <v>165</v>
      </c>
    </row>
    <row r="33" spans="1:27" s="65" customFormat="1" ht="17.25" thickBot="1">
      <c r="A33" s="59">
        <v>1015</v>
      </c>
      <c r="B33" s="59" t="s">
        <v>186</v>
      </c>
      <c r="C33" s="59" t="s">
        <v>187</v>
      </c>
      <c r="D33" s="59">
        <v>10145</v>
      </c>
      <c r="E33" s="60">
        <v>5000000</v>
      </c>
      <c r="F33" s="59" t="s">
        <v>195</v>
      </c>
      <c r="G33" s="59">
        <v>20</v>
      </c>
      <c r="H33" s="61">
        <v>0</v>
      </c>
      <c r="I33" s="108">
        <v>750</v>
      </c>
      <c r="J33" s="109">
        <v>30</v>
      </c>
      <c r="K33" s="109">
        <v>15</v>
      </c>
      <c r="L33" s="110">
        <v>15</v>
      </c>
      <c r="M33" s="59">
        <v>0</v>
      </c>
      <c r="N33" s="59">
        <v>0</v>
      </c>
      <c r="O33" s="59">
        <v>0</v>
      </c>
      <c r="P33" s="59">
        <v>0</v>
      </c>
      <c r="Q33" s="59">
        <v>15</v>
      </c>
      <c r="R33" s="63">
        <v>0</v>
      </c>
      <c r="S33" s="99">
        <v>1200</v>
      </c>
      <c r="T33" s="99">
        <v>48</v>
      </c>
      <c r="U33" s="99">
        <v>24</v>
      </c>
      <c r="V33" s="99">
        <v>24</v>
      </c>
      <c r="W33" s="64">
        <v>0</v>
      </c>
      <c r="X33" s="64">
        <v>0</v>
      </c>
      <c r="Y33" s="64">
        <v>0</v>
      </c>
      <c r="Z33" s="64">
        <v>0</v>
      </c>
      <c r="AA33" s="65" t="s">
        <v>165</v>
      </c>
    </row>
    <row r="34" spans="1:27" s="52" customFormat="1">
      <c r="A34" s="47">
        <v>2001</v>
      </c>
      <c r="B34" s="47" t="s">
        <v>121</v>
      </c>
      <c r="C34" s="47" t="s">
        <v>33</v>
      </c>
      <c r="D34" s="47">
        <v>10001</v>
      </c>
      <c r="E34" s="47">
        <v>5000</v>
      </c>
      <c r="F34" s="47" t="s">
        <v>101</v>
      </c>
      <c r="G34" s="47">
        <v>0</v>
      </c>
      <c r="H34" s="48">
        <v>0</v>
      </c>
      <c r="I34" s="111">
        <v>75</v>
      </c>
      <c r="J34" s="112">
        <v>3</v>
      </c>
      <c r="K34" s="112">
        <v>2</v>
      </c>
      <c r="L34" s="113">
        <v>2</v>
      </c>
      <c r="M34" s="47">
        <v>0</v>
      </c>
      <c r="N34" s="47">
        <v>0</v>
      </c>
      <c r="O34" s="47">
        <v>0</v>
      </c>
      <c r="P34" s="47">
        <v>0</v>
      </c>
      <c r="Q34" s="47">
        <v>1</v>
      </c>
      <c r="R34" s="50">
        <v>0</v>
      </c>
      <c r="S34" s="100">
        <v>1800</v>
      </c>
      <c r="T34" s="100">
        <v>72</v>
      </c>
      <c r="U34" s="100">
        <v>36</v>
      </c>
      <c r="V34" s="100">
        <v>36</v>
      </c>
      <c r="W34" s="51">
        <v>0</v>
      </c>
      <c r="X34" s="51">
        <v>0</v>
      </c>
      <c r="Y34" s="51">
        <v>0</v>
      </c>
      <c r="Z34" s="51">
        <v>0</v>
      </c>
      <c r="AA34" s="52" t="s">
        <v>166</v>
      </c>
    </row>
    <row r="35" spans="1:27" s="52" customFormat="1">
      <c r="A35" s="47">
        <v>2002</v>
      </c>
      <c r="B35" s="47" t="s">
        <v>41</v>
      </c>
      <c r="C35" s="47" t="s">
        <v>34</v>
      </c>
      <c r="D35" s="47">
        <v>10015</v>
      </c>
      <c r="E35" s="47">
        <v>20000</v>
      </c>
      <c r="F35" s="47" t="s">
        <v>102</v>
      </c>
      <c r="G35" s="47">
        <v>0</v>
      </c>
      <c r="H35" s="48">
        <v>0</v>
      </c>
      <c r="I35" s="111">
        <v>150</v>
      </c>
      <c r="J35" s="112">
        <v>6</v>
      </c>
      <c r="K35" s="112">
        <v>3</v>
      </c>
      <c r="L35" s="113">
        <v>3</v>
      </c>
      <c r="M35" s="47">
        <v>0</v>
      </c>
      <c r="N35" s="47">
        <v>0</v>
      </c>
      <c r="O35" s="47">
        <v>0</v>
      </c>
      <c r="P35" s="47">
        <v>0</v>
      </c>
      <c r="Q35" s="47">
        <v>2</v>
      </c>
      <c r="R35" s="50">
        <v>0</v>
      </c>
      <c r="S35" s="100">
        <v>1800</v>
      </c>
      <c r="T35" s="100">
        <v>72</v>
      </c>
      <c r="U35" s="100">
        <v>36</v>
      </c>
      <c r="V35" s="100">
        <v>36</v>
      </c>
      <c r="W35" s="51">
        <v>0</v>
      </c>
      <c r="X35" s="51">
        <v>0</v>
      </c>
      <c r="Y35" s="51">
        <v>0</v>
      </c>
      <c r="Z35" s="51">
        <v>0</v>
      </c>
      <c r="AA35" s="52" t="s">
        <v>166</v>
      </c>
    </row>
    <row r="36" spans="1:27" s="52" customFormat="1">
      <c r="A36" s="47">
        <v>2003</v>
      </c>
      <c r="B36" s="47" t="s">
        <v>42</v>
      </c>
      <c r="C36" s="47" t="s">
        <v>35</v>
      </c>
      <c r="D36" s="47">
        <v>10025</v>
      </c>
      <c r="E36" s="47">
        <v>50000</v>
      </c>
      <c r="F36" s="47" t="s">
        <v>103</v>
      </c>
      <c r="G36" s="47">
        <v>1</v>
      </c>
      <c r="H36" s="48">
        <v>0</v>
      </c>
      <c r="I36" s="111">
        <v>225</v>
      </c>
      <c r="J36" s="112">
        <v>9</v>
      </c>
      <c r="K36" s="112">
        <v>5</v>
      </c>
      <c r="L36" s="113">
        <v>5</v>
      </c>
      <c r="M36" s="47">
        <v>0</v>
      </c>
      <c r="N36" s="47">
        <v>0</v>
      </c>
      <c r="O36" s="47">
        <v>0</v>
      </c>
      <c r="P36" s="47">
        <v>0</v>
      </c>
      <c r="Q36" s="47">
        <v>3</v>
      </c>
      <c r="R36" s="50">
        <v>0</v>
      </c>
      <c r="S36" s="100">
        <v>1800</v>
      </c>
      <c r="T36" s="100">
        <v>72</v>
      </c>
      <c r="U36" s="100">
        <v>36</v>
      </c>
      <c r="V36" s="100">
        <v>36</v>
      </c>
      <c r="W36" s="51">
        <v>0</v>
      </c>
      <c r="X36" s="51">
        <v>0</v>
      </c>
      <c r="Y36" s="51">
        <v>0</v>
      </c>
      <c r="Z36" s="51">
        <v>0</v>
      </c>
      <c r="AA36" s="52" t="s">
        <v>166</v>
      </c>
    </row>
    <row r="37" spans="1:27" s="52" customFormat="1">
      <c r="A37" s="47">
        <v>2004</v>
      </c>
      <c r="B37" s="47" t="s">
        <v>43</v>
      </c>
      <c r="C37" s="47" t="s">
        <v>36</v>
      </c>
      <c r="D37" s="47">
        <v>10035</v>
      </c>
      <c r="E37" s="47">
        <v>100000</v>
      </c>
      <c r="F37" s="47" t="s">
        <v>104</v>
      </c>
      <c r="G37" s="47">
        <v>1</v>
      </c>
      <c r="H37" s="48">
        <v>0</v>
      </c>
      <c r="I37" s="111">
        <v>300</v>
      </c>
      <c r="J37" s="112">
        <v>12</v>
      </c>
      <c r="K37" s="112">
        <v>6</v>
      </c>
      <c r="L37" s="113">
        <v>6</v>
      </c>
      <c r="M37" s="47">
        <v>0</v>
      </c>
      <c r="N37" s="47">
        <v>0</v>
      </c>
      <c r="O37" s="47">
        <v>0</v>
      </c>
      <c r="P37" s="47">
        <v>0</v>
      </c>
      <c r="Q37" s="47">
        <v>4</v>
      </c>
      <c r="R37" s="50">
        <v>0</v>
      </c>
      <c r="S37" s="100">
        <v>1800</v>
      </c>
      <c r="T37" s="100">
        <v>72</v>
      </c>
      <c r="U37" s="100">
        <v>36</v>
      </c>
      <c r="V37" s="100">
        <v>36</v>
      </c>
      <c r="W37" s="51">
        <v>0</v>
      </c>
      <c r="X37" s="51">
        <v>0</v>
      </c>
      <c r="Y37" s="51">
        <v>0</v>
      </c>
      <c r="Z37" s="51">
        <v>0</v>
      </c>
      <c r="AA37" s="52" t="s">
        <v>166</v>
      </c>
    </row>
    <row r="38" spans="1:27" s="52" customFormat="1">
      <c r="A38" s="47">
        <v>2005</v>
      </c>
      <c r="B38" s="47" t="s">
        <v>44</v>
      </c>
      <c r="C38" s="47" t="s">
        <v>37</v>
      </c>
      <c r="D38" s="47">
        <v>10045</v>
      </c>
      <c r="E38" s="47">
        <v>200000</v>
      </c>
      <c r="F38" s="47" t="s">
        <v>105</v>
      </c>
      <c r="G38" s="47">
        <v>2</v>
      </c>
      <c r="H38" s="48">
        <v>0</v>
      </c>
      <c r="I38" s="111">
        <v>375</v>
      </c>
      <c r="J38" s="112">
        <v>15</v>
      </c>
      <c r="K38" s="112">
        <v>8</v>
      </c>
      <c r="L38" s="113">
        <v>8</v>
      </c>
      <c r="M38" s="47">
        <v>0</v>
      </c>
      <c r="N38" s="47">
        <v>0</v>
      </c>
      <c r="O38" s="47">
        <v>0</v>
      </c>
      <c r="P38" s="47">
        <v>0</v>
      </c>
      <c r="Q38" s="47">
        <v>5</v>
      </c>
      <c r="R38" s="50">
        <v>0</v>
      </c>
      <c r="S38" s="100">
        <v>1800</v>
      </c>
      <c r="T38" s="100">
        <v>72</v>
      </c>
      <c r="U38" s="100">
        <v>36</v>
      </c>
      <c r="V38" s="100">
        <v>36</v>
      </c>
      <c r="W38" s="51">
        <v>0</v>
      </c>
      <c r="X38" s="51">
        <v>0</v>
      </c>
      <c r="Y38" s="51">
        <v>0</v>
      </c>
      <c r="Z38" s="51">
        <v>0</v>
      </c>
      <c r="AA38" s="52" t="s">
        <v>166</v>
      </c>
    </row>
    <row r="39" spans="1:27" s="52" customFormat="1">
      <c r="A39" s="47">
        <v>2006</v>
      </c>
      <c r="B39" s="47" t="s">
        <v>45</v>
      </c>
      <c r="C39" s="47" t="s">
        <v>38</v>
      </c>
      <c r="D39" s="47">
        <v>10055</v>
      </c>
      <c r="E39" s="47">
        <v>300000</v>
      </c>
      <c r="F39" s="47" t="s">
        <v>106</v>
      </c>
      <c r="G39" s="47">
        <v>2</v>
      </c>
      <c r="H39" s="48">
        <v>0</v>
      </c>
      <c r="I39" s="111">
        <v>450</v>
      </c>
      <c r="J39" s="112">
        <v>18</v>
      </c>
      <c r="K39" s="112">
        <v>9</v>
      </c>
      <c r="L39" s="113">
        <v>9</v>
      </c>
      <c r="M39" s="47">
        <v>0</v>
      </c>
      <c r="N39" s="47">
        <v>0</v>
      </c>
      <c r="O39" s="47">
        <v>0</v>
      </c>
      <c r="P39" s="47">
        <v>0</v>
      </c>
      <c r="Q39" s="47">
        <v>6</v>
      </c>
      <c r="R39" s="50">
        <v>0</v>
      </c>
      <c r="S39" s="100">
        <v>1800</v>
      </c>
      <c r="T39" s="100">
        <v>72</v>
      </c>
      <c r="U39" s="100">
        <v>36</v>
      </c>
      <c r="V39" s="100">
        <v>36</v>
      </c>
      <c r="W39" s="51">
        <v>0</v>
      </c>
      <c r="X39" s="51">
        <v>0</v>
      </c>
      <c r="Y39" s="51">
        <v>0</v>
      </c>
      <c r="Z39" s="51">
        <v>0</v>
      </c>
      <c r="AA39" s="52" t="s">
        <v>166</v>
      </c>
    </row>
    <row r="40" spans="1:27" s="52" customFormat="1">
      <c r="A40" s="47">
        <v>2007</v>
      </c>
      <c r="B40" s="47" t="s">
        <v>46</v>
      </c>
      <c r="C40" s="47" t="s">
        <v>39</v>
      </c>
      <c r="D40" s="47">
        <v>10065</v>
      </c>
      <c r="E40" s="47">
        <v>500000</v>
      </c>
      <c r="F40" s="47" t="s">
        <v>107</v>
      </c>
      <c r="G40" s="47">
        <v>4</v>
      </c>
      <c r="H40" s="48">
        <v>0</v>
      </c>
      <c r="I40" s="111">
        <v>525</v>
      </c>
      <c r="J40" s="112">
        <v>21</v>
      </c>
      <c r="K40" s="112">
        <v>11</v>
      </c>
      <c r="L40" s="113">
        <v>11</v>
      </c>
      <c r="M40" s="47">
        <v>0</v>
      </c>
      <c r="N40" s="47">
        <v>0</v>
      </c>
      <c r="O40" s="47">
        <v>0</v>
      </c>
      <c r="P40" s="47">
        <v>0</v>
      </c>
      <c r="Q40" s="47">
        <v>7</v>
      </c>
      <c r="R40" s="50">
        <v>0</v>
      </c>
      <c r="S40" s="100">
        <v>1800</v>
      </c>
      <c r="T40" s="100">
        <v>72</v>
      </c>
      <c r="U40" s="100">
        <v>36</v>
      </c>
      <c r="V40" s="100">
        <v>36</v>
      </c>
      <c r="W40" s="51">
        <v>0</v>
      </c>
      <c r="X40" s="51">
        <v>0</v>
      </c>
      <c r="Y40" s="51">
        <v>0</v>
      </c>
      <c r="Z40" s="51">
        <v>0</v>
      </c>
      <c r="AA40" s="52" t="s">
        <v>166</v>
      </c>
    </row>
    <row r="41" spans="1:27" s="52" customFormat="1">
      <c r="A41" s="47">
        <v>2008</v>
      </c>
      <c r="B41" s="47" t="s">
        <v>47</v>
      </c>
      <c r="C41" s="47" t="s">
        <v>40</v>
      </c>
      <c r="D41" s="47">
        <v>10075</v>
      </c>
      <c r="E41" s="47">
        <v>800000</v>
      </c>
      <c r="F41" s="47" t="s">
        <v>108</v>
      </c>
      <c r="G41" s="47">
        <v>6</v>
      </c>
      <c r="H41" s="48">
        <v>0</v>
      </c>
      <c r="I41" s="111">
        <v>600</v>
      </c>
      <c r="J41" s="112">
        <v>24</v>
      </c>
      <c r="K41" s="112">
        <v>12</v>
      </c>
      <c r="L41" s="113">
        <v>12</v>
      </c>
      <c r="M41" s="47">
        <v>0</v>
      </c>
      <c r="N41" s="47">
        <v>0</v>
      </c>
      <c r="O41" s="47">
        <v>0</v>
      </c>
      <c r="P41" s="47">
        <v>0</v>
      </c>
      <c r="Q41" s="47">
        <v>8</v>
      </c>
      <c r="R41" s="50">
        <v>0</v>
      </c>
      <c r="S41" s="100">
        <v>1800</v>
      </c>
      <c r="T41" s="100">
        <v>72</v>
      </c>
      <c r="U41" s="100">
        <v>36</v>
      </c>
      <c r="V41" s="100">
        <v>36</v>
      </c>
      <c r="W41" s="51">
        <v>0</v>
      </c>
      <c r="X41" s="51">
        <v>0</v>
      </c>
      <c r="Y41" s="51">
        <v>0</v>
      </c>
      <c r="Z41" s="51">
        <v>0</v>
      </c>
      <c r="AA41" s="52" t="s">
        <v>166</v>
      </c>
    </row>
    <row r="42" spans="1:27" s="52" customFormat="1">
      <c r="A42" s="47">
        <v>2009</v>
      </c>
      <c r="B42" s="47" t="s">
        <v>69</v>
      </c>
      <c r="C42" s="47" t="s">
        <v>32</v>
      </c>
      <c r="D42" s="47">
        <v>10085</v>
      </c>
      <c r="E42" s="47">
        <v>1200000</v>
      </c>
      <c r="F42" s="47" t="s">
        <v>109</v>
      </c>
      <c r="G42" s="47">
        <v>8</v>
      </c>
      <c r="H42" s="48">
        <v>0</v>
      </c>
      <c r="I42" s="111">
        <v>675</v>
      </c>
      <c r="J42" s="112">
        <v>27</v>
      </c>
      <c r="K42" s="112">
        <v>14</v>
      </c>
      <c r="L42" s="113">
        <v>14</v>
      </c>
      <c r="M42" s="47">
        <v>0</v>
      </c>
      <c r="N42" s="47">
        <v>0</v>
      </c>
      <c r="O42" s="47">
        <v>0</v>
      </c>
      <c r="P42" s="47">
        <v>0</v>
      </c>
      <c r="Q42" s="47">
        <v>9</v>
      </c>
      <c r="R42" s="50">
        <v>0</v>
      </c>
      <c r="S42" s="100">
        <v>1800</v>
      </c>
      <c r="T42" s="100">
        <v>72</v>
      </c>
      <c r="U42" s="100">
        <v>36</v>
      </c>
      <c r="V42" s="100">
        <v>36</v>
      </c>
      <c r="W42" s="51">
        <v>0</v>
      </c>
      <c r="X42" s="51">
        <v>0</v>
      </c>
      <c r="Y42" s="51">
        <v>0</v>
      </c>
      <c r="Z42" s="51">
        <v>0</v>
      </c>
      <c r="AA42" s="52" t="s">
        <v>166</v>
      </c>
    </row>
    <row r="43" spans="1:27" s="52" customFormat="1">
      <c r="A43" s="47">
        <v>2010</v>
      </c>
      <c r="B43" s="47" t="s">
        <v>71</v>
      </c>
      <c r="C43" s="47" t="s">
        <v>31</v>
      </c>
      <c r="D43" s="47">
        <v>10095</v>
      </c>
      <c r="E43" s="47">
        <v>1600000</v>
      </c>
      <c r="F43" s="47" t="s">
        <v>110</v>
      </c>
      <c r="G43" s="47">
        <v>10</v>
      </c>
      <c r="H43" s="48">
        <v>0</v>
      </c>
      <c r="I43" s="111">
        <v>750</v>
      </c>
      <c r="J43" s="112">
        <v>30</v>
      </c>
      <c r="K43" s="112">
        <v>15</v>
      </c>
      <c r="L43" s="113">
        <v>15</v>
      </c>
      <c r="M43" s="47">
        <v>0</v>
      </c>
      <c r="N43" s="47">
        <v>0</v>
      </c>
      <c r="O43" s="47">
        <v>0</v>
      </c>
      <c r="P43" s="47">
        <v>0</v>
      </c>
      <c r="Q43" s="47">
        <v>10</v>
      </c>
      <c r="R43" s="50">
        <v>0</v>
      </c>
      <c r="S43" s="100">
        <v>1800</v>
      </c>
      <c r="T43" s="100">
        <v>72</v>
      </c>
      <c r="U43" s="100">
        <v>36</v>
      </c>
      <c r="V43" s="100">
        <v>36</v>
      </c>
      <c r="W43" s="51">
        <v>0</v>
      </c>
      <c r="X43" s="51">
        <v>0</v>
      </c>
      <c r="Y43" s="51">
        <v>0</v>
      </c>
      <c r="Z43" s="51">
        <v>0</v>
      </c>
      <c r="AA43" s="52" t="s">
        <v>166</v>
      </c>
    </row>
    <row r="44" spans="1:27" s="52" customFormat="1">
      <c r="A44" s="47">
        <v>2011</v>
      </c>
      <c r="B44" s="47" t="s">
        <v>73</v>
      </c>
      <c r="C44" s="47" t="s">
        <v>74</v>
      </c>
      <c r="D44" s="47">
        <v>10105</v>
      </c>
      <c r="E44" s="47">
        <v>2000000</v>
      </c>
      <c r="F44" s="47" t="s">
        <v>90</v>
      </c>
      <c r="G44" s="47">
        <v>12</v>
      </c>
      <c r="H44" s="48">
        <v>0</v>
      </c>
      <c r="I44" s="111">
        <v>825</v>
      </c>
      <c r="J44" s="112">
        <v>33</v>
      </c>
      <c r="K44" s="112">
        <v>17</v>
      </c>
      <c r="L44" s="113">
        <v>17</v>
      </c>
      <c r="M44" s="47">
        <v>0</v>
      </c>
      <c r="N44" s="47">
        <v>0</v>
      </c>
      <c r="O44" s="47">
        <v>0</v>
      </c>
      <c r="P44" s="47">
        <v>0</v>
      </c>
      <c r="Q44" s="47">
        <v>11</v>
      </c>
      <c r="R44" s="50">
        <v>0</v>
      </c>
      <c r="S44" s="100">
        <v>1800</v>
      </c>
      <c r="T44" s="100">
        <v>72</v>
      </c>
      <c r="U44" s="100">
        <v>36</v>
      </c>
      <c r="V44" s="100">
        <v>36</v>
      </c>
      <c r="W44" s="51">
        <v>0</v>
      </c>
      <c r="X44" s="51">
        <v>0</v>
      </c>
      <c r="Y44" s="51">
        <v>0</v>
      </c>
      <c r="Z44" s="51">
        <v>0</v>
      </c>
      <c r="AA44" s="52" t="s">
        <v>166</v>
      </c>
    </row>
    <row r="45" spans="1:27" s="52" customFormat="1">
      <c r="A45" s="47">
        <v>2012</v>
      </c>
      <c r="B45" s="47" t="s">
        <v>75</v>
      </c>
      <c r="C45" s="47" t="s">
        <v>76</v>
      </c>
      <c r="D45" s="47">
        <v>10115</v>
      </c>
      <c r="E45" s="47">
        <v>2500000</v>
      </c>
      <c r="F45" s="47" t="s">
        <v>111</v>
      </c>
      <c r="G45" s="47">
        <v>14</v>
      </c>
      <c r="H45" s="48">
        <v>0</v>
      </c>
      <c r="I45" s="111">
        <v>900</v>
      </c>
      <c r="J45" s="112">
        <v>36</v>
      </c>
      <c r="K45" s="112">
        <v>18</v>
      </c>
      <c r="L45" s="113">
        <v>18</v>
      </c>
      <c r="M45" s="47">
        <v>0</v>
      </c>
      <c r="N45" s="47">
        <v>0</v>
      </c>
      <c r="O45" s="47">
        <v>0</v>
      </c>
      <c r="P45" s="47">
        <v>0</v>
      </c>
      <c r="Q45" s="47">
        <v>12</v>
      </c>
      <c r="R45" s="50">
        <v>0</v>
      </c>
      <c r="S45" s="100">
        <v>1800</v>
      </c>
      <c r="T45" s="100">
        <v>72</v>
      </c>
      <c r="U45" s="100">
        <v>36</v>
      </c>
      <c r="V45" s="100">
        <v>36</v>
      </c>
      <c r="W45" s="51">
        <v>0</v>
      </c>
      <c r="X45" s="51">
        <v>0</v>
      </c>
      <c r="Y45" s="51">
        <v>0</v>
      </c>
      <c r="Z45" s="51">
        <v>0</v>
      </c>
      <c r="AA45" s="52" t="s">
        <v>166</v>
      </c>
    </row>
    <row r="46" spans="1:27" s="52" customFormat="1">
      <c r="A46" s="47">
        <v>2013</v>
      </c>
      <c r="B46" s="47" t="s">
        <v>182</v>
      </c>
      <c r="C46" s="47" t="s">
        <v>183</v>
      </c>
      <c r="D46" s="47">
        <v>10125</v>
      </c>
      <c r="E46" s="47">
        <v>3000000</v>
      </c>
      <c r="F46" s="47" t="s">
        <v>114</v>
      </c>
      <c r="G46" s="47">
        <v>16</v>
      </c>
      <c r="H46" s="48">
        <v>0</v>
      </c>
      <c r="I46" s="111">
        <v>975</v>
      </c>
      <c r="J46" s="112">
        <v>39</v>
      </c>
      <c r="K46" s="112">
        <v>20</v>
      </c>
      <c r="L46" s="113">
        <v>20</v>
      </c>
      <c r="M46" s="47">
        <v>0</v>
      </c>
      <c r="N46" s="47">
        <v>0</v>
      </c>
      <c r="O46" s="47">
        <v>0</v>
      </c>
      <c r="P46" s="47">
        <v>0</v>
      </c>
      <c r="Q46" s="47">
        <v>13</v>
      </c>
      <c r="R46" s="50">
        <v>0</v>
      </c>
      <c r="S46" s="100">
        <v>1800</v>
      </c>
      <c r="T46" s="100">
        <v>72</v>
      </c>
      <c r="U46" s="100">
        <v>36</v>
      </c>
      <c r="V46" s="100">
        <v>36</v>
      </c>
      <c r="W46" s="51">
        <v>0</v>
      </c>
      <c r="X46" s="51">
        <v>0</v>
      </c>
      <c r="Y46" s="51">
        <v>0</v>
      </c>
      <c r="Z46" s="51">
        <v>0</v>
      </c>
      <c r="AA46" s="52" t="s">
        <v>166</v>
      </c>
    </row>
    <row r="47" spans="1:27" s="52" customFormat="1">
      <c r="A47" s="47">
        <v>2014</v>
      </c>
      <c r="B47" s="47" t="s">
        <v>184</v>
      </c>
      <c r="C47" s="47" t="s">
        <v>185</v>
      </c>
      <c r="D47" s="47">
        <v>10135</v>
      </c>
      <c r="E47" s="47">
        <v>4000000</v>
      </c>
      <c r="F47" s="47" t="s">
        <v>197</v>
      </c>
      <c r="G47" s="47">
        <v>20</v>
      </c>
      <c r="H47" s="48">
        <v>0</v>
      </c>
      <c r="I47" s="111">
        <v>1050</v>
      </c>
      <c r="J47" s="112">
        <v>42</v>
      </c>
      <c r="K47" s="112">
        <v>21</v>
      </c>
      <c r="L47" s="113">
        <v>21</v>
      </c>
      <c r="M47" s="47">
        <v>0</v>
      </c>
      <c r="N47" s="47">
        <v>0</v>
      </c>
      <c r="O47" s="47">
        <v>0</v>
      </c>
      <c r="P47" s="47">
        <v>0</v>
      </c>
      <c r="Q47" s="47">
        <v>14</v>
      </c>
      <c r="R47" s="50">
        <v>0</v>
      </c>
      <c r="S47" s="100">
        <v>1800</v>
      </c>
      <c r="T47" s="100">
        <v>72</v>
      </c>
      <c r="U47" s="100">
        <v>36</v>
      </c>
      <c r="V47" s="100">
        <v>36</v>
      </c>
      <c r="W47" s="51">
        <v>0</v>
      </c>
      <c r="X47" s="51">
        <v>0</v>
      </c>
      <c r="Y47" s="51">
        <v>0</v>
      </c>
      <c r="Z47" s="51">
        <v>0</v>
      </c>
      <c r="AA47" s="52" t="s">
        <v>166</v>
      </c>
    </row>
    <row r="48" spans="1:27" s="52" customFormat="1">
      <c r="A48" s="47">
        <v>2015</v>
      </c>
      <c r="B48" s="47" t="s">
        <v>186</v>
      </c>
      <c r="C48" s="47" t="s">
        <v>187</v>
      </c>
      <c r="D48" s="47">
        <v>10145</v>
      </c>
      <c r="E48" s="47">
        <v>5000000</v>
      </c>
      <c r="F48" s="47" t="s">
        <v>195</v>
      </c>
      <c r="G48" s="47">
        <v>20</v>
      </c>
      <c r="H48" s="48">
        <v>0</v>
      </c>
      <c r="I48" s="111">
        <v>1125</v>
      </c>
      <c r="J48" s="112">
        <v>45</v>
      </c>
      <c r="K48" s="112">
        <v>23</v>
      </c>
      <c r="L48" s="113">
        <v>23</v>
      </c>
      <c r="M48" s="47">
        <v>0</v>
      </c>
      <c r="N48" s="47">
        <v>0</v>
      </c>
      <c r="O48" s="47">
        <v>0</v>
      </c>
      <c r="P48" s="47">
        <v>0</v>
      </c>
      <c r="Q48" s="47">
        <v>15</v>
      </c>
      <c r="R48" s="50">
        <v>0</v>
      </c>
      <c r="S48" s="100">
        <v>1800</v>
      </c>
      <c r="T48" s="100">
        <v>72</v>
      </c>
      <c r="U48" s="100">
        <v>36</v>
      </c>
      <c r="V48" s="100">
        <v>36</v>
      </c>
      <c r="W48" s="51">
        <v>0</v>
      </c>
      <c r="X48" s="51">
        <v>0</v>
      </c>
      <c r="Y48" s="51">
        <v>0</v>
      </c>
      <c r="Z48" s="51">
        <v>0</v>
      </c>
      <c r="AA48" s="52" t="s">
        <v>166</v>
      </c>
    </row>
    <row r="49" spans="1:27" s="58" customFormat="1">
      <c r="A49" s="53">
        <v>3001</v>
      </c>
      <c r="B49" s="53" t="s">
        <v>121</v>
      </c>
      <c r="C49" s="53" t="s">
        <v>33</v>
      </c>
      <c r="D49" s="53">
        <v>10001</v>
      </c>
      <c r="E49" s="53">
        <v>5000</v>
      </c>
      <c r="F49" s="53" t="s">
        <v>101</v>
      </c>
      <c r="G49" s="53">
        <v>0</v>
      </c>
      <c r="H49" s="54">
        <v>0</v>
      </c>
      <c r="I49" s="114">
        <v>100</v>
      </c>
      <c r="J49" s="115">
        <v>4</v>
      </c>
      <c r="K49" s="115">
        <v>2</v>
      </c>
      <c r="L49" s="116">
        <v>2</v>
      </c>
      <c r="M49" s="53">
        <v>0</v>
      </c>
      <c r="N49" s="53">
        <v>0</v>
      </c>
      <c r="O49" s="53">
        <v>0</v>
      </c>
      <c r="P49" s="53">
        <v>0</v>
      </c>
      <c r="Q49" s="53">
        <v>1</v>
      </c>
      <c r="R49" s="56">
        <v>0</v>
      </c>
      <c r="S49" s="101">
        <v>2400</v>
      </c>
      <c r="T49" s="101">
        <v>96</v>
      </c>
      <c r="U49" s="101">
        <v>48</v>
      </c>
      <c r="V49" s="101">
        <v>48</v>
      </c>
      <c r="W49" s="57">
        <v>0</v>
      </c>
      <c r="X49" s="57">
        <v>0</v>
      </c>
      <c r="Y49" s="57">
        <v>0</v>
      </c>
      <c r="Z49" s="57">
        <v>0</v>
      </c>
      <c r="AA49" s="58" t="s">
        <v>167</v>
      </c>
    </row>
    <row r="50" spans="1:27" s="58" customFormat="1">
      <c r="A50" s="53">
        <v>3002</v>
      </c>
      <c r="B50" s="53" t="s">
        <v>41</v>
      </c>
      <c r="C50" s="53" t="s">
        <v>34</v>
      </c>
      <c r="D50" s="53">
        <v>10015</v>
      </c>
      <c r="E50" s="53">
        <v>20000</v>
      </c>
      <c r="F50" s="53" t="s">
        <v>102</v>
      </c>
      <c r="G50" s="53">
        <v>0</v>
      </c>
      <c r="H50" s="54">
        <v>0</v>
      </c>
      <c r="I50" s="114">
        <v>200</v>
      </c>
      <c r="J50" s="115">
        <v>8</v>
      </c>
      <c r="K50" s="115">
        <v>4</v>
      </c>
      <c r="L50" s="116">
        <v>4</v>
      </c>
      <c r="M50" s="53">
        <v>0</v>
      </c>
      <c r="N50" s="53">
        <v>0</v>
      </c>
      <c r="O50" s="53">
        <v>0</v>
      </c>
      <c r="P50" s="53">
        <v>0</v>
      </c>
      <c r="Q50" s="53">
        <v>2</v>
      </c>
      <c r="R50" s="56">
        <v>0</v>
      </c>
      <c r="S50" s="101">
        <v>2400</v>
      </c>
      <c r="T50" s="101">
        <v>96</v>
      </c>
      <c r="U50" s="101">
        <v>48</v>
      </c>
      <c r="V50" s="101">
        <v>48</v>
      </c>
      <c r="W50" s="57">
        <v>0</v>
      </c>
      <c r="X50" s="57">
        <v>0</v>
      </c>
      <c r="Y50" s="57">
        <v>0</v>
      </c>
      <c r="Z50" s="57">
        <v>0</v>
      </c>
      <c r="AA50" s="58" t="s">
        <v>167</v>
      </c>
    </row>
    <row r="51" spans="1:27" s="58" customFormat="1">
      <c r="A51" s="53">
        <v>3003</v>
      </c>
      <c r="B51" s="53" t="s">
        <v>42</v>
      </c>
      <c r="C51" s="53" t="s">
        <v>35</v>
      </c>
      <c r="D51" s="53">
        <v>10025</v>
      </c>
      <c r="E51" s="53">
        <v>50000</v>
      </c>
      <c r="F51" s="53" t="s">
        <v>103</v>
      </c>
      <c r="G51" s="53">
        <v>1</v>
      </c>
      <c r="H51" s="54">
        <v>0</v>
      </c>
      <c r="I51" s="114">
        <v>300</v>
      </c>
      <c r="J51" s="115">
        <v>12</v>
      </c>
      <c r="K51" s="115">
        <v>6</v>
      </c>
      <c r="L51" s="116">
        <v>6</v>
      </c>
      <c r="M51" s="53">
        <v>0</v>
      </c>
      <c r="N51" s="53">
        <v>0</v>
      </c>
      <c r="O51" s="53">
        <v>0</v>
      </c>
      <c r="P51" s="53">
        <v>0</v>
      </c>
      <c r="Q51" s="53">
        <v>3</v>
      </c>
      <c r="R51" s="56">
        <v>0</v>
      </c>
      <c r="S51" s="101">
        <v>2400</v>
      </c>
      <c r="T51" s="101">
        <v>96</v>
      </c>
      <c r="U51" s="101">
        <v>48</v>
      </c>
      <c r="V51" s="101">
        <v>48</v>
      </c>
      <c r="W51" s="57">
        <v>0</v>
      </c>
      <c r="X51" s="57">
        <v>0</v>
      </c>
      <c r="Y51" s="57">
        <v>0</v>
      </c>
      <c r="Z51" s="57">
        <v>0</v>
      </c>
      <c r="AA51" s="58" t="s">
        <v>167</v>
      </c>
    </row>
    <row r="52" spans="1:27" s="58" customFormat="1">
      <c r="A52" s="53">
        <v>3004</v>
      </c>
      <c r="B52" s="53" t="s">
        <v>43</v>
      </c>
      <c r="C52" s="53" t="s">
        <v>36</v>
      </c>
      <c r="D52" s="53">
        <v>10035</v>
      </c>
      <c r="E52" s="53">
        <v>100000</v>
      </c>
      <c r="F52" s="53" t="s">
        <v>104</v>
      </c>
      <c r="G52" s="53">
        <v>1</v>
      </c>
      <c r="H52" s="54">
        <v>0</v>
      </c>
      <c r="I52" s="114">
        <v>400</v>
      </c>
      <c r="J52" s="115">
        <v>16</v>
      </c>
      <c r="K52" s="115">
        <v>8</v>
      </c>
      <c r="L52" s="116">
        <v>8</v>
      </c>
      <c r="M52" s="53">
        <v>0</v>
      </c>
      <c r="N52" s="53">
        <v>0</v>
      </c>
      <c r="O52" s="53">
        <v>0</v>
      </c>
      <c r="P52" s="53">
        <v>0</v>
      </c>
      <c r="Q52" s="53">
        <v>4</v>
      </c>
      <c r="R52" s="56">
        <v>0</v>
      </c>
      <c r="S52" s="101">
        <v>2400</v>
      </c>
      <c r="T52" s="101">
        <v>96</v>
      </c>
      <c r="U52" s="101">
        <v>48</v>
      </c>
      <c r="V52" s="101">
        <v>48</v>
      </c>
      <c r="W52" s="57">
        <v>0</v>
      </c>
      <c r="X52" s="57">
        <v>0</v>
      </c>
      <c r="Y52" s="57">
        <v>0</v>
      </c>
      <c r="Z52" s="57">
        <v>0</v>
      </c>
      <c r="AA52" s="58" t="s">
        <v>167</v>
      </c>
    </row>
    <row r="53" spans="1:27" s="58" customFormat="1">
      <c r="A53" s="53">
        <v>3005</v>
      </c>
      <c r="B53" s="53" t="s">
        <v>44</v>
      </c>
      <c r="C53" s="53" t="s">
        <v>37</v>
      </c>
      <c r="D53" s="53">
        <v>10045</v>
      </c>
      <c r="E53" s="53">
        <v>200000</v>
      </c>
      <c r="F53" s="53" t="s">
        <v>105</v>
      </c>
      <c r="G53" s="53">
        <v>2</v>
      </c>
      <c r="H53" s="54">
        <v>0</v>
      </c>
      <c r="I53" s="114">
        <v>500</v>
      </c>
      <c r="J53" s="115">
        <v>20</v>
      </c>
      <c r="K53" s="115">
        <v>10</v>
      </c>
      <c r="L53" s="116">
        <v>10</v>
      </c>
      <c r="M53" s="53">
        <v>0</v>
      </c>
      <c r="N53" s="53">
        <v>0</v>
      </c>
      <c r="O53" s="53">
        <v>0</v>
      </c>
      <c r="P53" s="53">
        <v>0</v>
      </c>
      <c r="Q53" s="53">
        <v>5</v>
      </c>
      <c r="R53" s="56">
        <v>0</v>
      </c>
      <c r="S53" s="101">
        <v>2400</v>
      </c>
      <c r="T53" s="101">
        <v>96</v>
      </c>
      <c r="U53" s="101">
        <v>48</v>
      </c>
      <c r="V53" s="101">
        <v>48</v>
      </c>
      <c r="W53" s="57">
        <v>0</v>
      </c>
      <c r="X53" s="57">
        <v>0</v>
      </c>
      <c r="Y53" s="57">
        <v>0</v>
      </c>
      <c r="Z53" s="57">
        <v>0</v>
      </c>
      <c r="AA53" s="58" t="s">
        <v>167</v>
      </c>
    </row>
    <row r="54" spans="1:27" s="58" customFormat="1">
      <c r="A54" s="53">
        <v>3006</v>
      </c>
      <c r="B54" s="53" t="s">
        <v>45</v>
      </c>
      <c r="C54" s="53" t="s">
        <v>38</v>
      </c>
      <c r="D54" s="53">
        <v>10055</v>
      </c>
      <c r="E54" s="53">
        <v>300000</v>
      </c>
      <c r="F54" s="53" t="s">
        <v>106</v>
      </c>
      <c r="G54" s="53">
        <v>2</v>
      </c>
      <c r="H54" s="54">
        <v>0</v>
      </c>
      <c r="I54" s="114">
        <v>600</v>
      </c>
      <c r="J54" s="115">
        <v>24</v>
      </c>
      <c r="K54" s="115">
        <v>12</v>
      </c>
      <c r="L54" s="116">
        <v>12</v>
      </c>
      <c r="M54" s="53">
        <v>0</v>
      </c>
      <c r="N54" s="53">
        <v>0</v>
      </c>
      <c r="O54" s="53">
        <v>0</v>
      </c>
      <c r="P54" s="53">
        <v>0</v>
      </c>
      <c r="Q54" s="53">
        <v>6</v>
      </c>
      <c r="R54" s="56">
        <v>0</v>
      </c>
      <c r="S54" s="101">
        <v>2400</v>
      </c>
      <c r="T54" s="101">
        <v>96</v>
      </c>
      <c r="U54" s="101">
        <v>48</v>
      </c>
      <c r="V54" s="101">
        <v>48</v>
      </c>
      <c r="W54" s="57">
        <v>0</v>
      </c>
      <c r="X54" s="57">
        <v>0</v>
      </c>
      <c r="Y54" s="57">
        <v>0</v>
      </c>
      <c r="Z54" s="57">
        <v>0</v>
      </c>
      <c r="AA54" s="58" t="s">
        <v>167</v>
      </c>
    </row>
    <row r="55" spans="1:27" s="58" customFormat="1">
      <c r="A55" s="53">
        <v>3007</v>
      </c>
      <c r="B55" s="53" t="s">
        <v>46</v>
      </c>
      <c r="C55" s="53" t="s">
        <v>39</v>
      </c>
      <c r="D55" s="53">
        <v>10065</v>
      </c>
      <c r="E55" s="53">
        <v>500000</v>
      </c>
      <c r="F55" s="53" t="s">
        <v>107</v>
      </c>
      <c r="G55" s="53">
        <v>4</v>
      </c>
      <c r="H55" s="54">
        <v>0</v>
      </c>
      <c r="I55" s="114">
        <v>700</v>
      </c>
      <c r="J55" s="115">
        <v>28</v>
      </c>
      <c r="K55" s="115">
        <v>14</v>
      </c>
      <c r="L55" s="116">
        <v>14</v>
      </c>
      <c r="M55" s="53">
        <v>0</v>
      </c>
      <c r="N55" s="53">
        <v>0</v>
      </c>
      <c r="O55" s="53">
        <v>0</v>
      </c>
      <c r="P55" s="53">
        <v>0</v>
      </c>
      <c r="Q55" s="53">
        <v>7</v>
      </c>
      <c r="R55" s="56">
        <v>0</v>
      </c>
      <c r="S55" s="101">
        <v>2400</v>
      </c>
      <c r="T55" s="101">
        <v>96</v>
      </c>
      <c r="U55" s="101">
        <v>48</v>
      </c>
      <c r="V55" s="101">
        <v>48</v>
      </c>
      <c r="W55" s="57">
        <v>0</v>
      </c>
      <c r="X55" s="57">
        <v>0</v>
      </c>
      <c r="Y55" s="57">
        <v>0</v>
      </c>
      <c r="Z55" s="57">
        <v>0</v>
      </c>
      <c r="AA55" s="58" t="s">
        <v>167</v>
      </c>
    </row>
    <row r="56" spans="1:27" s="58" customFormat="1">
      <c r="A56" s="53">
        <v>3008</v>
      </c>
      <c r="B56" s="53" t="s">
        <v>47</v>
      </c>
      <c r="C56" s="53" t="s">
        <v>40</v>
      </c>
      <c r="D56" s="53">
        <v>10075</v>
      </c>
      <c r="E56" s="53">
        <v>800000</v>
      </c>
      <c r="F56" s="53" t="s">
        <v>108</v>
      </c>
      <c r="G56" s="53">
        <v>6</v>
      </c>
      <c r="H56" s="54">
        <v>0</v>
      </c>
      <c r="I56" s="114">
        <v>800</v>
      </c>
      <c r="J56" s="115">
        <v>32</v>
      </c>
      <c r="K56" s="115">
        <v>16</v>
      </c>
      <c r="L56" s="116">
        <v>16</v>
      </c>
      <c r="M56" s="53">
        <v>0</v>
      </c>
      <c r="N56" s="53">
        <v>0</v>
      </c>
      <c r="O56" s="53">
        <v>0</v>
      </c>
      <c r="P56" s="53">
        <v>0</v>
      </c>
      <c r="Q56" s="53">
        <v>8</v>
      </c>
      <c r="R56" s="56">
        <v>0</v>
      </c>
      <c r="S56" s="101">
        <v>2400</v>
      </c>
      <c r="T56" s="101">
        <v>96</v>
      </c>
      <c r="U56" s="101">
        <v>48</v>
      </c>
      <c r="V56" s="101">
        <v>48</v>
      </c>
      <c r="W56" s="57">
        <v>0</v>
      </c>
      <c r="X56" s="57">
        <v>0</v>
      </c>
      <c r="Y56" s="57">
        <v>0</v>
      </c>
      <c r="Z56" s="57">
        <v>0</v>
      </c>
      <c r="AA56" s="58" t="s">
        <v>167</v>
      </c>
    </row>
    <row r="57" spans="1:27" s="58" customFormat="1">
      <c r="A57" s="53">
        <v>3009</v>
      </c>
      <c r="B57" s="53" t="s">
        <v>69</v>
      </c>
      <c r="C57" s="53" t="s">
        <v>32</v>
      </c>
      <c r="D57" s="53">
        <v>10085</v>
      </c>
      <c r="E57" s="53">
        <v>1200000</v>
      </c>
      <c r="F57" s="53" t="s">
        <v>109</v>
      </c>
      <c r="G57" s="53">
        <v>8</v>
      </c>
      <c r="H57" s="54">
        <v>0</v>
      </c>
      <c r="I57" s="114">
        <v>900</v>
      </c>
      <c r="J57" s="115">
        <v>36</v>
      </c>
      <c r="K57" s="115">
        <v>18</v>
      </c>
      <c r="L57" s="116">
        <v>18</v>
      </c>
      <c r="M57" s="53">
        <v>0</v>
      </c>
      <c r="N57" s="53">
        <v>0</v>
      </c>
      <c r="O57" s="53">
        <v>0</v>
      </c>
      <c r="P57" s="53">
        <v>0</v>
      </c>
      <c r="Q57" s="53">
        <v>9</v>
      </c>
      <c r="R57" s="56">
        <v>0</v>
      </c>
      <c r="S57" s="101">
        <v>2400</v>
      </c>
      <c r="T57" s="101">
        <v>96</v>
      </c>
      <c r="U57" s="101">
        <v>48</v>
      </c>
      <c r="V57" s="101">
        <v>48</v>
      </c>
      <c r="W57" s="57">
        <v>0</v>
      </c>
      <c r="X57" s="57">
        <v>0</v>
      </c>
      <c r="Y57" s="57">
        <v>0</v>
      </c>
      <c r="Z57" s="57">
        <v>0</v>
      </c>
      <c r="AA57" s="58" t="s">
        <v>167</v>
      </c>
    </row>
    <row r="58" spans="1:27" s="58" customFormat="1">
      <c r="A58" s="53">
        <v>3010</v>
      </c>
      <c r="B58" s="53" t="s">
        <v>71</v>
      </c>
      <c r="C58" s="53" t="s">
        <v>31</v>
      </c>
      <c r="D58" s="53">
        <v>10095</v>
      </c>
      <c r="E58" s="53">
        <v>1600000</v>
      </c>
      <c r="F58" s="53" t="s">
        <v>110</v>
      </c>
      <c r="G58" s="53">
        <v>10</v>
      </c>
      <c r="H58" s="54">
        <v>0</v>
      </c>
      <c r="I58" s="114">
        <v>1000</v>
      </c>
      <c r="J58" s="115">
        <v>40</v>
      </c>
      <c r="K58" s="115">
        <v>20</v>
      </c>
      <c r="L58" s="116">
        <v>20</v>
      </c>
      <c r="M58" s="53">
        <v>0</v>
      </c>
      <c r="N58" s="53">
        <v>0</v>
      </c>
      <c r="O58" s="53">
        <v>0</v>
      </c>
      <c r="P58" s="53">
        <v>0</v>
      </c>
      <c r="Q58" s="53">
        <v>10</v>
      </c>
      <c r="R58" s="56">
        <v>0</v>
      </c>
      <c r="S58" s="101">
        <v>2400</v>
      </c>
      <c r="T58" s="101">
        <v>96</v>
      </c>
      <c r="U58" s="101">
        <v>48</v>
      </c>
      <c r="V58" s="101">
        <v>48</v>
      </c>
      <c r="W58" s="57">
        <v>0</v>
      </c>
      <c r="X58" s="57">
        <v>0</v>
      </c>
      <c r="Y58" s="57">
        <v>0</v>
      </c>
      <c r="Z58" s="57">
        <v>0</v>
      </c>
      <c r="AA58" s="58" t="s">
        <v>167</v>
      </c>
    </row>
    <row r="59" spans="1:27" s="58" customFormat="1">
      <c r="A59" s="53">
        <v>3011</v>
      </c>
      <c r="B59" s="53" t="s">
        <v>73</v>
      </c>
      <c r="C59" s="53" t="s">
        <v>74</v>
      </c>
      <c r="D59" s="53">
        <v>10105</v>
      </c>
      <c r="E59" s="53">
        <v>2000000</v>
      </c>
      <c r="F59" s="53" t="s">
        <v>90</v>
      </c>
      <c r="G59" s="53">
        <v>12</v>
      </c>
      <c r="H59" s="54">
        <v>0</v>
      </c>
      <c r="I59" s="114">
        <v>1100</v>
      </c>
      <c r="J59" s="115">
        <v>44</v>
      </c>
      <c r="K59" s="115">
        <v>22</v>
      </c>
      <c r="L59" s="116">
        <v>22</v>
      </c>
      <c r="M59" s="53">
        <v>0</v>
      </c>
      <c r="N59" s="53">
        <v>0</v>
      </c>
      <c r="O59" s="53">
        <v>0</v>
      </c>
      <c r="P59" s="53">
        <v>0</v>
      </c>
      <c r="Q59" s="53">
        <v>11</v>
      </c>
      <c r="R59" s="56">
        <v>0</v>
      </c>
      <c r="S59" s="101">
        <v>2400</v>
      </c>
      <c r="T59" s="101">
        <v>96</v>
      </c>
      <c r="U59" s="101">
        <v>48</v>
      </c>
      <c r="V59" s="101">
        <v>48</v>
      </c>
      <c r="W59" s="57">
        <v>0</v>
      </c>
      <c r="X59" s="57">
        <v>0</v>
      </c>
      <c r="Y59" s="57">
        <v>0</v>
      </c>
      <c r="Z59" s="57">
        <v>0</v>
      </c>
      <c r="AA59" s="58" t="s">
        <v>167</v>
      </c>
    </row>
    <row r="60" spans="1:27" s="58" customFormat="1">
      <c r="A60" s="53">
        <v>3012</v>
      </c>
      <c r="B60" s="53" t="s">
        <v>75</v>
      </c>
      <c r="C60" s="53" t="s">
        <v>76</v>
      </c>
      <c r="D60" s="53">
        <v>10115</v>
      </c>
      <c r="E60" s="53">
        <v>2500000</v>
      </c>
      <c r="F60" s="53" t="s">
        <v>111</v>
      </c>
      <c r="G60" s="53">
        <v>14</v>
      </c>
      <c r="H60" s="54">
        <v>0</v>
      </c>
      <c r="I60" s="114">
        <v>1200</v>
      </c>
      <c r="J60" s="115">
        <v>48</v>
      </c>
      <c r="K60" s="115">
        <v>24</v>
      </c>
      <c r="L60" s="116">
        <v>24</v>
      </c>
      <c r="M60" s="53">
        <v>0</v>
      </c>
      <c r="N60" s="53">
        <v>0</v>
      </c>
      <c r="O60" s="53">
        <v>0</v>
      </c>
      <c r="P60" s="53">
        <v>0</v>
      </c>
      <c r="Q60" s="53">
        <v>12</v>
      </c>
      <c r="R60" s="56">
        <v>0</v>
      </c>
      <c r="S60" s="101">
        <v>2400</v>
      </c>
      <c r="T60" s="101">
        <v>96</v>
      </c>
      <c r="U60" s="101">
        <v>48</v>
      </c>
      <c r="V60" s="101">
        <v>48</v>
      </c>
      <c r="W60" s="57">
        <v>0</v>
      </c>
      <c r="X60" s="57">
        <v>0</v>
      </c>
      <c r="Y60" s="57">
        <v>0</v>
      </c>
      <c r="Z60" s="57">
        <v>0</v>
      </c>
      <c r="AA60" s="58" t="s">
        <v>167</v>
      </c>
    </row>
    <row r="61" spans="1:27" s="58" customFormat="1">
      <c r="A61" s="53">
        <v>3013</v>
      </c>
      <c r="B61" s="53" t="s">
        <v>182</v>
      </c>
      <c r="C61" s="53" t="s">
        <v>183</v>
      </c>
      <c r="D61" s="53">
        <v>10125</v>
      </c>
      <c r="E61" s="53">
        <v>3000000</v>
      </c>
      <c r="F61" s="53" t="s">
        <v>114</v>
      </c>
      <c r="G61" s="53">
        <v>16</v>
      </c>
      <c r="H61" s="54">
        <v>0</v>
      </c>
      <c r="I61" s="114">
        <v>1300</v>
      </c>
      <c r="J61" s="115">
        <v>52</v>
      </c>
      <c r="K61" s="115">
        <v>26</v>
      </c>
      <c r="L61" s="116">
        <v>26</v>
      </c>
      <c r="M61" s="53">
        <v>0</v>
      </c>
      <c r="N61" s="53">
        <v>0</v>
      </c>
      <c r="O61" s="53">
        <v>0</v>
      </c>
      <c r="P61" s="53">
        <v>0</v>
      </c>
      <c r="Q61" s="53">
        <v>13</v>
      </c>
      <c r="R61" s="56">
        <v>0</v>
      </c>
      <c r="S61" s="101">
        <v>2400</v>
      </c>
      <c r="T61" s="101">
        <v>96</v>
      </c>
      <c r="U61" s="101">
        <v>48</v>
      </c>
      <c r="V61" s="101">
        <v>48</v>
      </c>
      <c r="W61" s="57">
        <v>0</v>
      </c>
      <c r="X61" s="57">
        <v>0</v>
      </c>
      <c r="Y61" s="57">
        <v>0</v>
      </c>
      <c r="Z61" s="57">
        <v>0</v>
      </c>
      <c r="AA61" s="58" t="s">
        <v>167</v>
      </c>
    </row>
    <row r="62" spans="1:27" s="58" customFormat="1">
      <c r="A62" s="53">
        <v>3014</v>
      </c>
      <c r="B62" s="53" t="s">
        <v>184</v>
      </c>
      <c r="C62" s="53" t="s">
        <v>185</v>
      </c>
      <c r="D62" s="53">
        <v>10135</v>
      </c>
      <c r="E62" s="53">
        <v>4000000</v>
      </c>
      <c r="F62" s="53" t="s">
        <v>197</v>
      </c>
      <c r="G62" s="53">
        <v>20</v>
      </c>
      <c r="H62" s="54">
        <v>0</v>
      </c>
      <c r="I62" s="114">
        <v>1400</v>
      </c>
      <c r="J62" s="115">
        <v>56</v>
      </c>
      <c r="K62" s="115">
        <v>28</v>
      </c>
      <c r="L62" s="116">
        <v>28</v>
      </c>
      <c r="M62" s="53">
        <v>0</v>
      </c>
      <c r="N62" s="53">
        <v>0</v>
      </c>
      <c r="O62" s="53">
        <v>0</v>
      </c>
      <c r="P62" s="53">
        <v>0</v>
      </c>
      <c r="Q62" s="53">
        <v>14</v>
      </c>
      <c r="R62" s="56">
        <v>0</v>
      </c>
      <c r="S62" s="101">
        <v>2400</v>
      </c>
      <c r="T62" s="101">
        <v>96</v>
      </c>
      <c r="U62" s="101">
        <v>48</v>
      </c>
      <c r="V62" s="101">
        <v>48</v>
      </c>
      <c r="W62" s="57">
        <v>0</v>
      </c>
      <c r="X62" s="57">
        <v>0</v>
      </c>
      <c r="Y62" s="57">
        <v>0</v>
      </c>
      <c r="Z62" s="57">
        <v>0</v>
      </c>
      <c r="AA62" s="58" t="s">
        <v>167</v>
      </c>
    </row>
    <row r="63" spans="1:27" s="58" customFormat="1">
      <c r="A63" s="53">
        <v>3015</v>
      </c>
      <c r="B63" s="53" t="s">
        <v>186</v>
      </c>
      <c r="C63" s="53" t="s">
        <v>187</v>
      </c>
      <c r="D63" s="53">
        <v>10145</v>
      </c>
      <c r="E63" s="53">
        <v>5000000</v>
      </c>
      <c r="F63" s="53" t="s">
        <v>195</v>
      </c>
      <c r="G63" s="53">
        <v>20</v>
      </c>
      <c r="H63" s="54">
        <v>0</v>
      </c>
      <c r="I63" s="114">
        <v>1500</v>
      </c>
      <c r="J63" s="115">
        <v>60</v>
      </c>
      <c r="K63" s="115">
        <v>30</v>
      </c>
      <c r="L63" s="116">
        <v>30</v>
      </c>
      <c r="M63" s="53">
        <v>0</v>
      </c>
      <c r="N63" s="53">
        <v>0</v>
      </c>
      <c r="O63" s="53">
        <v>0</v>
      </c>
      <c r="P63" s="53">
        <v>0</v>
      </c>
      <c r="Q63" s="53">
        <v>15</v>
      </c>
      <c r="R63" s="56">
        <v>0</v>
      </c>
      <c r="S63" s="101">
        <v>2400</v>
      </c>
      <c r="T63" s="101">
        <v>96</v>
      </c>
      <c r="U63" s="101">
        <v>48</v>
      </c>
      <c r="V63" s="101">
        <v>48</v>
      </c>
      <c r="W63" s="57">
        <v>0</v>
      </c>
      <c r="X63" s="57">
        <v>0</v>
      </c>
      <c r="Y63" s="57">
        <v>0</v>
      </c>
      <c r="Z63" s="57">
        <v>0</v>
      </c>
      <c r="AA63" s="58" t="s">
        <v>167</v>
      </c>
    </row>
    <row r="64" spans="1:27" s="71" customFormat="1">
      <c r="A64" s="66">
        <v>4101</v>
      </c>
      <c r="B64" s="66" t="s">
        <v>121</v>
      </c>
      <c r="C64" s="66" t="s">
        <v>33</v>
      </c>
      <c r="D64" s="66">
        <v>10001</v>
      </c>
      <c r="E64" s="66">
        <v>5000</v>
      </c>
      <c r="F64" s="66" t="s">
        <v>101</v>
      </c>
      <c r="G64" s="66">
        <v>0</v>
      </c>
      <c r="H64" s="67">
        <v>0</v>
      </c>
      <c r="I64" s="105">
        <v>156</v>
      </c>
      <c r="J64" s="106">
        <v>6</v>
      </c>
      <c r="K64" s="106">
        <v>3</v>
      </c>
      <c r="L64" s="107">
        <v>3</v>
      </c>
      <c r="M64" s="66">
        <v>0</v>
      </c>
      <c r="N64" s="66">
        <v>0</v>
      </c>
      <c r="O64" s="66">
        <v>0</v>
      </c>
      <c r="P64" s="66">
        <v>0</v>
      </c>
      <c r="Q64" s="66">
        <v>1</v>
      </c>
      <c r="R64" s="69">
        <v>0</v>
      </c>
      <c r="S64" s="102">
        <v>3750</v>
      </c>
      <c r="T64" s="102">
        <v>150</v>
      </c>
      <c r="U64" s="102">
        <v>75</v>
      </c>
      <c r="V64" s="102">
        <v>75</v>
      </c>
      <c r="W64" s="70">
        <v>0</v>
      </c>
      <c r="X64" s="70">
        <v>0</v>
      </c>
      <c r="Y64" s="70">
        <v>0</v>
      </c>
      <c r="Z64" s="70">
        <v>0</v>
      </c>
      <c r="AA64" s="71" t="s">
        <v>171</v>
      </c>
    </row>
    <row r="65" spans="1:27" s="71" customFormat="1">
      <c r="A65" s="66">
        <v>4102</v>
      </c>
      <c r="B65" s="66" t="s">
        <v>41</v>
      </c>
      <c r="C65" s="66" t="s">
        <v>34</v>
      </c>
      <c r="D65" s="66">
        <v>10015</v>
      </c>
      <c r="E65" s="66">
        <v>20000</v>
      </c>
      <c r="F65" s="66" t="s">
        <v>102</v>
      </c>
      <c r="G65" s="66">
        <v>0</v>
      </c>
      <c r="H65" s="67">
        <v>0</v>
      </c>
      <c r="I65" s="105">
        <v>313</v>
      </c>
      <c r="J65" s="106">
        <v>13</v>
      </c>
      <c r="K65" s="106">
        <v>7</v>
      </c>
      <c r="L65" s="107">
        <v>7</v>
      </c>
      <c r="M65" s="66">
        <v>0</v>
      </c>
      <c r="N65" s="66">
        <v>0</v>
      </c>
      <c r="O65" s="66">
        <v>0</v>
      </c>
      <c r="P65" s="66">
        <v>0</v>
      </c>
      <c r="Q65" s="66">
        <v>2</v>
      </c>
      <c r="R65" s="69">
        <v>0</v>
      </c>
      <c r="S65" s="102">
        <v>3750</v>
      </c>
      <c r="T65" s="102">
        <v>150</v>
      </c>
      <c r="U65" s="102">
        <v>75</v>
      </c>
      <c r="V65" s="102">
        <v>75</v>
      </c>
      <c r="W65" s="70">
        <v>0</v>
      </c>
      <c r="X65" s="70">
        <v>0</v>
      </c>
      <c r="Y65" s="70">
        <v>0</v>
      </c>
      <c r="Z65" s="70">
        <v>0</v>
      </c>
      <c r="AA65" s="71" t="s">
        <v>171</v>
      </c>
    </row>
    <row r="66" spans="1:27" s="71" customFormat="1">
      <c r="A66" s="66">
        <v>4103</v>
      </c>
      <c r="B66" s="66" t="s">
        <v>42</v>
      </c>
      <c r="C66" s="66" t="s">
        <v>35</v>
      </c>
      <c r="D66" s="66">
        <v>10025</v>
      </c>
      <c r="E66" s="66">
        <v>50000</v>
      </c>
      <c r="F66" s="66" t="s">
        <v>103</v>
      </c>
      <c r="G66" s="66">
        <v>1</v>
      </c>
      <c r="H66" s="67">
        <v>0</v>
      </c>
      <c r="I66" s="105">
        <v>469</v>
      </c>
      <c r="J66" s="106">
        <v>19</v>
      </c>
      <c r="K66" s="106">
        <v>10</v>
      </c>
      <c r="L66" s="107">
        <v>10</v>
      </c>
      <c r="M66" s="66">
        <v>0</v>
      </c>
      <c r="N66" s="66">
        <v>0</v>
      </c>
      <c r="O66" s="66">
        <v>0</v>
      </c>
      <c r="P66" s="66">
        <v>0</v>
      </c>
      <c r="Q66" s="66">
        <v>3</v>
      </c>
      <c r="R66" s="69">
        <v>0</v>
      </c>
      <c r="S66" s="102">
        <v>3750</v>
      </c>
      <c r="T66" s="102">
        <v>150</v>
      </c>
      <c r="U66" s="102">
        <v>75</v>
      </c>
      <c r="V66" s="102">
        <v>75</v>
      </c>
      <c r="W66" s="70">
        <v>0</v>
      </c>
      <c r="X66" s="70">
        <v>0</v>
      </c>
      <c r="Y66" s="70">
        <v>0</v>
      </c>
      <c r="Z66" s="70">
        <v>0</v>
      </c>
      <c r="AA66" s="71" t="s">
        <v>171</v>
      </c>
    </row>
    <row r="67" spans="1:27" s="71" customFormat="1">
      <c r="A67" s="66">
        <v>4104</v>
      </c>
      <c r="B67" s="66" t="s">
        <v>43</v>
      </c>
      <c r="C67" s="66" t="s">
        <v>36</v>
      </c>
      <c r="D67" s="66">
        <v>10035</v>
      </c>
      <c r="E67" s="66">
        <v>100000</v>
      </c>
      <c r="F67" s="66" t="s">
        <v>104</v>
      </c>
      <c r="G67" s="66">
        <v>1</v>
      </c>
      <c r="H67" s="67">
        <v>0</v>
      </c>
      <c r="I67" s="105">
        <v>625</v>
      </c>
      <c r="J67" s="106">
        <v>25</v>
      </c>
      <c r="K67" s="106">
        <v>13</v>
      </c>
      <c r="L67" s="107">
        <v>13</v>
      </c>
      <c r="M67" s="66">
        <v>0</v>
      </c>
      <c r="N67" s="66">
        <v>0</v>
      </c>
      <c r="O67" s="66">
        <v>0</v>
      </c>
      <c r="P67" s="66">
        <v>0</v>
      </c>
      <c r="Q67" s="66">
        <v>4</v>
      </c>
      <c r="R67" s="69">
        <v>0</v>
      </c>
      <c r="S67" s="102">
        <v>3750</v>
      </c>
      <c r="T67" s="102">
        <v>150</v>
      </c>
      <c r="U67" s="102">
        <v>75</v>
      </c>
      <c r="V67" s="102">
        <v>75</v>
      </c>
      <c r="W67" s="70">
        <v>0</v>
      </c>
      <c r="X67" s="70">
        <v>0</v>
      </c>
      <c r="Y67" s="70">
        <v>0</v>
      </c>
      <c r="Z67" s="70">
        <v>0</v>
      </c>
      <c r="AA67" s="71" t="s">
        <v>171</v>
      </c>
    </row>
    <row r="68" spans="1:27" s="71" customFormat="1">
      <c r="A68" s="66">
        <v>4105</v>
      </c>
      <c r="B68" s="66" t="s">
        <v>44</v>
      </c>
      <c r="C68" s="66" t="s">
        <v>37</v>
      </c>
      <c r="D68" s="66">
        <v>10045</v>
      </c>
      <c r="E68" s="66">
        <v>200000</v>
      </c>
      <c r="F68" s="66" t="s">
        <v>105</v>
      </c>
      <c r="G68" s="66">
        <v>2</v>
      </c>
      <c r="H68" s="67">
        <v>0</v>
      </c>
      <c r="I68" s="105">
        <v>781</v>
      </c>
      <c r="J68" s="106">
        <v>31</v>
      </c>
      <c r="K68" s="106">
        <v>16</v>
      </c>
      <c r="L68" s="107">
        <v>16</v>
      </c>
      <c r="M68" s="66">
        <v>0</v>
      </c>
      <c r="N68" s="66">
        <v>0</v>
      </c>
      <c r="O68" s="66">
        <v>0</v>
      </c>
      <c r="P68" s="66">
        <v>0</v>
      </c>
      <c r="Q68" s="66">
        <v>5</v>
      </c>
      <c r="R68" s="69">
        <v>0</v>
      </c>
      <c r="S68" s="102">
        <v>3750</v>
      </c>
      <c r="T68" s="102">
        <v>150</v>
      </c>
      <c r="U68" s="102">
        <v>75</v>
      </c>
      <c r="V68" s="102">
        <v>75</v>
      </c>
      <c r="W68" s="70">
        <v>0</v>
      </c>
      <c r="X68" s="70">
        <v>0</v>
      </c>
      <c r="Y68" s="70">
        <v>0</v>
      </c>
      <c r="Z68" s="70">
        <v>0</v>
      </c>
      <c r="AA68" s="71" t="s">
        <v>171</v>
      </c>
    </row>
    <row r="69" spans="1:27" s="71" customFormat="1">
      <c r="A69" s="66">
        <v>4106</v>
      </c>
      <c r="B69" s="66" t="s">
        <v>45</v>
      </c>
      <c r="C69" s="66" t="s">
        <v>38</v>
      </c>
      <c r="D69" s="66">
        <v>10055</v>
      </c>
      <c r="E69" s="66">
        <v>300000</v>
      </c>
      <c r="F69" s="66" t="s">
        <v>106</v>
      </c>
      <c r="G69" s="66">
        <v>2</v>
      </c>
      <c r="H69" s="67">
        <v>0</v>
      </c>
      <c r="I69" s="105">
        <v>938</v>
      </c>
      <c r="J69" s="106">
        <v>38</v>
      </c>
      <c r="K69" s="106">
        <v>20</v>
      </c>
      <c r="L69" s="107">
        <v>20</v>
      </c>
      <c r="M69" s="66">
        <v>0</v>
      </c>
      <c r="N69" s="66">
        <v>0</v>
      </c>
      <c r="O69" s="66">
        <v>0</v>
      </c>
      <c r="P69" s="66">
        <v>0</v>
      </c>
      <c r="Q69" s="66">
        <v>6</v>
      </c>
      <c r="R69" s="69">
        <v>0</v>
      </c>
      <c r="S69" s="102">
        <v>3750</v>
      </c>
      <c r="T69" s="102">
        <v>150</v>
      </c>
      <c r="U69" s="102">
        <v>75</v>
      </c>
      <c r="V69" s="102">
        <v>75</v>
      </c>
      <c r="W69" s="70">
        <v>0</v>
      </c>
      <c r="X69" s="70">
        <v>0</v>
      </c>
      <c r="Y69" s="70">
        <v>0</v>
      </c>
      <c r="Z69" s="70">
        <v>0</v>
      </c>
      <c r="AA69" s="71" t="s">
        <v>171</v>
      </c>
    </row>
    <row r="70" spans="1:27" s="71" customFormat="1">
      <c r="A70" s="66">
        <v>4107</v>
      </c>
      <c r="B70" s="66" t="s">
        <v>46</v>
      </c>
      <c r="C70" s="66" t="s">
        <v>39</v>
      </c>
      <c r="D70" s="66">
        <v>10065</v>
      </c>
      <c r="E70" s="66">
        <v>500000</v>
      </c>
      <c r="F70" s="66" t="s">
        <v>107</v>
      </c>
      <c r="G70" s="66">
        <v>4</v>
      </c>
      <c r="H70" s="67">
        <v>0</v>
      </c>
      <c r="I70" s="105">
        <v>1094</v>
      </c>
      <c r="J70" s="106">
        <v>44</v>
      </c>
      <c r="K70" s="106">
        <v>23</v>
      </c>
      <c r="L70" s="107">
        <v>23</v>
      </c>
      <c r="M70" s="66">
        <v>0</v>
      </c>
      <c r="N70" s="66">
        <v>0</v>
      </c>
      <c r="O70" s="66">
        <v>0</v>
      </c>
      <c r="P70" s="66">
        <v>0</v>
      </c>
      <c r="Q70" s="66">
        <v>7</v>
      </c>
      <c r="R70" s="69">
        <v>0</v>
      </c>
      <c r="S70" s="102">
        <v>3750</v>
      </c>
      <c r="T70" s="102">
        <v>150</v>
      </c>
      <c r="U70" s="102">
        <v>75</v>
      </c>
      <c r="V70" s="102">
        <v>75</v>
      </c>
      <c r="W70" s="70">
        <v>0</v>
      </c>
      <c r="X70" s="70">
        <v>0</v>
      </c>
      <c r="Y70" s="70">
        <v>0</v>
      </c>
      <c r="Z70" s="70">
        <v>0</v>
      </c>
      <c r="AA70" s="71" t="s">
        <v>171</v>
      </c>
    </row>
    <row r="71" spans="1:27" s="71" customFormat="1">
      <c r="A71" s="66">
        <v>4108</v>
      </c>
      <c r="B71" s="66" t="s">
        <v>47</v>
      </c>
      <c r="C71" s="66" t="s">
        <v>40</v>
      </c>
      <c r="D71" s="66">
        <v>10075</v>
      </c>
      <c r="E71" s="66">
        <v>800000</v>
      </c>
      <c r="F71" s="66" t="s">
        <v>108</v>
      </c>
      <c r="G71" s="66">
        <v>6</v>
      </c>
      <c r="H71" s="67">
        <v>0</v>
      </c>
      <c r="I71" s="105">
        <v>1250</v>
      </c>
      <c r="J71" s="106">
        <v>50</v>
      </c>
      <c r="K71" s="106">
        <v>26</v>
      </c>
      <c r="L71" s="107">
        <v>26</v>
      </c>
      <c r="M71" s="66">
        <v>0</v>
      </c>
      <c r="N71" s="66">
        <v>0</v>
      </c>
      <c r="O71" s="66">
        <v>0</v>
      </c>
      <c r="P71" s="66">
        <v>0</v>
      </c>
      <c r="Q71" s="66">
        <v>8</v>
      </c>
      <c r="R71" s="69">
        <v>0</v>
      </c>
      <c r="S71" s="102">
        <v>3750</v>
      </c>
      <c r="T71" s="102">
        <v>150</v>
      </c>
      <c r="U71" s="102">
        <v>75</v>
      </c>
      <c r="V71" s="102">
        <v>75</v>
      </c>
      <c r="W71" s="70">
        <v>0</v>
      </c>
      <c r="X71" s="70">
        <v>0</v>
      </c>
      <c r="Y71" s="70">
        <v>0</v>
      </c>
      <c r="Z71" s="70">
        <v>0</v>
      </c>
      <c r="AA71" s="71" t="s">
        <v>171</v>
      </c>
    </row>
    <row r="72" spans="1:27" s="71" customFormat="1">
      <c r="A72" s="66">
        <v>4109</v>
      </c>
      <c r="B72" s="66" t="s">
        <v>69</v>
      </c>
      <c r="C72" s="66" t="s">
        <v>32</v>
      </c>
      <c r="D72" s="66">
        <v>10085</v>
      </c>
      <c r="E72" s="66">
        <v>1200000</v>
      </c>
      <c r="F72" s="66" t="s">
        <v>109</v>
      </c>
      <c r="G72" s="66">
        <v>8</v>
      </c>
      <c r="H72" s="67">
        <v>0</v>
      </c>
      <c r="I72" s="105">
        <v>1406</v>
      </c>
      <c r="J72" s="106">
        <v>56</v>
      </c>
      <c r="K72" s="106">
        <v>29</v>
      </c>
      <c r="L72" s="107">
        <v>29</v>
      </c>
      <c r="M72" s="66">
        <v>0</v>
      </c>
      <c r="N72" s="66">
        <v>0</v>
      </c>
      <c r="O72" s="66">
        <v>0</v>
      </c>
      <c r="P72" s="66">
        <v>0</v>
      </c>
      <c r="Q72" s="66">
        <v>9</v>
      </c>
      <c r="R72" s="69">
        <v>0</v>
      </c>
      <c r="S72" s="102">
        <v>3750</v>
      </c>
      <c r="T72" s="102">
        <v>150</v>
      </c>
      <c r="U72" s="102">
        <v>75</v>
      </c>
      <c r="V72" s="102">
        <v>75</v>
      </c>
      <c r="W72" s="70">
        <v>0</v>
      </c>
      <c r="X72" s="70">
        <v>0</v>
      </c>
      <c r="Y72" s="70">
        <v>0</v>
      </c>
      <c r="Z72" s="70">
        <v>0</v>
      </c>
      <c r="AA72" s="71" t="s">
        <v>171</v>
      </c>
    </row>
    <row r="73" spans="1:27" s="71" customFormat="1">
      <c r="A73" s="66">
        <v>4110</v>
      </c>
      <c r="B73" s="66" t="s">
        <v>71</v>
      </c>
      <c r="C73" s="66" t="s">
        <v>31</v>
      </c>
      <c r="D73" s="66">
        <v>10095</v>
      </c>
      <c r="E73" s="66">
        <v>1600000</v>
      </c>
      <c r="F73" s="66" t="s">
        <v>110</v>
      </c>
      <c r="G73" s="66">
        <v>10</v>
      </c>
      <c r="H73" s="67">
        <v>0</v>
      </c>
      <c r="I73" s="105">
        <v>1563</v>
      </c>
      <c r="J73" s="106">
        <v>63</v>
      </c>
      <c r="K73" s="106">
        <v>33</v>
      </c>
      <c r="L73" s="107">
        <v>33</v>
      </c>
      <c r="M73" s="66">
        <v>0</v>
      </c>
      <c r="N73" s="66">
        <v>0</v>
      </c>
      <c r="O73" s="66">
        <v>0</v>
      </c>
      <c r="P73" s="66">
        <v>0</v>
      </c>
      <c r="Q73" s="66">
        <v>10</v>
      </c>
      <c r="R73" s="69">
        <v>0</v>
      </c>
      <c r="S73" s="102">
        <v>3750</v>
      </c>
      <c r="T73" s="102">
        <v>150</v>
      </c>
      <c r="U73" s="102">
        <v>75</v>
      </c>
      <c r="V73" s="102">
        <v>75</v>
      </c>
      <c r="W73" s="70">
        <v>0</v>
      </c>
      <c r="X73" s="70">
        <v>0</v>
      </c>
      <c r="Y73" s="70">
        <v>0</v>
      </c>
      <c r="Z73" s="70">
        <v>0</v>
      </c>
      <c r="AA73" s="71" t="s">
        <v>171</v>
      </c>
    </row>
    <row r="74" spans="1:27" s="71" customFormat="1">
      <c r="A74" s="66">
        <v>4111</v>
      </c>
      <c r="B74" s="66" t="s">
        <v>73</v>
      </c>
      <c r="C74" s="66" t="s">
        <v>74</v>
      </c>
      <c r="D74" s="66">
        <v>10105</v>
      </c>
      <c r="E74" s="66">
        <v>2000000</v>
      </c>
      <c r="F74" s="66" t="s">
        <v>90</v>
      </c>
      <c r="G74" s="66">
        <v>12</v>
      </c>
      <c r="H74" s="67">
        <v>0</v>
      </c>
      <c r="I74" s="105">
        <v>1719</v>
      </c>
      <c r="J74" s="106">
        <v>69</v>
      </c>
      <c r="K74" s="106">
        <v>36</v>
      </c>
      <c r="L74" s="107">
        <v>36</v>
      </c>
      <c r="M74" s="66">
        <v>0</v>
      </c>
      <c r="N74" s="66">
        <v>0</v>
      </c>
      <c r="O74" s="66">
        <v>0</v>
      </c>
      <c r="P74" s="66">
        <v>0</v>
      </c>
      <c r="Q74" s="66">
        <v>11</v>
      </c>
      <c r="R74" s="69">
        <v>0</v>
      </c>
      <c r="S74" s="102">
        <v>3750</v>
      </c>
      <c r="T74" s="102">
        <v>150</v>
      </c>
      <c r="U74" s="102">
        <v>75</v>
      </c>
      <c r="V74" s="102">
        <v>75</v>
      </c>
      <c r="W74" s="70">
        <v>0</v>
      </c>
      <c r="X74" s="70">
        <v>0</v>
      </c>
      <c r="Y74" s="70">
        <v>0</v>
      </c>
      <c r="Z74" s="70">
        <v>0</v>
      </c>
      <c r="AA74" s="71" t="s">
        <v>171</v>
      </c>
    </row>
    <row r="75" spans="1:27" s="71" customFormat="1">
      <c r="A75" s="66">
        <v>4112</v>
      </c>
      <c r="B75" s="66" t="s">
        <v>75</v>
      </c>
      <c r="C75" s="66" t="s">
        <v>76</v>
      </c>
      <c r="D75" s="66">
        <v>10115</v>
      </c>
      <c r="E75" s="66">
        <v>2500000</v>
      </c>
      <c r="F75" s="66" t="s">
        <v>111</v>
      </c>
      <c r="G75" s="66">
        <v>14</v>
      </c>
      <c r="H75" s="67">
        <v>0</v>
      </c>
      <c r="I75" s="105">
        <v>1875</v>
      </c>
      <c r="J75" s="106">
        <v>75</v>
      </c>
      <c r="K75" s="106">
        <v>39</v>
      </c>
      <c r="L75" s="107">
        <v>39</v>
      </c>
      <c r="M75" s="66">
        <v>0</v>
      </c>
      <c r="N75" s="66">
        <v>0</v>
      </c>
      <c r="O75" s="66">
        <v>0</v>
      </c>
      <c r="P75" s="66">
        <v>0</v>
      </c>
      <c r="Q75" s="66">
        <v>12</v>
      </c>
      <c r="R75" s="69">
        <v>0</v>
      </c>
      <c r="S75" s="102">
        <v>3750</v>
      </c>
      <c r="T75" s="102">
        <v>150</v>
      </c>
      <c r="U75" s="102">
        <v>75</v>
      </c>
      <c r="V75" s="102">
        <v>75</v>
      </c>
      <c r="W75" s="70">
        <v>0</v>
      </c>
      <c r="X75" s="70">
        <v>0</v>
      </c>
      <c r="Y75" s="70">
        <v>0</v>
      </c>
      <c r="Z75" s="70">
        <v>0</v>
      </c>
      <c r="AA75" s="71" t="s">
        <v>171</v>
      </c>
    </row>
    <row r="76" spans="1:27" s="71" customFormat="1">
      <c r="A76" s="66">
        <v>4113</v>
      </c>
      <c r="B76" s="66" t="s">
        <v>182</v>
      </c>
      <c r="C76" s="66" t="s">
        <v>183</v>
      </c>
      <c r="D76" s="66">
        <v>10125</v>
      </c>
      <c r="E76" s="66">
        <v>3000000</v>
      </c>
      <c r="F76" s="66" t="s">
        <v>114</v>
      </c>
      <c r="G76" s="66">
        <v>16</v>
      </c>
      <c r="H76" s="67">
        <v>0</v>
      </c>
      <c r="I76" s="105">
        <v>2031</v>
      </c>
      <c r="J76" s="106">
        <v>81</v>
      </c>
      <c r="K76" s="106">
        <v>42</v>
      </c>
      <c r="L76" s="107">
        <v>42</v>
      </c>
      <c r="M76" s="66">
        <v>0</v>
      </c>
      <c r="N76" s="66">
        <v>0</v>
      </c>
      <c r="O76" s="66">
        <v>0</v>
      </c>
      <c r="P76" s="66">
        <v>0</v>
      </c>
      <c r="Q76" s="66">
        <v>13</v>
      </c>
      <c r="R76" s="69">
        <v>0</v>
      </c>
      <c r="S76" s="102">
        <v>3750</v>
      </c>
      <c r="T76" s="102">
        <v>150</v>
      </c>
      <c r="U76" s="102">
        <v>75</v>
      </c>
      <c r="V76" s="102">
        <v>75</v>
      </c>
      <c r="W76" s="70">
        <v>0</v>
      </c>
      <c r="X76" s="70">
        <v>0</v>
      </c>
      <c r="Y76" s="70">
        <v>0</v>
      </c>
      <c r="Z76" s="70">
        <v>0</v>
      </c>
      <c r="AA76" s="71" t="s">
        <v>171</v>
      </c>
    </row>
    <row r="77" spans="1:27" s="71" customFormat="1">
      <c r="A77" s="66">
        <v>4114</v>
      </c>
      <c r="B77" s="66" t="s">
        <v>184</v>
      </c>
      <c r="C77" s="66" t="s">
        <v>185</v>
      </c>
      <c r="D77" s="66">
        <v>10135</v>
      </c>
      <c r="E77" s="66">
        <v>4000000</v>
      </c>
      <c r="F77" s="66" t="s">
        <v>197</v>
      </c>
      <c r="G77" s="66">
        <v>20</v>
      </c>
      <c r="H77" s="67">
        <v>0</v>
      </c>
      <c r="I77" s="105">
        <v>2188</v>
      </c>
      <c r="J77" s="106">
        <v>88</v>
      </c>
      <c r="K77" s="106">
        <v>46</v>
      </c>
      <c r="L77" s="107">
        <v>46</v>
      </c>
      <c r="M77" s="66">
        <v>0</v>
      </c>
      <c r="N77" s="66">
        <v>0</v>
      </c>
      <c r="O77" s="66">
        <v>0</v>
      </c>
      <c r="P77" s="66">
        <v>0</v>
      </c>
      <c r="Q77" s="66">
        <v>14</v>
      </c>
      <c r="R77" s="69">
        <v>0</v>
      </c>
      <c r="S77" s="102">
        <v>3750</v>
      </c>
      <c r="T77" s="102">
        <v>150</v>
      </c>
      <c r="U77" s="102">
        <v>75</v>
      </c>
      <c r="V77" s="102">
        <v>75</v>
      </c>
      <c r="W77" s="70">
        <v>0</v>
      </c>
      <c r="X77" s="70">
        <v>0</v>
      </c>
      <c r="Y77" s="70">
        <v>0</v>
      </c>
      <c r="Z77" s="70">
        <v>0</v>
      </c>
      <c r="AA77" s="71" t="s">
        <v>171</v>
      </c>
    </row>
    <row r="78" spans="1:27" s="71" customFormat="1">
      <c r="A78" s="66">
        <v>4115</v>
      </c>
      <c r="B78" s="66" t="s">
        <v>186</v>
      </c>
      <c r="C78" s="66" t="s">
        <v>187</v>
      </c>
      <c r="D78" s="66">
        <v>10145</v>
      </c>
      <c r="E78" s="66">
        <v>5000000</v>
      </c>
      <c r="F78" s="66" t="s">
        <v>195</v>
      </c>
      <c r="G78" s="66">
        <v>20</v>
      </c>
      <c r="H78" s="67">
        <v>0</v>
      </c>
      <c r="I78" s="105">
        <v>2344</v>
      </c>
      <c r="J78" s="106">
        <v>94</v>
      </c>
      <c r="K78" s="106">
        <v>49</v>
      </c>
      <c r="L78" s="107">
        <v>49</v>
      </c>
      <c r="M78" s="66">
        <v>0</v>
      </c>
      <c r="N78" s="66">
        <v>0</v>
      </c>
      <c r="O78" s="66">
        <v>0</v>
      </c>
      <c r="P78" s="66">
        <v>0</v>
      </c>
      <c r="Q78" s="66">
        <v>15</v>
      </c>
      <c r="R78" s="69">
        <v>0</v>
      </c>
      <c r="S78" s="102">
        <v>3750</v>
      </c>
      <c r="T78" s="102">
        <v>150</v>
      </c>
      <c r="U78" s="102">
        <v>75</v>
      </c>
      <c r="V78" s="102">
        <v>75</v>
      </c>
      <c r="W78" s="70">
        <v>0</v>
      </c>
      <c r="X78" s="70">
        <v>0</v>
      </c>
      <c r="Y78" s="70">
        <v>0</v>
      </c>
      <c r="Z78" s="70">
        <v>0</v>
      </c>
      <c r="AA78" s="71" t="s">
        <v>171</v>
      </c>
    </row>
    <row r="79" spans="1:27" s="90" customFormat="1">
      <c r="A79" s="85">
        <v>4201</v>
      </c>
      <c r="B79" s="85" t="s">
        <v>121</v>
      </c>
      <c r="C79" s="85" t="s">
        <v>33</v>
      </c>
      <c r="D79" s="85">
        <v>10001</v>
      </c>
      <c r="E79" s="85">
        <v>5000</v>
      </c>
      <c r="F79" s="85" t="s">
        <v>101</v>
      </c>
      <c r="G79" s="85">
        <v>0</v>
      </c>
      <c r="H79" s="86">
        <v>0</v>
      </c>
      <c r="I79" s="105">
        <v>156</v>
      </c>
      <c r="J79" s="106">
        <v>6</v>
      </c>
      <c r="K79" s="106">
        <v>3</v>
      </c>
      <c r="L79" s="107">
        <v>3</v>
      </c>
      <c r="M79" s="85">
        <v>0</v>
      </c>
      <c r="N79" s="85">
        <v>0</v>
      </c>
      <c r="O79" s="85">
        <v>0</v>
      </c>
      <c r="P79" s="85">
        <v>0</v>
      </c>
      <c r="Q79" s="85">
        <v>1</v>
      </c>
      <c r="R79" s="88">
        <v>0</v>
      </c>
      <c r="S79" s="102">
        <v>3750</v>
      </c>
      <c r="T79" s="102">
        <v>150</v>
      </c>
      <c r="U79" s="102">
        <v>75</v>
      </c>
      <c r="V79" s="102">
        <v>75</v>
      </c>
      <c r="W79" s="89">
        <v>0</v>
      </c>
      <c r="X79" s="89">
        <v>0</v>
      </c>
      <c r="Y79" s="89">
        <v>0</v>
      </c>
      <c r="Z79" s="89">
        <v>0</v>
      </c>
      <c r="AA79" s="90" t="s">
        <v>164</v>
      </c>
    </row>
    <row r="80" spans="1:27" s="90" customFormat="1">
      <c r="A80" s="85">
        <v>4202</v>
      </c>
      <c r="B80" s="85" t="s">
        <v>41</v>
      </c>
      <c r="C80" s="85" t="s">
        <v>34</v>
      </c>
      <c r="D80" s="85">
        <v>10015</v>
      </c>
      <c r="E80" s="85">
        <v>20000</v>
      </c>
      <c r="F80" s="85" t="s">
        <v>102</v>
      </c>
      <c r="G80" s="85">
        <v>0</v>
      </c>
      <c r="H80" s="86">
        <v>0</v>
      </c>
      <c r="I80" s="105">
        <v>313</v>
      </c>
      <c r="J80" s="106">
        <v>13</v>
      </c>
      <c r="K80" s="106">
        <v>7</v>
      </c>
      <c r="L80" s="107">
        <v>7</v>
      </c>
      <c r="M80" s="85">
        <v>0</v>
      </c>
      <c r="N80" s="85">
        <v>0</v>
      </c>
      <c r="O80" s="85">
        <v>0</v>
      </c>
      <c r="P80" s="85">
        <v>0</v>
      </c>
      <c r="Q80" s="85">
        <v>2</v>
      </c>
      <c r="R80" s="88">
        <v>0</v>
      </c>
      <c r="S80" s="102">
        <v>3750</v>
      </c>
      <c r="T80" s="102">
        <v>150</v>
      </c>
      <c r="U80" s="102">
        <v>75</v>
      </c>
      <c r="V80" s="102">
        <v>75</v>
      </c>
      <c r="W80" s="89">
        <v>0</v>
      </c>
      <c r="X80" s="89">
        <v>0</v>
      </c>
      <c r="Y80" s="89">
        <v>0</v>
      </c>
      <c r="Z80" s="89">
        <v>0</v>
      </c>
      <c r="AA80" s="90" t="s">
        <v>164</v>
      </c>
    </row>
    <row r="81" spans="1:27" s="90" customFormat="1">
      <c r="A81" s="85">
        <v>4203</v>
      </c>
      <c r="B81" s="85" t="s">
        <v>42</v>
      </c>
      <c r="C81" s="85" t="s">
        <v>35</v>
      </c>
      <c r="D81" s="85">
        <v>10025</v>
      </c>
      <c r="E81" s="85">
        <v>50000</v>
      </c>
      <c r="F81" s="85" t="s">
        <v>103</v>
      </c>
      <c r="G81" s="85">
        <v>1</v>
      </c>
      <c r="H81" s="86">
        <v>0</v>
      </c>
      <c r="I81" s="105">
        <v>469</v>
      </c>
      <c r="J81" s="106">
        <v>19</v>
      </c>
      <c r="K81" s="106">
        <v>10</v>
      </c>
      <c r="L81" s="107">
        <v>10</v>
      </c>
      <c r="M81" s="85">
        <v>0</v>
      </c>
      <c r="N81" s="85">
        <v>0</v>
      </c>
      <c r="O81" s="85">
        <v>0</v>
      </c>
      <c r="P81" s="85">
        <v>0</v>
      </c>
      <c r="Q81" s="85">
        <v>3</v>
      </c>
      <c r="R81" s="88">
        <v>0</v>
      </c>
      <c r="S81" s="102">
        <v>3750</v>
      </c>
      <c r="T81" s="102">
        <v>150</v>
      </c>
      <c r="U81" s="102">
        <v>75</v>
      </c>
      <c r="V81" s="102">
        <v>75</v>
      </c>
      <c r="W81" s="89">
        <v>0</v>
      </c>
      <c r="X81" s="89">
        <v>0</v>
      </c>
      <c r="Y81" s="89">
        <v>0</v>
      </c>
      <c r="Z81" s="89">
        <v>0</v>
      </c>
      <c r="AA81" s="90" t="s">
        <v>164</v>
      </c>
    </row>
    <row r="82" spans="1:27" s="90" customFormat="1">
      <c r="A82" s="85">
        <v>4204</v>
      </c>
      <c r="B82" s="85" t="s">
        <v>43</v>
      </c>
      <c r="C82" s="85" t="s">
        <v>36</v>
      </c>
      <c r="D82" s="85">
        <v>10035</v>
      </c>
      <c r="E82" s="85">
        <v>100000</v>
      </c>
      <c r="F82" s="85" t="s">
        <v>104</v>
      </c>
      <c r="G82" s="85">
        <v>1</v>
      </c>
      <c r="H82" s="86">
        <v>0</v>
      </c>
      <c r="I82" s="105">
        <v>625</v>
      </c>
      <c r="J82" s="106">
        <v>25</v>
      </c>
      <c r="K82" s="106">
        <v>13</v>
      </c>
      <c r="L82" s="107">
        <v>13</v>
      </c>
      <c r="M82" s="85">
        <v>0</v>
      </c>
      <c r="N82" s="85">
        <v>0</v>
      </c>
      <c r="O82" s="85">
        <v>0</v>
      </c>
      <c r="P82" s="85">
        <v>0</v>
      </c>
      <c r="Q82" s="85">
        <v>4</v>
      </c>
      <c r="R82" s="88">
        <v>0</v>
      </c>
      <c r="S82" s="102">
        <v>3750</v>
      </c>
      <c r="T82" s="102">
        <v>150</v>
      </c>
      <c r="U82" s="102">
        <v>75</v>
      </c>
      <c r="V82" s="102">
        <v>75</v>
      </c>
      <c r="W82" s="89">
        <v>0</v>
      </c>
      <c r="X82" s="89">
        <v>0</v>
      </c>
      <c r="Y82" s="89">
        <v>0</v>
      </c>
      <c r="Z82" s="89">
        <v>0</v>
      </c>
      <c r="AA82" s="90" t="s">
        <v>164</v>
      </c>
    </row>
    <row r="83" spans="1:27" s="90" customFormat="1">
      <c r="A83" s="85">
        <v>4205</v>
      </c>
      <c r="B83" s="85" t="s">
        <v>44</v>
      </c>
      <c r="C83" s="85" t="s">
        <v>37</v>
      </c>
      <c r="D83" s="85">
        <v>10045</v>
      </c>
      <c r="E83" s="85">
        <v>200000</v>
      </c>
      <c r="F83" s="85" t="s">
        <v>105</v>
      </c>
      <c r="G83" s="85">
        <v>2</v>
      </c>
      <c r="H83" s="86">
        <v>0</v>
      </c>
      <c r="I83" s="105">
        <v>781</v>
      </c>
      <c r="J83" s="106">
        <v>31</v>
      </c>
      <c r="K83" s="106">
        <v>16</v>
      </c>
      <c r="L83" s="107">
        <v>16</v>
      </c>
      <c r="M83" s="85">
        <v>0</v>
      </c>
      <c r="N83" s="85">
        <v>0</v>
      </c>
      <c r="O83" s="85">
        <v>0</v>
      </c>
      <c r="P83" s="85">
        <v>0</v>
      </c>
      <c r="Q83" s="85">
        <v>5</v>
      </c>
      <c r="R83" s="88">
        <v>0</v>
      </c>
      <c r="S83" s="102">
        <v>3750</v>
      </c>
      <c r="T83" s="102">
        <v>150</v>
      </c>
      <c r="U83" s="102">
        <v>75</v>
      </c>
      <c r="V83" s="102">
        <v>75</v>
      </c>
      <c r="W83" s="89">
        <v>0</v>
      </c>
      <c r="X83" s="89">
        <v>0</v>
      </c>
      <c r="Y83" s="89">
        <v>0</v>
      </c>
      <c r="Z83" s="89">
        <v>0</v>
      </c>
      <c r="AA83" s="90" t="s">
        <v>164</v>
      </c>
    </row>
    <row r="84" spans="1:27" s="90" customFormat="1">
      <c r="A84" s="85">
        <v>4206</v>
      </c>
      <c r="B84" s="85" t="s">
        <v>45</v>
      </c>
      <c r="C84" s="85" t="s">
        <v>38</v>
      </c>
      <c r="D84" s="85">
        <v>10055</v>
      </c>
      <c r="E84" s="85">
        <v>300000</v>
      </c>
      <c r="F84" s="85" t="s">
        <v>106</v>
      </c>
      <c r="G84" s="85">
        <v>2</v>
      </c>
      <c r="H84" s="86">
        <v>0</v>
      </c>
      <c r="I84" s="105">
        <v>938</v>
      </c>
      <c r="J84" s="106">
        <v>38</v>
      </c>
      <c r="K84" s="106">
        <v>20</v>
      </c>
      <c r="L84" s="107">
        <v>20</v>
      </c>
      <c r="M84" s="85">
        <v>0</v>
      </c>
      <c r="N84" s="85">
        <v>0</v>
      </c>
      <c r="O84" s="85">
        <v>0</v>
      </c>
      <c r="P84" s="85">
        <v>0</v>
      </c>
      <c r="Q84" s="85">
        <v>6</v>
      </c>
      <c r="R84" s="88">
        <v>0</v>
      </c>
      <c r="S84" s="102">
        <v>3750</v>
      </c>
      <c r="T84" s="102">
        <v>150</v>
      </c>
      <c r="U84" s="102">
        <v>75</v>
      </c>
      <c r="V84" s="102">
        <v>75</v>
      </c>
      <c r="W84" s="89">
        <v>0</v>
      </c>
      <c r="X84" s="89">
        <v>0</v>
      </c>
      <c r="Y84" s="89">
        <v>0</v>
      </c>
      <c r="Z84" s="89">
        <v>0</v>
      </c>
      <c r="AA84" s="90" t="s">
        <v>164</v>
      </c>
    </row>
    <row r="85" spans="1:27" s="90" customFormat="1">
      <c r="A85" s="85">
        <v>4207</v>
      </c>
      <c r="B85" s="85" t="s">
        <v>46</v>
      </c>
      <c r="C85" s="85" t="s">
        <v>39</v>
      </c>
      <c r="D85" s="85">
        <v>10065</v>
      </c>
      <c r="E85" s="85">
        <v>500000</v>
      </c>
      <c r="F85" s="85" t="s">
        <v>107</v>
      </c>
      <c r="G85" s="85">
        <v>4</v>
      </c>
      <c r="H85" s="86">
        <v>0</v>
      </c>
      <c r="I85" s="105">
        <v>1094</v>
      </c>
      <c r="J85" s="106">
        <v>44</v>
      </c>
      <c r="K85" s="106">
        <v>23</v>
      </c>
      <c r="L85" s="107">
        <v>23</v>
      </c>
      <c r="M85" s="85">
        <v>0</v>
      </c>
      <c r="N85" s="85">
        <v>0</v>
      </c>
      <c r="O85" s="85">
        <v>0</v>
      </c>
      <c r="P85" s="85">
        <v>0</v>
      </c>
      <c r="Q85" s="85">
        <v>7</v>
      </c>
      <c r="R85" s="88">
        <v>0</v>
      </c>
      <c r="S85" s="102">
        <v>3750</v>
      </c>
      <c r="T85" s="102">
        <v>150</v>
      </c>
      <c r="U85" s="102">
        <v>75</v>
      </c>
      <c r="V85" s="102">
        <v>75</v>
      </c>
      <c r="W85" s="89">
        <v>0</v>
      </c>
      <c r="X85" s="89">
        <v>0</v>
      </c>
      <c r="Y85" s="89">
        <v>0</v>
      </c>
      <c r="Z85" s="89">
        <v>0</v>
      </c>
      <c r="AA85" s="90" t="s">
        <v>164</v>
      </c>
    </row>
    <row r="86" spans="1:27" s="90" customFormat="1">
      <c r="A86" s="85">
        <v>4208</v>
      </c>
      <c r="B86" s="85" t="s">
        <v>47</v>
      </c>
      <c r="C86" s="85" t="s">
        <v>40</v>
      </c>
      <c r="D86" s="85">
        <v>10075</v>
      </c>
      <c r="E86" s="85">
        <v>800000</v>
      </c>
      <c r="F86" s="85" t="s">
        <v>108</v>
      </c>
      <c r="G86" s="85">
        <v>6</v>
      </c>
      <c r="H86" s="86">
        <v>0</v>
      </c>
      <c r="I86" s="105">
        <v>1250</v>
      </c>
      <c r="J86" s="106">
        <v>50</v>
      </c>
      <c r="K86" s="106">
        <v>26</v>
      </c>
      <c r="L86" s="107">
        <v>26</v>
      </c>
      <c r="M86" s="85">
        <v>0</v>
      </c>
      <c r="N86" s="85">
        <v>0</v>
      </c>
      <c r="O86" s="85">
        <v>0</v>
      </c>
      <c r="P86" s="85">
        <v>0</v>
      </c>
      <c r="Q86" s="85">
        <v>8</v>
      </c>
      <c r="R86" s="88">
        <v>0</v>
      </c>
      <c r="S86" s="102">
        <v>3750</v>
      </c>
      <c r="T86" s="102">
        <v>150</v>
      </c>
      <c r="U86" s="102">
        <v>75</v>
      </c>
      <c r="V86" s="102">
        <v>75</v>
      </c>
      <c r="W86" s="89">
        <v>0</v>
      </c>
      <c r="X86" s="89">
        <v>0</v>
      </c>
      <c r="Y86" s="89">
        <v>0</v>
      </c>
      <c r="Z86" s="89">
        <v>0</v>
      </c>
      <c r="AA86" s="90" t="s">
        <v>164</v>
      </c>
    </row>
    <row r="87" spans="1:27" s="90" customFormat="1">
      <c r="A87" s="85">
        <v>4209</v>
      </c>
      <c r="B87" s="85" t="s">
        <v>69</v>
      </c>
      <c r="C87" s="85" t="s">
        <v>32</v>
      </c>
      <c r="D87" s="85">
        <v>10085</v>
      </c>
      <c r="E87" s="85">
        <v>1200000</v>
      </c>
      <c r="F87" s="85" t="s">
        <v>109</v>
      </c>
      <c r="G87" s="85">
        <v>8</v>
      </c>
      <c r="H87" s="86">
        <v>0</v>
      </c>
      <c r="I87" s="105">
        <v>1406</v>
      </c>
      <c r="J87" s="106">
        <v>56</v>
      </c>
      <c r="K87" s="106">
        <v>29</v>
      </c>
      <c r="L87" s="107">
        <v>29</v>
      </c>
      <c r="M87" s="85">
        <v>0</v>
      </c>
      <c r="N87" s="85">
        <v>0</v>
      </c>
      <c r="O87" s="85">
        <v>0</v>
      </c>
      <c r="P87" s="85">
        <v>0</v>
      </c>
      <c r="Q87" s="85">
        <v>9</v>
      </c>
      <c r="R87" s="88">
        <v>0</v>
      </c>
      <c r="S87" s="102">
        <v>3750</v>
      </c>
      <c r="T87" s="102">
        <v>150</v>
      </c>
      <c r="U87" s="102">
        <v>75</v>
      </c>
      <c r="V87" s="102">
        <v>75</v>
      </c>
      <c r="W87" s="89">
        <v>0</v>
      </c>
      <c r="X87" s="89">
        <v>0</v>
      </c>
      <c r="Y87" s="89">
        <v>0</v>
      </c>
      <c r="Z87" s="89">
        <v>0</v>
      </c>
      <c r="AA87" s="90" t="s">
        <v>164</v>
      </c>
    </row>
    <row r="88" spans="1:27" s="90" customFormat="1">
      <c r="A88" s="85">
        <v>4210</v>
      </c>
      <c r="B88" s="85" t="s">
        <v>71</v>
      </c>
      <c r="C88" s="85" t="s">
        <v>31</v>
      </c>
      <c r="D88" s="85">
        <v>10095</v>
      </c>
      <c r="E88" s="85">
        <v>1600000</v>
      </c>
      <c r="F88" s="85" t="s">
        <v>110</v>
      </c>
      <c r="G88" s="85">
        <v>10</v>
      </c>
      <c r="H88" s="86">
        <v>0</v>
      </c>
      <c r="I88" s="105">
        <v>1563</v>
      </c>
      <c r="J88" s="106">
        <v>63</v>
      </c>
      <c r="K88" s="106">
        <v>33</v>
      </c>
      <c r="L88" s="107">
        <v>33</v>
      </c>
      <c r="M88" s="85">
        <v>0</v>
      </c>
      <c r="N88" s="85">
        <v>0</v>
      </c>
      <c r="O88" s="85">
        <v>0</v>
      </c>
      <c r="P88" s="85">
        <v>0</v>
      </c>
      <c r="Q88" s="85">
        <v>10</v>
      </c>
      <c r="R88" s="88">
        <v>0</v>
      </c>
      <c r="S88" s="102">
        <v>3750</v>
      </c>
      <c r="T88" s="102">
        <v>150</v>
      </c>
      <c r="U88" s="102">
        <v>75</v>
      </c>
      <c r="V88" s="102">
        <v>75</v>
      </c>
      <c r="W88" s="89">
        <v>0</v>
      </c>
      <c r="X88" s="89">
        <v>0</v>
      </c>
      <c r="Y88" s="89">
        <v>0</v>
      </c>
      <c r="Z88" s="89">
        <v>0</v>
      </c>
      <c r="AA88" s="90" t="s">
        <v>164</v>
      </c>
    </row>
    <row r="89" spans="1:27" s="90" customFormat="1">
      <c r="A89" s="85">
        <v>4211</v>
      </c>
      <c r="B89" s="85" t="s">
        <v>73</v>
      </c>
      <c r="C89" s="85" t="s">
        <v>74</v>
      </c>
      <c r="D89" s="85">
        <v>10105</v>
      </c>
      <c r="E89" s="85">
        <v>2000000</v>
      </c>
      <c r="F89" s="85" t="s">
        <v>90</v>
      </c>
      <c r="G89" s="85">
        <v>12</v>
      </c>
      <c r="H89" s="86">
        <v>0</v>
      </c>
      <c r="I89" s="105">
        <v>1719</v>
      </c>
      <c r="J89" s="106">
        <v>69</v>
      </c>
      <c r="K89" s="106">
        <v>36</v>
      </c>
      <c r="L89" s="107">
        <v>36</v>
      </c>
      <c r="M89" s="85">
        <v>0</v>
      </c>
      <c r="N89" s="85">
        <v>0</v>
      </c>
      <c r="O89" s="85">
        <v>0</v>
      </c>
      <c r="P89" s="85">
        <v>0</v>
      </c>
      <c r="Q89" s="85">
        <v>11</v>
      </c>
      <c r="R89" s="88">
        <v>0</v>
      </c>
      <c r="S89" s="102">
        <v>3750</v>
      </c>
      <c r="T89" s="102">
        <v>150</v>
      </c>
      <c r="U89" s="102">
        <v>75</v>
      </c>
      <c r="V89" s="102">
        <v>75</v>
      </c>
      <c r="W89" s="89">
        <v>0</v>
      </c>
      <c r="X89" s="89">
        <v>0</v>
      </c>
      <c r="Y89" s="89">
        <v>0</v>
      </c>
      <c r="Z89" s="89">
        <v>0</v>
      </c>
      <c r="AA89" s="90" t="s">
        <v>164</v>
      </c>
    </row>
    <row r="90" spans="1:27" s="90" customFormat="1">
      <c r="A90" s="85">
        <v>4212</v>
      </c>
      <c r="B90" s="85" t="s">
        <v>75</v>
      </c>
      <c r="C90" s="85" t="s">
        <v>76</v>
      </c>
      <c r="D90" s="85">
        <v>10115</v>
      </c>
      <c r="E90" s="85">
        <v>2500000</v>
      </c>
      <c r="F90" s="85" t="s">
        <v>111</v>
      </c>
      <c r="G90" s="85">
        <v>14</v>
      </c>
      <c r="H90" s="86">
        <v>0</v>
      </c>
      <c r="I90" s="105">
        <v>1875</v>
      </c>
      <c r="J90" s="106">
        <v>75</v>
      </c>
      <c r="K90" s="106">
        <v>39</v>
      </c>
      <c r="L90" s="107">
        <v>39</v>
      </c>
      <c r="M90" s="85">
        <v>0</v>
      </c>
      <c r="N90" s="85">
        <v>0</v>
      </c>
      <c r="O90" s="85">
        <v>0</v>
      </c>
      <c r="P90" s="85">
        <v>0</v>
      </c>
      <c r="Q90" s="85">
        <v>12</v>
      </c>
      <c r="R90" s="88">
        <v>0</v>
      </c>
      <c r="S90" s="102">
        <v>3750</v>
      </c>
      <c r="T90" s="102">
        <v>150</v>
      </c>
      <c r="U90" s="102">
        <v>75</v>
      </c>
      <c r="V90" s="102">
        <v>75</v>
      </c>
      <c r="W90" s="89">
        <v>0</v>
      </c>
      <c r="X90" s="89">
        <v>0</v>
      </c>
      <c r="Y90" s="89">
        <v>0</v>
      </c>
      <c r="Z90" s="89">
        <v>0</v>
      </c>
      <c r="AA90" s="90" t="s">
        <v>164</v>
      </c>
    </row>
    <row r="91" spans="1:27" s="90" customFormat="1">
      <c r="A91" s="85">
        <v>4213</v>
      </c>
      <c r="B91" s="85" t="s">
        <v>182</v>
      </c>
      <c r="C91" s="85" t="s">
        <v>183</v>
      </c>
      <c r="D91" s="85">
        <v>10125</v>
      </c>
      <c r="E91" s="85">
        <v>3000000</v>
      </c>
      <c r="F91" s="85" t="s">
        <v>114</v>
      </c>
      <c r="G91" s="85">
        <v>16</v>
      </c>
      <c r="H91" s="86">
        <v>0</v>
      </c>
      <c r="I91" s="105">
        <v>2031</v>
      </c>
      <c r="J91" s="106">
        <v>81</v>
      </c>
      <c r="K91" s="106">
        <v>42</v>
      </c>
      <c r="L91" s="107">
        <v>42</v>
      </c>
      <c r="M91" s="85">
        <v>0</v>
      </c>
      <c r="N91" s="85">
        <v>0</v>
      </c>
      <c r="O91" s="85">
        <v>0</v>
      </c>
      <c r="P91" s="85">
        <v>0</v>
      </c>
      <c r="Q91" s="85">
        <v>13</v>
      </c>
      <c r="R91" s="88">
        <v>0</v>
      </c>
      <c r="S91" s="102">
        <v>3750</v>
      </c>
      <c r="T91" s="102">
        <v>150</v>
      </c>
      <c r="U91" s="102">
        <v>75</v>
      </c>
      <c r="V91" s="102">
        <v>75</v>
      </c>
      <c r="W91" s="89">
        <v>0</v>
      </c>
      <c r="X91" s="89">
        <v>0</v>
      </c>
      <c r="Y91" s="89">
        <v>0</v>
      </c>
      <c r="Z91" s="89">
        <v>0</v>
      </c>
      <c r="AA91" s="90" t="s">
        <v>164</v>
      </c>
    </row>
    <row r="92" spans="1:27" s="90" customFormat="1">
      <c r="A92" s="85">
        <v>4214</v>
      </c>
      <c r="B92" s="85" t="s">
        <v>184</v>
      </c>
      <c r="C92" s="85" t="s">
        <v>185</v>
      </c>
      <c r="D92" s="85">
        <v>10135</v>
      </c>
      <c r="E92" s="85">
        <v>4000000</v>
      </c>
      <c r="F92" s="85" t="s">
        <v>197</v>
      </c>
      <c r="G92" s="85">
        <v>20</v>
      </c>
      <c r="H92" s="86">
        <v>0</v>
      </c>
      <c r="I92" s="105">
        <v>2188</v>
      </c>
      <c r="J92" s="106">
        <v>88</v>
      </c>
      <c r="K92" s="106">
        <v>46</v>
      </c>
      <c r="L92" s="107">
        <v>46</v>
      </c>
      <c r="M92" s="85">
        <v>0</v>
      </c>
      <c r="N92" s="85">
        <v>0</v>
      </c>
      <c r="O92" s="85">
        <v>0</v>
      </c>
      <c r="P92" s="85">
        <v>0</v>
      </c>
      <c r="Q92" s="85">
        <v>14</v>
      </c>
      <c r="R92" s="88">
        <v>0</v>
      </c>
      <c r="S92" s="102">
        <v>3750</v>
      </c>
      <c r="T92" s="102">
        <v>150</v>
      </c>
      <c r="U92" s="102">
        <v>75</v>
      </c>
      <c r="V92" s="102">
        <v>75</v>
      </c>
      <c r="W92" s="89">
        <v>0</v>
      </c>
      <c r="X92" s="89">
        <v>0</v>
      </c>
      <c r="Y92" s="89">
        <v>0</v>
      </c>
      <c r="Z92" s="89">
        <v>0</v>
      </c>
      <c r="AA92" s="90" t="s">
        <v>164</v>
      </c>
    </row>
    <row r="93" spans="1:27" s="90" customFormat="1">
      <c r="A93" s="85">
        <v>4215</v>
      </c>
      <c r="B93" s="85" t="s">
        <v>186</v>
      </c>
      <c r="C93" s="85" t="s">
        <v>187</v>
      </c>
      <c r="D93" s="85">
        <v>10145</v>
      </c>
      <c r="E93" s="85">
        <v>5000000</v>
      </c>
      <c r="F93" s="85" t="s">
        <v>195</v>
      </c>
      <c r="G93" s="85">
        <v>20</v>
      </c>
      <c r="H93" s="86">
        <v>0</v>
      </c>
      <c r="I93" s="105">
        <v>2344</v>
      </c>
      <c r="J93" s="106">
        <v>94</v>
      </c>
      <c r="K93" s="106">
        <v>49</v>
      </c>
      <c r="L93" s="107">
        <v>49</v>
      </c>
      <c r="M93" s="85">
        <v>0</v>
      </c>
      <c r="N93" s="85">
        <v>0</v>
      </c>
      <c r="O93" s="85">
        <v>0</v>
      </c>
      <c r="P93" s="85">
        <v>0</v>
      </c>
      <c r="Q93" s="85">
        <v>15</v>
      </c>
      <c r="R93" s="88">
        <v>0</v>
      </c>
      <c r="S93" s="102">
        <v>3750</v>
      </c>
      <c r="T93" s="102">
        <v>150</v>
      </c>
      <c r="U93" s="102">
        <v>75</v>
      </c>
      <c r="V93" s="102">
        <v>75</v>
      </c>
      <c r="W93" s="89">
        <v>0</v>
      </c>
      <c r="X93" s="89">
        <v>0</v>
      </c>
      <c r="Y93" s="89">
        <v>0</v>
      </c>
      <c r="Z93" s="89">
        <v>0</v>
      </c>
      <c r="AA93" s="90" t="s">
        <v>164</v>
      </c>
    </row>
    <row r="94" spans="1:27" s="71" customFormat="1">
      <c r="A94" s="66">
        <v>4301</v>
      </c>
      <c r="B94" s="66" t="s">
        <v>121</v>
      </c>
      <c r="C94" s="66" t="s">
        <v>33</v>
      </c>
      <c r="D94" s="66">
        <v>10001</v>
      </c>
      <c r="E94" s="66">
        <v>5000</v>
      </c>
      <c r="F94" s="66" t="s">
        <v>101</v>
      </c>
      <c r="G94" s="66">
        <v>0</v>
      </c>
      <c r="H94" s="67">
        <v>0</v>
      </c>
      <c r="I94" s="105">
        <v>156</v>
      </c>
      <c r="J94" s="106">
        <v>6</v>
      </c>
      <c r="K94" s="106">
        <v>3</v>
      </c>
      <c r="L94" s="107">
        <v>3</v>
      </c>
      <c r="M94" s="66">
        <v>0</v>
      </c>
      <c r="N94" s="66">
        <v>0</v>
      </c>
      <c r="O94" s="66">
        <v>0</v>
      </c>
      <c r="P94" s="66">
        <v>0</v>
      </c>
      <c r="Q94" s="66">
        <v>1</v>
      </c>
      <c r="R94" s="69">
        <v>0</v>
      </c>
      <c r="S94" s="102">
        <v>3750</v>
      </c>
      <c r="T94" s="102">
        <v>150</v>
      </c>
      <c r="U94" s="102">
        <v>75</v>
      </c>
      <c r="V94" s="102">
        <v>75</v>
      </c>
      <c r="W94" s="70">
        <v>0</v>
      </c>
      <c r="X94" s="70">
        <v>0</v>
      </c>
      <c r="Y94" s="70">
        <v>0</v>
      </c>
      <c r="Z94" s="70">
        <v>0</v>
      </c>
      <c r="AA94" s="71" t="s">
        <v>169</v>
      </c>
    </row>
    <row r="95" spans="1:27" s="71" customFormat="1">
      <c r="A95" s="66">
        <v>4302</v>
      </c>
      <c r="B95" s="66" t="s">
        <v>41</v>
      </c>
      <c r="C95" s="66" t="s">
        <v>34</v>
      </c>
      <c r="D95" s="66">
        <v>10015</v>
      </c>
      <c r="E95" s="66">
        <v>20000</v>
      </c>
      <c r="F95" s="66" t="s">
        <v>102</v>
      </c>
      <c r="G95" s="66">
        <v>0</v>
      </c>
      <c r="H95" s="67">
        <v>0</v>
      </c>
      <c r="I95" s="105">
        <v>313</v>
      </c>
      <c r="J95" s="106">
        <v>13</v>
      </c>
      <c r="K95" s="106">
        <v>7</v>
      </c>
      <c r="L95" s="107">
        <v>7</v>
      </c>
      <c r="M95" s="66">
        <v>0</v>
      </c>
      <c r="N95" s="66">
        <v>0</v>
      </c>
      <c r="O95" s="66">
        <v>0</v>
      </c>
      <c r="P95" s="66">
        <v>0</v>
      </c>
      <c r="Q95" s="66">
        <v>2</v>
      </c>
      <c r="R95" s="69">
        <v>0</v>
      </c>
      <c r="S95" s="102">
        <v>3750</v>
      </c>
      <c r="T95" s="102">
        <v>150</v>
      </c>
      <c r="U95" s="102">
        <v>75</v>
      </c>
      <c r="V95" s="102">
        <v>75</v>
      </c>
      <c r="W95" s="70">
        <v>0</v>
      </c>
      <c r="X95" s="70">
        <v>0</v>
      </c>
      <c r="Y95" s="70">
        <v>0</v>
      </c>
      <c r="Z95" s="70">
        <v>0</v>
      </c>
      <c r="AA95" s="71" t="s">
        <v>169</v>
      </c>
    </row>
    <row r="96" spans="1:27" s="71" customFormat="1">
      <c r="A96" s="66">
        <v>4303</v>
      </c>
      <c r="B96" s="66" t="s">
        <v>42</v>
      </c>
      <c r="C96" s="66" t="s">
        <v>35</v>
      </c>
      <c r="D96" s="66">
        <v>10025</v>
      </c>
      <c r="E96" s="66">
        <v>50000</v>
      </c>
      <c r="F96" s="66" t="s">
        <v>103</v>
      </c>
      <c r="G96" s="66">
        <v>1</v>
      </c>
      <c r="H96" s="67">
        <v>0</v>
      </c>
      <c r="I96" s="105">
        <v>469</v>
      </c>
      <c r="J96" s="106">
        <v>19</v>
      </c>
      <c r="K96" s="106">
        <v>10</v>
      </c>
      <c r="L96" s="107">
        <v>10</v>
      </c>
      <c r="M96" s="66">
        <v>0</v>
      </c>
      <c r="N96" s="66">
        <v>0</v>
      </c>
      <c r="O96" s="66">
        <v>0</v>
      </c>
      <c r="P96" s="66">
        <v>0</v>
      </c>
      <c r="Q96" s="66">
        <v>3</v>
      </c>
      <c r="R96" s="69">
        <v>0</v>
      </c>
      <c r="S96" s="102">
        <v>3750</v>
      </c>
      <c r="T96" s="102">
        <v>150</v>
      </c>
      <c r="U96" s="102">
        <v>75</v>
      </c>
      <c r="V96" s="102">
        <v>75</v>
      </c>
      <c r="W96" s="70">
        <v>0</v>
      </c>
      <c r="X96" s="70">
        <v>0</v>
      </c>
      <c r="Y96" s="70">
        <v>0</v>
      </c>
      <c r="Z96" s="70">
        <v>0</v>
      </c>
      <c r="AA96" s="71" t="s">
        <v>169</v>
      </c>
    </row>
    <row r="97" spans="1:27" s="71" customFormat="1">
      <c r="A97" s="66">
        <v>4304</v>
      </c>
      <c r="B97" s="66" t="s">
        <v>43</v>
      </c>
      <c r="C97" s="66" t="s">
        <v>36</v>
      </c>
      <c r="D97" s="66">
        <v>10035</v>
      </c>
      <c r="E97" s="66">
        <v>100000</v>
      </c>
      <c r="F97" s="66" t="s">
        <v>104</v>
      </c>
      <c r="G97" s="66">
        <v>1</v>
      </c>
      <c r="H97" s="67">
        <v>0</v>
      </c>
      <c r="I97" s="105">
        <v>625</v>
      </c>
      <c r="J97" s="106">
        <v>25</v>
      </c>
      <c r="K97" s="106">
        <v>13</v>
      </c>
      <c r="L97" s="107">
        <v>13</v>
      </c>
      <c r="M97" s="66">
        <v>0</v>
      </c>
      <c r="N97" s="66">
        <v>0</v>
      </c>
      <c r="O97" s="66">
        <v>0</v>
      </c>
      <c r="P97" s="66">
        <v>0</v>
      </c>
      <c r="Q97" s="66">
        <v>4</v>
      </c>
      <c r="R97" s="69">
        <v>0</v>
      </c>
      <c r="S97" s="102">
        <v>3750</v>
      </c>
      <c r="T97" s="102">
        <v>150</v>
      </c>
      <c r="U97" s="102">
        <v>75</v>
      </c>
      <c r="V97" s="102">
        <v>75</v>
      </c>
      <c r="W97" s="70">
        <v>0</v>
      </c>
      <c r="X97" s="70">
        <v>0</v>
      </c>
      <c r="Y97" s="70">
        <v>0</v>
      </c>
      <c r="Z97" s="70">
        <v>0</v>
      </c>
      <c r="AA97" s="71" t="s">
        <v>169</v>
      </c>
    </row>
    <row r="98" spans="1:27" s="71" customFormat="1">
      <c r="A98" s="66">
        <v>4305</v>
      </c>
      <c r="B98" s="66" t="s">
        <v>44</v>
      </c>
      <c r="C98" s="66" t="s">
        <v>37</v>
      </c>
      <c r="D98" s="66">
        <v>10045</v>
      </c>
      <c r="E98" s="66">
        <v>200000</v>
      </c>
      <c r="F98" s="66" t="s">
        <v>105</v>
      </c>
      <c r="G98" s="66">
        <v>2</v>
      </c>
      <c r="H98" s="67">
        <v>0</v>
      </c>
      <c r="I98" s="105">
        <v>781</v>
      </c>
      <c r="J98" s="106">
        <v>31</v>
      </c>
      <c r="K98" s="106">
        <v>16</v>
      </c>
      <c r="L98" s="107">
        <v>16</v>
      </c>
      <c r="M98" s="66">
        <v>0</v>
      </c>
      <c r="N98" s="66">
        <v>0</v>
      </c>
      <c r="O98" s="66">
        <v>0</v>
      </c>
      <c r="P98" s="66">
        <v>0</v>
      </c>
      <c r="Q98" s="66">
        <v>5</v>
      </c>
      <c r="R98" s="69">
        <v>0</v>
      </c>
      <c r="S98" s="102">
        <v>3750</v>
      </c>
      <c r="T98" s="102">
        <v>150</v>
      </c>
      <c r="U98" s="102">
        <v>75</v>
      </c>
      <c r="V98" s="102">
        <v>75</v>
      </c>
      <c r="W98" s="70">
        <v>0</v>
      </c>
      <c r="X98" s="70">
        <v>0</v>
      </c>
      <c r="Y98" s="70">
        <v>0</v>
      </c>
      <c r="Z98" s="70">
        <v>0</v>
      </c>
      <c r="AA98" s="71" t="s">
        <v>169</v>
      </c>
    </row>
    <row r="99" spans="1:27" s="71" customFormat="1">
      <c r="A99" s="66">
        <v>4306</v>
      </c>
      <c r="B99" s="66" t="s">
        <v>45</v>
      </c>
      <c r="C99" s="66" t="s">
        <v>38</v>
      </c>
      <c r="D99" s="66">
        <v>10055</v>
      </c>
      <c r="E99" s="66">
        <v>300000</v>
      </c>
      <c r="F99" s="66" t="s">
        <v>106</v>
      </c>
      <c r="G99" s="66">
        <v>2</v>
      </c>
      <c r="H99" s="67">
        <v>0</v>
      </c>
      <c r="I99" s="105">
        <v>938</v>
      </c>
      <c r="J99" s="106">
        <v>38</v>
      </c>
      <c r="K99" s="106">
        <v>20</v>
      </c>
      <c r="L99" s="107">
        <v>20</v>
      </c>
      <c r="M99" s="66">
        <v>0</v>
      </c>
      <c r="N99" s="66">
        <v>0</v>
      </c>
      <c r="O99" s="66">
        <v>0</v>
      </c>
      <c r="P99" s="66">
        <v>0</v>
      </c>
      <c r="Q99" s="66">
        <v>6</v>
      </c>
      <c r="R99" s="69">
        <v>0</v>
      </c>
      <c r="S99" s="102">
        <v>3750</v>
      </c>
      <c r="T99" s="102">
        <v>150</v>
      </c>
      <c r="U99" s="102">
        <v>75</v>
      </c>
      <c r="V99" s="102">
        <v>75</v>
      </c>
      <c r="W99" s="70">
        <v>0</v>
      </c>
      <c r="X99" s="70">
        <v>0</v>
      </c>
      <c r="Y99" s="70">
        <v>0</v>
      </c>
      <c r="Z99" s="70">
        <v>0</v>
      </c>
      <c r="AA99" s="71" t="s">
        <v>169</v>
      </c>
    </row>
    <row r="100" spans="1:27" s="71" customFormat="1">
      <c r="A100" s="66">
        <v>4307</v>
      </c>
      <c r="B100" s="66" t="s">
        <v>46</v>
      </c>
      <c r="C100" s="66" t="s">
        <v>39</v>
      </c>
      <c r="D100" s="66">
        <v>10065</v>
      </c>
      <c r="E100" s="66">
        <v>500000</v>
      </c>
      <c r="F100" s="66" t="s">
        <v>107</v>
      </c>
      <c r="G100" s="66">
        <v>4</v>
      </c>
      <c r="H100" s="67">
        <v>0</v>
      </c>
      <c r="I100" s="105">
        <v>1094</v>
      </c>
      <c r="J100" s="106">
        <v>44</v>
      </c>
      <c r="K100" s="106">
        <v>23</v>
      </c>
      <c r="L100" s="107">
        <v>23</v>
      </c>
      <c r="M100" s="66">
        <v>0</v>
      </c>
      <c r="N100" s="66">
        <v>0</v>
      </c>
      <c r="O100" s="66">
        <v>0</v>
      </c>
      <c r="P100" s="66">
        <v>0</v>
      </c>
      <c r="Q100" s="66">
        <v>7</v>
      </c>
      <c r="R100" s="69">
        <v>0</v>
      </c>
      <c r="S100" s="102">
        <v>3750</v>
      </c>
      <c r="T100" s="102">
        <v>150</v>
      </c>
      <c r="U100" s="102">
        <v>75</v>
      </c>
      <c r="V100" s="102">
        <v>75</v>
      </c>
      <c r="W100" s="70">
        <v>0</v>
      </c>
      <c r="X100" s="70">
        <v>0</v>
      </c>
      <c r="Y100" s="70">
        <v>0</v>
      </c>
      <c r="Z100" s="70">
        <v>0</v>
      </c>
      <c r="AA100" s="71" t="s">
        <v>169</v>
      </c>
    </row>
    <row r="101" spans="1:27" s="71" customFormat="1">
      <c r="A101" s="66">
        <v>4308</v>
      </c>
      <c r="B101" s="66" t="s">
        <v>47</v>
      </c>
      <c r="C101" s="66" t="s">
        <v>40</v>
      </c>
      <c r="D101" s="66">
        <v>10075</v>
      </c>
      <c r="E101" s="66">
        <v>800000</v>
      </c>
      <c r="F101" s="66" t="s">
        <v>108</v>
      </c>
      <c r="G101" s="66">
        <v>6</v>
      </c>
      <c r="H101" s="67">
        <v>0</v>
      </c>
      <c r="I101" s="105">
        <v>1250</v>
      </c>
      <c r="J101" s="106">
        <v>50</v>
      </c>
      <c r="K101" s="106">
        <v>26</v>
      </c>
      <c r="L101" s="107">
        <v>26</v>
      </c>
      <c r="M101" s="66">
        <v>0</v>
      </c>
      <c r="N101" s="66">
        <v>0</v>
      </c>
      <c r="O101" s="66">
        <v>0</v>
      </c>
      <c r="P101" s="66">
        <v>0</v>
      </c>
      <c r="Q101" s="66">
        <v>8</v>
      </c>
      <c r="R101" s="69">
        <v>0</v>
      </c>
      <c r="S101" s="102">
        <v>3750</v>
      </c>
      <c r="T101" s="102">
        <v>150</v>
      </c>
      <c r="U101" s="102">
        <v>75</v>
      </c>
      <c r="V101" s="102">
        <v>75</v>
      </c>
      <c r="W101" s="70">
        <v>0</v>
      </c>
      <c r="X101" s="70">
        <v>0</v>
      </c>
      <c r="Y101" s="70">
        <v>0</v>
      </c>
      <c r="Z101" s="70">
        <v>0</v>
      </c>
      <c r="AA101" s="71" t="s">
        <v>169</v>
      </c>
    </row>
    <row r="102" spans="1:27" s="71" customFormat="1">
      <c r="A102" s="66">
        <v>4309</v>
      </c>
      <c r="B102" s="66" t="s">
        <v>69</v>
      </c>
      <c r="C102" s="66" t="s">
        <v>32</v>
      </c>
      <c r="D102" s="66">
        <v>10085</v>
      </c>
      <c r="E102" s="66">
        <v>1200000</v>
      </c>
      <c r="F102" s="66" t="s">
        <v>109</v>
      </c>
      <c r="G102" s="66">
        <v>8</v>
      </c>
      <c r="H102" s="67">
        <v>0</v>
      </c>
      <c r="I102" s="105">
        <v>1406</v>
      </c>
      <c r="J102" s="106">
        <v>56</v>
      </c>
      <c r="K102" s="106">
        <v>29</v>
      </c>
      <c r="L102" s="107">
        <v>29</v>
      </c>
      <c r="M102" s="66">
        <v>0</v>
      </c>
      <c r="N102" s="66">
        <v>0</v>
      </c>
      <c r="O102" s="66">
        <v>0</v>
      </c>
      <c r="P102" s="66">
        <v>0</v>
      </c>
      <c r="Q102" s="66">
        <v>9</v>
      </c>
      <c r="R102" s="69">
        <v>0</v>
      </c>
      <c r="S102" s="102">
        <v>3750</v>
      </c>
      <c r="T102" s="102">
        <v>150</v>
      </c>
      <c r="U102" s="102">
        <v>75</v>
      </c>
      <c r="V102" s="102">
        <v>75</v>
      </c>
      <c r="W102" s="70">
        <v>0</v>
      </c>
      <c r="X102" s="70">
        <v>0</v>
      </c>
      <c r="Y102" s="70">
        <v>0</v>
      </c>
      <c r="Z102" s="70">
        <v>0</v>
      </c>
      <c r="AA102" s="71" t="s">
        <v>169</v>
      </c>
    </row>
    <row r="103" spans="1:27" s="71" customFormat="1">
      <c r="A103" s="66">
        <v>4310</v>
      </c>
      <c r="B103" s="66" t="s">
        <v>71</v>
      </c>
      <c r="C103" s="66" t="s">
        <v>31</v>
      </c>
      <c r="D103" s="66">
        <v>10095</v>
      </c>
      <c r="E103" s="66">
        <v>1600000</v>
      </c>
      <c r="F103" s="66" t="s">
        <v>110</v>
      </c>
      <c r="G103" s="66">
        <v>10</v>
      </c>
      <c r="H103" s="67">
        <v>0</v>
      </c>
      <c r="I103" s="105">
        <v>1563</v>
      </c>
      <c r="J103" s="106">
        <v>63</v>
      </c>
      <c r="K103" s="106">
        <v>33</v>
      </c>
      <c r="L103" s="107">
        <v>33</v>
      </c>
      <c r="M103" s="66">
        <v>0</v>
      </c>
      <c r="N103" s="66">
        <v>0</v>
      </c>
      <c r="O103" s="66">
        <v>0</v>
      </c>
      <c r="P103" s="66">
        <v>0</v>
      </c>
      <c r="Q103" s="66">
        <v>10</v>
      </c>
      <c r="R103" s="69">
        <v>0</v>
      </c>
      <c r="S103" s="102">
        <v>3750</v>
      </c>
      <c r="T103" s="102">
        <v>150</v>
      </c>
      <c r="U103" s="102">
        <v>75</v>
      </c>
      <c r="V103" s="102">
        <v>75</v>
      </c>
      <c r="W103" s="70">
        <v>0</v>
      </c>
      <c r="X103" s="70">
        <v>0</v>
      </c>
      <c r="Y103" s="70">
        <v>0</v>
      </c>
      <c r="Z103" s="70">
        <v>0</v>
      </c>
      <c r="AA103" s="71" t="s">
        <v>169</v>
      </c>
    </row>
    <row r="104" spans="1:27" s="71" customFormat="1">
      <c r="A104" s="66">
        <v>4311</v>
      </c>
      <c r="B104" s="66" t="s">
        <v>73</v>
      </c>
      <c r="C104" s="66" t="s">
        <v>74</v>
      </c>
      <c r="D104" s="66">
        <v>10105</v>
      </c>
      <c r="E104" s="66">
        <v>2000000</v>
      </c>
      <c r="F104" s="66" t="s">
        <v>90</v>
      </c>
      <c r="G104" s="66">
        <v>12</v>
      </c>
      <c r="H104" s="67">
        <v>0</v>
      </c>
      <c r="I104" s="105">
        <v>1719</v>
      </c>
      <c r="J104" s="106">
        <v>69</v>
      </c>
      <c r="K104" s="106">
        <v>36</v>
      </c>
      <c r="L104" s="107">
        <v>36</v>
      </c>
      <c r="M104" s="66">
        <v>0</v>
      </c>
      <c r="N104" s="66">
        <v>0</v>
      </c>
      <c r="O104" s="66">
        <v>0</v>
      </c>
      <c r="P104" s="66">
        <v>0</v>
      </c>
      <c r="Q104" s="66">
        <v>11</v>
      </c>
      <c r="R104" s="69">
        <v>0</v>
      </c>
      <c r="S104" s="102">
        <v>3750</v>
      </c>
      <c r="T104" s="102">
        <v>150</v>
      </c>
      <c r="U104" s="102">
        <v>75</v>
      </c>
      <c r="V104" s="102">
        <v>75</v>
      </c>
      <c r="W104" s="70">
        <v>0</v>
      </c>
      <c r="X104" s="70">
        <v>0</v>
      </c>
      <c r="Y104" s="70">
        <v>0</v>
      </c>
      <c r="Z104" s="70">
        <v>0</v>
      </c>
      <c r="AA104" s="71" t="s">
        <v>169</v>
      </c>
    </row>
    <row r="105" spans="1:27" s="71" customFormat="1">
      <c r="A105" s="66">
        <v>4312</v>
      </c>
      <c r="B105" s="66" t="s">
        <v>75</v>
      </c>
      <c r="C105" s="66" t="s">
        <v>76</v>
      </c>
      <c r="D105" s="66">
        <v>10115</v>
      </c>
      <c r="E105" s="66">
        <v>2500000</v>
      </c>
      <c r="F105" s="66" t="s">
        <v>111</v>
      </c>
      <c r="G105" s="66">
        <v>14</v>
      </c>
      <c r="H105" s="67">
        <v>0</v>
      </c>
      <c r="I105" s="105">
        <v>1875</v>
      </c>
      <c r="J105" s="106">
        <v>75</v>
      </c>
      <c r="K105" s="106">
        <v>39</v>
      </c>
      <c r="L105" s="107">
        <v>39</v>
      </c>
      <c r="M105" s="66">
        <v>0</v>
      </c>
      <c r="N105" s="66">
        <v>0</v>
      </c>
      <c r="O105" s="66">
        <v>0</v>
      </c>
      <c r="P105" s="66">
        <v>0</v>
      </c>
      <c r="Q105" s="66">
        <v>12</v>
      </c>
      <c r="R105" s="69">
        <v>0</v>
      </c>
      <c r="S105" s="102">
        <v>3750</v>
      </c>
      <c r="T105" s="102">
        <v>150</v>
      </c>
      <c r="U105" s="102">
        <v>75</v>
      </c>
      <c r="V105" s="102">
        <v>75</v>
      </c>
      <c r="W105" s="70">
        <v>0</v>
      </c>
      <c r="X105" s="70">
        <v>0</v>
      </c>
      <c r="Y105" s="70">
        <v>0</v>
      </c>
      <c r="Z105" s="70">
        <v>0</v>
      </c>
      <c r="AA105" s="71" t="s">
        <v>169</v>
      </c>
    </row>
    <row r="106" spans="1:27" s="71" customFormat="1">
      <c r="A106" s="66">
        <v>4313</v>
      </c>
      <c r="B106" s="66" t="s">
        <v>182</v>
      </c>
      <c r="C106" s="66" t="s">
        <v>183</v>
      </c>
      <c r="D106" s="66">
        <v>10125</v>
      </c>
      <c r="E106" s="66">
        <v>3000000</v>
      </c>
      <c r="F106" s="66" t="s">
        <v>114</v>
      </c>
      <c r="G106" s="66">
        <v>16</v>
      </c>
      <c r="H106" s="67">
        <v>0</v>
      </c>
      <c r="I106" s="105">
        <v>2031</v>
      </c>
      <c r="J106" s="106">
        <v>81</v>
      </c>
      <c r="K106" s="106">
        <v>42</v>
      </c>
      <c r="L106" s="107">
        <v>42</v>
      </c>
      <c r="M106" s="66">
        <v>0</v>
      </c>
      <c r="N106" s="66">
        <v>0</v>
      </c>
      <c r="O106" s="66">
        <v>0</v>
      </c>
      <c r="P106" s="66">
        <v>0</v>
      </c>
      <c r="Q106" s="66">
        <v>13</v>
      </c>
      <c r="R106" s="69">
        <v>0</v>
      </c>
      <c r="S106" s="102">
        <v>3750</v>
      </c>
      <c r="T106" s="102">
        <v>150</v>
      </c>
      <c r="U106" s="102">
        <v>75</v>
      </c>
      <c r="V106" s="102">
        <v>75</v>
      </c>
      <c r="W106" s="70">
        <v>0</v>
      </c>
      <c r="X106" s="70">
        <v>0</v>
      </c>
      <c r="Y106" s="70">
        <v>0</v>
      </c>
      <c r="Z106" s="70">
        <v>0</v>
      </c>
      <c r="AA106" s="71" t="s">
        <v>169</v>
      </c>
    </row>
    <row r="107" spans="1:27" s="71" customFormat="1">
      <c r="A107" s="66">
        <v>4314</v>
      </c>
      <c r="B107" s="66" t="s">
        <v>184</v>
      </c>
      <c r="C107" s="66" t="s">
        <v>185</v>
      </c>
      <c r="D107" s="66">
        <v>10135</v>
      </c>
      <c r="E107" s="66">
        <v>4000000</v>
      </c>
      <c r="F107" s="66" t="s">
        <v>197</v>
      </c>
      <c r="G107" s="66">
        <v>20</v>
      </c>
      <c r="H107" s="67">
        <v>0</v>
      </c>
      <c r="I107" s="105">
        <v>2188</v>
      </c>
      <c r="J107" s="106">
        <v>88</v>
      </c>
      <c r="K107" s="106">
        <v>46</v>
      </c>
      <c r="L107" s="107">
        <v>46</v>
      </c>
      <c r="M107" s="66">
        <v>0</v>
      </c>
      <c r="N107" s="66">
        <v>0</v>
      </c>
      <c r="O107" s="66">
        <v>0</v>
      </c>
      <c r="P107" s="66">
        <v>0</v>
      </c>
      <c r="Q107" s="66">
        <v>14</v>
      </c>
      <c r="R107" s="69">
        <v>0</v>
      </c>
      <c r="S107" s="102">
        <v>3750</v>
      </c>
      <c r="T107" s="102">
        <v>150</v>
      </c>
      <c r="U107" s="102">
        <v>75</v>
      </c>
      <c r="V107" s="102">
        <v>75</v>
      </c>
      <c r="W107" s="70">
        <v>0</v>
      </c>
      <c r="X107" s="70">
        <v>0</v>
      </c>
      <c r="Y107" s="70">
        <v>0</v>
      </c>
      <c r="Z107" s="70">
        <v>0</v>
      </c>
      <c r="AA107" s="71" t="s">
        <v>169</v>
      </c>
    </row>
    <row r="108" spans="1:27" s="71" customFormat="1">
      <c r="A108" s="66">
        <v>4315</v>
      </c>
      <c r="B108" s="66" t="s">
        <v>186</v>
      </c>
      <c r="C108" s="66" t="s">
        <v>187</v>
      </c>
      <c r="D108" s="66">
        <v>10145</v>
      </c>
      <c r="E108" s="66">
        <v>5000000</v>
      </c>
      <c r="F108" s="66" t="s">
        <v>195</v>
      </c>
      <c r="G108" s="66">
        <v>20</v>
      </c>
      <c r="H108" s="67">
        <v>0</v>
      </c>
      <c r="I108" s="105">
        <v>2344</v>
      </c>
      <c r="J108" s="106">
        <v>94</v>
      </c>
      <c r="K108" s="106">
        <v>49</v>
      </c>
      <c r="L108" s="107">
        <v>49</v>
      </c>
      <c r="M108" s="66">
        <v>0</v>
      </c>
      <c r="N108" s="66">
        <v>0</v>
      </c>
      <c r="O108" s="66">
        <v>0</v>
      </c>
      <c r="P108" s="66">
        <v>0</v>
      </c>
      <c r="Q108" s="66">
        <v>15</v>
      </c>
      <c r="R108" s="69">
        <v>0</v>
      </c>
      <c r="S108" s="102">
        <v>3750</v>
      </c>
      <c r="T108" s="102">
        <v>150</v>
      </c>
      <c r="U108" s="102">
        <v>75</v>
      </c>
      <c r="V108" s="102">
        <v>75</v>
      </c>
      <c r="W108" s="70">
        <v>0</v>
      </c>
      <c r="X108" s="70">
        <v>0</v>
      </c>
      <c r="Y108" s="70">
        <v>0</v>
      </c>
      <c r="Z108" s="70">
        <v>0</v>
      </c>
      <c r="AA108" s="71" t="s">
        <v>169</v>
      </c>
    </row>
    <row r="109" spans="1:27" s="90" customFormat="1">
      <c r="A109" s="85">
        <v>4401</v>
      </c>
      <c r="B109" s="85" t="s">
        <v>121</v>
      </c>
      <c r="C109" s="85" t="s">
        <v>33</v>
      </c>
      <c r="D109" s="85">
        <v>10001</v>
      </c>
      <c r="E109" s="85">
        <v>5000</v>
      </c>
      <c r="F109" s="85" t="s">
        <v>101</v>
      </c>
      <c r="G109" s="85">
        <v>0</v>
      </c>
      <c r="H109" s="86">
        <v>0</v>
      </c>
      <c r="I109" s="105">
        <v>156</v>
      </c>
      <c r="J109" s="106">
        <v>6</v>
      </c>
      <c r="K109" s="106">
        <v>3</v>
      </c>
      <c r="L109" s="107">
        <v>3</v>
      </c>
      <c r="M109" s="85">
        <v>0</v>
      </c>
      <c r="N109" s="85">
        <v>0</v>
      </c>
      <c r="O109" s="85">
        <v>0</v>
      </c>
      <c r="P109" s="85">
        <v>0</v>
      </c>
      <c r="Q109" s="85">
        <v>1</v>
      </c>
      <c r="R109" s="88">
        <v>0</v>
      </c>
      <c r="S109" s="102">
        <v>3750</v>
      </c>
      <c r="T109" s="102">
        <v>150</v>
      </c>
      <c r="U109" s="102">
        <v>75</v>
      </c>
      <c r="V109" s="102">
        <v>75</v>
      </c>
      <c r="W109" s="89">
        <v>0</v>
      </c>
      <c r="X109" s="89">
        <v>0</v>
      </c>
      <c r="Y109" s="89">
        <v>0</v>
      </c>
      <c r="Z109" s="89">
        <v>0</v>
      </c>
      <c r="AA109" s="90" t="s">
        <v>168</v>
      </c>
    </row>
    <row r="110" spans="1:27" s="90" customFormat="1">
      <c r="A110" s="85">
        <v>4402</v>
      </c>
      <c r="B110" s="85" t="s">
        <v>41</v>
      </c>
      <c r="C110" s="85" t="s">
        <v>34</v>
      </c>
      <c r="D110" s="85">
        <v>10015</v>
      </c>
      <c r="E110" s="85">
        <v>20000</v>
      </c>
      <c r="F110" s="85" t="s">
        <v>102</v>
      </c>
      <c r="G110" s="85">
        <v>0</v>
      </c>
      <c r="H110" s="86">
        <v>0</v>
      </c>
      <c r="I110" s="105">
        <v>313</v>
      </c>
      <c r="J110" s="106">
        <v>13</v>
      </c>
      <c r="K110" s="106">
        <v>7</v>
      </c>
      <c r="L110" s="107">
        <v>7</v>
      </c>
      <c r="M110" s="85">
        <v>0</v>
      </c>
      <c r="N110" s="85">
        <v>0</v>
      </c>
      <c r="O110" s="85">
        <v>0</v>
      </c>
      <c r="P110" s="85">
        <v>0</v>
      </c>
      <c r="Q110" s="85">
        <v>2</v>
      </c>
      <c r="R110" s="88">
        <v>0</v>
      </c>
      <c r="S110" s="102">
        <v>3750</v>
      </c>
      <c r="T110" s="102">
        <v>150</v>
      </c>
      <c r="U110" s="102">
        <v>75</v>
      </c>
      <c r="V110" s="102">
        <v>75</v>
      </c>
      <c r="W110" s="89">
        <v>0</v>
      </c>
      <c r="X110" s="89">
        <v>0</v>
      </c>
      <c r="Y110" s="89">
        <v>0</v>
      </c>
      <c r="Z110" s="89">
        <v>0</v>
      </c>
      <c r="AA110" s="90" t="s">
        <v>168</v>
      </c>
    </row>
    <row r="111" spans="1:27" s="90" customFormat="1">
      <c r="A111" s="85">
        <v>4403</v>
      </c>
      <c r="B111" s="85" t="s">
        <v>42</v>
      </c>
      <c r="C111" s="85" t="s">
        <v>35</v>
      </c>
      <c r="D111" s="85">
        <v>10025</v>
      </c>
      <c r="E111" s="85">
        <v>50000</v>
      </c>
      <c r="F111" s="85" t="s">
        <v>103</v>
      </c>
      <c r="G111" s="85">
        <v>1</v>
      </c>
      <c r="H111" s="86">
        <v>0</v>
      </c>
      <c r="I111" s="105">
        <v>469</v>
      </c>
      <c r="J111" s="106">
        <v>19</v>
      </c>
      <c r="K111" s="106">
        <v>10</v>
      </c>
      <c r="L111" s="107">
        <v>10</v>
      </c>
      <c r="M111" s="85">
        <v>0</v>
      </c>
      <c r="N111" s="85">
        <v>0</v>
      </c>
      <c r="O111" s="85">
        <v>0</v>
      </c>
      <c r="P111" s="85">
        <v>0</v>
      </c>
      <c r="Q111" s="85">
        <v>3</v>
      </c>
      <c r="R111" s="88">
        <v>0</v>
      </c>
      <c r="S111" s="102">
        <v>3750</v>
      </c>
      <c r="T111" s="102">
        <v>150</v>
      </c>
      <c r="U111" s="102">
        <v>75</v>
      </c>
      <c r="V111" s="102">
        <v>75</v>
      </c>
      <c r="W111" s="89">
        <v>0</v>
      </c>
      <c r="X111" s="89">
        <v>0</v>
      </c>
      <c r="Y111" s="89">
        <v>0</v>
      </c>
      <c r="Z111" s="89">
        <v>0</v>
      </c>
      <c r="AA111" s="90" t="s">
        <v>168</v>
      </c>
    </row>
    <row r="112" spans="1:27" s="90" customFormat="1">
      <c r="A112" s="85">
        <v>4404</v>
      </c>
      <c r="B112" s="85" t="s">
        <v>43</v>
      </c>
      <c r="C112" s="85" t="s">
        <v>36</v>
      </c>
      <c r="D112" s="85">
        <v>10035</v>
      </c>
      <c r="E112" s="85">
        <v>100000</v>
      </c>
      <c r="F112" s="85" t="s">
        <v>104</v>
      </c>
      <c r="G112" s="85">
        <v>1</v>
      </c>
      <c r="H112" s="86">
        <v>0</v>
      </c>
      <c r="I112" s="105">
        <v>625</v>
      </c>
      <c r="J112" s="106">
        <v>25</v>
      </c>
      <c r="K112" s="106">
        <v>13</v>
      </c>
      <c r="L112" s="107">
        <v>13</v>
      </c>
      <c r="M112" s="85">
        <v>0</v>
      </c>
      <c r="N112" s="85">
        <v>0</v>
      </c>
      <c r="O112" s="85">
        <v>0</v>
      </c>
      <c r="P112" s="85">
        <v>0</v>
      </c>
      <c r="Q112" s="85">
        <v>4</v>
      </c>
      <c r="R112" s="88">
        <v>0</v>
      </c>
      <c r="S112" s="102">
        <v>3750</v>
      </c>
      <c r="T112" s="102">
        <v>150</v>
      </c>
      <c r="U112" s="102">
        <v>75</v>
      </c>
      <c r="V112" s="102">
        <v>75</v>
      </c>
      <c r="W112" s="89">
        <v>0</v>
      </c>
      <c r="X112" s="89">
        <v>0</v>
      </c>
      <c r="Y112" s="89">
        <v>0</v>
      </c>
      <c r="Z112" s="89">
        <v>0</v>
      </c>
      <c r="AA112" s="90" t="s">
        <v>168</v>
      </c>
    </row>
    <row r="113" spans="1:27" s="90" customFormat="1">
      <c r="A113" s="85">
        <v>4405</v>
      </c>
      <c r="B113" s="85" t="s">
        <v>44</v>
      </c>
      <c r="C113" s="85" t="s">
        <v>37</v>
      </c>
      <c r="D113" s="85">
        <v>10045</v>
      </c>
      <c r="E113" s="85">
        <v>200000</v>
      </c>
      <c r="F113" s="85" t="s">
        <v>105</v>
      </c>
      <c r="G113" s="85">
        <v>2</v>
      </c>
      <c r="H113" s="86">
        <v>0</v>
      </c>
      <c r="I113" s="105">
        <v>781</v>
      </c>
      <c r="J113" s="106">
        <v>31</v>
      </c>
      <c r="K113" s="106">
        <v>16</v>
      </c>
      <c r="L113" s="107">
        <v>16</v>
      </c>
      <c r="M113" s="85">
        <v>0</v>
      </c>
      <c r="N113" s="85">
        <v>0</v>
      </c>
      <c r="O113" s="85">
        <v>0</v>
      </c>
      <c r="P113" s="85">
        <v>0</v>
      </c>
      <c r="Q113" s="85">
        <v>5</v>
      </c>
      <c r="R113" s="88">
        <v>0</v>
      </c>
      <c r="S113" s="102">
        <v>3750</v>
      </c>
      <c r="T113" s="102">
        <v>150</v>
      </c>
      <c r="U113" s="102">
        <v>75</v>
      </c>
      <c r="V113" s="102">
        <v>75</v>
      </c>
      <c r="W113" s="89">
        <v>0</v>
      </c>
      <c r="X113" s="89">
        <v>0</v>
      </c>
      <c r="Y113" s="89">
        <v>0</v>
      </c>
      <c r="Z113" s="89">
        <v>0</v>
      </c>
      <c r="AA113" s="90" t="s">
        <v>168</v>
      </c>
    </row>
    <row r="114" spans="1:27" s="90" customFormat="1">
      <c r="A114" s="85">
        <v>4406</v>
      </c>
      <c r="B114" s="85" t="s">
        <v>45</v>
      </c>
      <c r="C114" s="85" t="s">
        <v>38</v>
      </c>
      <c r="D114" s="85">
        <v>10055</v>
      </c>
      <c r="E114" s="85">
        <v>300000</v>
      </c>
      <c r="F114" s="85" t="s">
        <v>106</v>
      </c>
      <c r="G114" s="85">
        <v>2</v>
      </c>
      <c r="H114" s="86">
        <v>0</v>
      </c>
      <c r="I114" s="105">
        <v>938</v>
      </c>
      <c r="J114" s="106">
        <v>38</v>
      </c>
      <c r="K114" s="106">
        <v>20</v>
      </c>
      <c r="L114" s="107">
        <v>20</v>
      </c>
      <c r="M114" s="85">
        <v>0</v>
      </c>
      <c r="N114" s="85">
        <v>0</v>
      </c>
      <c r="O114" s="85">
        <v>0</v>
      </c>
      <c r="P114" s="85">
        <v>0</v>
      </c>
      <c r="Q114" s="85">
        <v>6</v>
      </c>
      <c r="R114" s="88">
        <v>0</v>
      </c>
      <c r="S114" s="102">
        <v>3750</v>
      </c>
      <c r="T114" s="102">
        <v>150</v>
      </c>
      <c r="U114" s="102">
        <v>75</v>
      </c>
      <c r="V114" s="102">
        <v>75</v>
      </c>
      <c r="W114" s="89">
        <v>0</v>
      </c>
      <c r="X114" s="89">
        <v>0</v>
      </c>
      <c r="Y114" s="89">
        <v>0</v>
      </c>
      <c r="Z114" s="89">
        <v>0</v>
      </c>
      <c r="AA114" s="90" t="s">
        <v>168</v>
      </c>
    </row>
    <row r="115" spans="1:27" s="90" customFormat="1">
      <c r="A115" s="85">
        <v>4407</v>
      </c>
      <c r="B115" s="85" t="s">
        <v>46</v>
      </c>
      <c r="C115" s="85" t="s">
        <v>39</v>
      </c>
      <c r="D115" s="85">
        <v>10065</v>
      </c>
      <c r="E115" s="85">
        <v>500000</v>
      </c>
      <c r="F115" s="85" t="s">
        <v>107</v>
      </c>
      <c r="G115" s="85">
        <v>4</v>
      </c>
      <c r="H115" s="86">
        <v>0</v>
      </c>
      <c r="I115" s="105">
        <v>1094</v>
      </c>
      <c r="J115" s="106">
        <v>44</v>
      </c>
      <c r="K115" s="106">
        <v>23</v>
      </c>
      <c r="L115" s="107">
        <v>23</v>
      </c>
      <c r="M115" s="85">
        <v>0</v>
      </c>
      <c r="N115" s="85">
        <v>0</v>
      </c>
      <c r="O115" s="85">
        <v>0</v>
      </c>
      <c r="P115" s="85">
        <v>0</v>
      </c>
      <c r="Q115" s="85">
        <v>7</v>
      </c>
      <c r="R115" s="88">
        <v>0</v>
      </c>
      <c r="S115" s="102">
        <v>3750</v>
      </c>
      <c r="T115" s="102">
        <v>150</v>
      </c>
      <c r="U115" s="102">
        <v>75</v>
      </c>
      <c r="V115" s="102">
        <v>75</v>
      </c>
      <c r="W115" s="89">
        <v>0</v>
      </c>
      <c r="X115" s="89">
        <v>0</v>
      </c>
      <c r="Y115" s="89">
        <v>0</v>
      </c>
      <c r="Z115" s="89">
        <v>0</v>
      </c>
      <c r="AA115" s="90" t="s">
        <v>168</v>
      </c>
    </row>
    <row r="116" spans="1:27" s="90" customFormat="1">
      <c r="A116" s="85">
        <v>4408</v>
      </c>
      <c r="B116" s="85" t="s">
        <v>47</v>
      </c>
      <c r="C116" s="85" t="s">
        <v>40</v>
      </c>
      <c r="D116" s="85">
        <v>10075</v>
      </c>
      <c r="E116" s="85">
        <v>800000</v>
      </c>
      <c r="F116" s="85" t="s">
        <v>108</v>
      </c>
      <c r="G116" s="85">
        <v>6</v>
      </c>
      <c r="H116" s="86">
        <v>0</v>
      </c>
      <c r="I116" s="105">
        <v>1250</v>
      </c>
      <c r="J116" s="106">
        <v>50</v>
      </c>
      <c r="K116" s="106">
        <v>26</v>
      </c>
      <c r="L116" s="107">
        <v>26</v>
      </c>
      <c r="M116" s="85">
        <v>0</v>
      </c>
      <c r="N116" s="85">
        <v>0</v>
      </c>
      <c r="O116" s="85">
        <v>0</v>
      </c>
      <c r="P116" s="85">
        <v>0</v>
      </c>
      <c r="Q116" s="85">
        <v>8</v>
      </c>
      <c r="R116" s="88">
        <v>0</v>
      </c>
      <c r="S116" s="102">
        <v>3750</v>
      </c>
      <c r="T116" s="102">
        <v>150</v>
      </c>
      <c r="U116" s="102">
        <v>75</v>
      </c>
      <c r="V116" s="102">
        <v>75</v>
      </c>
      <c r="W116" s="89">
        <v>0</v>
      </c>
      <c r="X116" s="89">
        <v>0</v>
      </c>
      <c r="Y116" s="89">
        <v>0</v>
      </c>
      <c r="Z116" s="89">
        <v>0</v>
      </c>
      <c r="AA116" s="90" t="s">
        <v>168</v>
      </c>
    </row>
    <row r="117" spans="1:27" s="90" customFormat="1">
      <c r="A117" s="85">
        <v>4409</v>
      </c>
      <c r="B117" s="85" t="s">
        <v>69</v>
      </c>
      <c r="C117" s="85" t="s">
        <v>32</v>
      </c>
      <c r="D117" s="85">
        <v>10085</v>
      </c>
      <c r="E117" s="85">
        <v>1200000</v>
      </c>
      <c r="F117" s="85" t="s">
        <v>109</v>
      </c>
      <c r="G117" s="85">
        <v>8</v>
      </c>
      <c r="H117" s="86">
        <v>0</v>
      </c>
      <c r="I117" s="105">
        <v>1406</v>
      </c>
      <c r="J117" s="106">
        <v>56</v>
      </c>
      <c r="K117" s="106">
        <v>29</v>
      </c>
      <c r="L117" s="107">
        <v>29</v>
      </c>
      <c r="M117" s="85">
        <v>0</v>
      </c>
      <c r="N117" s="85">
        <v>0</v>
      </c>
      <c r="O117" s="85">
        <v>0</v>
      </c>
      <c r="P117" s="85">
        <v>0</v>
      </c>
      <c r="Q117" s="85">
        <v>9</v>
      </c>
      <c r="R117" s="88">
        <v>0</v>
      </c>
      <c r="S117" s="102">
        <v>3750</v>
      </c>
      <c r="T117" s="102">
        <v>150</v>
      </c>
      <c r="U117" s="102">
        <v>75</v>
      </c>
      <c r="V117" s="102">
        <v>75</v>
      </c>
      <c r="W117" s="89">
        <v>0</v>
      </c>
      <c r="X117" s="89">
        <v>0</v>
      </c>
      <c r="Y117" s="89">
        <v>0</v>
      </c>
      <c r="Z117" s="89">
        <v>0</v>
      </c>
      <c r="AA117" s="90" t="s">
        <v>168</v>
      </c>
    </row>
    <row r="118" spans="1:27" s="90" customFormat="1">
      <c r="A118" s="85">
        <v>4410</v>
      </c>
      <c r="B118" s="85" t="s">
        <v>71</v>
      </c>
      <c r="C118" s="85" t="s">
        <v>31</v>
      </c>
      <c r="D118" s="85">
        <v>10095</v>
      </c>
      <c r="E118" s="85">
        <v>1600000</v>
      </c>
      <c r="F118" s="85" t="s">
        <v>110</v>
      </c>
      <c r="G118" s="85">
        <v>10</v>
      </c>
      <c r="H118" s="86">
        <v>0</v>
      </c>
      <c r="I118" s="105">
        <v>1563</v>
      </c>
      <c r="J118" s="106">
        <v>63</v>
      </c>
      <c r="K118" s="106">
        <v>33</v>
      </c>
      <c r="L118" s="107">
        <v>33</v>
      </c>
      <c r="M118" s="85">
        <v>0</v>
      </c>
      <c r="N118" s="85">
        <v>0</v>
      </c>
      <c r="O118" s="85">
        <v>0</v>
      </c>
      <c r="P118" s="85">
        <v>0</v>
      </c>
      <c r="Q118" s="85">
        <v>10</v>
      </c>
      <c r="R118" s="88">
        <v>0</v>
      </c>
      <c r="S118" s="102">
        <v>3750</v>
      </c>
      <c r="T118" s="102">
        <v>150</v>
      </c>
      <c r="U118" s="102">
        <v>75</v>
      </c>
      <c r="V118" s="102">
        <v>75</v>
      </c>
      <c r="W118" s="89">
        <v>0</v>
      </c>
      <c r="X118" s="89">
        <v>0</v>
      </c>
      <c r="Y118" s="89">
        <v>0</v>
      </c>
      <c r="Z118" s="89">
        <v>0</v>
      </c>
      <c r="AA118" s="90" t="s">
        <v>168</v>
      </c>
    </row>
    <row r="119" spans="1:27" s="90" customFormat="1">
      <c r="A119" s="85">
        <v>4411</v>
      </c>
      <c r="B119" s="85" t="s">
        <v>73</v>
      </c>
      <c r="C119" s="85" t="s">
        <v>74</v>
      </c>
      <c r="D119" s="85">
        <v>10105</v>
      </c>
      <c r="E119" s="85">
        <v>2000000</v>
      </c>
      <c r="F119" s="85" t="s">
        <v>90</v>
      </c>
      <c r="G119" s="85">
        <v>12</v>
      </c>
      <c r="H119" s="86">
        <v>0</v>
      </c>
      <c r="I119" s="105">
        <v>1719</v>
      </c>
      <c r="J119" s="106">
        <v>69</v>
      </c>
      <c r="K119" s="106">
        <v>36</v>
      </c>
      <c r="L119" s="107">
        <v>36</v>
      </c>
      <c r="M119" s="85">
        <v>0</v>
      </c>
      <c r="N119" s="85">
        <v>0</v>
      </c>
      <c r="O119" s="85">
        <v>0</v>
      </c>
      <c r="P119" s="85">
        <v>0</v>
      </c>
      <c r="Q119" s="85">
        <v>11</v>
      </c>
      <c r="R119" s="88">
        <v>0</v>
      </c>
      <c r="S119" s="102">
        <v>3750</v>
      </c>
      <c r="T119" s="102">
        <v>150</v>
      </c>
      <c r="U119" s="102">
        <v>75</v>
      </c>
      <c r="V119" s="102">
        <v>75</v>
      </c>
      <c r="W119" s="89">
        <v>0</v>
      </c>
      <c r="X119" s="89">
        <v>0</v>
      </c>
      <c r="Y119" s="89">
        <v>0</v>
      </c>
      <c r="Z119" s="89">
        <v>0</v>
      </c>
      <c r="AA119" s="90" t="s">
        <v>168</v>
      </c>
    </row>
    <row r="120" spans="1:27" s="90" customFormat="1">
      <c r="A120" s="85">
        <v>4412</v>
      </c>
      <c r="B120" s="85" t="s">
        <v>75</v>
      </c>
      <c r="C120" s="85" t="s">
        <v>76</v>
      </c>
      <c r="D120" s="85">
        <v>10115</v>
      </c>
      <c r="E120" s="85">
        <v>2500000</v>
      </c>
      <c r="F120" s="85" t="s">
        <v>111</v>
      </c>
      <c r="G120" s="85">
        <v>14</v>
      </c>
      <c r="H120" s="86">
        <v>0</v>
      </c>
      <c r="I120" s="105">
        <v>1875</v>
      </c>
      <c r="J120" s="106">
        <v>75</v>
      </c>
      <c r="K120" s="106">
        <v>39</v>
      </c>
      <c r="L120" s="107">
        <v>39</v>
      </c>
      <c r="M120" s="85">
        <v>0</v>
      </c>
      <c r="N120" s="85">
        <v>0</v>
      </c>
      <c r="O120" s="85">
        <v>0</v>
      </c>
      <c r="P120" s="85">
        <v>0</v>
      </c>
      <c r="Q120" s="85">
        <v>12</v>
      </c>
      <c r="R120" s="88">
        <v>0</v>
      </c>
      <c r="S120" s="102">
        <v>3750</v>
      </c>
      <c r="T120" s="102">
        <v>150</v>
      </c>
      <c r="U120" s="102">
        <v>75</v>
      </c>
      <c r="V120" s="102">
        <v>75</v>
      </c>
      <c r="W120" s="89">
        <v>0</v>
      </c>
      <c r="X120" s="89">
        <v>0</v>
      </c>
      <c r="Y120" s="89">
        <v>0</v>
      </c>
      <c r="Z120" s="89">
        <v>0</v>
      </c>
      <c r="AA120" s="90" t="s">
        <v>168</v>
      </c>
    </row>
    <row r="121" spans="1:27" s="90" customFormat="1">
      <c r="A121" s="85">
        <v>4413</v>
      </c>
      <c r="B121" s="85" t="s">
        <v>182</v>
      </c>
      <c r="C121" s="85" t="s">
        <v>183</v>
      </c>
      <c r="D121" s="85">
        <v>10125</v>
      </c>
      <c r="E121" s="85">
        <v>3000000</v>
      </c>
      <c r="F121" s="85" t="s">
        <v>114</v>
      </c>
      <c r="G121" s="85">
        <v>16</v>
      </c>
      <c r="H121" s="86">
        <v>0</v>
      </c>
      <c r="I121" s="105">
        <v>2031</v>
      </c>
      <c r="J121" s="106">
        <v>81</v>
      </c>
      <c r="K121" s="106">
        <v>42</v>
      </c>
      <c r="L121" s="107">
        <v>42</v>
      </c>
      <c r="M121" s="85">
        <v>0</v>
      </c>
      <c r="N121" s="85">
        <v>0</v>
      </c>
      <c r="O121" s="85">
        <v>0</v>
      </c>
      <c r="P121" s="85">
        <v>0</v>
      </c>
      <c r="Q121" s="85">
        <v>13</v>
      </c>
      <c r="R121" s="88">
        <v>0</v>
      </c>
      <c r="S121" s="102">
        <v>3750</v>
      </c>
      <c r="T121" s="102">
        <v>150</v>
      </c>
      <c r="U121" s="102">
        <v>75</v>
      </c>
      <c r="V121" s="102">
        <v>75</v>
      </c>
      <c r="W121" s="89">
        <v>0</v>
      </c>
      <c r="X121" s="89">
        <v>0</v>
      </c>
      <c r="Y121" s="89">
        <v>0</v>
      </c>
      <c r="Z121" s="89">
        <v>0</v>
      </c>
      <c r="AA121" s="90" t="s">
        <v>168</v>
      </c>
    </row>
    <row r="122" spans="1:27" s="90" customFormat="1">
      <c r="A122" s="85">
        <v>4414</v>
      </c>
      <c r="B122" s="85" t="s">
        <v>184</v>
      </c>
      <c r="C122" s="85" t="s">
        <v>185</v>
      </c>
      <c r="D122" s="85">
        <v>10135</v>
      </c>
      <c r="E122" s="85">
        <v>4000000</v>
      </c>
      <c r="F122" s="85" t="s">
        <v>197</v>
      </c>
      <c r="G122" s="85">
        <v>20</v>
      </c>
      <c r="H122" s="86">
        <v>0</v>
      </c>
      <c r="I122" s="105">
        <v>2188</v>
      </c>
      <c r="J122" s="106">
        <v>88</v>
      </c>
      <c r="K122" s="106">
        <v>46</v>
      </c>
      <c r="L122" s="107">
        <v>46</v>
      </c>
      <c r="M122" s="85">
        <v>0</v>
      </c>
      <c r="N122" s="85">
        <v>0</v>
      </c>
      <c r="O122" s="85">
        <v>0</v>
      </c>
      <c r="P122" s="85">
        <v>0</v>
      </c>
      <c r="Q122" s="85">
        <v>14</v>
      </c>
      <c r="R122" s="88">
        <v>0</v>
      </c>
      <c r="S122" s="102">
        <v>3750</v>
      </c>
      <c r="T122" s="102">
        <v>150</v>
      </c>
      <c r="U122" s="102">
        <v>75</v>
      </c>
      <c r="V122" s="102">
        <v>75</v>
      </c>
      <c r="W122" s="89">
        <v>0</v>
      </c>
      <c r="X122" s="89">
        <v>0</v>
      </c>
      <c r="Y122" s="89">
        <v>0</v>
      </c>
      <c r="Z122" s="89">
        <v>0</v>
      </c>
      <c r="AA122" s="90" t="s">
        <v>168</v>
      </c>
    </row>
    <row r="123" spans="1:27" s="90" customFormat="1">
      <c r="A123" s="85">
        <v>4415</v>
      </c>
      <c r="B123" s="85" t="s">
        <v>186</v>
      </c>
      <c r="C123" s="85" t="s">
        <v>187</v>
      </c>
      <c r="D123" s="85">
        <v>10145</v>
      </c>
      <c r="E123" s="85">
        <v>5000000</v>
      </c>
      <c r="F123" s="85" t="s">
        <v>195</v>
      </c>
      <c r="G123" s="85">
        <v>20</v>
      </c>
      <c r="H123" s="86">
        <v>0</v>
      </c>
      <c r="I123" s="105">
        <v>2344</v>
      </c>
      <c r="J123" s="106">
        <v>94</v>
      </c>
      <c r="K123" s="106">
        <v>49</v>
      </c>
      <c r="L123" s="107">
        <v>49</v>
      </c>
      <c r="M123" s="85">
        <v>0</v>
      </c>
      <c r="N123" s="85">
        <v>0</v>
      </c>
      <c r="O123" s="85">
        <v>0</v>
      </c>
      <c r="P123" s="85">
        <v>0</v>
      </c>
      <c r="Q123" s="85">
        <v>15</v>
      </c>
      <c r="R123" s="88">
        <v>0</v>
      </c>
      <c r="S123" s="102">
        <v>3750</v>
      </c>
      <c r="T123" s="102">
        <v>150</v>
      </c>
      <c r="U123" s="102">
        <v>75</v>
      </c>
      <c r="V123" s="102">
        <v>75</v>
      </c>
      <c r="W123" s="89">
        <v>0</v>
      </c>
      <c r="X123" s="89">
        <v>0</v>
      </c>
      <c r="Y123" s="89">
        <v>0</v>
      </c>
      <c r="Z123" s="89">
        <v>0</v>
      </c>
      <c r="AA123" s="90" t="s">
        <v>168</v>
      </c>
    </row>
    <row r="124" spans="1:27" s="71" customFormat="1">
      <c r="A124" s="66">
        <v>4501</v>
      </c>
      <c r="B124" s="66" t="s">
        <v>121</v>
      </c>
      <c r="C124" s="66" t="s">
        <v>33</v>
      </c>
      <c r="D124" s="66">
        <v>10001</v>
      </c>
      <c r="E124" s="66">
        <v>5000</v>
      </c>
      <c r="F124" s="66" t="s">
        <v>101</v>
      </c>
      <c r="G124" s="66">
        <v>0</v>
      </c>
      <c r="H124" s="67">
        <v>0</v>
      </c>
      <c r="I124" s="105">
        <v>156</v>
      </c>
      <c r="J124" s="106">
        <v>6</v>
      </c>
      <c r="K124" s="106">
        <v>3</v>
      </c>
      <c r="L124" s="107">
        <v>3</v>
      </c>
      <c r="M124" s="66">
        <v>0</v>
      </c>
      <c r="N124" s="66">
        <v>0</v>
      </c>
      <c r="O124" s="66">
        <v>0</v>
      </c>
      <c r="P124" s="66">
        <v>0</v>
      </c>
      <c r="Q124" s="66">
        <v>1</v>
      </c>
      <c r="R124" s="69">
        <v>0</v>
      </c>
      <c r="S124" s="102">
        <v>3750</v>
      </c>
      <c r="T124" s="102">
        <v>150</v>
      </c>
      <c r="U124" s="102">
        <v>75</v>
      </c>
      <c r="V124" s="102">
        <v>75</v>
      </c>
      <c r="W124" s="70">
        <v>0</v>
      </c>
      <c r="X124" s="70">
        <v>0</v>
      </c>
      <c r="Y124" s="70">
        <v>0</v>
      </c>
      <c r="Z124" s="70">
        <v>0</v>
      </c>
      <c r="AA124" s="71" t="s">
        <v>170</v>
      </c>
    </row>
    <row r="125" spans="1:27" s="71" customFormat="1">
      <c r="A125" s="66">
        <v>4502</v>
      </c>
      <c r="B125" s="66" t="s">
        <v>41</v>
      </c>
      <c r="C125" s="66" t="s">
        <v>34</v>
      </c>
      <c r="D125" s="66">
        <v>10015</v>
      </c>
      <c r="E125" s="66">
        <v>20000</v>
      </c>
      <c r="F125" s="66" t="s">
        <v>102</v>
      </c>
      <c r="G125" s="66">
        <v>0</v>
      </c>
      <c r="H125" s="67">
        <v>0</v>
      </c>
      <c r="I125" s="105">
        <v>313</v>
      </c>
      <c r="J125" s="106">
        <v>13</v>
      </c>
      <c r="K125" s="106">
        <v>7</v>
      </c>
      <c r="L125" s="107">
        <v>7</v>
      </c>
      <c r="M125" s="66">
        <v>0</v>
      </c>
      <c r="N125" s="66">
        <v>0</v>
      </c>
      <c r="O125" s="66">
        <v>0</v>
      </c>
      <c r="P125" s="66">
        <v>0</v>
      </c>
      <c r="Q125" s="66">
        <v>2</v>
      </c>
      <c r="R125" s="69">
        <v>0</v>
      </c>
      <c r="S125" s="102">
        <v>3750</v>
      </c>
      <c r="T125" s="102">
        <v>150</v>
      </c>
      <c r="U125" s="102">
        <v>75</v>
      </c>
      <c r="V125" s="102">
        <v>75</v>
      </c>
      <c r="W125" s="70">
        <v>0</v>
      </c>
      <c r="X125" s="70">
        <v>0</v>
      </c>
      <c r="Y125" s="70">
        <v>0</v>
      </c>
      <c r="Z125" s="70">
        <v>0</v>
      </c>
      <c r="AA125" s="71" t="s">
        <v>170</v>
      </c>
    </row>
    <row r="126" spans="1:27" s="71" customFormat="1">
      <c r="A126" s="66">
        <v>4503</v>
      </c>
      <c r="B126" s="66" t="s">
        <v>42</v>
      </c>
      <c r="C126" s="66" t="s">
        <v>35</v>
      </c>
      <c r="D126" s="66">
        <v>10025</v>
      </c>
      <c r="E126" s="66">
        <v>50000</v>
      </c>
      <c r="F126" s="66" t="s">
        <v>103</v>
      </c>
      <c r="G126" s="66">
        <v>1</v>
      </c>
      <c r="H126" s="67">
        <v>0</v>
      </c>
      <c r="I126" s="105">
        <v>469</v>
      </c>
      <c r="J126" s="106">
        <v>19</v>
      </c>
      <c r="K126" s="106">
        <v>10</v>
      </c>
      <c r="L126" s="107">
        <v>10</v>
      </c>
      <c r="M126" s="66">
        <v>0</v>
      </c>
      <c r="N126" s="66">
        <v>0</v>
      </c>
      <c r="O126" s="66">
        <v>0</v>
      </c>
      <c r="P126" s="66">
        <v>0</v>
      </c>
      <c r="Q126" s="66">
        <v>3</v>
      </c>
      <c r="R126" s="69">
        <v>0</v>
      </c>
      <c r="S126" s="102">
        <v>3750</v>
      </c>
      <c r="T126" s="102">
        <v>150</v>
      </c>
      <c r="U126" s="102">
        <v>75</v>
      </c>
      <c r="V126" s="102">
        <v>75</v>
      </c>
      <c r="W126" s="70">
        <v>0</v>
      </c>
      <c r="X126" s="70">
        <v>0</v>
      </c>
      <c r="Y126" s="70">
        <v>0</v>
      </c>
      <c r="Z126" s="70">
        <v>0</v>
      </c>
      <c r="AA126" s="71" t="s">
        <v>170</v>
      </c>
    </row>
    <row r="127" spans="1:27" s="71" customFormat="1">
      <c r="A127" s="66">
        <v>4504</v>
      </c>
      <c r="B127" s="66" t="s">
        <v>43</v>
      </c>
      <c r="C127" s="66" t="s">
        <v>36</v>
      </c>
      <c r="D127" s="66">
        <v>10035</v>
      </c>
      <c r="E127" s="66">
        <v>100000</v>
      </c>
      <c r="F127" s="66" t="s">
        <v>104</v>
      </c>
      <c r="G127" s="66">
        <v>1</v>
      </c>
      <c r="H127" s="67">
        <v>0</v>
      </c>
      <c r="I127" s="105">
        <v>625</v>
      </c>
      <c r="J127" s="106">
        <v>25</v>
      </c>
      <c r="K127" s="106">
        <v>13</v>
      </c>
      <c r="L127" s="107">
        <v>13</v>
      </c>
      <c r="M127" s="66">
        <v>0</v>
      </c>
      <c r="N127" s="66">
        <v>0</v>
      </c>
      <c r="O127" s="66">
        <v>0</v>
      </c>
      <c r="P127" s="66">
        <v>0</v>
      </c>
      <c r="Q127" s="66">
        <v>4</v>
      </c>
      <c r="R127" s="69">
        <v>0</v>
      </c>
      <c r="S127" s="102">
        <v>3750</v>
      </c>
      <c r="T127" s="102">
        <v>150</v>
      </c>
      <c r="U127" s="102">
        <v>75</v>
      </c>
      <c r="V127" s="102">
        <v>75</v>
      </c>
      <c r="W127" s="70">
        <v>0</v>
      </c>
      <c r="X127" s="70">
        <v>0</v>
      </c>
      <c r="Y127" s="70">
        <v>0</v>
      </c>
      <c r="Z127" s="70">
        <v>0</v>
      </c>
      <c r="AA127" s="71" t="s">
        <v>170</v>
      </c>
    </row>
    <row r="128" spans="1:27" s="71" customFormat="1">
      <c r="A128" s="66">
        <v>4505</v>
      </c>
      <c r="B128" s="66" t="s">
        <v>44</v>
      </c>
      <c r="C128" s="66" t="s">
        <v>37</v>
      </c>
      <c r="D128" s="66">
        <v>10045</v>
      </c>
      <c r="E128" s="66">
        <v>200000</v>
      </c>
      <c r="F128" s="66" t="s">
        <v>105</v>
      </c>
      <c r="G128" s="66">
        <v>2</v>
      </c>
      <c r="H128" s="67">
        <v>0</v>
      </c>
      <c r="I128" s="105">
        <v>781</v>
      </c>
      <c r="J128" s="106">
        <v>31</v>
      </c>
      <c r="K128" s="106">
        <v>16</v>
      </c>
      <c r="L128" s="107">
        <v>16</v>
      </c>
      <c r="M128" s="66">
        <v>0</v>
      </c>
      <c r="N128" s="66">
        <v>0</v>
      </c>
      <c r="O128" s="66">
        <v>0</v>
      </c>
      <c r="P128" s="66">
        <v>0</v>
      </c>
      <c r="Q128" s="66">
        <v>5</v>
      </c>
      <c r="R128" s="69">
        <v>0</v>
      </c>
      <c r="S128" s="102">
        <v>3750</v>
      </c>
      <c r="T128" s="102">
        <v>150</v>
      </c>
      <c r="U128" s="102">
        <v>75</v>
      </c>
      <c r="V128" s="102">
        <v>75</v>
      </c>
      <c r="W128" s="70">
        <v>0</v>
      </c>
      <c r="X128" s="70">
        <v>0</v>
      </c>
      <c r="Y128" s="70">
        <v>0</v>
      </c>
      <c r="Z128" s="70">
        <v>0</v>
      </c>
      <c r="AA128" s="71" t="s">
        <v>170</v>
      </c>
    </row>
    <row r="129" spans="1:27" s="71" customFormat="1">
      <c r="A129" s="66">
        <v>4506</v>
      </c>
      <c r="B129" s="66" t="s">
        <v>45</v>
      </c>
      <c r="C129" s="66" t="s">
        <v>38</v>
      </c>
      <c r="D129" s="66">
        <v>10055</v>
      </c>
      <c r="E129" s="66">
        <v>300000</v>
      </c>
      <c r="F129" s="66" t="s">
        <v>106</v>
      </c>
      <c r="G129" s="66">
        <v>2</v>
      </c>
      <c r="H129" s="67">
        <v>0</v>
      </c>
      <c r="I129" s="105">
        <v>938</v>
      </c>
      <c r="J129" s="106">
        <v>38</v>
      </c>
      <c r="K129" s="106">
        <v>20</v>
      </c>
      <c r="L129" s="107">
        <v>20</v>
      </c>
      <c r="M129" s="66">
        <v>0</v>
      </c>
      <c r="N129" s="66">
        <v>0</v>
      </c>
      <c r="O129" s="66">
        <v>0</v>
      </c>
      <c r="P129" s="66">
        <v>0</v>
      </c>
      <c r="Q129" s="66">
        <v>6</v>
      </c>
      <c r="R129" s="69">
        <v>0</v>
      </c>
      <c r="S129" s="102">
        <v>3750</v>
      </c>
      <c r="T129" s="102">
        <v>150</v>
      </c>
      <c r="U129" s="102">
        <v>75</v>
      </c>
      <c r="V129" s="102">
        <v>75</v>
      </c>
      <c r="W129" s="70">
        <v>0</v>
      </c>
      <c r="X129" s="70">
        <v>0</v>
      </c>
      <c r="Y129" s="70">
        <v>0</v>
      </c>
      <c r="Z129" s="70">
        <v>0</v>
      </c>
      <c r="AA129" s="71" t="s">
        <v>170</v>
      </c>
    </row>
    <row r="130" spans="1:27" s="71" customFormat="1">
      <c r="A130" s="66">
        <v>4507</v>
      </c>
      <c r="B130" s="66" t="s">
        <v>46</v>
      </c>
      <c r="C130" s="66" t="s">
        <v>39</v>
      </c>
      <c r="D130" s="66">
        <v>10065</v>
      </c>
      <c r="E130" s="66">
        <v>500000</v>
      </c>
      <c r="F130" s="66" t="s">
        <v>107</v>
      </c>
      <c r="G130" s="66">
        <v>4</v>
      </c>
      <c r="H130" s="67">
        <v>0</v>
      </c>
      <c r="I130" s="105">
        <v>1094</v>
      </c>
      <c r="J130" s="106">
        <v>44</v>
      </c>
      <c r="K130" s="106">
        <v>23</v>
      </c>
      <c r="L130" s="107">
        <v>23</v>
      </c>
      <c r="M130" s="66">
        <v>0</v>
      </c>
      <c r="N130" s="66">
        <v>0</v>
      </c>
      <c r="O130" s="66">
        <v>0</v>
      </c>
      <c r="P130" s="66">
        <v>0</v>
      </c>
      <c r="Q130" s="66">
        <v>7</v>
      </c>
      <c r="R130" s="69">
        <v>0</v>
      </c>
      <c r="S130" s="102">
        <v>3750</v>
      </c>
      <c r="T130" s="102">
        <v>150</v>
      </c>
      <c r="U130" s="102">
        <v>75</v>
      </c>
      <c r="V130" s="102">
        <v>75</v>
      </c>
      <c r="W130" s="70">
        <v>0</v>
      </c>
      <c r="X130" s="70">
        <v>0</v>
      </c>
      <c r="Y130" s="70">
        <v>0</v>
      </c>
      <c r="Z130" s="70">
        <v>0</v>
      </c>
      <c r="AA130" s="71" t="s">
        <v>170</v>
      </c>
    </row>
    <row r="131" spans="1:27" s="71" customFormat="1">
      <c r="A131" s="66">
        <v>4508</v>
      </c>
      <c r="B131" s="66" t="s">
        <v>47</v>
      </c>
      <c r="C131" s="66" t="s">
        <v>40</v>
      </c>
      <c r="D131" s="66">
        <v>10075</v>
      </c>
      <c r="E131" s="66">
        <v>800000</v>
      </c>
      <c r="F131" s="66" t="s">
        <v>108</v>
      </c>
      <c r="G131" s="66">
        <v>6</v>
      </c>
      <c r="H131" s="67">
        <v>0</v>
      </c>
      <c r="I131" s="105">
        <v>1250</v>
      </c>
      <c r="J131" s="106">
        <v>50</v>
      </c>
      <c r="K131" s="106">
        <v>26</v>
      </c>
      <c r="L131" s="107">
        <v>26</v>
      </c>
      <c r="M131" s="66">
        <v>0</v>
      </c>
      <c r="N131" s="66">
        <v>0</v>
      </c>
      <c r="O131" s="66">
        <v>0</v>
      </c>
      <c r="P131" s="66">
        <v>0</v>
      </c>
      <c r="Q131" s="66">
        <v>8</v>
      </c>
      <c r="R131" s="69">
        <v>0</v>
      </c>
      <c r="S131" s="102">
        <v>3750</v>
      </c>
      <c r="T131" s="102">
        <v>150</v>
      </c>
      <c r="U131" s="102">
        <v>75</v>
      </c>
      <c r="V131" s="102">
        <v>75</v>
      </c>
      <c r="W131" s="70">
        <v>0</v>
      </c>
      <c r="X131" s="70">
        <v>0</v>
      </c>
      <c r="Y131" s="70">
        <v>0</v>
      </c>
      <c r="Z131" s="70">
        <v>0</v>
      </c>
      <c r="AA131" s="71" t="s">
        <v>170</v>
      </c>
    </row>
    <row r="132" spans="1:27" s="71" customFormat="1">
      <c r="A132" s="66">
        <v>4509</v>
      </c>
      <c r="B132" s="66" t="s">
        <v>69</v>
      </c>
      <c r="C132" s="66" t="s">
        <v>32</v>
      </c>
      <c r="D132" s="66">
        <v>10085</v>
      </c>
      <c r="E132" s="66">
        <v>1200000</v>
      </c>
      <c r="F132" s="66" t="s">
        <v>109</v>
      </c>
      <c r="G132" s="66">
        <v>8</v>
      </c>
      <c r="H132" s="67">
        <v>0</v>
      </c>
      <c r="I132" s="105">
        <v>1406</v>
      </c>
      <c r="J132" s="106">
        <v>56</v>
      </c>
      <c r="K132" s="106">
        <v>29</v>
      </c>
      <c r="L132" s="107">
        <v>29</v>
      </c>
      <c r="M132" s="66">
        <v>0</v>
      </c>
      <c r="N132" s="66">
        <v>0</v>
      </c>
      <c r="O132" s="66">
        <v>0</v>
      </c>
      <c r="P132" s="66">
        <v>0</v>
      </c>
      <c r="Q132" s="66">
        <v>9</v>
      </c>
      <c r="R132" s="69">
        <v>0</v>
      </c>
      <c r="S132" s="102">
        <v>3750</v>
      </c>
      <c r="T132" s="102">
        <v>150</v>
      </c>
      <c r="U132" s="102">
        <v>75</v>
      </c>
      <c r="V132" s="102">
        <v>75</v>
      </c>
      <c r="W132" s="70">
        <v>0</v>
      </c>
      <c r="X132" s="70">
        <v>0</v>
      </c>
      <c r="Y132" s="70">
        <v>0</v>
      </c>
      <c r="Z132" s="70">
        <v>0</v>
      </c>
      <c r="AA132" s="71" t="s">
        <v>170</v>
      </c>
    </row>
    <row r="133" spans="1:27" s="71" customFormat="1">
      <c r="A133" s="66">
        <v>4510</v>
      </c>
      <c r="B133" s="66" t="s">
        <v>71</v>
      </c>
      <c r="C133" s="66" t="s">
        <v>31</v>
      </c>
      <c r="D133" s="66">
        <v>10095</v>
      </c>
      <c r="E133" s="66">
        <v>1600000</v>
      </c>
      <c r="F133" s="66" t="s">
        <v>110</v>
      </c>
      <c r="G133" s="66">
        <v>10</v>
      </c>
      <c r="H133" s="67">
        <v>0</v>
      </c>
      <c r="I133" s="105">
        <v>1563</v>
      </c>
      <c r="J133" s="106">
        <v>63</v>
      </c>
      <c r="K133" s="106">
        <v>33</v>
      </c>
      <c r="L133" s="107">
        <v>33</v>
      </c>
      <c r="M133" s="66">
        <v>0</v>
      </c>
      <c r="N133" s="66">
        <v>0</v>
      </c>
      <c r="O133" s="66">
        <v>0</v>
      </c>
      <c r="P133" s="66">
        <v>0</v>
      </c>
      <c r="Q133" s="66">
        <v>10</v>
      </c>
      <c r="R133" s="69">
        <v>0</v>
      </c>
      <c r="S133" s="102">
        <v>3750</v>
      </c>
      <c r="T133" s="102">
        <v>150</v>
      </c>
      <c r="U133" s="102">
        <v>75</v>
      </c>
      <c r="V133" s="102">
        <v>75</v>
      </c>
      <c r="W133" s="70">
        <v>0</v>
      </c>
      <c r="X133" s="70">
        <v>0</v>
      </c>
      <c r="Y133" s="70">
        <v>0</v>
      </c>
      <c r="Z133" s="70">
        <v>0</v>
      </c>
      <c r="AA133" s="71" t="s">
        <v>170</v>
      </c>
    </row>
    <row r="134" spans="1:27" s="71" customFormat="1">
      <c r="A134" s="66">
        <v>4511</v>
      </c>
      <c r="B134" s="66" t="s">
        <v>73</v>
      </c>
      <c r="C134" s="66" t="s">
        <v>74</v>
      </c>
      <c r="D134" s="66">
        <v>10105</v>
      </c>
      <c r="E134" s="66">
        <v>2000000</v>
      </c>
      <c r="F134" s="66" t="s">
        <v>90</v>
      </c>
      <c r="G134" s="66">
        <v>12</v>
      </c>
      <c r="H134" s="67">
        <v>0</v>
      </c>
      <c r="I134" s="105">
        <v>1719</v>
      </c>
      <c r="J134" s="106">
        <v>69</v>
      </c>
      <c r="K134" s="106">
        <v>36</v>
      </c>
      <c r="L134" s="107">
        <v>36</v>
      </c>
      <c r="M134" s="66">
        <v>0</v>
      </c>
      <c r="N134" s="66">
        <v>0</v>
      </c>
      <c r="O134" s="66">
        <v>0</v>
      </c>
      <c r="P134" s="66">
        <v>0</v>
      </c>
      <c r="Q134" s="66">
        <v>11</v>
      </c>
      <c r="R134" s="69">
        <v>0</v>
      </c>
      <c r="S134" s="102">
        <v>3750</v>
      </c>
      <c r="T134" s="102">
        <v>150</v>
      </c>
      <c r="U134" s="102">
        <v>75</v>
      </c>
      <c r="V134" s="102">
        <v>75</v>
      </c>
      <c r="W134" s="70">
        <v>0</v>
      </c>
      <c r="X134" s="70">
        <v>0</v>
      </c>
      <c r="Y134" s="70">
        <v>0</v>
      </c>
      <c r="Z134" s="70">
        <v>0</v>
      </c>
      <c r="AA134" s="71" t="s">
        <v>170</v>
      </c>
    </row>
    <row r="135" spans="1:27" s="71" customFormat="1">
      <c r="A135" s="66">
        <v>4512</v>
      </c>
      <c r="B135" s="66" t="s">
        <v>75</v>
      </c>
      <c r="C135" s="66" t="s">
        <v>76</v>
      </c>
      <c r="D135" s="66">
        <v>10115</v>
      </c>
      <c r="E135" s="66">
        <v>2500000</v>
      </c>
      <c r="F135" s="66" t="s">
        <v>111</v>
      </c>
      <c r="G135" s="66">
        <v>14</v>
      </c>
      <c r="H135" s="67">
        <v>0</v>
      </c>
      <c r="I135" s="105">
        <v>1875</v>
      </c>
      <c r="J135" s="106">
        <v>75</v>
      </c>
      <c r="K135" s="106">
        <v>39</v>
      </c>
      <c r="L135" s="107">
        <v>39</v>
      </c>
      <c r="M135" s="66">
        <v>0</v>
      </c>
      <c r="N135" s="66">
        <v>0</v>
      </c>
      <c r="O135" s="66">
        <v>0</v>
      </c>
      <c r="P135" s="66">
        <v>0</v>
      </c>
      <c r="Q135" s="66">
        <v>12</v>
      </c>
      <c r="R135" s="69">
        <v>0</v>
      </c>
      <c r="S135" s="102">
        <v>3750</v>
      </c>
      <c r="T135" s="102">
        <v>150</v>
      </c>
      <c r="U135" s="102">
        <v>75</v>
      </c>
      <c r="V135" s="102">
        <v>75</v>
      </c>
      <c r="W135" s="70">
        <v>0</v>
      </c>
      <c r="X135" s="70">
        <v>0</v>
      </c>
      <c r="Y135" s="70">
        <v>0</v>
      </c>
      <c r="Z135" s="70">
        <v>0</v>
      </c>
      <c r="AA135" s="71" t="s">
        <v>170</v>
      </c>
    </row>
    <row r="136" spans="1:27" s="71" customFormat="1">
      <c r="A136" s="66">
        <v>4513</v>
      </c>
      <c r="B136" s="66" t="s">
        <v>182</v>
      </c>
      <c r="C136" s="66" t="s">
        <v>183</v>
      </c>
      <c r="D136" s="66">
        <v>10125</v>
      </c>
      <c r="E136" s="66">
        <v>3000000</v>
      </c>
      <c r="F136" s="66" t="s">
        <v>114</v>
      </c>
      <c r="G136" s="66">
        <v>16</v>
      </c>
      <c r="H136" s="67">
        <v>0</v>
      </c>
      <c r="I136" s="105">
        <v>2031</v>
      </c>
      <c r="J136" s="106">
        <v>81</v>
      </c>
      <c r="K136" s="106">
        <v>42</v>
      </c>
      <c r="L136" s="107">
        <v>42</v>
      </c>
      <c r="M136" s="66">
        <v>0</v>
      </c>
      <c r="N136" s="66">
        <v>0</v>
      </c>
      <c r="O136" s="66">
        <v>0</v>
      </c>
      <c r="P136" s="66">
        <v>0</v>
      </c>
      <c r="Q136" s="66">
        <v>13</v>
      </c>
      <c r="R136" s="69">
        <v>0</v>
      </c>
      <c r="S136" s="102">
        <v>3750</v>
      </c>
      <c r="T136" s="102">
        <v>150</v>
      </c>
      <c r="U136" s="102">
        <v>75</v>
      </c>
      <c r="V136" s="102">
        <v>75</v>
      </c>
      <c r="W136" s="70">
        <v>0</v>
      </c>
      <c r="X136" s="70">
        <v>0</v>
      </c>
      <c r="Y136" s="70">
        <v>0</v>
      </c>
      <c r="Z136" s="70">
        <v>0</v>
      </c>
      <c r="AA136" s="71" t="s">
        <v>170</v>
      </c>
    </row>
    <row r="137" spans="1:27" s="71" customFormat="1">
      <c r="A137" s="66">
        <v>4514</v>
      </c>
      <c r="B137" s="66" t="s">
        <v>184</v>
      </c>
      <c r="C137" s="66" t="s">
        <v>185</v>
      </c>
      <c r="D137" s="66">
        <v>10135</v>
      </c>
      <c r="E137" s="66">
        <v>4000000</v>
      </c>
      <c r="F137" s="66" t="s">
        <v>197</v>
      </c>
      <c r="G137" s="66">
        <v>20</v>
      </c>
      <c r="H137" s="67">
        <v>0</v>
      </c>
      <c r="I137" s="105">
        <v>2188</v>
      </c>
      <c r="J137" s="106">
        <v>88</v>
      </c>
      <c r="K137" s="106">
        <v>46</v>
      </c>
      <c r="L137" s="107">
        <v>46</v>
      </c>
      <c r="M137" s="66">
        <v>0</v>
      </c>
      <c r="N137" s="66">
        <v>0</v>
      </c>
      <c r="O137" s="66">
        <v>0</v>
      </c>
      <c r="P137" s="66">
        <v>0</v>
      </c>
      <c r="Q137" s="66">
        <v>14</v>
      </c>
      <c r="R137" s="69">
        <v>0</v>
      </c>
      <c r="S137" s="102">
        <v>3750</v>
      </c>
      <c r="T137" s="102">
        <v>150</v>
      </c>
      <c r="U137" s="102">
        <v>75</v>
      </c>
      <c r="V137" s="102">
        <v>75</v>
      </c>
      <c r="W137" s="70">
        <v>0</v>
      </c>
      <c r="X137" s="70">
        <v>0</v>
      </c>
      <c r="Y137" s="70">
        <v>0</v>
      </c>
      <c r="Z137" s="70">
        <v>0</v>
      </c>
      <c r="AA137" s="71" t="s">
        <v>170</v>
      </c>
    </row>
    <row r="138" spans="1:27" s="71" customFormat="1">
      <c r="A138" s="66">
        <v>4515</v>
      </c>
      <c r="B138" s="66" t="s">
        <v>186</v>
      </c>
      <c r="C138" s="66" t="s">
        <v>187</v>
      </c>
      <c r="D138" s="66">
        <v>10145</v>
      </c>
      <c r="E138" s="66">
        <v>5000000</v>
      </c>
      <c r="F138" s="66" t="s">
        <v>195</v>
      </c>
      <c r="G138" s="66">
        <v>20</v>
      </c>
      <c r="H138" s="67">
        <v>0</v>
      </c>
      <c r="I138" s="105">
        <v>2344</v>
      </c>
      <c r="J138" s="106">
        <v>94</v>
      </c>
      <c r="K138" s="106">
        <v>49</v>
      </c>
      <c r="L138" s="107">
        <v>49</v>
      </c>
      <c r="M138" s="66">
        <v>0</v>
      </c>
      <c r="N138" s="66">
        <v>0</v>
      </c>
      <c r="O138" s="66">
        <v>0</v>
      </c>
      <c r="P138" s="66">
        <v>0</v>
      </c>
      <c r="Q138" s="66">
        <v>15</v>
      </c>
      <c r="R138" s="69">
        <v>0</v>
      </c>
      <c r="S138" s="102">
        <v>3750</v>
      </c>
      <c r="T138" s="102">
        <v>150</v>
      </c>
      <c r="U138" s="102">
        <v>75</v>
      </c>
      <c r="V138" s="102">
        <v>75</v>
      </c>
      <c r="W138" s="70">
        <v>0</v>
      </c>
      <c r="X138" s="70">
        <v>0</v>
      </c>
      <c r="Y138" s="70">
        <v>0</v>
      </c>
      <c r="Z138" s="70">
        <v>0</v>
      </c>
      <c r="AA138" s="71" t="s">
        <v>170</v>
      </c>
    </row>
    <row r="139" spans="1:27" s="77" customFormat="1">
      <c r="A139" s="72">
        <v>5101</v>
      </c>
      <c r="B139" s="72" t="s">
        <v>121</v>
      </c>
      <c r="C139" s="72" t="s">
        <v>33</v>
      </c>
      <c r="D139" s="72">
        <v>10001</v>
      </c>
      <c r="E139" s="72">
        <v>6000</v>
      </c>
      <c r="F139" s="72" t="s">
        <v>112</v>
      </c>
      <c r="G139" s="72">
        <v>0</v>
      </c>
      <c r="H139" s="73">
        <v>0</v>
      </c>
      <c r="I139" s="117">
        <v>188</v>
      </c>
      <c r="J139" s="118">
        <v>8</v>
      </c>
      <c r="K139" s="118">
        <v>4</v>
      </c>
      <c r="L139" s="119">
        <v>4</v>
      </c>
      <c r="M139" s="72">
        <v>0</v>
      </c>
      <c r="N139" s="72">
        <v>0</v>
      </c>
      <c r="O139" s="72">
        <v>0</v>
      </c>
      <c r="P139" s="72">
        <v>0</v>
      </c>
      <c r="Q139" s="72">
        <v>1</v>
      </c>
      <c r="R139" s="75">
        <v>0</v>
      </c>
      <c r="S139" s="103">
        <v>4500</v>
      </c>
      <c r="T139" s="103">
        <v>180</v>
      </c>
      <c r="U139" s="103">
        <v>90</v>
      </c>
      <c r="V139" s="103">
        <v>90</v>
      </c>
      <c r="W139" s="76">
        <v>0</v>
      </c>
      <c r="X139" s="76">
        <v>0</v>
      </c>
      <c r="Y139" s="76">
        <v>0</v>
      </c>
      <c r="Z139" s="76">
        <v>0</v>
      </c>
      <c r="AA139" s="77" t="s">
        <v>176</v>
      </c>
    </row>
    <row r="140" spans="1:27" s="77" customFormat="1">
      <c r="A140" s="72">
        <v>5102</v>
      </c>
      <c r="B140" s="72" t="s">
        <v>41</v>
      </c>
      <c r="C140" s="72" t="s">
        <v>34</v>
      </c>
      <c r="D140" s="72">
        <v>10015</v>
      </c>
      <c r="E140" s="72">
        <v>24000</v>
      </c>
      <c r="F140" s="72" t="s">
        <v>113</v>
      </c>
      <c r="G140" s="72">
        <v>0</v>
      </c>
      <c r="H140" s="73">
        <v>0</v>
      </c>
      <c r="I140" s="117">
        <v>375</v>
      </c>
      <c r="J140" s="118">
        <v>15</v>
      </c>
      <c r="K140" s="118">
        <v>8</v>
      </c>
      <c r="L140" s="119">
        <v>8</v>
      </c>
      <c r="M140" s="72">
        <v>0</v>
      </c>
      <c r="N140" s="72">
        <v>0</v>
      </c>
      <c r="O140" s="72">
        <v>0</v>
      </c>
      <c r="P140" s="72">
        <v>0</v>
      </c>
      <c r="Q140" s="72">
        <v>2</v>
      </c>
      <c r="R140" s="75">
        <v>0</v>
      </c>
      <c r="S140" s="103">
        <v>4500</v>
      </c>
      <c r="T140" s="103">
        <v>180</v>
      </c>
      <c r="U140" s="103">
        <v>90</v>
      </c>
      <c r="V140" s="103">
        <v>90</v>
      </c>
      <c r="W140" s="76">
        <v>0</v>
      </c>
      <c r="X140" s="76">
        <v>0</v>
      </c>
      <c r="Y140" s="76">
        <v>0</v>
      </c>
      <c r="Z140" s="76">
        <v>0</v>
      </c>
      <c r="AA140" s="77" t="s">
        <v>176</v>
      </c>
    </row>
    <row r="141" spans="1:27" s="77" customFormat="1">
      <c r="A141" s="72">
        <v>5103</v>
      </c>
      <c r="B141" s="72" t="s">
        <v>42</v>
      </c>
      <c r="C141" s="72" t="s">
        <v>35</v>
      </c>
      <c r="D141" s="72">
        <v>10025</v>
      </c>
      <c r="E141" s="72">
        <v>60000</v>
      </c>
      <c r="F141" s="72" t="s">
        <v>29</v>
      </c>
      <c r="G141" s="72">
        <v>1</v>
      </c>
      <c r="H141" s="73">
        <v>0</v>
      </c>
      <c r="I141" s="117">
        <v>563</v>
      </c>
      <c r="J141" s="118">
        <v>23</v>
      </c>
      <c r="K141" s="118">
        <v>11</v>
      </c>
      <c r="L141" s="119">
        <v>11</v>
      </c>
      <c r="M141" s="72">
        <v>0</v>
      </c>
      <c r="N141" s="72">
        <v>0</v>
      </c>
      <c r="O141" s="72">
        <v>0</v>
      </c>
      <c r="P141" s="72">
        <v>0</v>
      </c>
      <c r="Q141" s="72">
        <v>3</v>
      </c>
      <c r="R141" s="75">
        <v>0</v>
      </c>
      <c r="S141" s="103">
        <v>4500</v>
      </c>
      <c r="T141" s="103">
        <v>180</v>
      </c>
      <c r="U141" s="103">
        <v>90</v>
      </c>
      <c r="V141" s="103">
        <v>90</v>
      </c>
      <c r="W141" s="76">
        <v>0</v>
      </c>
      <c r="X141" s="76">
        <v>0</v>
      </c>
      <c r="Y141" s="76">
        <v>0</v>
      </c>
      <c r="Z141" s="76">
        <v>0</v>
      </c>
      <c r="AA141" s="77" t="s">
        <v>176</v>
      </c>
    </row>
    <row r="142" spans="1:27" s="77" customFormat="1">
      <c r="A142" s="72">
        <v>5104</v>
      </c>
      <c r="B142" s="72" t="s">
        <v>43</v>
      </c>
      <c r="C142" s="72" t="s">
        <v>36</v>
      </c>
      <c r="D142" s="72">
        <v>10035</v>
      </c>
      <c r="E142" s="72">
        <v>120000</v>
      </c>
      <c r="F142" s="72" t="s">
        <v>84</v>
      </c>
      <c r="G142" s="72">
        <v>1</v>
      </c>
      <c r="H142" s="73">
        <v>0</v>
      </c>
      <c r="I142" s="117">
        <v>750</v>
      </c>
      <c r="J142" s="118">
        <v>30</v>
      </c>
      <c r="K142" s="118">
        <v>15</v>
      </c>
      <c r="L142" s="119">
        <v>15</v>
      </c>
      <c r="M142" s="72">
        <v>0</v>
      </c>
      <c r="N142" s="72">
        <v>0</v>
      </c>
      <c r="O142" s="72">
        <v>0</v>
      </c>
      <c r="P142" s="72">
        <v>0</v>
      </c>
      <c r="Q142" s="72">
        <v>4</v>
      </c>
      <c r="R142" s="75">
        <v>0</v>
      </c>
      <c r="S142" s="103">
        <v>4500</v>
      </c>
      <c r="T142" s="103">
        <v>180</v>
      </c>
      <c r="U142" s="103">
        <v>90</v>
      </c>
      <c r="V142" s="103">
        <v>90</v>
      </c>
      <c r="W142" s="76">
        <v>0</v>
      </c>
      <c r="X142" s="76">
        <v>0</v>
      </c>
      <c r="Y142" s="76">
        <v>0</v>
      </c>
      <c r="Z142" s="76">
        <v>0</v>
      </c>
      <c r="AA142" s="77" t="s">
        <v>176</v>
      </c>
    </row>
    <row r="143" spans="1:27" s="77" customFormat="1">
      <c r="A143" s="72">
        <v>5105</v>
      </c>
      <c r="B143" s="72" t="s">
        <v>44</v>
      </c>
      <c r="C143" s="72" t="s">
        <v>37</v>
      </c>
      <c r="D143" s="72">
        <v>10045</v>
      </c>
      <c r="E143" s="72">
        <v>240000</v>
      </c>
      <c r="F143" s="72" t="s">
        <v>85</v>
      </c>
      <c r="G143" s="72">
        <v>2</v>
      </c>
      <c r="H143" s="73">
        <v>0</v>
      </c>
      <c r="I143" s="117">
        <v>938</v>
      </c>
      <c r="J143" s="118">
        <v>38</v>
      </c>
      <c r="K143" s="118">
        <v>19</v>
      </c>
      <c r="L143" s="119">
        <v>19</v>
      </c>
      <c r="M143" s="72">
        <v>0</v>
      </c>
      <c r="N143" s="72">
        <v>0</v>
      </c>
      <c r="O143" s="72">
        <v>0</v>
      </c>
      <c r="P143" s="72">
        <v>0</v>
      </c>
      <c r="Q143" s="72">
        <v>5</v>
      </c>
      <c r="R143" s="75">
        <v>0</v>
      </c>
      <c r="S143" s="103">
        <v>4500</v>
      </c>
      <c r="T143" s="103">
        <v>180</v>
      </c>
      <c r="U143" s="103">
        <v>90</v>
      </c>
      <c r="V143" s="103">
        <v>90</v>
      </c>
      <c r="W143" s="76">
        <v>0</v>
      </c>
      <c r="X143" s="76">
        <v>0</v>
      </c>
      <c r="Y143" s="76">
        <v>0</v>
      </c>
      <c r="Z143" s="76">
        <v>0</v>
      </c>
      <c r="AA143" s="77" t="s">
        <v>176</v>
      </c>
    </row>
    <row r="144" spans="1:27" s="77" customFormat="1">
      <c r="A144" s="72">
        <v>5106</v>
      </c>
      <c r="B144" s="72" t="s">
        <v>45</v>
      </c>
      <c r="C144" s="72" t="s">
        <v>38</v>
      </c>
      <c r="D144" s="72">
        <v>10055</v>
      </c>
      <c r="E144" s="72">
        <v>360000</v>
      </c>
      <c r="F144" s="72" t="s">
        <v>86</v>
      </c>
      <c r="G144" s="72">
        <v>2</v>
      </c>
      <c r="H144" s="73">
        <v>0</v>
      </c>
      <c r="I144" s="117">
        <v>1125</v>
      </c>
      <c r="J144" s="118">
        <v>45</v>
      </c>
      <c r="K144" s="118">
        <v>23</v>
      </c>
      <c r="L144" s="119">
        <v>23</v>
      </c>
      <c r="M144" s="72">
        <v>0</v>
      </c>
      <c r="N144" s="72">
        <v>0</v>
      </c>
      <c r="O144" s="72">
        <v>0</v>
      </c>
      <c r="P144" s="72">
        <v>0</v>
      </c>
      <c r="Q144" s="72">
        <v>6</v>
      </c>
      <c r="R144" s="75">
        <v>0</v>
      </c>
      <c r="S144" s="103">
        <v>4500</v>
      </c>
      <c r="T144" s="103">
        <v>180</v>
      </c>
      <c r="U144" s="103">
        <v>90</v>
      </c>
      <c r="V144" s="103">
        <v>90</v>
      </c>
      <c r="W144" s="76">
        <v>0</v>
      </c>
      <c r="X144" s="76">
        <v>0</v>
      </c>
      <c r="Y144" s="76">
        <v>0</v>
      </c>
      <c r="Z144" s="76">
        <v>0</v>
      </c>
      <c r="AA144" s="77" t="s">
        <v>176</v>
      </c>
    </row>
    <row r="145" spans="1:27" s="77" customFormat="1">
      <c r="A145" s="72">
        <v>5107</v>
      </c>
      <c r="B145" s="72" t="s">
        <v>46</v>
      </c>
      <c r="C145" s="72" t="s">
        <v>39</v>
      </c>
      <c r="D145" s="72">
        <v>10065</v>
      </c>
      <c r="E145" s="72">
        <v>600000</v>
      </c>
      <c r="F145" s="72" t="s">
        <v>87</v>
      </c>
      <c r="G145" s="72">
        <v>4</v>
      </c>
      <c r="H145" s="73">
        <v>0</v>
      </c>
      <c r="I145" s="117">
        <v>1313</v>
      </c>
      <c r="J145" s="118">
        <v>53</v>
      </c>
      <c r="K145" s="118">
        <v>26</v>
      </c>
      <c r="L145" s="119">
        <v>26</v>
      </c>
      <c r="M145" s="72">
        <v>0</v>
      </c>
      <c r="N145" s="72">
        <v>0</v>
      </c>
      <c r="O145" s="72">
        <v>0</v>
      </c>
      <c r="P145" s="72">
        <v>0</v>
      </c>
      <c r="Q145" s="72">
        <v>7</v>
      </c>
      <c r="R145" s="75">
        <v>0</v>
      </c>
      <c r="S145" s="103">
        <v>4500</v>
      </c>
      <c r="T145" s="103">
        <v>180</v>
      </c>
      <c r="U145" s="103">
        <v>90</v>
      </c>
      <c r="V145" s="103">
        <v>90</v>
      </c>
      <c r="W145" s="76">
        <v>0</v>
      </c>
      <c r="X145" s="76">
        <v>0</v>
      </c>
      <c r="Y145" s="76">
        <v>0</v>
      </c>
      <c r="Z145" s="76">
        <v>0</v>
      </c>
      <c r="AA145" s="77" t="s">
        <v>176</v>
      </c>
    </row>
    <row r="146" spans="1:27" s="77" customFormat="1">
      <c r="A146" s="72">
        <v>5108</v>
      </c>
      <c r="B146" s="72" t="s">
        <v>47</v>
      </c>
      <c r="C146" s="72" t="s">
        <v>40</v>
      </c>
      <c r="D146" s="72">
        <v>10075</v>
      </c>
      <c r="E146" s="72">
        <v>1000000</v>
      </c>
      <c r="F146" s="72" t="s">
        <v>88</v>
      </c>
      <c r="G146" s="72">
        <v>6</v>
      </c>
      <c r="H146" s="73">
        <v>0</v>
      </c>
      <c r="I146" s="117">
        <v>1500</v>
      </c>
      <c r="J146" s="118">
        <v>60</v>
      </c>
      <c r="K146" s="118">
        <v>30</v>
      </c>
      <c r="L146" s="119">
        <v>30</v>
      </c>
      <c r="M146" s="72">
        <v>0</v>
      </c>
      <c r="N146" s="72">
        <v>0</v>
      </c>
      <c r="O146" s="72">
        <v>0</v>
      </c>
      <c r="P146" s="72">
        <v>0</v>
      </c>
      <c r="Q146" s="72">
        <v>8</v>
      </c>
      <c r="R146" s="75">
        <v>0</v>
      </c>
      <c r="S146" s="103">
        <v>4500</v>
      </c>
      <c r="T146" s="103">
        <v>180</v>
      </c>
      <c r="U146" s="103">
        <v>90</v>
      </c>
      <c r="V146" s="103">
        <v>90</v>
      </c>
      <c r="W146" s="76">
        <v>0</v>
      </c>
      <c r="X146" s="76">
        <v>0</v>
      </c>
      <c r="Y146" s="76">
        <v>0</v>
      </c>
      <c r="Z146" s="76">
        <v>0</v>
      </c>
      <c r="AA146" s="77" t="s">
        <v>176</v>
      </c>
    </row>
    <row r="147" spans="1:27" s="77" customFormat="1">
      <c r="A147" s="72">
        <v>5109</v>
      </c>
      <c r="B147" s="72" t="s">
        <v>69</v>
      </c>
      <c r="C147" s="72" t="s">
        <v>32</v>
      </c>
      <c r="D147" s="72">
        <v>10085</v>
      </c>
      <c r="E147" s="72">
        <v>1500000</v>
      </c>
      <c r="F147" s="72" t="s">
        <v>89</v>
      </c>
      <c r="G147" s="72">
        <v>8</v>
      </c>
      <c r="H147" s="73">
        <v>0</v>
      </c>
      <c r="I147" s="117">
        <v>1688</v>
      </c>
      <c r="J147" s="118">
        <v>68</v>
      </c>
      <c r="K147" s="118">
        <v>34</v>
      </c>
      <c r="L147" s="119">
        <v>34</v>
      </c>
      <c r="M147" s="72">
        <v>0</v>
      </c>
      <c r="N147" s="72">
        <v>0</v>
      </c>
      <c r="O147" s="72">
        <v>0</v>
      </c>
      <c r="P147" s="72">
        <v>0</v>
      </c>
      <c r="Q147" s="72">
        <v>9</v>
      </c>
      <c r="R147" s="75">
        <v>0</v>
      </c>
      <c r="S147" s="103">
        <v>4500</v>
      </c>
      <c r="T147" s="103">
        <v>180</v>
      </c>
      <c r="U147" s="103">
        <v>90</v>
      </c>
      <c r="V147" s="103">
        <v>90</v>
      </c>
      <c r="W147" s="76">
        <v>0</v>
      </c>
      <c r="X147" s="76">
        <v>0</v>
      </c>
      <c r="Y147" s="76">
        <v>0</v>
      </c>
      <c r="Z147" s="76">
        <v>0</v>
      </c>
      <c r="AA147" s="77" t="s">
        <v>176</v>
      </c>
    </row>
    <row r="148" spans="1:27" s="77" customFormat="1">
      <c r="A148" s="72">
        <v>5110</v>
      </c>
      <c r="B148" s="72" t="s">
        <v>71</v>
      </c>
      <c r="C148" s="72" t="s">
        <v>31</v>
      </c>
      <c r="D148" s="72">
        <v>10095</v>
      </c>
      <c r="E148" s="72">
        <v>2000000</v>
      </c>
      <c r="F148" s="72" t="s">
        <v>90</v>
      </c>
      <c r="G148" s="72">
        <v>10</v>
      </c>
      <c r="H148" s="73">
        <v>0</v>
      </c>
      <c r="I148" s="117">
        <v>1875</v>
      </c>
      <c r="J148" s="118">
        <v>75</v>
      </c>
      <c r="K148" s="118">
        <v>38</v>
      </c>
      <c r="L148" s="119">
        <v>38</v>
      </c>
      <c r="M148" s="72">
        <v>0</v>
      </c>
      <c r="N148" s="72">
        <v>0</v>
      </c>
      <c r="O148" s="72">
        <v>0</v>
      </c>
      <c r="P148" s="72">
        <v>0</v>
      </c>
      <c r="Q148" s="72">
        <v>10</v>
      </c>
      <c r="R148" s="75">
        <v>0</v>
      </c>
      <c r="S148" s="103">
        <v>4500</v>
      </c>
      <c r="T148" s="103">
        <v>180</v>
      </c>
      <c r="U148" s="103">
        <v>90</v>
      </c>
      <c r="V148" s="103">
        <v>90</v>
      </c>
      <c r="W148" s="76">
        <v>0</v>
      </c>
      <c r="X148" s="76">
        <v>0</v>
      </c>
      <c r="Y148" s="76">
        <v>0</v>
      </c>
      <c r="Z148" s="76">
        <v>0</v>
      </c>
      <c r="AA148" s="77" t="s">
        <v>176</v>
      </c>
    </row>
    <row r="149" spans="1:27" s="77" customFormat="1">
      <c r="A149" s="72">
        <v>5111</v>
      </c>
      <c r="B149" s="72" t="s">
        <v>73</v>
      </c>
      <c r="C149" s="72" t="s">
        <v>74</v>
      </c>
      <c r="D149" s="72">
        <v>10105</v>
      </c>
      <c r="E149" s="72">
        <v>2400000</v>
      </c>
      <c r="F149" s="72" t="s">
        <v>91</v>
      </c>
      <c r="G149" s="72">
        <v>12</v>
      </c>
      <c r="H149" s="73">
        <v>0</v>
      </c>
      <c r="I149" s="117">
        <v>2063</v>
      </c>
      <c r="J149" s="118">
        <v>83</v>
      </c>
      <c r="K149" s="118">
        <v>41</v>
      </c>
      <c r="L149" s="119">
        <v>41</v>
      </c>
      <c r="M149" s="72">
        <v>0</v>
      </c>
      <c r="N149" s="72">
        <v>0</v>
      </c>
      <c r="O149" s="72">
        <v>0</v>
      </c>
      <c r="P149" s="72">
        <v>0</v>
      </c>
      <c r="Q149" s="72">
        <v>11</v>
      </c>
      <c r="R149" s="75">
        <v>0</v>
      </c>
      <c r="S149" s="103">
        <v>4500</v>
      </c>
      <c r="T149" s="103">
        <v>180</v>
      </c>
      <c r="U149" s="103">
        <v>90</v>
      </c>
      <c r="V149" s="103">
        <v>90</v>
      </c>
      <c r="W149" s="76">
        <v>0</v>
      </c>
      <c r="X149" s="76">
        <v>0</v>
      </c>
      <c r="Y149" s="76">
        <v>0</v>
      </c>
      <c r="Z149" s="76">
        <v>0</v>
      </c>
      <c r="AA149" s="77" t="s">
        <v>176</v>
      </c>
    </row>
    <row r="150" spans="1:27" s="77" customFormat="1">
      <c r="A150" s="72">
        <v>5112</v>
      </c>
      <c r="B150" s="72" t="s">
        <v>75</v>
      </c>
      <c r="C150" s="72" t="s">
        <v>76</v>
      </c>
      <c r="D150" s="72">
        <v>10115</v>
      </c>
      <c r="E150" s="72">
        <v>3000000</v>
      </c>
      <c r="F150" s="72" t="s">
        <v>114</v>
      </c>
      <c r="G150" s="72">
        <v>14</v>
      </c>
      <c r="H150" s="73">
        <v>0</v>
      </c>
      <c r="I150" s="117">
        <v>2250</v>
      </c>
      <c r="J150" s="118">
        <v>90</v>
      </c>
      <c r="K150" s="118">
        <v>45</v>
      </c>
      <c r="L150" s="119">
        <v>45</v>
      </c>
      <c r="M150" s="72">
        <v>0</v>
      </c>
      <c r="N150" s="72">
        <v>0</v>
      </c>
      <c r="O150" s="72">
        <v>0</v>
      </c>
      <c r="P150" s="72">
        <v>0</v>
      </c>
      <c r="Q150" s="72">
        <v>12</v>
      </c>
      <c r="R150" s="75">
        <v>0</v>
      </c>
      <c r="S150" s="103">
        <v>4500</v>
      </c>
      <c r="T150" s="103">
        <v>180</v>
      </c>
      <c r="U150" s="103">
        <v>90</v>
      </c>
      <c r="V150" s="103">
        <v>90</v>
      </c>
      <c r="W150" s="76">
        <v>0</v>
      </c>
      <c r="X150" s="76">
        <v>0</v>
      </c>
      <c r="Y150" s="76">
        <v>0</v>
      </c>
      <c r="Z150" s="76">
        <v>0</v>
      </c>
      <c r="AA150" s="77" t="s">
        <v>176</v>
      </c>
    </row>
    <row r="151" spans="1:27" s="77" customFormat="1">
      <c r="A151" s="72">
        <v>5113</v>
      </c>
      <c r="B151" s="72" t="s">
        <v>182</v>
      </c>
      <c r="C151" s="72" t="s">
        <v>183</v>
      </c>
      <c r="D151" s="72">
        <v>10125</v>
      </c>
      <c r="E151" s="72">
        <v>3600000</v>
      </c>
      <c r="F151" s="72" t="s">
        <v>188</v>
      </c>
      <c r="G151" s="72">
        <v>16</v>
      </c>
      <c r="H151" s="73">
        <v>0</v>
      </c>
      <c r="I151" s="117">
        <v>2438</v>
      </c>
      <c r="J151" s="118">
        <v>98</v>
      </c>
      <c r="K151" s="118">
        <v>49</v>
      </c>
      <c r="L151" s="119">
        <v>49</v>
      </c>
      <c r="M151" s="72">
        <v>0</v>
      </c>
      <c r="N151" s="72">
        <v>0</v>
      </c>
      <c r="O151" s="72">
        <v>0</v>
      </c>
      <c r="P151" s="72">
        <v>0</v>
      </c>
      <c r="Q151" s="72">
        <v>13</v>
      </c>
      <c r="R151" s="75">
        <v>0</v>
      </c>
      <c r="S151" s="103">
        <v>4500</v>
      </c>
      <c r="T151" s="103">
        <v>180</v>
      </c>
      <c r="U151" s="103">
        <v>90</v>
      </c>
      <c r="V151" s="103">
        <v>90</v>
      </c>
      <c r="W151" s="76">
        <v>0</v>
      </c>
      <c r="X151" s="76">
        <v>0</v>
      </c>
      <c r="Y151" s="76">
        <v>0</v>
      </c>
      <c r="Z151" s="76">
        <v>0</v>
      </c>
      <c r="AA151" s="77" t="s">
        <v>176</v>
      </c>
    </row>
    <row r="152" spans="1:27" s="77" customFormat="1">
      <c r="A152" s="72">
        <v>5114</v>
      </c>
      <c r="B152" s="72" t="s">
        <v>184</v>
      </c>
      <c r="C152" s="72" t="s">
        <v>185</v>
      </c>
      <c r="D152" s="72">
        <v>10135</v>
      </c>
      <c r="E152" s="72">
        <v>4800000</v>
      </c>
      <c r="F152" s="72" t="s">
        <v>190</v>
      </c>
      <c r="G152" s="72">
        <v>20</v>
      </c>
      <c r="H152" s="73">
        <v>0</v>
      </c>
      <c r="I152" s="117">
        <v>2625</v>
      </c>
      <c r="J152" s="118">
        <v>105</v>
      </c>
      <c r="K152" s="118">
        <v>53</v>
      </c>
      <c r="L152" s="119">
        <v>53</v>
      </c>
      <c r="M152" s="72">
        <v>0</v>
      </c>
      <c r="N152" s="72">
        <v>0</v>
      </c>
      <c r="O152" s="72">
        <v>0</v>
      </c>
      <c r="P152" s="72">
        <v>0</v>
      </c>
      <c r="Q152" s="72">
        <v>14</v>
      </c>
      <c r="R152" s="75">
        <v>0</v>
      </c>
      <c r="S152" s="103">
        <v>4500</v>
      </c>
      <c r="T152" s="103">
        <v>180</v>
      </c>
      <c r="U152" s="103">
        <v>90</v>
      </c>
      <c r="V152" s="103">
        <v>90</v>
      </c>
      <c r="W152" s="76">
        <v>0</v>
      </c>
      <c r="X152" s="76">
        <v>0</v>
      </c>
      <c r="Y152" s="76">
        <v>0</v>
      </c>
      <c r="Z152" s="76">
        <v>0</v>
      </c>
      <c r="AA152" s="77" t="s">
        <v>176</v>
      </c>
    </row>
    <row r="153" spans="1:27" s="77" customFormat="1">
      <c r="A153" s="72">
        <v>5115</v>
      </c>
      <c r="B153" s="72" t="s">
        <v>186</v>
      </c>
      <c r="C153" s="72" t="s">
        <v>187</v>
      </c>
      <c r="D153" s="72">
        <v>10145</v>
      </c>
      <c r="E153" s="72">
        <v>6000000</v>
      </c>
      <c r="F153" s="72" t="s">
        <v>192</v>
      </c>
      <c r="G153" s="72">
        <v>20</v>
      </c>
      <c r="H153" s="73">
        <v>0</v>
      </c>
      <c r="I153" s="117">
        <v>2813</v>
      </c>
      <c r="J153" s="118">
        <v>113</v>
      </c>
      <c r="K153" s="118">
        <v>56</v>
      </c>
      <c r="L153" s="119">
        <v>56</v>
      </c>
      <c r="M153" s="72">
        <v>0</v>
      </c>
      <c r="N153" s="72">
        <v>0</v>
      </c>
      <c r="O153" s="72">
        <v>0</v>
      </c>
      <c r="P153" s="72">
        <v>0</v>
      </c>
      <c r="Q153" s="72">
        <v>15</v>
      </c>
      <c r="R153" s="75">
        <v>0</v>
      </c>
      <c r="S153" s="103">
        <v>4500</v>
      </c>
      <c r="T153" s="103">
        <v>180</v>
      </c>
      <c r="U153" s="103">
        <v>90</v>
      </c>
      <c r="V153" s="103">
        <v>90</v>
      </c>
      <c r="W153" s="76">
        <v>0</v>
      </c>
      <c r="X153" s="76">
        <v>0</v>
      </c>
      <c r="Y153" s="76">
        <v>0</v>
      </c>
      <c r="Z153" s="76">
        <v>0</v>
      </c>
      <c r="AA153" s="77" t="s">
        <v>176</v>
      </c>
    </row>
    <row r="154" spans="1:27" s="92" customFormat="1">
      <c r="A154" s="2">
        <v>5201</v>
      </c>
      <c r="B154" s="2" t="s">
        <v>121</v>
      </c>
      <c r="C154" s="2" t="s">
        <v>33</v>
      </c>
      <c r="D154" s="2">
        <v>10001</v>
      </c>
      <c r="E154" s="2">
        <v>6000</v>
      </c>
      <c r="F154" s="2" t="s">
        <v>112</v>
      </c>
      <c r="G154" s="2">
        <v>0</v>
      </c>
      <c r="H154" s="43">
        <v>0</v>
      </c>
      <c r="I154" s="117">
        <v>188</v>
      </c>
      <c r="J154" s="118">
        <v>8</v>
      </c>
      <c r="K154" s="118">
        <v>4</v>
      </c>
      <c r="L154" s="119">
        <v>4</v>
      </c>
      <c r="M154" s="2">
        <v>0</v>
      </c>
      <c r="N154" s="2">
        <v>0</v>
      </c>
      <c r="O154" s="2">
        <v>0</v>
      </c>
      <c r="P154" s="2">
        <v>0</v>
      </c>
      <c r="Q154" s="2">
        <v>1</v>
      </c>
      <c r="R154" s="18">
        <v>0</v>
      </c>
      <c r="S154" s="103">
        <v>4500</v>
      </c>
      <c r="T154" s="103">
        <v>180</v>
      </c>
      <c r="U154" s="103">
        <v>90</v>
      </c>
      <c r="V154" s="103">
        <v>90</v>
      </c>
      <c r="W154" s="91">
        <v>0</v>
      </c>
      <c r="X154" s="91">
        <v>0</v>
      </c>
      <c r="Y154" s="91">
        <v>0</v>
      </c>
      <c r="Z154" s="91">
        <v>0</v>
      </c>
      <c r="AA154" s="92" t="s">
        <v>175</v>
      </c>
    </row>
    <row r="155" spans="1:27" s="92" customFormat="1">
      <c r="A155" s="2">
        <v>5202</v>
      </c>
      <c r="B155" s="2" t="s">
        <v>41</v>
      </c>
      <c r="C155" s="2" t="s">
        <v>34</v>
      </c>
      <c r="D155" s="2">
        <v>10015</v>
      </c>
      <c r="E155" s="2">
        <v>24000</v>
      </c>
      <c r="F155" s="2" t="s">
        <v>113</v>
      </c>
      <c r="G155" s="2">
        <v>0</v>
      </c>
      <c r="H155" s="43">
        <v>0</v>
      </c>
      <c r="I155" s="117">
        <v>375</v>
      </c>
      <c r="J155" s="118">
        <v>15</v>
      </c>
      <c r="K155" s="118">
        <v>8</v>
      </c>
      <c r="L155" s="119">
        <v>8</v>
      </c>
      <c r="M155" s="2">
        <v>0</v>
      </c>
      <c r="N155" s="2">
        <v>0</v>
      </c>
      <c r="O155" s="2">
        <v>0</v>
      </c>
      <c r="P155" s="2">
        <v>0</v>
      </c>
      <c r="Q155" s="2">
        <v>2</v>
      </c>
      <c r="R155" s="18">
        <v>0</v>
      </c>
      <c r="S155" s="103">
        <v>4500</v>
      </c>
      <c r="T155" s="103">
        <v>180</v>
      </c>
      <c r="U155" s="103">
        <v>90</v>
      </c>
      <c r="V155" s="103">
        <v>90</v>
      </c>
      <c r="W155" s="91">
        <v>0</v>
      </c>
      <c r="X155" s="91">
        <v>0</v>
      </c>
      <c r="Y155" s="91">
        <v>0</v>
      </c>
      <c r="Z155" s="91">
        <v>0</v>
      </c>
      <c r="AA155" s="92" t="s">
        <v>175</v>
      </c>
    </row>
    <row r="156" spans="1:27" s="92" customFormat="1">
      <c r="A156" s="2">
        <v>5203</v>
      </c>
      <c r="B156" s="2" t="s">
        <v>42</v>
      </c>
      <c r="C156" s="2" t="s">
        <v>35</v>
      </c>
      <c r="D156" s="2">
        <v>10025</v>
      </c>
      <c r="E156" s="2">
        <v>60000</v>
      </c>
      <c r="F156" s="2" t="s">
        <v>29</v>
      </c>
      <c r="G156" s="2">
        <v>1</v>
      </c>
      <c r="H156" s="43">
        <v>0</v>
      </c>
      <c r="I156" s="117">
        <v>563</v>
      </c>
      <c r="J156" s="118">
        <v>23</v>
      </c>
      <c r="K156" s="118">
        <v>11</v>
      </c>
      <c r="L156" s="119">
        <v>11</v>
      </c>
      <c r="M156" s="2">
        <v>0</v>
      </c>
      <c r="N156" s="2">
        <v>0</v>
      </c>
      <c r="O156" s="2">
        <v>0</v>
      </c>
      <c r="P156" s="2">
        <v>0</v>
      </c>
      <c r="Q156" s="2">
        <v>3</v>
      </c>
      <c r="R156" s="18">
        <v>0</v>
      </c>
      <c r="S156" s="103">
        <v>4500</v>
      </c>
      <c r="T156" s="103">
        <v>180</v>
      </c>
      <c r="U156" s="103">
        <v>90</v>
      </c>
      <c r="V156" s="103">
        <v>90</v>
      </c>
      <c r="W156" s="91">
        <v>0</v>
      </c>
      <c r="X156" s="91">
        <v>0</v>
      </c>
      <c r="Y156" s="91">
        <v>0</v>
      </c>
      <c r="Z156" s="91">
        <v>0</v>
      </c>
      <c r="AA156" s="92" t="s">
        <v>175</v>
      </c>
    </row>
    <row r="157" spans="1:27" s="92" customFormat="1">
      <c r="A157" s="2">
        <v>5204</v>
      </c>
      <c r="B157" s="2" t="s">
        <v>43</v>
      </c>
      <c r="C157" s="2" t="s">
        <v>36</v>
      </c>
      <c r="D157" s="2">
        <v>10035</v>
      </c>
      <c r="E157" s="2">
        <v>120000</v>
      </c>
      <c r="F157" s="2" t="s">
        <v>84</v>
      </c>
      <c r="G157" s="2">
        <v>1</v>
      </c>
      <c r="H157" s="43">
        <v>0</v>
      </c>
      <c r="I157" s="117">
        <v>750</v>
      </c>
      <c r="J157" s="118">
        <v>30</v>
      </c>
      <c r="K157" s="118">
        <v>15</v>
      </c>
      <c r="L157" s="119">
        <v>15</v>
      </c>
      <c r="M157" s="2">
        <v>0</v>
      </c>
      <c r="N157" s="2">
        <v>0</v>
      </c>
      <c r="O157" s="2">
        <v>0</v>
      </c>
      <c r="P157" s="2">
        <v>0</v>
      </c>
      <c r="Q157" s="2">
        <v>4</v>
      </c>
      <c r="R157" s="18">
        <v>0</v>
      </c>
      <c r="S157" s="103">
        <v>4500</v>
      </c>
      <c r="T157" s="103">
        <v>180</v>
      </c>
      <c r="U157" s="103">
        <v>90</v>
      </c>
      <c r="V157" s="103">
        <v>90</v>
      </c>
      <c r="W157" s="91">
        <v>0</v>
      </c>
      <c r="X157" s="91">
        <v>0</v>
      </c>
      <c r="Y157" s="91">
        <v>0</v>
      </c>
      <c r="Z157" s="91">
        <v>0</v>
      </c>
      <c r="AA157" s="92" t="s">
        <v>175</v>
      </c>
    </row>
    <row r="158" spans="1:27" s="92" customFormat="1">
      <c r="A158" s="2">
        <v>5205</v>
      </c>
      <c r="B158" s="2" t="s">
        <v>44</v>
      </c>
      <c r="C158" s="2" t="s">
        <v>37</v>
      </c>
      <c r="D158" s="2">
        <v>10045</v>
      </c>
      <c r="E158" s="2">
        <v>240000</v>
      </c>
      <c r="F158" s="2" t="s">
        <v>85</v>
      </c>
      <c r="G158" s="2">
        <v>2</v>
      </c>
      <c r="H158" s="43">
        <v>0</v>
      </c>
      <c r="I158" s="117">
        <v>938</v>
      </c>
      <c r="J158" s="118">
        <v>38</v>
      </c>
      <c r="K158" s="118">
        <v>19</v>
      </c>
      <c r="L158" s="119">
        <v>19</v>
      </c>
      <c r="M158" s="2">
        <v>0</v>
      </c>
      <c r="N158" s="2">
        <v>0</v>
      </c>
      <c r="O158" s="2">
        <v>0</v>
      </c>
      <c r="P158" s="2">
        <v>0</v>
      </c>
      <c r="Q158" s="2">
        <v>5</v>
      </c>
      <c r="R158" s="18">
        <v>0</v>
      </c>
      <c r="S158" s="103">
        <v>4500</v>
      </c>
      <c r="T158" s="103">
        <v>180</v>
      </c>
      <c r="U158" s="103">
        <v>90</v>
      </c>
      <c r="V158" s="103">
        <v>90</v>
      </c>
      <c r="W158" s="91">
        <v>0</v>
      </c>
      <c r="X158" s="91">
        <v>0</v>
      </c>
      <c r="Y158" s="91">
        <v>0</v>
      </c>
      <c r="Z158" s="91">
        <v>0</v>
      </c>
      <c r="AA158" s="92" t="s">
        <v>175</v>
      </c>
    </row>
    <row r="159" spans="1:27" s="92" customFormat="1">
      <c r="A159" s="2">
        <v>5206</v>
      </c>
      <c r="B159" s="2" t="s">
        <v>45</v>
      </c>
      <c r="C159" s="2" t="s">
        <v>38</v>
      </c>
      <c r="D159" s="2">
        <v>10055</v>
      </c>
      <c r="E159" s="2">
        <v>360000</v>
      </c>
      <c r="F159" s="2" t="s">
        <v>86</v>
      </c>
      <c r="G159" s="2">
        <v>2</v>
      </c>
      <c r="H159" s="43">
        <v>0</v>
      </c>
      <c r="I159" s="117">
        <v>1125</v>
      </c>
      <c r="J159" s="118">
        <v>45</v>
      </c>
      <c r="K159" s="118">
        <v>23</v>
      </c>
      <c r="L159" s="119">
        <v>23</v>
      </c>
      <c r="M159" s="2">
        <v>0</v>
      </c>
      <c r="N159" s="2">
        <v>0</v>
      </c>
      <c r="O159" s="2">
        <v>0</v>
      </c>
      <c r="P159" s="2">
        <v>0</v>
      </c>
      <c r="Q159" s="2">
        <v>6</v>
      </c>
      <c r="R159" s="18">
        <v>0</v>
      </c>
      <c r="S159" s="103">
        <v>4500</v>
      </c>
      <c r="T159" s="103">
        <v>180</v>
      </c>
      <c r="U159" s="103">
        <v>90</v>
      </c>
      <c r="V159" s="103">
        <v>90</v>
      </c>
      <c r="W159" s="91">
        <v>0</v>
      </c>
      <c r="X159" s="91">
        <v>0</v>
      </c>
      <c r="Y159" s="91">
        <v>0</v>
      </c>
      <c r="Z159" s="91">
        <v>0</v>
      </c>
      <c r="AA159" s="92" t="s">
        <v>175</v>
      </c>
    </row>
    <row r="160" spans="1:27" s="92" customFormat="1">
      <c r="A160" s="2">
        <v>5207</v>
      </c>
      <c r="B160" s="2" t="s">
        <v>46</v>
      </c>
      <c r="C160" s="2" t="s">
        <v>39</v>
      </c>
      <c r="D160" s="2">
        <v>10065</v>
      </c>
      <c r="E160" s="2">
        <v>600000</v>
      </c>
      <c r="F160" s="2" t="s">
        <v>87</v>
      </c>
      <c r="G160" s="2">
        <v>4</v>
      </c>
      <c r="H160" s="43">
        <v>0</v>
      </c>
      <c r="I160" s="117">
        <v>1313</v>
      </c>
      <c r="J160" s="118">
        <v>53</v>
      </c>
      <c r="K160" s="118">
        <v>26</v>
      </c>
      <c r="L160" s="119">
        <v>26</v>
      </c>
      <c r="M160" s="2">
        <v>0</v>
      </c>
      <c r="N160" s="2">
        <v>0</v>
      </c>
      <c r="O160" s="2">
        <v>0</v>
      </c>
      <c r="P160" s="2">
        <v>0</v>
      </c>
      <c r="Q160" s="2">
        <v>7</v>
      </c>
      <c r="R160" s="18">
        <v>0</v>
      </c>
      <c r="S160" s="103">
        <v>4500</v>
      </c>
      <c r="T160" s="103">
        <v>180</v>
      </c>
      <c r="U160" s="103">
        <v>90</v>
      </c>
      <c r="V160" s="103">
        <v>90</v>
      </c>
      <c r="W160" s="91">
        <v>0</v>
      </c>
      <c r="X160" s="91">
        <v>0</v>
      </c>
      <c r="Y160" s="91">
        <v>0</v>
      </c>
      <c r="Z160" s="91">
        <v>0</v>
      </c>
      <c r="AA160" s="92" t="s">
        <v>175</v>
      </c>
    </row>
    <row r="161" spans="1:27" s="92" customFormat="1">
      <c r="A161" s="2">
        <v>5208</v>
      </c>
      <c r="B161" s="2" t="s">
        <v>47</v>
      </c>
      <c r="C161" s="2" t="s">
        <v>40</v>
      </c>
      <c r="D161" s="2">
        <v>10075</v>
      </c>
      <c r="E161" s="2">
        <v>1000000</v>
      </c>
      <c r="F161" s="2" t="s">
        <v>88</v>
      </c>
      <c r="G161" s="2">
        <v>6</v>
      </c>
      <c r="H161" s="43">
        <v>0</v>
      </c>
      <c r="I161" s="117">
        <v>1500</v>
      </c>
      <c r="J161" s="118">
        <v>60</v>
      </c>
      <c r="K161" s="118">
        <v>30</v>
      </c>
      <c r="L161" s="119">
        <v>30</v>
      </c>
      <c r="M161" s="2">
        <v>0</v>
      </c>
      <c r="N161" s="2">
        <v>0</v>
      </c>
      <c r="O161" s="2">
        <v>0</v>
      </c>
      <c r="P161" s="2">
        <v>0</v>
      </c>
      <c r="Q161" s="2">
        <v>8</v>
      </c>
      <c r="R161" s="18">
        <v>0</v>
      </c>
      <c r="S161" s="103">
        <v>4500</v>
      </c>
      <c r="T161" s="103">
        <v>180</v>
      </c>
      <c r="U161" s="103">
        <v>90</v>
      </c>
      <c r="V161" s="103">
        <v>90</v>
      </c>
      <c r="W161" s="91">
        <v>0</v>
      </c>
      <c r="X161" s="91">
        <v>0</v>
      </c>
      <c r="Y161" s="91">
        <v>0</v>
      </c>
      <c r="Z161" s="91">
        <v>0</v>
      </c>
      <c r="AA161" s="92" t="s">
        <v>175</v>
      </c>
    </row>
    <row r="162" spans="1:27" s="92" customFormat="1">
      <c r="A162" s="2">
        <v>5209</v>
      </c>
      <c r="B162" s="2" t="s">
        <v>69</v>
      </c>
      <c r="C162" s="2" t="s">
        <v>32</v>
      </c>
      <c r="D162" s="2">
        <v>10085</v>
      </c>
      <c r="E162" s="2">
        <v>1500000</v>
      </c>
      <c r="F162" s="2" t="s">
        <v>89</v>
      </c>
      <c r="G162" s="2">
        <v>8</v>
      </c>
      <c r="H162" s="43">
        <v>0</v>
      </c>
      <c r="I162" s="117">
        <v>1688</v>
      </c>
      <c r="J162" s="118">
        <v>68</v>
      </c>
      <c r="K162" s="118">
        <v>34</v>
      </c>
      <c r="L162" s="119">
        <v>34</v>
      </c>
      <c r="M162" s="2">
        <v>0</v>
      </c>
      <c r="N162" s="2">
        <v>0</v>
      </c>
      <c r="O162" s="2">
        <v>0</v>
      </c>
      <c r="P162" s="2">
        <v>0</v>
      </c>
      <c r="Q162" s="2">
        <v>9</v>
      </c>
      <c r="R162" s="18">
        <v>0</v>
      </c>
      <c r="S162" s="103">
        <v>4500</v>
      </c>
      <c r="T162" s="103">
        <v>180</v>
      </c>
      <c r="U162" s="103">
        <v>90</v>
      </c>
      <c r="V162" s="103">
        <v>90</v>
      </c>
      <c r="W162" s="91">
        <v>0</v>
      </c>
      <c r="X162" s="91">
        <v>0</v>
      </c>
      <c r="Y162" s="91">
        <v>0</v>
      </c>
      <c r="Z162" s="91">
        <v>0</v>
      </c>
      <c r="AA162" s="92" t="s">
        <v>175</v>
      </c>
    </row>
    <row r="163" spans="1:27" s="92" customFormat="1">
      <c r="A163" s="2">
        <v>5210</v>
      </c>
      <c r="B163" s="2" t="s">
        <v>71</v>
      </c>
      <c r="C163" s="2" t="s">
        <v>31</v>
      </c>
      <c r="D163" s="2">
        <v>10095</v>
      </c>
      <c r="E163" s="2">
        <v>2000000</v>
      </c>
      <c r="F163" s="2" t="s">
        <v>90</v>
      </c>
      <c r="G163" s="2">
        <v>10</v>
      </c>
      <c r="H163" s="43">
        <v>0</v>
      </c>
      <c r="I163" s="117">
        <v>1875</v>
      </c>
      <c r="J163" s="118">
        <v>75</v>
      </c>
      <c r="K163" s="118">
        <v>38</v>
      </c>
      <c r="L163" s="119">
        <v>38</v>
      </c>
      <c r="M163" s="2">
        <v>0</v>
      </c>
      <c r="N163" s="2">
        <v>0</v>
      </c>
      <c r="O163" s="2">
        <v>0</v>
      </c>
      <c r="P163" s="2">
        <v>0</v>
      </c>
      <c r="Q163" s="2">
        <v>10</v>
      </c>
      <c r="R163" s="18">
        <v>0</v>
      </c>
      <c r="S163" s="103">
        <v>4500</v>
      </c>
      <c r="T163" s="103">
        <v>180</v>
      </c>
      <c r="U163" s="103">
        <v>90</v>
      </c>
      <c r="V163" s="103">
        <v>90</v>
      </c>
      <c r="W163" s="91">
        <v>0</v>
      </c>
      <c r="X163" s="91">
        <v>0</v>
      </c>
      <c r="Y163" s="91">
        <v>0</v>
      </c>
      <c r="Z163" s="91">
        <v>0</v>
      </c>
      <c r="AA163" s="92" t="s">
        <v>175</v>
      </c>
    </row>
    <row r="164" spans="1:27" s="92" customFormat="1">
      <c r="A164" s="2">
        <v>5211</v>
      </c>
      <c r="B164" s="2" t="s">
        <v>73</v>
      </c>
      <c r="C164" s="2" t="s">
        <v>74</v>
      </c>
      <c r="D164" s="2">
        <v>10105</v>
      </c>
      <c r="E164" s="2">
        <v>2400000</v>
      </c>
      <c r="F164" s="2" t="s">
        <v>91</v>
      </c>
      <c r="G164" s="2">
        <v>12</v>
      </c>
      <c r="H164" s="43">
        <v>0</v>
      </c>
      <c r="I164" s="117">
        <v>2063</v>
      </c>
      <c r="J164" s="118">
        <v>83</v>
      </c>
      <c r="K164" s="118">
        <v>41</v>
      </c>
      <c r="L164" s="119">
        <v>41</v>
      </c>
      <c r="M164" s="2">
        <v>0</v>
      </c>
      <c r="N164" s="2">
        <v>0</v>
      </c>
      <c r="O164" s="2">
        <v>0</v>
      </c>
      <c r="P164" s="2">
        <v>0</v>
      </c>
      <c r="Q164" s="2">
        <v>11</v>
      </c>
      <c r="R164" s="18">
        <v>0</v>
      </c>
      <c r="S164" s="103">
        <v>4500</v>
      </c>
      <c r="T164" s="103">
        <v>180</v>
      </c>
      <c r="U164" s="103">
        <v>90</v>
      </c>
      <c r="V164" s="103">
        <v>90</v>
      </c>
      <c r="W164" s="91">
        <v>0</v>
      </c>
      <c r="X164" s="91">
        <v>0</v>
      </c>
      <c r="Y164" s="91">
        <v>0</v>
      </c>
      <c r="Z164" s="91">
        <v>0</v>
      </c>
      <c r="AA164" s="92" t="s">
        <v>175</v>
      </c>
    </row>
    <row r="165" spans="1:27" s="92" customFormat="1">
      <c r="A165" s="2">
        <v>5212</v>
      </c>
      <c r="B165" s="2" t="s">
        <v>75</v>
      </c>
      <c r="C165" s="2" t="s">
        <v>76</v>
      </c>
      <c r="D165" s="2">
        <v>10115</v>
      </c>
      <c r="E165" s="2">
        <v>3000000</v>
      </c>
      <c r="F165" s="2" t="s">
        <v>114</v>
      </c>
      <c r="G165" s="2">
        <v>14</v>
      </c>
      <c r="H165" s="43">
        <v>0</v>
      </c>
      <c r="I165" s="117">
        <v>2250</v>
      </c>
      <c r="J165" s="118">
        <v>90</v>
      </c>
      <c r="K165" s="118">
        <v>45</v>
      </c>
      <c r="L165" s="119">
        <v>45</v>
      </c>
      <c r="M165" s="2">
        <v>0</v>
      </c>
      <c r="N165" s="2">
        <v>0</v>
      </c>
      <c r="O165" s="2">
        <v>0</v>
      </c>
      <c r="P165" s="2">
        <v>0</v>
      </c>
      <c r="Q165" s="2">
        <v>12</v>
      </c>
      <c r="R165" s="18">
        <v>0</v>
      </c>
      <c r="S165" s="103">
        <v>4500</v>
      </c>
      <c r="T165" s="103">
        <v>180</v>
      </c>
      <c r="U165" s="103">
        <v>90</v>
      </c>
      <c r="V165" s="103">
        <v>90</v>
      </c>
      <c r="W165" s="91">
        <v>0</v>
      </c>
      <c r="X165" s="91">
        <v>0</v>
      </c>
      <c r="Y165" s="91">
        <v>0</v>
      </c>
      <c r="Z165" s="91">
        <v>0</v>
      </c>
      <c r="AA165" s="92" t="s">
        <v>175</v>
      </c>
    </row>
    <row r="166" spans="1:27" s="92" customFormat="1">
      <c r="A166" s="2">
        <v>5213</v>
      </c>
      <c r="B166" s="2" t="s">
        <v>182</v>
      </c>
      <c r="C166" s="2" t="s">
        <v>183</v>
      </c>
      <c r="D166" s="2">
        <v>10125</v>
      </c>
      <c r="E166" s="2">
        <v>3600000</v>
      </c>
      <c r="F166" s="2" t="s">
        <v>188</v>
      </c>
      <c r="G166" s="2">
        <v>16</v>
      </c>
      <c r="H166" s="43">
        <v>0</v>
      </c>
      <c r="I166" s="117">
        <v>2438</v>
      </c>
      <c r="J166" s="118">
        <v>98</v>
      </c>
      <c r="K166" s="118">
        <v>49</v>
      </c>
      <c r="L166" s="119">
        <v>49</v>
      </c>
      <c r="M166" s="2">
        <v>0</v>
      </c>
      <c r="N166" s="2">
        <v>0</v>
      </c>
      <c r="O166" s="2">
        <v>0</v>
      </c>
      <c r="P166" s="2">
        <v>0</v>
      </c>
      <c r="Q166" s="2">
        <v>13</v>
      </c>
      <c r="R166" s="18">
        <v>0</v>
      </c>
      <c r="S166" s="103">
        <v>4500</v>
      </c>
      <c r="T166" s="103">
        <v>180</v>
      </c>
      <c r="U166" s="103">
        <v>90</v>
      </c>
      <c r="V166" s="103">
        <v>90</v>
      </c>
      <c r="W166" s="91">
        <v>0</v>
      </c>
      <c r="X166" s="91">
        <v>0</v>
      </c>
      <c r="Y166" s="91">
        <v>0</v>
      </c>
      <c r="Z166" s="91">
        <v>0</v>
      </c>
      <c r="AA166" s="92" t="s">
        <v>175</v>
      </c>
    </row>
    <row r="167" spans="1:27" s="92" customFormat="1">
      <c r="A167" s="2">
        <v>5214</v>
      </c>
      <c r="B167" s="2" t="s">
        <v>184</v>
      </c>
      <c r="C167" s="2" t="s">
        <v>185</v>
      </c>
      <c r="D167" s="2">
        <v>10135</v>
      </c>
      <c r="E167" s="2">
        <v>4800000</v>
      </c>
      <c r="F167" s="2" t="s">
        <v>190</v>
      </c>
      <c r="G167" s="2">
        <v>20</v>
      </c>
      <c r="H167" s="43">
        <v>0</v>
      </c>
      <c r="I167" s="117">
        <v>2625</v>
      </c>
      <c r="J167" s="118">
        <v>105</v>
      </c>
      <c r="K167" s="118">
        <v>53</v>
      </c>
      <c r="L167" s="119">
        <v>53</v>
      </c>
      <c r="M167" s="2">
        <v>0</v>
      </c>
      <c r="N167" s="2">
        <v>0</v>
      </c>
      <c r="O167" s="2">
        <v>0</v>
      </c>
      <c r="P167" s="2">
        <v>0</v>
      </c>
      <c r="Q167" s="2">
        <v>14</v>
      </c>
      <c r="R167" s="18">
        <v>0</v>
      </c>
      <c r="S167" s="103">
        <v>4500</v>
      </c>
      <c r="T167" s="103">
        <v>180</v>
      </c>
      <c r="U167" s="103">
        <v>90</v>
      </c>
      <c r="V167" s="103">
        <v>90</v>
      </c>
      <c r="W167" s="91">
        <v>0</v>
      </c>
      <c r="X167" s="91">
        <v>0</v>
      </c>
      <c r="Y167" s="91">
        <v>0</v>
      </c>
      <c r="Z167" s="91">
        <v>0</v>
      </c>
      <c r="AA167" s="92" t="s">
        <v>175</v>
      </c>
    </row>
    <row r="168" spans="1:27" s="92" customFormat="1">
      <c r="A168" s="2">
        <v>5215</v>
      </c>
      <c r="B168" s="2" t="s">
        <v>186</v>
      </c>
      <c r="C168" s="2" t="s">
        <v>187</v>
      </c>
      <c r="D168" s="2">
        <v>10145</v>
      </c>
      <c r="E168" s="2">
        <v>6000000</v>
      </c>
      <c r="F168" s="2" t="s">
        <v>192</v>
      </c>
      <c r="G168" s="2">
        <v>20</v>
      </c>
      <c r="H168" s="43">
        <v>0</v>
      </c>
      <c r="I168" s="117">
        <v>2813</v>
      </c>
      <c r="J168" s="118">
        <v>113</v>
      </c>
      <c r="K168" s="118">
        <v>56</v>
      </c>
      <c r="L168" s="119">
        <v>56</v>
      </c>
      <c r="M168" s="2">
        <v>0</v>
      </c>
      <c r="N168" s="2">
        <v>0</v>
      </c>
      <c r="O168" s="2">
        <v>0</v>
      </c>
      <c r="P168" s="2">
        <v>0</v>
      </c>
      <c r="Q168" s="2">
        <v>15</v>
      </c>
      <c r="R168" s="18">
        <v>0</v>
      </c>
      <c r="S168" s="103">
        <v>4500</v>
      </c>
      <c r="T168" s="103">
        <v>180</v>
      </c>
      <c r="U168" s="103">
        <v>90</v>
      </c>
      <c r="V168" s="103">
        <v>90</v>
      </c>
      <c r="W168" s="91">
        <v>0</v>
      </c>
      <c r="X168" s="91">
        <v>0</v>
      </c>
      <c r="Y168" s="91">
        <v>0</v>
      </c>
      <c r="Z168" s="91">
        <v>0</v>
      </c>
      <c r="AA168" s="92" t="s">
        <v>175</v>
      </c>
    </row>
    <row r="169" spans="1:27" s="77" customFormat="1">
      <c r="A169" s="72">
        <v>5301</v>
      </c>
      <c r="B169" s="72" t="s">
        <v>121</v>
      </c>
      <c r="C169" s="72" t="s">
        <v>33</v>
      </c>
      <c r="D169" s="72">
        <v>10001</v>
      </c>
      <c r="E169" s="72">
        <v>6000</v>
      </c>
      <c r="F169" s="72" t="s">
        <v>112</v>
      </c>
      <c r="G169" s="72">
        <v>0</v>
      </c>
      <c r="H169" s="73">
        <v>0</v>
      </c>
      <c r="I169" s="117">
        <v>188</v>
      </c>
      <c r="J169" s="118">
        <v>8</v>
      </c>
      <c r="K169" s="118">
        <v>4</v>
      </c>
      <c r="L169" s="119">
        <v>4</v>
      </c>
      <c r="M169" s="72">
        <v>0</v>
      </c>
      <c r="N169" s="72">
        <v>0</v>
      </c>
      <c r="O169" s="72">
        <v>0</v>
      </c>
      <c r="P169" s="72">
        <v>0</v>
      </c>
      <c r="Q169" s="72">
        <v>1</v>
      </c>
      <c r="R169" s="75">
        <v>0</v>
      </c>
      <c r="S169" s="103">
        <v>4500</v>
      </c>
      <c r="T169" s="103">
        <v>180</v>
      </c>
      <c r="U169" s="103">
        <v>90</v>
      </c>
      <c r="V169" s="103">
        <v>90</v>
      </c>
      <c r="W169" s="76">
        <v>0</v>
      </c>
      <c r="X169" s="76">
        <v>0</v>
      </c>
      <c r="Y169" s="76">
        <v>0</v>
      </c>
      <c r="Z169" s="76">
        <v>0</v>
      </c>
      <c r="AA169" s="77" t="s">
        <v>173</v>
      </c>
    </row>
    <row r="170" spans="1:27" s="77" customFormat="1">
      <c r="A170" s="72">
        <v>5302</v>
      </c>
      <c r="B170" s="72" t="s">
        <v>41</v>
      </c>
      <c r="C170" s="72" t="s">
        <v>34</v>
      </c>
      <c r="D170" s="72">
        <v>10015</v>
      </c>
      <c r="E170" s="72">
        <v>24000</v>
      </c>
      <c r="F170" s="72" t="s">
        <v>113</v>
      </c>
      <c r="G170" s="72">
        <v>0</v>
      </c>
      <c r="H170" s="73">
        <v>0</v>
      </c>
      <c r="I170" s="117">
        <v>375</v>
      </c>
      <c r="J170" s="118">
        <v>15</v>
      </c>
      <c r="K170" s="118">
        <v>8</v>
      </c>
      <c r="L170" s="119">
        <v>8</v>
      </c>
      <c r="M170" s="72">
        <v>0</v>
      </c>
      <c r="N170" s="72">
        <v>0</v>
      </c>
      <c r="O170" s="72">
        <v>0</v>
      </c>
      <c r="P170" s="72">
        <v>0</v>
      </c>
      <c r="Q170" s="72">
        <v>2</v>
      </c>
      <c r="R170" s="75">
        <v>0</v>
      </c>
      <c r="S170" s="103">
        <v>4500</v>
      </c>
      <c r="T170" s="103">
        <v>180</v>
      </c>
      <c r="U170" s="103">
        <v>90</v>
      </c>
      <c r="V170" s="103">
        <v>90</v>
      </c>
      <c r="W170" s="76">
        <v>0</v>
      </c>
      <c r="X170" s="76">
        <v>0</v>
      </c>
      <c r="Y170" s="76">
        <v>0</v>
      </c>
      <c r="Z170" s="76">
        <v>0</v>
      </c>
      <c r="AA170" s="77" t="s">
        <v>173</v>
      </c>
    </row>
    <row r="171" spans="1:27" s="77" customFormat="1">
      <c r="A171" s="72">
        <v>5303</v>
      </c>
      <c r="B171" s="72" t="s">
        <v>42</v>
      </c>
      <c r="C171" s="72" t="s">
        <v>35</v>
      </c>
      <c r="D171" s="72">
        <v>10025</v>
      </c>
      <c r="E171" s="72">
        <v>60000</v>
      </c>
      <c r="F171" s="72" t="s">
        <v>29</v>
      </c>
      <c r="G171" s="72">
        <v>1</v>
      </c>
      <c r="H171" s="73">
        <v>0</v>
      </c>
      <c r="I171" s="117">
        <v>563</v>
      </c>
      <c r="J171" s="118">
        <v>23</v>
      </c>
      <c r="K171" s="118">
        <v>11</v>
      </c>
      <c r="L171" s="119">
        <v>11</v>
      </c>
      <c r="M171" s="72">
        <v>0</v>
      </c>
      <c r="N171" s="72">
        <v>0</v>
      </c>
      <c r="O171" s="72">
        <v>0</v>
      </c>
      <c r="P171" s="72">
        <v>0</v>
      </c>
      <c r="Q171" s="72">
        <v>3</v>
      </c>
      <c r="R171" s="75">
        <v>0</v>
      </c>
      <c r="S171" s="103">
        <v>4500</v>
      </c>
      <c r="T171" s="103">
        <v>180</v>
      </c>
      <c r="U171" s="103">
        <v>90</v>
      </c>
      <c r="V171" s="103">
        <v>90</v>
      </c>
      <c r="W171" s="76">
        <v>0</v>
      </c>
      <c r="X171" s="76">
        <v>0</v>
      </c>
      <c r="Y171" s="76">
        <v>0</v>
      </c>
      <c r="Z171" s="76">
        <v>0</v>
      </c>
      <c r="AA171" s="77" t="s">
        <v>173</v>
      </c>
    </row>
    <row r="172" spans="1:27" s="77" customFormat="1">
      <c r="A172" s="72">
        <v>5304</v>
      </c>
      <c r="B172" s="72" t="s">
        <v>43</v>
      </c>
      <c r="C172" s="72" t="s">
        <v>36</v>
      </c>
      <c r="D172" s="72">
        <v>10035</v>
      </c>
      <c r="E172" s="72">
        <v>120000</v>
      </c>
      <c r="F172" s="72" t="s">
        <v>84</v>
      </c>
      <c r="G172" s="72">
        <v>1</v>
      </c>
      <c r="H172" s="73">
        <v>0</v>
      </c>
      <c r="I172" s="117">
        <v>750</v>
      </c>
      <c r="J172" s="118">
        <v>30</v>
      </c>
      <c r="K172" s="118">
        <v>15</v>
      </c>
      <c r="L172" s="119">
        <v>15</v>
      </c>
      <c r="M172" s="72">
        <v>0</v>
      </c>
      <c r="N172" s="72">
        <v>0</v>
      </c>
      <c r="O172" s="72">
        <v>0</v>
      </c>
      <c r="P172" s="72">
        <v>0</v>
      </c>
      <c r="Q172" s="72">
        <v>4</v>
      </c>
      <c r="R172" s="75">
        <v>0</v>
      </c>
      <c r="S172" s="103">
        <v>4500</v>
      </c>
      <c r="T172" s="103">
        <v>180</v>
      </c>
      <c r="U172" s="103">
        <v>90</v>
      </c>
      <c r="V172" s="103">
        <v>90</v>
      </c>
      <c r="W172" s="76">
        <v>0</v>
      </c>
      <c r="X172" s="76">
        <v>0</v>
      </c>
      <c r="Y172" s="76">
        <v>0</v>
      </c>
      <c r="Z172" s="76">
        <v>0</v>
      </c>
      <c r="AA172" s="77" t="s">
        <v>173</v>
      </c>
    </row>
    <row r="173" spans="1:27" s="77" customFormat="1">
      <c r="A173" s="72">
        <v>5305</v>
      </c>
      <c r="B173" s="72" t="s">
        <v>44</v>
      </c>
      <c r="C173" s="72" t="s">
        <v>37</v>
      </c>
      <c r="D173" s="72">
        <v>10045</v>
      </c>
      <c r="E173" s="72">
        <v>240000</v>
      </c>
      <c r="F173" s="72" t="s">
        <v>85</v>
      </c>
      <c r="G173" s="72">
        <v>2</v>
      </c>
      <c r="H173" s="73">
        <v>0</v>
      </c>
      <c r="I173" s="117">
        <v>938</v>
      </c>
      <c r="J173" s="118">
        <v>38</v>
      </c>
      <c r="K173" s="118">
        <v>19</v>
      </c>
      <c r="L173" s="119">
        <v>19</v>
      </c>
      <c r="M173" s="72">
        <v>0</v>
      </c>
      <c r="N173" s="72">
        <v>0</v>
      </c>
      <c r="O173" s="72">
        <v>0</v>
      </c>
      <c r="P173" s="72">
        <v>0</v>
      </c>
      <c r="Q173" s="72">
        <v>5</v>
      </c>
      <c r="R173" s="75">
        <v>0</v>
      </c>
      <c r="S173" s="103">
        <v>4500</v>
      </c>
      <c r="T173" s="103">
        <v>180</v>
      </c>
      <c r="U173" s="103">
        <v>90</v>
      </c>
      <c r="V173" s="103">
        <v>90</v>
      </c>
      <c r="W173" s="76">
        <v>0</v>
      </c>
      <c r="X173" s="76">
        <v>0</v>
      </c>
      <c r="Y173" s="76">
        <v>0</v>
      </c>
      <c r="Z173" s="76">
        <v>0</v>
      </c>
      <c r="AA173" s="77" t="s">
        <v>173</v>
      </c>
    </row>
    <row r="174" spans="1:27" s="77" customFormat="1">
      <c r="A174" s="72">
        <v>5306</v>
      </c>
      <c r="B174" s="72" t="s">
        <v>45</v>
      </c>
      <c r="C174" s="72" t="s">
        <v>38</v>
      </c>
      <c r="D174" s="72">
        <v>10055</v>
      </c>
      <c r="E174" s="72">
        <v>360000</v>
      </c>
      <c r="F174" s="72" t="s">
        <v>86</v>
      </c>
      <c r="G174" s="72">
        <v>2</v>
      </c>
      <c r="H174" s="73">
        <v>0</v>
      </c>
      <c r="I174" s="117">
        <v>1125</v>
      </c>
      <c r="J174" s="118">
        <v>45</v>
      </c>
      <c r="K174" s="118">
        <v>23</v>
      </c>
      <c r="L174" s="119">
        <v>23</v>
      </c>
      <c r="M174" s="72">
        <v>0</v>
      </c>
      <c r="N174" s="72">
        <v>0</v>
      </c>
      <c r="O174" s="72">
        <v>0</v>
      </c>
      <c r="P174" s="72">
        <v>0</v>
      </c>
      <c r="Q174" s="72">
        <v>6</v>
      </c>
      <c r="R174" s="75">
        <v>0</v>
      </c>
      <c r="S174" s="103">
        <v>4500</v>
      </c>
      <c r="T174" s="103">
        <v>180</v>
      </c>
      <c r="U174" s="103">
        <v>90</v>
      </c>
      <c r="V174" s="103">
        <v>90</v>
      </c>
      <c r="W174" s="76">
        <v>0</v>
      </c>
      <c r="X174" s="76">
        <v>0</v>
      </c>
      <c r="Y174" s="76">
        <v>0</v>
      </c>
      <c r="Z174" s="76">
        <v>0</v>
      </c>
      <c r="AA174" s="77" t="s">
        <v>173</v>
      </c>
    </row>
    <row r="175" spans="1:27" s="77" customFormat="1">
      <c r="A175" s="72">
        <v>5307</v>
      </c>
      <c r="B175" s="72" t="s">
        <v>46</v>
      </c>
      <c r="C175" s="72" t="s">
        <v>39</v>
      </c>
      <c r="D175" s="72">
        <v>10065</v>
      </c>
      <c r="E175" s="72">
        <v>600000</v>
      </c>
      <c r="F175" s="72" t="s">
        <v>87</v>
      </c>
      <c r="G175" s="72">
        <v>4</v>
      </c>
      <c r="H175" s="73">
        <v>0</v>
      </c>
      <c r="I175" s="117">
        <v>1313</v>
      </c>
      <c r="J175" s="118">
        <v>53</v>
      </c>
      <c r="K175" s="118">
        <v>26</v>
      </c>
      <c r="L175" s="119">
        <v>26</v>
      </c>
      <c r="M175" s="72">
        <v>0</v>
      </c>
      <c r="N175" s="72">
        <v>0</v>
      </c>
      <c r="O175" s="72">
        <v>0</v>
      </c>
      <c r="P175" s="72">
        <v>0</v>
      </c>
      <c r="Q175" s="72">
        <v>7</v>
      </c>
      <c r="R175" s="75">
        <v>0</v>
      </c>
      <c r="S175" s="103">
        <v>4500</v>
      </c>
      <c r="T175" s="103">
        <v>180</v>
      </c>
      <c r="U175" s="103">
        <v>90</v>
      </c>
      <c r="V175" s="103">
        <v>90</v>
      </c>
      <c r="W175" s="76">
        <v>0</v>
      </c>
      <c r="X175" s="76">
        <v>0</v>
      </c>
      <c r="Y175" s="76">
        <v>0</v>
      </c>
      <c r="Z175" s="76">
        <v>0</v>
      </c>
      <c r="AA175" s="77" t="s">
        <v>173</v>
      </c>
    </row>
    <row r="176" spans="1:27" s="77" customFormat="1">
      <c r="A176" s="72">
        <v>5308</v>
      </c>
      <c r="B176" s="72" t="s">
        <v>47</v>
      </c>
      <c r="C176" s="72" t="s">
        <v>40</v>
      </c>
      <c r="D176" s="72">
        <v>10075</v>
      </c>
      <c r="E176" s="72">
        <v>1000000</v>
      </c>
      <c r="F176" s="72" t="s">
        <v>88</v>
      </c>
      <c r="G176" s="72">
        <v>6</v>
      </c>
      <c r="H176" s="73">
        <v>0</v>
      </c>
      <c r="I176" s="117">
        <v>1500</v>
      </c>
      <c r="J176" s="118">
        <v>60</v>
      </c>
      <c r="K176" s="118">
        <v>30</v>
      </c>
      <c r="L176" s="119">
        <v>30</v>
      </c>
      <c r="M176" s="72">
        <v>0</v>
      </c>
      <c r="N176" s="72">
        <v>0</v>
      </c>
      <c r="O176" s="72">
        <v>0</v>
      </c>
      <c r="P176" s="72">
        <v>0</v>
      </c>
      <c r="Q176" s="72">
        <v>8</v>
      </c>
      <c r="R176" s="75">
        <v>0</v>
      </c>
      <c r="S176" s="103">
        <v>4500</v>
      </c>
      <c r="T176" s="103">
        <v>180</v>
      </c>
      <c r="U176" s="103">
        <v>90</v>
      </c>
      <c r="V176" s="103">
        <v>90</v>
      </c>
      <c r="W176" s="76">
        <v>0</v>
      </c>
      <c r="X176" s="76">
        <v>0</v>
      </c>
      <c r="Y176" s="76">
        <v>0</v>
      </c>
      <c r="Z176" s="76">
        <v>0</v>
      </c>
      <c r="AA176" s="77" t="s">
        <v>173</v>
      </c>
    </row>
    <row r="177" spans="1:27" s="77" customFormat="1">
      <c r="A177" s="72">
        <v>5309</v>
      </c>
      <c r="B177" s="72" t="s">
        <v>69</v>
      </c>
      <c r="C177" s="72" t="s">
        <v>32</v>
      </c>
      <c r="D177" s="72">
        <v>10085</v>
      </c>
      <c r="E177" s="72">
        <v>1500000</v>
      </c>
      <c r="F177" s="72" t="s">
        <v>89</v>
      </c>
      <c r="G177" s="72">
        <v>8</v>
      </c>
      <c r="H177" s="73">
        <v>0</v>
      </c>
      <c r="I177" s="117">
        <v>1688</v>
      </c>
      <c r="J177" s="118">
        <v>68</v>
      </c>
      <c r="K177" s="118">
        <v>34</v>
      </c>
      <c r="L177" s="119">
        <v>34</v>
      </c>
      <c r="M177" s="72">
        <v>0</v>
      </c>
      <c r="N177" s="72">
        <v>0</v>
      </c>
      <c r="O177" s="72">
        <v>0</v>
      </c>
      <c r="P177" s="72">
        <v>0</v>
      </c>
      <c r="Q177" s="72">
        <v>9</v>
      </c>
      <c r="R177" s="75">
        <v>0</v>
      </c>
      <c r="S177" s="103">
        <v>4500</v>
      </c>
      <c r="T177" s="103">
        <v>180</v>
      </c>
      <c r="U177" s="103">
        <v>90</v>
      </c>
      <c r="V177" s="103">
        <v>90</v>
      </c>
      <c r="W177" s="76">
        <v>0</v>
      </c>
      <c r="X177" s="76">
        <v>0</v>
      </c>
      <c r="Y177" s="76">
        <v>0</v>
      </c>
      <c r="Z177" s="76">
        <v>0</v>
      </c>
      <c r="AA177" s="77" t="s">
        <v>173</v>
      </c>
    </row>
    <row r="178" spans="1:27" s="77" customFormat="1">
      <c r="A178" s="72">
        <v>5310</v>
      </c>
      <c r="B178" s="72" t="s">
        <v>71</v>
      </c>
      <c r="C178" s="72" t="s">
        <v>31</v>
      </c>
      <c r="D178" s="72">
        <v>10095</v>
      </c>
      <c r="E178" s="72">
        <v>2000000</v>
      </c>
      <c r="F178" s="72" t="s">
        <v>90</v>
      </c>
      <c r="G178" s="72">
        <v>10</v>
      </c>
      <c r="H178" s="73">
        <v>0</v>
      </c>
      <c r="I178" s="117">
        <v>1875</v>
      </c>
      <c r="J178" s="118">
        <v>75</v>
      </c>
      <c r="K178" s="118">
        <v>38</v>
      </c>
      <c r="L178" s="119">
        <v>38</v>
      </c>
      <c r="M178" s="72">
        <v>0</v>
      </c>
      <c r="N178" s="72">
        <v>0</v>
      </c>
      <c r="O178" s="72">
        <v>0</v>
      </c>
      <c r="P178" s="72">
        <v>0</v>
      </c>
      <c r="Q178" s="72">
        <v>10</v>
      </c>
      <c r="R178" s="75">
        <v>0</v>
      </c>
      <c r="S178" s="103">
        <v>4500</v>
      </c>
      <c r="T178" s="103">
        <v>180</v>
      </c>
      <c r="U178" s="103">
        <v>90</v>
      </c>
      <c r="V178" s="103">
        <v>90</v>
      </c>
      <c r="W178" s="76">
        <v>0</v>
      </c>
      <c r="X178" s="76">
        <v>0</v>
      </c>
      <c r="Y178" s="76">
        <v>0</v>
      </c>
      <c r="Z178" s="76">
        <v>0</v>
      </c>
      <c r="AA178" s="77" t="s">
        <v>173</v>
      </c>
    </row>
    <row r="179" spans="1:27" s="77" customFormat="1">
      <c r="A179" s="72">
        <v>5311</v>
      </c>
      <c r="B179" s="72" t="s">
        <v>73</v>
      </c>
      <c r="C179" s="72" t="s">
        <v>74</v>
      </c>
      <c r="D179" s="72">
        <v>10105</v>
      </c>
      <c r="E179" s="72">
        <v>2400000</v>
      </c>
      <c r="F179" s="72" t="s">
        <v>91</v>
      </c>
      <c r="G179" s="72">
        <v>12</v>
      </c>
      <c r="H179" s="73">
        <v>0</v>
      </c>
      <c r="I179" s="117">
        <v>2063</v>
      </c>
      <c r="J179" s="118">
        <v>83</v>
      </c>
      <c r="K179" s="118">
        <v>41</v>
      </c>
      <c r="L179" s="119">
        <v>41</v>
      </c>
      <c r="M179" s="72">
        <v>0</v>
      </c>
      <c r="N179" s="72">
        <v>0</v>
      </c>
      <c r="O179" s="72">
        <v>0</v>
      </c>
      <c r="P179" s="72">
        <v>0</v>
      </c>
      <c r="Q179" s="72">
        <v>11</v>
      </c>
      <c r="R179" s="75">
        <v>0</v>
      </c>
      <c r="S179" s="103">
        <v>4500</v>
      </c>
      <c r="T179" s="103">
        <v>180</v>
      </c>
      <c r="U179" s="103">
        <v>90</v>
      </c>
      <c r="V179" s="103">
        <v>90</v>
      </c>
      <c r="W179" s="76">
        <v>0</v>
      </c>
      <c r="X179" s="76">
        <v>0</v>
      </c>
      <c r="Y179" s="76">
        <v>0</v>
      </c>
      <c r="Z179" s="76">
        <v>0</v>
      </c>
      <c r="AA179" s="77" t="s">
        <v>173</v>
      </c>
    </row>
    <row r="180" spans="1:27" s="77" customFormat="1">
      <c r="A180" s="72">
        <v>5312</v>
      </c>
      <c r="B180" s="72" t="s">
        <v>75</v>
      </c>
      <c r="C180" s="72" t="s">
        <v>76</v>
      </c>
      <c r="D180" s="72">
        <v>10115</v>
      </c>
      <c r="E180" s="72">
        <v>3000000</v>
      </c>
      <c r="F180" s="72" t="s">
        <v>114</v>
      </c>
      <c r="G180" s="72">
        <v>14</v>
      </c>
      <c r="H180" s="73">
        <v>0</v>
      </c>
      <c r="I180" s="117">
        <v>2250</v>
      </c>
      <c r="J180" s="118">
        <v>90</v>
      </c>
      <c r="K180" s="118">
        <v>45</v>
      </c>
      <c r="L180" s="119">
        <v>45</v>
      </c>
      <c r="M180" s="72">
        <v>0</v>
      </c>
      <c r="N180" s="72">
        <v>0</v>
      </c>
      <c r="O180" s="72">
        <v>0</v>
      </c>
      <c r="P180" s="72">
        <v>0</v>
      </c>
      <c r="Q180" s="72">
        <v>12</v>
      </c>
      <c r="R180" s="75">
        <v>0</v>
      </c>
      <c r="S180" s="103">
        <v>4500</v>
      </c>
      <c r="T180" s="103">
        <v>180</v>
      </c>
      <c r="U180" s="103">
        <v>90</v>
      </c>
      <c r="V180" s="103">
        <v>90</v>
      </c>
      <c r="W180" s="76">
        <v>0</v>
      </c>
      <c r="X180" s="76">
        <v>0</v>
      </c>
      <c r="Y180" s="76">
        <v>0</v>
      </c>
      <c r="Z180" s="76">
        <v>0</v>
      </c>
      <c r="AA180" s="77" t="s">
        <v>173</v>
      </c>
    </row>
    <row r="181" spans="1:27" s="77" customFormat="1">
      <c r="A181" s="72">
        <v>5313</v>
      </c>
      <c r="B181" s="72" t="s">
        <v>182</v>
      </c>
      <c r="C181" s="72" t="s">
        <v>183</v>
      </c>
      <c r="D181" s="72">
        <v>10125</v>
      </c>
      <c r="E181" s="72">
        <v>3600000</v>
      </c>
      <c r="F181" s="72" t="s">
        <v>188</v>
      </c>
      <c r="G181" s="72">
        <v>16</v>
      </c>
      <c r="H181" s="73">
        <v>0</v>
      </c>
      <c r="I181" s="117">
        <v>2438</v>
      </c>
      <c r="J181" s="118">
        <v>98</v>
      </c>
      <c r="K181" s="118">
        <v>49</v>
      </c>
      <c r="L181" s="119">
        <v>49</v>
      </c>
      <c r="M181" s="72">
        <v>0</v>
      </c>
      <c r="N181" s="72">
        <v>0</v>
      </c>
      <c r="O181" s="72">
        <v>0</v>
      </c>
      <c r="P181" s="72">
        <v>0</v>
      </c>
      <c r="Q181" s="72">
        <v>13</v>
      </c>
      <c r="R181" s="75">
        <v>0</v>
      </c>
      <c r="S181" s="103">
        <v>4500</v>
      </c>
      <c r="T181" s="103">
        <v>180</v>
      </c>
      <c r="U181" s="103">
        <v>90</v>
      </c>
      <c r="V181" s="103">
        <v>90</v>
      </c>
      <c r="W181" s="76">
        <v>0</v>
      </c>
      <c r="X181" s="76">
        <v>0</v>
      </c>
      <c r="Y181" s="76">
        <v>0</v>
      </c>
      <c r="Z181" s="76">
        <v>0</v>
      </c>
      <c r="AA181" s="77" t="s">
        <v>173</v>
      </c>
    </row>
    <row r="182" spans="1:27" s="77" customFormat="1">
      <c r="A182" s="72">
        <v>5314</v>
      </c>
      <c r="B182" s="72" t="s">
        <v>184</v>
      </c>
      <c r="C182" s="72" t="s">
        <v>185</v>
      </c>
      <c r="D182" s="72">
        <v>10135</v>
      </c>
      <c r="E182" s="72">
        <v>4800000</v>
      </c>
      <c r="F182" s="72" t="s">
        <v>190</v>
      </c>
      <c r="G182" s="72">
        <v>20</v>
      </c>
      <c r="H182" s="73">
        <v>0</v>
      </c>
      <c r="I182" s="117">
        <v>2625</v>
      </c>
      <c r="J182" s="118">
        <v>105</v>
      </c>
      <c r="K182" s="118">
        <v>53</v>
      </c>
      <c r="L182" s="119">
        <v>53</v>
      </c>
      <c r="M182" s="72">
        <v>0</v>
      </c>
      <c r="N182" s="72">
        <v>0</v>
      </c>
      <c r="O182" s="72">
        <v>0</v>
      </c>
      <c r="P182" s="72">
        <v>0</v>
      </c>
      <c r="Q182" s="72">
        <v>14</v>
      </c>
      <c r="R182" s="75">
        <v>0</v>
      </c>
      <c r="S182" s="103">
        <v>4500</v>
      </c>
      <c r="T182" s="103">
        <v>180</v>
      </c>
      <c r="U182" s="103">
        <v>90</v>
      </c>
      <c r="V182" s="103">
        <v>90</v>
      </c>
      <c r="W182" s="76">
        <v>0</v>
      </c>
      <c r="X182" s="76">
        <v>0</v>
      </c>
      <c r="Y182" s="76">
        <v>0</v>
      </c>
      <c r="Z182" s="76">
        <v>0</v>
      </c>
      <c r="AA182" s="77" t="s">
        <v>173</v>
      </c>
    </row>
    <row r="183" spans="1:27" s="77" customFormat="1">
      <c r="A183" s="72">
        <v>5315</v>
      </c>
      <c r="B183" s="72" t="s">
        <v>186</v>
      </c>
      <c r="C183" s="72" t="s">
        <v>187</v>
      </c>
      <c r="D183" s="72">
        <v>10145</v>
      </c>
      <c r="E183" s="72">
        <v>6000000</v>
      </c>
      <c r="F183" s="72" t="s">
        <v>192</v>
      </c>
      <c r="G183" s="72">
        <v>20</v>
      </c>
      <c r="H183" s="73">
        <v>0</v>
      </c>
      <c r="I183" s="117">
        <v>2813</v>
      </c>
      <c r="J183" s="118">
        <v>113</v>
      </c>
      <c r="K183" s="118">
        <v>56</v>
      </c>
      <c r="L183" s="119">
        <v>56</v>
      </c>
      <c r="M183" s="72">
        <v>0</v>
      </c>
      <c r="N183" s="72">
        <v>0</v>
      </c>
      <c r="O183" s="72">
        <v>0</v>
      </c>
      <c r="P183" s="72">
        <v>0</v>
      </c>
      <c r="Q183" s="72">
        <v>15</v>
      </c>
      <c r="R183" s="75">
        <v>0</v>
      </c>
      <c r="S183" s="103">
        <v>4500</v>
      </c>
      <c r="T183" s="103">
        <v>180</v>
      </c>
      <c r="U183" s="103">
        <v>90</v>
      </c>
      <c r="V183" s="103">
        <v>90</v>
      </c>
      <c r="W183" s="76">
        <v>0</v>
      </c>
      <c r="X183" s="76">
        <v>0</v>
      </c>
      <c r="Y183" s="76">
        <v>0</v>
      </c>
      <c r="Z183" s="76">
        <v>0</v>
      </c>
      <c r="AA183" s="77" t="s">
        <v>173</v>
      </c>
    </row>
    <row r="184" spans="1:27" s="92" customFormat="1">
      <c r="A184" s="2">
        <v>5401</v>
      </c>
      <c r="B184" s="2" t="s">
        <v>121</v>
      </c>
      <c r="C184" s="2" t="s">
        <v>33</v>
      </c>
      <c r="D184" s="2">
        <v>10001</v>
      </c>
      <c r="E184" s="2">
        <v>6000</v>
      </c>
      <c r="F184" s="2" t="s">
        <v>112</v>
      </c>
      <c r="G184" s="2">
        <v>0</v>
      </c>
      <c r="H184" s="43">
        <v>0</v>
      </c>
      <c r="I184" s="117">
        <v>188</v>
      </c>
      <c r="J184" s="118">
        <v>8</v>
      </c>
      <c r="K184" s="118">
        <v>4</v>
      </c>
      <c r="L184" s="119">
        <v>4</v>
      </c>
      <c r="M184" s="2">
        <v>0</v>
      </c>
      <c r="N184" s="2">
        <v>0</v>
      </c>
      <c r="O184" s="2">
        <v>0</v>
      </c>
      <c r="P184" s="2">
        <v>0</v>
      </c>
      <c r="Q184" s="2">
        <v>1</v>
      </c>
      <c r="R184" s="18">
        <v>0</v>
      </c>
      <c r="S184" s="103">
        <v>4500</v>
      </c>
      <c r="T184" s="103">
        <v>180</v>
      </c>
      <c r="U184" s="103">
        <v>90</v>
      </c>
      <c r="V184" s="103">
        <v>90</v>
      </c>
      <c r="W184" s="91">
        <v>0</v>
      </c>
      <c r="X184" s="91">
        <v>0</v>
      </c>
      <c r="Y184" s="91">
        <v>0</v>
      </c>
      <c r="Z184" s="91">
        <v>0</v>
      </c>
      <c r="AA184" s="92" t="s">
        <v>172</v>
      </c>
    </row>
    <row r="185" spans="1:27" s="92" customFormat="1">
      <c r="A185" s="2">
        <v>5402</v>
      </c>
      <c r="B185" s="2" t="s">
        <v>41</v>
      </c>
      <c r="C185" s="2" t="s">
        <v>34</v>
      </c>
      <c r="D185" s="2">
        <v>10015</v>
      </c>
      <c r="E185" s="2">
        <v>24000</v>
      </c>
      <c r="F185" s="2" t="s">
        <v>113</v>
      </c>
      <c r="G185" s="2">
        <v>0</v>
      </c>
      <c r="H185" s="43">
        <v>0</v>
      </c>
      <c r="I185" s="117">
        <v>375</v>
      </c>
      <c r="J185" s="118">
        <v>15</v>
      </c>
      <c r="K185" s="118">
        <v>8</v>
      </c>
      <c r="L185" s="119">
        <v>8</v>
      </c>
      <c r="M185" s="2">
        <v>0</v>
      </c>
      <c r="N185" s="2">
        <v>0</v>
      </c>
      <c r="O185" s="2">
        <v>0</v>
      </c>
      <c r="P185" s="2">
        <v>0</v>
      </c>
      <c r="Q185" s="2">
        <v>2</v>
      </c>
      <c r="R185" s="18">
        <v>0</v>
      </c>
      <c r="S185" s="103">
        <v>4500</v>
      </c>
      <c r="T185" s="103">
        <v>180</v>
      </c>
      <c r="U185" s="103">
        <v>90</v>
      </c>
      <c r="V185" s="103">
        <v>90</v>
      </c>
      <c r="W185" s="91">
        <v>0</v>
      </c>
      <c r="X185" s="91">
        <v>0</v>
      </c>
      <c r="Y185" s="91">
        <v>0</v>
      </c>
      <c r="Z185" s="91">
        <v>0</v>
      </c>
      <c r="AA185" s="92" t="s">
        <v>172</v>
      </c>
    </row>
    <row r="186" spans="1:27" s="92" customFormat="1">
      <c r="A186" s="2">
        <v>5403</v>
      </c>
      <c r="B186" s="2" t="s">
        <v>42</v>
      </c>
      <c r="C186" s="2" t="s">
        <v>35</v>
      </c>
      <c r="D186" s="2">
        <v>10025</v>
      </c>
      <c r="E186" s="2">
        <v>60000</v>
      </c>
      <c r="F186" s="2" t="s">
        <v>29</v>
      </c>
      <c r="G186" s="2">
        <v>1</v>
      </c>
      <c r="H186" s="43">
        <v>0</v>
      </c>
      <c r="I186" s="117">
        <v>563</v>
      </c>
      <c r="J186" s="118">
        <v>23</v>
      </c>
      <c r="K186" s="118">
        <v>11</v>
      </c>
      <c r="L186" s="119">
        <v>11</v>
      </c>
      <c r="M186" s="2">
        <v>0</v>
      </c>
      <c r="N186" s="2">
        <v>0</v>
      </c>
      <c r="O186" s="2">
        <v>0</v>
      </c>
      <c r="P186" s="2">
        <v>0</v>
      </c>
      <c r="Q186" s="2">
        <v>3</v>
      </c>
      <c r="R186" s="18">
        <v>0</v>
      </c>
      <c r="S186" s="103">
        <v>4500</v>
      </c>
      <c r="T186" s="103">
        <v>180</v>
      </c>
      <c r="U186" s="103">
        <v>90</v>
      </c>
      <c r="V186" s="103">
        <v>90</v>
      </c>
      <c r="W186" s="91">
        <v>0</v>
      </c>
      <c r="X186" s="91">
        <v>0</v>
      </c>
      <c r="Y186" s="91">
        <v>0</v>
      </c>
      <c r="Z186" s="91">
        <v>0</v>
      </c>
      <c r="AA186" s="92" t="s">
        <v>172</v>
      </c>
    </row>
    <row r="187" spans="1:27" s="92" customFormat="1">
      <c r="A187" s="2">
        <v>5404</v>
      </c>
      <c r="B187" s="2" t="s">
        <v>43</v>
      </c>
      <c r="C187" s="2" t="s">
        <v>36</v>
      </c>
      <c r="D187" s="2">
        <v>10035</v>
      </c>
      <c r="E187" s="2">
        <v>120000</v>
      </c>
      <c r="F187" s="2" t="s">
        <v>84</v>
      </c>
      <c r="G187" s="2">
        <v>1</v>
      </c>
      <c r="H187" s="43">
        <v>0</v>
      </c>
      <c r="I187" s="117">
        <v>750</v>
      </c>
      <c r="J187" s="118">
        <v>30</v>
      </c>
      <c r="K187" s="118">
        <v>15</v>
      </c>
      <c r="L187" s="119">
        <v>15</v>
      </c>
      <c r="M187" s="2">
        <v>0</v>
      </c>
      <c r="N187" s="2">
        <v>0</v>
      </c>
      <c r="O187" s="2">
        <v>0</v>
      </c>
      <c r="P187" s="2">
        <v>0</v>
      </c>
      <c r="Q187" s="2">
        <v>4</v>
      </c>
      <c r="R187" s="18">
        <v>0</v>
      </c>
      <c r="S187" s="103">
        <v>4500</v>
      </c>
      <c r="T187" s="103">
        <v>180</v>
      </c>
      <c r="U187" s="103">
        <v>90</v>
      </c>
      <c r="V187" s="103">
        <v>90</v>
      </c>
      <c r="W187" s="91">
        <v>0</v>
      </c>
      <c r="X187" s="91">
        <v>0</v>
      </c>
      <c r="Y187" s="91">
        <v>0</v>
      </c>
      <c r="Z187" s="91">
        <v>0</v>
      </c>
      <c r="AA187" s="92" t="s">
        <v>172</v>
      </c>
    </row>
    <row r="188" spans="1:27" s="92" customFormat="1">
      <c r="A188" s="2">
        <v>5405</v>
      </c>
      <c r="B188" s="2" t="s">
        <v>44</v>
      </c>
      <c r="C188" s="2" t="s">
        <v>37</v>
      </c>
      <c r="D188" s="2">
        <v>10045</v>
      </c>
      <c r="E188" s="2">
        <v>240000</v>
      </c>
      <c r="F188" s="2" t="s">
        <v>85</v>
      </c>
      <c r="G188" s="2">
        <v>2</v>
      </c>
      <c r="H188" s="43">
        <v>0</v>
      </c>
      <c r="I188" s="117">
        <v>938</v>
      </c>
      <c r="J188" s="118">
        <v>38</v>
      </c>
      <c r="K188" s="118">
        <v>19</v>
      </c>
      <c r="L188" s="119">
        <v>19</v>
      </c>
      <c r="M188" s="2">
        <v>0</v>
      </c>
      <c r="N188" s="2">
        <v>0</v>
      </c>
      <c r="O188" s="2">
        <v>0</v>
      </c>
      <c r="P188" s="2">
        <v>0</v>
      </c>
      <c r="Q188" s="2">
        <v>5</v>
      </c>
      <c r="R188" s="18">
        <v>0</v>
      </c>
      <c r="S188" s="103">
        <v>4500</v>
      </c>
      <c r="T188" s="103">
        <v>180</v>
      </c>
      <c r="U188" s="103">
        <v>90</v>
      </c>
      <c r="V188" s="103">
        <v>90</v>
      </c>
      <c r="W188" s="91">
        <v>0</v>
      </c>
      <c r="X188" s="91">
        <v>0</v>
      </c>
      <c r="Y188" s="91">
        <v>0</v>
      </c>
      <c r="Z188" s="91">
        <v>0</v>
      </c>
      <c r="AA188" s="92" t="s">
        <v>172</v>
      </c>
    </row>
    <row r="189" spans="1:27" s="92" customFormat="1">
      <c r="A189" s="2">
        <v>5406</v>
      </c>
      <c r="B189" s="2" t="s">
        <v>45</v>
      </c>
      <c r="C189" s="2" t="s">
        <v>38</v>
      </c>
      <c r="D189" s="2">
        <v>10055</v>
      </c>
      <c r="E189" s="2">
        <v>360000</v>
      </c>
      <c r="F189" s="2" t="s">
        <v>86</v>
      </c>
      <c r="G189" s="2">
        <v>2</v>
      </c>
      <c r="H189" s="43">
        <v>0</v>
      </c>
      <c r="I189" s="117">
        <v>1125</v>
      </c>
      <c r="J189" s="118">
        <v>45</v>
      </c>
      <c r="K189" s="118">
        <v>23</v>
      </c>
      <c r="L189" s="119">
        <v>23</v>
      </c>
      <c r="M189" s="2">
        <v>0</v>
      </c>
      <c r="N189" s="2">
        <v>0</v>
      </c>
      <c r="O189" s="2">
        <v>0</v>
      </c>
      <c r="P189" s="2">
        <v>0</v>
      </c>
      <c r="Q189" s="2">
        <v>6</v>
      </c>
      <c r="R189" s="18">
        <v>0</v>
      </c>
      <c r="S189" s="103">
        <v>4500</v>
      </c>
      <c r="T189" s="103">
        <v>180</v>
      </c>
      <c r="U189" s="103">
        <v>90</v>
      </c>
      <c r="V189" s="103">
        <v>90</v>
      </c>
      <c r="W189" s="91">
        <v>0</v>
      </c>
      <c r="X189" s="91">
        <v>0</v>
      </c>
      <c r="Y189" s="91">
        <v>0</v>
      </c>
      <c r="Z189" s="91">
        <v>0</v>
      </c>
      <c r="AA189" s="92" t="s">
        <v>172</v>
      </c>
    </row>
    <row r="190" spans="1:27" s="92" customFormat="1">
      <c r="A190" s="2">
        <v>5407</v>
      </c>
      <c r="B190" s="2" t="s">
        <v>46</v>
      </c>
      <c r="C190" s="2" t="s">
        <v>39</v>
      </c>
      <c r="D190" s="2">
        <v>10065</v>
      </c>
      <c r="E190" s="2">
        <v>600000</v>
      </c>
      <c r="F190" s="2" t="s">
        <v>87</v>
      </c>
      <c r="G190" s="2">
        <v>4</v>
      </c>
      <c r="H190" s="43">
        <v>0</v>
      </c>
      <c r="I190" s="117">
        <v>1313</v>
      </c>
      <c r="J190" s="118">
        <v>53</v>
      </c>
      <c r="K190" s="118">
        <v>26</v>
      </c>
      <c r="L190" s="119">
        <v>26</v>
      </c>
      <c r="M190" s="2">
        <v>0</v>
      </c>
      <c r="N190" s="2">
        <v>0</v>
      </c>
      <c r="O190" s="2">
        <v>0</v>
      </c>
      <c r="P190" s="2">
        <v>0</v>
      </c>
      <c r="Q190" s="2">
        <v>7</v>
      </c>
      <c r="R190" s="18">
        <v>0</v>
      </c>
      <c r="S190" s="103">
        <v>4500</v>
      </c>
      <c r="T190" s="103">
        <v>180</v>
      </c>
      <c r="U190" s="103">
        <v>90</v>
      </c>
      <c r="V190" s="103">
        <v>90</v>
      </c>
      <c r="W190" s="91">
        <v>0</v>
      </c>
      <c r="X190" s="91">
        <v>0</v>
      </c>
      <c r="Y190" s="91">
        <v>0</v>
      </c>
      <c r="Z190" s="91">
        <v>0</v>
      </c>
      <c r="AA190" s="92" t="s">
        <v>172</v>
      </c>
    </row>
    <row r="191" spans="1:27" s="92" customFormat="1">
      <c r="A191" s="2">
        <v>5408</v>
      </c>
      <c r="B191" s="2" t="s">
        <v>47</v>
      </c>
      <c r="C191" s="2" t="s">
        <v>40</v>
      </c>
      <c r="D191" s="2">
        <v>10075</v>
      </c>
      <c r="E191" s="2">
        <v>1000000</v>
      </c>
      <c r="F191" s="2" t="s">
        <v>88</v>
      </c>
      <c r="G191" s="2">
        <v>6</v>
      </c>
      <c r="H191" s="43">
        <v>0</v>
      </c>
      <c r="I191" s="117">
        <v>1500</v>
      </c>
      <c r="J191" s="118">
        <v>60</v>
      </c>
      <c r="K191" s="118">
        <v>30</v>
      </c>
      <c r="L191" s="119">
        <v>30</v>
      </c>
      <c r="M191" s="2">
        <v>0</v>
      </c>
      <c r="N191" s="2">
        <v>0</v>
      </c>
      <c r="O191" s="2">
        <v>0</v>
      </c>
      <c r="P191" s="2">
        <v>0</v>
      </c>
      <c r="Q191" s="2">
        <v>8</v>
      </c>
      <c r="R191" s="18">
        <v>0</v>
      </c>
      <c r="S191" s="103">
        <v>4500</v>
      </c>
      <c r="T191" s="103">
        <v>180</v>
      </c>
      <c r="U191" s="103">
        <v>90</v>
      </c>
      <c r="V191" s="103">
        <v>90</v>
      </c>
      <c r="W191" s="91">
        <v>0</v>
      </c>
      <c r="X191" s="91">
        <v>0</v>
      </c>
      <c r="Y191" s="91">
        <v>0</v>
      </c>
      <c r="Z191" s="91">
        <v>0</v>
      </c>
      <c r="AA191" s="92" t="s">
        <v>172</v>
      </c>
    </row>
    <row r="192" spans="1:27" s="92" customFormat="1">
      <c r="A192" s="2">
        <v>5409</v>
      </c>
      <c r="B192" s="2" t="s">
        <v>69</v>
      </c>
      <c r="C192" s="2" t="s">
        <v>32</v>
      </c>
      <c r="D192" s="2">
        <v>10085</v>
      </c>
      <c r="E192" s="2">
        <v>1500000</v>
      </c>
      <c r="F192" s="2" t="s">
        <v>89</v>
      </c>
      <c r="G192" s="2">
        <v>8</v>
      </c>
      <c r="H192" s="43">
        <v>0</v>
      </c>
      <c r="I192" s="117">
        <v>1688</v>
      </c>
      <c r="J192" s="118">
        <v>68</v>
      </c>
      <c r="K192" s="118">
        <v>34</v>
      </c>
      <c r="L192" s="119">
        <v>34</v>
      </c>
      <c r="M192" s="2">
        <v>0</v>
      </c>
      <c r="N192" s="2">
        <v>0</v>
      </c>
      <c r="O192" s="2">
        <v>0</v>
      </c>
      <c r="P192" s="2">
        <v>0</v>
      </c>
      <c r="Q192" s="2">
        <v>9</v>
      </c>
      <c r="R192" s="18">
        <v>0</v>
      </c>
      <c r="S192" s="103">
        <v>4500</v>
      </c>
      <c r="T192" s="103">
        <v>180</v>
      </c>
      <c r="U192" s="103">
        <v>90</v>
      </c>
      <c r="V192" s="103">
        <v>90</v>
      </c>
      <c r="W192" s="91">
        <v>0</v>
      </c>
      <c r="X192" s="91">
        <v>0</v>
      </c>
      <c r="Y192" s="91">
        <v>0</v>
      </c>
      <c r="Z192" s="91">
        <v>0</v>
      </c>
      <c r="AA192" s="92" t="s">
        <v>172</v>
      </c>
    </row>
    <row r="193" spans="1:27" s="92" customFormat="1">
      <c r="A193" s="2">
        <v>5410</v>
      </c>
      <c r="B193" s="2" t="s">
        <v>71</v>
      </c>
      <c r="C193" s="2" t="s">
        <v>31</v>
      </c>
      <c r="D193" s="2">
        <v>10095</v>
      </c>
      <c r="E193" s="2">
        <v>2000000</v>
      </c>
      <c r="F193" s="2" t="s">
        <v>90</v>
      </c>
      <c r="G193" s="2">
        <v>10</v>
      </c>
      <c r="H193" s="43">
        <v>0</v>
      </c>
      <c r="I193" s="117">
        <v>1875</v>
      </c>
      <c r="J193" s="118">
        <v>75</v>
      </c>
      <c r="K193" s="118">
        <v>38</v>
      </c>
      <c r="L193" s="119">
        <v>38</v>
      </c>
      <c r="M193" s="2">
        <v>0</v>
      </c>
      <c r="N193" s="2">
        <v>0</v>
      </c>
      <c r="O193" s="2">
        <v>0</v>
      </c>
      <c r="P193" s="2">
        <v>0</v>
      </c>
      <c r="Q193" s="2">
        <v>10</v>
      </c>
      <c r="R193" s="18">
        <v>0</v>
      </c>
      <c r="S193" s="103">
        <v>4500</v>
      </c>
      <c r="T193" s="103">
        <v>180</v>
      </c>
      <c r="U193" s="103">
        <v>90</v>
      </c>
      <c r="V193" s="103">
        <v>90</v>
      </c>
      <c r="W193" s="91">
        <v>0</v>
      </c>
      <c r="X193" s="91">
        <v>0</v>
      </c>
      <c r="Y193" s="91">
        <v>0</v>
      </c>
      <c r="Z193" s="91">
        <v>0</v>
      </c>
      <c r="AA193" s="92" t="s">
        <v>172</v>
      </c>
    </row>
    <row r="194" spans="1:27" s="92" customFormat="1">
      <c r="A194" s="2">
        <v>5411</v>
      </c>
      <c r="B194" s="2" t="s">
        <v>73</v>
      </c>
      <c r="C194" s="2" t="s">
        <v>74</v>
      </c>
      <c r="D194" s="2">
        <v>10105</v>
      </c>
      <c r="E194" s="2">
        <v>2400000</v>
      </c>
      <c r="F194" s="2" t="s">
        <v>91</v>
      </c>
      <c r="G194" s="2">
        <v>12</v>
      </c>
      <c r="H194" s="43">
        <v>0</v>
      </c>
      <c r="I194" s="117">
        <v>2063</v>
      </c>
      <c r="J194" s="118">
        <v>83</v>
      </c>
      <c r="K194" s="118">
        <v>41</v>
      </c>
      <c r="L194" s="119">
        <v>41</v>
      </c>
      <c r="M194" s="2">
        <v>0</v>
      </c>
      <c r="N194" s="2">
        <v>0</v>
      </c>
      <c r="O194" s="2">
        <v>0</v>
      </c>
      <c r="P194" s="2">
        <v>0</v>
      </c>
      <c r="Q194" s="2">
        <v>11</v>
      </c>
      <c r="R194" s="18">
        <v>0</v>
      </c>
      <c r="S194" s="103">
        <v>4500</v>
      </c>
      <c r="T194" s="103">
        <v>180</v>
      </c>
      <c r="U194" s="103">
        <v>90</v>
      </c>
      <c r="V194" s="103">
        <v>90</v>
      </c>
      <c r="W194" s="91">
        <v>0</v>
      </c>
      <c r="X194" s="91">
        <v>0</v>
      </c>
      <c r="Y194" s="91">
        <v>0</v>
      </c>
      <c r="Z194" s="91">
        <v>0</v>
      </c>
      <c r="AA194" s="92" t="s">
        <v>172</v>
      </c>
    </row>
    <row r="195" spans="1:27" s="92" customFormat="1">
      <c r="A195" s="2">
        <v>5412</v>
      </c>
      <c r="B195" s="2" t="s">
        <v>75</v>
      </c>
      <c r="C195" s="2" t="s">
        <v>76</v>
      </c>
      <c r="D195" s="2">
        <v>10115</v>
      </c>
      <c r="E195" s="2">
        <v>3000000</v>
      </c>
      <c r="F195" s="2" t="s">
        <v>114</v>
      </c>
      <c r="G195" s="2">
        <v>14</v>
      </c>
      <c r="H195" s="43">
        <v>0</v>
      </c>
      <c r="I195" s="117">
        <v>2250</v>
      </c>
      <c r="J195" s="118">
        <v>90</v>
      </c>
      <c r="K195" s="118">
        <v>45</v>
      </c>
      <c r="L195" s="119">
        <v>45</v>
      </c>
      <c r="M195" s="2">
        <v>0</v>
      </c>
      <c r="N195" s="2">
        <v>0</v>
      </c>
      <c r="O195" s="2">
        <v>0</v>
      </c>
      <c r="P195" s="2">
        <v>0</v>
      </c>
      <c r="Q195" s="2">
        <v>12</v>
      </c>
      <c r="R195" s="18">
        <v>0</v>
      </c>
      <c r="S195" s="103">
        <v>4500</v>
      </c>
      <c r="T195" s="103">
        <v>180</v>
      </c>
      <c r="U195" s="103">
        <v>90</v>
      </c>
      <c r="V195" s="103">
        <v>90</v>
      </c>
      <c r="W195" s="91">
        <v>0</v>
      </c>
      <c r="X195" s="91">
        <v>0</v>
      </c>
      <c r="Y195" s="91">
        <v>0</v>
      </c>
      <c r="Z195" s="91">
        <v>0</v>
      </c>
      <c r="AA195" s="92" t="s">
        <v>172</v>
      </c>
    </row>
    <row r="196" spans="1:27" s="92" customFormat="1">
      <c r="A196" s="2">
        <v>5413</v>
      </c>
      <c r="B196" s="2" t="s">
        <v>182</v>
      </c>
      <c r="C196" s="2" t="s">
        <v>183</v>
      </c>
      <c r="D196" s="2">
        <v>10125</v>
      </c>
      <c r="E196" s="2">
        <v>3600000</v>
      </c>
      <c r="F196" s="2" t="s">
        <v>188</v>
      </c>
      <c r="G196" s="2">
        <v>16</v>
      </c>
      <c r="H196" s="43">
        <v>0</v>
      </c>
      <c r="I196" s="117">
        <v>2438</v>
      </c>
      <c r="J196" s="118">
        <v>98</v>
      </c>
      <c r="K196" s="118">
        <v>49</v>
      </c>
      <c r="L196" s="119">
        <v>49</v>
      </c>
      <c r="M196" s="2">
        <v>0</v>
      </c>
      <c r="N196" s="2">
        <v>0</v>
      </c>
      <c r="O196" s="2">
        <v>0</v>
      </c>
      <c r="P196" s="2">
        <v>0</v>
      </c>
      <c r="Q196" s="2">
        <v>13</v>
      </c>
      <c r="R196" s="18">
        <v>0</v>
      </c>
      <c r="S196" s="103">
        <v>4500</v>
      </c>
      <c r="T196" s="103">
        <v>180</v>
      </c>
      <c r="U196" s="103">
        <v>90</v>
      </c>
      <c r="V196" s="103">
        <v>90</v>
      </c>
      <c r="W196" s="91">
        <v>0</v>
      </c>
      <c r="X196" s="91">
        <v>0</v>
      </c>
      <c r="Y196" s="91">
        <v>0</v>
      </c>
      <c r="Z196" s="91">
        <v>0</v>
      </c>
      <c r="AA196" s="92" t="s">
        <v>172</v>
      </c>
    </row>
    <row r="197" spans="1:27" s="92" customFormat="1">
      <c r="A197" s="2">
        <v>5414</v>
      </c>
      <c r="B197" s="2" t="s">
        <v>184</v>
      </c>
      <c r="C197" s="2" t="s">
        <v>185</v>
      </c>
      <c r="D197" s="2">
        <v>10135</v>
      </c>
      <c r="E197" s="2">
        <v>4800000</v>
      </c>
      <c r="F197" s="2" t="s">
        <v>190</v>
      </c>
      <c r="G197" s="2">
        <v>20</v>
      </c>
      <c r="H197" s="43">
        <v>0</v>
      </c>
      <c r="I197" s="117">
        <v>2625</v>
      </c>
      <c r="J197" s="118">
        <v>105</v>
      </c>
      <c r="K197" s="118">
        <v>53</v>
      </c>
      <c r="L197" s="119">
        <v>53</v>
      </c>
      <c r="M197" s="2">
        <v>0</v>
      </c>
      <c r="N197" s="2">
        <v>0</v>
      </c>
      <c r="O197" s="2">
        <v>0</v>
      </c>
      <c r="P197" s="2">
        <v>0</v>
      </c>
      <c r="Q197" s="2">
        <v>14</v>
      </c>
      <c r="R197" s="18">
        <v>0</v>
      </c>
      <c r="S197" s="103">
        <v>4500</v>
      </c>
      <c r="T197" s="103">
        <v>180</v>
      </c>
      <c r="U197" s="103">
        <v>90</v>
      </c>
      <c r="V197" s="103">
        <v>90</v>
      </c>
      <c r="W197" s="91">
        <v>0</v>
      </c>
      <c r="X197" s="91">
        <v>0</v>
      </c>
      <c r="Y197" s="91">
        <v>0</v>
      </c>
      <c r="Z197" s="91">
        <v>0</v>
      </c>
      <c r="AA197" s="92" t="s">
        <v>172</v>
      </c>
    </row>
    <row r="198" spans="1:27" s="92" customFormat="1">
      <c r="A198" s="2">
        <v>5415</v>
      </c>
      <c r="B198" s="2" t="s">
        <v>186</v>
      </c>
      <c r="C198" s="2" t="s">
        <v>187</v>
      </c>
      <c r="D198" s="2">
        <v>10145</v>
      </c>
      <c r="E198" s="2">
        <v>6000000</v>
      </c>
      <c r="F198" s="2" t="s">
        <v>192</v>
      </c>
      <c r="G198" s="2">
        <v>20</v>
      </c>
      <c r="H198" s="43">
        <v>0</v>
      </c>
      <c r="I198" s="117">
        <v>2813</v>
      </c>
      <c r="J198" s="118">
        <v>113</v>
      </c>
      <c r="K198" s="118">
        <v>56</v>
      </c>
      <c r="L198" s="119">
        <v>56</v>
      </c>
      <c r="M198" s="2">
        <v>0</v>
      </c>
      <c r="N198" s="2">
        <v>0</v>
      </c>
      <c r="O198" s="2">
        <v>0</v>
      </c>
      <c r="P198" s="2">
        <v>0</v>
      </c>
      <c r="Q198" s="2">
        <v>15</v>
      </c>
      <c r="R198" s="18">
        <v>0</v>
      </c>
      <c r="S198" s="103">
        <v>4500</v>
      </c>
      <c r="T198" s="103">
        <v>180</v>
      </c>
      <c r="U198" s="103">
        <v>90</v>
      </c>
      <c r="V198" s="103">
        <v>90</v>
      </c>
      <c r="W198" s="91">
        <v>0</v>
      </c>
      <c r="X198" s="91">
        <v>0</v>
      </c>
      <c r="Y198" s="91">
        <v>0</v>
      </c>
      <c r="Z198" s="91">
        <v>0</v>
      </c>
      <c r="AA198" s="92" t="s">
        <v>172</v>
      </c>
    </row>
    <row r="199" spans="1:27" s="77" customFormat="1">
      <c r="A199" s="72">
        <v>5501</v>
      </c>
      <c r="B199" s="72" t="s">
        <v>121</v>
      </c>
      <c r="C199" s="72" t="s">
        <v>33</v>
      </c>
      <c r="D199" s="72">
        <v>10001</v>
      </c>
      <c r="E199" s="72">
        <v>6000</v>
      </c>
      <c r="F199" s="72" t="s">
        <v>112</v>
      </c>
      <c r="G199" s="72">
        <v>0</v>
      </c>
      <c r="H199" s="73">
        <v>0</v>
      </c>
      <c r="I199" s="117">
        <v>188</v>
      </c>
      <c r="J199" s="118">
        <v>8</v>
      </c>
      <c r="K199" s="118">
        <v>4</v>
      </c>
      <c r="L199" s="119">
        <v>4</v>
      </c>
      <c r="M199" s="72">
        <v>0</v>
      </c>
      <c r="N199" s="72">
        <v>0</v>
      </c>
      <c r="O199" s="72">
        <v>0</v>
      </c>
      <c r="P199" s="72">
        <v>0</v>
      </c>
      <c r="Q199" s="72">
        <v>1</v>
      </c>
      <c r="R199" s="75">
        <v>0</v>
      </c>
      <c r="S199" s="103">
        <v>4500</v>
      </c>
      <c r="T199" s="103">
        <v>180</v>
      </c>
      <c r="U199" s="103">
        <v>90</v>
      </c>
      <c r="V199" s="103">
        <v>90</v>
      </c>
      <c r="W199" s="76">
        <v>0</v>
      </c>
      <c r="X199" s="76">
        <v>0</v>
      </c>
      <c r="Y199" s="76">
        <v>0</v>
      </c>
      <c r="Z199" s="76">
        <v>0</v>
      </c>
      <c r="AA199" s="77" t="s">
        <v>174</v>
      </c>
    </row>
    <row r="200" spans="1:27" s="77" customFormat="1">
      <c r="A200" s="72">
        <v>5502</v>
      </c>
      <c r="B200" s="72" t="s">
        <v>41</v>
      </c>
      <c r="C200" s="72" t="s">
        <v>34</v>
      </c>
      <c r="D200" s="72">
        <v>10015</v>
      </c>
      <c r="E200" s="72">
        <v>24000</v>
      </c>
      <c r="F200" s="72" t="s">
        <v>113</v>
      </c>
      <c r="G200" s="72">
        <v>0</v>
      </c>
      <c r="H200" s="73">
        <v>0</v>
      </c>
      <c r="I200" s="117">
        <v>375</v>
      </c>
      <c r="J200" s="118">
        <v>15</v>
      </c>
      <c r="K200" s="118">
        <v>8</v>
      </c>
      <c r="L200" s="119">
        <v>8</v>
      </c>
      <c r="M200" s="72">
        <v>0</v>
      </c>
      <c r="N200" s="72">
        <v>0</v>
      </c>
      <c r="O200" s="72">
        <v>0</v>
      </c>
      <c r="P200" s="72">
        <v>0</v>
      </c>
      <c r="Q200" s="72">
        <v>2</v>
      </c>
      <c r="R200" s="75">
        <v>0</v>
      </c>
      <c r="S200" s="103">
        <v>4500</v>
      </c>
      <c r="T200" s="103">
        <v>180</v>
      </c>
      <c r="U200" s="103">
        <v>90</v>
      </c>
      <c r="V200" s="103">
        <v>90</v>
      </c>
      <c r="W200" s="76">
        <v>0</v>
      </c>
      <c r="X200" s="76">
        <v>0</v>
      </c>
      <c r="Y200" s="76">
        <v>0</v>
      </c>
      <c r="Z200" s="76">
        <v>0</v>
      </c>
      <c r="AA200" s="77" t="s">
        <v>174</v>
      </c>
    </row>
    <row r="201" spans="1:27" s="77" customFormat="1">
      <c r="A201" s="72">
        <v>5503</v>
      </c>
      <c r="B201" s="72" t="s">
        <v>42</v>
      </c>
      <c r="C201" s="72" t="s">
        <v>35</v>
      </c>
      <c r="D201" s="72">
        <v>10025</v>
      </c>
      <c r="E201" s="72">
        <v>60000</v>
      </c>
      <c r="F201" s="72" t="s">
        <v>29</v>
      </c>
      <c r="G201" s="72">
        <v>1</v>
      </c>
      <c r="H201" s="73">
        <v>0</v>
      </c>
      <c r="I201" s="117">
        <v>563</v>
      </c>
      <c r="J201" s="118">
        <v>23</v>
      </c>
      <c r="K201" s="118">
        <v>11</v>
      </c>
      <c r="L201" s="119">
        <v>11</v>
      </c>
      <c r="M201" s="72">
        <v>0</v>
      </c>
      <c r="N201" s="72">
        <v>0</v>
      </c>
      <c r="O201" s="72">
        <v>0</v>
      </c>
      <c r="P201" s="72">
        <v>0</v>
      </c>
      <c r="Q201" s="72">
        <v>3</v>
      </c>
      <c r="R201" s="75">
        <v>0</v>
      </c>
      <c r="S201" s="103">
        <v>4500</v>
      </c>
      <c r="T201" s="103">
        <v>180</v>
      </c>
      <c r="U201" s="103">
        <v>90</v>
      </c>
      <c r="V201" s="103">
        <v>90</v>
      </c>
      <c r="W201" s="76">
        <v>0</v>
      </c>
      <c r="X201" s="76">
        <v>0</v>
      </c>
      <c r="Y201" s="76">
        <v>0</v>
      </c>
      <c r="Z201" s="76">
        <v>0</v>
      </c>
      <c r="AA201" s="77" t="s">
        <v>174</v>
      </c>
    </row>
    <row r="202" spans="1:27" s="77" customFormat="1">
      <c r="A202" s="72">
        <v>5504</v>
      </c>
      <c r="B202" s="72" t="s">
        <v>43</v>
      </c>
      <c r="C202" s="72" t="s">
        <v>36</v>
      </c>
      <c r="D202" s="72">
        <v>10035</v>
      </c>
      <c r="E202" s="72">
        <v>120000</v>
      </c>
      <c r="F202" s="72" t="s">
        <v>84</v>
      </c>
      <c r="G202" s="72">
        <v>1</v>
      </c>
      <c r="H202" s="73">
        <v>0</v>
      </c>
      <c r="I202" s="117">
        <v>750</v>
      </c>
      <c r="J202" s="118">
        <v>30</v>
      </c>
      <c r="K202" s="118">
        <v>15</v>
      </c>
      <c r="L202" s="119">
        <v>15</v>
      </c>
      <c r="M202" s="72">
        <v>0</v>
      </c>
      <c r="N202" s="72">
        <v>0</v>
      </c>
      <c r="O202" s="72">
        <v>0</v>
      </c>
      <c r="P202" s="72">
        <v>0</v>
      </c>
      <c r="Q202" s="72">
        <v>4</v>
      </c>
      <c r="R202" s="75">
        <v>0</v>
      </c>
      <c r="S202" s="103">
        <v>4500</v>
      </c>
      <c r="T202" s="103">
        <v>180</v>
      </c>
      <c r="U202" s="103">
        <v>90</v>
      </c>
      <c r="V202" s="103">
        <v>90</v>
      </c>
      <c r="W202" s="76">
        <v>0</v>
      </c>
      <c r="X202" s="76">
        <v>0</v>
      </c>
      <c r="Y202" s="76">
        <v>0</v>
      </c>
      <c r="Z202" s="76">
        <v>0</v>
      </c>
      <c r="AA202" s="77" t="s">
        <v>174</v>
      </c>
    </row>
    <row r="203" spans="1:27" s="77" customFormat="1">
      <c r="A203" s="72">
        <v>5505</v>
      </c>
      <c r="B203" s="72" t="s">
        <v>44</v>
      </c>
      <c r="C203" s="72" t="s">
        <v>37</v>
      </c>
      <c r="D203" s="72">
        <v>10045</v>
      </c>
      <c r="E203" s="72">
        <v>240000</v>
      </c>
      <c r="F203" s="72" t="s">
        <v>85</v>
      </c>
      <c r="G203" s="72">
        <v>2</v>
      </c>
      <c r="H203" s="73">
        <v>0</v>
      </c>
      <c r="I203" s="117">
        <v>938</v>
      </c>
      <c r="J203" s="118">
        <v>38</v>
      </c>
      <c r="K203" s="118">
        <v>19</v>
      </c>
      <c r="L203" s="119">
        <v>19</v>
      </c>
      <c r="M203" s="72">
        <v>0</v>
      </c>
      <c r="N203" s="72">
        <v>0</v>
      </c>
      <c r="O203" s="72">
        <v>0</v>
      </c>
      <c r="P203" s="72">
        <v>0</v>
      </c>
      <c r="Q203" s="72">
        <v>5</v>
      </c>
      <c r="R203" s="75">
        <v>0</v>
      </c>
      <c r="S203" s="103">
        <v>4500</v>
      </c>
      <c r="T203" s="103">
        <v>180</v>
      </c>
      <c r="U203" s="103">
        <v>90</v>
      </c>
      <c r="V203" s="103">
        <v>90</v>
      </c>
      <c r="W203" s="76">
        <v>0</v>
      </c>
      <c r="X203" s="76">
        <v>0</v>
      </c>
      <c r="Y203" s="76">
        <v>0</v>
      </c>
      <c r="Z203" s="76">
        <v>0</v>
      </c>
      <c r="AA203" s="77" t="s">
        <v>174</v>
      </c>
    </row>
    <row r="204" spans="1:27" s="77" customFormat="1">
      <c r="A204" s="72">
        <v>5506</v>
      </c>
      <c r="B204" s="72" t="s">
        <v>45</v>
      </c>
      <c r="C204" s="72" t="s">
        <v>38</v>
      </c>
      <c r="D204" s="72">
        <v>10055</v>
      </c>
      <c r="E204" s="72">
        <v>360000</v>
      </c>
      <c r="F204" s="72" t="s">
        <v>86</v>
      </c>
      <c r="G204" s="72">
        <v>2</v>
      </c>
      <c r="H204" s="73">
        <v>0</v>
      </c>
      <c r="I204" s="117">
        <v>1125</v>
      </c>
      <c r="J204" s="118">
        <v>45</v>
      </c>
      <c r="K204" s="118">
        <v>23</v>
      </c>
      <c r="L204" s="119">
        <v>23</v>
      </c>
      <c r="M204" s="72">
        <v>0</v>
      </c>
      <c r="N204" s="72">
        <v>0</v>
      </c>
      <c r="O204" s="72">
        <v>0</v>
      </c>
      <c r="P204" s="72">
        <v>0</v>
      </c>
      <c r="Q204" s="72">
        <v>6</v>
      </c>
      <c r="R204" s="75">
        <v>0</v>
      </c>
      <c r="S204" s="103">
        <v>4500</v>
      </c>
      <c r="T204" s="103">
        <v>180</v>
      </c>
      <c r="U204" s="103">
        <v>90</v>
      </c>
      <c r="V204" s="103">
        <v>90</v>
      </c>
      <c r="W204" s="76">
        <v>0</v>
      </c>
      <c r="X204" s="76">
        <v>0</v>
      </c>
      <c r="Y204" s="76">
        <v>0</v>
      </c>
      <c r="Z204" s="76">
        <v>0</v>
      </c>
      <c r="AA204" s="77" t="s">
        <v>174</v>
      </c>
    </row>
    <row r="205" spans="1:27" s="77" customFormat="1">
      <c r="A205" s="72">
        <v>5507</v>
      </c>
      <c r="B205" s="72" t="s">
        <v>46</v>
      </c>
      <c r="C205" s="72" t="s">
        <v>39</v>
      </c>
      <c r="D205" s="72">
        <v>10065</v>
      </c>
      <c r="E205" s="72">
        <v>600000</v>
      </c>
      <c r="F205" s="72" t="s">
        <v>87</v>
      </c>
      <c r="G205" s="72">
        <v>4</v>
      </c>
      <c r="H205" s="73">
        <v>0</v>
      </c>
      <c r="I205" s="117">
        <v>1313</v>
      </c>
      <c r="J205" s="118">
        <v>53</v>
      </c>
      <c r="K205" s="118">
        <v>26</v>
      </c>
      <c r="L205" s="119">
        <v>26</v>
      </c>
      <c r="M205" s="72">
        <v>0</v>
      </c>
      <c r="N205" s="72">
        <v>0</v>
      </c>
      <c r="O205" s="72">
        <v>0</v>
      </c>
      <c r="P205" s="72">
        <v>0</v>
      </c>
      <c r="Q205" s="72">
        <v>7</v>
      </c>
      <c r="R205" s="75">
        <v>0</v>
      </c>
      <c r="S205" s="103">
        <v>4500</v>
      </c>
      <c r="T205" s="103">
        <v>180</v>
      </c>
      <c r="U205" s="103">
        <v>90</v>
      </c>
      <c r="V205" s="103">
        <v>90</v>
      </c>
      <c r="W205" s="76">
        <v>0</v>
      </c>
      <c r="X205" s="76">
        <v>0</v>
      </c>
      <c r="Y205" s="76">
        <v>0</v>
      </c>
      <c r="Z205" s="76">
        <v>0</v>
      </c>
      <c r="AA205" s="77" t="s">
        <v>174</v>
      </c>
    </row>
    <row r="206" spans="1:27" s="77" customFormat="1">
      <c r="A206" s="72">
        <v>5508</v>
      </c>
      <c r="B206" s="72" t="s">
        <v>47</v>
      </c>
      <c r="C206" s="72" t="s">
        <v>40</v>
      </c>
      <c r="D206" s="72">
        <v>10075</v>
      </c>
      <c r="E206" s="72">
        <v>1000000</v>
      </c>
      <c r="F206" s="72" t="s">
        <v>88</v>
      </c>
      <c r="G206" s="72">
        <v>6</v>
      </c>
      <c r="H206" s="73">
        <v>0</v>
      </c>
      <c r="I206" s="117">
        <v>1500</v>
      </c>
      <c r="J206" s="118">
        <v>60</v>
      </c>
      <c r="K206" s="118">
        <v>30</v>
      </c>
      <c r="L206" s="119">
        <v>30</v>
      </c>
      <c r="M206" s="72">
        <v>0</v>
      </c>
      <c r="N206" s="72">
        <v>0</v>
      </c>
      <c r="O206" s="72">
        <v>0</v>
      </c>
      <c r="P206" s="72">
        <v>0</v>
      </c>
      <c r="Q206" s="72">
        <v>8</v>
      </c>
      <c r="R206" s="75">
        <v>0</v>
      </c>
      <c r="S206" s="103">
        <v>4500</v>
      </c>
      <c r="T206" s="103">
        <v>180</v>
      </c>
      <c r="U206" s="103">
        <v>90</v>
      </c>
      <c r="V206" s="103">
        <v>90</v>
      </c>
      <c r="W206" s="76">
        <v>0</v>
      </c>
      <c r="X206" s="76">
        <v>0</v>
      </c>
      <c r="Y206" s="76">
        <v>0</v>
      </c>
      <c r="Z206" s="76">
        <v>0</v>
      </c>
      <c r="AA206" s="77" t="s">
        <v>174</v>
      </c>
    </row>
    <row r="207" spans="1:27" s="77" customFormat="1">
      <c r="A207" s="72">
        <v>5509</v>
      </c>
      <c r="B207" s="72" t="s">
        <v>69</v>
      </c>
      <c r="C207" s="72" t="s">
        <v>32</v>
      </c>
      <c r="D207" s="72">
        <v>10085</v>
      </c>
      <c r="E207" s="72">
        <v>1500000</v>
      </c>
      <c r="F207" s="72" t="s">
        <v>89</v>
      </c>
      <c r="G207" s="72">
        <v>8</v>
      </c>
      <c r="H207" s="73">
        <v>0</v>
      </c>
      <c r="I207" s="117">
        <v>1688</v>
      </c>
      <c r="J207" s="118">
        <v>68</v>
      </c>
      <c r="K207" s="118">
        <v>34</v>
      </c>
      <c r="L207" s="119">
        <v>34</v>
      </c>
      <c r="M207" s="72">
        <v>0</v>
      </c>
      <c r="N207" s="72">
        <v>0</v>
      </c>
      <c r="O207" s="72">
        <v>0</v>
      </c>
      <c r="P207" s="72">
        <v>0</v>
      </c>
      <c r="Q207" s="72">
        <v>9</v>
      </c>
      <c r="R207" s="75">
        <v>0</v>
      </c>
      <c r="S207" s="103">
        <v>4500</v>
      </c>
      <c r="T207" s="103">
        <v>180</v>
      </c>
      <c r="U207" s="103">
        <v>90</v>
      </c>
      <c r="V207" s="103">
        <v>90</v>
      </c>
      <c r="W207" s="76">
        <v>0</v>
      </c>
      <c r="X207" s="76">
        <v>0</v>
      </c>
      <c r="Y207" s="76">
        <v>0</v>
      </c>
      <c r="Z207" s="76">
        <v>0</v>
      </c>
      <c r="AA207" s="77" t="s">
        <v>174</v>
      </c>
    </row>
    <row r="208" spans="1:27" s="77" customFormat="1">
      <c r="A208" s="72">
        <v>5510</v>
      </c>
      <c r="B208" s="72" t="s">
        <v>71</v>
      </c>
      <c r="C208" s="72" t="s">
        <v>31</v>
      </c>
      <c r="D208" s="72">
        <v>10095</v>
      </c>
      <c r="E208" s="72">
        <v>2000000</v>
      </c>
      <c r="F208" s="72" t="s">
        <v>90</v>
      </c>
      <c r="G208" s="72">
        <v>10</v>
      </c>
      <c r="H208" s="73">
        <v>0</v>
      </c>
      <c r="I208" s="117">
        <v>1875</v>
      </c>
      <c r="J208" s="118">
        <v>75</v>
      </c>
      <c r="K208" s="118">
        <v>38</v>
      </c>
      <c r="L208" s="119">
        <v>38</v>
      </c>
      <c r="M208" s="72">
        <v>0</v>
      </c>
      <c r="N208" s="72">
        <v>0</v>
      </c>
      <c r="O208" s="72">
        <v>0</v>
      </c>
      <c r="P208" s="72">
        <v>0</v>
      </c>
      <c r="Q208" s="72">
        <v>10</v>
      </c>
      <c r="R208" s="75">
        <v>0</v>
      </c>
      <c r="S208" s="103">
        <v>4500</v>
      </c>
      <c r="T208" s="103">
        <v>180</v>
      </c>
      <c r="U208" s="103">
        <v>90</v>
      </c>
      <c r="V208" s="103">
        <v>90</v>
      </c>
      <c r="W208" s="76">
        <v>0</v>
      </c>
      <c r="X208" s="76">
        <v>0</v>
      </c>
      <c r="Y208" s="76">
        <v>0</v>
      </c>
      <c r="Z208" s="76">
        <v>0</v>
      </c>
      <c r="AA208" s="77" t="s">
        <v>174</v>
      </c>
    </row>
    <row r="209" spans="1:27" s="77" customFormat="1">
      <c r="A209" s="72">
        <v>5511</v>
      </c>
      <c r="B209" s="72" t="s">
        <v>73</v>
      </c>
      <c r="C209" s="72" t="s">
        <v>74</v>
      </c>
      <c r="D209" s="72">
        <v>10105</v>
      </c>
      <c r="E209" s="72">
        <v>2400000</v>
      </c>
      <c r="F209" s="72" t="s">
        <v>91</v>
      </c>
      <c r="G209" s="72">
        <v>12</v>
      </c>
      <c r="H209" s="73">
        <v>0</v>
      </c>
      <c r="I209" s="117">
        <v>2063</v>
      </c>
      <c r="J209" s="118">
        <v>83</v>
      </c>
      <c r="K209" s="118">
        <v>41</v>
      </c>
      <c r="L209" s="119">
        <v>41</v>
      </c>
      <c r="M209" s="72">
        <v>0</v>
      </c>
      <c r="N209" s="72">
        <v>0</v>
      </c>
      <c r="O209" s="72">
        <v>0</v>
      </c>
      <c r="P209" s="72">
        <v>0</v>
      </c>
      <c r="Q209" s="72">
        <v>11</v>
      </c>
      <c r="R209" s="75">
        <v>0</v>
      </c>
      <c r="S209" s="103">
        <v>4500</v>
      </c>
      <c r="T209" s="103">
        <v>180</v>
      </c>
      <c r="U209" s="103">
        <v>90</v>
      </c>
      <c r="V209" s="103">
        <v>90</v>
      </c>
      <c r="W209" s="76">
        <v>0</v>
      </c>
      <c r="X209" s="76">
        <v>0</v>
      </c>
      <c r="Y209" s="76">
        <v>0</v>
      </c>
      <c r="Z209" s="76">
        <v>0</v>
      </c>
      <c r="AA209" s="77" t="s">
        <v>174</v>
      </c>
    </row>
    <row r="210" spans="1:27" s="77" customFormat="1">
      <c r="A210" s="72">
        <v>5512</v>
      </c>
      <c r="B210" s="72" t="s">
        <v>75</v>
      </c>
      <c r="C210" s="72" t="s">
        <v>76</v>
      </c>
      <c r="D210" s="72">
        <v>10115</v>
      </c>
      <c r="E210" s="72">
        <v>3000000</v>
      </c>
      <c r="F210" s="72" t="s">
        <v>114</v>
      </c>
      <c r="G210" s="72">
        <v>14</v>
      </c>
      <c r="H210" s="73">
        <v>0</v>
      </c>
      <c r="I210" s="117">
        <v>2250</v>
      </c>
      <c r="J210" s="118">
        <v>90</v>
      </c>
      <c r="K210" s="118">
        <v>45</v>
      </c>
      <c r="L210" s="119">
        <v>45</v>
      </c>
      <c r="M210" s="72">
        <v>0</v>
      </c>
      <c r="N210" s="72">
        <v>0</v>
      </c>
      <c r="O210" s="72">
        <v>0</v>
      </c>
      <c r="P210" s="72">
        <v>0</v>
      </c>
      <c r="Q210" s="72">
        <v>12</v>
      </c>
      <c r="R210" s="75">
        <v>0</v>
      </c>
      <c r="S210" s="103">
        <v>4500</v>
      </c>
      <c r="T210" s="103">
        <v>180</v>
      </c>
      <c r="U210" s="103">
        <v>90</v>
      </c>
      <c r="V210" s="103">
        <v>90</v>
      </c>
      <c r="W210" s="76">
        <v>0</v>
      </c>
      <c r="X210" s="76">
        <v>0</v>
      </c>
      <c r="Y210" s="76">
        <v>0</v>
      </c>
      <c r="Z210" s="76">
        <v>0</v>
      </c>
      <c r="AA210" s="77" t="s">
        <v>174</v>
      </c>
    </row>
    <row r="211" spans="1:27" s="77" customFormat="1">
      <c r="A211" s="72">
        <v>5513</v>
      </c>
      <c r="B211" s="72" t="s">
        <v>182</v>
      </c>
      <c r="C211" s="72" t="s">
        <v>183</v>
      </c>
      <c r="D211" s="72">
        <v>10125</v>
      </c>
      <c r="E211" s="72">
        <v>3600000</v>
      </c>
      <c r="F211" s="72" t="s">
        <v>188</v>
      </c>
      <c r="G211" s="72">
        <v>16</v>
      </c>
      <c r="H211" s="73">
        <v>0</v>
      </c>
      <c r="I211" s="117">
        <v>2438</v>
      </c>
      <c r="J211" s="118">
        <v>98</v>
      </c>
      <c r="K211" s="118">
        <v>49</v>
      </c>
      <c r="L211" s="119">
        <v>49</v>
      </c>
      <c r="M211" s="72">
        <v>0</v>
      </c>
      <c r="N211" s="72">
        <v>0</v>
      </c>
      <c r="O211" s="72">
        <v>0</v>
      </c>
      <c r="P211" s="72">
        <v>0</v>
      </c>
      <c r="Q211" s="72">
        <v>13</v>
      </c>
      <c r="R211" s="75">
        <v>0</v>
      </c>
      <c r="S211" s="103">
        <v>4500</v>
      </c>
      <c r="T211" s="103">
        <v>180</v>
      </c>
      <c r="U211" s="103">
        <v>90</v>
      </c>
      <c r="V211" s="103">
        <v>90</v>
      </c>
      <c r="W211" s="76">
        <v>0</v>
      </c>
      <c r="X211" s="76">
        <v>0</v>
      </c>
      <c r="Y211" s="76">
        <v>0</v>
      </c>
      <c r="Z211" s="76">
        <v>0</v>
      </c>
      <c r="AA211" s="77" t="s">
        <v>174</v>
      </c>
    </row>
    <row r="212" spans="1:27" s="77" customFormat="1">
      <c r="A212" s="72">
        <v>5514</v>
      </c>
      <c r="B212" s="72" t="s">
        <v>184</v>
      </c>
      <c r="C212" s="72" t="s">
        <v>185</v>
      </c>
      <c r="D212" s="72">
        <v>10135</v>
      </c>
      <c r="E212" s="72">
        <v>4800000</v>
      </c>
      <c r="F212" s="72" t="s">
        <v>190</v>
      </c>
      <c r="G212" s="72">
        <v>20</v>
      </c>
      <c r="H212" s="73">
        <v>0</v>
      </c>
      <c r="I212" s="117">
        <v>2625</v>
      </c>
      <c r="J212" s="118">
        <v>105</v>
      </c>
      <c r="K212" s="118">
        <v>53</v>
      </c>
      <c r="L212" s="119">
        <v>53</v>
      </c>
      <c r="M212" s="72">
        <v>0</v>
      </c>
      <c r="N212" s="72">
        <v>0</v>
      </c>
      <c r="O212" s="72">
        <v>0</v>
      </c>
      <c r="P212" s="72">
        <v>0</v>
      </c>
      <c r="Q212" s="72">
        <v>14</v>
      </c>
      <c r="R212" s="75">
        <v>0</v>
      </c>
      <c r="S212" s="103">
        <v>4500</v>
      </c>
      <c r="T212" s="103">
        <v>180</v>
      </c>
      <c r="U212" s="103">
        <v>90</v>
      </c>
      <c r="V212" s="103">
        <v>90</v>
      </c>
      <c r="W212" s="76">
        <v>0</v>
      </c>
      <c r="X212" s="76">
        <v>0</v>
      </c>
      <c r="Y212" s="76">
        <v>0</v>
      </c>
      <c r="Z212" s="76">
        <v>0</v>
      </c>
      <c r="AA212" s="77" t="s">
        <v>174</v>
      </c>
    </row>
    <row r="213" spans="1:27" s="77" customFormat="1">
      <c r="A213" s="72">
        <v>5515</v>
      </c>
      <c r="B213" s="72" t="s">
        <v>186</v>
      </c>
      <c r="C213" s="72" t="s">
        <v>187</v>
      </c>
      <c r="D213" s="72">
        <v>10145</v>
      </c>
      <c r="E213" s="72">
        <v>6000000</v>
      </c>
      <c r="F213" s="72" t="s">
        <v>192</v>
      </c>
      <c r="G213" s="72">
        <v>20</v>
      </c>
      <c r="H213" s="73">
        <v>0</v>
      </c>
      <c r="I213" s="117">
        <v>2813</v>
      </c>
      <c r="J213" s="118">
        <v>113</v>
      </c>
      <c r="K213" s="118">
        <v>56</v>
      </c>
      <c r="L213" s="119">
        <v>56</v>
      </c>
      <c r="M213" s="72">
        <v>0</v>
      </c>
      <c r="N213" s="72">
        <v>0</v>
      </c>
      <c r="O213" s="72">
        <v>0</v>
      </c>
      <c r="P213" s="72">
        <v>0</v>
      </c>
      <c r="Q213" s="72">
        <v>15</v>
      </c>
      <c r="R213" s="75">
        <v>0</v>
      </c>
      <c r="S213" s="103">
        <v>4500</v>
      </c>
      <c r="T213" s="103">
        <v>180</v>
      </c>
      <c r="U213" s="103">
        <v>90</v>
      </c>
      <c r="V213" s="103">
        <v>90</v>
      </c>
      <c r="W213" s="76">
        <v>0</v>
      </c>
      <c r="X213" s="76">
        <v>0</v>
      </c>
      <c r="Y213" s="76">
        <v>0</v>
      </c>
      <c r="Z213" s="76">
        <v>0</v>
      </c>
      <c r="AA213" s="77" t="s">
        <v>174</v>
      </c>
    </row>
    <row r="214" spans="1:27" s="83" customFormat="1">
      <c r="A214" s="78">
        <v>6101</v>
      </c>
      <c r="B214" s="78" t="s">
        <v>121</v>
      </c>
      <c r="C214" s="78" t="s">
        <v>33</v>
      </c>
      <c r="D214" s="78">
        <v>10001</v>
      </c>
      <c r="E214" s="78">
        <v>8000</v>
      </c>
      <c r="F214" s="78" t="s">
        <v>153</v>
      </c>
      <c r="G214" s="78">
        <v>0</v>
      </c>
      <c r="H214" s="79">
        <v>0</v>
      </c>
      <c r="I214" s="120">
        <v>375</v>
      </c>
      <c r="J214" s="121">
        <v>15</v>
      </c>
      <c r="K214" s="121">
        <v>8</v>
      </c>
      <c r="L214" s="122">
        <v>8</v>
      </c>
      <c r="M214" s="78">
        <v>0</v>
      </c>
      <c r="N214" s="78">
        <v>0</v>
      </c>
      <c r="O214" s="78">
        <v>0</v>
      </c>
      <c r="P214" s="78">
        <v>0</v>
      </c>
      <c r="Q214" s="78">
        <v>1</v>
      </c>
      <c r="R214" s="81">
        <v>0</v>
      </c>
      <c r="S214" s="104">
        <v>6000</v>
      </c>
      <c r="T214" s="104">
        <v>240</v>
      </c>
      <c r="U214" s="104">
        <v>120</v>
      </c>
      <c r="V214" s="104">
        <v>120</v>
      </c>
      <c r="W214" s="82">
        <v>0</v>
      </c>
      <c r="X214" s="82">
        <v>0</v>
      </c>
      <c r="Y214" s="82">
        <v>0</v>
      </c>
      <c r="Z214" s="82">
        <v>0</v>
      </c>
      <c r="AA214" s="83" t="s">
        <v>177</v>
      </c>
    </row>
    <row r="215" spans="1:27" s="83" customFormat="1">
      <c r="A215" s="78">
        <v>6102</v>
      </c>
      <c r="B215" s="78" t="s">
        <v>41</v>
      </c>
      <c r="C215" s="78" t="s">
        <v>34</v>
      </c>
      <c r="D215" s="78">
        <v>10015</v>
      </c>
      <c r="E215" s="78">
        <v>30000</v>
      </c>
      <c r="F215" s="78" t="s">
        <v>206</v>
      </c>
      <c r="G215" s="78">
        <v>0</v>
      </c>
      <c r="H215" s="79">
        <v>0</v>
      </c>
      <c r="I215" s="120">
        <v>750</v>
      </c>
      <c r="J215" s="121">
        <v>30</v>
      </c>
      <c r="K215" s="121">
        <v>15</v>
      </c>
      <c r="L215" s="122">
        <v>15</v>
      </c>
      <c r="M215" s="78">
        <v>0</v>
      </c>
      <c r="N215" s="78">
        <v>0</v>
      </c>
      <c r="O215" s="78">
        <v>0</v>
      </c>
      <c r="P215" s="78">
        <v>0</v>
      </c>
      <c r="Q215" s="78">
        <v>2</v>
      </c>
      <c r="R215" s="81">
        <v>0</v>
      </c>
      <c r="S215" s="104">
        <v>6000</v>
      </c>
      <c r="T215" s="104">
        <v>240</v>
      </c>
      <c r="U215" s="104">
        <v>120</v>
      </c>
      <c r="V215" s="104">
        <v>120</v>
      </c>
      <c r="W215" s="82">
        <v>0</v>
      </c>
      <c r="X215" s="82">
        <v>0</v>
      </c>
      <c r="Y215" s="82">
        <v>0</v>
      </c>
      <c r="Z215" s="82">
        <v>0</v>
      </c>
      <c r="AA215" s="83" t="s">
        <v>177</v>
      </c>
    </row>
    <row r="216" spans="1:27" s="83" customFormat="1">
      <c r="A216" s="78">
        <v>6103</v>
      </c>
      <c r="B216" s="78" t="s">
        <v>42</v>
      </c>
      <c r="C216" s="78" t="s">
        <v>35</v>
      </c>
      <c r="D216" s="78">
        <v>10025</v>
      </c>
      <c r="E216" s="78">
        <v>75000</v>
      </c>
      <c r="F216" s="78" t="s">
        <v>207</v>
      </c>
      <c r="G216" s="78">
        <v>1</v>
      </c>
      <c r="H216" s="79">
        <v>0</v>
      </c>
      <c r="I216" s="120">
        <v>1125</v>
      </c>
      <c r="J216" s="121">
        <v>45</v>
      </c>
      <c r="K216" s="121">
        <v>23</v>
      </c>
      <c r="L216" s="122">
        <v>23</v>
      </c>
      <c r="M216" s="78">
        <v>0</v>
      </c>
      <c r="N216" s="78">
        <v>0</v>
      </c>
      <c r="O216" s="78">
        <v>0</v>
      </c>
      <c r="P216" s="78">
        <v>0</v>
      </c>
      <c r="Q216" s="78">
        <v>3</v>
      </c>
      <c r="R216" s="81">
        <v>0</v>
      </c>
      <c r="S216" s="104">
        <v>6000</v>
      </c>
      <c r="T216" s="104">
        <v>240</v>
      </c>
      <c r="U216" s="104">
        <v>120</v>
      </c>
      <c r="V216" s="104">
        <v>120</v>
      </c>
      <c r="W216" s="82">
        <v>0</v>
      </c>
      <c r="X216" s="82">
        <v>0</v>
      </c>
      <c r="Y216" s="82">
        <v>0</v>
      </c>
      <c r="Z216" s="82">
        <v>0</v>
      </c>
      <c r="AA216" s="83" t="s">
        <v>177</v>
      </c>
    </row>
    <row r="217" spans="1:27" s="83" customFormat="1">
      <c r="A217" s="78">
        <v>6104</v>
      </c>
      <c r="B217" s="78" t="s">
        <v>43</v>
      </c>
      <c r="C217" s="78" t="s">
        <v>36</v>
      </c>
      <c r="D217" s="78">
        <v>10035</v>
      </c>
      <c r="E217" s="78">
        <v>150000</v>
      </c>
      <c r="F217" s="78" t="s">
        <v>208</v>
      </c>
      <c r="G217" s="78">
        <v>1</v>
      </c>
      <c r="H217" s="79">
        <v>0</v>
      </c>
      <c r="I217" s="120">
        <v>1500</v>
      </c>
      <c r="J217" s="121">
        <v>60</v>
      </c>
      <c r="K217" s="121">
        <v>30</v>
      </c>
      <c r="L217" s="122">
        <v>30</v>
      </c>
      <c r="M217" s="78">
        <v>0</v>
      </c>
      <c r="N217" s="78">
        <v>0</v>
      </c>
      <c r="O217" s="78">
        <v>0</v>
      </c>
      <c r="P217" s="78">
        <v>0</v>
      </c>
      <c r="Q217" s="78">
        <v>4</v>
      </c>
      <c r="R217" s="81">
        <v>0</v>
      </c>
      <c r="S217" s="104">
        <v>6000</v>
      </c>
      <c r="T217" s="104">
        <v>240</v>
      </c>
      <c r="U217" s="104">
        <v>120</v>
      </c>
      <c r="V217" s="104">
        <v>120</v>
      </c>
      <c r="W217" s="82">
        <v>0</v>
      </c>
      <c r="X217" s="82">
        <v>0</v>
      </c>
      <c r="Y217" s="82">
        <v>0</v>
      </c>
      <c r="Z217" s="82">
        <v>0</v>
      </c>
      <c r="AA217" s="83" t="s">
        <v>177</v>
      </c>
    </row>
    <row r="218" spans="1:27" s="83" customFormat="1">
      <c r="A218" s="78">
        <v>6105</v>
      </c>
      <c r="B218" s="78" t="s">
        <v>44</v>
      </c>
      <c r="C218" s="78" t="s">
        <v>37</v>
      </c>
      <c r="D218" s="78">
        <v>10045</v>
      </c>
      <c r="E218" s="78">
        <v>300000</v>
      </c>
      <c r="F218" s="78" t="s">
        <v>106</v>
      </c>
      <c r="G218" s="78">
        <v>2</v>
      </c>
      <c r="H218" s="79">
        <v>0</v>
      </c>
      <c r="I218" s="120">
        <v>1875</v>
      </c>
      <c r="J218" s="121">
        <v>75</v>
      </c>
      <c r="K218" s="121">
        <v>38</v>
      </c>
      <c r="L218" s="122">
        <v>38</v>
      </c>
      <c r="M218" s="78">
        <v>0</v>
      </c>
      <c r="N218" s="78">
        <v>0</v>
      </c>
      <c r="O218" s="78">
        <v>0</v>
      </c>
      <c r="P218" s="78">
        <v>0</v>
      </c>
      <c r="Q218" s="78">
        <v>5</v>
      </c>
      <c r="R218" s="81">
        <v>0</v>
      </c>
      <c r="S218" s="104">
        <v>6000</v>
      </c>
      <c r="T218" s="104">
        <v>240</v>
      </c>
      <c r="U218" s="104">
        <v>120</v>
      </c>
      <c r="V218" s="104">
        <v>120</v>
      </c>
      <c r="W218" s="82">
        <v>0</v>
      </c>
      <c r="X218" s="82">
        <v>0</v>
      </c>
      <c r="Y218" s="82">
        <v>0</v>
      </c>
      <c r="Z218" s="82">
        <v>0</v>
      </c>
      <c r="AA218" s="83" t="s">
        <v>177</v>
      </c>
    </row>
    <row r="219" spans="1:27" s="83" customFormat="1">
      <c r="A219" s="78">
        <v>6106</v>
      </c>
      <c r="B219" s="78" t="s">
        <v>45</v>
      </c>
      <c r="C219" s="78" t="s">
        <v>38</v>
      </c>
      <c r="D219" s="78">
        <v>10055</v>
      </c>
      <c r="E219" s="78">
        <v>450000</v>
      </c>
      <c r="F219" s="78" t="s">
        <v>209</v>
      </c>
      <c r="G219" s="78">
        <v>2</v>
      </c>
      <c r="H219" s="79">
        <v>0</v>
      </c>
      <c r="I219" s="120">
        <v>2250</v>
      </c>
      <c r="J219" s="121">
        <v>90</v>
      </c>
      <c r="K219" s="121">
        <v>45</v>
      </c>
      <c r="L219" s="122">
        <v>45</v>
      </c>
      <c r="M219" s="78">
        <v>0</v>
      </c>
      <c r="N219" s="78">
        <v>0</v>
      </c>
      <c r="O219" s="78">
        <v>0</v>
      </c>
      <c r="P219" s="78">
        <v>0</v>
      </c>
      <c r="Q219" s="78">
        <v>6</v>
      </c>
      <c r="R219" s="81">
        <v>0</v>
      </c>
      <c r="S219" s="104">
        <v>6000</v>
      </c>
      <c r="T219" s="104">
        <v>240</v>
      </c>
      <c r="U219" s="104">
        <v>120</v>
      </c>
      <c r="V219" s="104">
        <v>120</v>
      </c>
      <c r="W219" s="82">
        <v>0</v>
      </c>
      <c r="X219" s="82">
        <v>0</v>
      </c>
      <c r="Y219" s="82">
        <v>0</v>
      </c>
      <c r="Z219" s="82">
        <v>0</v>
      </c>
      <c r="AA219" s="83" t="s">
        <v>177</v>
      </c>
    </row>
    <row r="220" spans="1:27" s="83" customFormat="1">
      <c r="A220" s="78">
        <v>6107</v>
      </c>
      <c r="B220" s="78" t="s">
        <v>46</v>
      </c>
      <c r="C220" s="78" t="s">
        <v>39</v>
      </c>
      <c r="D220" s="78">
        <v>10065</v>
      </c>
      <c r="E220" s="78">
        <v>750000</v>
      </c>
      <c r="F220" s="78" t="s">
        <v>210</v>
      </c>
      <c r="G220" s="78">
        <v>4</v>
      </c>
      <c r="H220" s="79">
        <v>0</v>
      </c>
      <c r="I220" s="120">
        <v>2625</v>
      </c>
      <c r="J220" s="121">
        <v>105</v>
      </c>
      <c r="K220" s="121">
        <v>53</v>
      </c>
      <c r="L220" s="122">
        <v>53</v>
      </c>
      <c r="M220" s="78">
        <v>0</v>
      </c>
      <c r="N220" s="78">
        <v>0</v>
      </c>
      <c r="O220" s="78">
        <v>0</v>
      </c>
      <c r="P220" s="78">
        <v>0</v>
      </c>
      <c r="Q220" s="78">
        <v>7</v>
      </c>
      <c r="R220" s="81">
        <v>0</v>
      </c>
      <c r="S220" s="104">
        <v>6000</v>
      </c>
      <c r="T220" s="104">
        <v>240</v>
      </c>
      <c r="U220" s="104">
        <v>120</v>
      </c>
      <c r="V220" s="104">
        <v>120</v>
      </c>
      <c r="W220" s="82">
        <v>0</v>
      </c>
      <c r="X220" s="82">
        <v>0</v>
      </c>
      <c r="Y220" s="82">
        <v>0</v>
      </c>
      <c r="Z220" s="82">
        <v>0</v>
      </c>
      <c r="AA220" s="83" t="s">
        <v>177</v>
      </c>
    </row>
    <row r="221" spans="1:27" s="83" customFormat="1">
      <c r="A221" s="78">
        <v>6108</v>
      </c>
      <c r="B221" s="78" t="s">
        <v>47</v>
      </c>
      <c r="C221" s="78" t="s">
        <v>40</v>
      </c>
      <c r="D221" s="78">
        <v>10075</v>
      </c>
      <c r="E221" s="78">
        <v>1200000</v>
      </c>
      <c r="F221" s="78" t="s">
        <v>109</v>
      </c>
      <c r="G221" s="78">
        <v>6</v>
      </c>
      <c r="H221" s="79">
        <v>0</v>
      </c>
      <c r="I221" s="120">
        <v>3000</v>
      </c>
      <c r="J221" s="121">
        <v>120</v>
      </c>
      <c r="K221" s="121">
        <v>60</v>
      </c>
      <c r="L221" s="122">
        <v>60</v>
      </c>
      <c r="M221" s="78">
        <v>0</v>
      </c>
      <c r="N221" s="78">
        <v>0</v>
      </c>
      <c r="O221" s="78">
        <v>0</v>
      </c>
      <c r="P221" s="78">
        <v>0</v>
      </c>
      <c r="Q221" s="78">
        <v>8</v>
      </c>
      <c r="R221" s="81">
        <v>0</v>
      </c>
      <c r="S221" s="104">
        <v>6000</v>
      </c>
      <c r="T221" s="104">
        <v>240</v>
      </c>
      <c r="U221" s="104">
        <v>120</v>
      </c>
      <c r="V221" s="104">
        <v>120</v>
      </c>
      <c r="W221" s="82">
        <v>0</v>
      </c>
      <c r="X221" s="82">
        <v>0</v>
      </c>
      <c r="Y221" s="82">
        <v>0</v>
      </c>
      <c r="Z221" s="82">
        <v>0</v>
      </c>
      <c r="AA221" s="83" t="s">
        <v>177</v>
      </c>
    </row>
    <row r="222" spans="1:27" s="83" customFormat="1">
      <c r="A222" s="78">
        <v>6109</v>
      </c>
      <c r="B222" s="78" t="s">
        <v>69</v>
      </c>
      <c r="C222" s="78" t="s">
        <v>32</v>
      </c>
      <c r="D222" s="78">
        <v>10085</v>
      </c>
      <c r="E222" s="78">
        <v>1800000</v>
      </c>
      <c r="F222" s="78" t="s">
        <v>211</v>
      </c>
      <c r="G222" s="78">
        <v>8</v>
      </c>
      <c r="H222" s="79">
        <v>0</v>
      </c>
      <c r="I222" s="120">
        <v>3375</v>
      </c>
      <c r="J222" s="121">
        <v>135</v>
      </c>
      <c r="K222" s="121">
        <v>68</v>
      </c>
      <c r="L222" s="122">
        <v>68</v>
      </c>
      <c r="M222" s="78">
        <v>0</v>
      </c>
      <c r="N222" s="78">
        <v>0</v>
      </c>
      <c r="O222" s="78">
        <v>0</v>
      </c>
      <c r="P222" s="78">
        <v>0</v>
      </c>
      <c r="Q222" s="78">
        <v>9</v>
      </c>
      <c r="R222" s="81">
        <v>0</v>
      </c>
      <c r="S222" s="104">
        <v>6000</v>
      </c>
      <c r="T222" s="104">
        <v>240</v>
      </c>
      <c r="U222" s="104">
        <v>120</v>
      </c>
      <c r="V222" s="104">
        <v>120</v>
      </c>
      <c r="W222" s="82">
        <v>0</v>
      </c>
      <c r="X222" s="82">
        <v>0</v>
      </c>
      <c r="Y222" s="82">
        <v>0</v>
      </c>
      <c r="Z222" s="82">
        <v>0</v>
      </c>
      <c r="AA222" s="83" t="s">
        <v>177</v>
      </c>
    </row>
    <row r="223" spans="1:27" s="83" customFormat="1" ht="18" customHeight="1">
      <c r="A223" s="78">
        <v>6110</v>
      </c>
      <c r="B223" s="78" t="s">
        <v>71</v>
      </c>
      <c r="C223" s="78" t="s">
        <v>31</v>
      </c>
      <c r="D223" s="78">
        <v>10095</v>
      </c>
      <c r="E223" s="78">
        <v>2400000</v>
      </c>
      <c r="F223" s="78" t="s">
        <v>91</v>
      </c>
      <c r="G223" s="78">
        <v>10</v>
      </c>
      <c r="H223" s="79">
        <v>0</v>
      </c>
      <c r="I223" s="120">
        <v>3750</v>
      </c>
      <c r="J223" s="121">
        <v>150</v>
      </c>
      <c r="K223" s="121">
        <v>75</v>
      </c>
      <c r="L223" s="122">
        <v>75</v>
      </c>
      <c r="M223" s="78">
        <v>0</v>
      </c>
      <c r="N223" s="78">
        <v>0</v>
      </c>
      <c r="O223" s="78">
        <v>0</v>
      </c>
      <c r="P223" s="78">
        <v>0</v>
      </c>
      <c r="Q223" s="78">
        <v>10</v>
      </c>
      <c r="R223" s="81">
        <v>0</v>
      </c>
      <c r="S223" s="104">
        <v>6000</v>
      </c>
      <c r="T223" s="104">
        <v>240</v>
      </c>
      <c r="U223" s="104">
        <v>120</v>
      </c>
      <c r="V223" s="104">
        <v>120</v>
      </c>
      <c r="W223" s="82">
        <v>0</v>
      </c>
      <c r="X223" s="82">
        <v>0</v>
      </c>
      <c r="Y223" s="82">
        <v>0</v>
      </c>
      <c r="Z223" s="82">
        <v>0</v>
      </c>
      <c r="AA223" s="83" t="s">
        <v>177</v>
      </c>
    </row>
    <row r="224" spans="1:27" s="83" customFormat="1" ht="18" customHeight="1">
      <c r="A224" s="78">
        <v>6111</v>
      </c>
      <c r="B224" s="78" t="s">
        <v>73</v>
      </c>
      <c r="C224" s="78" t="s">
        <v>74</v>
      </c>
      <c r="D224" s="78">
        <v>10105</v>
      </c>
      <c r="E224" s="78">
        <v>3000000</v>
      </c>
      <c r="F224" s="78" t="s">
        <v>114</v>
      </c>
      <c r="G224" s="78">
        <v>12</v>
      </c>
      <c r="H224" s="79">
        <v>0</v>
      </c>
      <c r="I224" s="120">
        <v>4125</v>
      </c>
      <c r="J224" s="121">
        <v>165</v>
      </c>
      <c r="K224" s="121">
        <v>83</v>
      </c>
      <c r="L224" s="122">
        <v>83</v>
      </c>
      <c r="M224" s="78">
        <v>0</v>
      </c>
      <c r="N224" s="78">
        <v>0</v>
      </c>
      <c r="O224" s="78">
        <v>0</v>
      </c>
      <c r="P224" s="78">
        <v>0</v>
      </c>
      <c r="Q224" s="78">
        <v>11</v>
      </c>
      <c r="R224" s="81">
        <v>0</v>
      </c>
      <c r="S224" s="104">
        <v>6000</v>
      </c>
      <c r="T224" s="104">
        <v>240</v>
      </c>
      <c r="U224" s="104">
        <v>120</v>
      </c>
      <c r="V224" s="104">
        <v>120</v>
      </c>
      <c r="W224" s="82">
        <v>0</v>
      </c>
      <c r="X224" s="82">
        <v>0</v>
      </c>
      <c r="Y224" s="82">
        <v>0</v>
      </c>
      <c r="Z224" s="82">
        <v>0</v>
      </c>
      <c r="AA224" s="83" t="s">
        <v>177</v>
      </c>
    </row>
    <row r="225" spans="1:27" s="83" customFormat="1" ht="18" customHeight="1">
      <c r="A225" s="78">
        <v>6112</v>
      </c>
      <c r="B225" s="78" t="s">
        <v>75</v>
      </c>
      <c r="C225" s="78" t="s">
        <v>76</v>
      </c>
      <c r="D225" s="78">
        <v>10115</v>
      </c>
      <c r="E225" s="78">
        <v>3750000</v>
      </c>
      <c r="F225" s="78" t="s">
        <v>212</v>
      </c>
      <c r="G225" s="78">
        <v>14</v>
      </c>
      <c r="H225" s="79">
        <v>0</v>
      </c>
      <c r="I225" s="120">
        <v>4500</v>
      </c>
      <c r="J225" s="121">
        <v>180</v>
      </c>
      <c r="K225" s="121">
        <v>90</v>
      </c>
      <c r="L225" s="122">
        <v>90</v>
      </c>
      <c r="M225" s="78">
        <v>0</v>
      </c>
      <c r="N225" s="78">
        <v>0</v>
      </c>
      <c r="O225" s="78">
        <v>0</v>
      </c>
      <c r="P225" s="78">
        <v>0</v>
      </c>
      <c r="Q225" s="78">
        <v>12</v>
      </c>
      <c r="R225" s="81">
        <v>0</v>
      </c>
      <c r="S225" s="104">
        <v>6000</v>
      </c>
      <c r="T225" s="104">
        <v>240</v>
      </c>
      <c r="U225" s="104">
        <v>120</v>
      </c>
      <c r="V225" s="104">
        <v>120</v>
      </c>
      <c r="W225" s="82">
        <v>0</v>
      </c>
      <c r="X225" s="82">
        <v>0</v>
      </c>
      <c r="Y225" s="82">
        <v>0</v>
      </c>
      <c r="Z225" s="82">
        <v>0</v>
      </c>
      <c r="AA225" s="83" t="s">
        <v>177</v>
      </c>
    </row>
    <row r="226" spans="1:27" s="83" customFormat="1" ht="18" customHeight="1">
      <c r="A226" s="78">
        <v>6113</v>
      </c>
      <c r="B226" s="78" t="s">
        <v>182</v>
      </c>
      <c r="C226" s="78" t="s">
        <v>183</v>
      </c>
      <c r="D226" s="78">
        <v>10125</v>
      </c>
      <c r="E226" s="78">
        <v>4500000</v>
      </c>
      <c r="F226" s="78" t="s">
        <v>213</v>
      </c>
      <c r="G226" s="78">
        <v>16</v>
      </c>
      <c r="H226" s="79">
        <v>0</v>
      </c>
      <c r="I226" s="120">
        <v>4875</v>
      </c>
      <c r="J226" s="121">
        <v>195</v>
      </c>
      <c r="K226" s="121">
        <v>98</v>
      </c>
      <c r="L226" s="122">
        <v>98</v>
      </c>
      <c r="M226" s="78">
        <v>0</v>
      </c>
      <c r="N226" s="78">
        <v>0</v>
      </c>
      <c r="O226" s="78">
        <v>0</v>
      </c>
      <c r="P226" s="78">
        <v>0</v>
      </c>
      <c r="Q226" s="78">
        <v>13</v>
      </c>
      <c r="R226" s="81">
        <v>0</v>
      </c>
      <c r="S226" s="104">
        <v>6000</v>
      </c>
      <c r="T226" s="104">
        <v>240</v>
      </c>
      <c r="U226" s="104">
        <v>120</v>
      </c>
      <c r="V226" s="104">
        <v>120</v>
      </c>
      <c r="W226" s="82">
        <v>0</v>
      </c>
      <c r="X226" s="82">
        <v>0</v>
      </c>
      <c r="Y226" s="82">
        <v>0</v>
      </c>
      <c r="Z226" s="82">
        <v>0</v>
      </c>
      <c r="AA226" s="83" t="s">
        <v>177</v>
      </c>
    </row>
    <row r="227" spans="1:27" s="83" customFormat="1" ht="18" customHeight="1">
      <c r="A227" s="78">
        <v>6114</v>
      </c>
      <c r="B227" s="78" t="s">
        <v>184</v>
      </c>
      <c r="C227" s="78" t="s">
        <v>185</v>
      </c>
      <c r="D227" s="78">
        <v>10135</v>
      </c>
      <c r="E227" s="78">
        <v>6000000</v>
      </c>
      <c r="F227" s="78" t="s">
        <v>192</v>
      </c>
      <c r="G227" s="78">
        <v>20</v>
      </c>
      <c r="H227" s="79">
        <v>0</v>
      </c>
      <c r="I227" s="120">
        <v>5250</v>
      </c>
      <c r="J227" s="121">
        <v>210</v>
      </c>
      <c r="K227" s="121">
        <v>105</v>
      </c>
      <c r="L227" s="122">
        <v>105</v>
      </c>
      <c r="M227" s="78">
        <v>0</v>
      </c>
      <c r="N227" s="78">
        <v>0</v>
      </c>
      <c r="O227" s="78">
        <v>0</v>
      </c>
      <c r="P227" s="78">
        <v>0</v>
      </c>
      <c r="Q227" s="78">
        <v>14</v>
      </c>
      <c r="R227" s="81">
        <v>0</v>
      </c>
      <c r="S227" s="104">
        <v>6000</v>
      </c>
      <c r="T227" s="104">
        <v>240</v>
      </c>
      <c r="U227" s="104">
        <v>120</v>
      </c>
      <c r="V227" s="104">
        <v>120</v>
      </c>
      <c r="W227" s="82">
        <v>0</v>
      </c>
      <c r="X227" s="82">
        <v>0</v>
      </c>
      <c r="Y227" s="82">
        <v>0</v>
      </c>
      <c r="Z227" s="82">
        <v>0</v>
      </c>
      <c r="AA227" s="83" t="s">
        <v>177</v>
      </c>
    </row>
    <row r="228" spans="1:27" s="83" customFormat="1" ht="18" customHeight="1">
      <c r="A228" s="78">
        <v>6115</v>
      </c>
      <c r="B228" s="78" t="s">
        <v>186</v>
      </c>
      <c r="C228" s="78" t="s">
        <v>187</v>
      </c>
      <c r="D228" s="78">
        <v>10145</v>
      </c>
      <c r="E228" s="78">
        <v>7500000</v>
      </c>
      <c r="F228" s="78" t="s">
        <v>214</v>
      </c>
      <c r="G228" s="78">
        <v>20</v>
      </c>
      <c r="H228" s="79">
        <v>0</v>
      </c>
      <c r="I228" s="120">
        <v>5625</v>
      </c>
      <c r="J228" s="121">
        <v>225</v>
      </c>
      <c r="K228" s="121">
        <v>113</v>
      </c>
      <c r="L228" s="122">
        <v>113</v>
      </c>
      <c r="M228" s="78">
        <v>0</v>
      </c>
      <c r="N228" s="78">
        <v>0</v>
      </c>
      <c r="O228" s="78">
        <v>0</v>
      </c>
      <c r="P228" s="78">
        <v>0</v>
      </c>
      <c r="Q228" s="78">
        <v>15</v>
      </c>
      <c r="R228" s="81">
        <v>0</v>
      </c>
      <c r="S228" s="104">
        <v>6000</v>
      </c>
      <c r="T228" s="104">
        <v>240</v>
      </c>
      <c r="U228" s="104">
        <v>120</v>
      </c>
      <c r="V228" s="104">
        <v>120</v>
      </c>
      <c r="W228" s="82">
        <v>0</v>
      </c>
      <c r="X228" s="82">
        <v>0</v>
      </c>
      <c r="Y228" s="82">
        <v>0</v>
      </c>
      <c r="Z228" s="82">
        <v>0</v>
      </c>
      <c r="AA228" s="83" t="s">
        <v>177</v>
      </c>
    </row>
    <row r="229" spans="1:27" s="98" customFormat="1">
      <c r="A229" s="93">
        <v>6201</v>
      </c>
      <c r="B229" s="93" t="s">
        <v>121</v>
      </c>
      <c r="C229" s="93" t="s">
        <v>33</v>
      </c>
      <c r="D229" s="93">
        <v>10001</v>
      </c>
      <c r="E229" s="93">
        <v>8000</v>
      </c>
      <c r="F229" s="93" t="s">
        <v>153</v>
      </c>
      <c r="G229" s="93">
        <v>0</v>
      </c>
      <c r="H229" s="94">
        <v>0</v>
      </c>
      <c r="I229" s="120">
        <v>375</v>
      </c>
      <c r="J229" s="121">
        <v>15</v>
      </c>
      <c r="K229" s="121">
        <v>8</v>
      </c>
      <c r="L229" s="122">
        <v>8</v>
      </c>
      <c r="M229" s="93">
        <v>0</v>
      </c>
      <c r="N229" s="93">
        <v>0</v>
      </c>
      <c r="O229" s="93">
        <v>0</v>
      </c>
      <c r="P229" s="93">
        <v>0</v>
      </c>
      <c r="Q229" s="93">
        <v>1</v>
      </c>
      <c r="R229" s="96">
        <v>0</v>
      </c>
      <c r="S229" s="104">
        <v>6000</v>
      </c>
      <c r="T229" s="104">
        <v>240</v>
      </c>
      <c r="U229" s="104">
        <v>120</v>
      </c>
      <c r="V229" s="104">
        <v>120</v>
      </c>
      <c r="W229" s="97">
        <v>0</v>
      </c>
      <c r="X229" s="97">
        <v>0</v>
      </c>
      <c r="Y229" s="97">
        <v>0</v>
      </c>
      <c r="Z229" s="97">
        <v>0</v>
      </c>
      <c r="AA229" s="98" t="s">
        <v>178</v>
      </c>
    </row>
    <row r="230" spans="1:27" s="98" customFormat="1">
      <c r="A230" s="93">
        <v>6202</v>
      </c>
      <c r="B230" s="93" t="s">
        <v>41</v>
      </c>
      <c r="C230" s="93" t="s">
        <v>34</v>
      </c>
      <c r="D230" s="93">
        <v>10015</v>
      </c>
      <c r="E230" s="93">
        <v>30000</v>
      </c>
      <c r="F230" s="93" t="s">
        <v>206</v>
      </c>
      <c r="G230" s="93">
        <v>0</v>
      </c>
      <c r="H230" s="94">
        <v>0</v>
      </c>
      <c r="I230" s="120">
        <v>750</v>
      </c>
      <c r="J230" s="121">
        <v>30</v>
      </c>
      <c r="K230" s="121">
        <v>15</v>
      </c>
      <c r="L230" s="122">
        <v>15</v>
      </c>
      <c r="M230" s="93">
        <v>0</v>
      </c>
      <c r="N230" s="93">
        <v>0</v>
      </c>
      <c r="O230" s="93">
        <v>0</v>
      </c>
      <c r="P230" s="93">
        <v>0</v>
      </c>
      <c r="Q230" s="93">
        <v>2</v>
      </c>
      <c r="R230" s="96">
        <v>0</v>
      </c>
      <c r="S230" s="104">
        <v>6000</v>
      </c>
      <c r="T230" s="104">
        <v>240</v>
      </c>
      <c r="U230" s="104">
        <v>120</v>
      </c>
      <c r="V230" s="104">
        <v>120</v>
      </c>
      <c r="W230" s="97">
        <v>0</v>
      </c>
      <c r="X230" s="97">
        <v>0</v>
      </c>
      <c r="Y230" s="97">
        <v>0</v>
      </c>
      <c r="Z230" s="97">
        <v>0</v>
      </c>
      <c r="AA230" s="98" t="s">
        <v>178</v>
      </c>
    </row>
    <row r="231" spans="1:27" s="98" customFormat="1">
      <c r="A231" s="93">
        <v>6203</v>
      </c>
      <c r="B231" s="93" t="s">
        <v>42</v>
      </c>
      <c r="C231" s="93" t="s">
        <v>35</v>
      </c>
      <c r="D231" s="93">
        <v>10025</v>
      </c>
      <c r="E231" s="93">
        <v>75000</v>
      </c>
      <c r="F231" s="93" t="s">
        <v>207</v>
      </c>
      <c r="G231" s="93">
        <v>1</v>
      </c>
      <c r="H231" s="94">
        <v>0</v>
      </c>
      <c r="I231" s="120">
        <v>1125</v>
      </c>
      <c r="J231" s="121">
        <v>45</v>
      </c>
      <c r="K231" s="121">
        <v>23</v>
      </c>
      <c r="L231" s="122">
        <v>23</v>
      </c>
      <c r="M231" s="93">
        <v>0</v>
      </c>
      <c r="N231" s="93">
        <v>0</v>
      </c>
      <c r="O231" s="93">
        <v>0</v>
      </c>
      <c r="P231" s="93">
        <v>0</v>
      </c>
      <c r="Q231" s="93">
        <v>3</v>
      </c>
      <c r="R231" s="96">
        <v>0</v>
      </c>
      <c r="S231" s="104">
        <v>6000</v>
      </c>
      <c r="T231" s="104">
        <v>240</v>
      </c>
      <c r="U231" s="104">
        <v>120</v>
      </c>
      <c r="V231" s="104">
        <v>120</v>
      </c>
      <c r="W231" s="97">
        <v>0</v>
      </c>
      <c r="X231" s="97">
        <v>0</v>
      </c>
      <c r="Y231" s="97">
        <v>0</v>
      </c>
      <c r="Z231" s="97">
        <v>0</v>
      </c>
      <c r="AA231" s="98" t="s">
        <v>178</v>
      </c>
    </row>
    <row r="232" spans="1:27" s="98" customFormat="1">
      <c r="A232" s="93">
        <v>6204</v>
      </c>
      <c r="B232" s="93" t="s">
        <v>43</v>
      </c>
      <c r="C232" s="93" t="s">
        <v>36</v>
      </c>
      <c r="D232" s="93">
        <v>10035</v>
      </c>
      <c r="E232" s="93">
        <v>150000</v>
      </c>
      <c r="F232" s="93" t="s">
        <v>208</v>
      </c>
      <c r="G232" s="93">
        <v>1</v>
      </c>
      <c r="H232" s="94">
        <v>0</v>
      </c>
      <c r="I232" s="120">
        <v>1500</v>
      </c>
      <c r="J232" s="121">
        <v>60</v>
      </c>
      <c r="K232" s="121">
        <v>30</v>
      </c>
      <c r="L232" s="122">
        <v>30</v>
      </c>
      <c r="M232" s="93">
        <v>0</v>
      </c>
      <c r="N232" s="93">
        <v>0</v>
      </c>
      <c r="O232" s="93">
        <v>0</v>
      </c>
      <c r="P232" s="93">
        <v>0</v>
      </c>
      <c r="Q232" s="93">
        <v>4</v>
      </c>
      <c r="R232" s="96">
        <v>0</v>
      </c>
      <c r="S232" s="104">
        <v>6000</v>
      </c>
      <c r="T232" s="104">
        <v>240</v>
      </c>
      <c r="U232" s="104">
        <v>120</v>
      </c>
      <c r="V232" s="104">
        <v>120</v>
      </c>
      <c r="W232" s="97">
        <v>0</v>
      </c>
      <c r="X232" s="97">
        <v>0</v>
      </c>
      <c r="Y232" s="97">
        <v>0</v>
      </c>
      <c r="Z232" s="97">
        <v>0</v>
      </c>
      <c r="AA232" s="98" t="s">
        <v>178</v>
      </c>
    </row>
    <row r="233" spans="1:27" s="98" customFormat="1">
      <c r="A233" s="93">
        <v>6205</v>
      </c>
      <c r="B233" s="93" t="s">
        <v>44</v>
      </c>
      <c r="C233" s="93" t="s">
        <v>37</v>
      </c>
      <c r="D233" s="93">
        <v>10045</v>
      </c>
      <c r="E233" s="93">
        <v>300000</v>
      </c>
      <c r="F233" s="93" t="s">
        <v>106</v>
      </c>
      <c r="G233" s="93">
        <v>2</v>
      </c>
      <c r="H233" s="94">
        <v>0</v>
      </c>
      <c r="I233" s="120">
        <v>1875</v>
      </c>
      <c r="J233" s="121">
        <v>75</v>
      </c>
      <c r="K233" s="121">
        <v>38</v>
      </c>
      <c r="L233" s="122">
        <v>38</v>
      </c>
      <c r="M233" s="93">
        <v>0</v>
      </c>
      <c r="N233" s="93">
        <v>0</v>
      </c>
      <c r="O233" s="93">
        <v>0</v>
      </c>
      <c r="P233" s="93">
        <v>0</v>
      </c>
      <c r="Q233" s="93">
        <v>5</v>
      </c>
      <c r="R233" s="96">
        <v>0</v>
      </c>
      <c r="S233" s="104">
        <v>6000</v>
      </c>
      <c r="T233" s="104">
        <v>240</v>
      </c>
      <c r="U233" s="104">
        <v>120</v>
      </c>
      <c r="V233" s="104">
        <v>120</v>
      </c>
      <c r="W233" s="97">
        <v>0</v>
      </c>
      <c r="X233" s="97">
        <v>0</v>
      </c>
      <c r="Y233" s="97">
        <v>0</v>
      </c>
      <c r="Z233" s="97">
        <v>0</v>
      </c>
      <c r="AA233" s="98" t="s">
        <v>178</v>
      </c>
    </row>
    <row r="234" spans="1:27" s="98" customFormat="1">
      <c r="A234" s="93">
        <v>6206</v>
      </c>
      <c r="B234" s="93" t="s">
        <v>45</v>
      </c>
      <c r="C234" s="93" t="s">
        <v>38</v>
      </c>
      <c r="D234" s="93">
        <v>10055</v>
      </c>
      <c r="E234" s="93">
        <v>450000</v>
      </c>
      <c r="F234" s="93" t="s">
        <v>209</v>
      </c>
      <c r="G234" s="93">
        <v>2</v>
      </c>
      <c r="H234" s="94">
        <v>0</v>
      </c>
      <c r="I234" s="120">
        <v>2250</v>
      </c>
      <c r="J234" s="121">
        <v>90</v>
      </c>
      <c r="K234" s="121">
        <v>45</v>
      </c>
      <c r="L234" s="122">
        <v>45</v>
      </c>
      <c r="M234" s="93">
        <v>0</v>
      </c>
      <c r="N234" s="93">
        <v>0</v>
      </c>
      <c r="O234" s="93">
        <v>0</v>
      </c>
      <c r="P234" s="93">
        <v>0</v>
      </c>
      <c r="Q234" s="93">
        <v>6</v>
      </c>
      <c r="R234" s="96">
        <v>0</v>
      </c>
      <c r="S234" s="104">
        <v>6000</v>
      </c>
      <c r="T234" s="104">
        <v>240</v>
      </c>
      <c r="U234" s="104">
        <v>120</v>
      </c>
      <c r="V234" s="104">
        <v>120</v>
      </c>
      <c r="W234" s="97">
        <v>0</v>
      </c>
      <c r="X234" s="97">
        <v>0</v>
      </c>
      <c r="Y234" s="97">
        <v>0</v>
      </c>
      <c r="Z234" s="97">
        <v>0</v>
      </c>
      <c r="AA234" s="98" t="s">
        <v>178</v>
      </c>
    </row>
    <row r="235" spans="1:27" s="98" customFormat="1">
      <c r="A235" s="93">
        <v>6207</v>
      </c>
      <c r="B235" s="93" t="s">
        <v>46</v>
      </c>
      <c r="C235" s="93" t="s">
        <v>39</v>
      </c>
      <c r="D235" s="93">
        <v>10065</v>
      </c>
      <c r="E235" s="93">
        <v>750000</v>
      </c>
      <c r="F235" s="93" t="s">
        <v>210</v>
      </c>
      <c r="G235" s="93">
        <v>4</v>
      </c>
      <c r="H235" s="94">
        <v>0</v>
      </c>
      <c r="I235" s="120">
        <v>2625</v>
      </c>
      <c r="J235" s="121">
        <v>105</v>
      </c>
      <c r="K235" s="121">
        <v>53</v>
      </c>
      <c r="L235" s="122">
        <v>53</v>
      </c>
      <c r="M235" s="93">
        <v>0</v>
      </c>
      <c r="N235" s="93">
        <v>0</v>
      </c>
      <c r="O235" s="93">
        <v>0</v>
      </c>
      <c r="P235" s="93">
        <v>0</v>
      </c>
      <c r="Q235" s="93">
        <v>7</v>
      </c>
      <c r="R235" s="96">
        <v>0</v>
      </c>
      <c r="S235" s="104">
        <v>6000</v>
      </c>
      <c r="T235" s="104">
        <v>240</v>
      </c>
      <c r="U235" s="104">
        <v>120</v>
      </c>
      <c r="V235" s="104">
        <v>120</v>
      </c>
      <c r="W235" s="97">
        <v>0</v>
      </c>
      <c r="X235" s="97">
        <v>0</v>
      </c>
      <c r="Y235" s="97">
        <v>0</v>
      </c>
      <c r="Z235" s="97">
        <v>0</v>
      </c>
      <c r="AA235" s="98" t="s">
        <v>178</v>
      </c>
    </row>
    <row r="236" spans="1:27" s="98" customFormat="1">
      <c r="A236" s="93">
        <v>6208</v>
      </c>
      <c r="B236" s="93" t="s">
        <v>47</v>
      </c>
      <c r="C236" s="93" t="s">
        <v>40</v>
      </c>
      <c r="D236" s="93">
        <v>10075</v>
      </c>
      <c r="E236" s="93">
        <v>1200000</v>
      </c>
      <c r="F236" s="93" t="s">
        <v>109</v>
      </c>
      <c r="G236" s="93">
        <v>6</v>
      </c>
      <c r="H236" s="94">
        <v>0</v>
      </c>
      <c r="I236" s="120">
        <v>3000</v>
      </c>
      <c r="J236" s="121">
        <v>120</v>
      </c>
      <c r="K236" s="121">
        <v>60</v>
      </c>
      <c r="L236" s="122">
        <v>60</v>
      </c>
      <c r="M236" s="93">
        <v>0</v>
      </c>
      <c r="N236" s="93">
        <v>0</v>
      </c>
      <c r="O236" s="93">
        <v>0</v>
      </c>
      <c r="P236" s="93">
        <v>0</v>
      </c>
      <c r="Q236" s="93">
        <v>8</v>
      </c>
      <c r="R236" s="96">
        <v>0</v>
      </c>
      <c r="S236" s="104">
        <v>6000</v>
      </c>
      <c r="T236" s="104">
        <v>240</v>
      </c>
      <c r="U236" s="104">
        <v>120</v>
      </c>
      <c r="V236" s="104">
        <v>120</v>
      </c>
      <c r="W236" s="97">
        <v>0</v>
      </c>
      <c r="X236" s="97">
        <v>0</v>
      </c>
      <c r="Y236" s="97">
        <v>0</v>
      </c>
      <c r="Z236" s="97">
        <v>0</v>
      </c>
      <c r="AA236" s="98" t="s">
        <v>178</v>
      </c>
    </row>
    <row r="237" spans="1:27" s="98" customFormat="1">
      <c r="A237" s="93">
        <v>6209</v>
      </c>
      <c r="B237" s="93" t="s">
        <v>69</v>
      </c>
      <c r="C237" s="93" t="s">
        <v>32</v>
      </c>
      <c r="D237" s="93">
        <v>10085</v>
      </c>
      <c r="E237" s="93">
        <v>1800000</v>
      </c>
      <c r="F237" s="93" t="s">
        <v>211</v>
      </c>
      <c r="G237" s="93">
        <v>8</v>
      </c>
      <c r="H237" s="94">
        <v>0</v>
      </c>
      <c r="I237" s="120">
        <v>3375</v>
      </c>
      <c r="J237" s="121">
        <v>135</v>
      </c>
      <c r="K237" s="121">
        <v>68</v>
      </c>
      <c r="L237" s="122">
        <v>68</v>
      </c>
      <c r="M237" s="93">
        <v>0</v>
      </c>
      <c r="N237" s="93">
        <v>0</v>
      </c>
      <c r="O237" s="93">
        <v>0</v>
      </c>
      <c r="P237" s="93">
        <v>0</v>
      </c>
      <c r="Q237" s="93">
        <v>9</v>
      </c>
      <c r="R237" s="96">
        <v>0</v>
      </c>
      <c r="S237" s="104">
        <v>6000</v>
      </c>
      <c r="T237" s="104">
        <v>240</v>
      </c>
      <c r="U237" s="104">
        <v>120</v>
      </c>
      <c r="V237" s="104">
        <v>120</v>
      </c>
      <c r="W237" s="97">
        <v>0</v>
      </c>
      <c r="X237" s="97">
        <v>0</v>
      </c>
      <c r="Y237" s="97">
        <v>0</v>
      </c>
      <c r="Z237" s="97">
        <v>0</v>
      </c>
      <c r="AA237" s="98" t="s">
        <v>178</v>
      </c>
    </row>
    <row r="238" spans="1:27" s="98" customFormat="1">
      <c r="A238" s="93">
        <v>6210</v>
      </c>
      <c r="B238" s="93" t="s">
        <v>71</v>
      </c>
      <c r="C238" s="93" t="s">
        <v>31</v>
      </c>
      <c r="D238" s="93">
        <v>10095</v>
      </c>
      <c r="E238" s="93">
        <v>2400000</v>
      </c>
      <c r="F238" s="93" t="s">
        <v>91</v>
      </c>
      <c r="G238" s="93">
        <v>10</v>
      </c>
      <c r="H238" s="94">
        <v>0</v>
      </c>
      <c r="I238" s="120">
        <v>3750</v>
      </c>
      <c r="J238" s="121">
        <v>150</v>
      </c>
      <c r="K238" s="121">
        <v>75</v>
      </c>
      <c r="L238" s="122">
        <v>75</v>
      </c>
      <c r="M238" s="93">
        <v>0</v>
      </c>
      <c r="N238" s="93">
        <v>0</v>
      </c>
      <c r="O238" s="93">
        <v>0</v>
      </c>
      <c r="P238" s="93">
        <v>0</v>
      </c>
      <c r="Q238" s="93">
        <v>10</v>
      </c>
      <c r="R238" s="96">
        <v>0</v>
      </c>
      <c r="S238" s="104">
        <v>6000</v>
      </c>
      <c r="T238" s="104">
        <v>240</v>
      </c>
      <c r="U238" s="104">
        <v>120</v>
      </c>
      <c r="V238" s="104">
        <v>120</v>
      </c>
      <c r="W238" s="97">
        <v>0</v>
      </c>
      <c r="X238" s="97">
        <v>0</v>
      </c>
      <c r="Y238" s="97">
        <v>0</v>
      </c>
      <c r="Z238" s="97">
        <v>0</v>
      </c>
      <c r="AA238" s="98" t="s">
        <v>178</v>
      </c>
    </row>
    <row r="239" spans="1:27" s="98" customFormat="1">
      <c r="A239" s="93">
        <v>6211</v>
      </c>
      <c r="B239" s="93" t="s">
        <v>73</v>
      </c>
      <c r="C239" s="93" t="s">
        <v>74</v>
      </c>
      <c r="D239" s="93">
        <v>10105</v>
      </c>
      <c r="E239" s="93">
        <v>3000000</v>
      </c>
      <c r="F239" s="93" t="s">
        <v>114</v>
      </c>
      <c r="G239" s="93">
        <v>12</v>
      </c>
      <c r="H239" s="94">
        <v>0</v>
      </c>
      <c r="I239" s="120">
        <v>4125</v>
      </c>
      <c r="J239" s="121">
        <v>165</v>
      </c>
      <c r="K239" s="121">
        <v>83</v>
      </c>
      <c r="L239" s="122">
        <v>83</v>
      </c>
      <c r="M239" s="93">
        <v>0</v>
      </c>
      <c r="N239" s="93">
        <v>0</v>
      </c>
      <c r="O239" s="93">
        <v>0</v>
      </c>
      <c r="P239" s="93">
        <v>0</v>
      </c>
      <c r="Q239" s="93">
        <v>11</v>
      </c>
      <c r="R239" s="96">
        <v>0</v>
      </c>
      <c r="S239" s="104">
        <v>6000</v>
      </c>
      <c r="T239" s="104">
        <v>240</v>
      </c>
      <c r="U239" s="104">
        <v>120</v>
      </c>
      <c r="V239" s="104">
        <v>120</v>
      </c>
      <c r="W239" s="97">
        <v>0</v>
      </c>
      <c r="X239" s="97">
        <v>0</v>
      </c>
      <c r="Y239" s="97">
        <v>0</v>
      </c>
      <c r="Z239" s="97">
        <v>0</v>
      </c>
      <c r="AA239" s="98" t="s">
        <v>178</v>
      </c>
    </row>
    <row r="240" spans="1:27" s="98" customFormat="1">
      <c r="A240" s="93">
        <v>6212</v>
      </c>
      <c r="B240" s="93" t="s">
        <v>75</v>
      </c>
      <c r="C240" s="93" t="s">
        <v>76</v>
      </c>
      <c r="D240" s="93">
        <v>10115</v>
      </c>
      <c r="E240" s="93">
        <v>3750000</v>
      </c>
      <c r="F240" s="93" t="s">
        <v>212</v>
      </c>
      <c r="G240" s="93">
        <v>14</v>
      </c>
      <c r="H240" s="94">
        <v>0</v>
      </c>
      <c r="I240" s="120">
        <v>4500</v>
      </c>
      <c r="J240" s="121">
        <v>180</v>
      </c>
      <c r="K240" s="121">
        <v>90</v>
      </c>
      <c r="L240" s="122">
        <v>90</v>
      </c>
      <c r="M240" s="93">
        <v>0</v>
      </c>
      <c r="N240" s="93">
        <v>0</v>
      </c>
      <c r="O240" s="93">
        <v>0</v>
      </c>
      <c r="P240" s="93">
        <v>0</v>
      </c>
      <c r="Q240" s="93">
        <v>12</v>
      </c>
      <c r="R240" s="96">
        <v>0</v>
      </c>
      <c r="S240" s="104">
        <v>6000</v>
      </c>
      <c r="T240" s="104">
        <v>240</v>
      </c>
      <c r="U240" s="104">
        <v>120</v>
      </c>
      <c r="V240" s="104">
        <v>120</v>
      </c>
      <c r="W240" s="97">
        <v>0</v>
      </c>
      <c r="X240" s="97">
        <v>0</v>
      </c>
      <c r="Y240" s="97">
        <v>0</v>
      </c>
      <c r="Z240" s="97">
        <v>0</v>
      </c>
      <c r="AA240" s="98" t="s">
        <v>178</v>
      </c>
    </row>
    <row r="241" spans="1:27" s="98" customFormat="1">
      <c r="A241" s="93">
        <v>6213</v>
      </c>
      <c r="B241" s="93" t="s">
        <v>182</v>
      </c>
      <c r="C241" s="93" t="s">
        <v>183</v>
      </c>
      <c r="D241" s="93">
        <v>10125</v>
      </c>
      <c r="E241" s="93">
        <v>4500000</v>
      </c>
      <c r="F241" s="93" t="s">
        <v>213</v>
      </c>
      <c r="G241" s="93">
        <v>16</v>
      </c>
      <c r="H241" s="94">
        <v>0</v>
      </c>
      <c r="I241" s="120">
        <v>4875</v>
      </c>
      <c r="J241" s="121">
        <v>195</v>
      </c>
      <c r="K241" s="121">
        <v>98</v>
      </c>
      <c r="L241" s="122">
        <v>98</v>
      </c>
      <c r="M241" s="93">
        <v>0</v>
      </c>
      <c r="N241" s="93">
        <v>0</v>
      </c>
      <c r="O241" s="93">
        <v>0</v>
      </c>
      <c r="P241" s="93">
        <v>0</v>
      </c>
      <c r="Q241" s="93">
        <v>13</v>
      </c>
      <c r="R241" s="96">
        <v>0</v>
      </c>
      <c r="S241" s="104">
        <v>6000</v>
      </c>
      <c r="T241" s="104">
        <v>240</v>
      </c>
      <c r="U241" s="104">
        <v>120</v>
      </c>
      <c r="V241" s="104">
        <v>120</v>
      </c>
      <c r="W241" s="97">
        <v>0</v>
      </c>
      <c r="X241" s="97">
        <v>0</v>
      </c>
      <c r="Y241" s="97">
        <v>0</v>
      </c>
      <c r="Z241" s="97">
        <v>0</v>
      </c>
      <c r="AA241" s="98" t="s">
        <v>178</v>
      </c>
    </row>
    <row r="242" spans="1:27" s="98" customFormat="1">
      <c r="A242" s="93">
        <v>6214</v>
      </c>
      <c r="B242" s="93" t="s">
        <v>184</v>
      </c>
      <c r="C242" s="93" t="s">
        <v>185</v>
      </c>
      <c r="D242" s="93">
        <v>10135</v>
      </c>
      <c r="E242" s="93">
        <v>6000000</v>
      </c>
      <c r="F242" s="93" t="s">
        <v>192</v>
      </c>
      <c r="G242" s="93">
        <v>20</v>
      </c>
      <c r="H242" s="94">
        <v>0</v>
      </c>
      <c r="I242" s="120">
        <v>5250</v>
      </c>
      <c r="J242" s="121">
        <v>210</v>
      </c>
      <c r="K242" s="121">
        <v>105</v>
      </c>
      <c r="L242" s="122">
        <v>105</v>
      </c>
      <c r="M242" s="93">
        <v>0</v>
      </c>
      <c r="N242" s="93">
        <v>0</v>
      </c>
      <c r="O242" s="93">
        <v>0</v>
      </c>
      <c r="P242" s="93">
        <v>0</v>
      </c>
      <c r="Q242" s="93">
        <v>14</v>
      </c>
      <c r="R242" s="96">
        <v>0</v>
      </c>
      <c r="S242" s="104">
        <v>6000</v>
      </c>
      <c r="T242" s="104">
        <v>240</v>
      </c>
      <c r="U242" s="104">
        <v>120</v>
      </c>
      <c r="V242" s="104">
        <v>120</v>
      </c>
      <c r="W242" s="97">
        <v>0</v>
      </c>
      <c r="X242" s="97">
        <v>0</v>
      </c>
      <c r="Y242" s="97">
        <v>0</v>
      </c>
      <c r="Z242" s="97">
        <v>0</v>
      </c>
      <c r="AA242" s="98" t="s">
        <v>178</v>
      </c>
    </row>
    <row r="243" spans="1:27" s="98" customFormat="1">
      <c r="A243" s="93">
        <v>6215</v>
      </c>
      <c r="B243" s="93" t="s">
        <v>186</v>
      </c>
      <c r="C243" s="93" t="s">
        <v>187</v>
      </c>
      <c r="D243" s="93">
        <v>10145</v>
      </c>
      <c r="E243" s="93">
        <v>7500000</v>
      </c>
      <c r="F243" s="93" t="s">
        <v>214</v>
      </c>
      <c r="G243" s="93">
        <v>20</v>
      </c>
      <c r="H243" s="94">
        <v>0</v>
      </c>
      <c r="I243" s="120">
        <v>5625</v>
      </c>
      <c r="J243" s="121">
        <v>225</v>
      </c>
      <c r="K243" s="121">
        <v>113</v>
      </c>
      <c r="L243" s="122">
        <v>113</v>
      </c>
      <c r="M243" s="93">
        <v>0</v>
      </c>
      <c r="N243" s="93">
        <v>0</v>
      </c>
      <c r="O243" s="93">
        <v>0</v>
      </c>
      <c r="P243" s="93">
        <v>0</v>
      </c>
      <c r="Q243" s="93">
        <v>15</v>
      </c>
      <c r="R243" s="96">
        <v>0</v>
      </c>
      <c r="S243" s="104">
        <v>6000</v>
      </c>
      <c r="T243" s="104">
        <v>240</v>
      </c>
      <c r="U243" s="104">
        <v>120</v>
      </c>
      <c r="V243" s="104">
        <v>120</v>
      </c>
      <c r="W243" s="97">
        <v>0</v>
      </c>
      <c r="X243" s="97">
        <v>0</v>
      </c>
      <c r="Y243" s="97">
        <v>0</v>
      </c>
      <c r="Z243" s="97">
        <v>0</v>
      </c>
      <c r="AA243" s="98" t="s">
        <v>178</v>
      </c>
    </row>
    <row r="244" spans="1:27" s="83" customFormat="1">
      <c r="A244" s="78">
        <v>6301</v>
      </c>
      <c r="B244" s="78" t="s">
        <v>121</v>
      </c>
      <c r="C244" s="78" t="s">
        <v>33</v>
      </c>
      <c r="D244" s="78">
        <v>10001</v>
      </c>
      <c r="E244" s="78">
        <v>8000</v>
      </c>
      <c r="F244" s="78" t="s">
        <v>153</v>
      </c>
      <c r="G244" s="78">
        <v>0</v>
      </c>
      <c r="H244" s="79">
        <v>0</v>
      </c>
      <c r="I244" s="120">
        <v>375</v>
      </c>
      <c r="J244" s="121">
        <v>15</v>
      </c>
      <c r="K244" s="121">
        <v>8</v>
      </c>
      <c r="L244" s="122">
        <v>8</v>
      </c>
      <c r="M244" s="78">
        <v>0</v>
      </c>
      <c r="N244" s="78">
        <v>0</v>
      </c>
      <c r="O244" s="78">
        <v>0</v>
      </c>
      <c r="P244" s="78">
        <v>0</v>
      </c>
      <c r="Q244" s="78">
        <v>1</v>
      </c>
      <c r="R244" s="81">
        <v>0</v>
      </c>
      <c r="S244" s="104">
        <v>6000</v>
      </c>
      <c r="T244" s="104">
        <v>240</v>
      </c>
      <c r="U244" s="104">
        <v>120</v>
      </c>
      <c r="V244" s="104">
        <v>120</v>
      </c>
      <c r="W244" s="82">
        <v>0</v>
      </c>
      <c r="X244" s="82">
        <v>0</v>
      </c>
      <c r="Y244" s="82">
        <v>0</v>
      </c>
      <c r="Z244" s="82">
        <v>0</v>
      </c>
      <c r="AA244" s="83" t="s">
        <v>179</v>
      </c>
    </row>
    <row r="245" spans="1:27" s="83" customFormat="1">
      <c r="A245" s="78">
        <v>6302</v>
      </c>
      <c r="B245" s="78" t="s">
        <v>41</v>
      </c>
      <c r="C245" s="78" t="s">
        <v>34</v>
      </c>
      <c r="D245" s="78">
        <v>10015</v>
      </c>
      <c r="E245" s="78">
        <v>30000</v>
      </c>
      <c r="F245" s="78" t="s">
        <v>206</v>
      </c>
      <c r="G245" s="78">
        <v>0</v>
      </c>
      <c r="H245" s="79">
        <v>0</v>
      </c>
      <c r="I245" s="120">
        <v>750</v>
      </c>
      <c r="J245" s="121">
        <v>30</v>
      </c>
      <c r="K245" s="121">
        <v>15</v>
      </c>
      <c r="L245" s="122">
        <v>15</v>
      </c>
      <c r="M245" s="78">
        <v>0</v>
      </c>
      <c r="N245" s="78">
        <v>0</v>
      </c>
      <c r="O245" s="78">
        <v>0</v>
      </c>
      <c r="P245" s="78">
        <v>0</v>
      </c>
      <c r="Q245" s="78">
        <v>2</v>
      </c>
      <c r="R245" s="81">
        <v>0</v>
      </c>
      <c r="S245" s="104">
        <v>6000</v>
      </c>
      <c r="T245" s="104">
        <v>240</v>
      </c>
      <c r="U245" s="104">
        <v>120</v>
      </c>
      <c r="V245" s="104">
        <v>120</v>
      </c>
      <c r="W245" s="82">
        <v>0</v>
      </c>
      <c r="X245" s="82">
        <v>0</v>
      </c>
      <c r="Y245" s="82">
        <v>0</v>
      </c>
      <c r="Z245" s="82">
        <v>0</v>
      </c>
      <c r="AA245" s="83" t="s">
        <v>179</v>
      </c>
    </row>
    <row r="246" spans="1:27" s="83" customFormat="1">
      <c r="A246" s="78">
        <v>6303</v>
      </c>
      <c r="B246" s="78" t="s">
        <v>42</v>
      </c>
      <c r="C246" s="78" t="s">
        <v>35</v>
      </c>
      <c r="D246" s="78">
        <v>10025</v>
      </c>
      <c r="E246" s="78">
        <v>75000</v>
      </c>
      <c r="F246" s="78" t="s">
        <v>207</v>
      </c>
      <c r="G246" s="78">
        <v>1</v>
      </c>
      <c r="H246" s="79">
        <v>0</v>
      </c>
      <c r="I246" s="120">
        <v>1125</v>
      </c>
      <c r="J246" s="121">
        <v>45</v>
      </c>
      <c r="K246" s="121">
        <v>23</v>
      </c>
      <c r="L246" s="122">
        <v>23</v>
      </c>
      <c r="M246" s="78">
        <v>0</v>
      </c>
      <c r="N246" s="78">
        <v>0</v>
      </c>
      <c r="O246" s="78">
        <v>0</v>
      </c>
      <c r="P246" s="78">
        <v>0</v>
      </c>
      <c r="Q246" s="78">
        <v>3</v>
      </c>
      <c r="R246" s="81">
        <v>0</v>
      </c>
      <c r="S246" s="104">
        <v>6000</v>
      </c>
      <c r="T246" s="104">
        <v>240</v>
      </c>
      <c r="U246" s="104">
        <v>120</v>
      </c>
      <c r="V246" s="104">
        <v>120</v>
      </c>
      <c r="W246" s="82">
        <v>0</v>
      </c>
      <c r="X246" s="82">
        <v>0</v>
      </c>
      <c r="Y246" s="82">
        <v>0</v>
      </c>
      <c r="Z246" s="82">
        <v>0</v>
      </c>
      <c r="AA246" s="83" t="s">
        <v>179</v>
      </c>
    </row>
    <row r="247" spans="1:27" s="83" customFormat="1">
      <c r="A247" s="78">
        <v>6304</v>
      </c>
      <c r="B247" s="78" t="s">
        <v>43</v>
      </c>
      <c r="C247" s="78" t="s">
        <v>36</v>
      </c>
      <c r="D247" s="78">
        <v>10035</v>
      </c>
      <c r="E247" s="78">
        <v>150000</v>
      </c>
      <c r="F247" s="78" t="s">
        <v>208</v>
      </c>
      <c r="G247" s="78">
        <v>1</v>
      </c>
      <c r="H247" s="79">
        <v>0</v>
      </c>
      <c r="I247" s="120">
        <v>1500</v>
      </c>
      <c r="J247" s="121">
        <v>60</v>
      </c>
      <c r="K247" s="121">
        <v>30</v>
      </c>
      <c r="L247" s="122">
        <v>30</v>
      </c>
      <c r="M247" s="78">
        <v>0</v>
      </c>
      <c r="N247" s="78">
        <v>0</v>
      </c>
      <c r="O247" s="78">
        <v>0</v>
      </c>
      <c r="P247" s="78">
        <v>0</v>
      </c>
      <c r="Q247" s="78">
        <v>4</v>
      </c>
      <c r="R247" s="81">
        <v>0</v>
      </c>
      <c r="S247" s="104">
        <v>6000</v>
      </c>
      <c r="T247" s="104">
        <v>240</v>
      </c>
      <c r="U247" s="104">
        <v>120</v>
      </c>
      <c r="V247" s="104">
        <v>120</v>
      </c>
      <c r="W247" s="82">
        <v>0</v>
      </c>
      <c r="X247" s="82">
        <v>0</v>
      </c>
      <c r="Y247" s="82">
        <v>0</v>
      </c>
      <c r="Z247" s="82">
        <v>0</v>
      </c>
      <c r="AA247" s="83" t="s">
        <v>179</v>
      </c>
    </row>
    <row r="248" spans="1:27" s="83" customFormat="1">
      <c r="A248" s="78">
        <v>6305</v>
      </c>
      <c r="B248" s="78" t="s">
        <v>44</v>
      </c>
      <c r="C248" s="78" t="s">
        <v>37</v>
      </c>
      <c r="D248" s="78">
        <v>10045</v>
      </c>
      <c r="E248" s="78">
        <v>300000</v>
      </c>
      <c r="F248" s="78" t="s">
        <v>106</v>
      </c>
      <c r="G248" s="78">
        <v>2</v>
      </c>
      <c r="H248" s="79">
        <v>0</v>
      </c>
      <c r="I248" s="120">
        <v>1875</v>
      </c>
      <c r="J248" s="121">
        <v>75</v>
      </c>
      <c r="K248" s="121">
        <v>38</v>
      </c>
      <c r="L248" s="122">
        <v>38</v>
      </c>
      <c r="M248" s="78">
        <v>0</v>
      </c>
      <c r="N248" s="78">
        <v>0</v>
      </c>
      <c r="O248" s="78">
        <v>0</v>
      </c>
      <c r="P248" s="78">
        <v>0</v>
      </c>
      <c r="Q248" s="78">
        <v>5</v>
      </c>
      <c r="R248" s="81">
        <v>0</v>
      </c>
      <c r="S248" s="104">
        <v>6000</v>
      </c>
      <c r="T248" s="104">
        <v>240</v>
      </c>
      <c r="U248" s="104">
        <v>120</v>
      </c>
      <c r="V248" s="104">
        <v>120</v>
      </c>
      <c r="W248" s="82">
        <v>0</v>
      </c>
      <c r="X248" s="82">
        <v>0</v>
      </c>
      <c r="Y248" s="82">
        <v>0</v>
      </c>
      <c r="Z248" s="82">
        <v>0</v>
      </c>
      <c r="AA248" s="83" t="s">
        <v>179</v>
      </c>
    </row>
    <row r="249" spans="1:27" s="83" customFormat="1">
      <c r="A249" s="78">
        <v>6306</v>
      </c>
      <c r="B249" s="78" t="s">
        <v>45</v>
      </c>
      <c r="C249" s="78" t="s">
        <v>38</v>
      </c>
      <c r="D249" s="78">
        <v>10055</v>
      </c>
      <c r="E249" s="78">
        <v>450000</v>
      </c>
      <c r="F249" s="78" t="s">
        <v>209</v>
      </c>
      <c r="G249" s="78">
        <v>2</v>
      </c>
      <c r="H249" s="79">
        <v>0</v>
      </c>
      <c r="I249" s="120">
        <v>2250</v>
      </c>
      <c r="J249" s="121">
        <v>90</v>
      </c>
      <c r="K249" s="121">
        <v>45</v>
      </c>
      <c r="L249" s="122">
        <v>45</v>
      </c>
      <c r="M249" s="78">
        <v>0</v>
      </c>
      <c r="N249" s="78">
        <v>0</v>
      </c>
      <c r="O249" s="78">
        <v>0</v>
      </c>
      <c r="P249" s="78">
        <v>0</v>
      </c>
      <c r="Q249" s="78">
        <v>6</v>
      </c>
      <c r="R249" s="81">
        <v>0</v>
      </c>
      <c r="S249" s="104">
        <v>6000</v>
      </c>
      <c r="T249" s="104">
        <v>240</v>
      </c>
      <c r="U249" s="104">
        <v>120</v>
      </c>
      <c r="V249" s="104">
        <v>120</v>
      </c>
      <c r="W249" s="82">
        <v>0</v>
      </c>
      <c r="X249" s="82">
        <v>0</v>
      </c>
      <c r="Y249" s="82">
        <v>0</v>
      </c>
      <c r="Z249" s="82">
        <v>0</v>
      </c>
      <c r="AA249" s="83" t="s">
        <v>179</v>
      </c>
    </row>
    <row r="250" spans="1:27" s="83" customFormat="1">
      <c r="A250" s="78">
        <v>6307</v>
      </c>
      <c r="B250" s="78" t="s">
        <v>46</v>
      </c>
      <c r="C250" s="78" t="s">
        <v>39</v>
      </c>
      <c r="D250" s="78">
        <v>10065</v>
      </c>
      <c r="E250" s="78">
        <v>750000</v>
      </c>
      <c r="F250" s="78" t="s">
        <v>210</v>
      </c>
      <c r="G250" s="78">
        <v>4</v>
      </c>
      <c r="H250" s="79">
        <v>0</v>
      </c>
      <c r="I250" s="120">
        <v>2625</v>
      </c>
      <c r="J250" s="121">
        <v>105</v>
      </c>
      <c r="K250" s="121">
        <v>53</v>
      </c>
      <c r="L250" s="122">
        <v>53</v>
      </c>
      <c r="M250" s="78">
        <v>0</v>
      </c>
      <c r="N250" s="78">
        <v>0</v>
      </c>
      <c r="O250" s="78">
        <v>0</v>
      </c>
      <c r="P250" s="78">
        <v>0</v>
      </c>
      <c r="Q250" s="78">
        <v>7</v>
      </c>
      <c r="R250" s="81">
        <v>0</v>
      </c>
      <c r="S250" s="104">
        <v>6000</v>
      </c>
      <c r="T250" s="104">
        <v>240</v>
      </c>
      <c r="U250" s="104">
        <v>120</v>
      </c>
      <c r="V250" s="104">
        <v>120</v>
      </c>
      <c r="W250" s="82">
        <v>0</v>
      </c>
      <c r="X250" s="82">
        <v>0</v>
      </c>
      <c r="Y250" s="82">
        <v>0</v>
      </c>
      <c r="Z250" s="82">
        <v>0</v>
      </c>
      <c r="AA250" s="83" t="s">
        <v>179</v>
      </c>
    </row>
    <row r="251" spans="1:27" s="83" customFormat="1">
      <c r="A251" s="78">
        <v>6308</v>
      </c>
      <c r="B251" s="78" t="s">
        <v>47</v>
      </c>
      <c r="C251" s="78" t="s">
        <v>40</v>
      </c>
      <c r="D251" s="78">
        <v>10075</v>
      </c>
      <c r="E251" s="78">
        <v>1200000</v>
      </c>
      <c r="F251" s="78" t="s">
        <v>109</v>
      </c>
      <c r="G251" s="78">
        <v>6</v>
      </c>
      <c r="H251" s="79">
        <v>0</v>
      </c>
      <c r="I251" s="120">
        <v>3000</v>
      </c>
      <c r="J251" s="121">
        <v>120</v>
      </c>
      <c r="K251" s="121">
        <v>60</v>
      </c>
      <c r="L251" s="122">
        <v>60</v>
      </c>
      <c r="M251" s="78">
        <v>0</v>
      </c>
      <c r="N251" s="78">
        <v>0</v>
      </c>
      <c r="O251" s="78">
        <v>0</v>
      </c>
      <c r="P251" s="78">
        <v>0</v>
      </c>
      <c r="Q251" s="78">
        <v>8</v>
      </c>
      <c r="R251" s="81">
        <v>0</v>
      </c>
      <c r="S251" s="104">
        <v>6000</v>
      </c>
      <c r="T251" s="104">
        <v>240</v>
      </c>
      <c r="U251" s="104">
        <v>120</v>
      </c>
      <c r="V251" s="104">
        <v>120</v>
      </c>
      <c r="W251" s="82">
        <v>0</v>
      </c>
      <c r="X251" s="82">
        <v>0</v>
      </c>
      <c r="Y251" s="82">
        <v>0</v>
      </c>
      <c r="Z251" s="82">
        <v>0</v>
      </c>
      <c r="AA251" s="83" t="s">
        <v>179</v>
      </c>
    </row>
    <row r="252" spans="1:27" s="83" customFormat="1">
      <c r="A252" s="78">
        <v>6309</v>
      </c>
      <c r="B252" s="78" t="s">
        <v>69</v>
      </c>
      <c r="C252" s="78" t="s">
        <v>32</v>
      </c>
      <c r="D252" s="78">
        <v>10085</v>
      </c>
      <c r="E252" s="78">
        <v>1800000</v>
      </c>
      <c r="F252" s="78" t="s">
        <v>211</v>
      </c>
      <c r="G252" s="78">
        <v>8</v>
      </c>
      <c r="H252" s="79">
        <v>0</v>
      </c>
      <c r="I252" s="120">
        <v>3375</v>
      </c>
      <c r="J252" s="121">
        <v>135</v>
      </c>
      <c r="K252" s="121">
        <v>68</v>
      </c>
      <c r="L252" s="122">
        <v>68</v>
      </c>
      <c r="M252" s="78">
        <v>0</v>
      </c>
      <c r="N252" s="78">
        <v>0</v>
      </c>
      <c r="O252" s="78">
        <v>0</v>
      </c>
      <c r="P252" s="78">
        <v>0</v>
      </c>
      <c r="Q252" s="78">
        <v>9</v>
      </c>
      <c r="R252" s="81">
        <v>0</v>
      </c>
      <c r="S252" s="104">
        <v>6000</v>
      </c>
      <c r="T252" s="104">
        <v>240</v>
      </c>
      <c r="U252" s="104">
        <v>120</v>
      </c>
      <c r="V252" s="104">
        <v>120</v>
      </c>
      <c r="W252" s="82">
        <v>0</v>
      </c>
      <c r="X252" s="82">
        <v>0</v>
      </c>
      <c r="Y252" s="82">
        <v>0</v>
      </c>
      <c r="Z252" s="82">
        <v>0</v>
      </c>
      <c r="AA252" s="83" t="s">
        <v>179</v>
      </c>
    </row>
    <row r="253" spans="1:27" s="83" customFormat="1">
      <c r="A253" s="78">
        <v>6310</v>
      </c>
      <c r="B253" s="78" t="s">
        <v>71</v>
      </c>
      <c r="C253" s="78" t="s">
        <v>31</v>
      </c>
      <c r="D253" s="78">
        <v>10095</v>
      </c>
      <c r="E253" s="78">
        <v>2400000</v>
      </c>
      <c r="F253" s="78" t="s">
        <v>91</v>
      </c>
      <c r="G253" s="78">
        <v>10</v>
      </c>
      <c r="H253" s="79">
        <v>0</v>
      </c>
      <c r="I253" s="120">
        <v>3750</v>
      </c>
      <c r="J253" s="121">
        <v>150</v>
      </c>
      <c r="K253" s="121">
        <v>75</v>
      </c>
      <c r="L253" s="122">
        <v>75</v>
      </c>
      <c r="M253" s="78">
        <v>0</v>
      </c>
      <c r="N253" s="78">
        <v>0</v>
      </c>
      <c r="O253" s="78">
        <v>0</v>
      </c>
      <c r="P253" s="78">
        <v>0</v>
      </c>
      <c r="Q253" s="78">
        <v>10</v>
      </c>
      <c r="R253" s="81">
        <v>0</v>
      </c>
      <c r="S253" s="104">
        <v>6000</v>
      </c>
      <c r="T253" s="104">
        <v>240</v>
      </c>
      <c r="U253" s="104">
        <v>120</v>
      </c>
      <c r="V253" s="104">
        <v>120</v>
      </c>
      <c r="W253" s="82">
        <v>0</v>
      </c>
      <c r="X253" s="82">
        <v>0</v>
      </c>
      <c r="Y253" s="82">
        <v>0</v>
      </c>
      <c r="Z253" s="82">
        <v>0</v>
      </c>
      <c r="AA253" s="83" t="s">
        <v>179</v>
      </c>
    </row>
    <row r="254" spans="1:27" s="83" customFormat="1">
      <c r="A254" s="78">
        <v>6311</v>
      </c>
      <c r="B254" s="78" t="s">
        <v>73</v>
      </c>
      <c r="C254" s="78" t="s">
        <v>74</v>
      </c>
      <c r="D254" s="78">
        <v>10105</v>
      </c>
      <c r="E254" s="78">
        <v>3000000</v>
      </c>
      <c r="F254" s="78" t="s">
        <v>114</v>
      </c>
      <c r="G254" s="78">
        <v>12</v>
      </c>
      <c r="H254" s="79">
        <v>0</v>
      </c>
      <c r="I254" s="120">
        <v>4125</v>
      </c>
      <c r="J254" s="121">
        <v>165</v>
      </c>
      <c r="K254" s="121">
        <v>83</v>
      </c>
      <c r="L254" s="122">
        <v>83</v>
      </c>
      <c r="M254" s="78">
        <v>0</v>
      </c>
      <c r="N254" s="78">
        <v>0</v>
      </c>
      <c r="O254" s="78">
        <v>0</v>
      </c>
      <c r="P254" s="78">
        <v>0</v>
      </c>
      <c r="Q254" s="78">
        <v>11</v>
      </c>
      <c r="R254" s="81">
        <v>0</v>
      </c>
      <c r="S254" s="104">
        <v>6000</v>
      </c>
      <c r="T254" s="104">
        <v>240</v>
      </c>
      <c r="U254" s="104">
        <v>120</v>
      </c>
      <c r="V254" s="104">
        <v>120</v>
      </c>
      <c r="W254" s="82">
        <v>0</v>
      </c>
      <c r="X254" s="82">
        <v>0</v>
      </c>
      <c r="Y254" s="82">
        <v>0</v>
      </c>
      <c r="Z254" s="82">
        <v>0</v>
      </c>
      <c r="AA254" s="83" t="s">
        <v>179</v>
      </c>
    </row>
    <row r="255" spans="1:27" s="83" customFormat="1">
      <c r="A255" s="78">
        <v>6312</v>
      </c>
      <c r="B255" s="78" t="s">
        <v>75</v>
      </c>
      <c r="C255" s="78" t="s">
        <v>76</v>
      </c>
      <c r="D255" s="78">
        <v>10115</v>
      </c>
      <c r="E255" s="78">
        <v>3750000</v>
      </c>
      <c r="F255" s="78" t="s">
        <v>212</v>
      </c>
      <c r="G255" s="78">
        <v>14</v>
      </c>
      <c r="H255" s="79">
        <v>0</v>
      </c>
      <c r="I255" s="120">
        <v>4500</v>
      </c>
      <c r="J255" s="121">
        <v>180</v>
      </c>
      <c r="K255" s="121">
        <v>90</v>
      </c>
      <c r="L255" s="122">
        <v>90</v>
      </c>
      <c r="M255" s="78">
        <v>0</v>
      </c>
      <c r="N255" s="78">
        <v>0</v>
      </c>
      <c r="O255" s="78">
        <v>0</v>
      </c>
      <c r="P255" s="78">
        <v>0</v>
      </c>
      <c r="Q255" s="78">
        <v>12</v>
      </c>
      <c r="R255" s="81">
        <v>0</v>
      </c>
      <c r="S255" s="104">
        <v>6000</v>
      </c>
      <c r="T255" s="104">
        <v>240</v>
      </c>
      <c r="U255" s="104">
        <v>120</v>
      </c>
      <c r="V255" s="104">
        <v>120</v>
      </c>
      <c r="W255" s="82">
        <v>0</v>
      </c>
      <c r="X255" s="82">
        <v>0</v>
      </c>
      <c r="Y255" s="82">
        <v>0</v>
      </c>
      <c r="Z255" s="82">
        <v>0</v>
      </c>
      <c r="AA255" s="83" t="s">
        <v>179</v>
      </c>
    </row>
    <row r="256" spans="1:27" s="83" customFormat="1">
      <c r="A256" s="78">
        <v>6313</v>
      </c>
      <c r="B256" s="78" t="s">
        <v>182</v>
      </c>
      <c r="C256" s="78" t="s">
        <v>183</v>
      </c>
      <c r="D256" s="78">
        <v>10125</v>
      </c>
      <c r="E256" s="78">
        <v>4500000</v>
      </c>
      <c r="F256" s="78" t="s">
        <v>213</v>
      </c>
      <c r="G256" s="78">
        <v>16</v>
      </c>
      <c r="H256" s="79">
        <v>0</v>
      </c>
      <c r="I256" s="120">
        <v>4875</v>
      </c>
      <c r="J256" s="121">
        <v>195</v>
      </c>
      <c r="K256" s="121">
        <v>98</v>
      </c>
      <c r="L256" s="122">
        <v>98</v>
      </c>
      <c r="M256" s="78">
        <v>0</v>
      </c>
      <c r="N256" s="78">
        <v>0</v>
      </c>
      <c r="O256" s="78">
        <v>0</v>
      </c>
      <c r="P256" s="78">
        <v>0</v>
      </c>
      <c r="Q256" s="78">
        <v>13</v>
      </c>
      <c r="R256" s="81">
        <v>0</v>
      </c>
      <c r="S256" s="104">
        <v>6000</v>
      </c>
      <c r="T256" s="104">
        <v>240</v>
      </c>
      <c r="U256" s="104">
        <v>120</v>
      </c>
      <c r="V256" s="104">
        <v>120</v>
      </c>
      <c r="W256" s="82">
        <v>0</v>
      </c>
      <c r="X256" s="82">
        <v>0</v>
      </c>
      <c r="Y256" s="82">
        <v>0</v>
      </c>
      <c r="Z256" s="82">
        <v>0</v>
      </c>
      <c r="AA256" s="83" t="s">
        <v>179</v>
      </c>
    </row>
    <row r="257" spans="1:27" s="83" customFormat="1">
      <c r="A257" s="78">
        <v>6314</v>
      </c>
      <c r="B257" s="78" t="s">
        <v>184</v>
      </c>
      <c r="C257" s="78" t="s">
        <v>185</v>
      </c>
      <c r="D257" s="78">
        <v>10135</v>
      </c>
      <c r="E257" s="78">
        <v>6000000</v>
      </c>
      <c r="F257" s="78" t="s">
        <v>192</v>
      </c>
      <c r="G257" s="78">
        <v>20</v>
      </c>
      <c r="H257" s="79">
        <v>0</v>
      </c>
      <c r="I257" s="120">
        <v>5250</v>
      </c>
      <c r="J257" s="121">
        <v>210</v>
      </c>
      <c r="K257" s="121">
        <v>105</v>
      </c>
      <c r="L257" s="122">
        <v>105</v>
      </c>
      <c r="M257" s="78">
        <v>0</v>
      </c>
      <c r="N257" s="78">
        <v>0</v>
      </c>
      <c r="O257" s="78">
        <v>0</v>
      </c>
      <c r="P257" s="78">
        <v>0</v>
      </c>
      <c r="Q257" s="78">
        <v>14</v>
      </c>
      <c r="R257" s="81">
        <v>0</v>
      </c>
      <c r="S257" s="104">
        <v>6000</v>
      </c>
      <c r="T257" s="104">
        <v>240</v>
      </c>
      <c r="U257" s="104">
        <v>120</v>
      </c>
      <c r="V257" s="104">
        <v>120</v>
      </c>
      <c r="W257" s="82">
        <v>0</v>
      </c>
      <c r="X257" s="82">
        <v>0</v>
      </c>
      <c r="Y257" s="82">
        <v>0</v>
      </c>
      <c r="Z257" s="82">
        <v>0</v>
      </c>
      <c r="AA257" s="83" t="s">
        <v>179</v>
      </c>
    </row>
    <row r="258" spans="1:27" s="83" customFormat="1">
      <c r="A258" s="78">
        <v>6315</v>
      </c>
      <c r="B258" s="78" t="s">
        <v>186</v>
      </c>
      <c r="C258" s="78" t="s">
        <v>187</v>
      </c>
      <c r="D258" s="78">
        <v>10145</v>
      </c>
      <c r="E258" s="78">
        <v>7500000</v>
      </c>
      <c r="F258" s="78" t="s">
        <v>214</v>
      </c>
      <c r="G258" s="78">
        <v>20</v>
      </c>
      <c r="H258" s="79">
        <v>0</v>
      </c>
      <c r="I258" s="120">
        <v>5625</v>
      </c>
      <c r="J258" s="121">
        <v>225</v>
      </c>
      <c r="K258" s="121">
        <v>113</v>
      </c>
      <c r="L258" s="122">
        <v>113</v>
      </c>
      <c r="M258" s="78">
        <v>0</v>
      </c>
      <c r="N258" s="78">
        <v>0</v>
      </c>
      <c r="O258" s="78">
        <v>0</v>
      </c>
      <c r="P258" s="78">
        <v>0</v>
      </c>
      <c r="Q258" s="78">
        <v>15</v>
      </c>
      <c r="R258" s="81">
        <v>0</v>
      </c>
      <c r="S258" s="104">
        <v>6000</v>
      </c>
      <c r="T258" s="104">
        <v>240</v>
      </c>
      <c r="U258" s="104">
        <v>120</v>
      </c>
      <c r="V258" s="104">
        <v>120</v>
      </c>
      <c r="W258" s="82">
        <v>0</v>
      </c>
      <c r="X258" s="82">
        <v>0</v>
      </c>
      <c r="Y258" s="82">
        <v>0</v>
      </c>
      <c r="Z258" s="82">
        <v>0</v>
      </c>
      <c r="AA258" s="83" t="s">
        <v>179</v>
      </c>
    </row>
    <row r="259" spans="1:27" s="98" customFormat="1">
      <c r="A259" s="93">
        <v>6401</v>
      </c>
      <c r="B259" s="93" t="s">
        <v>121</v>
      </c>
      <c r="C259" s="93" t="s">
        <v>33</v>
      </c>
      <c r="D259" s="93">
        <v>10001</v>
      </c>
      <c r="E259" s="93">
        <v>8000</v>
      </c>
      <c r="F259" s="93" t="s">
        <v>153</v>
      </c>
      <c r="G259" s="93">
        <v>0</v>
      </c>
      <c r="H259" s="94">
        <v>0</v>
      </c>
      <c r="I259" s="120">
        <v>375</v>
      </c>
      <c r="J259" s="121">
        <v>15</v>
      </c>
      <c r="K259" s="121">
        <v>8</v>
      </c>
      <c r="L259" s="122">
        <v>8</v>
      </c>
      <c r="M259" s="93">
        <v>0</v>
      </c>
      <c r="N259" s="93">
        <v>0</v>
      </c>
      <c r="O259" s="93">
        <v>0</v>
      </c>
      <c r="P259" s="93">
        <v>0</v>
      </c>
      <c r="Q259" s="93">
        <v>1</v>
      </c>
      <c r="R259" s="96">
        <v>0</v>
      </c>
      <c r="S259" s="104">
        <v>6000</v>
      </c>
      <c r="T259" s="104">
        <v>240</v>
      </c>
      <c r="U259" s="104">
        <v>120</v>
      </c>
      <c r="V259" s="104">
        <v>120</v>
      </c>
      <c r="W259" s="97">
        <v>0</v>
      </c>
      <c r="X259" s="97">
        <v>0</v>
      </c>
      <c r="Y259" s="97">
        <v>0</v>
      </c>
      <c r="Z259" s="97">
        <v>0</v>
      </c>
      <c r="AA259" s="98" t="s">
        <v>180</v>
      </c>
    </row>
    <row r="260" spans="1:27" s="98" customFormat="1">
      <c r="A260" s="93">
        <v>6402</v>
      </c>
      <c r="B260" s="93" t="s">
        <v>41</v>
      </c>
      <c r="C260" s="93" t="s">
        <v>34</v>
      </c>
      <c r="D260" s="93">
        <v>10015</v>
      </c>
      <c r="E260" s="93">
        <v>30000</v>
      </c>
      <c r="F260" s="93" t="s">
        <v>206</v>
      </c>
      <c r="G260" s="93">
        <v>0</v>
      </c>
      <c r="H260" s="94">
        <v>0</v>
      </c>
      <c r="I260" s="120">
        <v>750</v>
      </c>
      <c r="J260" s="121">
        <v>30</v>
      </c>
      <c r="K260" s="121">
        <v>15</v>
      </c>
      <c r="L260" s="122">
        <v>15</v>
      </c>
      <c r="M260" s="93">
        <v>0</v>
      </c>
      <c r="N260" s="93">
        <v>0</v>
      </c>
      <c r="O260" s="93">
        <v>0</v>
      </c>
      <c r="P260" s="93">
        <v>0</v>
      </c>
      <c r="Q260" s="93">
        <v>2</v>
      </c>
      <c r="R260" s="96">
        <v>0</v>
      </c>
      <c r="S260" s="104">
        <v>6000</v>
      </c>
      <c r="T260" s="104">
        <v>240</v>
      </c>
      <c r="U260" s="104">
        <v>120</v>
      </c>
      <c r="V260" s="104">
        <v>120</v>
      </c>
      <c r="W260" s="97">
        <v>0</v>
      </c>
      <c r="X260" s="97">
        <v>0</v>
      </c>
      <c r="Y260" s="97">
        <v>0</v>
      </c>
      <c r="Z260" s="97">
        <v>0</v>
      </c>
      <c r="AA260" s="98" t="s">
        <v>180</v>
      </c>
    </row>
    <row r="261" spans="1:27" s="98" customFormat="1">
      <c r="A261" s="93">
        <v>6403</v>
      </c>
      <c r="B261" s="93" t="s">
        <v>42</v>
      </c>
      <c r="C261" s="93" t="s">
        <v>35</v>
      </c>
      <c r="D261" s="93">
        <v>10025</v>
      </c>
      <c r="E261" s="93">
        <v>75000</v>
      </c>
      <c r="F261" s="93" t="s">
        <v>207</v>
      </c>
      <c r="G261" s="93">
        <v>1</v>
      </c>
      <c r="H261" s="94">
        <v>0</v>
      </c>
      <c r="I261" s="120">
        <v>1125</v>
      </c>
      <c r="J261" s="121">
        <v>45</v>
      </c>
      <c r="K261" s="121">
        <v>23</v>
      </c>
      <c r="L261" s="122">
        <v>23</v>
      </c>
      <c r="M261" s="93">
        <v>0</v>
      </c>
      <c r="N261" s="93">
        <v>0</v>
      </c>
      <c r="O261" s="93">
        <v>0</v>
      </c>
      <c r="P261" s="93">
        <v>0</v>
      </c>
      <c r="Q261" s="93">
        <v>3</v>
      </c>
      <c r="R261" s="96">
        <v>0</v>
      </c>
      <c r="S261" s="104">
        <v>6000</v>
      </c>
      <c r="T261" s="104">
        <v>240</v>
      </c>
      <c r="U261" s="104">
        <v>120</v>
      </c>
      <c r="V261" s="104">
        <v>120</v>
      </c>
      <c r="W261" s="97">
        <v>0</v>
      </c>
      <c r="X261" s="97">
        <v>0</v>
      </c>
      <c r="Y261" s="97">
        <v>0</v>
      </c>
      <c r="Z261" s="97">
        <v>0</v>
      </c>
      <c r="AA261" s="98" t="s">
        <v>180</v>
      </c>
    </row>
    <row r="262" spans="1:27" s="98" customFormat="1">
      <c r="A262" s="93">
        <v>6404</v>
      </c>
      <c r="B262" s="93" t="s">
        <v>43</v>
      </c>
      <c r="C262" s="93" t="s">
        <v>36</v>
      </c>
      <c r="D262" s="93">
        <v>10035</v>
      </c>
      <c r="E262" s="93">
        <v>150000</v>
      </c>
      <c r="F262" s="93" t="s">
        <v>208</v>
      </c>
      <c r="G262" s="93">
        <v>1</v>
      </c>
      <c r="H262" s="94">
        <v>0</v>
      </c>
      <c r="I262" s="120">
        <v>1500</v>
      </c>
      <c r="J262" s="121">
        <v>60</v>
      </c>
      <c r="K262" s="121">
        <v>30</v>
      </c>
      <c r="L262" s="122">
        <v>30</v>
      </c>
      <c r="M262" s="93">
        <v>0</v>
      </c>
      <c r="N262" s="93">
        <v>0</v>
      </c>
      <c r="O262" s="93">
        <v>0</v>
      </c>
      <c r="P262" s="93">
        <v>0</v>
      </c>
      <c r="Q262" s="93">
        <v>4</v>
      </c>
      <c r="R262" s="96">
        <v>0</v>
      </c>
      <c r="S262" s="104">
        <v>6000</v>
      </c>
      <c r="T262" s="104">
        <v>240</v>
      </c>
      <c r="U262" s="104">
        <v>120</v>
      </c>
      <c r="V262" s="104">
        <v>120</v>
      </c>
      <c r="W262" s="97">
        <v>0</v>
      </c>
      <c r="X262" s="97">
        <v>0</v>
      </c>
      <c r="Y262" s="97">
        <v>0</v>
      </c>
      <c r="Z262" s="97">
        <v>0</v>
      </c>
      <c r="AA262" s="98" t="s">
        <v>180</v>
      </c>
    </row>
    <row r="263" spans="1:27" s="98" customFormat="1">
      <c r="A263" s="93">
        <v>6405</v>
      </c>
      <c r="B263" s="93" t="s">
        <v>44</v>
      </c>
      <c r="C263" s="93" t="s">
        <v>37</v>
      </c>
      <c r="D263" s="93">
        <v>10045</v>
      </c>
      <c r="E263" s="93">
        <v>300000</v>
      </c>
      <c r="F263" s="93" t="s">
        <v>106</v>
      </c>
      <c r="G263" s="93">
        <v>2</v>
      </c>
      <c r="H263" s="94">
        <v>0</v>
      </c>
      <c r="I263" s="120">
        <v>1875</v>
      </c>
      <c r="J263" s="121">
        <v>75</v>
      </c>
      <c r="K263" s="121">
        <v>38</v>
      </c>
      <c r="L263" s="122">
        <v>38</v>
      </c>
      <c r="M263" s="93">
        <v>0</v>
      </c>
      <c r="N263" s="93">
        <v>0</v>
      </c>
      <c r="O263" s="93">
        <v>0</v>
      </c>
      <c r="P263" s="93">
        <v>0</v>
      </c>
      <c r="Q263" s="93">
        <v>5</v>
      </c>
      <c r="R263" s="96">
        <v>0</v>
      </c>
      <c r="S263" s="104">
        <v>6000</v>
      </c>
      <c r="T263" s="104">
        <v>240</v>
      </c>
      <c r="U263" s="104">
        <v>120</v>
      </c>
      <c r="V263" s="104">
        <v>120</v>
      </c>
      <c r="W263" s="97">
        <v>0</v>
      </c>
      <c r="X263" s="97">
        <v>0</v>
      </c>
      <c r="Y263" s="97">
        <v>0</v>
      </c>
      <c r="Z263" s="97">
        <v>0</v>
      </c>
      <c r="AA263" s="98" t="s">
        <v>180</v>
      </c>
    </row>
    <row r="264" spans="1:27" s="98" customFormat="1">
      <c r="A264" s="93">
        <v>6406</v>
      </c>
      <c r="B264" s="93" t="s">
        <v>45</v>
      </c>
      <c r="C264" s="93" t="s">
        <v>38</v>
      </c>
      <c r="D264" s="93">
        <v>10055</v>
      </c>
      <c r="E264" s="93">
        <v>450000</v>
      </c>
      <c r="F264" s="93" t="s">
        <v>209</v>
      </c>
      <c r="G264" s="93">
        <v>2</v>
      </c>
      <c r="H264" s="94">
        <v>0</v>
      </c>
      <c r="I264" s="120">
        <v>2250</v>
      </c>
      <c r="J264" s="121">
        <v>90</v>
      </c>
      <c r="K264" s="121">
        <v>45</v>
      </c>
      <c r="L264" s="122">
        <v>45</v>
      </c>
      <c r="M264" s="93">
        <v>0</v>
      </c>
      <c r="N264" s="93">
        <v>0</v>
      </c>
      <c r="O264" s="93">
        <v>0</v>
      </c>
      <c r="P264" s="93">
        <v>0</v>
      </c>
      <c r="Q264" s="93">
        <v>6</v>
      </c>
      <c r="R264" s="96">
        <v>0</v>
      </c>
      <c r="S264" s="104">
        <v>6000</v>
      </c>
      <c r="T264" s="104">
        <v>240</v>
      </c>
      <c r="U264" s="104">
        <v>120</v>
      </c>
      <c r="V264" s="104">
        <v>120</v>
      </c>
      <c r="W264" s="97">
        <v>0</v>
      </c>
      <c r="X264" s="97">
        <v>0</v>
      </c>
      <c r="Y264" s="97">
        <v>0</v>
      </c>
      <c r="Z264" s="97">
        <v>0</v>
      </c>
      <c r="AA264" s="98" t="s">
        <v>180</v>
      </c>
    </row>
    <row r="265" spans="1:27" s="98" customFormat="1">
      <c r="A265" s="93">
        <v>6407</v>
      </c>
      <c r="B265" s="93" t="s">
        <v>46</v>
      </c>
      <c r="C265" s="93" t="s">
        <v>39</v>
      </c>
      <c r="D265" s="93">
        <v>10065</v>
      </c>
      <c r="E265" s="93">
        <v>750000</v>
      </c>
      <c r="F265" s="93" t="s">
        <v>210</v>
      </c>
      <c r="G265" s="93">
        <v>4</v>
      </c>
      <c r="H265" s="94">
        <v>0</v>
      </c>
      <c r="I265" s="120">
        <v>2625</v>
      </c>
      <c r="J265" s="121">
        <v>105</v>
      </c>
      <c r="K265" s="121">
        <v>53</v>
      </c>
      <c r="L265" s="122">
        <v>53</v>
      </c>
      <c r="M265" s="93">
        <v>0</v>
      </c>
      <c r="N265" s="93">
        <v>0</v>
      </c>
      <c r="O265" s="93">
        <v>0</v>
      </c>
      <c r="P265" s="93">
        <v>0</v>
      </c>
      <c r="Q265" s="93">
        <v>7</v>
      </c>
      <c r="R265" s="96">
        <v>0</v>
      </c>
      <c r="S265" s="104">
        <v>6000</v>
      </c>
      <c r="T265" s="104">
        <v>240</v>
      </c>
      <c r="U265" s="104">
        <v>120</v>
      </c>
      <c r="V265" s="104">
        <v>120</v>
      </c>
      <c r="W265" s="97">
        <v>0</v>
      </c>
      <c r="X265" s="97">
        <v>0</v>
      </c>
      <c r="Y265" s="97">
        <v>0</v>
      </c>
      <c r="Z265" s="97">
        <v>0</v>
      </c>
      <c r="AA265" s="98" t="s">
        <v>180</v>
      </c>
    </row>
    <row r="266" spans="1:27" s="98" customFormat="1">
      <c r="A266" s="93">
        <v>6408</v>
      </c>
      <c r="B266" s="93" t="s">
        <v>47</v>
      </c>
      <c r="C266" s="93" t="s">
        <v>40</v>
      </c>
      <c r="D266" s="93">
        <v>10075</v>
      </c>
      <c r="E266" s="93">
        <v>1200000</v>
      </c>
      <c r="F266" s="93" t="s">
        <v>109</v>
      </c>
      <c r="G266" s="93">
        <v>6</v>
      </c>
      <c r="H266" s="94">
        <v>0</v>
      </c>
      <c r="I266" s="120">
        <v>3000</v>
      </c>
      <c r="J266" s="121">
        <v>120</v>
      </c>
      <c r="K266" s="121">
        <v>60</v>
      </c>
      <c r="L266" s="122">
        <v>60</v>
      </c>
      <c r="M266" s="93">
        <v>0</v>
      </c>
      <c r="N266" s="93">
        <v>0</v>
      </c>
      <c r="O266" s="93">
        <v>0</v>
      </c>
      <c r="P266" s="93">
        <v>0</v>
      </c>
      <c r="Q266" s="93">
        <v>8</v>
      </c>
      <c r="R266" s="96">
        <v>0</v>
      </c>
      <c r="S266" s="104">
        <v>6000</v>
      </c>
      <c r="T266" s="104">
        <v>240</v>
      </c>
      <c r="U266" s="104">
        <v>120</v>
      </c>
      <c r="V266" s="104">
        <v>120</v>
      </c>
      <c r="W266" s="97">
        <v>0</v>
      </c>
      <c r="X266" s="97">
        <v>0</v>
      </c>
      <c r="Y266" s="97">
        <v>0</v>
      </c>
      <c r="Z266" s="97">
        <v>0</v>
      </c>
      <c r="AA266" s="98" t="s">
        <v>180</v>
      </c>
    </row>
    <row r="267" spans="1:27" s="98" customFormat="1">
      <c r="A267" s="93">
        <v>6409</v>
      </c>
      <c r="B267" s="93" t="s">
        <v>69</v>
      </c>
      <c r="C267" s="93" t="s">
        <v>32</v>
      </c>
      <c r="D267" s="93">
        <v>10085</v>
      </c>
      <c r="E267" s="93">
        <v>1800000</v>
      </c>
      <c r="F267" s="93" t="s">
        <v>211</v>
      </c>
      <c r="G267" s="93">
        <v>8</v>
      </c>
      <c r="H267" s="94">
        <v>0</v>
      </c>
      <c r="I267" s="120">
        <v>3375</v>
      </c>
      <c r="J267" s="121">
        <v>135</v>
      </c>
      <c r="K267" s="121">
        <v>68</v>
      </c>
      <c r="L267" s="122">
        <v>68</v>
      </c>
      <c r="M267" s="93">
        <v>0</v>
      </c>
      <c r="N267" s="93">
        <v>0</v>
      </c>
      <c r="O267" s="93">
        <v>0</v>
      </c>
      <c r="P267" s="93">
        <v>0</v>
      </c>
      <c r="Q267" s="93">
        <v>9</v>
      </c>
      <c r="R267" s="96">
        <v>0</v>
      </c>
      <c r="S267" s="104">
        <v>6000</v>
      </c>
      <c r="T267" s="104">
        <v>240</v>
      </c>
      <c r="U267" s="104">
        <v>120</v>
      </c>
      <c r="V267" s="104">
        <v>120</v>
      </c>
      <c r="W267" s="97">
        <v>0</v>
      </c>
      <c r="X267" s="97">
        <v>0</v>
      </c>
      <c r="Y267" s="97">
        <v>0</v>
      </c>
      <c r="Z267" s="97">
        <v>0</v>
      </c>
      <c r="AA267" s="98" t="s">
        <v>180</v>
      </c>
    </row>
    <row r="268" spans="1:27" s="98" customFormat="1">
      <c r="A268" s="93">
        <v>6410</v>
      </c>
      <c r="B268" s="93" t="s">
        <v>71</v>
      </c>
      <c r="C268" s="93" t="s">
        <v>31</v>
      </c>
      <c r="D268" s="93">
        <v>10095</v>
      </c>
      <c r="E268" s="93">
        <v>2400000</v>
      </c>
      <c r="F268" s="93" t="s">
        <v>91</v>
      </c>
      <c r="G268" s="93">
        <v>10</v>
      </c>
      <c r="H268" s="94">
        <v>0</v>
      </c>
      <c r="I268" s="120">
        <v>3750</v>
      </c>
      <c r="J268" s="121">
        <v>150</v>
      </c>
      <c r="K268" s="121">
        <v>75</v>
      </c>
      <c r="L268" s="122">
        <v>75</v>
      </c>
      <c r="M268" s="93">
        <v>0</v>
      </c>
      <c r="N268" s="93">
        <v>0</v>
      </c>
      <c r="O268" s="93">
        <v>0</v>
      </c>
      <c r="P268" s="93">
        <v>0</v>
      </c>
      <c r="Q268" s="93">
        <v>10</v>
      </c>
      <c r="R268" s="96">
        <v>0</v>
      </c>
      <c r="S268" s="104">
        <v>6000</v>
      </c>
      <c r="T268" s="104">
        <v>240</v>
      </c>
      <c r="U268" s="104">
        <v>120</v>
      </c>
      <c r="V268" s="104">
        <v>120</v>
      </c>
      <c r="W268" s="97">
        <v>0</v>
      </c>
      <c r="X268" s="97">
        <v>0</v>
      </c>
      <c r="Y268" s="97">
        <v>0</v>
      </c>
      <c r="Z268" s="97">
        <v>0</v>
      </c>
      <c r="AA268" s="98" t="s">
        <v>180</v>
      </c>
    </row>
    <row r="269" spans="1:27" s="98" customFormat="1">
      <c r="A269" s="93">
        <v>6411</v>
      </c>
      <c r="B269" s="93" t="s">
        <v>73</v>
      </c>
      <c r="C269" s="93" t="s">
        <v>74</v>
      </c>
      <c r="D269" s="93">
        <v>10105</v>
      </c>
      <c r="E269" s="93">
        <v>3000000</v>
      </c>
      <c r="F269" s="93" t="s">
        <v>114</v>
      </c>
      <c r="G269" s="93">
        <v>12</v>
      </c>
      <c r="H269" s="94">
        <v>0</v>
      </c>
      <c r="I269" s="120">
        <v>4125</v>
      </c>
      <c r="J269" s="121">
        <v>165</v>
      </c>
      <c r="K269" s="121">
        <v>83</v>
      </c>
      <c r="L269" s="122">
        <v>83</v>
      </c>
      <c r="M269" s="93">
        <v>0</v>
      </c>
      <c r="N269" s="93">
        <v>0</v>
      </c>
      <c r="O269" s="93">
        <v>0</v>
      </c>
      <c r="P269" s="93">
        <v>0</v>
      </c>
      <c r="Q269" s="93">
        <v>11</v>
      </c>
      <c r="R269" s="96">
        <v>0</v>
      </c>
      <c r="S269" s="104">
        <v>6000</v>
      </c>
      <c r="T269" s="104">
        <v>240</v>
      </c>
      <c r="U269" s="104">
        <v>120</v>
      </c>
      <c r="V269" s="104">
        <v>120</v>
      </c>
      <c r="W269" s="97">
        <v>0</v>
      </c>
      <c r="X269" s="97">
        <v>0</v>
      </c>
      <c r="Y269" s="97">
        <v>0</v>
      </c>
      <c r="Z269" s="97">
        <v>0</v>
      </c>
      <c r="AA269" s="98" t="s">
        <v>180</v>
      </c>
    </row>
    <row r="270" spans="1:27" s="98" customFormat="1">
      <c r="A270" s="93">
        <v>6412</v>
      </c>
      <c r="B270" s="93" t="s">
        <v>75</v>
      </c>
      <c r="C270" s="93" t="s">
        <v>76</v>
      </c>
      <c r="D270" s="93">
        <v>10115</v>
      </c>
      <c r="E270" s="93">
        <v>3750000</v>
      </c>
      <c r="F270" s="93" t="s">
        <v>212</v>
      </c>
      <c r="G270" s="93">
        <v>14</v>
      </c>
      <c r="H270" s="94">
        <v>0</v>
      </c>
      <c r="I270" s="120">
        <v>4500</v>
      </c>
      <c r="J270" s="121">
        <v>180</v>
      </c>
      <c r="K270" s="121">
        <v>90</v>
      </c>
      <c r="L270" s="122">
        <v>90</v>
      </c>
      <c r="M270" s="93">
        <v>0</v>
      </c>
      <c r="N270" s="93">
        <v>0</v>
      </c>
      <c r="O270" s="93">
        <v>0</v>
      </c>
      <c r="P270" s="93">
        <v>0</v>
      </c>
      <c r="Q270" s="93">
        <v>12</v>
      </c>
      <c r="R270" s="96">
        <v>0</v>
      </c>
      <c r="S270" s="104">
        <v>6000</v>
      </c>
      <c r="T270" s="104">
        <v>240</v>
      </c>
      <c r="U270" s="104">
        <v>120</v>
      </c>
      <c r="V270" s="104">
        <v>120</v>
      </c>
      <c r="W270" s="97">
        <v>0</v>
      </c>
      <c r="X270" s="97">
        <v>0</v>
      </c>
      <c r="Y270" s="97">
        <v>0</v>
      </c>
      <c r="Z270" s="97">
        <v>0</v>
      </c>
      <c r="AA270" s="98" t="s">
        <v>180</v>
      </c>
    </row>
    <row r="271" spans="1:27" s="98" customFormat="1">
      <c r="A271" s="93">
        <v>6413</v>
      </c>
      <c r="B271" s="93" t="s">
        <v>182</v>
      </c>
      <c r="C271" s="93" t="s">
        <v>183</v>
      </c>
      <c r="D271" s="93">
        <v>10125</v>
      </c>
      <c r="E271" s="93">
        <v>4500000</v>
      </c>
      <c r="F271" s="93" t="s">
        <v>213</v>
      </c>
      <c r="G271" s="93">
        <v>16</v>
      </c>
      <c r="H271" s="94">
        <v>0</v>
      </c>
      <c r="I271" s="120">
        <v>4875</v>
      </c>
      <c r="J271" s="121">
        <v>195</v>
      </c>
      <c r="K271" s="121">
        <v>98</v>
      </c>
      <c r="L271" s="122">
        <v>98</v>
      </c>
      <c r="M271" s="93">
        <v>0</v>
      </c>
      <c r="N271" s="93">
        <v>0</v>
      </c>
      <c r="O271" s="93">
        <v>0</v>
      </c>
      <c r="P271" s="93">
        <v>0</v>
      </c>
      <c r="Q271" s="93">
        <v>13</v>
      </c>
      <c r="R271" s="96">
        <v>0</v>
      </c>
      <c r="S271" s="104">
        <v>6000</v>
      </c>
      <c r="T271" s="104">
        <v>240</v>
      </c>
      <c r="U271" s="104">
        <v>120</v>
      </c>
      <c r="V271" s="104">
        <v>120</v>
      </c>
      <c r="W271" s="97">
        <v>0</v>
      </c>
      <c r="X271" s="97">
        <v>0</v>
      </c>
      <c r="Y271" s="97">
        <v>0</v>
      </c>
      <c r="Z271" s="97">
        <v>0</v>
      </c>
      <c r="AA271" s="98" t="s">
        <v>180</v>
      </c>
    </row>
    <row r="272" spans="1:27" s="98" customFormat="1">
      <c r="A272" s="93">
        <v>6414</v>
      </c>
      <c r="B272" s="93" t="s">
        <v>184</v>
      </c>
      <c r="C272" s="93" t="s">
        <v>185</v>
      </c>
      <c r="D272" s="93">
        <v>10135</v>
      </c>
      <c r="E272" s="93">
        <v>6000000</v>
      </c>
      <c r="F272" s="93" t="s">
        <v>192</v>
      </c>
      <c r="G272" s="93">
        <v>20</v>
      </c>
      <c r="H272" s="94">
        <v>0</v>
      </c>
      <c r="I272" s="120">
        <v>5250</v>
      </c>
      <c r="J272" s="121">
        <v>210</v>
      </c>
      <c r="K272" s="121">
        <v>105</v>
      </c>
      <c r="L272" s="122">
        <v>105</v>
      </c>
      <c r="M272" s="93">
        <v>0</v>
      </c>
      <c r="N272" s="93">
        <v>0</v>
      </c>
      <c r="O272" s="93">
        <v>0</v>
      </c>
      <c r="P272" s="93">
        <v>0</v>
      </c>
      <c r="Q272" s="93">
        <v>14</v>
      </c>
      <c r="R272" s="96">
        <v>0</v>
      </c>
      <c r="S272" s="104">
        <v>6000</v>
      </c>
      <c r="T272" s="104">
        <v>240</v>
      </c>
      <c r="U272" s="104">
        <v>120</v>
      </c>
      <c r="V272" s="104">
        <v>120</v>
      </c>
      <c r="W272" s="97">
        <v>0</v>
      </c>
      <c r="X272" s="97">
        <v>0</v>
      </c>
      <c r="Y272" s="97">
        <v>0</v>
      </c>
      <c r="Z272" s="97">
        <v>0</v>
      </c>
      <c r="AA272" s="98" t="s">
        <v>180</v>
      </c>
    </row>
    <row r="273" spans="1:27" s="98" customFormat="1">
      <c r="A273" s="93">
        <v>6415</v>
      </c>
      <c r="B273" s="93" t="s">
        <v>186</v>
      </c>
      <c r="C273" s="93" t="s">
        <v>187</v>
      </c>
      <c r="D273" s="93">
        <v>10145</v>
      </c>
      <c r="E273" s="93">
        <v>7500000</v>
      </c>
      <c r="F273" s="93" t="s">
        <v>214</v>
      </c>
      <c r="G273" s="93">
        <v>20</v>
      </c>
      <c r="H273" s="94">
        <v>0</v>
      </c>
      <c r="I273" s="120">
        <v>5625</v>
      </c>
      <c r="J273" s="121">
        <v>225</v>
      </c>
      <c r="K273" s="121">
        <v>113</v>
      </c>
      <c r="L273" s="122">
        <v>113</v>
      </c>
      <c r="M273" s="93">
        <v>0</v>
      </c>
      <c r="N273" s="93">
        <v>0</v>
      </c>
      <c r="O273" s="93">
        <v>0</v>
      </c>
      <c r="P273" s="93">
        <v>0</v>
      </c>
      <c r="Q273" s="93">
        <v>15</v>
      </c>
      <c r="R273" s="96">
        <v>0</v>
      </c>
      <c r="S273" s="104">
        <v>6000</v>
      </c>
      <c r="T273" s="104">
        <v>240</v>
      </c>
      <c r="U273" s="104">
        <v>120</v>
      </c>
      <c r="V273" s="104">
        <v>120</v>
      </c>
      <c r="W273" s="97">
        <v>0</v>
      </c>
      <c r="X273" s="97">
        <v>0</v>
      </c>
      <c r="Y273" s="97">
        <v>0</v>
      </c>
      <c r="Z273" s="97">
        <v>0</v>
      </c>
      <c r="AA273" s="98" t="s">
        <v>180</v>
      </c>
    </row>
    <row r="274" spans="1:27" s="83" customFormat="1">
      <c r="A274" s="78">
        <v>6501</v>
      </c>
      <c r="B274" s="78" t="s">
        <v>121</v>
      </c>
      <c r="C274" s="78" t="s">
        <v>33</v>
      </c>
      <c r="D274" s="78">
        <v>10001</v>
      </c>
      <c r="E274" s="78">
        <v>8000</v>
      </c>
      <c r="F274" s="78" t="s">
        <v>153</v>
      </c>
      <c r="G274" s="78">
        <v>0</v>
      </c>
      <c r="H274" s="79">
        <v>0</v>
      </c>
      <c r="I274" s="120">
        <v>375</v>
      </c>
      <c r="J274" s="121">
        <v>15</v>
      </c>
      <c r="K274" s="121">
        <v>8</v>
      </c>
      <c r="L274" s="122">
        <v>8</v>
      </c>
      <c r="M274" s="78">
        <v>0</v>
      </c>
      <c r="N274" s="78">
        <v>0</v>
      </c>
      <c r="O274" s="78">
        <v>0</v>
      </c>
      <c r="P274" s="78">
        <v>0</v>
      </c>
      <c r="Q274" s="78">
        <v>1</v>
      </c>
      <c r="R274" s="81">
        <v>0</v>
      </c>
      <c r="S274" s="104">
        <v>6000</v>
      </c>
      <c r="T274" s="104">
        <v>240</v>
      </c>
      <c r="U274" s="104">
        <v>120</v>
      </c>
      <c r="V274" s="104">
        <v>120</v>
      </c>
      <c r="W274" s="82">
        <v>0</v>
      </c>
      <c r="X274" s="82">
        <v>0</v>
      </c>
      <c r="Y274" s="82">
        <v>0</v>
      </c>
      <c r="Z274" s="82">
        <v>0</v>
      </c>
      <c r="AA274" s="83" t="s">
        <v>181</v>
      </c>
    </row>
    <row r="275" spans="1:27" s="83" customFormat="1">
      <c r="A275" s="78">
        <v>6502</v>
      </c>
      <c r="B275" s="78" t="s">
        <v>41</v>
      </c>
      <c r="C275" s="78" t="s">
        <v>34</v>
      </c>
      <c r="D275" s="78">
        <v>10015</v>
      </c>
      <c r="E275" s="78">
        <v>30000</v>
      </c>
      <c r="F275" s="78" t="s">
        <v>206</v>
      </c>
      <c r="G275" s="78">
        <v>0</v>
      </c>
      <c r="H275" s="79">
        <v>0</v>
      </c>
      <c r="I275" s="120">
        <v>750</v>
      </c>
      <c r="J275" s="121">
        <v>30</v>
      </c>
      <c r="K275" s="121">
        <v>15</v>
      </c>
      <c r="L275" s="122">
        <v>15</v>
      </c>
      <c r="M275" s="78">
        <v>0</v>
      </c>
      <c r="N275" s="78">
        <v>0</v>
      </c>
      <c r="O275" s="78">
        <v>0</v>
      </c>
      <c r="P275" s="78">
        <v>0</v>
      </c>
      <c r="Q275" s="78">
        <v>2</v>
      </c>
      <c r="R275" s="81">
        <v>0</v>
      </c>
      <c r="S275" s="104">
        <v>6000</v>
      </c>
      <c r="T275" s="104">
        <v>240</v>
      </c>
      <c r="U275" s="104">
        <v>120</v>
      </c>
      <c r="V275" s="104">
        <v>120</v>
      </c>
      <c r="W275" s="82">
        <v>0</v>
      </c>
      <c r="X275" s="82">
        <v>0</v>
      </c>
      <c r="Y275" s="82">
        <v>0</v>
      </c>
      <c r="Z275" s="82">
        <v>0</v>
      </c>
      <c r="AA275" s="83" t="s">
        <v>181</v>
      </c>
    </row>
    <row r="276" spans="1:27" s="83" customFormat="1">
      <c r="A276" s="78">
        <v>6503</v>
      </c>
      <c r="B276" s="78" t="s">
        <v>42</v>
      </c>
      <c r="C276" s="78" t="s">
        <v>35</v>
      </c>
      <c r="D276" s="78">
        <v>10025</v>
      </c>
      <c r="E276" s="78">
        <v>75000</v>
      </c>
      <c r="F276" s="78" t="s">
        <v>207</v>
      </c>
      <c r="G276" s="78">
        <v>1</v>
      </c>
      <c r="H276" s="79">
        <v>0</v>
      </c>
      <c r="I276" s="120">
        <v>1125</v>
      </c>
      <c r="J276" s="121">
        <v>45</v>
      </c>
      <c r="K276" s="121">
        <v>23</v>
      </c>
      <c r="L276" s="122">
        <v>23</v>
      </c>
      <c r="M276" s="78">
        <v>0</v>
      </c>
      <c r="N276" s="78">
        <v>0</v>
      </c>
      <c r="O276" s="78">
        <v>0</v>
      </c>
      <c r="P276" s="78">
        <v>0</v>
      </c>
      <c r="Q276" s="78">
        <v>3</v>
      </c>
      <c r="R276" s="81">
        <v>0</v>
      </c>
      <c r="S276" s="104">
        <v>6000</v>
      </c>
      <c r="T276" s="104">
        <v>240</v>
      </c>
      <c r="U276" s="104">
        <v>120</v>
      </c>
      <c r="V276" s="104">
        <v>120</v>
      </c>
      <c r="W276" s="82">
        <v>0</v>
      </c>
      <c r="X276" s="82">
        <v>0</v>
      </c>
      <c r="Y276" s="82">
        <v>0</v>
      </c>
      <c r="Z276" s="82">
        <v>0</v>
      </c>
      <c r="AA276" s="83" t="s">
        <v>181</v>
      </c>
    </row>
    <row r="277" spans="1:27" s="83" customFormat="1">
      <c r="A277" s="78">
        <v>6504</v>
      </c>
      <c r="B277" s="78" t="s">
        <v>43</v>
      </c>
      <c r="C277" s="78" t="s">
        <v>36</v>
      </c>
      <c r="D277" s="78">
        <v>10035</v>
      </c>
      <c r="E277" s="78">
        <v>150000</v>
      </c>
      <c r="F277" s="78" t="s">
        <v>208</v>
      </c>
      <c r="G277" s="78">
        <v>1</v>
      </c>
      <c r="H277" s="79">
        <v>0</v>
      </c>
      <c r="I277" s="120">
        <v>1500</v>
      </c>
      <c r="J277" s="121">
        <v>60</v>
      </c>
      <c r="K277" s="121">
        <v>30</v>
      </c>
      <c r="L277" s="122">
        <v>30</v>
      </c>
      <c r="M277" s="78">
        <v>0</v>
      </c>
      <c r="N277" s="78">
        <v>0</v>
      </c>
      <c r="O277" s="78">
        <v>0</v>
      </c>
      <c r="P277" s="78">
        <v>0</v>
      </c>
      <c r="Q277" s="78">
        <v>4</v>
      </c>
      <c r="R277" s="81">
        <v>0</v>
      </c>
      <c r="S277" s="104">
        <v>6000</v>
      </c>
      <c r="T277" s="104">
        <v>240</v>
      </c>
      <c r="U277" s="104">
        <v>120</v>
      </c>
      <c r="V277" s="104">
        <v>120</v>
      </c>
      <c r="W277" s="82">
        <v>0</v>
      </c>
      <c r="X277" s="82">
        <v>0</v>
      </c>
      <c r="Y277" s="82">
        <v>0</v>
      </c>
      <c r="Z277" s="82">
        <v>0</v>
      </c>
      <c r="AA277" s="83" t="s">
        <v>181</v>
      </c>
    </row>
    <row r="278" spans="1:27" s="83" customFormat="1">
      <c r="A278" s="78">
        <v>6505</v>
      </c>
      <c r="B278" s="78" t="s">
        <v>44</v>
      </c>
      <c r="C278" s="78" t="s">
        <v>37</v>
      </c>
      <c r="D278" s="78">
        <v>10045</v>
      </c>
      <c r="E278" s="78">
        <v>300000</v>
      </c>
      <c r="F278" s="78" t="s">
        <v>106</v>
      </c>
      <c r="G278" s="78">
        <v>2</v>
      </c>
      <c r="H278" s="79">
        <v>0</v>
      </c>
      <c r="I278" s="120">
        <v>1875</v>
      </c>
      <c r="J278" s="121">
        <v>75</v>
      </c>
      <c r="K278" s="121">
        <v>38</v>
      </c>
      <c r="L278" s="122">
        <v>38</v>
      </c>
      <c r="M278" s="78">
        <v>0</v>
      </c>
      <c r="N278" s="78">
        <v>0</v>
      </c>
      <c r="O278" s="78">
        <v>0</v>
      </c>
      <c r="P278" s="78">
        <v>0</v>
      </c>
      <c r="Q278" s="78">
        <v>5</v>
      </c>
      <c r="R278" s="81">
        <v>0</v>
      </c>
      <c r="S278" s="104">
        <v>6000</v>
      </c>
      <c r="T278" s="104">
        <v>240</v>
      </c>
      <c r="U278" s="104">
        <v>120</v>
      </c>
      <c r="V278" s="104">
        <v>120</v>
      </c>
      <c r="W278" s="82">
        <v>0</v>
      </c>
      <c r="X278" s="82">
        <v>0</v>
      </c>
      <c r="Y278" s="82">
        <v>0</v>
      </c>
      <c r="Z278" s="82">
        <v>0</v>
      </c>
      <c r="AA278" s="83" t="s">
        <v>181</v>
      </c>
    </row>
    <row r="279" spans="1:27" s="83" customFormat="1">
      <c r="A279" s="78">
        <v>6506</v>
      </c>
      <c r="B279" s="78" t="s">
        <v>45</v>
      </c>
      <c r="C279" s="78" t="s">
        <v>38</v>
      </c>
      <c r="D279" s="78">
        <v>10055</v>
      </c>
      <c r="E279" s="78">
        <v>450000</v>
      </c>
      <c r="F279" s="78" t="s">
        <v>209</v>
      </c>
      <c r="G279" s="78">
        <v>2</v>
      </c>
      <c r="H279" s="79">
        <v>0</v>
      </c>
      <c r="I279" s="120">
        <v>2250</v>
      </c>
      <c r="J279" s="121">
        <v>90</v>
      </c>
      <c r="K279" s="121">
        <v>45</v>
      </c>
      <c r="L279" s="122">
        <v>45</v>
      </c>
      <c r="M279" s="78">
        <v>0</v>
      </c>
      <c r="N279" s="78">
        <v>0</v>
      </c>
      <c r="O279" s="78">
        <v>0</v>
      </c>
      <c r="P279" s="78">
        <v>0</v>
      </c>
      <c r="Q279" s="78">
        <v>6</v>
      </c>
      <c r="R279" s="81">
        <v>0</v>
      </c>
      <c r="S279" s="104">
        <v>6000</v>
      </c>
      <c r="T279" s="104">
        <v>240</v>
      </c>
      <c r="U279" s="104">
        <v>120</v>
      </c>
      <c r="V279" s="104">
        <v>120</v>
      </c>
      <c r="W279" s="82">
        <v>0</v>
      </c>
      <c r="X279" s="82">
        <v>0</v>
      </c>
      <c r="Y279" s="82">
        <v>0</v>
      </c>
      <c r="Z279" s="82">
        <v>0</v>
      </c>
      <c r="AA279" s="83" t="s">
        <v>181</v>
      </c>
    </row>
    <row r="280" spans="1:27" s="83" customFormat="1">
      <c r="A280" s="78">
        <v>6507</v>
      </c>
      <c r="B280" s="78" t="s">
        <v>46</v>
      </c>
      <c r="C280" s="78" t="s">
        <v>39</v>
      </c>
      <c r="D280" s="78">
        <v>10065</v>
      </c>
      <c r="E280" s="78">
        <v>750000</v>
      </c>
      <c r="F280" s="78" t="s">
        <v>210</v>
      </c>
      <c r="G280" s="78">
        <v>4</v>
      </c>
      <c r="H280" s="79">
        <v>0</v>
      </c>
      <c r="I280" s="120">
        <v>2625</v>
      </c>
      <c r="J280" s="121">
        <v>105</v>
      </c>
      <c r="K280" s="121">
        <v>53</v>
      </c>
      <c r="L280" s="122">
        <v>53</v>
      </c>
      <c r="M280" s="78">
        <v>0</v>
      </c>
      <c r="N280" s="78">
        <v>0</v>
      </c>
      <c r="O280" s="78">
        <v>0</v>
      </c>
      <c r="P280" s="78">
        <v>0</v>
      </c>
      <c r="Q280" s="78">
        <v>7</v>
      </c>
      <c r="R280" s="81">
        <v>0</v>
      </c>
      <c r="S280" s="104">
        <v>6000</v>
      </c>
      <c r="T280" s="104">
        <v>240</v>
      </c>
      <c r="U280" s="104">
        <v>120</v>
      </c>
      <c r="V280" s="104">
        <v>120</v>
      </c>
      <c r="W280" s="82">
        <v>0</v>
      </c>
      <c r="X280" s="82">
        <v>0</v>
      </c>
      <c r="Y280" s="82">
        <v>0</v>
      </c>
      <c r="Z280" s="82">
        <v>0</v>
      </c>
      <c r="AA280" s="83" t="s">
        <v>181</v>
      </c>
    </row>
    <row r="281" spans="1:27" s="83" customFormat="1">
      <c r="A281" s="78">
        <v>6508</v>
      </c>
      <c r="B281" s="78" t="s">
        <v>47</v>
      </c>
      <c r="C281" s="78" t="s">
        <v>40</v>
      </c>
      <c r="D281" s="78">
        <v>10075</v>
      </c>
      <c r="E281" s="78">
        <v>1200000</v>
      </c>
      <c r="F281" s="78" t="s">
        <v>109</v>
      </c>
      <c r="G281" s="78">
        <v>6</v>
      </c>
      <c r="H281" s="79">
        <v>0</v>
      </c>
      <c r="I281" s="120">
        <v>3000</v>
      </c>
      <c r="J281" s="121">
        <v>120</v>
      </c>
      <c r="K281" s="121">
        <v>60</v>
      </c>
      <c r="L281" s="122">
        <v>60</v>
      </c>
      <c r="M281" s="78">
        <v>0</v>
      </c>
      <c r="N281" s="78">
        <v>0</v>
      </c>
      <c r="O281" s="78">
        <v>0</v>
      </c>
      <c r="P281" s="78">
        <v>0</v>
      </c>
      <c r="Q281" s="78">
        <v>8</v>
      </c>
      <c r="R281" s="81">
        <v>0</v>
      </c>
      <c r="S281" s="104">
        <v>6000</v>
      </c>
      <c r="T281" s="104">
        <v>240</v>
      </c>
      <c r="U281" s="104">
        <v>120</v>
      </c>
      <c r="V281" s="104">
        <v>120</v>
      </c>
      <c r="W281" s="82">
        <v>0</v>
      </c>
      <c r="X281" s="82">
        <v>0</v>
      </c>
      <c r="Y281" s="82">
        <v>0</v>
      </c>
      <c r="Z281" s="82">
        <v>0</v>
      </c>
      <c r="AA281" s="83" t="s">
        <v>181</v>
      </c>
    </row>
    <row r="282" spans="1:27" s="83" customFormat="1">
      <c r="A282" s="78">
        <v>6509</v>
      </c>
      <c r="B282" s="78" t="s">
        <v>69</v>
      </c>
      <c r="C282" s="78" t="s">
        <v>32</v>
      </c>
      <c r="D282" s="78">
        <v>10085</v>
      </c>
      <c r="E282" s="78">
        <v>1800000</v>
      </c>
      <c r="F282" s="78" t="s">
        <v>211</v>
      </c>
      <c r="G282" s="78">
        <v>8</v>
      </c>
      <c r="H282" s="79">
        <v>0</v>
      </c>
      <c r="I282" s="120">
        <v>3375</v>
      </c>
      <c r="J282" s="121">
        <v>135</v>
      </c>
      <c r="K282" s="121">
        <v>68</v>
      </c>
      <c r="L282" s="122">
        <v>68</v>
      </c>
      <c r="M282" s="78">
        <v>0</v>
      </c>
      <c r="N282" s="78">
        <v>0</v>
      </c>
      <c r="O282" s="78">
        <v>0</v>
      </c>
      <c r="P282" s="78">
        <v>0</v>
      </c>
      <c r="Q282" s="78">
        <v>9</v>
      </c>
      <c r="R282" s="81">
        <v>0</v>
      </c>
      <c r="S282" s="104">
        <v>6000</v>
      </c>
      <c r="T282" s="104">
        <v>240</v>
      </c>
      <c r="U282" s="104">
        <v>120</v>
      </c>
      <c r="V282" s="104">
        <v>120</v>
      </c>
      <c r="W282" s="82">
        <v>0</v>
      </c>
      <c r="X282" s="82">
        <v>0</v>
      </c>
      <c r="Y282" s="82">
        <v>0</v>
      </c>
      <c r="Z282" s="82">
        <v>0</v>
      </c>
      <c r="AA282" s="83" t="s">
        <v>181</v>
      </c>
    </row>
    <row r="283" spans="1:27" s="83" customFormat="1">
      <c r="A283" s="78">
        <v>6510</v>
      </c>
      <c r="B283" s="78" t="s">
        <v>71</v>
      </c>
      <c r="C283" s="78" t="s">
        <v>31</v>
      </c>
      <c r="D283" s="78">
        <v>10095</v>
      </c>
      <c r="E283" s="78">
        <v>2400000</v>
      </c>
      <c r="F283" s="78" t="s">
        <v>91</v>
      </c>
      <c r="G283" s="78">
        <v>10</v>
      </c>
      <c r="H283" s="79">
        <v>0</v>
      </c>
      <c r="I283" s="120">
        <v>3750</v>
      </c>
      <c r="J283" s="121">
        <v>150</v>
      </c>
      <c r="K283" s="121">
        <v>75</v>
      </c>
      <c r="L283" s="122">
        <v>75</v>
      </c>
      <c r="M283" s="78">
        <v>0</v>
      </c>
      <c r="N283" s="78">
        <v>0</v>
      </c>
      <c r="O283" s="78">
        <v>0</v>
      </c>
      <c r="P283" s="78">
        <v>0</v>
      </c>
      <c r="Q283" s="78">
        <v>10</v>
      </c>
      <c r="R283" s="81">
        <v>0</v>
      </c>
      <c r="S283" s="104">
        <v>6000</v>
      </c>
      <c r="T283" s="104">
        <v>240</v>
      </c>
      <c r="U283" s="104">
        <v>120</v>
      </c>
      <c r="V283" s="104">
        <v>120</v>
      </c>
      <c r="W283" s="82">
        <v>0</v>
      </c>
      <c r="X283" s="82">
        <v>0</v>
      </c>
      <c r="Y283" s="82">
        <v>0</v>
      </c>
      <c r="Z283" s="82">
        <v>0</v>
      </c>
      <c r="AA283" s="83" t="s">
        <v>181</v>
      </c>
    </row>
    <row r="284" spans="1:27" s="83" customFormat="1">
      <c r="A284" s="78">
        <v>6511</v>
      </c>
      <c r="B284" s="78" t="s">
        <v>73</v>
      </c>
      <c r="C284" s="78" t="s">
        <v>74</v>
      </c>
      <c r="D284" s="78">
        <v>10105</v>
      </c>
      <c r="E284" s="78">
        <v>3000000</v>
      </c>
      <c r="F284" s="78" t="s">
        <v>114</v>
      </c>
      <c r="G284" s="78">
        <v>12</v>
      </c>
      <c r="H284" s="79">
        <v>0</v>
      </c>
      <c r="I284" s="120">
        <v>4125</v>
      </c>
      <c r="J284" s="121">
        <v>165</v>
      </c>
      <c r="K284" s="121">
        <v>83</v>
      </c>
      <c r="L284" s="122">
        <v>83</v>
      </c>
      <c r="M284" s="78">
        <v>0</v>
      </c>
      <c r="N284" s="78">
        <v>0</v>
      </c>
      <c r="O284" s="78">
        <v>0</v>
      </c>
      <c r="P284" s="78">
        <v>0</v>
      </c>
      <c r="Q284" s="78">
        <v>11</v>
      </c>
      <c r="R284" s="81">
        <v>0</v>
      </c>
      <c r="S284" s="104">
        <v>6000</v>
      </c>
      <c r="T284" s="104">
        <v>240</v>
      </c>
      <c r="U284" s="104">
        <v>120</v>
      </c>
      <c r="V284" s="104">
        <v>120</v>
      </c>
      <c r="W284" s="82">
        <v>0</v>
      </c>
      <c r="X284" s="82">
        <v>0</v>
      </c>
      <c r="Y284" s="82">
        <v>0</v>
      </c>
      <c r="Z284" s="82">
        <v>0</v>
      </c>
      <c r="AA284" s="83" t="s">
        <v>181</v>
      </c>
    </row>
    <row r="285" spans="1:27" s="83" customFormat="1">
      <c r="A285" s="78">
        <v>6512</v>
      </c>
      <c r="B285" s="78" t="s">
        <v>75</v>
      </c>
      <c r="C285" s="78" t="s">
        <v>76</v>
      </c>
      <c r="D285" s="78">
        <v>10115</v>
      </c>
      <c r="E285" s="78">
        <v>3750000</v>
      </c>
      <c r="F285" s="78" t="s">
        <v>212</v>
      </c>
      <c r="G285" s="78">
        <v>14</v>
      </c>
      <c r="H285" s="79">
        <v>0</v>
      </c>
      <c r="I285" s="120">
        <v>4500</v>
      </c>
      <c r="J285" s="121">
        <v>180</v>
      </c>
      <c r="K285" s="121">
        <v>90</v>
      </c>
      <c r="L285" s="122">
        <v>90</v>
      </c>
      <c r="M285" s="78">
        <v>0</v>
      </c>
      <c r="N285" s="78">
        <v>0</v>
      </c>
      <c r="O285" s="78">
        <v>0</v>
      </c>
      <c r="P285" s="78">
        <v>0</v>
      </c>
      <c r="Q285" s="78">
        <v>12</v>
      </c>
      <c r="R285" s="81">
        <v>0</v>
      </c>
      <c r="S285" s="104">
        <v>6000</v>
      </c>
      <c r="T285" s="104">
        <v>240</v>
      </c>
      <c r="U285" s="104">
        <v>120</v>
      </c>
      <c r="V285" s="104">
        <v>120</v>
      </c>
      <c r="W285" s="82">
        <v>0</v>
      </c>
      <c r="X285" s="82">
        <v>0</v>
      </c>
      <c r="Y285" s="82">
        <v>0</v>
      </c>
      <c r="Z285" s="82">
        <v>0</v>
      </c>
      <c r="AA285" s="83" t="s">
        <v>181</v>
      </c>
    </row>
    <row r="286" spans="1:27" s="83" customFormat="1">
      <c r="A286" s="78">
        <v>6513</v>
      </c>
      <c r="B286" s="78" t="s">
        <v>182</v>
      </c>
      <c r="C286" s="78" t="s">
        <v>183</v>
      </c>
      <c r="D286" s="78">
        <v>10125</v>
      </c>
      <c r="E286" s="78">
        <v>4500000</v>
      </c>
      <c r="F286" s="78" t="s">
        <v>213</v>
      </c>
      <c r="G286" s="78">
        <v>16</v>
      </c>
      <c r="H286" s="79">
        <v>0</v>
      </c>
      <c r="I286" s="120">
        <v>4875</v>
      </c>
      <c r="J286" s="121">
        <v>195</v>
      </c>
      <c r="K286" s="121">
        <v>98</v>
      </c>
      <c r="L286" s="122">
        <v>98</v>
      </c>
      <c r="M286" s="78">
        <v>0</v>
      </c>
      <c r="N286" s="78">
        <v>0</v>
      </c>
      <c r="O286" s="78">
        <v>0</v>
      </c>
      <c r="P286" s="78">
        <v>0</v>
      </c>
      <c r="Q286" s="78">
        <v>13</v>
      </c>
      <c r="R286" s="81">
        <v>0</v>
      </c>
      <c r="S286" s="104">
        <v>6000</v>
      </c>
      <c r="T286" s="104">
        <v>240</v>
      </c>
      <c r="U286" s="104">
        <v>120</v>
      </c>
      <c r="V286" s="104">
        <v>120</v>
      </c>
      <c r="W286" s="82">
        <v>0</v>
      </c>
      <c r="X286" s="82">
        <v>0</v>
      </c>
      <c r="Y286" s="82">
        <v>0</v>
      </c>
      <c r="Z286" s="82">
        <v>0</v>
      </c>
      <c r="AA286" s="83" t="s">
        <v>181</v>
      </c>
    </row>
    <row r="287" spans="1:27" s="83" customFormat="1">
      <c r="A287" s="78">
        <v>6514</v>
      </c>
      <c r="B287" s="78" t="s">
        <v>184</v>
      </c>
      <c r="C287" s="78" t="s">
        <v>185</v>
      </c>
      <c r="D287" s="78">
        <v>10135</v>
      </c>
      <c r="E287" s="78">
        <v>6000000</v>
      </c>
      <c r="F287" s="78" t="s">
        <v>192</v>
      </c>
      <c r="G287" s="78">
        <v>20</v>
      </c>
      <c r="H287" s="79">
        <v>0</v>
      </c>
      <c r="I287" s="120">
        <v>5250</v>
      </c>
      <c r="J287" s="121">
        <v>210</v>
      </c>
      <c r="K287" s="121">
        <v>105</v>
      </c>
      <c r="L287" s="122">
        <v>105</v>
      </c>
      <c r="M287" s="78">
        <v>0</v>
      </c>
      <c r="N287" s="78">
        <v>0</v>
      </c>
      <c r="O287" s="78">
        <v>0</v>
      </c>
      <c r="P287" s="78">
        <v>0</v>
      </c>
      <c r="Q287" s="78">
        <v>14</v>
      </c>
      <c r="R287" s="81">
        <v>0</v>
      </c>
      <c r="S287" s="104">
        <v>6000</v>
      </c>
      <c r="T287" s="104">
        <v>240</v>
      </c>
      <c r="U287" s="104">
        <v>120</v>
      </c>
      <c r="V287" s="104">
        <v>120</v>
      </c>
      <c r="W287" s="82">
        <v>0</v>
      </c>
      <c r="X287" s="82">
        <v>0</v>
      </c>
      <c r="Y287" s="82">
        <v>0</v>
      </c>
      <c r="Z287" s="82">
        <v>0</v>
      </c>
      <c r="AA287" s="83" t="s">
        <v>181</v>
      </c>
    </row>
    <row r="288" spans="1:27" s="83" customFormat="1">
      <c r="A288" s="78">
        <v>6515</v>
      </c>
      <c r="B288" s="78" t="s">
        <v>186</v>
      </c>
      <c r="C288" s="78" t="s">
        <v>187</v>
      </c>
      <c r="D288" s="78">
        <v>10145</v>
      </c>
      <c r="E288" s="78">
        <v>7500000</v>
      </c>
      <c r="F288" s="78" t="s">
        <v>214</v>
      </c>
      <c r="G288" s="78">
        <v>20</v>
      </c>
      <c r="H288" s="79">
        <v>0</v>
      </c>
      <c r="I288" s="120">
        <v>5625</v>
      </c>
      <c r="J288" s="121">
        <v>225</v>
      </c>
      <c r="K288" s="121">
        <v>113</v>
      </c>
      <c r="L288" s="122">
        <v>113</v>
      </c>
      <c r="M288" s="78">
        <v>0</v>
      </c>
      <c r="N288" s="78">
        <v>0</v>
      </c>
      <c r="O288" s="78">
        <v>0</v>
      </c>
      <c r="P288" s="78">
        <v>0</v>
      </c>
      <c r="Q288" s="78">
        <v>15</v>
      </c>
      <c r="R288" s="81">
        <v>0</v>
      </c>
      <c r="S288" s="104">
        <v>6000</v>
      </c>
      <c r="T288" s="104">
        <v>240</v>
      </c>
      <c r="U288" s="104">
        <v>120</v>
      </c>
      <c r="V288" s="104">
        <v>120</v>
      </c>
      <c r="W288" s="82">
        <v>0</v>
      </c>
      <c r="X288" s="82">
        <v>0</v>
      </c>
      <c r="Y288" s="82">
        <v>0</v>
      </c>
      <c r="Z288" s="82">
        <v>0</v>
      </c>
      <c r="AA288" s="83" t="s">
        <v>181</v>
      </c>
    </row>
  </sheetData>
  <phoneticPr fontId="1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Z219"/>
  <sheetViews>
    <sheetView zoomScale="115" zoomScaleNormal="115" workbookViewId="0">
      <pane xSplit="2" ySplit="3" topLeftCell="C19" activePane="bottomRight" state="frozen"/>
      <selection pane="topRight" activeCell="C1" sqref="C1"/>
      <selection pane="bottomLeft" activeCell="A4" sqref="A4"/>
      <selection pane="bottomRight" activeCell="B25" sqref="B25"/>
    </sheetView>
  </sheetViews>
  <sheetFormatPr defaultColWidth="12" defaultRowHeight="16.5"/>
  <cols>
    <col min="1" max="5" width="16.375" style="11" customWidth="1"/>
    <col min="6" max="6" width="39.625" style="11" bestFit="1" customWidth="1"/>
    <col min="7" max="7" width="14.875" style="11" bestFit="1" customWidth="1"/>
    <col min="8" max="17" width="12" style="11"/>
    <col min="18" max="18" width="18.625" style="21" customWidth="1"/>
    <col min="19" max="22" width="18.625" style="21" bestFit="1" customWidth="1"/>
    <col min="23" max="23" width="18.375" style="21" bestFit="1" customWidth="1"/>
    <col min="24" max="24" width="14.25" style="21" bestFit="1" customWidth="1"/>
    <col min="25" max="25" width="15" style="21" bestFit="1" customWidth="1"/>
    <col min="26" max="26" width="17.5" style="21" bestFit="1" customWidth="1"/>
    <col min="27" max="16384" width="12" style="4"/>
  </cols>
  <sheetData>
    <row r="1" spans="1:26" s="11" customFormat="1" ht="99">
      <c r="A1" s="10" t="s">
        <v>49</v>
      </c>
      <c r="B1" s="10" t="s">
        <v>7</v>
      </c>
      <c r="C1" s="10" t="s">
        <v>50</v>
      </c>
      <c r="D1" s="10" t="s">
        <v>8</v>
      </c>
      <c r="E1" s="10" t="s">
        <v>9</v>
      </c>
      <c r="F1" s="10" t="s">
        <v>51</v>
      </c>
      <c r="G1" s="10" t="s">
        <v>30</v>
      </c>
      <c r="H1" s="10" t="s">
        <v>67</v>
      </c>
      <c r="I1" s="10" t="s">
        <v>10</v>
      </c>
      <c r="J1" s="10" t="s">
        <v>11</v>
      </c>
      <c r="K1" s="10" t="s">
        <v>12</v>
      </c>
      <c r="L1" s="10" t="s">
        <v>13</v>
      </c>
      <c r="M1" s="10" t="s">
        <v>14</v>
      </c>
      <c r="N1" s="10" t="s">
        <v>15</v>
      </c>
      <c r="O1" s="10" t="s">
        <v>16</v>
      </c>
      <c r="P1" s="10" t="s">
        <v>17</v>
      </c>
      <c r="Q1" s="10" t="s">
        <v>18</v>
      </c>
      <c r="R1" s="17" t="s">
        <v>10</v>
      </c>
      <c r="S1" s="17" t="s">
        <v>94</v>
      </c>
      <c r="T1" s="17" t="s">
        <v>95</v>
      </c>
      <c r="U1" s="17" t="s">
        <v>96</v>
      </c>
      <c r="V1" s="17" t="s">
        <v>97</v>
      </c>
      <c r="W1" s="33" t="s">
        <v>15</v>
      </c>
      <c r="X1" s="33" t="s">
        <v>14</v>
      </c>
      <c r="Y1" s="33" t="s">
        <v>16</v>
      </c>
      <c r="Z1" s="33" t="s">
        <v>17</v>
      </c>
    </row>
    <row r="2" spans="1:26" s="6" customFormat="1">
      <c r="A2" s="2" t="s">
        <v>19</v>
      </c>
      <c r="B2" s="2" t="s">
        <v>20</v>
      </c>
      <c r="C2" s="2" t="s">
        <v>77</v>
      </c>
      <c r="D2" s="2" t="s">
        <v>21</v>
      </c>
      <c r="E2" s="2" t="s">
        <v>22</v>
      </c>
      <c r="F2" s="3" t="s">
        <v>23</v>
      </c>
      <c r="G2" s="3" t="s">
        <v>24</v>
      </c>
      <c r="H2" s="3" t="s">
        <v>92</v>
      </c>
      <c r="I2" s="3" t="s">
        <v>1</v>
      </c>
      <c r="J2" s="3" t="s">
        <v>25</v>
      </c>
      <c r="K2" s="3" t="s">
        <v>2</v>
      </c>
      <c r="L2" s="3" t="s">
        <v>93</v>
      </c>
      <c r="M2" s="3" t="s">
        <v>3</v>
      </c>
      <c r="N2" s="3" t="s">
        <v>4</v>
      </c>
      <c r="O2" s="3" t="s">
        <v>5</v>
      </c>
      <c r="P2" s="3" t="s">
        <v>6</v>
      </c>
      <c r="Q2" s="3" t="s">
        <v>26</v>
      </c>
      <c r="R2" s="18" t="s">
        <v>120</v>
      </c>
      <c r="S2" s="18" t="s">
        <v>98</v>
      </c>
      <c r="T2" s="18" t="s">
        <v>99</v>
      </c>
      <c r="U2" s="18" t="s">
        <v>115</v>
      </c>
      <c r="V2" s="18" t="s">
        <v>100</v>
      </c>
      <c r="W2" s="18" t="s">
        <v>117</v>
      </c>
      <c r="X2" s="18" t="s">
        <v>116</v>
      </c>
      <c r="Y2" s="18" t="s">
        <v>118</v>
      </c>
      <c r="Z2" s="18" t="s">
        <v>119</v>
      </c>
    </row>
    <row r="3" spans="1:26" s="7" customFormat="1">
      <c r="A3" s="2"/>
      <c r="B3" s="2"/>
      <c r="C3" s="2"/>
      <c r="D3" s="2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9"/>
      <c r="S3" s="19"/>
      <c r="T3" s="19"/>
      <c r="U3" s="19"/>
      <c r="V3" s="19"/>
      <c r="W3" s="19"/>
      <c r="X3" s="19"/>
      <c r="Y3" s="19"/>
      <c r="Z3" s="19"/>
    </row>
    <row r="4" spans="1:26" s="8" customFormat="1">
      <c r="A4" s="5">
        <v>2101</v>
      </c>
      <c r="B4" s="5" t="s">
        <v>122</v>
      </c>
      <c r="C4" s="5" t="s">
        <v>33</v>
      </c>
      <c r="D4" s="5">
        <v>1201</v>
      </c>
      <c r="E4" s="5">
        <v>10000</v>
      </c>
      <c r="F4" s="5" t="s">
        <v>101</v>
      </c>
      <c r="G4" s="5">
        <v>0</v>
      </c>
      <c r="H4" s="37">
        <v>45</v>
      </c>
      <c r="I4" s="9">
        <v>0</v>
      </c>
      <c r="J4" s="9">
        <v>3</v>
      </c>
      <c r="K4" s="9">
        <v>2</v>
      </c>
      <c r="L4" s="9">
        <v>2</v>
      </c>
      <c r="M4" s="5">
        <v>0</v>
      </c>
      <c r="N4" s="5">
        <v>0</v>
      </c>
      <c r="O4" s="5">
        <v>0</v>
      </c>
      <c r="P4" s="5">
        <v>0</v>
      </c>
      <c r="Q4" s="5">
        <v>1</v>
      </c>
      <c r="R4" s="20">
        <v>0</v>
      </c>
      <c r="S4" s="20">
        <v>1800</v>
      </c>
      <c r="T4" s="20">
        <v>120</v>
      </c>
      <c r="U4" s="20">
        <v>60</v>
      </c>
      <c r="V4" s="20">
        <v>60</v>
      </c>
      <c r="W4" s="34">
        <v>0</v>
      </c>
      <c r="X4" s="34">
        <v>0</v>
      </c>
      <c r="Y4" s="34">
        <v>0</v>
      </c>
      <c r="Z4" s="34">
        <v>0</v>
      </c>
    </row>
    <row r="5" spans="1:26" s="8" customFormat="1">
      <c r="A5" s="5">
        <v>2102</v>
      </c>
      <c r="B5" s="5" t="s">
        <v>41</v>
      </c>
      <c r="C5" s="5" t="s">
        <v>34</v>
      </c>
      <c r="D5" s="5">
        <v>1202</v>
      </c>
      <c r="E5" s="5">
        <v>30000</v>
      </c>
      <c r="F5" s="5" t="s">
        <v>102</v>
      </c>
      <c r="G5" s="5">
        <v>0</v>
      </c>
      <c r="H5" s="9">
        <v>90</v>
      </c>
      <c r="I5" s="9">
        <v>0</v>
      </c>
      <c r="J5" s="9">
        <v>6</v>
      </c>
      <c r="K5" s="9">
        <v>4</v>
      </c>
      <c r="L5" s="9">
        <v>4</v>
      </c>
      <c r="M5" s="5">
        <v>0</v>
      </c>
      <c r="N5" s="5">
        <v>0</v>
      </c>
      <c r="O5" s="5">
        <v>0</v>
      </c>
      <c r="P5" s="5">
        <v>0</v>
      </c>
      <c r="Q5" s="5">
        <v>2</v>
      </c>
      <c r="R5" s="20">
        <v>0</v>
      </c>
      <c r="S5" s="20">
        <v>3600</v>
      </c>
      <c r="T5" s="20">
        <v>240</v>
      </c>
      <c r="U5" s="20">
        <v>120</v>
      </c>
      <c r="V5" s="20">
        <v>120</v>
      </c>
      <c r="W5" s="34">
        <v>0</v>
      </c>
      <c r="X5" s="34">
        <v>0</v>
      </c>
      <c r="Y5" s="34">
        <v>0</v>
      </c>
      <c r="Z5" s="34">
        <v>0</v>
      </c>
    </row>
    <row r="6" spans="1:26" s="8" customFormat="1">
      <c r="A6" s="5">
        <v>2103</v>
      </c>
      <c r="B6" s="5" t="s">
        <v>42</v>
      </c>
      <c r="C6" s="5" t="s">
        <v>35</v>
      </c>
      <c r="D6" s="5">
        <v>1203</v>
      </c>
      <c r="E6" s="5">
        <v>50000</v>
      </c>
      <c r="F6" s="5" t="s">
        <v>103</v>
      </c>
      <c r="G6" s="5">
        <v>0</v>
      </c>
      <c r="H6" s="9">
        <v>135</v>
      </c>
      <c r="I6" s="9">
        <v>0</v>
      </c>
      <c r="J6" s="9">
        <v>9</v>
      </c>
      <c r="K6" s="9">
        <v>6</v>
      </c>
      <c r="L6" s="9">
        <v>6</v>
      </c>
      <c r="M6" s="5">
        <v>0</v>
      </c>
      <c r="N6" s="5">
        <v>0</v>
      </c>
      <c r="O6" s="5">
        <v>0</v>
      </c>
      <c r="P6" s="5">
        <v>0</v>
      </c>
      <c r="Q6" s="5">
        <v>3</v>
      </c>
      <c r="R6" s="20">
        <v>0</v>
      </c>
      <c r="S6" s="20">
        <v>5400</v>
      </c>
      <c r="T6" s="20">
        <v>360</v>
      </c>
      <c r="U6" s="20">
        <v>180</v>
      </c>
      <c r="V6" s="20">
        <v>180</v>
      </c>
      <c r="W6" s="34">
        <v>0</v>
      </c>
      <c r="X6" s="34">
        <v>0</v>
      </c>
      <c r="Y6" s="34">
        <v>0</v>
      </c>
      <c r="Z6" s="34">
        <v>0</v>
      </c>
    </row>
    <row r="7" spans="1:26" s="8" customFormat="1">
      <c r="A7" s="5">
        <v>2104</v>
      </c>
      <c r="B7" s="5" t="s">
        <v>43</v>
      </c>
      <c r="C7" s="5" t="s">
        <v>36</v>
      </c>
      <c r="D7" s="5">
        <v>1204</v>
      </c>
      <c r="E7" s="5">
        <v>100000</v>
      </c>
      <c r="F7" s="5" t="s">
        <v>104</v>
      </c>
      <c r="G7" s="5">
        <v>1</v>
      </c>
      <c r="H7" s="9">
        <v>180</v>
      </c>
      <c r="I7" s="9">
        <v>0</v>
      </c>
      <c r="J7" s="9">
        <v>12</v>
      </c>
      <c r="K7" s="9">
        <v>8</v>
      </c>
      <c r="L7" s="9">
        <v>8</v>
      </c>
      <c r="M7" s="5">
        <v>0</v>
      </c>
      <c r="N7" s="5">
        <v>0</v>
      </c>
      <c r="O7" s="5">
        <v>0</v>
      </c>
      <c r="P7" s="5">
        <v>0</v>
      </c>
      <c r="Q7" s="5">
        <v>4</v>
      </c>
      <c r="R7" s="20">
        <v>0</v>
      </c>
      <c r="S7" s="20">
        <v>7200</v>
      </c>
      <c r="T7" s="20">
        <v>480</v>
      </c>
      <c r="U7" s="20">
        <v>240</v>
      </c>
      <c r="V7" s="20">
        <v>240</v>
      </c>
      <c r="W7" s="34">
        <v>0</v>
      </c>
      <c r="X7" s="34">
        <v>0</v>
      </c>
      <c r="Y7" s="34">
        <v>0</v>
      </c>
      <c r="Z7" s="34">
        <v>0</v>
      </c>
    </row>
    <row r="8" spans="1:26" s="8" customFormat="1">
      <c r="A8" s="5">
        <v>2105</v>
      </c>
      <c r="B8" s="5" t="s">
        <v>44</v>
      </c>
      <c r="C8" s="5" t="s">
        <v>37</v>
      </c>
      <c r="D8" s="5">
        <v>1205</v>
      </c>
      <c r="E8" s="5">
        <v>200000</v>
      </c>
      <c r="F8" s="5" t="s">
        <v>105</v>
      </c>
      <c r="G8" s="5">
        <v>1</v>
      </c>
      <c r="H8" s="9">
        <v>225</v>
      </c>
      <c r="I8" s="9">
        <v>0</v>
      </c>
      <c r="J8" s="9">
        <v>15</v>
      </c>
      <c r="K8" s="9">
        <v>10</v>
      </c>
      <c r="L8" s="9">
        <v>10</v>
      </c>
      <c r="M8" s="5">
        <v>0</v>
      </c>
      <c r="N8" s="5">
        <v>0</v>
      </c>
      <c r="O8" s="5">
        <v>0</v>
      </c>
      <c r="P8" s="5">
        <v>0</v>
      </c>
      <c r="Q8" s="5">
        <v>5</v>
      </c>
      <c r="R8" s="20">
        <v>0</v>
      </c>
      <c r="S8" s="20">
        <v>9000</v>
      </c>
      <c r="T8" s="20">
        <v>600</v>
      </c>
      <c r="U8" s="20">
        <v>300</v>
      </c>
      <c r="V8" s="20">
        <v>300</v>
      </c>
      <c r="W8" s="34">
        <v>0</v>
      </c>
      <c r="X8" s="34">
        <v>0</v>
      </c>
      <c r="Y8" s="34">
        <v>0</v>
      </c>
      <c r="Z8" s="34">
        <v>0</v>
      </c>
    </row>
    <row r="9" spans="1:26" s="8" customFormat="1">
      <c r="A9" s="5">
        <v>2106</v>
      </c>
      <c r="B9" s="5" t="s">
        <v>45</v>
      </c>
      <c r="C9" s="5" t="s">
        <v>38</v>
      </c>
      <c r="D9" s="5">
        <v>1206</v>
      </c>
      <c r="E9" s="5">
        <v>300000</v>
      </c>
      <c r="F9" s="5" t="s">
        <v>106</v>
      </c>
      <c r="G9" s="5">
        <v>2</v>
      </c>
      <c r="H9" s="9">
        <v>270</v>
      </c>
      <c r="I9" s="9">
        <v>0</v>
      </c>
      <c r="J9" s="9">
        <v>18</v>
      </c>
      <c r="K9" s="9">
        <v>12</v>
      </c>
      <c r="L9" s="9">
        <v>12</v>
      </c>
      <c r="M9" s="5">
        <v>0</v>
      </c>
      <c r="N9" s="5">
        <v>0</v>
      </c>
      <c r="O9" s="5">
        <v>0</v>
      </c>
      <c r="P9" s="5">
        <v>0</v>
      </c>
      <c r="Q9" s="5">
        <v>6</v>
      </c>
      <c r="R9" s="20">
        <v>0</v>
      </c>
      <c r="S9" s="20">
        <v>10800</v>
      </c>
      <c r="T9" s="20">
        <v>720</v>
      </c>
      <c r="U9" s="20">
        <v>360</v>
      </c>
      <c r="V9" s="20">
        <v>360</v>
      </c>
      <c r="W9" s="34">
        <v>0</v>
      </c>
      <c r="X9" s="34">
        <v>0</v>
      </c>
      <c r="Y9" s="34">
        <v>0</v>
      </c>
      <c r="Z9" s="34">
        <v>0</v>
      </c>
    </row>
    <row r="10" spans="1:26" s="8" customFormat="1">
      <c r="A10" s="5">
        <v>2107</v>
      </c>
      <c r="B10" s="5" t="s">
        <v>46</v>
      </c>
      <c r="C10" s="5" t="s">
        <v>39</v>
      </c>
      <c r="D10" s="5">
        <v>1207</v>
      </c>
      <c r="E10" s="5">
        <v>500000</v>
      </c>
      <c r="F10" s="5" t="s">
        <v>107</v>
      </c>
      <c r="G10" s="5">
        <v>2</v>
      </c>
      <c r="H10" s="9">
        <v>315</v>
      </c>
      <c r="I10" s="9">
        <v>0</v>
      </c>
      <c r="J10" s="9">
        <v>21</v>
      </c>
      <c r="K10" s="9">
        <v>14</v>
      </c>
      <c r="L10" s="9">
        <v>14</v>
      </c>
      <c r="M10" s="5">
        <v>0</v>
      </c>
      <c r="N10" s="5">
        <v>0</v>
      </c>
      <c r="O10" s="5">
        <v>0</v>
      </c>
      <c r="P10" s="5">
        <v>0</v>
      </c>
      <c r="Q10" s="5">
        <v>7</v>
      </c>
      <c r="R10" s="20">
        <v>0</v>
      </c>
      <c r="S10" s="20">
        <v>12600</v>
      </c>
      <c r="T10" s="20">
        <v>840</v>
      </c>
      <c r="U10" s="20">
        <v>420</v>
      </c>
      <c r="V10" s="20">
        <v>420</v>
      </c>
      <c r="W10" s="34">
        <v>0</v>
      </c>
      <c r="X10" s="34">
        <v>0</v>
      </c>
      <c r="Y10" s="34">
        <v>0</v>
      </c>
      <c r="Z10" s="34">
        <v>0</v>
      </c>
    </row>
    <row r="11" spans="1:26" s="8" customFormat="1">
      <c r="A11" s="5">
        <v>2108</v>
      </c>
      <c r="B11" s="5" t="s">
        <v>47</v>
      </c>
      <c r="C11" s="5" t="s">
        <v>40</v>
      </c>
      <c r="D11" s="5">
        <v>1208</v>
      </c>
      <c r="E11" s="5">
        <v>800000</v>
      </c>
      <c r="F11" s="5" t="s">
        <v>108</v>
      </c>
      <c r="G11" s="5">
        <v>4</v>
      </c>
      <c r="H11" s="9">
        <v>360</v>
      </c>
      <c r="I11" s="9">
        <v>0</v>
      </c>
      <c r="J11" s="9">
        <v>24</v>
      </c>
      <c r="K11" s="9">
        <v>16</v>
      </c>
      <c r="L11" s="9">
        <v>16</v>
      </c>
      <c r="M11" s="5">
        <v>0</v>
      </c>
      <c r="N11" s="5">
        <v>0</v>
      </c>
      <c r="O11" s="5">
        <v>0</v>
      </c>
      <c r="P11" s="5">
        <v>0</v>
      </c>
      <c r="Q11" s="5">
        <v>8</v>
      </c>
      <c r="R11" s="20">
        <v>0</v>
      </c>
      <c r="S11" s="20">
        <v>14400</v>
      </c>
      <c r="T11" s="20">
        <v>960</v>
      </c>
      <c r="U11" s="20">
        <v>480</v>
      </c>
      <c r="V11" s="20">
        <v>480</v>
      </c>
      <c r="W11" s="34">
        <v>0</v>
      </c>
      <c r="X11" s="34">
        <v>0</v>
      </c>
      <c r="Y11" s="34">
        <v>0</v>
      </c>
      <c r="Z11" s="34">
        <v>0</v>
      </c>
    </row>
    <row r="12" spans="1:26" s="8" customFormat="1">
      <c r="A12" s="5">
        <v>2109</v>
      </c>
      <c r="B12" s="5" t="s">
        <v>69</v>
      </c>
      <c r="C12" s="5" t="s">
        <v>32</v>
      </c>
      <c r="D12" s="5">
        <v>1209</v>
      </c>
      <c r="E12" s="5">
        <v>1200000</v>
      </c>
      <c r="F12" s="5" t="s">
        <v>109</v>
      </c>
      <c r="G12" s="5">
        <v>6</v>
      </c>
      <c r="H12" s="9">
        <v>405</v>
      </c>
      <c r="I12" s="9">
        <v>0</v>
      </c>
      <c r="J12" s="9">
        <v>27</v>
      </c>
      <c r="K12" s="9">
        <v>18</v>
      </c>
      <c r="L12" s="9">
        <v>18</v>
      </c>
      <c r="M12" s="5">
        <v>0</v>
      </c>
      <c r="N12" s="5">
        <v>0</v>
      </c>
      <c r="O12" s="5">
        <v>0</v>
      </c>
      <c r="P12" s="5">
        <v>0</v>
      </c>
      <c r="Q12" s="5">
        <v>9</v>
      </c>
      <c r="R12" s="20">
        <v>0</v>
      </c>
      <c r="S12" s="20">
        <v>16200</v>
      </c>
      <c r="T12" s="20">
        <v>1080</v>
      </c>
      <c r="U12" s="20">
        <v>540</v>
      </c>
      <c r="V12" s="20">
        <v>540</v>
      </c>
      <c r="W12" s="34">
        <v>0</v>
      </c>
      <c r="X12" s="34">
        <v>0</v>
      </c>
      <c r="Y12" s="34">
        <v>0</v>
      </c>
      <c r="Z12" s="34">
        <v>0</v>
      </c>
    </row>
    <row r="13" spans="1:26" s="8" customFormat="1">
      <c r="A13" s="5">
        <v>2110</v>
      </c>
      <c r="B13" s="5" t="s">
        <v>71</v>
      </c>
      <c r="C13" s="5" t="s">
        <v>31</v>
      </c>
      <c r="D13" s="5">
        <v>1210</v>
      </c>
      <c r="E13" s="5">
        <v>1600000</v>
      </c>
      <c r="F13" s="5" t="s">
        <v>110</v>
      </c>
      <c r="G13" s="5">
        <v>8</v>
      </c>
      <c r="H13" s="9">
        <v>450</v>
      </c>
      <c r="I13" s="9">
        <v>0</v>
      </c>
      <c r="J13" s="9">
        <v>30</v>
      </c>
      <c r="K13" s="9">
        <v>20</v>
      </c>
      <c r="L13" s="9">
        <v>20</v>
      </c>
      <c r="M13" s="5">
        <v>0</v>
      </c>
      <c r="N13" s="5">
        <v>0</v>
      </c>
      <c r="O13" s="5">
        <v>0</v>
      </c>
      <c r="P13" s="5">
        <v>0</v>
      </c>
      <c r="Q13" s="5">
        <v>10</v>
      </c>
      <c r="R13" s="20">
        <v>0</v>
      </c>
      <c r="S13" s="20">
        <v>18000</v>
      </c>
      <c r="T13" s="20">
        <v>1200</v>
      </c>
      <c r="U13" s="20">
        <v>600</v>
      </c>
      <c r="V13" s="20">
        <v>600</v>
      </c>
      <c r="W13" s="34">
        <v>0</v>
      </c>
      <c r="X13" s="34">
        <v>0</v>
      </c>
      <c r="Y13" s="34">
        <v>0</v>
      </c>
      <c r="Z13" s="34">
        <v>0</v>
      </c>
    </row>
    <row r="14" spans="1:26" s="8" customFormat="1">
      <c r="A14" s="5">
        <v>2111</v>
      </c>
      <c r="B14" s="5" t="s">
        <v>73</v>
      </c>
      <c r="C14" s="5" t="s">
        <v>74</v>
      </c>
      <c r="D14" s="5">
        <v>1211</v>
      </c>
      <c r="E14" s="5">
        <v>2000000</v>
      </c>
      <c r="F14" s="5" t="s">
        <v>90</v>
      </c>
      <c r="G14" s="5">
        <v>10</v>
      </c>
      <c r="H14" s="9">
        <v>495</v>
      </c>
      <c r="I14" s="9">
        <v>0</v>
      </c>
      <c r="J14" s="9">
        <v>33</v>
      </c>
      <c r="K14" s="9">
        <v>22</v>
      </c>
      <c r="L14" s="9">
        <v>22</v>
      </c>
      <c r="M14" s="5">
        <v>0</v>
      </c>
      <c r="N14" s="5">
        <v>0</v>
      </c>
      <c r="O14" s="5">
        <v>0</v>
      </c>
      <c r="P14" s="5">
        <v>0</v>
      </c>
      <c r="Q14" s="5">
        <v>11</v>
      </c>
      <c r="R14" s="20">
        <v>0</v>
      </c>
      <c r="S14" s="20">
        <v>19800</v>
      </c>
      <c r="T14" s="20">
        <v>1320</v>
      </c>
      <c r="U14" s="20">
        <v>660</v>
      </c>
      <c r="V14" s="20">
        <v>660</v>
      </c>
      <c r="W14" s="34">
        <v>0</v>
      </c>
      <c r="X14" s="34">
        <v>0</v>
      </c>
      <c r="Y14" s="34">
        <v>0</v>
      </c>
      <c r="Z14" s="34">
        <v>0</v>
      </c>
    </row>
    <row r="15" spans="1:26" s="8" customFormat="1">
      <c r="A15" s="5">
        <v>2112</v>
      </c>
      <c r="B15" s="5" t="s">
        <v>75</v>
      </c>
      <c r="C15" s="5" t="s">
        <v>76</v>
      </c>
      <c r="D15" s="5">
        <v>1212</v>
      </c>
      <c r="E15" s="5">
        <v>2400000</v>
      </c>
      <c r="F15" s="5" t="s">
        <v>111</v>
      </c>
      <c r="G15" s="5">
        <v>12</v>
      </c>
      <c r="H15" s="9">
        <v>540</v>
      </c>
      <c r="I15" s="9">
        <v>0</v>
      </c>
      <c r="J15" s="9">
        <v>36</v>
      </c>
      <c r="K15" s="9">
        <v>24</v>
      </c>
      <c r="L15" s="9">
        <v>24</v>
      </c>
      <c r="M15" s="5">
        <v>0</v>
      </c>
      <c r="N15" s="5">
        <v>0</v>
      </c>
      <c r="O15" s="5">
        <v>0</v>
      </c>
      <c r="P15" s="5">
        <v>0</v>
      </c>
      <c r="Q15" s="5">
        <v>12</v>
      </c>
      <c r="R15" s="20">
        <v>0</v>
      </c>
      <c r="S15" s="20">
        <v>21600</v>
      </c>
      <c r="T15" s="20">
        <v>1440</v>
      </c>
      <c r="U15" s="20">
        <v>720</v>
      </c>
      <c r="V15" s="20">
        <v>720</v>
      </c>
      <c r="W15" s="34">
        <v>0</v>
      </c>
      <c r="X15" s="34">
        <v>0</v>
      </c>
      <c r="Y15" s="34">
        <v>0</v>
      </c>
      <c r="Z15" s="34">
        <v>0</v>
      </c>
    </row>
    <row r="16" spans="1:26" s="8" customFormat="1">
      <c r="A16" s="5">
        <v>6101</v>
      </c>
      <c r="B16" s="5" t="s">
        <v>121</v>
      </c>
      <c r="C16" s="5" t="s">
        <v>33</v>
      </c>
      <c r="D16" s="5">
        <v>1201</v>
      </c>
      <c r="E16" s="5">
        <v>10000</v>
      </c>
      <c r="F16" s="5" t="s">
        <v>101</v>
      </c>
      <c r="G16" s="5">
        <v>0</v>
      </c>
      <c r="H16" s="37">
        <v>53</v>
      </c>
      <c r="I16" s="9">
        <v>0</v>
      </c>
      <c r="J16" s="9">
        <v>4</v>
      </c>
      <c r="K16" s="9">
        <v>2</v>
      </c>
      <c r="L16" s="9">
        <v>2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20">
        <v>0</v>
      </c>
      <c r="S16" s="20">
        <v>1800</v>
      </c>
      <c r="T16" s="20">
        <v>120</v>
      </c>
      <c r="U16" s="20">
        <v>60</v>
      </c>
      <c r="V16" s="20">
        <v>60</v>
      </c>
      <c r="W16" s="34">
        <v>0</v>
      </c>
      <c r="X16" s="34">
        <v>0</v>
      </c>
      <c r="Y16" s="34">
        <v>0</v>
      </c>
      <c r="Z16" s="34">
        <v>0</v>
      </c>
    </row>
    <row r="17" spans="1:26" s="8" customFormat="1">
      <c r="A17" s="5">
        <v>6102</v>
      </c>
      <c r="B17" s="5" t="s">
        <v>41</v>
      </c>
      <c r="C17" s="5" t="s">
        <v>34</v>
      </c>
      <c r="D17" s="5">
        <v>1202</v>
      </c>
      <c r="E17" s="5">
        <v>30000</v>
      </c>
      <c r="F17" s="5" t="s">
        <v>102</v>
      </c>
      <c r="G17" s="5">
        <v>0</v>
      </c>
      <c r="H17" s="9">
        <v>105</v>
      </c>
      <c r="I17" s="9">
        <v>0</v>
      </c>
      <c r="J17" s="9">
        <v>8</v>
      </c>
      <c r="K17" s="9">
        <v>4</v>
      </c>
      <c r="L17" s="9">
        <v>4</v>
      </c>
      <c r="M17" s="5">
        <v>0</v>
      </c>
      <c r="N17" s="5">
        <v>0</v>
      </c>
      <c r="O17" s="5">
        <v>0</v>
      </c>
      <c r="P17" s="5">
        <v>0</v>
      </c>
      <c r="Q17" s="5">
        <v>2</v>
      </c>
      <c r="R17" s="20">
        <v>0</v>
      </c>
      <c r="S17" s="20">
        <v>3600</v>
      </c>
      <c r="T17" s="20">
        <v>240</v>
      </c>
      <c r="U17" s="20">
        <v>120</v>
      </c>
      <c r="V17" s="20">
        <v>120</v>
      </c>
      <c r="W17" s="34">
        <v>0</v>
      </c>
      <c r="X17" s="34">
        <v>0</v>
      </c>
      <c r="Y17" s="34">
        <v>0</v>
      </c>
      <c r="Z17" s="34">
        <v>0</v>
      </c>
    </row>
    <row r="18" spans="1:26" s="8" customFormat="1">
      <c r="A18" s="5">
        <v>6103</v>
      </c>
      <c r="B18" s="5" t="s">
        <v>42</v>
      </c>
      <c r="C18" s="5" t="s">
        <v>35</v>
      </c>
      <c r="D18" s="5">
        <v>1203</v>
      </c>
      <c r="E18" s="5">
        <v>50000</v>
      </c>
      <c r="F18" s="5" t="s">
        <v>103</v>
      </c>
      <c r="G18" s="5">
        <v>0</v>
      </c>
      <c r="H18" s="9">
        <v>158</v>
      </c>
      <c r="I18" s="9">
        <v>0</v>
      </c>
      <c r="J18" s="9">
        <v>12</v>
      </c>
      <c r="K18" s="9">
        <v>6</v>
      </c>
      <c r="L18" s="9">
        <v>6</v>
      </c>
      <c r="M18" s="5">
        <v>0</v>
      </c>
      <c r="N18" s="5">
        <v>0</v>
      </c>
      <c r="O18" s="5">
        <v>0</v>
      </c>
      <c r="P18" s="5">
        <v>0</v>
      </c>
      <c r="Q18" s="5">
        <v>3</v>
      </c>
      <c r="R18" s="20">
        <v>0</v>
      </c>
      <c r="S18" s="20">
        <v>5400</v>
      </c>
      <c r="T18" s="20">
        <v>360</v>
      </c>
      <c r="U18" s="20">
        <v>180</v>
      </c>
      <c r="V18" s="20">
        <v>180</v>
      </c>
      <c r="W18" s="34">
        <v>0</v>
      </c>
      <c r="X18" s="34">
        <v>0</v>
      </c>
      <c r="Y18" s="34">
        <v>0</v>
      </c>
      <c r="Z18" s="34">
        <v>0</v>
      </c>
    </row>
    <row r="19" spans="1:26" s="8" customFormat="1">
      <c r="A19" s="5">
        <v>6104</v>
      </c>
      <c r="B19" s="5" t="s">
        <v>43</v>
      </c>
      <c r="C19" s="5" t="s">
        <v>36</v>
      </c>
      <c r="D19" s="5">
        <v>1204</v>
      </c>
      <c r="E19" s="5">
        <v>100000</v>
      </c>
      <c r="F19" s="5" t="s">
        <v>104</v>
      </c>
      <c r="G19" s="5">
        <v>1</v>
      </c>
      <c r="H19" s="9">
        <v>210</v>
      </c>
      <c r="I19" s="9">
        <v>0</v>
      </c>
      <c r="J19" s="9">
        <v>16</v>
      </c>
      <c r="K19" s="9">
        <v>8</v>
      </c>
      <c r="L19" s="9">
        <v>8</v>
      </c>
      <c r="M19" s="5">
        <v>0</v>
      </c>
      <c r="N19" s="5">
        <v>0</v>
      </c>
      <c r="O19" s="5">
        <v>0</v>
      </c>
      <c r="P19" s="5">
        <v>0</v>
      </c>
      <c r="Q19" s="5">
        <v>4</v>
      </c>
      <c r="R19" s="20">
        <v>0</v>
      </c>
      <c r="S19" s="20">
        <v>7200</v>
      </c>
      <c r="T19" s="20">
        <v>480</v>
      </c>
      <c r="U19" s="20">
        <v>240</v>
      </c>
      <c r="V19" s="20">
        <v>240</v>
      </c>
      <c r="W19" s="34">
        <v>0</v>
      </c>
      <c r="X19" s="34">
        <v>0</v>
      </c>
      <c r="Y19" s="34">
        <v>0</v>
      </c>
      <c r="Z19" s="34">
        <v>0</v>
      </c>
    </row>
    <row r="20" spans="1:26" s="8" customFormat="1">
      <c r="A20" s="5">
        <v>6105</v>
      </c>
      <c r="B20" s="5" t="s">
        <v>44</v>
      </c>
      <c r="C20" s="5" t="s">
        <v>37</v>
      </c>
      <c r="D20" s="5">
        <v>1205</v>
      </c>
      <c r="E20" s="5">
        <v>200000</v>
      </c>
      <c r="F20" s="5" t="s">
        <v>105</v>
      </c>
      <c r="G20" s="5">
        <v>1</v>
      </c>
      <c r="H20" s="9">
        <v>263</v>
      </c>
      <c r="I20" s="9">
        <v>0</v>
      </c>
      <c r="J20" s="9">
        <v>20</v>
      </c>
      <c r="K20" s="9">
        <v>10</v>
      </c>
      <c r="L20" s="9">
        <v>10</v>
      </c>
      <c r="M20" s="5">
        <v>0</v>
      </c>
      <c r="N20" s="5">
        <v>0</v>
      </c>
      <c r="O20" s="5">
        <v>0</v>
      </c>
      <c r="P20" s="5">
        <v>0</v>
      </c>
      <c r="Q20" s="5">
        <v>5</v>
      </c>
      <c r="R20" s="20">
        <v>0</v>
      </c>
      <c r="S20" s="20">
        <v>9000</v>
      </c>
      <c r="T20" s="20">
        <v>600</v>
      </c>
      <c r="U20" s="20">
        <v>300</v>
      </c>
      <c r="V20" s="20">
        <v>300</v>
      </c>
      <c r="W20" s="34">
        <v>0</v>
      </c>
      <c r="X20" s="34">
        <v>0</v>
      </c>
      <c r="Y20" s="34">
        <v>0</v>
      </c>
      <c r="Z20" s="34">
        <v>0</v>
      </c>
    </row>
    <row r="21" spans="1:26" s="8" customFormat="1">
      <c r="A21" s="5">
        <v>6106</v>
      </c>
      <c r="B21" s="5" t="s">
        <v>45</v>
      </c>
      <c r="C21" s="5" t="s">
        <v>38</v>
      </c>
      <c r="D21" s="5">
        <v>1206</v>
      </c>
      <c r="E21" s="5">
        <v>300000</v>
      </c>
      <c r="F21" s="5" t="s">
        <v>106</v>
      </c>
      <c r="G21" s="5">
        <v>2</v>
      </c>
      <c r="H21" s="9">
        <v>315</v>
      </c>
      <c r="I21" s="9">
        <v>0</v>
      </c>
      <c r="J21" s="9">
        <v>24</v>
      </c>
      <c r="K21" s="9">
        <v>12</v>
      </c>
      <c r="L21" s="9">
        <v>12</v>
      </c>
      <c r="M21" s="5">
        <v>0</v>
      </c>
      <c r="N21" s="5">
        <v>0</v>
      </c>
      <c r="O21" s="5">
        <v>0</v>
      </c>
      <c r="P21" s="5">
        <v>0</v>
      </c>
      <c r="Q21" s="5">
        <v>6</v>
      </c>
      <c r="R21" s="20">
        <v>0</v>
      </c>
      <c r="S21" s="20">
        <v>10800</v>
      </c>
      <c r="T21" s="20">
        <v>720</v>
      </c>
      <c r="U21" s="20">
        <v>360</v>
      </c>
      <c r="V21" s="20">
        <v>360</v>
      </c>
      <c r="W21" s="34">
        <v>0</v>
      </c>
      <c r="X21" s="34">
        <v>0</v>
      </c>
      <c r="Y21" s="34">
        <v>0</v>
      </c>
      <c r="Z21" s="34">
        <v>0</v>
      </c>
    </row>
    <row r="22" spans="1:26" s="8" customFormat="1">
      <c r="A22" s="5">
        <v>6107</v>
      </c>
      <c r="B22" s="5" t="s">
        <v>46</v>
      </c>
      <c r="C22" s="5" t="s">
        <v>39</v>
      </c>
      <c r="D22" s="5">
        <v>1207</v>
      </c>
      <c r="E22" s="5">
        <v>500000</v>
      </c>
      <c r="F22" s="5" t="s">
        <v>107</v>
      </c>
      <c r="G22" s="5">
        <v>2</v>
      </c>
      <c r="H22" s="9">
        <v>368</v>
      </c>
      <c r="I22" s="9">
        <v>0</v>
      </c>
      <c r="J22" s="9">
        <v>28</v>
      </c>
      <c r="K22" s="9">
        <v>14</v>
      </c>
      <c r="L22" s="9">
        <v>14</v>
      </c>
      <c r="M22" s="5">
        <v>0</v>
      </c>
      <c r="N22" s="5">
        <v>0</v>
      </c>
      <c r="O22" s="5">
        <v>0</v>
      </c>
      <c r="P22" s="5">
        <v>0</v>
      </c>
      <c r="Q22" s="5">
        <v>7</v>
      </c>
      <c r="R22" s="20">
        <v>0</v>
      </c>
      <c r="S22" s="20">
        <v>12600</v>
      </c>
      <c r="T22" s="20">
        <v>840</v>
      </c>
      <c r="U22" s="20">
        <v>420</v>
      </c>
      <c r="V22" s="20">
        <v>420</v>
      </c>
      <c r="W22" s="34">
        <v>0</v>
      </c>
      <c r="X22" s="34">
        <v>0</v>
      </c>
      <c r="Y22" s="34">
        <v>0</v>
      </c>
      <c r="Z22" s="34">
        <v>0</v>
      </c>
    </row>
    <row r="23" spans="1:26" s="8" customFormat="1">
      <c r="A23" s="5">
        <v>6108</v>
      </c>
      <c r="B23" s="5" t="s">
        <v>47</v>
      </c>
      <c r="C23" s="5" t="s">
        <v>40</v>
      </c>
      <c r="D23" s="5">
        <v>1208</v>
      </c>
      <c r="E23" s="5">
        <v>800000</v>
      </c>
      <c r="F23" s="5" t="s">
        <v>108</v>
      </c>
      <c r="G23" s="5">
        <v>4</v>
      </c>
      <c r="H23" s="9">
        <v>420</v>
      </c>
      <c r="I23" s="9">
        <v>0</v>
      </c>
      <c r="J23" s="9">
        <v>32</v>
      </c>
      <c r="K23" s="9">
        <v>16</v>
      </c>
      <c r="L23" s="9">
        <v>16</v>
      </c>
      <c r="M23" s="5">
        <v>0</v>
      </c>
      <c r="N23" s="5">
        <v>0</v>
      </c>
      <c r="O23" s="5">
        <v>0</v>
      </c>
      <c r="P23" s="5">
        <v>0</v>
      </c>
      <c r="Q23" s="5">
        <v>8</v>
      </c>
      <c r="R23" s="20">
        <v>0</v>
      </c>
      <c r="S23" s="20">
        <v>14400</v>
      </c>
      <c r="T23" s="20">
        <v>960</v>
      </c>
      <c r="U23" s="20">
        <v>480</v>
      </c>
      <c r="V23" s="20">
        <v>480</v>
      </c>
      <c r="W23" s="34">
        <v>0</v>
      </c>
      <c r="X23" s="34">
        <v>0</v>
      </c>
      <c r="Y23" s="34">
        <v>0</v>
      </c>
      <c r="Z23" s="34">
        <v>0</v>
      </c>
    </row>
    <row r="24" spans="1:26" s="8" customFormat="1">
      <c r="A24" s="5">
        <v>6109</v>
      </c>
      <c r="B24" s="5" t="s">
        <v>69</v>
      </c>
      <c r="C24" s="5" t="s">
        <v>32</v>
      </c>
      <c r="D24" s="5">
        <v>1209</v>
      </c>
      <c r="E24" s="5">
        <v>1200000</v>
      </c>
      <c r="F24" s="5" t="s">
        <v>109</v>
      </c>
      <c r="G24" s="5">
        <v>6</v>
      </c>
      <c r="H24" s="9">
        <v>473</v>
      </c>
      <c r="I24" s="9">
        <v>0</v>
      </c>
      <c r="J24" s="9">
        <v>36</v>
      </c>
      <c r="K24" s="9">
        <v>18</v>
      </c>
      <c r="L24" s="9">
        <v>18</v>
      </c>
      <c r="M24" s="5">
        <v>0</v>
      </c>
      <c r="N24" s="5">
        <v>0</v>
      </c>
      <c r="O24" s="5">
        <v>0</v>
      </c>
      <c r="P24" s="5">
        <v>0</v>
      </c>
      <c r="Q24" s="5">
        <v>9</v>
      </c>
      <c r="R24" s="20">
        <v>0</v>
      </c>
      <c r="S24" s="20">
        <v>16200</v>
      </c>
      <c r="T24" s="20">
        <v>1080</v>
      </c>
      <c r="U24" s="20">
        <v>540</v>
      </c>
      <c r="V24" s="20">
        <v>540</v>
      </c>
      <c r="W24" s="34">
        <v>0</v>
      </c>
      <c r="X24" s="34">
        <v>0</v>
      </c>
      <c r="Y24" s="34">
        <v>0</v>
      </c>
      <c r="Z24" s="34">
        <v>0</v>
      </c>
    </row>
    <row r="25" spans="1:26" s="8" customFormat="1">
      <c r="A25" s="5">
        <v>6110</v>
      </c>
      <c r="B25" s="5" t="s">
        <v>71</v>
      </c>
      <c r="C25" s="5" t="s">
        <v>31</v>
      </c>
      <c r="D25" s="5">
        <v>1210</v>
      </c>
      <c r="E25" s="5">
        <v>1600000</v>
      </c>
      <c r="F25" s="5" t="s">
        <v>110</v>
      </c>
      <c r="G25" s="5">
        <v>8</v>
      </c>
      <c r="H25" s="9">
        <v>525</v>
      </c>
      <c r="I25" s="9">
        <v>0</v>
      </c>
      <c r="J25" s="9">
        <v>40</v>
      </c>
      <c r="K25" s="9">
        <v>20</v>
      </c>
      <c r="L25" s="9">
        <v>20</v>
      </c>
      <c r="M25" s="5">
        <v>0</v>
      </c>
      <c r="N25" s="5">
        <v>0</v>
      </c>
      <c r="O25" s="5">
        <v>0</v>
      </c>
      <c r="P25" s="5">
        <v>0</v>
      </c>
      <c r="Q25" s="5">
        <v>10</v>
      </c>
      <c r="R25" s="20">
        <v>0</v>
      </c>
      <c r="S25" s="20">
        <v>18000</v>
      </c>
      <c r="T25" s="20">
        <v>1200</v>
      </c>
      <c r="U25" s="20">
        <v>600</v>
      </c>
      <c r="V25" s="20">
        <v>600</v>
      </c>
      <c r="W25" s="34">
        <v>0</v>
      </c>
      <c r="X25" s="34">
        <v>0</v>
      </c>
      <c r="Y25" s="34">
        <v>0</v>
      </c>
      <c r="Z25" s="34">
        <v>0</v>
      </c>
    </row>
    <row r="26" spans="1:26" s="8" customFormat="1">
      <c r="A26" s="5">
        <v>6111</v>
      </c>
      <c r="B26" s="5" t="s">
        <v>73</v>
      </c>
      <c r="C26" s="5" t="s">
        <v>74</v>
      </c>
      <c r="D26" s="5">
        <v>1211</v>
      </c>
      <c r="E26" s="5">
        <v>2000000</v>
      </c>
      <c r="F26" s="5" t="s">
        <v>90</v>
      </c>
      <c r="G26" s="5">
        <v>10</v>
      </c>
      <c r="H26" s="9">
        <v>578</v>
      </c>
      <c r="I26" s="9">
        <v>0</v>
      </c>
      <c r="J26" s="9">
        <v>44</v>
      </c>
      <c r="K26" s="9">
        <v>22</v>
      </c>
      <c r="L26" s="9">
        <v>22</v>
      </c>
      <c r="M26" s="5">
        <v>0</v>
      </c>
      <c r="N26" s="5">
        <v>0</v>
      </c>
      <c r="O26" s="5">
        <v>0</v>
      </c>
      <c r="P26" s="5">
        <v>0</v>
      </c>
      <c r="Q26" s="5">
        <v>11</v>
      </c>
      <c r="R26" s="20">
        <v>0</v>
      </c>
      <c r="S26" s="20">
        <v>19800</v>
      </c>
      <c r="T26" s="20">
        <v>1320</v>
      </c>
      <c r="U26" s="20">
        <v>660</v>
      </c>
      <c r="V26" s="20">
        <v>660</v>
      </c>
      <c r="W26" s="34">
        <v>0</v>
      </c>
      <c r="X26" s="34">
        <v>0</v>
      </c>
      <c r="Y26" s="34">
        <v>0</v>
      </c>
      <c r="Z26" s="34">
        <v>0</v>
      </c>
    </row>
    <row r="27" spans="1:26" s="8" customFormat="1">
      <c r="A27" s="5">
        <v>6112</v>
      </c>
      <c r="B27" s="5" t="s">
        <v>75</v>
      </c>
      <c r="C27" s="5" t="s">
        <v>76</v>
      </c>
      <c r="D27" s="5">
        <v>1212</v>
      </c>
      <c r="E27" s="5">
        <v>2400000</v>
      </c>
      <c r="F27" s="5" t="s">
        <v>111</v>
      </c>
      <c r="G27" s="5">
        <v>12</v>
      </c>
      <c r="H27" s="9">
        <v>630</v>
      </c>
      <c r="I27" s="9">
        <v>0</v>
      </c>
      <c r="J27" s="9">
        <v>48</v>
      </c>
      <c r="K27" s="9">
        <v>24</v>
      </c>
      <c r="L27" s="9">
        <v>24</v>
      </c>
      <c r="M27" s="5">
        <v>0</v>
      </c>
      <c r="N27" s="5">
        <v>0</v>
      </c>
      <c r="O27" s="5">
        <v>0</v>
      </c>
      <c r="P27" s="5">
        <v>0</v>
      </c>
      <c r="Q27" s="5">
        <v>12</v>
      </c>
      <c r="R27" s="20">
        <v>0</v>
      </c>
      <c r="S27" s="20">
        <v>21600</v>
      </c>
      <c r="T27" s="20">
        <v>1440</v>
      </c>
      <c r="U27" s="20">
        <v>720</v>
      </c>
      <c r="V27" s="20">
        <v>720</v>
      </c>
      <c r="W27" s="34">
        <v>0</v>
      </c>
      <c r="X27" s="34">
        <v>0</v>
      </c>
      <c r="Y27" s="34">
        <v>0</v>
      </c>
      <c r="Z27" s="34">
        <v>0</v>
      </c>
    </row>
    <row r="28" spans="1:26" s="8" customFormat="1">
      <c r="A28" s="5">
        <v>11101</v>
      </c>
      <c r="B28" s="5" t="s">
        <v>121</v>
      </c>
      <c r="C28" s="5" t="s">
        <v>33</v>
      </c>
      <c r="D28" s="5">
        <v>1201</v>
      </c>
      <c r="E28" s="5">
        <v>10000</v>
      </c>
      <c r="F28" s="5" t="s">
        <v>101</v>
      </c>
      <c r="G28" s="5">
        <v>0</v>
      </c>
      <c r="H28" s="37">
        <v>60</v>
      </c>
      <c r="I28" s="9">
        <v>0</v>
      </c>
      <c r="J28" s="9">
        <v>4</v>
      </c>
      <c r="K28" s="9">
        <v>2</v>
      </c>
      <c r="L28" s="9">
        <v>2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20">
        <v>0</v>
      </c>
      <c r="S28" s="20">
        <v>1800</v>
      </c>
      <c r="T28" s="20">
        <v>120</v>
      </c>
      <c r="U28" s="20">
        <v>60</v>
      </c>
      <c r="V28" s="20">
        <v>60</v>
      </c>
      <c r="W28" s="34">
        <v>0</v>
      </c>
      <c r="X28" s="34">
        <v>0</v>
      </c>
      <c r="Y28" s="34">
        <v>0</v>
      </c>
      <c r="Z28" s="34">
        <v>0</v>
      </c>
    </row>
    <row r="29" spans="1:26" s="8" customFormat="1">
      <c r="A29" s="5">
        <v>11102</v>
      </c>
      <c r="B29" s="5" t="s">
        <v>41</v>
      </c>
      <c r="C29" s="5" t="s">
        <v>34</v>
      </c>
      <c r="D29" s="5">
        <v>1202</v>
      </c>
      <c r="E29" s="5">
        <v>30000</v>
      </c>
      <c r="F29" s="5" t="s">
        <v>102</v>
      </c>
      <c r="G29" s="5">
        <v>0</v>
      </c>
      <c r="H29" s="9">
        <v>120</v>
      </c>
      <c r="I29" s="9">
        <v>0</v>
      </c>
      <c r="J29" s="9">
        <v>8</v>
      </c>
      <c r="K29" s="9">
        <v>4</v>
      </c>
      <c r="L29" s="9">
        <v>4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20">
        <v>0</v>
      </c>
      <c r="S29" s="20">
        <v>3600</v>
      </c>
      <c r="T29" s="20">
        <v>240</v>
      </c>
      <c r="U29" s="20">
        <v>120</v>
      </c>
      <c r="V29" s="20">
        <v>120</v>
      </c>
      <c r="W29" s="34">
        <v>0</v>
      </c>
      <c r="X29" s="34">
        <v>0</v>
      </c>
      <c r="Y29" s="34">
        <v>0</v>
      </c>
      <c r="Z29" s="34">
        <v>0</v>
      </c>
    </row>
    <row r="30" spans="1:26" s="8" customFormat="1">
      <c r="A30" s="5">
        <v>11103</v>
      </c>
      <c r="B30" s="5" t="s">
        <v>42</v>
      </c>
      <c r="C30" s="5" t="s">
        <v>35</v>
      </c>
      <c r="D30" s="5">
        <v>1203</v>
      </c>
      <c r="E30" s="5">
        <v>50000</v>
      </c>
      <c r="F30" s="5" t="s">
        <v>103</v>
      </c>
      <c r="G30" s="5">
        <v>0</v>
      </c>
      <c r="H30" s="9">
        <v>180</v>
      </c>
      <c r="I30" s="9">
        <v>0</v>
      </c>
      <c r="J30" s="9">
        <v>12</v>
      </c>
      <c r="K30" s="9">
        <v>6</v>
      </c>
      <c r="L30" s="9">
        <v>6</v>
      </c>
      <c r="M30" s="5">
        <v>0</v>
      </c>
      <c r="N30" s="5">
        <v>0</v>
      </c>
      <c r="O30" s="5">
        <v>0</v>
      </c>
      <c r="P30" s="5">
        <v>0</v>
      </c>
      <c r="Q30" s="5">
        <v>3</v>
      </c>
      <c r="R30" s="20">
        <v>0</v>
      </c>
      <c r="S30" s="20">
        <v>5400</v>
      </c>
      <c r="T30" s="20">
        <v>360</v>
      </c>
      <c r="U30" s="20">
        <v>180</v>
      </c>
      <c r="V30" s="20">
        <v>180</v>
      </c>
      <c r="W30" s="34">
        <v>0</v>
      </c>
      <c r="X30" s="34">
        <v>0</v>
      </c>
      <c r="Y30" s="34">
        <v>0</v>
      </c>
      <c r="Z30" s="34">
        <v>0</v>
      </c>
    </row>
    <row r="31" spans="1:26" s="8" customFormat="1">
      <c r="A31" s="5">
        <v>11104</v>
      </c>
      <c r="B31" s="5" t="s">
        <v>43</v>
      </c>
      <c r="C31" s="5" t="s">
        <v>36</v>
      </c>
      <c r="D31" s="5">
        <v>1204</v>
      </c>
      <c r="E31" s="5">
        <v>100000</v>
      </c>
      <c r="F31" s="5" t="s">
        <v>104</v>
      </c>
      <c r="G31" s="5">
        <v>1</v>
      </c>
      <c r="H31" s="9">
        <v>240</v>
      </c>
      <c r="I31" s="9">
        <v>0</v>
      </c>
      <c r="J31" s="9">
        <v>16</v>
      </c>
      <c r="K31" s="9">
        <v>8</v>
      </c>
      <c r="L31" s="9">
        <v>8</v>
      </c>
      <c r="M31" s="5">
        <v>0</v>
      </c>
      <c r="N31" s="5">
        <v>0</v>
      </c>
      <c r="O31" s="5">
        <v>0</v>
      </c>
      <c r="P31" s="5">
        <v>0</v>
      </c>
      <c r="Q31" s="5">
        <v>4</v>
      </c>
      <c r="R31" s="20">
        <v>0</v>
      </c>
      <c r="S31" s="20">
        <v>7200</v>
      </c>
      <c r="T31" s="20">
        <v>480</v>
      </c>
      <c r="U31" s="20">
        <v>240</v>
      </c>
      <c r="V31" s="20">
        <v>240</v>
      </c>
      <c r="W31" s="34">
        <v>0</v>
      </c>
      <c r="X31" s="34">
        <v>0</v>
      </c>
      <c r="Y31" s="34">
        <v>0</v>
      </c>
      <c r="Z31" s="34">
        <v>0</v>
      </c>
    </row>
    <row r="32" spans="1:26" s="8" customFormat="1">
      <c r="A32" s="5">
        <v>11105</v>
      </c>
      <c r="B32" s="5" t="s">
        <v>44</v>
      </c>
      <c r="C32" s="5" t="s">
        <v>37</v>
      </c>
      <c r="D32" s="5">
        <v>1205</v>
      </c>
      <c r="E32" s="5">
        <v>200000</v>
      </c>
      <c r="F32" s="5" t="s">
        <v>105</v>
      </c>
      <c r="G32" s="5">
        <v>1</v>
      </c>
      <c r="H32" s="9">
        <v>300</v>
      </c>
      <c r="I32" s="9">
        <v>0</v>
      </c>
      <c r="J32" s="9">
        <v>20</v>
      </c>
      <c r="K32" s="9">
        <v>10</v>
      </c>
      <c r="L32" s="9">
        <v>10</v>
      </c>
      <c r="M32" s="5">
        <v>0</v>
      </c>
      <c r="N32" s="5">
        <v>0</v>
      </c>
      <c r="O32" s="5">
        <v>0</v>
      </c>
      <c r="P32" s="5">
        <v>0</v>
      </c>
      <c r="Q32" s="5">
        <v>5</v>
      </c>
      <c r="R32" s="20">
        <v>0</v>
      </c>
      <c r="S32" s="20">
        <v>9000</v>
      </c>
      <c r="T32" s="20">
        <v>600</v>
      </c>
      <c r="U32" s="20">
        <v>300</v>
      </c>
      <c r="V32" s="20">
        <v>300</v>
      </c>
      <c r="W32" s="34">
        <v>0</v>
      </c>
      <c r="X32" s="34">
        <v>0</v>
      </c>
      <c r="Y32" s="34">
        <v>0</v>
      </c>
      <c r="Z32" s="34">
        <v>0</v>
      </c>
    </row>
    <row r="33" spans="1:26" s="8" customFormat="1">
      <c r="A33" s="5">
        <v>11106</v>
      </c>
      <c r="B33" s="5" t="s">
        <v>45</v>
      </c>
      <c r="C33" s="5" t="s">
        <v>38</v>
      </c>
      <c r="D33" s="5">
        <v>1206</v>
      </c>
      <c r="E33" s="5">
        <v>300000</v>
      </c>
      <c r="F33" s="5" t="s">
        <v>106</v>
      </c>
      <c r="G33" s="5">
        <v>2</v>
      </c>
      <c r="H33" s="9">
        <v>360</v>
      </c>
      <c r="I33" s="9">
        <v>0</v>
      </c>
      <c r="J33" s="9">
        <v>24</v>
      </c>
      <c r="K33" s="9">
        <v>12</v>
      </c>
      <c r="L33" s="9">
        <v>12</v>
      </c>
      <c r="M33" s="5">
        <v>0</v>
      </c>
      <c r="N33" s="5">
        <v>0</v>
      </c>
      <c r="O33" s="5">
        <v>0</v>
      </c>
      <c r="P33" s="5">
        <v>0</v>
      </c>
      <c r="Q33" s="5">
        <v>6</v>
      </c>
      <c r="R33" s="20">
        <v>0</v>
      </c>
      <c r="S33" s="20">
        <v>10800</v>
      </c>
      <c r="T33" s="20">
        <v>720</v>
      </c>
      <c r="U33" s="20">
        <v>360</v>
      </c>
      <c r="V33" s="20">
        <v>360</v>
      </c>
      <c r="W33" s="34">
        <v>0</v>
      </c>
      <c r="X33" s="34">
        <v>0</v>
      </c>
      <c r="Y33" s="34">
        <v>0</v>
      </c>
      <c r="Z33" s="34">
        <v>0</v>
      </c>
    </row>
    <row r="34" spans="1:26" s="8" customFormat="1">
      <c r="A34" s="5">
        <v>11107</v>
      </c>
      <c r="B34" s="5" t="s">
        <v>46</v>
      </c>
      <c r="C34" s="5" t="s">
        <v>39</v>
      </c>
      <c r="D34" s="5">
        <v>1207</v>
      </c>
      <c r="E34" s="5">
        <v>500000</v>
      </c>
      <c r="F34" s="5" t="s">
        <v>107</v>
      </c>
      <c r="G34" s="5">
        <v>2</v>
      </c>
      <c r="H34" s="9">
        <v>420</v>
      </c>
      <c r="I34" s="9">
        <v>0</v>
      </c>
      <c r="J34" s="9">
        <v>28</v>
      </c>
      <c r="K34" s="9">
        <v>14</v>
      </c>
      <c r="L34" s="9">
        <v>14</v>
      </c>
      <c r="M34" s="5">
        <v>0</v>
      </c>
      <c r="N34" s="5">
        <v>0</v>
      </c>
      <c r="O34" s="5">
        <v>0</v>
      </c>
      <c r="P34" s="5">
        <v>0</v>
      </c>
      <c r="Q34" s="5">
        <v>7</v>
      </c>
      <c r="R34" s="20">
        <v>0</v>
      </c>
      <c r="S34" s="20">
        <v>12600</v>
      </c>
      <c r="T34" s="20">
        <v>840</v>
      </c>
      <c r="U34" s="20">
        <v>420</v>
      </c>
      <c r="V34" s="20">
        <v>420</v>
      </c>
      <c r="W34" s="34">
        <v>0</v>
      </c>
      <c r="X34" s="34">
        <v>0</v>
      </c>
      <c r="Y34" s="34">
        <v>0</v>
      </c>
      <c r="Z34" s="34">
        <v>0</v>
      </c>
    </row>
    <row r="35" spans="1:26" s="8" customFormat="1">
      <c r="A35" s="5">
        <v>11108</v>
      </c>
      <c r="B35" s="5" t="s">
        <v>47</v>
      </c>
      <c r="C35" s="5" t="s">
        <v>40</v>
      </c>
      <c r="D35" s="5">
        <v>1208</v>
      </c>
      <c r="E35" s="5">
        <v>800000</v>
      </c>
      <c r="F35" s="5" t="s">
        <v>108</v>
      </c>
      <c r="G35" s="5">
        <v>4</v>
      </c>
      <c r="H35" s="9">
        <v>480</v>
      </c>
      <c r="I35" s="9">
        <v>0</v>
      </c>
      <c r="J35" s="9">
        <v>32</v>
      </c>
      <c r="K35" s="9">
        <v>16</v>
      </c>
      <c r="L35" s="9">
        <v>16</v>
      </c>
      <c r="M35" s="5">
        <v>0</v>
      </c>
      <c r="N35" s="5">
        <v>0</v>
      </c>
      <c r="O35" s="5">
        <v>0</v>
      </c>
      <c r="P35" s="5">
        <v>0</v>
      </c>
      <c r="Q35" s="5">
        <v>8</v>
      </c>
      <c r="R35" s="20">
        <v>0</v>
      </c>
      <c r="S35" s="20">
        <v>14400</v>
      </c>
      <c r="T35" s="20">
        <v>960</v>
      </c>
      <c r="U35" s="20">
        <v>480</v>
      </c>
      <c r="V35" s="20">
        <v>480</v>
      </c>
      <c r="W35" s="34">
        <v>0</v>
      </c>
      <c r="X35" s="34">
        <v>0</v>
      </c>
      <c r="Y35" s="34">
        <v>0</v>
      </c>
      <c r="Z35" s="34">
        <v>0</v>
      </c>
    </row>
    <row r="36" spans="1:26" s="8" customFormat="1">
      <c r="A36" s="5">
        <v>11109</v>
      </c>
      <c r="B36" s="5" t="s">
        <v>69</v>
      </c>
      <c r="C36" s="5" t="s">
        <v>32</v>
      </c>
      <c r="D36" s="5">
        <v>1209</v>
      </c>
      <c r="E36" s="5">
        <v>1200000</v>
      </c>
      <c r="F36" s="5" t="s">
        <v>109</v>
      </c>
      <c r="G36" s="5">
        <v>6</v>
      </c>
      <c r="H36" s="9">
        <v>540</v>
      </c>
      <c r="I36" s="9">
        <v>0</v>
      </c>
      <c r="J36" s="9">
        <v>36</v>
      </c>
      <c r="K36" s="9">
        <v>18</v>
      </c>
      <c r="L36" s="9">
        <v>18</v>
      </c>
      <c r="M36" s="5">
        <v>0</v>
      </c>
      <c r="N36" s="5">
        <v>0</v>
      </c>
      <c r="O36" s="5">
        <v>0</v>
      </c>
      <c r="P36" s="5">
        <v>0</v>
      </c>
      <c r="Q36" s="5">
        <v>9</v>
      </c>
      <c r="R36" s="20">
        <v>0</v>
      </c>
      <c r="S36" s="20">
        <v>16200</v>
      </c>
      <c r="T36" s="20">
        <v>1080</v>
      </c>
      <c r="U36" s="20">
        <v>540</v>
      </c>
      <c r="V36" s="20">
        <v>540</v>
      </c>
      <c r="W36" s="34">
        <v>0</v>
      </c>
      <c r="X36" s="34">
        <v>0</v>
      </c>
      <c r="Y36" s="34">
        <v>0</v>
      </c>
      <c r="Z36" s="34">
        <v>0</v>
      </c>
    </row>
    <row r="37" spans="1:26" s="8" customFormat="1">
      <c r="A37" s="5">
        <v>11110</v>
      </c>
      <c r="B37" s="5" t="s">
        <v>71</v>
      </c>
      <c r="C37" s="5" t="s">
        <v>31</v>
      </c>
      <c r="D37" s="5">
        <v>1210</v>
      </c>
      <c r="E37" s="5">
        <v>1600000</v>
      </c>
      <c r="F37" s="5" t="s">
        <v>110</v>
      </c>
      <c r="G37" s="5">
        <v>8</v>
      </c>
      <c r="H37" s="9">
        <v>600</v>
      </c>
      <c r="I37" s="9">
        <v>0</v>
      </c>
      <c r="J37" s="9">
        <v>40</v>
      </c>
      <c r="K37" s="9">
        <v>20</v>
      </c>
      <c r="L37" s="9">
        <v>20</v>
      </c>
      <c r="M37" s="5">
        <v>0</v>
      </c>
      <c r="N37" s="5">
        <v>0</v>
      </c>
      <c r="O37" s="5">
        <v>0</v>
      </c>
      <c r="P37" s="5">
        <v>0</v>
      </c>
      <c r="Q37" s="5">
        <v>10</v>
      </c>
      <c r="R37" s="20">
        <v>0</v>
      </c>
      <c r="S37" s="20">
        <v>18000</v>
      </c>
      <c r="T37" s="20">
        <v>1200</v>
      </c>
      <c r="U37" s="20">
        <v>600</v>
      </c>
      <c r="V37" s="20">
        <v>600</v>
      </c>
      <c r="W37" s="34">
        <v>0</v>
      </c>
      <c r="X37" s="34">
        <v>0</v>
      </c>
      <c r="Y37" s="34">
        <v>0</v>
      </c>
      <c r="Z37" s="34">
        <v>0</v>
      </c>
    </row>
    <row r="38" spans="1:26" s="8" customFormat="1">
      <c r="A38" s="5">
        <v>11111</v>
      </c>
      <c r="B38" s="5" t="s">
        <v>73</v>
      </c>
      <c r="C38" s="5" t="s">
        <v>74</v>
      </c>
      <c r="D38" s="5">
        <v>1211</v>
      </c>
      <c r="E38" s="5">
        <v>2000000</v>
      </c>
      <c r="F38" s="5" t="s">
        <v>90</v>
      </c>
      <c r="G38" s="5">
        <v>10</v>
      </c>
      <c r="H38" s="9">
        <v>660</v>
      </c>
      <c r="I38" s="9">
        <v>0</v>
      </c>
      <c r="J38" s="9">
        <v>44</v>
      </c>
      <c r="K38" s="9">
        <v>22</v>
      </c>
      <c r="L38" s="9">
        <v>22</v>
      </c>
      <c r="M38" s="5">
        <v>0</v>
      </c>
      <c r="N38" s="5">
        <v>0</v>
      </c>
      <c r="O38" s="5">
        <v>0</v>
      </c>
      <c r="P38" s="5">
        <v>0</v>
      </c>
      <c r="Q38" s="5">
        <v>11</v>
      </c>
      <c r="R38" s="20">
        <v>0</v>
      </c>
      <c r="S38" s="20">
        <v>19800</v>
      </c>
      <c r="T38" s="20">
        <v>1320</v>
      </c>
      <c r="U38" s="20">
        <v>660</v>
      </c>
      <c r="V38" s="20">
        <v>660</v>
      </c>
      <c r="W38" s="34">
        <v>0</v>
      </c>
      <c r="X38" s="34">
        <v>0</v>
      </c>
      <c r="Y38" s="34">
        <v>0</v>
      </c>
      <c r="Z38" s="34">
        <v>0</v>
      </c>
    </row>
    <row r="39" spans="1:26" s="8" customFormat="1">
      <c r="A39" s="5">
        <v>11112</v>
      </c>
      <c r="B39" s="5" t="s">
        <v>75</v>
      </c>
      <c r="C39" s="5" t="s">
        <v>76</v>
      </c>
      <c r="D39" s="5">
        <v>1212</v>
      </c>
      <c r="E39" s="5">
        <v>2400000</v>
      </c>
      <c r="F39" s="5" t="s">
        <v>111</v>
      </c>
      <c r="G39" s="5">
        <v>12</v>
      </c>
      <c r="H39" s="9">
        <v>720</v>
      </c>
      <c r="I39" s="9">
        <v>0</v>
      </c>
      <c r="J39" s="9">
        <v>48</v>
      </c>
      <c r="K39" s="9">
        <v>24</v>
      </c>
      <c r="L39" s="9">
        <v>24</v>
      </c>
      <c r="M39" s="5">
        <v>0</v>
      </c>
      <c r="N39" s="5">
        <v>0</v>
      </c>
      <c r="O39" s="5">
        <v>0</v>
      </c>
      <c r="P39" s="5">
        <v>0</v>
      </c>
      <c r="Q39" s="5">
        <v>12</v>
      </c>
      <c r="R39" s="20">
        <v>0</v>
      </c>
      <c r="S39" s="20">
        <v>21600</v>
      </c>
      <c r="T39" s="20">
        <v>1440</v>
      </c>
      <c r="U39" s="20">
        <v>720</v>
      </c>
      <c r="V39" s="20">
        <v>720</v>
      </c>
      <c r="W39" s="34">
        <v>0</v>
      </c>
      <c r="X39" s="34">
        <v>0</v>
      </c>
      <c r="Y39" s="34">
        <v>0</v>
      </c>
      <c r="Z39" s="34">
        <v>0</v>
      </c>
    </row>
    <row r="40" spans="1:26" s="8" customFormat="1">
      <c r="A40" s="5">
        <v>11201</v>
      </c>
      <c r="B40" s="5" t="s">
        <v>121</v>
      </c>
      <c r="C40" s="5" t="s">
        <v>33</v>
      </c>
      <c r="D40" s="5">
        <v>1201</v>
      </c>
      <c r="E40" s="5">
        <v>10000</v>
      </c>
      <c r="F40" s="5" t="s">
        <v>101</v>
      </c>
      <c r="G40" s="5">
        <v>0</v>
      </c>
      <c r="H40" s="37">
        <v>60</v>
      </c>
      <c r="I40" s="9">
        <v>0</v>
      </c>
      <c r="J40" s="9">
        <v>4</v>
      </c>
      <c r="K40" s="9">
        <v>2</v>
      </c>
      <c r="L40" s="9">
        <v>2</v>
      </c>
      <c r="M40" s="5">
        <v>0</v>
      </c>
      <c r="N40" s="5">
        <v>0</v>
      </c>
      <c r="O40" s="5">
        <v>0</v>
      </c>
      <c r="P40" s="5">
        <v>0</v>
      </c>
      <c r="Q40" s="5">
        <v>1</v>
      </c>
      <c r="R40" s="20">
        <v>0</v>
      </c>
      <c r="S40" s="20">
        <v>1800</v>
      </c>
      <c r="T40" s="20">
        <v>120</v>
      </c>
      <c r="U40" s="20">
        <v>60</v>
      </c>
      <c r="V40" s="20">
        <v>60</v>
      </c>
      <c r="W40" s="34">
        <v>0</v>
      </c>
      <c r="X40" s="34">
        <v>0</v>
      </c>
      <c r="Y40" s="34">
        <v>0</v>
      </c>
      <c r="Z40" s="34">
        <v>0</v>
      </c>
    </row>
    <row r="41" spans="1:26" s="8" customFormat="1">
      <c r="A41" s="5">
        <v>11202</v>
      </c>
      <c r="B41" s="5" t="s">
        <v>41</v>
      </c>
      <c r="C41" s="5" t="s">
        <v>34</v>
      </c>
      <c r="D41" s="5">
        <v>1202</v>
      </c>
      <c r="E41" s="5">
        <v>30000</v>
      </c>
      <c r="F41" s="5" t="s">
        <v>102</v>
      </c>
      <c r="G41" s="5">
        <v>0</v>
      </c>
      <c r="H41" s="9">
        <v>120</v>
      </c>
      <c r="I41" s="9">
        <v>0</v>
      </c>
      <c r="J41" s="9">
        <v>8</v>
      </c>
      <c r="K41" s="9">
        <v>4</v>
      </c>
      <c r="L41" s="9">
        <v>4</v>
      </c>
      <c r="M41" s="5">
        <v>0</v>
      </c>
      <c r="N41" s="5">
        <v>0</v>
      </c>
      <c r="O41" s="5">
        <v>0</v>
      </c>
      <c r="P41" s="5">
        <v>0</v>
      </c>
      <c r="Q41" s="5">
        <v>2</v>
      </c>
      <c r="R41" s="20">
        <v>0</v>
      </c>
      <c r="S41" s="20">
        <v>3600</v>
      </c>
      <c r="T41" s="20">
        <v>240</v>
      </c>
      <c r="U41" s="20">
        <v>120</v>
      </c>
      <c r="V41" s="20">
        <v>120</v>
      </c>
      <c r="W41" s="34">
        <v>0</v>
      </c>
      <c r="X41" s="34">
        <v>0</v>
      </c>
      <c r="Y41" s="34">
        <v>0</v>
      </c>
      <c r="Z41" s="34">
        <v>0</v>
      </c>
    </row>
    <row r="42" spans="1:26" s="8" customFormat="1">
      <c r="A42" s="5">
        <v>11203</v>
      </c>
      <c r="B42" s="5" t="s">
        <v>42</v>
      </c>
      <c r="C42" s="5" t="s">
        <v>35</v>
      </c>
      <c r="D42" s="5">
        <v>1203</v>
      </c>
      <c r="E42" s="5">
        <v>50000</v>
      </c>
      <c r="F42" s="5" t="s">
        <v>103</v>
      </c>
      <c r="G42" s="5">
        <v>0</v>
      </c>
      <c r="H42" s="9">
        <v>180</v>
      </c>
      <c r="I42" s="9">
        <v>0</v>
      </c>
      <c r="J42" s="9">
        <v>12</v>
      </c>
      <c r="K42" s="9">
        <v>6</v>
      </c>
      <c r="L42" s="9">
        <v>6</v>
      </c>
      <c r="M42" s="5">
        <v>0</v>
      </c>
      <c r="N42" s="5">
        <v>0</v>
      </c>
      <c r="O42" s="5">
        <v>0</v>
      </c>
      <c r="P42" s="5">
        <v>0</v>
      </c>
      <c r="Q42" s="5">
        <v>3</v>
      </c>
      <c r="R42" s="20">
        <v>0</v>
      </c>
      <c r="S42" s="20">
        <v>5400</v>
      </c>
      <c r="T42" s="20">
        <v>360</v>
      </c>
      <c r="U42" s="20">
        <v>180</v>
      </c>
      <c r="V42" s="20">
        <v>180</v>
      </c>
      <c r="W42" s="34">
        <v>0</v>
      </c>
      <c r="X42" s="34">
        <v>0</v>
      </c>
      <c r="Y42" s="34">
        <v>0</v>
      </c>
      <c r="Z42" s="34">
        <v>0</v>
      </c>
    </row>
    <row r="43" spans="1:26" s="8" customFormat="1">
      <c r="A43" s="5">
        <v>11204</v>
      </c>
      <c r="B43" s="5" t="s">
        <v>43</v>
      </c>
      <c r="C43" s="5" t="s">
        <v>36</v>
      </c>
      <c r="D43" s="5">
        <v>1204</v>
      </c>
      <c r="E43" s="5">
        <v>100000</v>
      </c>
      <c r="F43" s="5" t="s">
        <v>104</v>
      </c>
      <c r="G43" s="5">
        <v>1</v>
      </c>
      <c r="H43" s="9">
        <v>240</v>
      </c>
      <c r="I43" s="9">
        <v>0</v>
      </c>
      <c r="J43" s="9">
        <v>16</v>
      </c>
      <c r="K43" s="9">
        <v>8</v>
      </c>
      <c r="L43" s="9">
        <v>8</v>
      </c>
      <c r="M43" s="5">
        <v>0</v>
      </c>
      <c r="N43" s="5">
        <v>0</v>
      </c>
      <c r="O43" s="5">
        <v>0</v>
      </c>
      <c r="P43" s="5">
        <v>0</v>
      </c>
      <c r="Q43" s="5">
        <v>4</v>
      </c>
      <c r="R43" s="20">
        <v>0</v>
      </c>
      <c r="S43" s="20">
        <v>7200</v>
      </c>
      <c r="T43" s="20">
        <v>480</v>
      </c>
      <c r="U43" s="20">
        <v>240</v>
      </c>
      <c r="V43" s="20">
        <v>240</v>
      </c>
      <c r="W43" s="34">
        <v>0</v>
      </c>
      <c r="X43" s="34">
        <v>0</v>
      </c>
      <c r="Y43" s="34">
        <v>0</v>
      </c>
      <c r="Z43" s="34">
        <v>0</v>
      </c>
    </row>
    <row r="44" spans="1:26" s="8" customFormat="1">
      <c r="A44" s="5">
        <v>11205</v>
      </c>
      <c r="B44" s="5" t="s">
        <v>44</v>
      </c>
      <c r="C44" s="5" t="s">
        <v>37</v>
      </c>
      <c r="D44" s="5">
        <v>1205</v>
      </c>
      <c r="E44" s="5">
        <v>200000</v>
      </c>
      <c r="F44" s="5" t="s">
        <v>105</v>
      </c>
      <c r="G44" s="5">
        <v>1</v>
      </c>
      <c r="H44" s="9">
        <v>300</v>
      </c>
      <c r="I44" s="9">
        <v>0</v>
      </c>
      <c r="J44" s="9">
        <v>20</v>
      </c>
      <c r="K44" s="9">
        <v>10</v>
      </c>
      <c r="L44" s="9">
        <v>10</v>
      </c>
      <c r="M44" s="5">
        <v>0</v>
      </c>
      <c r="N44" s="5">
        <v>0</v>
      </c>
      <c r="O44" s="5">
        <v>0</v>
      </c>
      <c r="P44" s="5">
        <v>0</v>
      </c>
      <c r="Q44" s="5">
        <v>5</v>
      </c>
      <c r="R44" s="20">
        <v>0</v>
      </c>
      <c r="S44" s="20">
        <v>9000</v>
      </c>
      <c r="T44" s="20">
        <v>600</v>
      </c>
      <c r="U44" s="20">
        <v>300</v>
      </c>
      <c r="V44" s="20">
        <v>300</v>
      </c>
      <c r="W44" s="34">
        <v>0</v>
      </c>
      <c r="X44" s="34">
        <v>0</v>
      </c>
      <c r="Y44" s="34">
        <v>0</v>
      </c>
      <c r="Z44" s="34">
        <v>0</v>
      </c>
    </row>
    <row r="45" spans="1:26" s="8" customFormat="1">
      <c r="A45" s="5">
        <v>11206</v>
      </c>
      <c r="B45" s="5" t="s">
        <v>45</v>
      </c>
      <c r="C45" s="5" t="s">
        <v>38</v>
      </c>
      <c r="D45" s="5">
        <v>1206</v>
      </c>
      <c r="E45" s="5">
        <v>300000</v>
      </c>
      <c r="F45" s="5" t="s">
        <v>106</v>
      </c>
      <c r="G45" s="5">
        <v>2</v>
      </c>
      <c r="H45" s="9">
        <v>360</v>
      </c>
      <c r="I45" s="9">
        <v>0</v>
      </c>
      <c r="J45" s="9">
        <v>24</v>
      </c>
      <c r="K45" s="9">
        <v>12</v>
      </c>
      <c r="L45" s="9">
        <v>12</v>
      </c>
      <c r="M45" s="5">
        <v>0</v>
      </c>
      <c r="N45" s="5">
        <v>0</v>
      </c>
      <c r="O45" s="5">
        <v>0</v>
      </c>
      <c r="P45" s="5">
        <v>0</v>
      </c>
      <c r="Q45" s="5">
        <v>6</v>
      </c>
      <c r="R45" s="20">
        <v>0</v>
      </c>
      <c r="S45" s="20">
        <v>10800</v>
      </c>
      <c r="T45" s="20">
        <v>720</v>
      </c>
      <c r="U45" s="20">
        <v>360</v>
      </c>
      <c r="V45" s="20">
        <v>360</v>
      </c>
      <c r="W45" s="34">
        <v>0</v>
      </c>
      <c r="X45" s="34">
        <v>0</v>
      </c>
      <c r="Y45" s="34">
        <v>0</v>
      </c>
      <c r="Z45" s="34">
        <v>0</v>
      </c>
    </row>
    <row r="46" spans="1:26" s="8" customFormat="1">
      <c r="A46" s="5">
        <v>11207</v>
      </c>
      <c r="B46" s="5" t="s">
        <v>46</v>
      </c>
      <c r="C46" s="5" t="s">
        <v>39</v>
      </c>
      <c r="D46" s="5">
        <v>1207</v>
      </c>
      <c r="E46" s="5">
        <v>500000</v>
      </c>
      <c r="F46" s="5" t="s">
        <v>107</v>
      </c>
      <c r="G46" s="5">
        <v>2</v>
      </c>
      <c r="H46" s="9">
        <v>420</v>
      </c>
      <c r="I46" s="9">
        <v>0</v>
      </c>
      <c r="J46" s="9">
        <v>28</v>
      </c>
      <c r="K46" s="9">
        <v>14</v>
      </c>
      <c r="L46" s="9">
        <v>14</v>
      </c>
      <c r="M46" s="5">
        <v>0</v>
      </c>
      <c r="N46" s="5">
        <v>0</v>
      </c>
      <c r="O46" s="5">
        <v>0</v>
      </c>
      <c r="P46" s="5">
        <v>0</v>
      </c>
      <c r="Q46" s="5">
        <v>7</v>
      </c>
      <c r="R46" s="20">
        <v>0</v>
      </c>
      <c r="S46" s="20">
        <v>12600</v>
      </c>
      <c r="T46" s="20">
        <v>840</v>
      </c>
      <c r="U46" s="20">
        <v>420</v>
      </c>
      <c r="V46" s="20">
        <v>420</v>
      </c>
      <c r="W46" s="34">
        <v>0</v>
      </c>
      <c r="X46" s="34">
        <v>0</v>
      </c>
      <c r="Y46" s="34">
        <v>0</v>
      </c>
      <c r="Z46" s="34">
        <v>0</v>
      </c>
    </row>
    <row r="47" spans="1:26" s="8" customFormat="1">
      <c r="A47" s="5">
        <v>11208</v>
      </c>
      <c r="B47" s="5" t="s">
        <v>47</v>
      </c>
      <c r="C47" s="5" t="s">
        <v>40</v>
      </c>
      <c r="D47" s="5">
        <v>1208</v>
      </c>
      <c r="E47" s="5">
        <v>800000</v>
      </c>
      <c r="F47" s="5" t="s">
        <v>108</v>
      </c>
      <c r="G47" s="5">
        <v>4</v>
      </c>
      <c r="H47" s="9">
        <v>480</v>
      </c>
      <c r="I47" s="9">
        <v>0</v>
      </c>
      <c r="J47" s="9">
        <v>32</v>
      </c>
      <c r="K47" s="9">
        <v>16</v>
      </c>
      <c r="L47" s="9">
        <v>16</v>
      </c>
      <c r="M47" s="5">
        <v>0</v>
      </c>
      <c r="N47" s="5">
        <v>0</v>
      </c>
      <c r="O47" s="5">
        <v>0</v>
      </c>
      <c r="P47" s="5">
        <v>0</v>
      </c>
      <c r="Q47" s="5">
        <v>8</v>
      </c>
      <c r="R47" s="20">
        <v>0</v>
      </c>
      <c r="S47" s="20">
        <v>14400</v>
      </c>
      <c r="T47" s="20">
        <v>960</v>
      </c>
      <c r="U47" s="20">
        <v>480</v>
      </c>
      <c r="V47" s="20">
        <v>480</v>
      </c>
      <c r="W47" s="34">
        <v>0</v>
      </c>
      <c r="X47" s="34">
        <v>0</v>
      </c>
      <c r="Y47" s="34">
        <v>0</v>
      </c>
      <c r="Z47" s="34">
        <v>0</v>
      </c>
    </row>
    <row r="48" spans="1:26" s="8" customFormat="1">
      <c r="A48" s="5">
        <v>11209</v>
      </c>
      <c r="B48" s="5" t="s">
        <v>69</v>
      </c>
      <c r="C48" s="5" t="s">
        <v>32</v>
      </c>
      <c r="D48" s="5">
        <v>1209</v>
      </c>
      <c r="E48" s="5">
        <v>1200000</v>
      </c>
      <c r="F48" s="5" t="s">
        <v>109</v>
      </c>
      <c r="G48" s="5">
        <v>6</v>
      </c>
      <c r="H48" s="9">
        <v>540</v>
      </c>
      <c r="I48" s="9">
        <v>0</v>
      </c>
      <c r="J48" s="9">
        <v>36</v>
      </c>
      <c r="K48" s="9">
        <v>18</v>
      </c>
      <c r="L48" s="9">
        <v>18</v>
      </c>
      <c r="M48" s="5">
        <v>0</v>
      </c>
      <c r="N48" s="5">
        <v>0</v>
      </c>
      <c r="O48" s="5">
        <v>0</v>
      </c>
      <c r="P48" s="5">
        <v>0</v>
      </c>
      <c r="Q48" s="5">
        <v>9</v>
      </c>
      <c r="R48" s="20">
        <v>0</v>
      </c>
      <c r="S48" s="20">
        <v>16200</v>
      </c>
      <c r="T48" s="20">
        <v>1080</v>
      </c>
      <c r="U48" s="20">
        <v>540</v>
      </c>
      <c r="V48" s="20">
        <v>540</v>
      </c>
      <c r="W48" s="34">
        <v>0</v>
      </c>
      <c r="X48" s="34">
        <v>0</v>
      </c>
      <c r="Y48" s="34">
        <v>0</v>
      </c>
      <c r="Z48" s="34">
        <v>0</v>
      </c>
    </row>
    <row r="49" spans="1:26" s="8" customFormat="1">
      <c r="A49" s="5">
        <v>11210</v>
      </c>
      <c r="B49" s="5" t="s">
        <v>71</v>
      </c>
      <c r="C49" s="5" t="s">
        <v>31</v>
      </c>
      <c r="D49" s="5">
        <v>1210</v>
      </c>
      <c r="E49" s="5">
        <v>1600000</v>
      </c>
      <c r="F49" s="5" t="s">
        <v>110</v>
      </c>
      <c r="G49" s="5">
        <v>8</v>
      </c>
      <c r="H49" s="9">
        <v>600</v>
      </c>
      <c r="I49" s="9">
        <v>0</v>
      </c>
      <c r="J49" s="9">
        <v>40</v>
      </c>
      <c r="K49" s="9">
        <v>20</v>
      </c>
      <c r="L49" s="9">
        <v>20</v>
      </c>
      <c r="M49" s="5">
        <v>0</v>
      </c>
      <c r="N49" s="5">
        <v>0</v>
      </c>
      <c r="O49" s="5">
        <v>0</v>
      </c>
      <c r="P49" s="5">
        <v>0</v>
      </c>
      <c r="Q49" s="5">
        <v>10</v>
      </c>
      <c r="R49" s="20">
        <v>0</v>
      </c>
      <c r="S49" s="20">
        <v>18000</v>
      </c>
      <c r="T49" s="20">
        <v>1200</v>
      </c>
      <c r="U49" s="20">
        <v>600</v>
      </c>
      <c r="V49" s="20">
        <v>600</v>
      </c>
      <c r="W49" s="34">
        <v>0</v>
      </c>
      <c r="X49" s="34">
        <v>0</v>
      </c>
      <c r="Y49" s="34">
        <v>0</v>
      </c>
      <c r="Z49" s="34">
        <v>0</v>
      </c>
    </row>
    <row r="50" spans="1:26" s="8" customFormat="1">
      <c r="A50" s="5">
        <v>11211</v>
      </c>
      <c r="B50" s="5" t="s">
        <v>73</v>
      </c>
      <c r="C50" s="5" t="s">
        <v>74</v>
      </c>
      <c r="D50" s="5">
        <v>1211</v>
      </c>
      <c r="E50" s="5">
        <v>2000000</v>
      </c>
      <c r="F50" s="5" t="s">
        <v>90</v>
      </c>
      <c r="G50" s="5">
        <v>10</v>
      </c>
      <c r="H50" s="9">
        <v>660</v>
      </c>
      <c r="I50" s="9">
        <v>0</v>
      </c>
      <c r="J50" s="9">
        <v>44</v>
      </c>
      <c r="K50" s="9">
        <v>22</v>
      </c>
      <c r="L50" s="9">
        <v>22</v>
      </c>
      <c r="M50" s="5">
        <v>0</v>
      </c>
      <c r="N50" s="5">
        <v>0</v>
      </c>
      <c r="O50" s="5">
        <v>0</v>
      </c>
      <c r="P50" s="5">
        <v>0</v>
      </c>
      <c r="Q50" s="5">
        <v>11</v>
      </c>
      <c r="R50" s="20">
        <v>0</v>
      </c>
      <c r="S50" s="20">
        <v>19800</v>
      </c>
      <c r="T50" s="20">
        <v>1320</v>
      </c>
      <c r="U50" s="20">
        <v>660</v>
      </c>
      <c r="V50" s="20">
        <v>660</v>
      </c>
      <c r="W50" s="34">
        <v>0</v>
      </c>
      <c r="X50" s="34">
        <v>0</v>
      </c>
      <c r="Y50" s="34">
        <v>0</v>
      </c>
      <c r="Z50" s="34">
        <v>0</v>
      </c>
    </row>
    <row r="51" spans="1:26" s="8" customFormat="1">
      <c r="A51" s="5">
        <v>11212</v>
      </c>
      <c r="B51" s="5" t="s">
        <v>75</v>
      </c>
      <c r="C51" s="5" t="s">
        <v>76</v>
      </c>
      <c r="D51" s="5">
        <v>1212</v>
      </c>
      <c r="E51" s="5">
        <v>2400000</v>
      </c>
      <c r="F51" s="5" t="s">
        <v>111</v>
      </c>
      <c r="G51" s="5">
        <v>12</v>
      </c>
      <c r="H51" s="9">
        <v>720</v>
      </c>
      <c r="I51" s="9">
        <v>0</v>
      </c>
      <c r="J51" s="9">
        <v>48</v>
      </c>
      <c r="K51" s="9">
        <v>24</v>
      </c>
      <c r="L51" s="9">
        <v>24</v>
      </c>
      <c r="M51" s="5">
        <v>0</v>
      </c>
      <c r="N51" s="5">
        <v>0</v>
      </c>
      <c r="O51" s="5">
        <v>0</v>
      </c>
      <c r="P51" s="5">
        <v>0</v>
      </c>
      <c r="Q51" s="5">
        <v>12</v>
      </c>
      <c r="R51" s="20">
        <v>0</v>
      </c>
      <c r="S51" s="20">
        <v>21600</v>
      </c>
      <c r="T51" s="20">
        <v>1440</v>
      </c>
      <c r="U51" s="20">
        <v>720</v>
      </c>
      <c r="V51" s="20">
        <v>720</v>
      </c>
      <c r="W51" s="34">
        <v>0</v>
      </c>
      <c r="X51" s="34">
        <v>0</v>
      </c>
      <c r="Y51" s="34">
        <v>0</v>
      </c>
      <c r="Z51" s="34">
        <v>0</v>
      </c>
    </row>
    <row r="52" spans="1:26" s="8" customFormat="1">
      <c r="A52" s="5">
        <v>11301</v>
      </c>
      <c r="B52" s="5" t="s">
        <v>121</v>
      </c>
      <c r="C52" s="5" t="s">
        <v>33</v>
      </c>
      <c r="D52" s="5">
        <v>1201</v>
      </c>
      <c r="E52" s="5">
        <v>10000</v>
      </c>
      <c r="F52" s="5" t="s">
        <v>101</v>
      </c>
      <c r="G52" s="5">
        <v>0</v>
      </c>
      <c r="H52" s="37">
        <v>60</v>
      </c>
      <c r="I52" s="9">
        <v>0</v>
      </c>
      <c r="J52" s="9">
        <v>4</v>
      </c>
      <c r="K52" s="9">
        <v>2</v>
      </c>
      <c r="L52" s="9">
        <v>2</v>
      </c>
      <c r="M52" s="5">
        <v>0</v>
      </c>
      <c r="N52" s="5">
        <v>0</v>
      </c>
      <c r="O52" s="5">
        <v>0</v>
      </c>
      <c r="P52" s="5">
        <v>0</v>
      </c>
      <c r="Q52" s="5">
        <v>1</v>
      </c>
      <c r="R52" s="20">
        <v>0</v>
      </c>
      <c r="S52" s="20">
        <v>1800</v>
      </c>
      <c r="T52" s="20">
        <v>120</v>
      </c>
      <c r="U52" s="20">
        <v>60</v>
      </c>
      <c r="V52" s="20">
        <v>60</v>
      </c>
      <c r="W52" s="34">
        <v>0</v>
      </c>
      <c r="X52" s="34">
        <v>0</v>
      </c>
      <c r="Y52" s="34">
        <v>0</v>
      </c>
      <c r="Z52" s="34">
        <v>0</v>
      </c>
    </row>
    <row r="53" spans="1:26" s="8" customFormat="1">
      <c r="A53" s="5">
        <v>11302</v>
      </c>
      <c r="B53" s="5" t="s">
        <v>41</v>
      </c>
      <c r="C53" s="5" t="s">
        <v>34</v>
      </c>
      <c r="D53" s="5">
        <v>1202</v>
      </c>
      <c r="E53" s="5">
        <v>30000</v>
      </c>
      <c r="F53" s="5" t="s">
        <v>102</v>
      </c>
      <c r="G53" s="5">
        <v>0</v>
      </c>
      <c r="H53" s="9">
        <v>120</v>
      </c>
      <c r="I53" s="9">
        <v>0</v>
      </c>
      <c r="J53" s="9">
        <v>8</v>
      </c>
      <c r="K53" s="9">
        <v>4</v>
      </c>
      <c r="L53" s="9">
        <v>4</v>
      </c>
      <c r="M53" s="5">
        <v>0</v>
      </c>
      <c r="N53" s="5">
        <v>0</v>
      </c>
      <c r="O53" s="5">
        <v>0</v>
      </c>
      <c r="P53" s="5">
        <v>0</v>
      </c>
      <c r="Q53" s="5">
        <v>2</v>
      </c>
      <c r="R53" s="20">
        <v>0</v>
      </c>
      <c r="S53" s="20">
        <v>3600</v>
      </c>
      <c r="T53" s="20">
        <v>240</v>
      </c>
      <c r="U53" s="20">
        <v>120</v>
      </c>
      <c r="V53" s="20">
        <v>120</v>
      </c>
      <c r="W53" s="34">
        <v>0</v>
      </c>
      <c r="X53" s="34">
        <v>0</v>
      </c>
      <c r="Y53" s="34">
        <v>0</v>
      </c>
      <c r="Z53" s="34">
        <v>0</v>
      </c>
    </row>
    <row r="54" spans="1:26" s="8" customFormat="1">
      <c r="A54" s="5">
        <v>11303</v>
      </c>
      <c r="B54" s="5" t="s">
        <v>42</v>
      </c>
      <c r="C54" s="5" t="s">
        <v>35</v>
      </c>
      <c r="D54" s="5">
        <v>1203</v>
      </c>
      <c r="E54" s="5">
        <v>50000</v>
      </c>
      <c r="F54" s="5" t="s">
        <v>103</v>
      </c>
      <c r="G54" s="5">
        <v>0</v>
      </c>
      <c r="H54" s="9">
        <v>180</v>
      </c>
      <c r="I54" s="9">
        <v>0</v>
      </c>
      <c r="J54" s="9">
        <v>12</v>
      </c>
      <c r="K54" s="9">
        <v>6</v>
      </c>
      <c r="L54" s="9">
        <v>6</v>
      </c>
      <c r="M54" s="5">
        <v>0</v>
      </c>
      <c r="N54" s="5">
        <v>0</v>
      </c>
      <c r="O54" s="5">
        <v>0</v>
      </c>
      <c r="P54" s="5">
        <v>0</v>
      </c>
      <c r="Q54" s="5">
        <v>3</v>
      </c>
      <c r="R54" s="20">
        <v>0</v>
      </c>
      <c r="S54" s="20">
        <v>5400</v>
      </c>
      <c r="T54" s="20">
        <v>360</v>
      </c>
      <c r="U54" s="20">
        <v>180</v>
      </c>
      <c r="V54" s="20">
        <v>180</v>
      </c>
      <c r="W54" s="34">
        <v>0</v>
      </c>
      <c r="X54" s="34">
        <v>0</v>
      </c>
      <c r="Y54" s="34">
        <v>0</v>
      </c>
      <c r="Z54" s="34">
        <v>0</v>
      </c>
    </row>
    <row r="55" spans="1:26" s="8" customFormat="1">
      <c r="A55" s="5">
        <v>11304</v>
      </c>
      <c r="B55" s="5" t="s">
        <v>43</v>
      </c>
      <c r="C55" s="5" t="s">
        <v>36</v>
      </c>
      <c r="D55" s="5">
        <v>1204</v>
      </c>
      <c r="E55" s="5">
        <v>100000</v>
      </c>
      <c r="F55" s="5" t="s">
        <v>104</v>
      </c>
      <c r="G55" s="5">
        <v>1</v>
      </c>
      <c r="H55" s="9">
        <v>240</v>
      </c>
      <c r="I55" s="9">
        <v>0</v>
      </c>
      <c r="J55" s="9">
        <v>16</v>
      </c>
      <c r="K55" s="9">
        <v>8</v>
      </c>
      <c r="L55" s="9">
        <v>8</v>
      </c>
      <c r="M55" s="5">
        <v>0</v>
      </c>
      <c r="N55" s="5">
        <v>0</v>
      </c>
      <c r="O55" s="5">
        <v>0</v>
      </c>
      <c r="P55" s="5">
        <v>0</v>
      </c>
      <c r="Q55" s="5">
        <v>4</v>
      </c>
      <c r="R55" s="20">
        <v>0</v>
      </c>
      <c r="S55" s="20">
        <v>7200</v>
      </c>
      <c r="T55" s="20">
        <v>480</v>
      </c>
      <c r="U55" s="20">
        <v>240</v>
      </c>
      <c r="V55" s="20">
        <v>240</v>
      </c>
      <c r="W55" s="34">
        <v>0</v>
      </c>
      <c r="X55" s="34">
        <v>0</v>
      </c>
      <c r="Y55" s="34">
        <v>0</v>
      </c>
      <c r="Z55" s="34">
        <v>0</v>
      </c>
    </row>
    <row r="56" spans="1:26" s="8" customFormat="1">
      <c r="A56" s="5">
        <v>11305</v>
      </c>
      <c r="B56" s="5" t="s">
        <v>44</v>
      </c>
      <c r="C56" s="5" t="s">
        <v>37</v>
      </c>
      <c r="D56" s="5">
        <v>1205</v>
      </c>
      <c r="E56" s="5">
        <v>200000</v>
      </c>
      <c r="F56" s="5" t="s">
        <v>105</v>
      </c>
      <c r="G56" s="5">
        <v>1</v>
      </c>
      <c r="H56" s="9">
        <v>300</v>
      </c>
      <c r="I56" s="9">
        <v>0</v>
      </c>
      <c r="J56" s="9">
        <v>20</v>
      </c>
      <c r="K56" s="9">
        <v>10</v>
      </c>
      <c r="L56" s="9">
        <v>10</v>
      </c>
      <c r="M56" s="5">
        <v>0</v>
      </c>
      <c r="N56" s="5">
        <v>0</v>
      </c>
      <c r="O56" s="5">
        <v>0</v>
      </c>
      <c r="P56" s="5">
        <v>0</v>
      </c>
      <c r="Q56" s="5">
        <v>5</v>
      </c>
      <c r="R56" s="20">
        <v>0</v>
      </c>
      <c r="S56" s="20">
        <v>9000</v>
      </c>
      <c r="T56" s="20">
        <v>600</v>
      </c>
      <c r="U56" s="20">
        <v>300</v>
      </c>
      <c r="V56" s="20">
        <v>300</v>
      </c>
      <c r="W56" s="34">
        <v>0</v>
      </c>
      <c r="X56" s="34">
        <v>0</v>
      </c>
      <c r="Y56" s="34">
        <v>0</v>
      </c>
      <c r="Z56" s="34">
        <v>0</v>
      </c>
    </row>
    <row r="57" spans="1:26" s="8" customFormat="1">
      <c r="A57" s="5">
        <v>11306</v>
      </c>
      <c r="B57" s="5" t="s">
        <v>45</v>
      </c>
      <c r="C57" s="5" t="s">
        <v>38</v>
      </c>
      <c r="D57" s="5">
        <v>1206</v>
      </c>
      <c r="E57" s="5">
        <v>300000</v>
      </c>
      <c r="F57" s="5" t="s">
        <v>106</v>
      </c>
      <c r="G57" s="5">
        <v>2</v>
      </c>
      <c r="H57" s="9">
        <v>360</v>
      </c>
      <c r="I57" s="9">
        <v>0</v>
      </c>
      <c r="J57" s="9">
        <v>24</v>
      </c>
      <c r="K57" s="9">
        <v>12</v>
      </c>
      <c r="L57" s="9">
        <v>12</v>
      </c>
      <c r="M57" s="5">
        <v>0</v>
      </c>
      <c r="N57" s="5">
        <v>0</v>
      </c>
      <c r="O57" s="5">
        <v>0</v>
      </c>
      <c r="P57" s="5">
        <v>0</v>
      </c>
      <c r="Q57" s="5">
        <v>6</v>
      </c>
      <c r="R57" s="20">
        <v>0</v>
      </c>
      <c r="S57" s="20">
        <v>10800</v>
      </c>
      <c r="T57" s="20">
        <v>720</v>
      </c>
      <c r="U57" s="20">
        <v>360</v>
      </c>
      <c r="V57" s="20">
        <v>360</v>
      </c>
      <c r="W57" s="34">
        <v>0</v>
      </c>
      <c r="X57" s="34">
        <v>0</v>
      </c>
      <c r="Y57" s="34">
        <v>0</v>
      </c>
      <c r="Z57" s="34">
        <v>0</v>
      </c>
    </row>
    <row r="58" spans="1:26" s="8" customFormat="1">
      <c r="A58" s="5">
        <v>11307</v>
      </c>
      <c r="B58" s="5" t="s">
        <v>46</v>
      </c>
      <c r="C58" s="5" t="s">
        <v>39</v>
      </c>
      <c r="D58" s="5">
        <v>1207</v>
      </c>
      <c r="E58" s="5">
        <v>500000</v>
      </c>
      <c r="F58" s="5" t="s">
        <v>107</v>
      </c>
      <c r="G58" s="5">
        <v>2</v>
      </c>
      <c r="H58" s="9">
        <v>420</v>
      </c>
      <c r="I58" s="9">
        <v>0</v>
      </c>
      <c r="J58" s="9">
        <v>28</v>
      </c>
      <c r="K58" s="9">
        <v>14</v>
      </c>
      <c r="L58" s="9">
        <v>14</v>
      </c>
      <c r="M58" s="5">
        <v>0</v>
      </c>
      <c r="N58" s="5">
        <v>0</v>
      </c>
      <c r="O58" s="5">
        <v>0</v>
      </c>
      <c r="P58" s="5">
        <v>0</v>
      </c>
      <c r="Q58" s="5">
        <v>7</v>
      </c>
      <c r="R58" s="20">
        <v>0</v>
      </c>
      <c r="S58" s="20">
        <v>12600</v>
      </c>
      <c r="T58" s="20">
        <v>840</v>
      </c>
      <c r="U58" s="20">
        <v>420</v>
      </c>
      <c r="V58" s="20">
        <v>420</v>
      </c>
      <c r="W58" s="34">
        <v>0</v>
      </c>
      <c r="X58" s="34">
        <v>0</v>
      </c>
      <c r="Y58" s="34">
        <v>0</v>
      </c>
      <c r="Z58" s="34">
        <v>0</v>
      </c>
    </row>
    <row r="59" spans="1:26" s="8" customFormat="1">
      <c r="A59" s="5">
        <v>11308</v>
      </c>
      <c r="B59" s="5" t="s">
        <v>47</v>
      </c>
      <c r="C59" s="5" t="s">
        <v>40</v>
      </c>
      <c r="D59" s="5">
        <v>1208</v>
      </c>
      <c r="E59" s="5">
        <v>800000</v>
      </c>
      <c r="F59" s="5" t="s">
        <v>108</v>
      </c>
      <c r="G59" s="5">
        <v>4</v>
      </c>
      <c r="H59" s="9">
        <v>480</v>
      </c>
      <c r="I59" s="9">
        <v>0</v>
      </c>
      <c r="J59" s="9">
        <v>32</v>
      </c>
      <c r="K59" s="9">
        <v>16</v>
      </c>
      <c r="L59" s="9">
        <v>16</v>
      </c>
      <c r="M59" s="5">
        <v>0</v>
      </c>
      <c r="N59" s="5">
        <v>0</v>
      </c>
      <c r="O59" s="5">
        <v>0</v>
      </c>
      <c r="P59" s="5">
        <v>0</v>
      </c>
      <c r="Q59" s="5">
        <v>8</v>
      </c>
      <c r="R59" s="20">
        <v>0</v>
      </c>
      <c r="S59" s="20">
        <v>14400</v>
      </c>
      <c r="T59" s="20">
        <v>960</v>
      </c>
      <c r="U59" s="20">
        <v>480</v>
      </c>
      <c r="V59" s="20">
        <v>480</v>
      </c>
      <c r="W59" s="34">
        <v>0</v>
      </c>
      <c r="X59" s="34">
        <v>0</v>
      </c>
      <c r="Y59" s="34">
        <v>0</v>
      </c>
      <c r="Z59" s="34">
        <v>0</v>
      </c>
    </row>
    <row r="60" spans="1:26" s="8" customFormat="1">
      <c r="A60" s="5">
        <v>11309</v>
      </c>
      <c r="B60" s="5" t="s">
        <v>69</v>
      </c>
      <c r="C60" s="5" t="s">
        <v>32</v>
      </c>
      <c r="D60" s="5">
        <v>1209</v>
      </c>
      <c r="E60" s="5">
        <v>1200000</v>
      </c>
      <c r="F60" s="5" t="s">
        <v>109</v>
      </c>
      <c r="G60" s="5">
        <v>6</v>
      </c>
      <c r="H60" s="9">
        <v>540</v>
      </c>
      <c r="I60" s="9">
        <v>0</v>
      </c>
      <c r="J60" s="9">
        <v>36</v>
      </c>
      <c r="K60" s="9">
        <v>18</v>
      </c>
      <c r="L60" s="9">
        <v>18</v>
      </c>
      <c r="M60" s="5">
        <v>0</v>
      </c>
      <c r="N60" s="5">
        <v>0</v>
      </c>
      <c r="O60" s="5">
        <v>0</v>
      </c>
      <c r="P60" s="5">
        <v>0</v>
      </c>
      <c r="Q60" s="5">
        <v>9</v>
      </c>
      <c r="R60" s="20">
        <v>0</v>
      </c>
      <c r="S60" s="20">
        <v>16200</v>
      </c>
      <c r="T60" s="20">
        <v>1080</v>
      </c>
      <c r="U60" s="20">
        <v>540</v>
      </c>
      <c r="V60" s="20">
        <v>540</v>
      </c>
      <c r="W60" s="34">
        <v>0</v>
      </c>
      <c r="X60" s="34">
        <v>0</v>
      </c>
      <c r="Y60" s="34">
        <v>0</v>
      </c>
      <c r="Z60" s="34">
        <v>0</v>
      </c>
    </row>
    <row r="61" spans="1:26" s="8" customFormat="1">
      <c r="A61" s="5">
        <v>11310</v>
      </c>
      <c r="B61" s="5" t="s">
        <v>71</v>
      </c>
      <c r="C61" s="5" t="s">
        <v>31</v>
      </c>
      <c r="D61" s="5">
        <v>1210</v>
      </c>
      <c r="E61" s="5">
        <v>1600000</v>
      </c>
      <c r="F61" s="5" t="s">
        <v>110</v>
      </c>
      <c r="G61" s="5">
        <v>8</v>
      </c>
      <c r="H61" s="9">
        <v>600</v>
      </c>
      <c r="I61" s="9">
        <v>0</v>
      </c>
      <c r="J61" s="9">
        <v>40</v>
      </c>
      <c r="K61" s="9">
        <v>20</v>
      </c>
      <c r="L61" s="9">
        <v>20</v>
      </c>
      <c r="M61" s="5">
        <v>0</v>
      </c>
      <c r="N61" s="5">
        <v>0</v>
      </c>
      <c r="O61" s="5">
        <v>0</v>
      </c>
      <c r="P61" s="5">
        <v>0</v>
      </c>
      <c r="Q61" s="5">
        <v>10</v>
      </c>
      <c r="R61" s="20">
        <v>0</v>
      </c>
      <c r="S61" s="20">
        <v>18000</v>
      </c>
      <c r="T61" s="20">
        <v>1200</v>
      </c>
      <c r="U61" s="20">
        <v>600</v>
      </c>
      <c r="V61" s="20">
        <v>600</v>
      </c>
      <c r="W61" s="34">
        <v>0</v>
      </c>
      <c r="X61" s="34">
        <v>0</v>
      </c>
      <c r="Y61" s="34">
        <v>0</v>
      </c>
      <c r="Z61" s="34">
        <v>0</v>
      </c>
    </row>
    <row r="62" spans="1:26" s="8" customFormat="1">
      <c r="A62" s="5">
        <v>11311</v>
      </c>
      <c r="B62" s="5" t="s">
        <v>73</v>
      </c>
      <c r="C62" s="5" t="s">
        <v>74</v>
      </c>
      <c r="D62" s="5">
        <v>1211</v>
      </c>
      <c r="E62" s="5">
        <v>2000000</v>
      </c>
      <c r="F62" s="5" t="s">
        <v>90</v>
      </c>
      <c r="G62" s="5">
        <v>10</v>
      </c>
      <c r="H62" s="9">
        <v>660</v>
      </c>
      <c r="I62" s="9">
        <v>0</v>
      </c>
      <c r="J62" s="9">
        <v>44</v>
      </c>
      <c r="K62" s="9">
        <v>22</v>
      </c>
      <c r="L62" s="9">
        <v>22</v>
      </c>
      <c r="M62" s="5">
        <v>0</v>
      </c>
      <c r="N62" s="5">
        <v>0</v>
      </c>
      <c r="O62" s="5">
        <v>0</v>
      </c>
      <c r="P62" s="5">
        <v>0</v>
      </c>
      <c r="Q62" s="5">
        <v>11</v>
      </c>
      <c r="R62" s="20">
        <v>0</v>
      </c>
      <c r="S62" s="20">
        <v>19800</v>
      </c>
      <c r="T62" s="20">
        <v>1320</v>
      </c>
      <c r="U62" s="20">
        <v>660</v>
      </c>
      <c r="V62" s="20">
        <v>660</v>
      </c>
      <c r="W62" s="34">
        <v>0</v>
      </c>
      <c r="X62" s="34">
        <v>0</v>
      </c>
      <c r="Y62" s="34">
        <v>0</v>
      </c>
      <c r="Z62" s="34">
        <v>0</v>
      </c>
    </row>
    <row r="63" spans="1:26" s="8" customFormat="1">
      <c r="A63" s="5">
        <v>11312</v>
      </c>
      <c r="B63" s="5" t="s">
        <v>75</v>
      </c>
      <c r="C63" s="5" t="s">
        <v>76</v>
      </c>
      <c r="D63" s="5">
        <v>1212</v>
      </c>
      <c r="E63" s="5">
        <v>2400000</v>
      </c>
      <c r="F63" s="5" t="s">
        <v>111</v>
      </c>
      <c r="G63" s="5">
        <v>12</v>
      </c>
      <c r="H63" s="9">
        <v>720</v>
      </c>
      <c r="I63" s="9">
        <v>0</v>
      </c>
      <c r="J63" s="9">
        <v>48</v>
      </c>
      <c r="K63" s="9">
        <v>24</v>
      </c>
      <c r="L63" s="9">
        <v>24</v>
      </c>
      <c r="M63" s="5">
        <v>0</v>
      </c>
      <c r="N63" s="5">
        <v>0</v>
      </c>
      <c r="O63" s="5">
        <v>0</v>
      </c>
      <c r="P63" s="5">
        <v>0</v>
      </c>
      <c r="Q63" s="5">
        <v>12</v>
      </c>
      <c r="R63" s="20">
        <v>0</v>
      </c>
      <c r="S63" s="20">
        <v>21600</v>
      </c>
      <c r="T63" s="20">
        <v>1440</v>
      </c>
      <c r="U63" s="20">
        <v>720</v>
      </c>
      <c r="V63" s="20">
        <v>720</v>
      </c>
      <c r="W63" s="34">
        <v>0</v>
      </c>
      <c r="X63" s="34">
        <v>0</v>
      </c>
      <c r="Y63" s="34">
        <v>0</v>
      </c>
      <c r="Z63" s="34">
        <v>0</v>
      </c>
    </row>
    <row r="64" spans="1:26" s="8" customFormat="1">
      <c r="A64" s="5">
        <v>11401</v>
      </c>
      <c r="B64" s="5" t="s">
        <v>121</v>
      </c>
      <c r="C64" s="5" t="s">
        <v>33</v>
      </c>
      <c r="D64" s="5">
        <v>1201</v>
      </c>
      <c r="E64" s="5">
        <v>10000</v>
      </c>
      <c r="F64" s="5" t="s">
        <v>101</v>
      </c>
      <c r="G64" s="5">
        <v>0</v>
      </c>
      <c r="H64" s="37">
        <v>60</v>
      </c>
      <c r="I64" s="9">
        <v>0</v>
      </c>
      <c r="J64" s="9">
        <v>4</v>
      </c>
      <c r="K64" s="9">
        <v>2</v>
      </c>
      <c r="L64" s="9">
        <v>2</v>
      </c>
      <c r="M64" s="5">
        <v>0</v>
      </c>
      <c r="N64" s="5">
        <v>0</v>
      </c>
      <c r="O64" s="5">
        <v>0</v>
      </c>
      <c r="P64" s="5">
        <v>0</v>
      </c>
      <c r="Q64" s="5">
        <v>1</v>
      </c>
      <c r="R64" s="20">
        <v>0</v>
      </c>
      <c r="S64" s="20">
        <v>1800</v>
      </c>
      <c r="T64" s="20">
        <v>120</v>
      </c>
      <c r="U64" s="20">
        <v>60</v>
      </c>
      <c r="V64" s="20">
        <v>60</v>
      </c>
      <c r="W64" s="34">
        <v>0</v>
      </c>
      <c r="X64" s="34">
        <v>0</v>
      </c>
      <c r="Y64" s="34">
        <v>0</v>
      </c>
      <c r="Z64" s="34">
        <v>0</v>
      </c>
    </row>
    <row r="65" spans="1:26" s="8" customFormat="1">
      <c r="A65" s="5">
        <v>11402</v>
      </c>
      <c r="B65" s="5" t="s">
        <v>41</v>
      </c>
      <c r="C65" s="5" t="s">
        <v>34</v>
      </c>
      <c r="D65" s="5">
        <v>1202</v>
      </c>
      <c r="E65" s="5">
        <v>30000</v>
      </c>
      <c r="F65" s="5" t="s">
        <v>102</v>
      </c>
      <c r="G65" s="5">
        <v>0</v>
      </c>
      <c r="H65" s="9">
        <v>120</v>
      </c>
      <c r="I65" s="9">
        <v>0</v>
      </c>
      <c r="J65" s="9">
        <v>8</v>
      </c>
      <c r="K65" s="9">
        <v>4</v>
      </c>
      <c r="L65" s="9">
        <v>4</v>
      </c>
      <c r="M65" s="5">
        <v>0</v>
      </c>
      <c r="N65" s="5">
        <v>0</v>
      </c>
      <c r="O65" s="5">
        <v>0</v>
      </c>
      <c r="P65" s="5">
        <v>0</v>
      </c>
      <c r="Q65" s="5">
        <v>2</v>
      </c>
      <c r="R65" s="20">
        <v>0</v>
      </c>
      <c r="S65" s="20">
        <v>3600</v>
      </c>
      <c r="T65" s="20">
        <v>240</v>
      </c>
      <c r="U65" s="20">
        <v>120</v>
      </c>
      <c r="V65" s="20">
        <v>120</v>
      </c>
      <c r="W65" s="34">
        <v>0</v>
      </c>
      <c r="X65" s="34">
        <v>0</v>
      </c>
      <c r="Y65" s="34">
        <v>0</v>
      </c>
      <c r="Z65" s="34">
        <v>0</v>
      </c>
    </row>
    <row r="66" spans="1:26" s="8" customFormat="1">
      <c r="A66" s="5">
        <v>11403</v>
      </c>
      <c r="B66" s="5" t="s">
        <v>42</v>
      </c>
      <c r="C66" s="5" t="s">
        <v>35</v>
      </c>
      <c r="D66" s="5">
        <v>1203</v>
      </c>
      <c r="E66" s="5">
        <v>50000</v>
      </c>
      <c r="F66" s="5" t="s">
        <v>103</v>
      </c>
      <c r="G66" s="5">
        <v>0</v>
      </c>
      <c r="H66" s="9">
        <v>180</v>
      </c>
      <c r="I66" s="9">
        <v>0</v>
      </c>
      <c r="J66" s="9">
        <v>12</v>
      </c>
      <c r="K66" s="9">
        <v>6</v>
      </c>
      <c r="L66" s="9">
        <v>6</v>
      </c>
      <c r="M66" s="5">
        <v>0</v>
      </c>
      <c r="N66" s="5">
        <v>0</v>
      </c>
      <c r="O66" s="5">
        <v>0</v>
      </c>
      <c r="P66" s="5">
        <v>0</v>
      </c>
      <c r="Q66" s="5">
        <v>3</v>
      </c>
      <c r="R66" s="20">
        <v>0</v>
      </c>
      <c r="S66" s="20">
        <v>5400</v>
      </c>
      <c r="T66" s="20">
        <v>360</v>
      </c>
      <c r="U66" s="20">
        <v>180</v>
      </c>
      <c r="V66" s="20">
        <v>180</v>
      </c>
      <c r="W66" s="34">
        <v>0</v>
      </c>
      <c r="X66" s="34">
        <v>0</v>
      </c>
      <c r="Y66" s="34">
        <v>0</v>
      </c>
      <c r="Z66" s="34">
        <v>0</v>
      </c>
    </row>
    <row r="67" spans="1:26" s="8" customFormat="1">
      <c r="A67" s="5">
        <v>11404</v>
      </c>
      <c r="B67" s="5" t="s">
        <v>43</v>
      </c>
      <c r="C67" s="5" t="s">
        <v>36</v>
      </c>
      <c r="D67" s="5">
        <v>1204</v>
      </c>
      <c r="E67" s="5">
        <v>100000</v>
      </c>
      <c r="F67" s="5" t="s">
        <v>104</v>
      </c>
      <c r="G67" s="5">
        <v>1</v>
      </c>
      <c r="H67" s="9">
        <v>240</v>
      </c>
      <c r="I67" s="9">
        <v>0</v>
      </c>
      <c r="J67" s="9">
        <v>16</v>
      </c>
      <c r="K67" s="9">
        <v>8</v>
      </c>
      <c r="L67" s="9">
        <v>8</v>
      </c>
      <c r="M67" s="5">
        <v>0</v>
      </c>
      <c r="N67" s="5">
        <v>0</v>
      </c>
      <c r="O67" s="5">
        <v>0</v>
      </c>
      <c r="P67" s="5">
        <v>0</v>
      </c>
      <c r="Q67" s="5">
        <v>4</v>
      </c>
      <c r="R67" s="20">
        <v>0</v>
      </c>
      <c r="S67" s="20">
        <v>7200</v>
      </c>
      <c r="T67" s="20">
        <v>480</v>
      </c>
      <c r="U67" s="20">
        <v>240</v>
      </c>
      <c r="V67" s="20">
        <v>240</v>
      </c>
      <c r="W67" s="34">
        <v>0</v>
      </c>
      <c r="X67" s="34">
        <v>0</v>
      </c>
      <c r="Y67" s="34">
        <v>0</v>
      </c>
      <c r="Z67" s="34">
        <v>0</v>
      </c>
    </row>
    <row r="68" spans="1:26" s="8" customFormat="1">
      <c r="A68" s="5">
        <v>11405</v>
      </c>
      <c r="B68" s="5" t="s">
        <v>44</v>
      </c>
      <c r="C68" s="5" t="s">
        <v>37</v>
      </c>
      <c r="D68" s="5">
        <v>1205</v>
      </c>
      <c r="E68" s="5">
        <v>200000</v>
      </c>
      <c r="F68" s="5" t="s">
        <v>105</v>
      </c>
      <c r="G68" s="5">
        <v>1</v>
      </c>
      <c r="H68" s="9">
        <v>300</v>
      </c>
      <c r="I68" s="9">
        <v>0</v>
      </c>
      <c r="J68" s="9">
        <v>20</v>
      </c>
      <c r="K68" s="9">
        <v>10</v>
      </c>
      <c r="L68" s="9">
        <v>10</v>
      </c>
      <c r="M68" s="5">
        <v>0</v>
      </c>
      <c r="N68" s="5">
        <v>0</v>
      </c>
      <c r="O68" s="5">
        <v>0</v>
      </c>
      <c r="P68" s="5">
        <v>0</v>
      </c>
      <c r="Q68" s="5">
        <v>5</v>
      </c>
      <c r="R68" s="20">
        <v>0</v>
      </c>
      <c r="S68" s="20">
        <v>9000</v>
      </c>
      <c r="T68" s="20">
        <v>600</v>
      </c>
      <c r="U68" s="20">
        <v>300</v>
      </c>
      <c r="V68" s="20">
        <v>300</v>
      </c>
      <c r="W68" s="34">
        <v>0</v>
      </c>
      <c r="X68" s="34">
        <v>0</v>
      </c>
      <c r="Y68" s="34">
        <v>0</v>
      </c>
      <c r="Z68" s="34">
        <v>0</v>
      </c>
    </row>
    <row r="69" spans="1:26" s="8" customFormat="1">
      <c r="A69" s="5">
        <v>11406</v>
      </c>
      <c r="B69" s="5" t="s">
        <v>45</v>
      </c>
      <c r="C69" s="5" t="s">
        <v>38</v>
      </c>
      <c r="D69" s="5">
        <v>1206</v>
      </c>
      <c r="E69" s="5">
        <v>300000</v>
      </c>
      <c r="F69" s="5" t="s">
        <v>106</v>
      </c>
      <c r="G69" s="5">
        <v>2</v>
      </c>
      <c r="H69" s="9">
        <v>360</v>
      </c>
      <c r="I69" s="9">
        <v>0</v>
      </c>
      <c r="J69" s="9">
        <v>24</v>
      </c>
      <c r="K69" s="9">
        <v>12</v>
      </c>
      <c r="L69" s="9">
        <v>12</v>
      </c>
      <c r="M69" s="5">
        <v>0</v>
      </c>
      <c r="N69" s="5">
        <v>0</v>
      </c>
      <c r="O69" s="5">
        <v>0</v>
      </c>
      <c r="P69" s="5">
        <v>0</v>
      </c>
      <c r="Q69" s="5">
        <v>6</v>
      </c>
      <c r="R69" s="20">
        <v>0</v>
      </c>
      <c r="S69" s="20">
        <v>10800</v>
      </c>
      <c r="T69" s="20">
        <v>720</v>
      </c>
      <c r="U69" s="20">
        <v>360</v>
      </c>
      <c r="V69" s="20">
        <v>360</v>
      </c>
      <c r="W69" s="34">
        <v>0</v>
      </c>
      <c r="X69" s="34">
        <v>0</v>
      </c>
      <c r="Y69" s="34">
        <v>0</v>
      </c>
      <c r="Z69" s="34">
        <v>0</v>
      </c>
    </row>
    <row r="70" spans="1:26" s="8" customFormat="1">
      <c r="A70" s="5">
        <v>11407</v>
      </c>
      <c r="B70" s="5" t="s">
        <v>46</v>
      </c>
      <c r="C70" s="5" t="s">
        <v>39</v>
      </c>
      <c r="D70" s="5">
        <v>1207</v>
      </c>
      <c r="E70" s="5">
        <v>500000</v>
      </c>
      <c r="F70" s="5" t="s">
        <v>107</v>
      </c>
      <c r="G70" s="5">
        <v>2</v>
      </c>
      <c r="H70" s="9">
        <v>420</v>
      </c>
      <c r="I70" s="9">
        <v>0</v>
      </c>
      <c r="J70" s="9">
        <v>28</v>
      </c>
      <c r="K70" s="9">
        <v>14</v>
      </c>
      <c r="L70" s="9">
        <v>14</v>
      </c>
      <c r="M70" s="5">
        <v>0</v>
      </c>
      <c r="N70" s="5">
        <v>0</v>
      </c>
      <c r="O70" s="5">
        <v>0</v>
      </c>
      <c r="P70" s="5">
        <v>0</v>
      </c>
      <c r="Q70" s="5">
        <v>7</v>
      </c>
      <c r="R70" s="20">
        <v>0</v>
      </c>
      <c r="S70" s="20">
        <v>12600</v>
      </c>
      <c r="T70" s="20">
        <v>840</v>
      </c>
      <c r="U70" s="20">
        <v>420</v>
      </c>
      <c r="V70" s="20">
        <v>420</v>
      </c>
      <c r="W70" s="34">
        <v>0</v>
      </c>
      <c r="X70" s="34">
        <v>0</v>
      </c>
      <c r="Y70" s="34">
        <v>0</v>
      </c>
      <c r="Z70" s="34">
        <v>0</v>
      </c>
    </row>
    <row r="71" spans="1:26" s="8" customFormat="1">
      <c r="A71" s="5">
        <v>11408</v>
      </c>
      <c r="B71" s="5" t="s">
        <v>47</v>
      </c>
      <c r="C71" s="5" t="s">
        <v>40</v>
      </c>
      <c r="D71" s="5">
        <v>1208</v>
      </c>
      <c r="E71" s="5">
        <v>800000</v>
      </c>
      <c r="F71" s="5" t="s">
        <v>108</v>
      </c>
      <c r="G71" s="5">
        <v>4</v>
      </c>
      <c r="H71" s="9">
        <v>480</v>
      </c>
      <c r="I71" s="9">
        <v>0</v>
      </c>
      <c r="J71" s="9">
        <v>32</v>
      </c>
      <c r="K71" s="9">
        <v>16</v>
      </c>
      <c r="L71" s="9">
        <v>16</v>
      </c>
      <c r="M71" s="5">
        <v>0</v>
      </c>
      <c r="N71" s="5">
        <v>0</v>
      </c>
      <c r="O71" s="5">
        <v>0</v>
      </c>
      <c r="P71" s="5">
        <v>0</v>
      </c>
      <c r="Q71" s="5">
        <v>8</v>
      </c>
      <c r="R71" s="20">
        <v>0</v>
      </c>
      <c r="S71" s="20">
        <v>14400</v>
      </c>
      <c r="T71" s="20">
        <v>960</v>
      </c>
      <c r="U71" s="20">
        <v>480</v>
      </c>
      <c r="V71" s="20">
        <v>480</v>
      </c>
      <c r="W71" s="34">
        <v>0</v>
      </c>
      <c r="X71" s="34">
        <v>0</v>
      </c>
      <c r="Y71" s="34">
        <v>0</v>
      </c>
      <c r="Z71" s="34">
        <v>0</v>
      </c>
    </row>
    <row r="72" spans="1:26" s="8" customFormat="1">
      <c r="A72" s="5">
        <v>11409</v>
      </c>
      <c r="B72" s="5" t="s">
        <v>69</v>
      </c>
      <c r="C72" s="5" t="s">
        <v>32</v>
      </c>
      <c r="D72" s="5">
        <v>1209</v>
      </c>
      <c r="E72" s="5">
        <v>1200000</v>
      </c>
      <c r="F72" s="5" t="s">
        <v>109</v>
      </c>
      <c r="G72" s="5">
        <v>6</v>
      </c>
      <c r="H72" s="9">
        <v>540</v>
      </c>
      <c r="I72" s="9">
        <v>0</v>
      </c>
      <c r="J72" s="9">
        <v>36</v>
      </c>
      <c r="K72" s="9">
        <v>18</v>
      </c>
      <c r="L72" s="9">
        <v>18</v>
      </c>
      <c r="M72" s="5">
        <v>0</v>
      </c>
      <c r="N72" s="5">
        <v>0</v>
      </c>
      <c r="O72" s="5">
        <v>0</v>
      </c>
      <c r="P72" s="5">
        <v>0</v>
      </c>
      <c r="Q72" s="5">
        <v>9</v>
      </c>
      <c r="R72" s="20">
        <v>0</v>
      </c>
      <c r="S72" s="20">
        <v>16200</v>
      </c>
      <c r="T72" s="20">
        <v>1080</v>
      </c>
      <c r="U72" s="20">
        <v>540</v>
      </c>
      <c r="V72" s="20">
        <v>540</v>
      </c>
      <c r="W72" s="34">
        <v>0</v>
      </c>
      <c r="X72" s="34">
        <v>0</v>
      </c>
      <c r="Y72" s="34">
        <v>0</v>
      </c>
      <c r="Z72" s="34">
        <v>0</v>
      </c>
    </row>
    <row r="73" spans="1:26" s="8" customFormat="1">
      <c r="A73" s="5">
        <v>11410</v>
      </c>
      <c r="B73" s="5" t="s">
        <v>71</v>
      </c>
      <c r="C73" s="5" t="s">
        <v>31</v>
      </c>
      <c r="D73" s="5">
        <v>1210</v>
      </c>
      <c r="E73" s="5">
        <v>1600000</v>
      </c>
      <c r="F73" s="5" t="s">
        <v>110</v>
      </c>
      <c r="G73" s="5">
        <v>8</v>
      </c>
      <c r="H73" s="9">
        <v>600</v>
      </c>
      <c r="I73" s="9">
        <v>0</v>
      </c>
      <c r="J73" s="9">
        <v>40</v>
      </c>
      <c r="K73" s="9">
        <v>20</v>
      </c>
      <c r="L73" s="9">
        <v>20</v>
      </c>
      <c r="M73" s="5">
        <v>0</v>
      </c>
      <c r="N73" s="5">
        <v>0</v>
      </c>
      <c r="O73" s="5">
        <v>0</v>
      </c>
      <c r="P73" s="5">
        <v>0</v>
      </c>
      <c r="Q73" s="5">
        <v>10</v>
      </c>
      <c r="R73" s="20">
        <v>0</v>
      </c>
      <c r="S73" s="20">
        <v>18000</v>
      </c>
      <c r="T73" s="20">
        <v>1200</v>
      </c>
      <c r="U73" s="20">
        <v>600</v>
      </c>
      <c r="V73" s="20">
        <v>600</v>
      </c>
      <c r="W73" s="34">
        <v>0</v>
      </c>
      <c r="X73" s="34">
        <v>0</v>
      </c>
      <c r="Y73" s="34">
        <v>0</v>
      </c>
      <c r="Z73" s="34">
        <v>0</v>
      </c>
    </row>
    <row r="74" spans="1:26" s="8" customFormat="1">
      <c r="A74" s="5">
        <v>11411</v>
      </c>
      <c r="B74" s="5" t="s">
        <v>73</v>
      </c>
      <c r="C74" s="5" t="s">
        <v>74</v>
      </c>
      <c r="D74" s="5">
        <v>1211</v>
      </c>
      <c r="E74" s="5">
        <v>2000000</v>
      </c>
      <c r="F74" s="5" t="s">
        <v>90</v>
      </c>
      <c r="G74" s="5">
        <v>10</v>
      </c>
      <c r="H74" s="9">
        <v>660</v>
      </c>
      <c r="I74" s="9">
        <v>0</v>
      </c>
      <c r="J74" s="9">
        <v>44</v>
      </c>
      <c r="K74" s="9">
        <v>22</v>
      </c>
      <c r="L74" s="9">
        <v>22</v>
      </c>
      <c r="M74" s="5">
        <v>0</v>
      </c>
      <c r="N74" s="5">
        <v>0</v>
      </c>
      <c r="O74" s="5">
        <v>0</v>
      </c>
      <c r="P74" s="5">
        <v>0</v>
      </c>
      <c r="Q74" s="5">
        <v>11</v>
      </c>
      <c r="R74" s="20">
        <v>0</v>
      </c>
      <c r="S74" s="20">
        <v>19800</v>
      </c>
      <c r="T74" s="20">
        <v>1320</v>
      </c>
      <c r="U74" s="20">
        <v>660</v>
      </c>
      <c r="V74" s="20">
        <v>660</v>
      </c>
      <c r="W74" s="34">
        <v>0</v>
      </c>
      <c r="X74" s="34">
        <v>0</v>
      </c>
      <c r="Y74" s="34">
        <v>0</v>
      </c>
      <c r="Z74" s="34">
        <v>0</v>
      </c>
    </row>
    <row r="75" spans="1:26" s="8" customFormat="1">
      <c r="A75" s="5">
        <v>11412</v>
      </c>
      <c r="B75" s="5" t="s">
        <v>75</v>
      </c>
      <c r="C75" s="5" t="s">
        <v>76</v>
      </c>
      <c r="D75" s="5">
        <v>1212</v>
      </c>
      <c r="E75" s="5">
        <v>2400000</v>
      </c>
      <c r="F75" s="5" t="s">
        <v>111</v>
      </c>
      <c r="G75" s="5">
        <v>12</v>
      </c>
      <c r="H75" s="9">
        <v>720</v>
      </c>
      <c r="I75" s="9">
        <v>0</v>
      </c>
      <c r="J75" s="9">
        <v>48</v>
      </c>
      <c r="K75" s="9">
        <v>24</v>
      </c>
      <c r="L75" s="9">
        <v>24</v>
      </c>
      <c r="M75" s="5">
        <v>0</v>
      </c>
      <c r="N75" s="5">
        <v>0</v>
      </c>
      <c r="O75" s="5">
        <v>0</v>
      </c>
      <c r="P75" s="5">
        <v>0</v>
      </c>
      <c r="Q75" s="5">
        <v>12</v>
      </c>
      <c r="R75" s="20">
        <v>0</v>
      </c>
      <c r="S75" s="20">
        <v>21600</v>
      </c>
      <c r="T75" s="20">
        <v>1440</v>
      </c>
      <c r="U75" s="20">
        <v>720</v>
      </c>
      <c r="V75" s="20">
        <v>720</v>
      </c>
      <c r="W75" s="34">
        <v>0</v>
      </c>
      <c r="X75" s="34">
        <v>0</v>
      </c>
      <c r="Y75" s="34">
        <v>0</v>
      </c>
      <c r="Z75" s="34">
        <v>0</v>
      </c>
    </row>
    <row r="76" spans="1:26" s="8" customFormat="1">
      <c r="A76" s="5">
        <v>11501</v>
      </c>
      <c r="B76" s="5" t="s">
        <v>121</v>
      </c>
      <c r="C76" s="5" t="s">
        <v>33</v>
      </c>
      <c r="D76" s="5">
        <v>1201</v>
      </c>
      <c r="E76" s="5">
        <v>10000</v>
      </c>
      <c r="F76" s="5" t="s">
        <v>101</v>
      </c>
      <c r="G76" s="5">
        <v>0</v>
      </c>
      <c r="H76" s="37">
        <v>60</v>
      </c>
      <c r="I76" s="9">
        <v>0</v>
      </c>
      <c r="J76" s="9">
        <v>4</v>
      </c>
      <c r="K76" s="9">
        <v>2</v>
      </c>
      <c r="L76" s="9">
        <v>2</v>
      </c>
      <c r="M76" s="5">
        <v>0</v>
      </c>
      <c r="N76" s="5">
        <v>0</v>
      </c>
      <c r="O76" s="5">
        <v>0</v>
      </c>
      <c r="P76" s="5">
        <v>0</v>
      </c>
      <c r="Q76" s="5">
        <v>1</v>
      </c>
      <c r="R76" s="20">
        <v>0</v>
      </c>
      <c r="S76" s="20">
        <v>1800</v>
      </c>
      <c r="T76" s="20">
        <v>120</v>
      </c>
      <c r="U76" s="20">
        <v>60</v>
      </c>
      <c r="V76" s="20">
        <v>60</v>
      </c>
      <c r="W76" s="34">
        <v>0</v>
      </c>
      <c r="X76" s="34">
        <v>0</v>
      </c>
      <c r="Y76" s="34">
        <v>0</v>
      </c>
      <c r="Z76" s="34">
        <v>0</v>
      </c>
    </row>
    <row r="77" spans="1:26" s="8" customFormat="1">
      <c r="A77" s="5">
        <v>11502</v>
      </c>
      <c r="B77" s="5" t="s">
        <v>41</v>
      </c>
      <c r="C77" s="5" t="s">
        <v>34</v>
      </c>
      <c r="D77" s="5">
        <v>1202</v>
      </c>
      <c r="E77" s="5">
        <v>30000</v>
      </c>
      <c r="F77" s="5" t="s">
        <v>102</v>
      </c>
      <c r="G77" s="5">
        <v>0</v>
      </c>
      <c r="H77" s="9">
        <v>120</v>
      </c>
      <c r="I77" s="9">
        <v>0</v>
      </c>
      <c r="J77" s="9">
        <v>8</v>
      </c>
      <c r="K77" s="9">
        <v>4</v>
      </c>
      <c r="L77" s="9">
        <v>4</v>
      </c>
      <c r="M77" s="5">
        <v>0</v>
      </c>
      <c r="N77" s="5">
        <v>0</v>
      </c>
      <c r="O77" s="5">
        <v>0</v>
      </c>
      <c r="P77" s="5">
        <v>0</v>
      </c>
      <c r="Q77" s="5">
        <v>2</v>
      </c>
      <c r="R77" s="20">
        <v>0</v>
      </c>
      <c r="S77" s="20">
        <v>3600</v>
      </c>
      <c r="T77" s="20">
        <v>240</v>
      </c>
      <c r="U77" s="20">
        <v>120</v>
      </c>
      <c r="V77" s="20">
        <v>120</v>
      </c>
      <c r="W77" s="34">
        <v>0</v>
      </c>
      <c r="X77" s="34">
        <v>0</v>
      </c>
      <c r="Y77" s="34">
        <v>0</v>
      </c>
      <c r="Z77" s="34">
        <v>0</v>
      </c>
    </row>
    <row r="78" spans="1:26" s="8" customFormat="1">
      <c r="A78" s="5">
        <v>11503</v>
      </c>
      <c r="B78" s="5" t="s">
        <v>42</v>
      </c>
      <c r="C78" s="5" t="s">
        <v>35</v>
      </c>
      <c r="D78" s="5">
        <v>1203</v>
      </c>
      <c r="E78" s="5">
        <v>50000</v>
      </c>
      <c r="F78" s="5" t="s">
        <v>103</v>
      </c>
      <c r="G78" s="5">
        <v>0</v>
      </c>
      <c r="H78" s="9">
        <v>180</v>
      </c>
      <c r="I78" s="9">
        <v>0</v>
      </c>
      <c r="J78" s="9">
        <v>12</v>
      </c>
      <c r="K78" s="9">
        <v>6</v>
      </c>
      <c r="L78" s="9">
        <v>6</v>
      </c>
      <c r="M78" s="5">
        <v>0</v>
      </c>
      <c r="N78" s="5">
        <v>0</v>
      </c>
      <c r="O78" s="5">
        <v>0</v>
      </c>
      <c r="P78" s="5">
        <v>0</v>
      </c>
      <c r="Q78" s="5">
        <v>3</v>
      </c>
      <c r="R78" s="20">
        <v>0</v>
      </c>
      <c r="S78" s="20">
        <v>5400</v>
      </c>
      <c r="T78" s="20">
        <v>360</v>
      </c>
      <c r="U78" s="20">
        <v>180</v>
      </c>
      <c r="V78" s="20">
        <v>180</v>
      </c>
      <c r="W78" s="34">
        <v>0</v>
      </c>
      <c r="X78" s="34">
        <v>0</v>
      </c>
      <c r="Y78" s="34">
        <v>0</v>
      </c>
      <c r="Z78" s="34">
        <v>0</v>
      </c>
    </row>
    <row r="79" spans="1:26" s="8" customFormat="1">
      <c r="A79" s="5">
        <v>11504</v>
      </c>
      <c r="B79" s="5" t="s">
        <v>43</v>
      </c>
      <c r="C79" s="5" t="s">
        <v>36</v>
      </c>
      <c r="D79" s="5">
        <v>1204</v>
      </c>
      <c r="E79" s="5">
        <v>100000</v>
      </c>
      <c r="F79" s="5" t="s">
        <v>104</v>
      </c>
      <c r="G79" s="5">
        <v>1</v>
      </c>
      <c r="H79" s="9">
        <v>240</v>
      </c>
      <c r="I79" s="9">
        <v>0</v>
      </c>
      <c r="J79" s="9">
        <v>16</v>
      </c>
      <c r="K79" s="9">
        <v>8</v>
      </c>
      <c r="L79" s="9">
        <v>8</v>
      </c>
      <c r="M79" s="5">
        <v>0</v>
      </c>
      <c r="N79" s="5">
        <v>0</v>
      </c>
      <c r="O79" s="5">
        <v>0</v>
      </c>
      <c r="P79" s="5">
        <v>0</v>
      </c>
      <c r="Q79" s="5">
        <v>4</v>
      </c>
      <c r="R79" s="20">
        <v>0</v>
      </c>
      <c r="S79" s="20">
        <v>7200</v>
      </c>
      <c r="T79" s="20">
        <v>480</v>
      </c>
      <c r="U79" s="20">
        <v>240</v>
      </c>
      <c r="V79" s="20">
        <v>240</v>
      </c>
      <c r="W79" s="34">
        <v>0</v>
      </c>
      <c r="X79" s="34">
        <v>0</v>
      </c>
      <c r="Y79" s="34">
        <v>0</v>
      </c>
      <c r="Z79" s="34">
        <v>0</v>
      </c>
    </row>
    <row r="80" spans="1:26" s="8" customFormat="1">
      <c r="A80" s="5">
        <v>11505</v>
      </c>
      <c r="B80" s="5" t="s">
        <v>44</v>
      </c>
      <c r="C80" s="5" t="s">
        <v>37</v>
      </c>
      <c r="D80" s="5">
        <v>1205</v>
      </c>
      <c r="E80" s="5">
        <v>200000</v>
      </c>
      <c r="F80" s="5" t="s">
        <v>105</v>
      </c>
      <c r="G80" s="5">
        <v>1</v>
      </c>
      <c r="H80" s="9">
        <v>300</v>
      </c>
      <c r="I80" s="9">
        <v>0</v>
      </c>
      <c r="J80" s="9">
        <v>20</v>
      </c>
      <c r="K80" s="9">
        <v>10</v>
      </c>
      <c r="L80" s="9">
        <v>10</v>
      </c>
      <c r="M80" s="5">
        <v>0</v>
      </c>
      <c r="N80" s="5">
        <v>0</v>
      </c>
      <c r="O80" s="5">
        <v>0</v>
      </c>
      <c r="P80" s="5">
        <v>0</v>
      </c>
      <c r="Q80" s="5">
        <v>5</v>
      </c>
      <c r="R80" s="20">
        <v>0</v>
      </c>
      <c r="S80" s="20">
        <v>9000</v>
      </c>
      <c r="T80" s="20">
        <v>600</v>
      </c>
      <c r="U80" s="20">
        <v>300</v>
      </c>
      <c r="V80" s="20">
        <v>300</v>
      </c>
      <c r="W80" s="34">
        <v>0</v>
      </c>
      <c r="X80" s="34">
        <v>0</v>
      </c>
      <c r="Y80" s="34">
        <v>0</v>
      </c>
      <c r="Z80" s="34">
        <v>0</v>
      </c>
    </row>
    <row r="81" spans="1:26" s="8" customFormat="1">
      <c r="A81" s="5">
        <v>11506</v>
      </c>
      <c r="B81" s="5" t="s">
        <v>45</v>
      </c>
      <c r="C81" s="5" t="s">
        <v>38</v>
      </c>
      <c r="D81" s="5">
        <v>1206</v>
      </c>
      <c r="E81" s="5">
        <v>300000</v>
      </c>
      <c r="F81" s="5" t="s">
        <v>106</v>
      </c>
      <c r="G81" s="5">
        <v>2</v>
      </c>
      <c r="H81" s="9">
        <v>360</v>
      </c>
      <c r="I81" s="9">
        <v>0</v>
      </c>
      <c r="J81" s="9">
        <v>24</v>
      </c>
      <c r="K81" s="9">
        <v>12</v>
      </c>
      <c r="L81" s="9">
        <v>12</v>
      </c>
      <c r="M81" s="5">
        <v>0</v>
      </c>
      <c r="N81" s="5">
        <v>0</v>
      </c>
      <c r="O81" s="5">
        <v>0</v>
      </c>
      <c r="P81" s="5">
        <v>0</v>
      </c>
      <c r="Q81" s="5">
        <v>6</v>
      </c>
      <c r="R81" s="20">
        <v>0</v>
      </c>
      <c r="S81" s="20">
        <v>10800</v>
      </c>
      <c r="T81" s="20">
        <v>720</v>
      </c>
      <c r="U81" s="20">
        <v>360</v>
      </c>
      <c r="V81" s="20">
        <v>360</v>
      </c>
      <c r="W81" s="34">
        <v>0</v>
      </c>
      <c r="X81" s="34">
        <v>0</v>
      </c>
      <c r="Y81" s="34">
        <v>0</v>
      </c>
      <c r="Z81" s="34">
        <v>0</v>
      </c>
    </row>
    <row r="82" spans="1:26" s="8" customFormat="1">
      <c r="A82" s="5">
        <v>11507</v>
      </c>
      <c r="B82" s="5" t="s">
        <v>46</v>
      </c>
      <c r="C82" s="5" t="s">
        <v>39</v>
      </c>
      <c r="D82" s="5">
        <v>1207</v>
      </c>
      <c r="E82" s="5">
        <v>500000</v>
      </c>
      <c r="F82" s="5" t="s">
        <v>107</v>
      </c>
      <c r="G82" s="5">
        <v>2</v>
      </c>
      <c r="H82" s="9">
        <v>420</v>
      </c>
      <c r="I82" s="9">
        <v>0</v>
      </c>
      <c r="J82" s="9">
        <v>28</v>
      </c>
      <c r="K82" s="9">
        <v>14</v>
      </c>
      <c r="L82" s="9">
        <v>14</v>
      </c>
      <c r="M82" s="5">
        <v>0</v>
      </c>
      <c r="N82" s="5">
        <v>0</v>
      </c>
      <c r="O82" s="5">
        <v>0</v>
      </c>
      <c r="P82" s="5">
        <v>0</v>
      </c>
      <c r="Q82" s="5">
        <v>7</v>
      </c>
      <c r="R82" s="20">
        <v>0</v>
      </c>
      <c r="S82" s="20">
        <v>12600</v>
      </c>
      <c r="T82" s="20">
        <v>840</v>
      </c>
      <c r="U82" s="20">
        <v>420</v>
      </c>
      <c r="V82" s="20">
        <v>420</v>
      </c>
      <c r="W82" s="34">
        <v>0</v>
      </c>
      <c r="X82" s="34">
        <v>0</v>
      </c>
      <c r="Y82" s="34">
        <v>0</v>
      </c>
      <c r="Z82" s="34">
        <v>0</v>
      </c>
    </row>
    <row r="83" spans="1:26" s="8" customFormat="1">
      <c r="A83" s="5">
        <v>11508</v>
      </c>
      <c r="B83" s="5" t="s">
        <v>47</v>
      </c>
      <c r="C83" s="5" t="s">
        <v>40</v>
      </c>
      <c r="D83" s="5">
        <v>1208</v>
      </c>
      <c r="E83" s="5">
        <v>800000</v>
      </c>
      <c r="F83" s="5" t="s">
        <v>108</v>
      </c>
      <c r="G83" s="5">
        <v>4</v>
      </c>
      <c r="H83" s="9">
        <v>480</v>
      </c>
      <c r="I83" s="9">
        <v>0</v>
      </c>
      <c r="J83" s="9">
        <v>32</v>
      </c>
      <c r="K83" s="9">
        <v>16</v>
      </c>
      <c r="L83" s="9">
        <v>16</v>
      </c>
      <c r="M83" s="5">
        <v>0</v>
      </c>
      <c r="N83" s="5">
        <v>0</v>
      </c>
      <c r="O83" s="5">
        <v>0</v>
      </c>
      <c r="P83" s="5">
        <v>0</v>
      </c>
      <c r="Q83" s="5">
        <v>8</v>
      </c>
      <c r="R83" s="20">
        <v>0</v>
      </c>
      <c r="S83" s="20">
        <v>14400</v>
      </c>
      <c r="T83" s="20">
        <v>960</v>
      </c>
      <c r="U83" s="20">
        <v>480</v>
      </c>
      <c r="V83" s="20">
        <v>480</v>
      </c>
      <c r="W83" s="34">
        <v>0</v>
      </c>
      <c r="X83" s="34">
        <v>0</v>
      </c>
      <c r="Y83" s="34">
        <v>0</v>
      </c>
      <c r="Z83" s="34">
        <v>0</v>
      </c>
    </row>
    <row r="84" spans="1:26" s="8" customFormat="1">
      <c r="A84" s="5">
        <v>11509</v>
      </c>
      <c r="B84" s="5" t="s">
        <v>69</v>
      </c>
      <c r="C84" s="5" t="s">
        <v>32</v>
      </c>
      <c r="D84" s="5">
        <v>1209</v>
      </c>
      <c r="E84" s="5">
        <v>1200000</v>
      </c>
      <c r="F84" s="5" t="s">
        <v>109</v>
      </c>
      <c r="G84" s="5">
        <v>6</v>
      </c>
      <c r="H84" s="9">
        <v>540</v>
      </c>
      <c r="I84" s="9">
        <v>0</v>
      </c>
      <c r="J84" s="9">
        <v>36</v>
      </c>
      <c r="K84" s="9">
        <v>18</v>
      </c>
      <c r="L84" s="9">
        <v>18</v>
      </c>
      <c r="M84" s="5">
        <v>0</v>
      </c>
      <c r="N84" s="5">
        <v>0</v>
      </c>
      <c r="O84" s="5">
        <v>0</v>
      </c>
      <c r="P84" s="5">
        <v>0</v>
      </c>
      <c r="Q84" s="5">
        <v>9</v>
      </c>
      <c r="R84" s="20">
        <v>0</v>
      </c>
      <c r="S84" s="20">
        <v>16200</v>
      </c>
      <c r="T84" s="20">
        <v>1080</v>
      </c>
      <c r="U84" s="20">
        <v>540</v>
      </c>
      <c r="V84" s="20">
        <v>540</v>
      </c>
      <c r="W84" s="34">
        <v>0</v>
      </c>
      <c r="X84" s="34">
        <v>0</v>
      </c>
      <c r="Y84" s="34">
        <v>0</v>
      </c>
      <c r="Z84" s="34">
        <v>0</v>
      </c>
    </row>
    <row r="85" spans="1:26" s="8" customFormat="1">
      <c r="A85" s="5">
        <v>11510</v>
      </c>
      <c r="B85" s="5" t="s">
        <v>71</v>
      </c>
      <c r="C85" s="5" t="s">
        <v>31</v>
      </c>
      <c r="D85" s="5">
        <v>1210</v>
      </c>
      <c r="E85" s="5">
        <v>1600000</v>
      </c>
      <c r="F85" s="5" t="s">
        <v>110</v>
      </c>
      <c r="G85" s="5">
        <v>8</v>
      </c>
      <c r="H85" s="9">
        <v>600</v>
      </c>
      <c r="I85" s="9">
        <v>0</v>
      </c>
      <c r="J85" s="9">
        <v>40</v>
      </c>
      <c r="K85" s="9">
        <v>20</v>
      </c>
      <c r="L85" s="9">
        <v>20</v>
      </c>
      <c r="M85" s="5">
        <v>0</v>
      </c>
      <c r="N85" s="5">
        <v>0</v>
      </c>
      <c r="O85" s="5">
        <v>0</v>
      </c>
      <c r="P85" s="5">
        <v>0</v>
      </c>
      <c r="Q85" s="5">
        <v>10</v>
      </c>
      <c r="R85" s="20">
        <v>0</v>
      </c>
      <c r="S85" s="20">
        <v>18000</v>
      </c>
      <c r="T85" s="20">
        <v>1200</v>
      </c>
      <c r="U85" s="20">
        <v>600</v>
      </c>
      <c r="V85" s="20">
        <v>600</v>
      </c>
      <c r="W85" s="34">
        <v>0</v>
      </c>
      <c r="X85" s="34">
        <v>0</v>
      </c>
      <c r="Y85" s="34">
        <v>0</v>
      </c>
      <c r="Z85" s="34">
        <v>0</v>
      </c>
    </row>
    <row r="86" spans="1:26" s="8" customFormat="1">
      <c r="A86" s="5">
        <v>11511</v>
      </c>
      <c r="B86" s="5" t="s">
        <v>73</v>
      </c>
      <c r="C86" s="5" t="s">
        <v>74</v>
      </c>
      <c r="D86" s="5">
        <v>1211</v>
      </c>
      <c r="E86" s="5">
        <v>2000000</v>
      </c>
      <c r="F86" s="5" t="s">
        <v>90</v>
      </c>
      <c r="G86" s="5">
        <v>10</v>
      </c>
      <c r="H86" s="9">
        <v>660</v>
      </c>
      <c r="I86" s="9">
        <v>0</v>
      </c>
      <c r="J86" s="9">
        <v>44</v>
      </c>
      <c r="K86" s="9">
        <v>22</v>
      </c>
      <c r="L86" s="9">
        <v>22</v>
      </c>
      <c r="M86" s="5">
        <v>0</v>
      </c>
      <c r="N86" s="5">
        <v>0</v>
      </c>
      <c r="O86" s="5">
        <v>0</v>
      </c>
      <c r="P86" s="5">
        <v>0</v>
      </c>
      <c r="Q86" s="5">
        <v>11</v>
      </c>
      <c r="R86" s="20">
        <v>0</v>
      </c>
      <c r="S86" s="20">
        <v>19800</v>
      </c>
      <c r="T86" s="20">
        <v>1320</v>
      </c>
      <c r="U86" s="20">
        <v>660</v>
      </c>
      <c r="V86" s="20">
        <v>660</v>
      </c>
      <c r="W86" s="34">
        <v>0</v>
      </c>
      <c r="X86" s="34">
        <v>0</v>
      </c>
      <c r="Y86" s="34">
        <v>0</v>
      </c>
      <c r="Z86" s="34">
        <v>0</v>
      </c>
    </row>
    <row r="87" spans="1:26" s="8" customFormat="1">
      <c r="A87" s="5">
        <v>11512</v>
      </c>
      <c r="B87" s="5" t="s">
        <v>75</v>
      </c>
      <c r="C87" s="5" t="s">
        <v>76</v>
      </c>
      <c r="D87" s="5">
        <v>1212</v>
      </c>
      <c r="E87" s="5">
        <v>2400000</v>
      </c>
      <c r="F87" s="5" t="s">
        <v>111</v>
      </c>
      <c r="G87" s="5">
        <v>12</v>
      </c>
      <c r="H87" s="9">
        <v>720</v>
      </c>
      <c r="I87" s="9">
        <v>0</v>
      </c>
      <c r="J87" s="9">
        <v>48</v>
      </c>
      <c r="K87" s="9">
        <v>24</v>
      </c>
      <c r="L87" s="9">
        <v>24</v>
      </c>
      <c r="M87" s="5">
        <v>0</v>
      </c>
      <c r="N87" s="5">
        <v>0</v>
      </c>
      <c r="O87" s="5">
        <v>0</v>
      </c>
      <c r="P87" s="5">
        <v>0</v>
      </c>
      <c r="Q87" s="5">
        <v>12</v>
      </c>
      <c r="R87" s="20">
        <v>0</v>
      </c>
      <c r="S87" s="20">
        <v>21600</v>
      </c>
      <c r="T87" s="20">
        <v>1440</v>
      </c>
      <c r="U87" s="20">
        <v>720</v>
      </c>
      <c r="V87" s="20">
        <v>720</v>
      </c>
      <c r="W87" s="34">
        <v>0</v>
      </c>
      <c r="X87" s="34">
        <v>0</v>
      </c>
      <c r="Y87" s="34">
        <v>0</v>
      </c>
      <c r="Z87" s="34">
        <v>0</v>
      </c>
    </row>
    <row r="88" spans="1:26" s="8" customFormat="1">
      <c r="A88" s="5">
        <v>13101</v>
      </c>
      <c r="B88" s="5" t="s">
        <v>121</v>
      </c>
      <c r="C88" s="5" t="s">
        <v>33</v>
      </c>
      <c r="D88" s="5">
        <v>1201</v>
      </c>
      <c r="E88" s="5">
        <v>10000</v>
      </c>
      <c r="F88" s="5" t="s">
        <v>101</v>
      </c>
      <c r="G88" s="5">
        <v>0</v>
      </c>
      <c r="H88" s="37">
        <v>68</v>
      </c>
      <c r="I88" s="9">
        <v>0</v>
      </c>
      <c r="J88" s="9">
        <v>5</v>
      </c>
      <c r="K88" s="9">
        <v>2</v>
      </c>
      <c r="L88" s="9">
        <v>2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R88" s="20">
        <v>0</v>
      </c>
      <c r="S88" s="20">
        <v>1800</v>
      </c>
      <c r="T88" s="20">
        <v>120</v>
      </c>
      <c r="U88" s="20">
        <v>60</v>
      </c>
      <c r="V88" s="20">
        <v>60</v>
      </c>
      <c r="W88" s="34">
        <v>0</v>
      </c>
      <c r="X88" s="34">
        <v>0</v>
      </c>
      <c r="Y88" s="34">
        <v>0</v>
      </c>
      <c r="Z88" s="34">
        <v>0</v>
      </c>
    </row>
    <row r="89" spans="1:26" s="8" customFormat="1">
      <c r="A89" s="5">
        <v>13102</v>
      </c>
      <c r="B89" s="5" t="s">
        <v>41</v>
      </c>
      <c r="C89" s="5" t="s">
        <v>34</v>
      </c>
      <c r="D89" s="5">
        <v>1202</v>
      </c>
      <c r="E89" s="5">
        <v>30000</v>
      </c>
      <c r="F89" s="5" t="s">
        <v>102</v>
      </c>
      <c r="G89" s="5">
        <v>0</v>
      </c>
      <c r="H89" s="9">
        <v>135</v>
      </c>
      <c r="I89" s="9">
        <v>0</v>
      </c>
      <c r="J89" s="9">
        <v>10</v>
      </c>
      <c r="K89" s="9">
        <v>4</v>
      </c>
      <c r="L89" s="9">
        <v>4</v>
      </c>
      <c r="M89" s="5">
        <v>0</v>
      </c>
      <c r="N89" s="5">
        <v>0</v>
      </c>
      <c r="O89" s="5">
        <v>0</v>
      </c>
      <c r="P89" s="5">
        <v>0</v>
      </c>
      <c r="Q89" s="5">
        <v>2</v>
      </c>
      <c r="R89" s="20">
        <v>0</v>
      </c>
      <c r="S89" s="20">
        <v>3600</v>
      </c>
      <c r="T89" s="20">
        <v>240</v>
      </c>
      <c r="U89" s="20">
        <v>120</v>
      </c>
      <c r="V89" s="20">
        <v>120</v>
      </c>
      <c r="W89" s="34">
        <v>0</v>
      </c>
      <c r="X89" s="34">
        <v>0</v>
      </c>
      <c r="Y89" s="34">
        <v>0</v>
      </c>
      <c r="Z89" s="34">
        <v>0</v>
      </c>
    </row>
    <row r="90" spans="1:26" s="8" customFormat="1">
      <c r="A90" s="5">
        <v>13103</v>
      </c>
      <c r="B90" s="5" t="s">
        <v>42</v>
      </c>
      <c r="C90" s="5" t="s">
        <v>35</v>
      </c>
      <c r="D90" s="5">
        <v>1203</v>
      </c>
      <c r="E90" s="5">
        <v>50000</v>
      </c>
      <c r="F90" s="5" t="s">
        <v>103</v>
      </c>
      <c r="G90" s="5">
        <v>0</v>
      </c>
      <c r="H90" s="9">
        <v>203</v>
      </c>
      <c r="I90" s="9">
        <v>0</v>
      </c>
      <c r="J90" s="9">
        <v>15</v>
      </c>
      <c r="K90" s="9">
        <v>6</v>
      </c>
      <c r="L90" s="9">
        <v>6</v>
      </c>
      <c r="M90" s="5">
        <v>0</v>
      </c>
      <c r="N90" s="5">
        <v>0</v>
      </c>
      <c r="O90" s="5">
        <v>0</v>
      </c>
      <c r="P90" s="5">
        <v>0</v>
      </c>
      <c r="Q90" s="5">
        <v>3</v>
      </c>
      <c r="R90" s="20">
        <v>0</v>
      </c>
      <c r="S90" s="20">
        <v>5400</v>
      </c>
      <c r="T90" s="20">
        <v>360</v>
      </c>
      <c r="U90" s="20">
        <v>180</v>
      </c>
      <c r="V90" s="20">
        <v>180</v>
      </c>
      <c r="W90" s="34">
        <v>0</v>
      </c>
      <c r="X90" s="34">
        <v>0</v>
      </c>
      <c r="Y90" s="34">
        <v>0</v>
      </c>
      <c r="Z90" s="34">
        <v>0</v>
      </c>
    </row>
    <row r="91" spans="1:26" s="8" customFormat="1">
      <c r="A91" s="5">
        <v>13104</v>
      </c>
      <c r="B91" s="5" t="s">
        <v>43</v>
      </c>
      <c r="C91" s="5" t="s">
        <v>36</v>
      </c>
      <c r="D91" s="5">
        <v>1204</v>
      </c>
      <c r="E91" s="5">
        <v>100000</v>
      </c>
      <c r="F91" s="5" t="s">
        <v>104</v>
      </c>
      <c r="G91" s="5">
        <v>1</v>
      </c>
      <c r="H91" s="9">
        <v>270</v>
      </c>
      <c r="I91" s="9">
        <v>0</v>
      </c>
      <c r="J91" s="9">
        <v>20</v>
      </c>
      <c r="K91" s="9">
        <v>8</v>
      </c>
      <c r="L91" s="9">
        <v>8</v>
      </c>
      <c r="M91" s="5">
        <v>0</v>
      </c>
      <c r="N91" s="5">
        <v>0</v>
      </c>
      <c r="O91" s="5">
        <v>0</v>
      </c>
      <c r="P91" s="5">
        <v>0</v>
      </c>
      <c r="Q91" s="5">
        <v>4</v>
      </c>
      <c r="R91" s="20">
        <v>0</v>
      </c>
      <c r="S91" s="20">
        <v>7200</v>
      </c>
      <c r="T91" s="20">
        <v>480</v>
      </c>
      <c r="U91" s="20">
        <v>240</v>
      </c>
      <c r="V91" s="20">
        <v>240</v>
      </c>
      <c r="W91" s="34">
        <v>0</v>
      </c>
      <c r="X91" s="34">
        <v>0</v>
      </c>
      <c r="Y91" s="34">
        <v>0</v>
      </c>
      <c r="Z91" s="34">
        <v>0</v>
      </c>
    </row>
    <row r="92" spans="1:26" s="8" customFormat="1">
      <c r="A92" s="5">
        <v>13105</v>
      </c>
      <c r="B92" s="5" t="s">
        <v>44</v>
      </c>
      <c r="C92" s="5" t="s">
        <v>37</v>
      </c>
      <c r="D92" s="5">
        <v>1205</v>
      </c>
      <c r="E92" s="5">
        <v>200000</v>
      </c>
      <c r="F92" s="5" t="s">
        <v>105</v>
      </c>
      <c r="G92" s="5">
        <v>1</v>
      </c>
      <c r="H92" s="9">
        <v>338</v>
      </c>
      <c r="I92" s="9">
        <v>0</v>
      </c>
      <c r="J92" s="9">
        <v>25</v>
      </c>
      <c r="K92" s="9">
        <v>10</v>
      </c>
      <c r="L92" s="9">
        <v>10</v>
      </c>
      <c r="M92" s="5">
        <v>0</v>
      </c>
      <c r="N92" s="5">
        <v>0</v>
      </c>
      <c r="O92" s="5">
        <v>0</v>
      </c>
      <c r="P92" s="5">
        <v>0</v>
      </c>
      <c r="Q92" s="5">
        <v>5</v>
      </c>
      <c r="R92" s="20">
        <v>0</v>
      </c>
      <c r="S92" s="20">
        <v>9000</v>
      </c>
      <c r="T92" s="20">
        <v>600</v>
      </c>
      <c r="U92" s="20">
        <v>300</v>
      </c>
      <c r="V92" s="20">
        <v>300</v>
      </c>
      <c r="W92" s="34">
        <v>0</v>
      </c>
      <c r="X92" s="34">
        <v>0</v>
      </c>
      <c r="Y92" s="34">
        <v>0</v>
      </c>
      <c r="Z92" s="34">
        <v>0</v>
      </c>
    </row>
    <row r="93" spans="1:26" s="8" customFormat="1">
      <c r="A93" s="5">
        <v>13106</v>
      </c>
      <c r="B93" s="5" t="s">
        <v>45</v>
      </c>
      <c r="C93" s="5" t="s">
        <v>38</v>
      </c>
      <c r="D93" s="5">
        <v>1206</v>
      </c>
      <c r="E93" s="5">
        <v>300000</v>
      </c>
      <c r="F93" s="5" t="s">
        <v>106</v>
      </c>
      <c r="G93" s="5">
        <v>2</v>
      </c>
      <c r="H93" s="9">
        <v>405</v>
      </c>
      <c r="I93" s="9">
        <v>0</v>
      </c>
      <c r="J93" s="9">
        <v>30</v>
      </c>
      <c r="K93" s="9">
        <v>12</v>
      </c>
      <c r="L93" s="9">
        <v>12</v>
      </c>
      <c r="M93" s="5">
        <v>0</v>
      </c>
      <c r="N93" s="5">
        <v>0</v>
      </c>
      <c r="O93" s="5">
        <v>0</v>
      </c>
      <c r="P93" s="5">
        <v>0</v>
      </c>
      <c r="Q93" s="5">
        <v>6</v>
      </c>
      <c r="R93" s="20">
        <v>0</v>
      </c>
      <c r="S93" s="20">
        <v>10800</v>
      </c>
      <c r="T93" s="20">
        <v>720</v>
      </c>
      <c r="U93" s="20">
        <v>360</v>
      </c>
      <c r="V93" s="20">
        <v>360</v>
      </c>
      <c r="W93" s="34">
        <v>0</v>
      </c>
      <c r="X93" s="34">
        <v>0</v>
      </c>
      <c r="Y93" s="34">
        <v>0</v>
      </c>
      <c r="Z93" s="34">
        <v>0</v>
      </c>
    </row>
    <row r="94" spans="1:26">
      <c r="A94" s="5">
        <v>13107</v>
      </c>
      <c r="B94" s="5" t="s">
        <v>46</v>
      </c>
      <c r="C94" s="5" t="s">
        <v>39</v>
      </c>
      <c r="D94" s="5">
        <v>1207</v>
      </c>
      <c r="E94" s="5">
        <v>500000</v>
      </c>
      <c r="F94" s="5" t="s">
        <v>107</v>
      </c>
      <c r="G94" s="5">
        <v>2</v>
      </c>
      <c r="H94" s="9">
        <v>473</v>
      </c>
      <c r="I94" s="9">
        <v>0</v>
      </c>
      <c r="J94" s="9">
        <v>35</v>
      </c>
      <c r="K94" s="9">
        <v>14</v>
      </c>
      <c r="L94" s="9">
        <v>14</v>
      </c>
      <c r="M94" s="5">
        <v>0</v>
      </c>
      <c r="N94" s="5">
        <v>0</v>
      </c>
      <c r="O94" s="5">
        <v>0</v>
      </c>
      <c r="P94" s="5">
        <v>0</v>
      </c>
      <c r="Q94" s="5">
        <v>7</v>
      </c>
      <c r="R94" s="20">
        <v>0</v>
      </c>
      <c r="S94" s="20">
        <v>12600</v>
      </c>
      <c r="T94" s="20">
        <v>840</v>
      </c>
      <c r="U94" s="20">
        <v>420</v>
      </c>
      <c r="V94" s="20">
        <v>420</v>
      </c>
      <c r="W94" s="34">
        <v>0</v>
      </c>
      <c r="X94" s="34">
        <v>0</v>
      </c>
      <c r="Y94" s="34">
        <v>0</v>
      </c>
      <c r="Z94" s="34">
        <v>0</v>
      </c>
    </row>
    <row r="95" spans="1:26">
      <c r="A95" s="5">
        <v>13108</v>
      </c>
      <c r="B95" s="5" t="s">
        <v>47</v>
      </c>
      <c r="C95" s="5" t="s">
        <v>40</v>
      </c>
      <c r="D95" s="5">
        <v>1208</v>
      </c>
      <c r="E95" s="5">
        <v>800000</v>
      </c>
      <c r="F95" s="5" t="s">
        <v>108</v>
      </c>
      <c r="G95" s="5">
        <v>4</v>
      </c>
      <c r="H95" s="9">
        <v>540</v>
      </c>
      <c r="I95" s="9">
        <v>0</v>
      </c>
      <c r="J95" s="9">
        <v>40</v>
      </c>
      <c r="K95" s="9">
        <v>16</v>
      </c>
      <c r="L95" s="9">
        <v>16</v>
      </c>
      <c r="M95" s="5">
        <v>0</v>
      </c>
      <c r="N95" s="5">
        <v>0</v>
      </c>
      <c r="O95" s="5">
        <v>0</v>
      </c>
      <c r="P95" s="5">
        <v>0</v>
      </c>
      <c r="Q95" s="5">
        <v>8</v>
      </c>
      <c r="R95" s="20">
        <v>0</v>
      </c>
      <c r="S95" s="20">
        <v>14400</v>
      </c>
      <c r="T95" s="20">
        <v>960</v>
      </c>
      <c r="U95" s="20">
        <v>480</v>
      </c>
      <c r="V95" s="20">
        <v>480</v>
      </c>
      <c r="W95" s="34">
        <v>0</v>
      </c>
      <c r="X95" s="34">
        <v>0</v>
      </c>
      <c r="Y95" s="34">
        <v>0</v>
      </c>
      <c r="Z95" s="34">
        <v>0</v>
      </c>
    </row>
    <row r="96" spans="1:26">
      <c r="A96" s="5">
        <v>13109</v>
      </c>
      <c r="B96" s="5" t="s">
        <v>69</v>
      </c>
      <c r="C96" s="5" t="s">
        <v>32</v>
      </c>
      <c r="D96" s="5">
        <v>1209</v>
      </c>
      <c r="E96" s="5">
        <v>1200000</v>
      </c>
      <c r="F96" s="5" t="s">
        <v>109</v>
      </c>
      <c r="G96" s="5">
        <v>6</v>
      </c>
      <c r="H96" s="9">
        <v>608</v>
      </c>
      <c r="I96" s="9">
        <v>0</v>
      </c>
      <c r="J96" s="9">
        <v>45</v>
      </c>
      <c r="K96" s="9">
        <v>18</v>
      </c>
      <c r="L96" s="9">
        <v>18</v>
      </c>
      <c r="M96" s="5">
        <v>0</v>
      </c>
      <c r="N96" s="5">
        <v>0</v>
      </c>
      <c r="O96" s="5">
        <v>0</v>
      </c>
      <c r="P96" s="5">
        <v>0</v>
      </c>
      <c r="Q96" s="5">
        <v>9</v>
      </c>
      <c r="R96" s="20">
        <v>0</v>
      </c>
      <c r="S96" s="20">
        <v>16200</v>
      </c>
      <c r="T96" s="20">
        <v>1080</v>
      </c>
      <c r="U96" s="20">
        <v>540</v>
      </c>
      <c r="V96" s="20">
        <v>540</v>
      </c>
      <c r="W96" s="34">
        <v>0</v>
      </c>
      <c r="X96" s="34">
        <v>0</v>
      </c>
      <c r="Y96" s="34">
        <v>0</v>
      </c>
      <c r="Z96" s="34">
        <v>0</v>
      </c>
    </row>
    <row r="97" spans="1:26">
      <c r="A97" s="5">
        <v>13110</v>
      </c>
      <c r="B97" s="5" t="s">
        <v>71</v>
      </c>
      <c r="C97" s="5" t="s">
        <v>31</v>
      </c>
      <c r="D97" s="5">
        <v>1210</v>
      </c>
      <c r="E97" s="5">
        <v>1600000</v>
      </c>
      <c r="F97" s="5" t="s">
        <v>110</v>
      </c>
      <c r="G97" s="5">
        <v>8</v>
      </c>
      <c r="H97" s="9">
        <v>675</v>
      </c>
      <c r="I97" s="9">
        <v>0</v>
      </c>
      <c r="J97" s="9">
        <v>50</v>
      </c>
      <c r="K97" s="9">
        <v>20</v>
      </c>
      <c r="L97" s="9">
        <v>20</v>
      </c>
      <c r="M97" s="5">
        <v>0</v>
      </c>
      <c r="N97" s="5">
        <v>0</v>
      </c>
      <c r="O97" s="5">
        <v>0</v>
      </c>
      <c r="P97" s="5">
        <v>0</v>
      </c>
      <c r="Q97" s="5">
        <v>10</v>
      </c>
      <c r="R97" s="20">
        <v>0</v>
      </c>
      <c r="S97" s="20">
        <v>18000</v>
      </c>
      <c r="T97" s="20">
        <v>1200</v>
      </c>
      <c r="U97" s="20">
        <v>600</v>
      </c>
      <c r="V97" s="20">
        <v>600</v>
      </c>
      <c r="W97" s="34">
        <v>0</v>
      </c>
      <c r="X97" s="34">
        <v>0</v>
      </c>
      <c r="Y97" s="34">
        <v>0</v>
      </c>
      <c r="Z97" s="34">
        <v>0</v>
      </c>
    </row>
    <row r="98" spans="1:26">
      <c r="A98" s="5">
        <v>13111</v>
      </c>
      <c r="B98" s="5" t="s">
        <v>73</v>
      </c>
      <c r="C98" s="5" t="s">
        <v>74</v>
      </c>
      <c r="D98" s="5">
        <v>1211</v>
      </c>
      <c r="E98" s="5">
        <v>2000000</v>
      </c>
      <c r="F98" s="5" t="s">
        <v>90</v>
      </c>
      <c r="G98" s="5">
        <v>10</v>
      </c>
      <c r="H98" s="9">
        <v>743</v>
      </c>
      <c r="I98" s="9">
        <v>0</v>
      </c>
      <c r="J98" s="9">
        <v>55</v>
      </c>
      <c r="K98" s="9">
        <v>22</v>
      </c>
      <c r="L98" s="9">
        <v>22</v>
      </c>
      <c r="M98" s="5">
        <v>0</v>
      </c>
      <c r="N98" s="5">
        <v>0</v>
      </c>
      <c r="O98" s="5">
        <v>0</v>
      </c>
      <c r="P98" s="5">
        <v>0</v>
      </c>
      <c r="Q98" s="5">
        <v>11</v>
      </c>
      <c r="R98" s="20">
        <v>0</v>
      </c>
      <c r="S98" s="20">
        <v>19800</v>
      </c>
      <c r="T98" s="20">
        <v>1320</v>
      </c>
      <c r="U98" s="20">
        <v>660</v>
      </c>
      <c r="V98" s="20">
        <v>660</v>
      </c>
      <c r="W98" s="34">
        <v>0</v>
      </c>
      <c r="X98" s="34">
        <v>0</v>
      </c>
      <c r="Y98" s="34">
        <v>0</v>
      </c>
      <c r="Z98" s="34">
        <v>0</v>
      </c>
    </row>
    <row r="99" spans="1:26">
      <c r="A99" s="5">
        <v>13112</v>
      </c>
      <c r="B99" s="5" t="s">
        <v>75</v>
      </c>
      <c r="C99" s="5" t="s">
        <v>76</v>
      </c>
      <c r="D99" s="5">
        <v>1212</v>
      </c>
      <c r="E99" s="5">
        <v>2400000</v>
      </c>
      <c r="F99" s="5" t="s">
        <v>111</v>
      </c>
      <c r="G99" s="5">
        <v>12</v>
      </c>
      <c r="H99" s="9">
        <v>810</v>
      </c>
      <c r="I99" s="9">
        <v>0</v>
      </c>
      <c r="J99" s="9">
        <v>60</v>
      </c>
      <c r="K99" s="9">
        <v>24</v>
      </c>
      <c r="L99" s="9">
        <v>24</v>
      </c>
      <c r="M99" s="5">
        <v>0</v>
      </c>
      <c r="N99" s="5">
        <v>0</v>
      </c>
      <c r="O99" s="5">
        <v>0</v>
      </c>
      <c r="P99" s="5">
        <v>0</v>
      </c>
      <c r="Q99" s="5">
        <v>12</v>
      </c>
      <c r="R99" s="20">
        <v>0</v>
      </c>
      <c r="S99" s="20">
        <v>21600</v>
      </c>
      <c r="T99" s="20">
        <v>1440</v>
      </c>
      <c r="U99" s="20">
        <v>720</v>
      </c>
      <c r="V99" s="20">
        <v>720</v>
      </c>
      <c r="W99" s="34">
        <v>0</v>
      </c>
      <c r="X99" s="34">
        <v>0</v>
      </c>
      <c r="Y99" s="34">
        <v>0</v>
      </c>
      <c r="Z99" s="34">
        <v>0</v>
      </c>
    </row>
    <row r="100" spans="1:26">
      <c r="A100" s="5">
        <v>13201</v>
      </c>
      <c r="B100" s="5" t="s">
        <v>121</v>
      </c>
      <c r="C100" s="5" t="s">
        <v>33</v>
      </c>
      <c r="D100" s="5">
        <v>1201</v>
      </c>
      <c r="E100" s="5">
        <v>10000</v>
      </c>
      <c r="F100" s="5" t="s">
        <v>101</v>
      </c>
      <c r="G100" s="5">
        <v>0</v>
      </c>
      <c r="H100" s="37">
        <v>68</v>
      </c>
      <c r="I100" s="9">
        <v>0</v>
      </c>
      <c r="J100" s="9">
        <v>5</v>
      </c>
      <c r="K100" s="9">
        <v>2</v>
      </c>
      <c r="L100" s="9">
        <v>2</v>
      </c>
      <c r="M100" s="5">
        <v>0</v>
      </c>
      <c r="N100" s="5">
        <v>0</v>
      </c>
      <c r="O100" s="5">
        <v>0</v>
      </c>
      <c r="P100" s="5">
        <v>0</v>
      </c>
      <c r="Q100" s="5">
        <v>1</v>
      </c>
      <c r="R100" s="20">
        <v>0</v>
      </c>
      <c r="S100" s="20">
        <v>1800</v>
      </c>
      <c r="T100" s="20">
        <v>120</v>
      </c>
      <c r="U100" s="20">
        <v>60</v>
      </c>
      <c r="V100" s="20">
        <v>60</v>
      </c>
      <c r="W100" s="34">
        <v>0</v>
      </c>
      <c r="X100" s="34">
        <v>0</v>
      </c>
      <c r="Y100" s="34">
        <v>0</v>
      </c>
      <c r="Z100" s="34">
        <v>0</v>
      </c>
    </row>
    <row r="101" spans="1:26">
      <c r="A101" s="5">
        <v>13202</v>
      </c>
      <c r="B101" s="5" t="s">
        <v>41</v>
      </c>
      <c r="C101" s="5" t="s">
        <v>34</v>
      </c>
      <c r="D101" s="5">
        <v>1202</v>
      </c>
      <c r="E101" s="5">
        <v>30000</v>
      </c>
      <c r="F101" s="5" t="s">
        <v>102</v>
      </c>
      <c r="G101" s="5">
        <v>0</v>
      </c>
      <c r="H101" s="9">
        <v>135</v>
      </c>
      <c r="I101" s="9">
        <v>0</v>
      </c>
      <c r="J101" s="9">
        <v>10</v>
      </c>
      <c r="K101" s="9">
        <v>4</v>
      </c>
      <c r="L101" s="9">
        <v>4</v>
      </c>
      <c r="M101" s="5">
        <v>0</v>
      </c>
      <c r="N101" s="5">
        <v>0</v>
      </c>
      <c r="O101" s="5">
        <v>0</v>
      </c>
      <c r="P101" s="5">
        <v>0</v>
      </c>
      <c r="Q101" s="5">
        <v>2</v>
      </c>
      <c r="R101" s="20">
        <v>0</v>
      </c>
      <c r="S101" s="20">
        <v>3600</v>
      </c>
      <c r="T101" s="20">
        <v>240</v>
      </c>
      <c r="U101" s="20">
        <v>120</v>
      </c>
      <c r="V101" s="20">
        <v>120</v>
      </c>
      <c r="W101" s="34">
        <v>0</v>
      </c>
      <c r="X101" s="34">
        <v>0</v>
      </c>
      <c r="Y101" s="34">
        <v>0</v>
      </c>
      <c r="Z101" s="34">
        <v>0</v>
      </c>
    </row>
    <row r="102" spans="1:26">
      <c r="A102" s="5">
        <v>13203</v>
      </c>
      <c r="B102" s="5" t="s">
        <v>42</v>
      </c>
      <c r="C102" s="5" t="s">
        <v>35</v>
      </c>
      <c r="D102" s="5">
        <v>1203</v>
      </c>
      <c r="E102" s="5">
        <v>50000</v>
      </c>
      <c r="F102" s="5" t="s">
        <v>103</v>
      </c>
      <c r="G102" s="5">
        <v>0</v>
      </c>
      <c r="H102" s="9">
        <v>203</v>
      </c>
      <c r="I102" s="9">
        <v>0</v>
      </c>
      <c r="J102" s="9">
        <v>15</v>
      </c>
      <c r="K102" s="9">
        <v>6</v>
      </c>
      <c r="L102" s="9">
        <v>6</v>
      </c>
      <c r="M102" s="5">
        <v>0</v>
      </c>
      <c r="N102" s="5">
        <v>0</v>
      </c>
      <c r="O102" s="5">
        <v>0</v>
      </c>
      <c r="P102" s="5">
        <v>0</v>
      </c>
      <c r="Q102" s="5">
        <v>3</v>
      </c>
      <c r="R102" s="20">
        <v>0</v>
      </c>
      <c r="S102" s="20">
        <v>5400</v>
      </c>
      <c r="T102" s="20">
        <v>360</v>
      </c>
      <c r="U102" s="20">
        <v>180</v>
      </c>
      <c r="V102" s="20">
        <v>180</v>
      </c>
      <c r="W102" s="34">
        <v>0</v>
      </c>
      <c r="X102" s="34">
        <v>0</v>
      </c>
      <c r="Y102" s="34">
        <v>0</v>
      </c>
      <c r="Z102" s="34">
        <v>0</v>
      </c>
    </row>
    <row r="103" spans="1:26">
      <c r="A103" s="5">
        <v>13204</v>
      </c>
      <c r="B103" s="5" t="s">
        <v>43</v>
      </c>
      <c r="C103" s="5" t="s">
        <v>36</v>
      </c>
      <c r="D103" s="5">
        <v>1204</v>
      </c>
      <c r="E103" s="5">
        <v>100000</v>
      </c>
      <c r="F103" s="5" t="s">
        <v>104</v>
      </c>
      <c r="G103" s="5">
        <v>1</v>
      </c>
      <c r="H103" s="9">
        <v>270</v>
      </c>
      <c r="I103" s="9">
        <v>0</v>
      </c>
      <c r="J103" s="9">
        <v>20</v>
      </c>
      <c r="K103" s="9">
        <v>8</v>
      </c>
      <c r="L103" s="9">
        <v>8</v>
      </c>
      <c r="M103" s="5">
        <v>0</v>
      </c>
      <c r="N103" s="5">
        <v>0</v>
      </c>
      <c r="O103" s="5">
        <v>0</v>
      </c>
      <c r="P103" s="5">
        <v>0</v>
      </c>
      <c r="Q103" s="5">
        <v>4</v>
      </c>
      <c r="R103" s="20">
        <v>0</v>
      </c>
      <c r="S103" s="20">
        <v>7200</v>
      </c>
      <c r="T103" s="20">
        <v>480</v>
      </c>
      <c r="U103" s="20">
        <v>240</v>
      </c>
      <c r="V103" s="20">
        <v>240</v>
      </c>
      <c r="W103" s="34">
        <v>0</v>
      </c>
      <c r="X103" s="34">
        <v>0</v>
      </c>
      <c r="Y103" s="34">
        <v>0</v>
      </c>
      <c r="Z103" s="34">
        <v>0</v>
      </c>
    </row>
    <row r="104" spans="1:26">
      <c r="A104" s="5">
        <v>13205</v>
      </c>
      <c r="B104" s="5" t="s">
        <v>44</v>
      </c>
      <c r="C104" s="5" t="s">
        <v>37</v>
      </c>
      <c r="D104" s="5">
        <v>1205</v>
      </c>
      <c r="E104" s="5">
        <v>200000</v>
      </c>
      <c r="F104" s="5" t="s">
        <v>105</v>
      </c>
      <c r="G104" s="5">
        <v>1</v>
      </c>
      <c r="H104" s="9">
        <v>338</v>
      </c>
      <c r="I104" s="9">
        <v>0</v>
      </c>
      <c r="J104" s="9">
        <v>25</v>
      </c>
      <c r="K104" s="9">
        <v>10</v>
      </c>
      <c r="L104" s="9">
        <v>10</v>
      </c>
      <c r="M104" s="5">
        <v>0</v>
      </c>
      <c r="N104" s="5">
        <v>0</v>
      </c>
      <c r="O104" s="5">
        <v>0</v>
      </c>
      <c r="P104" s="5">
        <v>0</v>
      </c>
      <c r="Q104" s="5">
        <v>5</v>
      </c>
      <c r="R104" s="20">
        <v>0</v>
      </c>
      <c r="S104" s="20">
        <v>9000</v>
      </c>
      <c r="T104" s="20">
        <v>600</v>
      </c>
      <c r="U104" s="20">
        <v>300</v>
      </c>
      <c r="V104" s="20">
        <v>300</v>
      </c>
      <c r="W104" s="34">
        <v>0</v>
      </c>
      <c r="X104" s="34">
        <v>0</v>
      </c>
      <c r="Y104" s="34">
        <v>0</v>
      </c>
      <c r="Z104" s="34">
        <v>0</v>
      </c>
    </row>
    <row r="105" spans="1:26">
      <c r="A105" s="5">
        <v>13206</v>
      </c>
      <c r="B105" s="5" t="s">
        <v>45</v>
      </c>
      <c r="C105" s="5" t="s">
        <v>38</v>
      </c>
      <c r="D105" s="5">
        <v>1206</v>
      </c>
      <c r="E105" s="5">
        <v>300000</v>
      </c>
      <c r="F105" s="5" t="s">
        <v>106</v>
      </c>
      <c r="G105" s="5">
        <v>2</v>
      </c>
      <c r="H105" s="9">
        <v>405</v>
      </c>
      <c r="I105" s="9">
        <v>0</v>
      </c>
      <c r="J105" s="9">
        <v>30</v>
      </c>
      <c r="K105" s="9">
        <v>12</v>
      </c>
      <c r="L105" s="9">
        <v>12</v>
      </c>
      <c r="M105" s="5">
        <v>0</v>
      </c>
      <c r="N105" s="5">
        <v>0</v>
      </c>
      <c r="O105" s="5">
        <v>0</v>
      </c>
      <c r="P105" s="5">
        <v>0</v>
      </c>
      <c r="Q105" s="5">
        <v>6</v>
      </c>
      <c r="R105" s="20">
        <v>0</v>
      </c>
      <c r="S105" s="20">
        <v>10800</v>
      </c>
      <c r="T105" s="20">
        <v>720</v>
      </c>
      <c r="U105" s="20">
        <v>360</v>
      </c>
      <c r="V105" s="20">
        <v>360</v>
      </c>
      <c r="W105" s="34">
        <v>0</v>
      </c>
      <c r="X105" s="34">
        <v>0</v>
      </c>
      <c r="Y105" s="34">
        <v>0</v>
      </c>
      <c r="Z105" s="34">
        <v>0</v>
      </c>
    </row>
    <row r="106" spans="1:26">
      <c r="A106" s="5">
        <v>13207</v>
      </c>
      <c r="B106" s="5" t="s">
        <v>46</v>
      </c>
      <c r="C106" s="5" t="s">
        <v>39</v>
      </c>
      <c r="D106" s="5">
        <v>1207</v>
      </c>
      <c r="E106" s="5">
        <v>500000</v>
      </c>
      <c r="F106" s="5" t="s">
        <v>107</v>
      </c>
      <c r="G106" s="5">
        <v>2</v>
      </c>
      <c r="H106" s="9">
        <v>473</v>
      </c>
      <c r="I106" s="9">
        <v>0</v>
      </c>
      <c r="J106" s="9">
        <v>35</v>
      </c>
      <c r="K106" s="9">
        <v>14</v>
      </c>
      <c r="L106" s="9">
        <v>14</v>
      </c>
      <c r="M106" s="5">
        <v>0</v>
      </c>
      <c r="N106" s="5">
        <v>0</v>
      </c>
      <c r="O106" s="5">
        <v>0</v>
      </c>
      <c r="P106" s="5">
        <v>0</v>
      </c>
      <c r="Q106" s="5">
        <v>7</v>
      </c>
      <c r="R106" s="20">
        <v>0</v>
      </c>
      <c r="S106" s="20">
        <v>12600</v>
      </c>
      <c r="T106" s="20">
        <v>840</v>
      </c>
      <c r="U106" s="20">
        <v>420</v>
      </c>
      <c r="V106" s="20">
        <v>420</v>
      </c>
      <c r="W106" s="34">
        <v>0</v>
      </c>
      <c r="X106" s="34">
        <v>0</v>
      </c>
      <c r="Y106" s="34">
        <v>0</v>
      </c>
      <c r="Z106" s="34">
        <v>0</v>
      </c>
    </row>
    <row r="107" spans="1:26">
      <c r="A107" s="5">
        <v>13208</v>
      </c>
      <c r="B107" s="5" t="s">
        <v>47</v>
      </c>
      <c r="C107" s="5" t="s">
        <v>40</v>
      </c>
      <c r="D107" s="5">
        <v>1208</v>
      </c>
      <c r="E107" s="5">
        <v>800000</v>
      </c>
      <c r="F107" s="5" t="s">
        <v>108</v>
      </c>
      <c r="G107" s="5">
        <v>4</v>
      </c>
      <c r="H107" s="9">
        <v>540</v>
      </c>
      <c r="I107" s="9">
        <v>0</v>
      </c>
      <c r="J107" s="9">
        <v>40</v>
      </c>
      <c r="K107" s="9">
        <v>16</v>
      </c>
      <c r="L107" s="9">
        <v>16</v>
      </c>
      <c r="M107" s="5">
        <v>0</v>
      </c>
      <c r="N107" s="5">
        <v>0</v>
      </c>
      <c r="O107" s="5">
        <v>0</v>
      </c>
      <c r="P107" s="5">
        <v>0</v>
      </c>
      <c r="Q107" s="5">
        <v>8</v>
      </c>
      <c r="R107" s="20">
        <v>0</v>
      </c>
      <c r="S107" s="20">
        <v>14400</v>
      </c>
      <c r="T107" s="20">
        <v>960</v>
      </c>
      <c r="U107" s="20">
        <v>480</v>
      </c>
      <c r="V107" s="20">
        <v>480</v>
      </c>
      <c r="W107" s="34">
        <v>0</v>
      </c>
      <c r="X107" s="34">
        <v>0</v>
      </c>
      <c r="Y107" s="34">
        <v>0</v>
      </c>
      <c r="Z107" s="34">
        <v>0</v>
      </c>
    </row>
    <row r="108" spans="1:26">
      <c r="A108" s="5">
        <v>13209</v>
      </c>
      <c r="B108" s="5" t="s">
        <v>69</v>
      </c>
      <c r="C108" s="5" t="s">
        <v>32</v>
      </c>
      <c r="D108" s="5">
        <v>1209</v>
      </c>
      <c r="E108" s="5">
        <v>1200000</v>
      </c>
      <c r="F108" s="5" t="s">
        <v>109</v>
      </c>
      <c r="G108" s="5">
        <v>6</v>
      </c>
      <c r="H108" s="9">
        <v>608</v>
      </c>
      <c r="I108" s="9">
        <v>0</v>
      </c>
      <c r="J108" s="9">
        <v>45</v>
      </c>
      <c r="K108" s="9">
        <v>18</v>
      </c>
      <c r="L108" s="9">
        <v>18</v>
      </c>
      <c r="M108" s="5">
        <v>0</v>
      </c>
      <c r="N108" s="5">
        <v>0</v>
      </c>
      <c r="O108" s="5">
        <v>0</v>
      </c>
      <c r="P108" s="5">
        <v>0</v>
      </c>
      <c r="Q108" s="5">
        <v>9</v>
      </c>
      <c r="R108" s="20">
        <v>0</v>
      </c>
      <c r="S108" s="20">
        <v>16200</v>
      </c>
      <c r="T108" s="20">
        <v>1080</v>
      </c>
      <c r="U108" s="20">
        <v>540</v>
      </c>
      <c r="V108" s="20">
        <v>540</v>
      </c>
      <c r="W108" s="34">
        <v>0</v>
      </c>
      <c r="X108" s="34">
        <v>0</v>
      </c>
      <c r="Y108" s="34">
        <v>0</v>
      </c>
      <c r="Z108" s="34">
        <v>0</v>
      </c>
    </row>
    <row r="109" spans="1:26">
      <c r="A109" s="5">
        <v>13210</v>
      </c>
      <c r="B109" s="5" t="s">
        <v>71</v>
      </c>
      <c r="C109" s="5" t="s">
        <v>31</v>
      </c>
      <c r="D109" s="5">
        <v>1210</v>
      </c>
      <c r="E109" s="5">
        <v>1600000</v>
      </c>
      <c r="F109" s="5" t="s">
        <v>110</v>
      </c>
      <c r="G109" s="5">
        <v>8</v>
      </c>
      <c r="H109" s="9">
        <v>675</v>
      </c>
      <c r="I109" s="9">
        <v>0</v>
      </c>
      <c r="J109" s="9">
        <v>50</v>
      </c>
      <c r="K109" s="9">
        <v>20</v>
      </c>
      <c r="L109" s="9">
        <v>20</v>
      </c>
      <c r="M109" s="5">
        <v>0</v>
      </c>
      <c r="N109" s="5">
        <v>0</v>
      </c>
      <c r="O109" s="5">
        <v>0</v>
      </c>
      <c r="P109" s="5">
        <v>0</v>
      </c>
      <c r="Q109" s="5">
        <v>10</v>
      </c>
      <c r="R109" s="20">
        <v>0</v>
      </c>
      <c r="S109" s="20">
        <v>18000</v>
      </c>
      <c r="T109" s="20">
        <v>1200</v>
      </c>
      <c r="U109" s="20">
        <v>600</v>
      </c>
      <c r="V109" s="20">
        <v>600</v>
      </c>
      <c r="W109" s="34">
        <v>0</v>
      </c>
      <c r="X109" s="34">
        <v>0</v>
      </c>
      <c r="Y109" s="34">
        <v>0</v>
      </c>
      <c r="Z109" s="34">
        <v>0</v>
      </c>
    </row>
    <row r="110" spans="1:26">
      <c r="A110" s="5">
        <v>13211</v>
      </c>
      <c r="B110" s="5" t="s">
        <v>73</v>
      </c>
      <c r="C110" s="5" t="s">
        <v>74</v>
      </c>
      <c r="D110" s="5">
        <v>1211</v>
      </c>
      <c r="E110" s="5">
        <v>2000000</v>
      </c>
      <c r="F110" s="5" t="s">
        <v>90</v>
      </c>
      <c r="G110" s="5">
        <v>10</v>
      </c>
      <c r="H110" s="9">
        <v>743</v>
      </c>
      <c r="I110" s="9">
        <v>0</v>
      </c>
      <c r="J110" s="9">
        <v>55</v>
      </c>
      <c r="K110" s="9">
        <v>22</v>
      </c>
      <c r="L110" s="9">
        <v>22</v>
      </c>
      <c r="M110" s="5">
        <v>0</v>
      </c>
      <c r="N110" s="5">
        <v>0</v>
      </c>
      <c r="O110" s="5">
        <v>0</v>
      </c>
      <c r="P110" s="5">
        <v>0</v>
      </c>
      <c r="Q110" s="5">
        <v>11</v>
      </c>
      <c r="R110" s="20">
        <v>0</v>
      </c>
      <c r="S110" s="20">
        <v>19800</v>
      </c>
      <c r="T110" s="20">
        <v>1320</v>
      </c>
      <c r="U110" s="20">
        <v>660</v>
      </c>
      <c r="V110" s="20">
        <v>660</v>
      </c>
      <c r="W110" s="34">
        <v>0</v>
      </c>
      <c r="X110" s="34">
        <v>0</v>
      </c>
      <c r="Y110" s="34">
        <v>0</v>
      </c>
      <c r="Z110" s="34">
        <v>0</v>
      </c>
    </row>
    <row r="111" spans="1:26">
      <c r="A111" s="5">
        <v>13212</v>
      </c>
      <c r="B111" s="5" t="s">
        <v>75</v>
      </c>
      <c r="C111" s="5" t="s">
        <v>76</v>
      </c>
      <c r="D111" s="5">
        <v>1212</v>
      </c>
      <c r="E111" s="5">
        <v>2400000</v>
      </c>
      <c r="F111" s="5" t="s">
        <v>111</v>
      </c>
      <c r="G111" s="5">
        <v>12</v>
      </c>
      <c r="H111" s="9">
        <v>810</v>
      </c>
      <c r="I111" s="9">
        <v>0</v>
      </c>
      <c r="J111" s="9">
        <v>60</v>
      </c>
      <c r="K111" s="9">
        <v>24</v>
      </c>
      <c r="L111" s="9">
        <v>24</v>
      </c>
      <c r="M111" s="5">
        <v>0</v>
      </c>
      <c r="N111" s="5">
        <v>0</v>
      </c>
      <c r="O111" s="5">
        <v>0</v>
      </c>
      <c r="P111" s="5">
        <v>0</v>
      </c>
      <c r="Q111" s="5">
        <v>12</v>
      </c>
      <c r="R111" s="20">
        <v>0</v>
      </c>
      <c r="S111" s="20">
        <v>21600</v>
      </c>
      <c r="T111" s="20">
        <v>1440</v>
      </c>
      <c r="U111" s="20">
        <v>720</v>
      </c>
      <c r="V111" s="20">
        <v>720</v>
      </c>
      <c r="W111" s="34">
        <v>0</v>
      </c>
      <c r="X111" s="34">
        <v>0</v>
      </c>
      <c r="Y111" s="34">
        <v>0</v>
      </c>
      <c r="Z111" s="34">
        <v>0</v>
      </c>
    </row>
    <row r="112" spans="1:26">
      <c r="A112" s="5">
        <v>13301</v>
      </c>
      <c r="B112" s="5" t="s">
        <v>121</v>
      </c>
      <c r="C112" s="5" t="s">
        <v>33</v>
      </c>
      <c r="D112" s="5">
        <v>1201</v>
      </c>
      <c r="E112" s="5">
        <v>10000</v>
      </c>
      <c r="F112" s="5" t="s">
        <v>101</v>
      </c>
      <c r="G112" s="5">
        <v>0</v>
      </c>
      <c r="H112" s="37">
        <v>68</v>
      </c>
      <c r="I112" s="9">
        <v>0</v>
      </c>
      <c r="J112" s="9">
        <v>5</v>
      </c>
      <c r="K112" s="9">
        <v>2</v>
      </c>
      <c r="L112" s="9">
        <v>2</v>
      </c>
      <c r="M112" s="5">
        <v>0</v>
      </c>
      <c r="N112" s="5">
        <v>0</v>
      </c>
      <c r="O112" s="5">
        <v>0</v>
      </c>
      <c r="P112" s="5">
        <v>0</v>
      </c>
      <c r="Q112" s="5">
        <v>1</v>
      </c>
      <c r="R112" s="20">
        <v>0</v>
      </c>
      <c r="S112" s="20">
        <v>1800</v>
      </c>
      <c r="T112" s="20">
        <v>120</v>
      </c>
      <c r="U112" s="20">
        <v>60</v>
      </c>
      <c r="V112" s="20">
        <v>60</v>
      </c>
      <c r="W112" s="34">
        <v>0</v>
      </c>
      <c r="X112" s="34">
        <v>0</v>
      </c>
      <c r="Y112" s="34">
        <v>0</v>
      </c>
      <c r="Z112" s="34">
        <v>0</v>
      </c>
    </row>
    <row r="113" spans="1:26">
      <c r="A113" s="5">
        <v>13302</v>
      </c>
      <c r="B113" s="5" t="s">
        <v>41</v>
      </c>
      <c r="C113" s="5" t="s">
        <v>34</v>
      </c>
      <c r="D113" s="5">
        <v>1202</v>
      </c>
      <c r="E113" s="5">
        <v>30000</v>
      </c>
      <c r="F113" s="5" t="s">
        <v>102</v>
      </c>
      <c r="G113" s="5">
        <v>0</v>
      </c>
      <c r="H113" s="9">
        <v>135</v>
      </c>
      <c r="I113" s="9">
        <v>0</v>
      </c>
      <c r="J113" s="9">
        <v>10</v>
      </c>
      <c r="K113" s="9">
        <v>4</v>
      </c>
      <c r="L113" s="9">
        <v>4</v>
      </c>
      <c r="M113" s="5">
        <v>0</v>
      </c>
      <c r="N113" s="5">
        <v>0</v>
      </c>
      <c r="O113" s="5">
        <v>0</v>
      </c>
      <c r="P113" s="5">
        <v>0</v>
      </c>
      <c r="Q113" s="5">
        <v>2</v>
      </c>
      <c r="R113" s="20">
        <v>0</v>
      </c>
      <c r="S113" s="20">
        <v>3600</v>
      </c>
      <c r="T113" s="20">
        <v>240</v>
      </c>
      <c r="U113" s="20">
        <v>120</v>
      </c>
      <c r="V113" s="20">
        <v>120</v>
      </c>
      <c r="W113" s="34">
        <v>0</v>
      </c>
      <c r="X113" s="34">
        <v>0</v>
      </c>
      <c r="Y113" s="34">
        <v>0</v>
      </c>
      <c r="Z113" s="34">
        <v>0</v>
      </c>
    </row>
    <row r="114" spans="1:26">
      <c r="A114" s="5">
        <v>13303</v>
      </c>
      <c r="B114" s="5" t="s">
        <v>42</v>
      </c>
      <c r="C114" s="5" t="s">
        <v>35</v>
      </c>
      <c r="D114" s="5">
        <v>1203</v>
      </c>
      <c r="E114" s="5">
        <v>50000</v>
      </c>
      <c r="F114" s="5" t="s">
        <v>103</v>
      </c>
      <c r="G114" s="5">
        <v>0</v>
      </c>
      <c r="H114" s="9">
        <v>203</v>
      </c>
      <c r="I114" s="9">
        <v>0</v>
      </c>
      <c r="J114" s="9">
        <v>15</v>
      </c>
      <c r="K114" s="9">
        <v>6</v>
      </c>
      <c r="L114" s="9">
        <v>6</v>
      </c>
      <c r="M114" s="5">
        <v>0</v>
      </c>
      <c r="N114" s="5">
        <v>0</v>
      </c>
      <c r="O114" s="5">
        <v>0</v>
      </c>
      <c r="P114" s="5">
        <v>0</v>
      </c>
      <c r="Q114" s="5">
        <v>3</v>
      </c>
      <c r="R114" s="20">
        <v>0</v>
      </c>
      <c r="S114" s="20">
        <v>5400</v>
      </c>
      <c r="T114" s="20">
        <v>360</v>
      </c>
      <c r="U114" s="20">
        <v>180</v>
      </c>
      <c r="V114" s="20">
        <v>180</v>
      </c>
      <c r="W114" s="34">
        <v>0</v>
      </c>
      <c r="X114" s="34">
        <v>0</v>
      </c>
      <c r="Y114" s="34">
        <v>0</v>
      </c>
      <c r="Z114" s="34">
        <v>0</v>
      </c>
    </row>
    <row r="115" spans="1:26">
      <c r="A115" s="5">
        <v>13304</v>
      </c>
      <c r="B115" s="5" t="s">
        <v>43</v>
      </c>
      <c r="C115" s="5" t="s">
        <v>36</v>
      </c>
      <c r="D115" s="5">
        <v>1204</v>
      </c>
      <c r="E115" s="5">
        <v>100000</v>
      </c>
      <c r="F115" s="5" t="s">
        <v>104</v>
      </c>
      <c r="G115" s="5">
        <v>1</v>
      </c>
      <c r="H115" s="9">
        <v>270</v>
      </c>
      <c r="I115" s="9">
        <v>0</v>
      </c>
      <c r="J115" s="9">
        <v>20</v>
      </c>
      <c r="K115" s="9">
        <v>8</v>
      </c>
      <c r="L115" s="9">
        <v>8</v>
      </c>
      <c r="M115" s="5">
        <v>0</v>
      </c>
      <c r="N115" s="5">
        <v>0</v>
      </c>
      <c r="O115" s="5">
        <v>0</v>
      </c>
      <c r="P115" s="5">
        <v>0</v>
      </c>
      <c r="Q115" s="5">
        <v>4</v>
      </c>
      <c r="R115" s="20">
        <v>0</v>
      </c>
      <c r="S115" s="20">
        <v>7200</v>
      </c>
      <c r="T115" s="20">
        <v>480</v>
      </c>
      <c r="U115" s="20">
        <v>240</v>
      </c>
      <c r="V115" s="20">
        <v>240</v>
      </c>
      <c r="W115" s="34">
        <v>0</v>
      </c>
      <c r="X115" s="34">
        <v>0</v>
      </c>
      <c r="Y115" s="34">
        <v>0</v>
      </c>
      <c r="Z115" s="34">
        <v>0</v>
      </c>
    </row>
    <row r="116" spans="1:26">
      <c r="A116" s="5">
        <v>13305</v>
      </c>
      <c r="B116" s="5" t="s">
        <v>44</v>
      </c>
      <c r="C116" s="5" t="s">
        <v>37</v>
      </c>
      <c r="D116" s="5">
        <v>1205</v>
      </c>
      <c r="E116" s="5">
        <v>200000</v>
      </c>
      <c r="F116" s="5" t="s">
        <v>105</v>
      </c>
      <c r="G116" s="5">
        <v>1</v>
      </c>
      <c r="H116" s="9">
        <v>338</v>
      </c>
      <c r="I116" s="9">
        <v>0</v>
      </c>
      <c r="J116" s="9">
        <v>25</v>
      </c>
      <c r="K116" s="9">
        <v>10</v>
      </c>
      <c r="L116" s="9">
        <v>10</v>
      </c>
      <c r="M116" s="5">
        <v>0</v>
      </c>
      <c r="N116" s="5">
        <v>0</v>
      </c>
      <c r="O116" s="5">
        <v>0</v>
      </c>
      <c r="P116" s="5">
        <v>0</v>
      </c>
      <c r="Q116" s="5">
        <v>5</v>
      </c>
      <c r="R116" s="20">
        <v>0</v>
      </c>
      <c r="S116" s="20">
        <v>9000</v>
      </c>
      <c r="T116" s="20">
        <v>600</v>
      </c>
      <c r="U116" s="20">
        <v>300</v>
      </c>
      <c r="V116" s="20">
        <v>300</v>
      </c>
      <c r="W116" s="34">
        <v>0</v>
      </c>
      <c r="X116" s="34">
        <v>0</v>
      </c>
      <c r="Y116" s="34">
        <v>0</v>
      </c>
      <c r="Z116" s="34">
        <v>0</v>
      </c>
    </row>
    <row r="117" spans="1:26">
      <c r="A117" s="5">
        <v>13306</v>
      </c>
      <c r="B117" s="5" t="s">
        <v>45</v>
      </c>
      <c r="C117" s="5" t="s">
        <v>38</v>
      </c>
      <c r="D117" s="5">
        <v>1206</v>
      </c>
      <c r="E117" s="5">
        <v>300000</v>
      </c>
      <c r="F117" s="5" t="s">
        <v>106</v>
      </c>
      <c r="G117" s="5">
        <v>2</v>
      </c>
      <c r="H117" s="9">
        <v>405</v>
      </c>
      <c r="I117" s="9">
        <v>0</v>
      </c>
      <c r="J117" s="9">
        <v>30</v>
      </c>
      <c r="K117" s="9">
        <v>12</v>
      </c>
      <c r="L117" s="9">
        <v>12</v>
      </c>
      <c r="M117" s="5">
        <v>0</v>
      </c>
      <c r="N117" s="5">
        <v>0</v>
      </c>
      <c r="O117" s="5">
        <v>0</v>
      </c>
      <c r="P117" s="5">
        <v>0</v>
      </c>
      <c r="Q117" s="5">
        <v>6</v>
      </c>
      <c r="R117" s="20">
        <v>0</v>
      </c>
      <c r="S117" s="20">
        <v>10800</v>
      </c>
      <c r="T117" s="20">
        <v>720</v>
      </c>
      <c r="U117" s="20">
        <v>360</v>
      </c>
      <c r="V117" s="20">
        <v>360</v>
      </c>
      <c r="W117" s="34">
        <v>0</v>
      </c>
      <c r="X117" s="34">
        <v>0</v>
      </c>
      <c r="Y117" s="34">
        <v>0</v>
      </c>
      <c r="Z117" s="34">
        <v>0</v>
      </c>
    </row>
    <row r="118" spans="1:26">
      <c r="A118" s="5">
        <v>13307</v>
      </c>
      <c r="B118" s="5" t="s">
        <v>46</v>
      </c>
      <c r="C118" s="5" t="s">
        <v>39</v>
      </c>
      <c r="D118" s="5">
        <v>1207</v>
      </c>
      <c r="E118" s="5">
        <v>500000</v>
      </c>
      <c r="F118" s="5" t="s">
        <v>107</v>
      </c>
      <c r="G118" s="5">
        <v>2</v>
      </c>
      <c r="H118" s="9">
        <v>473</v>
      </c>
      <c r="I118" s="9">
        <v>0</v>
      </c>
      <c r="J118" s="9">
        <v>35</v>
      </c>
      <c r="K118" s="9">
        <v>14</v>
      </c>
      <c r="L118" s="9">
        <v>14</v>
      </c>
      <c r="M118" s="5">
        <v>0</v>
      </c>
      <c r="N118" s="5">
        <v>0</v>
      </c>
      <c r="O118" s="5">
        <v>0</v>
      </c>
      <c r="P118" s="5">
        <v>0</v>
      </c>
      <c r="Q118" s="5">
        <v>7</v>
      </c>
      <c r="R118" s="20">
        <v>0</v>
      </c>
      <c r="S118" s="20">
        <v>12600</v>
      </c>
      <c r="T118" s="20">
        <v>840</v>
      </c>
      <c r="U118" s="20">
        <v>420</v>
      </c>
      <c r="V118" s="20">
        <v>420</v>
      </c>
      <c r="W118" s="34">
        <v>0</v>
      </c>
      <c r="X118" s="34">
        <v>0</v>
      </c>
      <c r="Y118" s="34">
        <v>0</v>
      </c>
      <c r="Z118" s="34">
        <v>0</v>
      </c>
    </row>
    <row r="119" spans="1:26">
      <c r="A119" s="5">
        <v>13308</v>
      </c>
      <c r="B119" s="5" t="s">
        <v>47</v>
      </c>
      <c r="C119" s="5" t="s">
        <v>40</v>
      </c>
      <c r="D119" s="5">
        <v>1208</v>
      </c>
      <c r="E119" s="5">
        <v>800000</v>
      </c>
      <c r="F119" s="5" t="s">
        <v>108</v>
      </c>
      <c r="G119" s="5">
        <v>4</v>
      </c>
      <c r="H119" s="9">
        <v>540</v>
      </c>
      <c r="I119" s="9">
        <v>0</v>
      </c>
      <c r="J119" s="9">
        <v>40</v>
      </c>
      <c r="K119" s="9">
        <v>16</v>
      </c>
      <c r="L119" s="9">
        <v>16</v>
      </c>
      <c r="M119" s="5">
        <v>0</v>
      </c>
      <c r="N119" s="5">
        <v>0</v>
      </c>
      <c r="O119" s="5">
        <v>0</v>
      </c>
      <c r="P119" s="5">
        <v>0</v>
      </c>
      <c r="Q119" s="5">
        <v>8</v>
      </c>
      <c r="R119" s="20">
        <v>0</v>
      </c>
      <c r="S119" s="20">
        <v>14400</v>
      </c>
      <c r="T119" s="20">
        <v>960</v>
      </c>
      <c r="U119" s="20">
        <v>480</v>
      </c>
      <c r="V119" s="20">
        <v>480</v>
      </c>
      <c r="W119" s="34">
        <v>0</v>
      </c>
      <c r="X119" s="34">
        <v>0</v>
      </c>
      <c r="Y119" s="34">
        <v>0</v>
      </c>
      <c r="Z119" s="34">
        <v>0</v>
      </c>
    </row>
    <row r="120" spans="1:26">
      <c r="A120" s="5">
        <v>13309</v>
      </c>
      <c r="B120" s="5" t="s">
        <v>69</v>
      </c>
      <c r="C120" s="5" t="s">
        <v>32</v>
      </c>
      <c r="D120" s="5">
        <v>1209</v>
      </c>
      <c r="E120" s="5">
        <v>1200000</v>
      </c>
      <c r="F120" s="5" t="s">
        <v>109</v>
      </c>
      <c r="G120" s="5">
        <v>6</v>
      </c>
      <c r="H120" s="9">
        <v>608</v>
      </c>
      <c r="I120" s="9">
        <v>0</v>
      </c>
      <c r="J120" s="9">
        <v>45</v>
      </c>
      <c r="K120" s="9">
        <v>18</v>
      </c>
      <c r="L120" s="9">
        <v>18</v>
      </c>
      <c r="M120" s="5">
        <v>0</v>
      </c>
      <c r="N120" s="5">
        <v>0</v>
      </c>
      <c r="O120" s="5">
        <v>0</v>
      </c>
      <c r="P120" s="5">
        <v>0</v>
      </c>
      <c r="Q120" s="5">
        <v>9</v>
      </c>
      <c r="R120" s="20">
        <v>0</v>
      </c>
      <c r="S120" s="20">
        <v>16200</v>
      </c>
      <c r="T120" s="20">
        <v>1080</v>
      </c>
      <c r="U120" s="20">
        <v>540</v>
      </c>
      <c r="V120" s="20">
        <v>540</v>
      </c>
      <c r="W120" s="34">
        <v>0</v>
      </c>
      <c r="X120" s="34">
        <v>0</v>
      </c>
      <c r="Y120" s="34">
        <v>0</v>
      </c>
      <c r="Z120" s="34">
        <v>0</v>
      </c>
    </row>
    <row r="121" spans="1:26">
      <c r="A121" s="5">
        <v>13310</v>
      </c>
      <c r="B121" s="5" t="s">
        <v>71</v>
      </c>
      <c r="C121" s="5" t="s">
        <v>31</v>
      </c>
      <c r="D121" s="5">
        <v>1210</v>
      </c>
      <c r="E121" s="5">
        <v>1600000</v>
      </c>
      <c r="F121" s="5" t="s">
        <v>110</v>
      </c>
      <c r="G121" s="5">
        <v>8</v>
      </c>
      <c r="H121" s="9">
        <v>675</v>
      </c>
      <c r="I121" s="9">
        <v>0</v>
      </c>
      <c r="J121" s="9">
        <v>50</v>
      </c>
      <c r="K121" s="9">
        <v>20</v>
      </c>
      <c r="L121" s="9">
        <v>20</v>
      </c>
      <c r="M121" s="5">
        <v>0</v>
      </c>
      <c r="N121" s="5">
        <v>0</v>
      </c>
      <c r="O121" s="5">
        <v>0</v>
      </c>
      <c r="P121" s="5">
        <v>0</v>
      </c>
      <c r="Q121" s="5">
        <v>10</v>
      </c>
      <c r="R121" s="20">
        <v>0</v>
      </c>
      <c r="S121" s="20">
        <v>18000</v>
      </c>
      <c r="T121" s="20">
        <v>1200</v>
      </c>
      <c r="U121" s="20">
        <v>600</v>
      </c>
      <c r="V121" s="20">
        <v>600</v>
      </c>
      <c r="W121" s="34">
        <v>0</v>
      </c>
      <c r="X121" s="34">
        <v>0</v>
      </c>
      <c r="Y121" s="34">
        <v>0</v>
      </c>
      <c r="Z121" s="34">
        <v>0</v>
      </c>
    </row>
    <row r="122" spans="1:26">
      <c r="A122" s="5">
        <v>13311</v>
      </c>
      <c r="B122" s="5" t="s">
        <v>73</v>
      </c>
      <c r="C122" s="5" t="s">
        <v>74</v>
      </c>
      <c r="D122" s="5">
        <v>1211</v>
      </c>
      <c r="E122" s="5">
        <v>2000000</v>
      </c>
      <c r="F122" s="5" t="s">
        <v>90</v>
      </c>
      <c r="G122" s="5">
        <v>10</v>
      </c>
      <c r="H122" s="9">
        <v>743</v>
      </c>
      <c r="I122" s="9">
        <v>0</v>
      </c>
      <c r="J122" s="9">
        <v>55</v>
      </c>
      <c r="K122" s="9">
        <v>22</v>
      </c>
      <c r="L122" s="9">
        <v>22</v>
      </c>
      <c r="M122" s="5">
        <v>0</v>
      </c>
      <c r="N122" s="5">
        <v>0</v>
      </c>
      <c r="O122" s="5">
        <v>0</v>
      </c>
      <c r="P122" s="5">
        <v>0</v>
      </c>
      <c r="Q122" s="5">
        <v>11</v>
      </c>
      <c r="R122" s="20">
        <v>0</v>
      </c>
      <c r="S122" s="20">
        <v>19800</v>
      </c>
      <c r="T122" s="20">
        <v>1320</v>
      </c>
      <c r="U122" s="20">
        <v>660</v>
      </c>
      <c r="V122" s="20">
        <v>660</v>
      </c>
      <c r="W122" s="34">
        <v>0</v>
      </c>
      <c r="X122" s="34">
        <v>0</v>
      </c>
      <c r="Y122" s="34">
        <v>0</v>
      </c>
      <c r="Z122" s="34">
        <v>0</v>
      </c>
    </row>
    <row r="123" spans="1:26">
      <c r="A123" s="5">
        <v>13312</v>
      </c>
      <c r="B123" s="5" t="s">
        <v>75</v>
      </c>
      <c r="C123" s="5" t="s">
        <v>76</v>
      </c>
      <c r="D123" s="5">
        <v>1212</v>
      </c>
      <c r="E123" s="5">
        <v>2400000</v>
      </c>
      <c r="F123" s="5" t="s">
        <v>111</v>
      </c>
      <c r="G123" s="5">
        <v>12</v>
      </c>
      <c r="H123" s="9">
        <v>810</v>
      </c>
      <c r="I123" s="9">
        <v>0</v>
      </c>
      <c r="J123" s="9">
        <v>60</v>
      </c>
      <c r="K123" s="9">
        <v>24</v>
      </c>
      <c r="L123" s="9">
        <v>24</v>
      </c>
      <c r="M123" s="5">
        <v>0</v>
      </c>
      <c r="N123" s="5">
        <v>0</v>
      </c>
      <c r="O123" s="5">
        <v>0</v>
      </c>
      <c r="P123" s="5">
        <v>0</v>
      </c>
      <c r="Q123" s="5">
        <v>12</v>
      </c>
      <c r="R123" s="20">
        <v>0</v>
      </c>
      <c r="S123" s="20">
        <v>21600</v>
      </c>
      <c r="T123" s="20">
        <v>1440</v>
      </c>
      <c r="U123" s="20">
        <v>720</v>
      </c>
      <c r="V123" s="20">
        <v>720</v>
      </c>
      <c r="W123" s="34">
        <v>0</v>
      </c>
      <c r="X123" s="34">
        <v>0</v>
      </c>
      <c r="Y123" s="34">
        <v>0</v>
      </c>
      <c r="Z123" s="34">
        <v>0</v>
      </c>
    </row>
    <row r="124" spans="1:26">
      <c r="A124" s="5">
        <v>13401</v>
      </c>
      <c r="B124" s="5" t="s">
        <v>121</v>
      </c>
      <c r="C124" s="5" t="s">
        <v>33</v>
      </c>
      <c r="D124" s="5">
        <v>1201</v>
      </c>
      <c r="E124" s="5">
        <v>10000</v>
      </c>
      <c r="F124" s="5" t="s">
        <v>101</v>
      </c>
      <c r="G124" s="5">
        <v>0</v>
      </c>
      <c r="H124" s="37">
        <v>68</v>
      </c>
      <c r="I124" s="9">
        <v>0</v>
      </c>
      <c r="J124" s="9">
        <v>5</v>
      </c>
      <c r="K124" s="9">
        <v>2</v>
      </c>
      <c r="L124" s="9">
        <v>2</v>
      </c>
      <c r="M124" s="5">
        <v>0</v>
      </c>
      <c r="N124" s="5">
        <v>0</v>
      </c>
      <c r="O124" s="5">
        <v>0</v>
      </c>
      <c r="P124" s="5">
        <v>0</v>
      </c>
      <c r="Q124" s="5">
        <v>1</v>
      </c>
      <c r="R124" s="20">
        <v>0</v>
      </c>
      <c r="S124" s="20">
        <v>1800</v>
      </c>
      <c r="T124" s="20">
        <v>120</v>
      </c>
      <c r="U124" s="20">
        <v>60</v>
      </c>
      <c r="V124" s="20">
        <v>60</v>
      </c>
      <c r="W124" s="34">
        <v>0</v>
      </c>
      <c r="X124" s="34">
        <v>0</v>
      </c>
      <c r="Y124" s="34">
        <v>0</v>
      </c>
      <c r="Z124" s="34">
        <v>0</v>
      </c>
    </row>
    <row r="125" spans="1:26">
      <c r="A125" s="5">
        <v>13402</v>
      </c>
      <c r="B125" s="5" t="s">
        <v>41</v>
      </c>
      <c r="C125" s="5" t="s">
        <v>34</v>
      </c>
      <c r="D125" s="5">
        <v>1202</v>
      </c>
      <c r="E125" s="5">
        <v>30000</v>
      </c>
      <c r="F125" s="5" t="s">
        <v>102</v>
      </c>
      <c r="G125" s="5">
        <v>0</v>
      </c>
      <c r="H125" s="9">
        <v>135</v>
      </c>
      <c r="I125" s="9">
        <v>0</v>
      </c>
      <c r="J125" s="9">
        <v>10</v>
      </c>
      <c r="K125" s="9">
        <v>4</v>
      </c>
      <c r="L125" s="9">
        <v>4</v>
      </c>
      <c r="M125" s="5">
        <v>0</v>
      </c>
      <c r="N125" s="5">
        <v>0</v>
      </c>
      <c r="O125" s="5">
        <v>0</v>
      </c>
      <c r="P125" s="5">
        <v>0</v>
      </c>
      <c r="Q125" s="5">
        <v>2</v>
      </c>
      <c r="R125" s="20">
        <v>0</v>
      </c>
      <c r="S125" s="20">
        <v>3600</v>
      </c>
      <c r="T125" s="20">
        <v>240</v>
      </c>
      <c r="U125" s="20">
        <v>120</v>
      </c>
      <c r="V125" s="20">
        <v>120</v>
      </c>
      <c r="W125" s="34">
        <v>0</v>
      </c>
      <c r="X125" s="34">
        <v>0</v>
      </c>
      <c r="Y125" s="34">
        <v>0</v>
      </c>
      <c r="Z125" s="34">
        <v>0</v>
      </c>
    </row>
    <row r="126" spans="1:26">
      <c r="A126" s="5">
        <v>13403</v>
      </c>
      <c r="B126" s="5" t="s">
        <v>42</v>
      </c>
      <c r="C126" s="5" t="s">
        <v>35</v>
      </c>
      <c r="D126" s="5">
        <v>1203</v>
      </c>
      <c r="E126" s="5">
        <v>50000</v>
      </c>
      <c r="F126" s="5" t="s">
        <v>103</v>
      </c>
      <c r="G126" s="5">
        <v>0</v>
      </c>
      <c r="H126" s="9">
        <v>203</v>
      </c>
      <c r="I126" s="9">
        <v>0</v>
      </c>
      <c r="J126" s="9">
        <v>15</v>
      </c>
      <c r="K126" s="9">
        <v>6</v>
      </c>
      <c r="L126" s="9">
        <v>6</v>
      </c>
      <c r="M126" s="5">
        <v>0</v>
      </c>
      <c r="N126" s="5">
        <v>0</v>
      </c>
      <c r="O126" s="5">
        <v>0</v>
      </c>
      <c r="P126" s="5">
        <v>0</v>
      </c>
      <c r="Q126" s="5">
        <v>3</v>
      </c>
      <c r="R126" s="20">
        <v>0</v>
      </c>
      <c r="S126" s="20">
        <v>5400</v>
      </c>
      <c r="T126" s="20">
        <v>360</v>
      </c>
      <c r="U126" s="20">
        <v>180</v>
      </c>
      <c r="V126" s="20">
        <v>180</v>
      </c>
      <c r="W126" s="34">
        <v>0</v>
      </c>
      <c r="X126" s="34">
        <v>0</v>
      </c>
      <c r="Y126" s="34">
        <v>0</v>
      </c>
      <c r="Z126" s="34">
        <v>0</v>
      </c>
    </row>
    <row r="127" spans="1:26">
      <c r="A127" s="5">
        <v>13404</v>
      </c>
      <c r="B127" s="5" t="s">
        <v>43</v>
      </c>
      <c r="C127" s="5" t="s">
        <v>36</v>
      </c>
      <c r="D127" s="5">
        <v>1204</v>
      </c>
      <c r="E127" s="5">
        <v>100000</v>
      </c>
      <c r="F127" s="5" t="s">
        <v>104</v>
      </c>
      <c r="G127" s="5">
        <v>1</v>
      </c>
      <c r="H127" s="9">
        <v>270</v>
      </c>
      <c r="I127" s="9">
        <v>0</v>
      </c>
      <c r="J127" s="9">
        <v>20</v>
      </c>
      <c r="K127" s="9">
        <v>8</v>
      </c>
      <c r="L127" s="9">
        <v>8</v>
      </c>
      <c r="M127" s="5">
        <v>0</v>
      </c>
      <c r="N127" s="5">
        <v>0</v>
      </c>
      <c r="O127" s="5">
        <v>0</v>
      </c>
      <c r="P127" s="5">
        <v>0</v>
      </c>
      <c r="Q127" s="5">
        <v>4</v>
      </c>
      <c r="R127" s="20">
        <v>0</v>
      </c>
      <c r="S127" s="20">
        <v>7200</v>
      </c>
      <c r="T127" s="20">
        <v>480</v>
      </c>
      <c r="U127" s="20">
        <v>240</v>
      </c>
      <c r="V127" s="20">
        <v>240</v>
      </c>
      <c r="W127" s="34">
        <v>0</v>
      </c>
      <c r="X127" s="34">
        <v>0</v>
      </c>
      <c r="Y127" s="34">
        <v>0</v>
      </c>
      <c r="Z127" s="34">
        <v>0</v>
      </c>
    </row>
    <row r="128" spans="1:26">
      <c r="A128" s="5">
        <v>13405</v>
      </c>
      <c r="B128" s="5" t="s">
        <v>44</v>
      </c>
      <c r="C128" s="5" t="s">
        <v>37</v>
      </c>
      <c r="D128" s="5">
        <v>1205</v>
      </c>
      <c r="E128" s="5">
        <v>200000</v>
      </c>
      <c r="F128" s="5" t="s">
        <v>105</v>
      </c>
      <c r="G128" s="5">
        <v>1</v>
      </c>
      <c r="H128" s="9">
        <v>338</v>
      </c>
      <c r="I128" s="9">
        <v>0</v>
      </c>
      <c r="J128" s="9">
        <v>25</v>
      </c>
      <c r="K128" s="9">
        <v>10</v>
      </c>
      <c r="L128" s="9">
        <v>10</v>
      </c>
      <c r="M128" s="5">
        <v>0</v>
      </c>
      <c r="N128" s="5">
        <v>0</v>
      </c>
      <c r="O128" s="5">
        <v>0</v>
      </c>
      <c r="P128" s="5">
        <v>0</v>
      </c>
      <c r="Q128" s="5">
        <v>5</v>
      </c>
      <c r="R128" s="20">
        <v>0</v>
      </c>
      <c r="S128" s="20">
        <v>9000</v>
      </c>
      <c r="T128" s="20">
        <v>600</v>
      </c>
      <c r="U128" s="20">
        <v>300</v>
      </c>
      <c r="V128" s="20">
        <v>300</v>
      </c>
      <c r="W128" s="34">
        <v>0</v>
      </c>
      <c r="X128" s="34">
        <v>0</v>
      </c>
      <c r="Y128" s="34">
        <v>0</v>
      </c>
      <c r="Z128" s="34">
        <v>0</v>
      </c>
    </row>
    <row r="129" spans="1:26">
      <c r="A129" s="5">
        <v>13406</v>
      </c>
      <c r="B129" s="5" t="s">
        <v>45</v>
      </c>
      <c r="C129" s="5" t="s">
        <v>38</v>
      </c>
      <c r="D129" s="5">
        <v>1206</v>
      </c>
      <c r="E129" s="5">
        <v>300000</v>
      </c>
      <c r="F129" s="5" t="s">
        <v>106</v>
      </c>
      <c r="G129" s="5">
        <v>2</v>
      </c>
      <c r="H129" s="9">
        <v>405</v>
      </c>
      <c r="I129" s="9">
        <v>0</v>
      </c>
      <c r="J129" s="9">
        <v>30</v>
      </c>
      <c r="K129" s="9">
        <v>12</v>
      </c>
      <c r="L129" s="9">
        <v>12</v>
      </c>
      <c r="M129" s="5">
        <v>0</v>
      </c>
      <c r="N129" s="5">
        <v>0</v>
      </c>
      <c r="O129" s="5">
        <v>0</v>
      </c>
      <c r="P129" s="5">
        <v>0</v>
      </c>
      <c r="Q129" s="5">
        <v>6</v>
      </c>
      <c r="R129" s="20">
        <v>0</v>
      </c>
      <c r="S129" s="20">
        <v>10800</v>
      </c>
      <c r="T129" s="20">
        <v>720</v>
      </c>
      <c r="U129" s="20">
        <v>360</v>
      </c>
      <c r="V129" s="20">
        <v>360</v>
      </c>
      <c r="W129" s="34">
        <v>0</v>
      </c>
      <c r="X129" s="34">
        <v>0</v>
      </c>
      <c r="Y129" s="34">
        <v>0</v>
      </c>
      <c r="Z129" s="34">
        <v>0</v>
      </c>
    </row>
    <row r="130" spans="1:26">
      <c r="A130" s="5">
        <v>13407</v>
      </c>
      <c r="B130" s="5" t="s">
        <v>46</v>
      </c>
      <c r="C130" s="5" t="s">
        <v>39</v>
      </c>
      <c r="D130" s="5">
        <v>1207</v>
      </c>
      <c r="E130" s="5">
        <v>500000</v>
      </c>
      <c r="F130" s="5" t="s">
        <v>107</v>
      </c>
      <c r="G130" s="5">
        <v>2</v>
      </c>
      <c r="H130" s="9">
        <v>473</v>
      </c>
      <c r="I130" s="9">
        <v>0</v>
      </c>
      <c r="J130" s="9">
        <v>35</v>
      </c>
      <c r="K130" s="9">
        <v>14</v>
      </c>
      <c r="L130" s="9">
        <v>14</v>
      </c>
      <c r="M130" s="5">
        <v>0</v>
      </c>
      <c r="N130" s="5">
        <v>0</v>
      </c>
      <c r="O130" s="5">
        <v>0</v>
      </c>
      <c r="P130" s="5">
        <v>0</v>
      </c>
      <c r="Q130" s="5">
        <v>7</v>
      </c>
      <c r="R130" s="20">
        <v>0</v>
      </c>
      <c r="S130" s="20">
        <v>12600</v>
      </c>
      <c r="T130" s="20">
        <v>840</v>
      </c>
      <c r="U130" s="20">
        <v>420</v>
      </c>
      <c r="V130" s="20">
        <v>420</v>
      </c>
      <c r="W130" s="34">
        <v>0</v>
      </c>
      <c r="X130" s="34">
        <v>0</v>
      </c>
      <c r="Y130" s="34">
        <v>0</v>
      </c>
      <c r="Z130" s="34">
        <v>0</v>
      </c>
    </row>
    <row r="131" spans="1:26">
      <c r="A131" s="5">
        <v>13408</v>
      </c>
      <c r="B131" s="5" t="s">
        <v>47</v>
      </c>
      <c r="C131" s="5" t="s">
        <v>40</v>
      </c>
      <c r="D131" s="5">
        <v>1208</v>
      </c>
      <c r="E131" s="5">
        <v>800000</v>
      </c>
      <c r="F131" s="5" t="s">
        <v>108</v>
      </c>
      <c r="G131" s="5">
        <v>4</v>
      </c>
      <c r="H131" s="9">
        <v>540</v>
      </c>
      <c r="I131" s="9">
        <v>0</v>
      </c>
      <c r="J131" s="9">
        <v>40</v>
      </c>
      <c r="K131" s="9">
        <v>16</v>
      </c>
      <c r="L131" s="9">
        <v>16</v>
      </c>
      <c r="M131" s="5">
        <v>0</v>
      </c>
      <c r="N131" s="5">
        <v>0</v>
      </c>
      <c r="O131" s="5">
        <v>0</v>
      </c>
      <c r="P131" s="5">
        <v>0</v>
      </c>
      <c r="Q131" s="5">
        <v>8</v>
      </c>
      <c r="R131" s="20">
        <v>0</v>
      </c>
      <c r="S131" s="20">
        <v>14400</v>
      </c>
      <c r="T131" s="20">
        <v>960</v>
      </c>
      <c r="U131" s="20">
        <v>480</v>
      </c>
      <c r="V131" s="20">
        <v>480</v>
      </c>
      <c r="W131" s="34">
        <v>0</v>
      </c>
      <c r="X131" s="34">
        <v>0</v>
      </c>
      <c r="Y131" s="34">
        <v>0</v>
      </c>
      <c r="Z131" s="34">
        <v>0</v>
      </c>
    </row>
    <row r="132" spans="1:26">
      <c r="A132" s="5">
        <v>13409</v>
      </c>
      <c r="B132" s="5" t="s">
        <v>69</v>
      </c>
      <c r="C132" s="5" t="s">
        <v>32</v>
      </c>
      <c r="D132" s="5">
        <v>1209</v>
      </c>
      <c r="E132" s="5">
        <v>1200000</v>
      </c>
      <c r="F132" s="5" t="s">
        <v>109</v>
      </c>
      <c r="G132" s="5">
        <v>6</v>
      </c>
      <c r="H132" s="9">
        <v>608</v>
      </c>
      <c r="I132" s="9">
        <v>0</v>
      </c>
      <c r="J132" s="9">
        <v>45</v>
      </c>
      <c r="K132" s="9">
        <v>18</v>
      </c>
      <c r="L132" s="9">
        <v>18</v>
      </c>
      <c r="M132" s="5">
        <v>0</v>
      </c>
      <c r="N132" s="5">
        <v>0</v>
      </c>
      <c r="O132" s="5">
        <v>0</v>
      </c>
      <c r="P132" s="5">
        <v>0</v>
      </c>
      <c r="Q132" s="5">
        <v>9</v>
      </c>
      <c r="R132" s="20">
        <v>0</v>
      </c>
      <c r="S132" s="20">
        <v>16200</v>
      </c>
      <c r="T132" s="20">
        <v>1080</v>
      </c>
      <c r="U132" s="20">
        <v>540</v>
      </c>
      <c r="V132" s="20">
        <v>540</v>
      </c>
      <c r="W132" s="34">
        <v>0</v>
      </c>
      <c r="X132" s="34">
        <v>0</v>
      </c>
      <c r="Y132" s="34">
        <v>0</v>
      </c>
      <c r="Z132" s="34">
        <v>0</v>
      </c>
    </row>
    <row r="133" spans="1:26">
      <c r="A133" s="5">
        <v>13410</v>
      </c>
      <c r="B133" s="5" t="s">
        <v>71</v>
      </c>
      <c r="C133" s="5" t="s">
        <v>31</v>
      </c>
      <c r="D133" s="5">
        <v>1210</v>
      </c>
      <c r="E133" s="5">
        <v>1600000</v>
      </c>
      <c r="F133" s="5" t="s">
        <v>110</v>
      </c>
      <c r="G133" s="5">
        <v>8</v>
      </c>
      <c r="H133" s="9">
        <v>675</v>
      </c>
      <c r="I133" s="9">
        <v>0</v>
      </c>
      <c r="J133" s="9">
        <v>50</v>
      </c>
      <c r="K133" s="9">
        <v>20</v>
      </c>
      <c r="L133" s="9">
        <v>20</v>
      </c>
      <c r="M133" s="5">
        <v>0</v>
      </c>
      <c r="N133" s="5">
        <v>0</v>
      </c>
      <c r="O133" s="5">
        <v>0</v>
      </c>
      <c r="P133" s="5">
        <v>0</v>
      </c>
      <c r="Q133" s="5">
        <v>10</v>
      </c>
      <c r="R133" s="20">
        <v>0</v>
      </c>
      <c r="S133" s="20">
        <v>18000</v>
      </c>
      <c r="T133" s="20">
        <v>1200</v>
      </c>
      <c r="U133" s="20">
        <v>600</v>
      </c>
      <c r="V133" s="20">
        <v>600</v>
      </c>
      <c r="W133" s="34">
        <v>0</v>
      </c>
      <c r="X133" s="34">
        <v>0</v>
      </c>
      <c r="Y133" s="34">
        <v>0</v>
      </c>
      <c r="Z133" s="34">
        <v>0</v>
      </c>
    </row>
    <row r="134" spans="1:26">
      <c r="A134" s="5">
        <v>13411</v>
      </c>
      <c r="B134" s="5" t="s">
        <v>73</v>
      </c>
      <c r="C134" s="5" t="s">
        <v>74</v>
      </c>
      <c r="D134" s="5">
        <v>1211</v>
      </c>
      <c r="E134" s="5">
        <v>2000000</v>
      </c>
      <c r="F134" s="5" t="s">
        <v>90</v>
      </c>
      <c r="G134" s="5">
        <v>10</v>
      </c>
      <c r="H134" s="9">
        <v>743</v>
      </c>
      <c r="I134" s="9">
        <v>0</v>
      </c>
      <c r="J134" s="9">
        <v>55</v>
      </c>
      <c r="K134" s="9">
        <v>22</v>
      </c>
      <c r="L134" s="9">
        <v>22</v>
      </c>
      <c r="M134" s="5">
        <v>0</v>
      </c>
      <c r="N134" s="5">
        <v>0</v>
      </c>
      <c r="O134" s="5">
        <v>0</v>
      </c>
      <c r="P134" s="5">
        <v>0</v>
      </c>
      <c r="Q134" s="5">
        <v>11</v>
      </c>
      <c r="R134" s="20">
        <v>0</v>
      </c>
      <c r="S134" s="20">
        <v>19800</v>
      </c>
      <c r="T134" s="20">
        <v>1320</v>
      </c>
      <c r="U134" s="20">
        <v>660</v>
      </c>
      <c r="V134" s="20">
        <v>660</v>
      </c>
      <c r="W134" s="34">
        <v>0</v>
      </c>
      <c r="X134" s="34">
        <v>0</v>
      </c>
      <c r="Y134" s="34">
        <v>0</v>
      </c>
      <c r="Z134" s="34">
        <v>0</v>
      </c>
    </row>
    <row r="135" spans="1:26">
      <c r="A135" s="5">
        <v>13412</v>
      </c>
      <c r="B135" s="5" t="s">
        <v>75</v>
      </c>
      <c r="C135" s="5" t="s">
        <v>76</v>
      </c>
      <c r="D135" s="5">
        <v>1212</v>
      </c>
      <c r="E135" s="5">
        <v>2400000</v>
      </c>
      <c r="F135" s="5" t="s">
        <v>111</v>
      </c>
      <c r="G135" s="5">
        <v>12</v>
      </c>
      <c r="H135" s="9">
        <v>810</v>
      </c>
      <c r="I135" s="9">
        <v>0</v>
      </c>
      <c r="J135" s="9">
        <v>60</v>
      </c>
      <c r="K135" s="9">
        <v>24</v>
      </c>
      <c r="L135" s="9">
        <v>24</v>
      </c>
      <c r="M135" s="5">
        <v>0</v>
      </c>
      <c r="N135" s="5">
        <v>0</v>
      </c>
      <c r="O135" s="5">
        <v>0</v>
      </c>
      <c r="P135" s="5">
        <v>0</v>
      </c>
      <c r="Q135" s="5">
        <v>12</v>
      </c>
      <c r="R135" s="20">
        <v>0</v>
      </c>
      <c r="S135" s="20">
        <v>21600</v>
      </c>
      <c r="T135" s="20">
        <v>1440</v>
      </c>
      <c r="U135" s="20">
        <v>720</v>
      </c>
      <c r="V135" s="20">
        <v>720</v>
      </c>
      <c r="W135" s="34">
        <v>0</v>
      </c>
      <c r="X135" s="34">
        <v>0</v>
      </c>
      <c r="Y135" s="34">
        <v>0</v>
      </c>
      <c r="Z135" s="34">
        <v>0</v>
      </c>
    </row>
    <row r="136" spans="1:26">
      <c r="A136" s="5">
        <v>13501</v>
      </c>
      <c r="B136" s="5" t="s">
        <v>121</v>
      </c>
      <c r="C136" s="5" t="s">
        <v>33</v>
      </c>
      <c r="D136" s="5">
        <v>1201</v>
      </c>
      <c r="E136" s="5">
        <v>10000</v>
      </c>
      <c r="F136" s="5" t="s">
        <v>101</v>
      </c>
      <c r="G136" s="5">
        <v>0</v>
      </c>
      <c r="H136" s="37">
        <v>68</v>
      </c>
      <c r="I136" s="9">
        <v>0</v>
      </c>
      <c r="J136" s="9">
        <v>5</v>
      </c>
      <c r="K136" s="9">
        <v>2</v>
      </c>
      <c r="L136" s="9">
        <v>2</v>
      </c>
      <c r="M136" s="5">
        <v>0</v>
      </c>
      <c r="N136" s="5">
        <v>0</v>
      </c>
      <c r="O136" s="5">
        <v>0</v>
      </c>
      <c r="P136" s="5">
        <v>0</v>
      </c>
      <c r="Q136" s="5">
        <v>1</v>
      </c>
      <c r="R136" s="20">
        <v>0</v>
      </c>
      <c r="S136" s="20">
        <v>1800</v>
      </c>
      <c r="T136" s="20">
        <v>120</v>
      </c>
      <c r="U136" s="20">
        <v>60</v>
      </c>
      <c r="V136" s="20">
        <v>60</v>
      </c>
      <c r="W136" s="34">
        <v>0</v>
      </c>
      <c r="X136" s="34">
        <v>0</v>
      </c>
      <c r="Y136" s="34">
        <v>0</v>
      </c>
      <c r="Z136" s="34">
        <v>0</v>
      </c>
    </row>
    <row r="137" spans="1:26">
      <c r="A137" s="5">
        <v>13502</v>
      </c>
      <c r="B137" s="5" t="s">
        <v>41</v>
      </c>
      <c r="C137" s="5" t="s">
        <v>34</v>
      </c>
      <c r="D137" s="5">
        <v>1202</v>
      </c>
      <c r="E137" s="5">
        <v>30000</v>
      </c>
      <c r="F137" s="5" t="s">
        <v>102</v>
      </c>
      <c r="G137" s="5">
        <v>0</v>
      </c>
      <c r="H137" s="9">
        <v>135</v>
      </c>
      <c r="I137" s="9">
        <v>0</v>
      </c>
      <c r="J137" s="9">
        <v>10</v>
      </c>
      <c r="K137" s="9">
        <v>4</v>
      </c>
      <c r="L137" s="9">
        <v>4</v>
      </c>
      <c r="M137" s="5">
        <v>0</v>
      </c>
      <c r="N137" s="5">
        <v>0</v>
      </c>
      <c r="O137" s="5">
        <v>0</v>
      </c>
      <c r="P137" s="5">
        <v>0</v>
      </c>
      <c r="Q137" s="5">
        <v>2</v>
      </c>
      <c r="R137" s="20">
        <v>0</v>
      </c>
      <c r="S137" s="20">
        <v>3600</v>
      </c>
      <c r="T137" s="20">
        <v>240</v>
      </c>
      <c r="U137" s="20">
        <v>120</v>
      </c>
      <c r="V137" s="20">
        <v>120</v>
      </c>
      <c r="W137" s="34">
        <v>0</v>
      </c>
      <c r="X137" s="34">
        <v>0</v>
      </c>
      <c r="Y137" s="34">
        <v>0</v>
      </c>
      <c r="Z137" s="34">
        <v>0</v>
      </c>
    </row>
    <row r="138" spans="1:26">
      <c r="A138" s="5">
        <v>13503</v>
      </c>
      <c r="B138" s="5" t="s">
        <v>42</v>
      </c>
      <c r="C138" s="5" t="s">
        <v>35</v>
      </c>
      <c r="D138" s="5">
        <v>1203</v>
      </c>
      <c r="E138" s="5">
        <v>50000</v>
      </c>
      <c r="F138" s="5" t="s">
        <v>103</v>
      </c>
      <c r="G138" s="5">
        <v>0</v>
      </c>
      <c r="H138" s="9">
        <v>203</v>
      </c>
      <c r="I138" s="9">
        <v>0</v>
      </c>
      <c r="J138" s="9">
        <v>15</v>
      </c>
      <c r="K138" s="9">
        <v>6</v>
      </c>
      <c r="L138" s="9">
        <v>6</v>
      </c>
      <c r="M138" s="5">
        <v>0</v>
      </c>
      <c r="N138" s="5">
        <v>0</v>
      </c>
      <c r="O138" s="5">
        <v>0</v>
      </c>
      <c r="P138" s="5">
        <v>0</v>
      </c>
      <c r="Q138" s="5">
        <v>3</v>
      </c>
      <c r="R138" s="20">
        <v>0</v>
      </c>
      <c r="S138" s="20">
        <v>5400</v>
      </c>
      <c r="T138" s="20">
        <v>360</v>
      </c>
      <c r="U138" s="20">
        <v>180</v>
      </c>
      <c r="V138" s="20">
        <v>180</v>
      </c>
      <c r="W138" s="34">
        <v>0</v>
      </c>
      <c r="X138" s="34">
        <v>0</v>
      </c>
      <c r="Y138" s="34">
        <v>0</v>
      </c>
      <c r="Z138" s="34">
        <v>0</v>
      </c>
    </row>
    <row r="139" spans="1:26">
      <c r="A139" s="5">
        <v>13504</v>
      </c>
      <c r="B139" s="5" t="s">
        <v>43</v>
      </c>
      <c r="C139" s="5" t="s">
        <v>36</v>
      </c>
      <c r="D139" s="5">
        <v>1204</v>
      </c>
      <c r="E139" s="5">
        <v>100000</v>
      </c>
      <c r="F139" s="5" t="s">
        <v>104</v>
      </c>
      <c r="G139" s="5">
        <v>1</v>
      </c>
      <c r="H139" s="9">
        <v>270</v>
      </c>
      <c r="I139" s="9">
        <v>0</v>
      </c>
      <c r="J139" s="9">
        <v>20</v>
      </c>
      <c r="K139" s="9">
        <v>8</v>
      </c>
      <c r="L139" s="9">
        <v>8</v>
      </c>
      <c r="M139" s="5">
        <v>0</v>
      </c>
      <c r="N139" s="5">
        <v>0</v>
      </c>
      <c r="O139" s="5">
        <v>0</v>
      </c>
      <c r="P139" s="5">
        <v>0</v>
      </c>
      <c r="Q139" s="5">
        <v>4</v>
      </c>
      <c r="R139" s="20">
        <v>0</v>
      </c>
      <c r="S139" s="20">
        <v>7200</v>
      </c>
      <c r="T139" s="20">
        <v>480</v>
      </c>
      <c r="U139" s="20">
        <v>240</v>
      </c>
      <c r="V139" s="20">
        <v>240</v>
      </c>
      <c r="W139" s="34">
        <v>0</v>
      </c>
      <c r="X139" s="34">
        <v>0</v>
      </c>
      <c r="Y139" s="34">
        <v>0</v>
      </c>
      <c r="Z139" s="34">
        <v>0</v>
      </c>
    </row>
    <row r="140" spans="1:26">
      <c r="A140" s="5">
        <v>13505</v>
      </c>
      <c r="B140" s="5" t="s">
        <v>44</v>
      </c>
      <c r="C140" s="5" t="s">
        <v>37</v>
      </c>
      <c r="D140" s="5">
        <v>1205</v>
      </c>
      <c r="E140" s="5">
        <v>200000</v>
      </c>
      <c r="F140" s="5" t="s">
        <v>105</v>
      </c>
      <c r="G140" s="5">
        <v>1</v>
      </c>
      <c r="H140" s="9">
        <v>338</v>
      </c>
      <c r="I140" s="9">
        <v>0</v>
      </c>
      <c r="J140" s="9">
        <v>25</v>
      </c>
      <c r="K140" s="9">
        <v>10</v>
      </c>
      <c r="L140" s="9">
        <v>10</v>
      </c>
      <c r="M140" s="5">
        <v>0</v>
      </c>
      <c r="N140" s="5">
        <v>0</v>
      </c>
      <c r="O140" s="5">
        <v>0</v>
      </c>
      <c r="P140" s="5">
        <v>0</v>
      </c>
      <c r="Q140" s="5">
        <v>5</v>
      </c>
      <c r="R140" s="20">
        <v>0</v>
      </c>
      <c r="S140" s="20">
        <v>9000</v>
      </c>
      <c r="T140" s="20">
        <v>600</v>
      </c>
      <c r="U140" s="20">
        <v>300</v>
      </c>
      <c r="V140" s="20">
        <v>300</v>
      </c>
      <c r="W140" s="34">
        <v>0</v>
      </c>
      <c r="X140" s="34">
        <v>0</v>
      </c>
      <c r="Y140" s="34">
        <v>0</v>
      </c>
      <c r="Z140" s="34">
        <v>0</v>
      </c>
    </row>
    <row r="141" spans="1:26">
      <c r="A141" s="5">
        <v>13506</v>
      </c>
      <c r="B141" s="5" t="s">
        <v>45</v>
      </c>
      <c r="C141" s="5" t="s">
        <v>38</v>
      </c>
      <c r="D141" s="5">
        <v>1206</v>
      </c>
      <c r="E141" s="5">
        <v>300000</v>
      </c>
      <c r="F141" s="5" t="s">
        <v>106</v>
      </c>
      <c r="G141" s="5">
        <v>2</v>
      </c>
      <c r="H141" s="9">
        <v>405</v>
      </c>
      <c r="I141" s="9">
        <v>0</v>
      </c>
      <c r="J141" s="9">
        <v>30</v>
      </c>
      <c r="K141" s="9">
        <v>12</v>
      </c>
      <c r="L141" s="9">
        <v>12</v>
      </c>
      <c r="M141" s="5">
        <v>0</v>
      </c>
      <c r="N141" s="5">
        <v>0</v>
      </c>
      <c r="O141" s="5">
        <v>0</v>
      </c>
      <c r="P141" s="5">
        <v>0</v>
      </c>
      <c r="Q141" s="5">
        <v>6</v>
      </c>
      <c r="R141" s="20">
        <v>0</v>
      </c>
      <c r="S141" s="20">
        <v>10800</v>
      </c>
      <c r="T141" s="20">
        <v>720</v>
      </c>
      <c r="U141" s="20">
        <v>360</v>
      </c>
      <c r="V141" s="20">
        <v>360</v>
      </c>
      <c r="W141" s="34">
        <v>0</v>
      </c>
      <c r="X141" s="34">
        <v>0</v>
      </c>
      <c r="Y141" s="34">
        <v>0</v>
      </c>
      <c r="Z141" s="34">
        <v>0</v>
      </c>
    </row>
    <row r="142" spans="1:26">
      <c r="A142" s="5">
        <v>13507</v>
      </c>
      <c r="B142" s="5" t="s">
        <v>46</v>
      </c>
      <c r="C142" s="5" t="s">
        <v>39</v>
      </c>
      <c r="D142" s="5">
        <v>1207</v>
      </c>
      <c r="E142" s="5">
        <v>500000</v>
      </c>
      <c r="F142" s="5" t="s">
        <v>107</v>
      </c>
      <c r="G142" s="5">
        <v>2</v>
      </c>
      <c r="H142" s="9">
        <v>473</v>
      </c>
      <c r="I142" s="9">
        <v>0</v>
      </c>
      <c r="J142" s="9">
        <v>35</v>
      </c>
      <c r="K142" s="9">
        <v>14</v>
      </c>
      <c r="L142" s="9">
        <v>14</v>
      </c>
      <c r="M142" s="5">
        <v>0</v>
      </c>
      <c r="N142" s="5">
        <v>0</v>
      </c>
      <c r="O142" s="5">
        <v>0</v>
      </c>
      <c r="P142" s="5">
        <v>0</v>
      </c>
      <c r="Q142" s="5">
        <v>7</v>
      </c>
      <c r="R142" s="20">
        <v>0</v>
      </c>
      <c r="S142" s="20">
        <v>12600</v>
      </c>
      <c r="T142" s="20">
        <v>840</v>
      </c>
      <c r="U142" s="20">
        <v>420</v>
      </c>
      <c r="V142" s="20">
        <v>420</v>
      </c>
      <c r="W142" s="34">
        <v>0</v>
      </c>
      <c r="X142" s="34">
        <v>0</v>
      </c>
      <c r="Y142" s="34">
        <v>0</v>
      </c>
      <c r="Z142" s="34">
        <v>0</v>
      </c>
    </row>
    <row r="143" spans="1:26">
      <c r="A143" s="5">
        <v>13508</v>
      </c>
      <c r="B143" s="5" t="s">
        <v>47</v>
      </c>
      <c r="C143" s="5" t="s">
        <v>40</v>
      </c>
      <c r="D143" s="5">
        <v>1208</v>
      </c>
      <c r="E143" s="5">
        <v>800000</v>
      </c>
      <c r="F143" s="5" t="s">
        <v>108</v>
      </c>
      <c r="G143" s="5">
        <v>4</v>
      </c>
      <c r="H143" s="9">
        <v>540</v>
      </c>
      <c r="I143" s="9">
        <v>0</v>
      </c>
      <c r="J143" s="9">
        <v>40</v>
      </c>
      <c r="K143" s="9">
        <v>16</v>
      </c>
      <c r="L143" s="9">
        <v>16</v>
      </c>
      <c r="M143" s="5">
        <v>0</v>
      </c>
      <c r="N143" s="5">
        <v>0</v>
      </c>
      <c r="O143" s="5">
        <v>0</v>
      </c>
      <c r="P143" s="5">
        <v>0</v>
      </c>
      <c r="Q143" s="5">
        <v>8</v>
      </c>
      <c r="R143" s="20">
        <v>0</v>
      </c>
      <c r="S143" s="20">
        <v>14400</v>
      </c>
      <c r="T143" s="20">
        <v>960</v>
      </c>
      <c r="U143" s="20">
        <v>480</v>
      </c>
      <c r="V143" s="20">
        <v>480</v>
      </c>
      <c r="W143" s="34">
        <v>0</v>
      </c>
      <c r="X143" s="34">
        <v>0</v>
      </c>
      <c r="Y143" s="34">
        <v>0</v>
      </c>
      <c r="Z143" s="34">
        <v>0</v>
      </c>
    </row>
    <row r="144" spans="1:26">
      <c r="A144" s="5">
        <v>13509</v>
      </c>
      <c r="B144" s="5" t="s">
        <v>69</v>
      </c>
      <c r="C144" s="5" t="s">
        <v>32</v>
      </c>
      <c r="D144" s="5">
        <v>1209</v>
      </c>
      <c r="E144" s="5">
        <v>1200000</v>
      </c>
      <c r="F144" s="5" t="s">
        <v>109</v>
      </c>
      <c r="G144" s="5">
        <v>6</v>
      </c>
      <c r="H144" s="9">
        <v>608</v>
      </c>
      <c r="I144" s="9">
        <v>0</v>
      </c>
      <c r="J144" s="9">
        <v>45</v>
      </c>
      <c r="K144" s="9">
        <v>18</v>
      </c>
      <c r="L144" s="9">
        <v>18</v>
      </c>
      <c r="M144" s="5">
        <v>0</v>
      </c>
      <c r="N144" s="5">
        <v>0</v>
      </c>
      <c r="O144" s="5">
        <v>0</v>
      </c>
      <c r="P144" s="5">
        <v>0</v>
      </c>
      <c r="Q144" s="5">
        <v>9</v>
      </c>
      <c r="R144" s="20">
        <v>0</v>
      </c>
      <c r="S144" s="20">
        <v>16200</v>
      </c>
      <c r="T144" s="20">
        <v>1080</v>
      </c>
      <c r="U144" s="20">
        <v>540</v>
      </c>
      <c r="V144" s="20">
        <v>540</v>
      </c>
      <c r="W144" s="34">
        <v>0</v>
      </c>
      <c r="X144" s="34">
        <v>0</v>
      </c>
      <c r="Y144" s="34">
        <v>0</v>
      </c>
      <c r="Z144" s="34">
        <v>0</v>
      </c>
    </row>
    <row r="145" spans="1:26">
      <c r="A145" s="5">
        <v>13510</v>
      </c>
      <c r="B145" s="5" t="s">
        <v>71</v>
      </c>
      <c r="C145" s="5" t="s">
        <v>31</v>
      </c>
      <c r="D145" s="5">
        <v>1210</v>
      </c>
      <c r="E145" s="5">
        <v>1600000</v>
      </c>
      <c r="F145" s="5" t="s">
        <v>110</v>
      </c>
      <c r="G145" s="5">
        <v>8</v>
      </c>
      <c r="H145" s="9">
        <v>675</v>
      </c>
      <c r="I145" s="9">
        <v>0</v>
      </c>
      <c r="J145" s="9">
        <v>50</v>
      </c>
      <c r="K145" s="9">
        <v>20</v>
      </c>
      <c r="L145" s="9">
        <v>20</v>
      </c>
      <c r="M145" s="5">
        <v>0</v>
      </c>
      <c r="N145" s="5">
        <v>0</v>
      </c>
      <c r="O145" s="5">
        <v>0</v>
      </c>
      <c r="P145" s="5">
        <v>0</v>
      </c>
      <c r="Q145" s="5">
        <v>10</v>
      </c>
      <c r="R145" s="20">
        <v>0</v>
      </c>
      <c r="S145" s="20">
        <v>18000</v>
      </c>
      <c r="T145" s="20">
        <v>1200</v>
      </c>
      <c r="U145" s="20">
        <v>600</v>
      </c>
      <c r="V145" s="20">
        <v>600</v>
      </c>
      <c r="W145" s="34">
        <v>0</v>
      </c>
      <c r="X145" s="34">
        <v>0</v>
      </c>
      <c r="Y145" s="34">
        <v>0</v>
      </c>
      <c r="Z145" s="34">
        <v>0</v>
      </c>
    </row>
    <row r="146" spans="1:26">
      <c r="A146" s="5">
        <v>13511</v>
      </c>
      <c r="B146" s="5" t="s">
        <v>73</v>
      </c>
      <c r="C146" s="5" t="s">
        <v>74</v>
      </c>
      <c r="D146" s="5">
        <v>1211</v>
      </c>
      <c r="E146" s="5">
        <v>2000000</v>
      </c>
      <c r="F146" s="5" t="s">
        <v>90</v>
      </c>
      <c r="G146" s="5">
        <v>10</v>
      </c>
      <c r="H146" s="9">
        <v>743</v>
      </c>
      <c r="I146" s="9">
        <v>0</v>
      </c>
      <c r="J146" s="9">
        <v>55</v>
      </c>
      <c r="K146" s="9">
        <v>22</v>
      </c>
      <c r="L146" s="9">
        <v>22</v>
      </c>
      <c r="M146" s="5">
        <v>0</v>
      </c>
      <c r="N146" s="5">
        <v>0</v>
      </c>
      <c r="O146" s="5">
        <v>0</v>
      </c>
      <c r="P146" s="5">
        <v>0</v>
      </c>
      <c r="Q146" s="5">
        <v>11</v>
      </c>
      <c r="R146" s="20">
        <v>0</v>
      </c>
      <c r="S146" s="20">
        <v>19800</v>
      </c>
      <c r="T146" s="20">
        <v>1320</v>
      </c>
      <c r="U146" s="20">
        <v>660</v>
      </c>
      <c r="V146" s="20">
        <v>660</v>
      </c>
      <c r="W146" s="34">
        <v>0</v>
      </c>
      <c r="X146" s="34">
        <v>0</v>
      </c>
      <c r="Y146" s="34">
        <v>0</v>
      </c>
      <c r="Z146" s="34">
        <v>0</v>
      </c>
    </row>
    <row r="147" spans="1:26">
      <c r="A147" s="5">
        <v>13512</v>
      </c>
      <c r="B147" s="5" t="s">
        <v>75</v>
      </c>
      <c r="C147" s="5" t="s">
        <v>76</v>
      </c>
      <c r="D147" s="5">
        <v>1212</v>
      </c>
      <c r="E147" s="5">
        <v>2400000</v>
      </c>
      <c r="F147" s="5" t="s">
        <v>111</v>
      </c>
      <c r="G147" s="5">
        <v>12</v>
      </c>
      <c r="H147" s="9">
        <v>810</v>
      </c>
      <c r="I147" s="9">
        <v>0</v>
      </c>
      <c r="J147" s="9">
        <v>60</v>
      </c>
      <c r="K147" s="9">
        <v>24</v>
      </c>
      <c r="L147" s="9">
        <v>24</v>
      </c>
      <c r="M147" s="5">
        <v>0</v>
      </c>
      <c r="N147" s="5">
        <v>0</v>
      </c>
      <c r="O147" s="5">
        <v>0</v>
      </c>
      <c r="P147" s="5">
        <v>0</v>
      </c>
      <c r="Q147" s="5">
        <v>12</v>
      </c>
      <c r="R147" s="20">
        <v>0</v>
      </c>
      <c r="S147" s="20">
        <v>21600</v>
      </c>
      <c r="T147" s="20">
        <v>1440</v>
      </c>
      <c r="U147" s="20">
        <v>720</v>
      </c>
      <c r="V147" s="20">
        <v>720</v>
      </c>
      <c r="W147" s="34">
        <v>0</v>
      </c>
      <c r="X147" s="34">
        <v>0</v>
      </c>
      <c r="Y147" s="34">
        <v>0</v>
      </c>
      <c r="Z147" s="34">
        <v>0</v>
      </c>
    </row>
    <row r="148" spans="1:26">
      <c r="A148" s="5">
        <v>16101</v>
      </c>
      <c r="B148" s="5" t="s">
        <v>121</v>
      </c>
      <c r="C148" s="5" t="s">
        <v>33</v>
      </c>
      <c r="D148" s="5">
        <v>1201</v>
      </c>
      <c r="E148" s="5">
        <v>10000</v>
      </c>
      <c r="F148" s="5" t="s">
        <v>101</v>
      </c>
      <c r="G148" s="5">
        <v>0</v>
      </c>
      <c r="H148" s="37">
        <v>75</v>
      </c>
      <c r="I148" s="9">
        <v>0</v>
      </c>
      <c r="J148" s="9">
        <v>5</v>
      </c>
      <c r="K148" s="9">
        <v>3</v>
      </c>
      <c r="L148" s="9">
        <v>3</v>
      </c>
      <c r="M148" s="5">
        <v>0</v>
      </c>
      <c r="N148" s="5">
        <v>0</v>
      </c>
      <c r="O148" s="5">
        <v>0</v>
      </c>
      <c r="P148" s="5">
        <v>0</v>
      </c>
      <c r="Q148" s="5">
        <v>1</v>
      </c>
      <c r="R148" s="20">
        <v>0</v>
      </c>
      <c r="S148" s="20">
        <v>1800</v>
      </c>
      <c r="T148" s="20">
        <v>120</v>
      </c>
      <c r="U148" s="20">
        <v>60</v>
      </c>
      <c r="V148" s="20">
        <v>60</v>
      </c>
      <c r="W148" s="34">
        <v>0</v>
      </c>
      <c r="X148" s="34">
        <v>0</v>
      </c>
      <c r="Y148" s="34">
        <v>0</v>
      </c>
      <c r="Z148" s="34">
        <v>0</v>
      </c>
    </row>
    <row r="149" spans="1:26">
      <c r="A149" s="5">
        <v>16102</v>
      </c>
      <c r="B149" s="5" t="s">
        <v>41</v>
      </c>
      <c r="C149" s="5" t="s">
        <v>34</v>
      </c>
      <c r="D149" s="5">
        <v>1202</v>
      </c>
      <c r="E149" s="5">
        <v>30000</v>
      </c>
      <c r="F149" s="5" t="s">
        <v>102</v>
      </c>
      <c r="G149" s="5">
        <v>0</v>
      </c>
      <c r="H149" s="9">
        <v>150</v>
      </c>
      <c r="I149" s="9">
        <v>0</v>
      </c>
      <c r="J149" s="9">
        <v>10</v>
      </c>
      <c r="K149" s="9">
        <v>6</v>
      </c>
      <c r="L149" s="9">
        <v>6</v>
      </c>
      <c r="M149" s="5">
        <v>0</v>
      </c>
      <c r="N149" s="5">
        <v>0</v>
      </c>
      <c r="O149" s="5">
        <v>0</v>
      </c>
      <c r="P149" s="5">
        <v>0</v>
      </c>
      <c r="Q149" s="5">
        <v>2</v>
      </c>
      <c r="R149" s="20">
        <v>0</v>
      </c>
      <c r="S149" s="20">
        <v>3600</v>
      </c>
      <c r="T149" s="20">
        <v>240</v>
      </c>
      <c r="U149" s="20">
        <v>120</v>
      </c>
      <c r="V149" s="20">
        <v>120</v>
      </c>
      <c r="W149" s="34">
        <v>0</v>
      </c>
      <c r="X149" s="34">
        <v>0</v>
      </c>
      <c r="Y149" s="34">
        <v>0</v>
      </c>
      <c r="Z149" s="34">
        <v>0</v>
      </c>
    </row>
    <row r="150" spans="1:26">
      <c r="A150" s="5">
        <v>16103</v>
      </c>
      <c r="B150" s="5" t="s">
        <v>42</v>
      </c>
      <c r="C150" s="5" t="s">
        <v>35</v>
      </c>
      <c r="D150" s="5">
        <v>1203</v>
      </c>
      <c r="E150" s="5">
        <v>50000</v>
      </c>
      <c r="F150" s="5" t="s">
        <v>103</v>
      </c>
      <c r="G150" s="5">
        <v>0</v>
      </c>
      <c r="H150" s="9">
        <v>225</v>
      </c>
      <c r="I150" s="9">
        <v>0</v>
      </c>
      <c r="J150" s="9">
        <v>15</v>
      </c>
      <c r="K150" s="9">
        <v>9</v>
      </c>
      <c r="L150" s="9">
        <v>9</v>
      </c>
      <c r="M150" s="5">
        <v>0</v>
      </c>
      <c r="N150" s="5">
        <v>0</v>
      </c>
      <c r="O150" s="5">
        <v>0</v>
      </c>
      <c r="P150" s="5">
        <v>0</v>
      </c>
      <c r="Q150" s="5">
        <v>3</v>
      </c>
      <c r="R150" s="20">
        <v>0</v>
      </c>
      <c r="S150" s="20">
        <v>5400</v>
      </c>
      <c r="T150" s="20">
        <v>360</v>
      </c>
      <c r="U150" s="20">
        <v>180</v>
      </c>
      <c r="V150" s="20">
        <v>180</v>
      </c>
      <c r="W150" s="34">
        <v>0</v>
      </c>
      <c r="X150" s="34">
        <v>0</v>
      </c>
      <c r="Y150" s="34">
        <v>0</v>
      </c>
      <c r="Z150" s="34">
        <v>0</v>
      </c>
    </row>
    <row r="151" spans="1:26">
      <c r="A151" s="5">
        <v>16104</v>
      </c>
      <c r="B151" s="5" t="s">
        <v>43</v>
      </c>
      <c r="C151" s="5" t="s">
        <v>36</v>
      </c>
      <c r="D151" s="5">
        <v>1204</v>
      </c>
      <c r="E151" s="5">
        <v>100000</v>
      </c>
      <c r="F151" s="5" t="s">
        <v>104</v>
      </c>
      <c r="G151" s="5">
        <v>1</v>
      </c>
      <c r="H151" s="9">
        <v>300</v>
      </c>
      <c r="I151" s="9">
        <v>0</v>
      </c>
      <c r="J151" s="9">
        <v>20</v>
      </c>
      <c r="K151" s="9">
        <v>12</v>
      </c>
      <c r="L151" s="9">
        <v>12</v>
      </c>
      <c r="M151" s="5">
        <v>0</v>
      </c>
      <c r="N151" s="5">
        <v>0</v>
      </c>
      <c r="O151" s="5">
        <v>0</v>
      </c>
      <c r="P151" s="5">
        <v>0</v>
      </c>
      <c r="Q151" s="5">
        <v>4</v>
      </c>
      <c r="R151" s="20">
        <v>0</v>
      </c>
      <c r="S151" s="20">
        <v>7200</v>
      </c>
      <c r="T151" s="20">
        <v>480</v>
      </c>
      <c r="U151" s="20">
        <v>240</v>
      </c>
      <c r="V151" s="20">
        <v>240</v>
      </c>
      <c r="W151" s="34">
        <v>0</v>
      </c>
      <c r="X151" s="34">
        <v>0</v>
      </c>
      <c r="Y151" s="34">
        <v>0</v>
      </c>
      <c r="Z151" s="34">
        <v>0</v>
      </c>
    </row>
    <row r="152" spans="1:26">
      <c r="A152" s="5">
        <v>16105</v>
      </c>
      <c r="B152" s="5" t="s">
        <v>44</v>
      </c>
      <c r="C152" s="5" t="s">
        <v>37</v>
      </c>
      <c r="D152" s="5">
        <v>1205</v>
      </c>
      <c r="E152" s="5">
        <v>200000</v>
      </c>
      <c r="F152" s="5" t="s">
        <v>105</v>
      </c>
      <c r="G152" s="5">
        <v>1</v>
      </c>
      <c r="H152" s="38">
        <v>375</v>
      </c>
      <c r="I152" s="9">
        <v>0</v>
      </c>
      <c r="J152" s="9">
        <v>25</v>
      </c>
      <c r="K152" s="9">
        <v>15</v>
      </c>
      <c r="L152" s="9">
        <v>15</v>
      </c>
      <c r="M152" s="5">
        <v>0</v>
      </c>
      <c r="N152" s="5">
        <v>0</v>
      </c>
      <c r="O152" s="5">
        <v>0</v>
      </c>
      <c r="P152" s="5">
        <v>0</v>
      </c>
      <c r="Q152" s="5">
        <v>5</v>
      </c>
      <c r="R152" s="20">
        <v>0</v>
      </c>
      <c r="S152" s="20">
        <v>9000</v>
      </c>
      <c r="T152" s="20">
        <v>600</v>
      </c>
      <c r="U152" s="20">
        <v>300</v>
      </c>
      <c r="V152" s="20">
        <v>300</v>
      </c>
      <c r="W152" s="34">
        <v>0</v>
      </c>
      <c r="X152" s="34">
        <v>0</v>
      </c>
      <c r="Y152" s="34">
        <v>0</v>
      </c>
      <c r="Z152" s="34">
        <v>0</v>
      </c>
    </row>
    <row r="153" spans="1:26">
      <c r="A153" s="5">
        <v>16106</v>
      </c>
      <c r="B153" s="5" t="s">
        <v>45</v>
      </c>
      <c r="C153" s="5" t="s">
        <v>38</v>
      </c>
      <c r="D153" s="5">
        <v>1206</v>
      </c>
      <c r="E153" s="5">
        <v>300000</v>
      </c>
      <c r="F153" s="5" t="s">
        <v>106</v>
      </c>
      <c r="G153" s="5">
        <v>2</v>
      </c>
      <c r="H153" s="9">
        <v>450</v>
      </c>
      <c r="I153" s="9">
        <v>0</v>
      </c>
      <c r="J153" s="9">
        <v>30</v>
      </c>
      <c r="K153" s="9">
        <v>18</v>
      </c>
      <c r="L153" s="9">
        <v>18</v>
      </c>
      <c r="M153" s="5">
        <v>0</v>
      </c>
      <c r="N153" s="5">
        <v>0</v>
      </c>
      <c r="O153" s="5">
        <v>0</v>
      </c>
      <c r="P153" s="5">
        <v>0</v>
      </c>
      <c r="Q153" s="5">
        <v>6</v>
      </c>
      <c r="R153" s="20">
        <v>0</v>
      </c>
      <c r="S153" s="20">
        <v>10800</v>
      </c>
      <c r="T153" s="20">
        <v>720</v>
      </c>
      <c r="U153" s="20">
        <v>360</v>
      </c>
      <c r="V153" s="20">
        <v>360</v>
      </c>
      <c r="W153" s="34">
        <v>0</v>
      </c>
      <c r="X153" s="34">
        <v>0</v>
      </c>
      <c r="Y153" s="34">
        <v>0</v>
      </c>
      <c r="Z153" s="34">
        <v>0</v>
      </c>
    </row>
    <row r="154" spans="1:26">
      <c r="A154" s="5">
        <v>16107</v>
      </c>
      <c r="B154" s="5" t="s">
        <v>46</v>
      </c>
      <c r="C154" s="5" t="s">
        <v>39</v>
      </c>
      <c r="D154" s="5">
        <v>1207</v>
      </c>
      <c r="E154" s="5">
        <v>500000</v>
      </c>
      <c r="F154" s="5" t="s">
        <v>107</v>
      </c>
      <c r="G154" s="5">
        <v>2</v>
      </c>
      <c r="H154" s="9">
        <v>525</v>
      </c>
      <c r="I154" s="9">
        <v>0</v>
      </c>
      <c r="J154" s="9">
        <v>35</v>
      </c>
      <c r="K154" s="9">
        <v>21</v>
      </c>
      <c r="L154" s="9">
        <v>21</v>
      </c>
      <c r="M154" s="5">
        <v>0</v>
      </c>
      <c r="N154" s="5">
        <v>0</v>
      </c>
      <c r="O154" s="5">
        <v>0</v>
      </c>
      <c r="P154" s="5">
        <v>0</v>
      </c>
      <c r="Q154" s="5">
        <v>7</v>
      </c>
      <c r="R154" s="20">
        <v>0</v>
      </c>
      <c r="S154" s="20">
        <v>12600</v>
      </c>
      <c r="T154" s="20">
        <v>840</v>
      </c>
      <c r="U154" s="20">
        <v>420</v>
      </c>
      <c r="V154" s="20">
        <v>420</v>
      </c>
      <c r="W154" s="34">
        <v>0</v>
      </c>
      <c r="X154" s="34">
        <v>0</v>
      </c>
      <c r="Y154" s="34">
        <v>0</v>
      </c>
      <c r="Z154" s="34">
        <v>0</v>
      </c>
    </row>
    <row r="155" spans="1:26">
      <c r="A155" s="5">
        <v>16108</v>
      </c>
      <c r="B155" s="5" t="s">
        <v>47</v>
      </c>
      <c r="C155" s="5" t="s">
        <v>40</v>
      </c>
      <c r="D155" s="5">
        <v>1208</v>
      </c>
      <c r="E155" s="5">
        <v>800000</v>
      </c>
      <c r="F155" s="5" t="s">
        <v>108</v>
      </c>
      <c r="G155" s="5">
        <v>4</v>
      </c>
      <c r="H155" s="9">
        <v>600</v>
      </c>
      <c r="I155" s="9">
        <v>0</v>
      </c>
      <c r="J155" s="9">
        <v>40</v>
      </c>
      <c r="K155" s="9">
        <v>24</v>
      </c>
      <c r="L155" s="9">
        <v>24</v>
      </c>
      <c r="M155" s="5">
        <v>0</v>
      </c>
      <c r="N155" s="5">
        <v>0</v>
      </c>
      <c r="O155" s="5">
        <v>0</v>
      </c>
      <c r="P155" s="5">
        <v>0</v>
      </c>
      <c r="Q155" s="5">
        <v>8</v>
      </c>
      <c r="R155" s="20">
        <v>0</v>
      </c>
      <c r="S155" s="20">
        <v>14400</v>
      </c>
      <c r="T155" s="20">
        <v>960</v>
      </c>
      <c r="U155" s="20">
        <v>480</v>
      </c>
      <c r="V155" s="20">
        <v>480</v>
      </c>
      <c r="W155" s="34">
        <v>0</v>
      </c>
      <c r="X155" s="34">
        <v>0</v>
      </c>
      <c r="Y155" s="34">
        <v>0</v>
      </c>
      <c r="Z155" s="34">
        <v>0</v>
      </c>
    </row>
    <row r="156" spans="1:26">
      <c r="A156" s="5">
        <v>16109</v>
      </c>
      <c r="B156" s="5" t="s">
        <v>69</v>
      </c>
      <c r="C156" s="5" t="s">
        <v>32</v>
      </c>
      <c r="D156" s="5">
        <v>1209</v>
      </c>
      <c r="E156" s="5">
        <v>1200000</v>
      </c>
      <c r="F156" s="5" t="s">
        <v>109</v>
      </c>
      <c r="G156" s="5">
        <v>6</v>
      </c>
      <c r="H156" s="38">
        <v>675</v>
      </c>
      <c r="I156" s="9">
        <v>0</v>
      </c>
      <c r="J156" s="9">
        <v>45</v>
      </c>
      <c r="K156" s="9">
        <v>27</v>
      </c>
      <c r="L156" s="9">
        <v>27</v>
      </c>
      <c r="M156" s="5">
        <v>0</v>
      </c>
      <c r="N156" s="5">
        <v>0</v>
      </c>
      <c r="O156" s="5">
        <v>0</v>
      </c>
      <c r="P156" s="5">
        <v>0</v>
      </c>
      <c r="Q156" s="5">
        <v>9</v>
      </c>
      <c r="R156" s="20">
        <v>0</v>
      </c>
      <c r="S156" s="20">
        <v>16200</v>
      </c>
      <c r="T156" s="20">
        <v>1080</v>
      </c>
      <c r="U156" s="20">
        <v>540</v>
      </c>
      <c r="V156" s="20">
        <v>540</v>
      </c>
      <c r="W156" s="34">
        <v>0</v>
      </c>
      <c r="X156" s="34">
        <v>0</v>
      </c>
      <c r="Y156" s="34">
        <v>0</v>
      </c>
      <c r="Z156" s="34">
        <v>0</v>
      </c>
    </row>
    <row r="157" spans="1:26">
      <c r="A157" s="5">
        <v>16110</v>
      </c>
      <c r="B157" s="5" t="s">
        <v>71</v>
      </c>
      <c r="C157" s="5" t="s">
        <v>31</v>
      </c>
      <c r="D157" s="5">
        <v>1210</v>
      </c>
      <c r="E157" s="5">
        <v>1600000</v>
      </c>
      <c r="F157" s="5" t="s">
        <v>110</v>
      </c>
      <c r="G157" s="5">
        <v>8</v>
      </c>
      <c r="H157" s="38">
        <v>750</v>
      </c>
      <c r="I157" s="9">
        <v>0</v>
      </c>
      <c r="J157" s="9">
        <v>50</v>
      </c>
      <c r="K157" s="9">
        <v>30</v>
      </c>
      <c r="L157" s="9">
        <v>30</v>
      </c>
      <c r="M157" s="5">
        <v>0</v>
      </c>
      <c r="N157" s="5">
        <v>0</v>
      </c>
      <c r="O157" s="5">
        <v>0</v>
      </c>
      <c r="P157" s="5">
        <v>0</v>
      </c>
      <c r="Q157" s="5">
        <v>10</v>
      </c>
      <c r="R157" s="20">
        <v>0</v>
      </c>
      <c r="S157" s="20">
        <v>18000</v>
      </c>
      <c r="T157" s="20">
        <v>1200</v>
      </c>
      <c r="U157" s="20">
        <v>600</v>
      </c>
      <c r="V157" s="20">
        <v>600</v>
      </c>
      <c r="W157" s="34">
        <v>0</v>
      </c>
      <c r="X157" s="34">
        <v>0</v>
      </c>
      <c r="Y157" s="34">
        <v>0</v>
      </c>
      <c r="Z157" s="34">
        <v>0</v>
      </c>
    </row>
    <row r="158" spans="1:26">
      <c r="A158" s="5">
        <v>16111</v>
      </c>
      <c r="B158" s="5" t="s">
        <v>73</v>
      </c>
      <c r="C158" s="5" t="s">
        <v>74</v>
      </c>
      <c r="D158" s="5">
        <v>1211</v>
      </c>
      <c r="E158" s="5">
        <v>2000000</v>
      </c>
      <c r="F158" s="5" t="s">
        <v>90</v>
      </c>
      <c r="G158" s="5">
        <v>10</v>
      </c>
      <c r="H158" s="9">
        <v>825</v>
      </c>
      <c r="I158" s="9">
        <v>0</v>
      </c>
      <c r="J158" s="9">
        <v>55</v>
      </c>
      <c r="K158" s="9">
        <v>33</v>
      </c>
      <c r="L158" s="9">
        <v>33</v>
      </c>
      <c r="M158" s="5">
        <v>0</v>
      </c>
      <c r="N158" s="5">
        <v>0</v>
      </c>
      <c r="O158" s="5">
        <v>0</v>
      </c>
      <c r="P158" s="5">
        <v>0</v>
      </c>
      <c r="Q158" s="5">
        <v>11</v>
      </c>
      <c r="R158" s="20">
        <v>0</v>
      </c>
      <c r="S158" s="20">
        <v>19800</v>
      </c>
      <c r="T158" s="20">
        <v>1320</v>
      </c>
      <c r="U158" s="20">
        <v>660</v>
      </c>
      <c r="V158" s="20">
        <v>660</v>
      </c>
      <c r="W158" s="34">
        <v>0</v>
      </c>
      <c r="X158" s="34">
        <v>0</v>
      </c>
      <c r="Y158" s="34">
        <v>0</v>
      </c>
      <c r="Z158" s="34">
        <v>0</v>
      </c>
    </row>
    <row r="159" spans="1:26">
      <c r="A159" s="5">
        <v>16112</v>
      </c>
      <c r="B159" s="5" t="s">
        <v>75</v>
      </c>
      <c r="C159" s="5" t="s">
        <v>76</v>
      </c>
      <c r="D159" s="5">
        <v>1212</v>
      </c>
      <c r="E159" s="5">
        <v>2400000</v>
      </c>
      <c r="F159" s="5" t="s">
        <v>111</v>
      </c>
      <c r="G159" s="5">
        <v>12</v>
      </c>
      <c r="H159" s="9">
        <v>900</v>
      </c>
      <c r="I159" s="9">
        <v>0</v>
      </c>
      <c r="J159" s="9">
        <v>60</v>
      </c>
      <c r="K159" s="9">
        <v>36</v>
      </c>
      <c r="L159" s="9">
        <v>36</v>
      </c>
      <c r="M159" s="5">
        <v>0</v>
      </c>
      <c r="N159" s="5">
        <v>0</v>
      </c>
      <c r="O159" s="5">
        <v>0</v>
      </c>
      <c r="P159" s="5">
        <v>0</v>
      </c>
      <c r="Q159" s="5">
        <v>12</v>
      </c>
      <c r="R159" s="20">
        <v>0</v>
      </c>
      <c r="S159" s="20">
        <v>21600</v>
      </c>
      <c r="T159" s="20">
        <v>1440</v>
      </c>
      <c r="U159" s="20">
        <v>720</v>
      </c>
      <c r="V159" s="20">
        <v>720</v>
      </c>
      <c r="W159" s="34">
        <v>0</v>
      </c>
      <c r="X159" s="34">
        <v>0</v>
      </c>
      <c r="Y159" s="34">
        <v>0</v>
      </c>
      <c r="Z159" s="34">
        <v>0</v>
      </c>
    </row>
    <row r="160" spans="1:26">
      <c r="A160" s="5">
        <v>16201</v>
      </c>
      <c r="B160" s="5" t="s">
        <v>121</v>
      </c>
      <c r="C160" s="5" t="s">
        <v>33</v>
      </c>
      <c r="D160" s="5">
        <v>1201</v>
      </c>
      <c r="E160" s="5">
        <v>10000</v>
      </c>
      <c r="F160" s="5" t="s">
        <v>101</v>
      </c>
      <c r="G160" s="5">
        <v>0</v>
      </c>
      <c r="H160" s="37">
        <v>75</v>
      </c>
      <c r="I160" s="9">
        <v>0</v>
      </c>
      <c r="J160" s="9">
        <v>5</v>
      </c>
      <c r="K160" s="9">
        <v>3</v>
      </c>
      <c r="L160" s="9">
        <v>3</v>
      </c>
      <c r="M160" s="5">
        <v>0</v>
      </c>
      <c r="N160" s="5">
        <v>0</v>
      </c>
      <c r="O160" s="5">
        <v>0</v>
      </c>
      <c r="P160" s="5">
        <v>0</v>
      </c>
      <c r="Q160" s="5">
        <v>1</v>
      </c>
      <c r="R160" s="20">
        <v>0</v>
      </c>
      <c r="S160" s="20">
        <v>1800</v>
      </c>
      <c r="T160" s="20">
        <v>120</v>
      </c>
      <c r="U160" s="20">
        <v>60</v>
      </c>
      <c r="V160" s="20">
        <v>60</v>
      </c>
      <c r="W160" s="34">
        <v>0</v>
      </c>
      <c r="X160" s="34">
        <v>0</v>
      </c>
      <c r="Y160" s="34">
        <v>0</v>
      </c>
      <c r="Z160" s="34">
        <v>0</v>
      </c>
    </row>
    <row r="161" spans="1:26">
      <c r="A161" s="5">
        <v>16202</v>
      </c>
      <c r="B161" s="5" t="s">
        <v>41</v>
      </c>
      <c r="C161" s="5" t="s">
        <v>34</v>
      </c>
      <c r="D161" s="5">
        <v>1202</v>
      </c>
      <c r="E161" s="5">
        <v>30000</v>
      </c>
      <c r="F161" s="5" t="s">
        <v>102</v>
      </c>
      <c r="G161" s="5">
        <v>0</v>
      </c>
      <c r="H161" s="9">
        <v>150</v>
      </c>
      <c r="I161" s="9">
        <v>0</v>
      </c>
      <c r="J161" s="9">
        <v>10</v>
      </c>
      <c r="K161" s="9">
        <v>6</v>
      </c>
      <c r="L161" s="9">
        <v>6</v>
      </c>
      <c r="M161" s="5">
        <v>0</v>
      </c>
      <c r="N161" s="5">
        <v>0</v>
      </c>
      <c r="O161" s="5">
        <v>0</v>
      </c>
      <c r="P161" s="5">
        <v>0</v>
      </c>
      <c r="Q161" s="5">
        <v>2</v>
      </c>
      <c r="R161" s="20">
        <v>0</v>
      </c>
      <c r="S161" s="20">
        <v>3600</v>
      </c>
      <c r="T161" s="20">
        <v>240</v>
      </c>
      <c r="U161" s="20">
        <v>120</v>
      </c>
      <c r="V161" s="20">
        <v>120</v>
      </c>
      <c r="W161" s="34">
        <v>0</v>
      </c>
      <c r="X161" s="34">
        <v>0</v>
      </c>
      <c r="Y161" s="34">
        <v>0</v>
      </c>
      <c r="Z161" s="34">
        <v>0</v>
      </c>
    </row>
    <row r="162" spans="1:26">
      <c r="A162" s="5">
        <v>16203</v>
      </c>
      <c r="B162" s="5" t="s">
        <v>42</v>
      </c>
      <c r="C162" s="5" t="s">
        <v>35</v>
      </c>
      <c r="D162" s="5">
        <v>1203</v>
      </c>
      <c r="E162" s="5">
        <v>50000</v>
      </c>
      <c r="F162" s="5" t="s">
        <v>103</v>
      </c>
      <c r="G162" s="5">
        <v>0</v>
      </c>
      <c r="H162" s="9">
        <v>225</v>
      </c>
      <c r="I162" s="9">
        <v>0</v>
      </c>
      <c r="J162" s="9">
        <v>15</v>
      </c>
      <c r="K162" s="9">
        <v>9</v>
      </c>
      <c r="L162" s="9">
        <v>9</v>
      </c>
      <c r="M162" s="5">
        <v>0</v>
      </c>
      <c r="N162" s="5">
        <v>0</v>
      </c>
      <c r="O162" s="5">
        <v>0</v>
      </c>
      <c r="P162" s="5">
        <v>0</v>
      </c>
      <c r="Q162" s="5">
        <v>3</v>
      </c>
      <c r="R162" s="20">
        <v>0</v>
      </c>
      <c r="S162" s="20">
        <v>5400</v>
      </c>
      <c r="T162" s="20">
        <v>360</v>
      </c>
      <c r="U162" s="20">
        <v>180</v>
      </c>
      <c r="V162" s="20">
        <v>180</v>
      </c>
      <c r="W162" s="34">
        <v>0</v>
      </c>
      <c r="X162" s="34">
        <v>0</v>
      </c>
      <c r="Y162" s="34">
        <v>0</v>
      </c>
      <c r="Z162" s="34">
        <v>0</v>
      </c>
    </row>
    <row r="163" spans="1:26">
      <c r="A163" s="5">
        <v>16204</v>
      </c>
      <c r="B163" s="5" t="s">
        <v>43</v>
      </c>
      <c r="C163" s="5" t="s">
        <v>36</v>
      </c>
      <c r="D163" s="5">
        <v>1204</v>
      </c>
      <c r="E163" s="5">
        <v>100000</v>
      </c>
      <c r="F163" s="5" t="s">
        <v>104</v>
      </c>
      <c r="G163" s="5">
        <v>1</v>
      </c>
      <c r="H163" s="9">
        <v>300</v>
      </c>
      <c r="I163" s="9">
        <v>0</v>
      </c>
      <c r="J163" s="9">
        <v>20</v>
      </c>
      <c r="K163" s="9">
        <v>12</v>
      </c>
      <c r="L163" s="9">
        <v>12</v>
      </c>
      <c r="M163" s="5">
        <v>0</v>
      </c>
      <c r="N163" s="5">
        <v>0</v>
      </c>
      <c r="O163" s="5">
        <v>0</v>
      </c>
      <c r="P163" s="5">
        <v>0</v>
      </c>
      <c r="Q163" s="5">
        <v>4</v>
      </c>
      <c r="R163" s="20">
        <v>0</v>
      </c>
      <c r="S163" s="20">
        <v>7200</v>
      </c>
      <c r="T163" s="20">
        <v>480</v>
      </c>
      <c r="U163" s="20">
        <v>240</v>
      </c>
      <c r="V163" s="20">
        <v>240</v>
      </c>
      <c r="W163" s="34">
        <v>0</v>
      </c>
      <c r="X163" s="34">
        <v>0</v>
      </c>
      <c r="Y163" s="34">
        <v>0</v>
      </c>
      <c r="Z163" s="34">
        <v>0</v>
      </c>
    </row>
    <row r="164" spans="1:26">
      <c r="A164" s="5">
        <v>16205</v>
      </c>
      <c r="B164" s="5" t="s">
        <v>44</v>
      </c>
      <c r="C164" s="5" t="s">
        <v>37</v>
      </c>
      <c r="D164" s="5">
        <v>1205</v>
      </c>
      <c r="E164" s="5">
        <v>200000</v>
      </c>
      <c r="F164" s="5" t="s">
        <v>105</v>
      </c>
      <c r="G164" s="5">
        <v>1</v>
      </c>
      <c r="H164" s="38">
        <v>375</v>
      </c>
      <c r="I164" s="9">
        <v>0</v>
      </c>
      <c r="J164" s="9">
        <v>25</v>
      </c>
      <c r="K164" s="9">
        <v>15</v>
      </c>
      <c r="L164" s="9">
        <v>15</v>
      </c>
      <c r="M164" s="5">
        <v>0</v>
      </c>
      <c r="N164" s="5">
        <v>0</v>
      </c>
      <c r="O164" s="5">
        <v>0</v>
      </c>
      <c r="P164" s="5">
        <v>0</v>
      </c>
      <c r="Q164" s="5">
        <v>5</v>
      </c>
      <c r="R164" s="20">
        <v>0</v>
      </c>
      <c r="S164" s="20">
        <v>9000</v>
      </c>
      <c r="T164" s="20">
        <v>600</v>
      </c>
      <c r="U164" s="20">
        <v>300</v>
      </c>
      <c r="V164" s="20">
        <v>300</v>
      </c>
      <c r="W164" s="34">
        <v>0</v>
      </c>
      <c r="X164" s="34">
        <v>0</v>
      </c>
      <c r="Y164" s="34">
        <v>0</v>
      </c>
      <c r="Z164" s="34">
        <v>0</v>
      </c>
    </row>
    <row r="165" spans="1:26">
      <c r="A165" s="5">
        <v>16206</v>
      </c>
      <c r="B165" s="5" t="s">
        <v>45</v>
      </c>
      <c r="C165" s="5" t="s">
        <v>38</v>
      </c>
      <c r="D165" s="5">
        <v>1206</v>
      </c>
      <c r="E165" s="5">
        <v>300000</v>
      </c>
      <c r="F165" s="5" t="s">
        <v>106</v>
      </c>
      <c r="G165" s="5">
        <v>2</v>
      </c>
      <c r="H165" s="9">
        <v>450</v>
      </c>
      <c r="I165" s="9">
        <v>0</v>
      </c>
      <c r="J165" s="9">
        <v>30</v>
      </c>
      <c r="K165" s="9">
        <v>18</v>
      </c>
      <c r="L165" s="9">
        <v>18</v>
      </c>
      <c r="M165" s="5">
        <v>0</v>
      </c>
      <c r="N165" s="5">
        <v>0</v>
      </c>
      <c r="O165" s="5">
        <v>0</v>
      </c>
      <c r="P165" s="5">
        <v>0</v>
      </c>
      <c r="Q165" s="5">
        <v>6</v>
      </c>
      <c r="R165" s="20">
        <v>0</v>
      </c>
      <c r="S165" s="20">
        <v>10800</v>
      </c>
      <c r="T165" s="20">
        <v>720</v>
      </c>
      <c r="U165" s="20">
        <v>360</v>
      </c>
      <c r="V165" s="20">
        <v>360</v>
      </c>
      <c r="W165" s="34">
        <v>0</v>
      </c>
      <c r="X165" s="34">
        <v>0</v>
      </c>
      <c r="Y165" s="34">
        <v>0</v>
      </c>
      <c r="Z165" s="34">
        <v>0</v>
      </c>
    </row>
    <row r="166" spans="1:26">
      <c r="A166" s="5">
        <v>16207</v>
      </c>
      <c r="B166" s="5" t="s">
        <v>46</v>
      </c>
      <c r="C166" s="5" t="s">
        <v>39</v>
      </c>
      <c r="D166" s="5">
        <v>1207</v>
      </c>
      <c r="E166" s="5">
        <v>500000</v>
      </c>
      <c r="F166" s="5" t="s">
        <v>107</v>
      </c>
      <c r="G166" s="5">
        <v>2</v>
      </c>
      <c r="H166" s="9">
        <v>525</v>
      </c>
      <c r="I166" s="9">
        <v>0</v>
      </c>
      <c r="J166" s="9">
        <v>35</v>
      </c>
      <c r="K166" s="9">
        <v>21</v>
      </c>
      <c r="L166" s="9">
        <v>21</v>
      </c>
      <c r="M166" s="5">
        <v>0</v>
      </c>
      <c r="N166" s="5">
        <v>0</v>
      </c>
      <c r="O166" s="5">
        <v>0</v>
      </c>
      <c r="P166" s="5">
        <v>0</v>
      </c>
      <c r="Q166" s="5">
        <v>7</v>
      </c>
      <c r="R166" s="20">
        <v>0</v>
      </c>
      <c r="S166" s="20">
        <v>12600</v>
      </c>
      <c r="T166" s="20">
        <v>840</v>
      </c>
      <c r="U166" s="20">
        <v>420</v>
      </c>
      <c r="V166" s="20">
        <v>420</v>
      </c>
      <c r="W166" s="34">
        <v>0</v>
      </c>
      <c r="X166" s="34">
        <v>0</v>
      </c>
      <c r="Y166" s="34">
        <v>0</v>
      </c>
      <c r="Z166" s="34">
        <v>0</v>
      </c>
    </row>
    <row r="167" spans="1:26">
      <c r="A167" s="5">
        <v>16208</v>
      </c>
      <c r="B167" s="5" t="s">
        <v>47</v>
      </c>
      <c r="C167" s="5" t="s">
        <v>40</v>
      </c>
      <c r="D167" s="5">
        <v>1208</v>
      </c>
      <c r="E167" s="5">
        <v>800000</v>
      </c>
      <c r="F167" s="5" t="s">
        <v>108</v>
      </c>
      <c r="G167" s="5">
        <v>4</v>
      </c>
      <c r="H167" s="9">
        <v>600</v>
      </c>
      <c r="I167" s="9">
        <v>0</v>
      </c>
      <c r="J167" s="9">
        <v>40</v>
      </c>
      <c r="K167" s="9">
        <v>24</v>
      </c>
      <c r="L167" s="9">
        <v>24</v>
      </c>
      <c r="M167" s="5">
        <v>0</v>
      </c>
      <c r="N167" s="5">
        <v>0</v>
      </c>
      <c r="O167" s="5">
        <v>0</v>
      </c>
      <c r="P167" s="5">
        <v>0</v>
      </c>
      <c r="Q167" s="5">
        <v>8</v>
      </c>
      <c r="R167" s="20">
        <v>0</v>
      </c>
      <c r="S167" s="20">
        <v>14400</v>
      </c>
      <c r="T167" s="20">
        <v>960</v>
      </c>
      <c r="U167" s="20">
        <v>480</v>
      </c>
      <c r="V167" s="20">
        <v>480</v>
      </c>
      <c r="W167" s="34">
        <v>0</v>
      </c>
      <c r="X167" s="34">
        <v>0</v>
      </c>
      <c r="Y167" s="34">
        <v>0</v>
      </c>
      <c r="Z167" s="34">
        <v>0</v>
      </c>
    </row>
    <row r="168" spans="1:26">
      <c r="A168" s="5">
        <v>16209</v>
      </c>
      <c r="B168" s="5" t="s">
        <v>69</v>
      </c>
      <c r="C168" s="5" t="s">
        <v>32</v>
      </c>
      <c r="D168" s="5">
        <v>1209</v>
      </c>
      <c r="E168" s="5">
        <v>1200000</v>
      </c>
      <c r="F168" s="5" t="s">
        <v>109</v>
      </c>
      <c r="G168" s="5">
        <v>6</v>
      </c>
      <c r="H168" s="38">
        <v>675</v>
      </c>
      <c r="I168" s="9">
        <v>0</v>
      </c>
      <c r="J168" s="9">
        <v>45</v>
      </c>
      <c r="K168" s="9">
        <v>27</v>
      </c>
      <c r="L168" s="9">
        <v>27</v>
      </c>
      <c r="M168" s="5">
        <v>0</v>
      </c>
      <c r="N168" s="5">
        <v>0</v>
      </c>
      <c r="O168" s="5">
        <v>0</v>
      </c>
      <c r="P168" s="5">
        <v>0</v>
      </c>
      <c r="Q168" s="5">
        <v>9</v>
      </c>
      <c r="R168" s="20">
        <v>0</v>
      </c>
      <c r="S168" s="20">
        <v>16200</v>
      </c>
      <c r="T168" s="20">
        <v>1080</v>
      </c>
      <c r="U168" s="20">
        <v>540</v>
      </c>
      <c r="V168" s="20">
        <v>540</v>
      </c>
      <c r="W168" s="34">
        <v>0</v>
      </c>
      <c r="X168" s="34">
        <v>0</v>
      </c>
      <c r="Y168" s="34">
        <v>0</v>
      </c>
      <c r="Z168" s="34">
        <v>0</v>
      </c>
    </row>
    <row r="169" spans="1:26">
      <c r="A169" s="5">
        <v>16210</v>
      </c>
      <c r="B169" s="5" t="s">
        <v>71</v>
      </c>
      <c r="C169" s="5" t="s">
        <v>31</v>
      </c>
      <c r="D169" s="5">
        <v>1210</v>
      </c>
      <c r="E169" s="5">
        <v>1600000</v>
      </c>
      <c r="F169" s="5" t="s">
        <v>110</v>
      </c>
      <c r="G169" s="5">
        <v>8</v>
      </c>
      <c r="H169" s="38">
        <v>750</v>
      </c>
      <c r="I169" s="9">
        <v>0</v>
      </c>
      <c r="J169" s="9">
        <v>50</v>
      </c>
      <c r="K169" s="9">
        <v>30</v>
      </c>
      <c r="L169" s="9">
        <v>30</v>
      </c>
      <c r="M169" s="5">
        <v>0</v>
      </c>
      <c r="N169" s="5">
        <v>0</v>
      </c>
      <c r="O169" s="5">
        <v>0</v>
      </c>
      <c r="P169" s="5">
        <v>0</v>
      </c>
      <c r="Q169" s="5">
        <v>10</v>
      </c>
      <c r="R169" s="20">
        <v>0</v>
      </c>
      <c r="S169" s="20">
        <v>18000</v>
      </c>
      <c r="T169" s="20">
        <v>1200</v>
      </c>
      <c r="U169" s="20">
        <v>600</v>
      </c>
      <c r="V169" s="20">
        <v>600</v>
      </c>
      <c r="W169" s="34">
        <v>0</v>
      </c>
      <c r="X169" s="34">
        <v>0</v>
      </c>
      <c r="Y169" s="34">
        <v>0</v>
      </c>
      <c r="Z169" s="34">
        <v>0</v>
      </c>
    </row>
    <row r="170" spans="1:26">
      <c r="A170" s="5">
        <v>16211</v>
      </c>
      <c r="B170" s="5" t="s">
        <v>73</v>
      </c>
      <c r="C170" s="5" t="s">
        <v>74</v>
      </c>
      <c r="D170" s="5">
        <v>1211</v>
      </c>
      <c r="E170" s="5">
        <v>2000000</v>
      </c>
      <c r="F170" s="5" t="s">
        <v>90</v>
      </c>
      <c r="G170" s="5">
        <v>10</v>
      </c>
      <c r="H170" s="9">
        <v>825</v>
      </c>
      <c r="I170" s="9">
        <v>0</v>
      </c>
      <c r="J170" s="9">
        <v>55</v>
      </c>
      <c r="K170" s="9">
        <v>33</v>
      </c>
      <c r="L170" s="9">
        <v>33</v>
      </c>
      <c r="M170" s="5">
        <v>0</v>
      </c>
      <c r="N170" s="5">
        <v>0</v>
      </c>
      <c r="O170" s="5">
        <v>0</v>
      </c>
      <c r="P170" s="5">
        <v>0</v>
      </c>
      <c r="Q170" s="5">
        <v>11</v>
      </c>
      <c r="R170" s="20">
        <v>0</v>
      </c>
      <c r="S170" s="20">
        <v>19800</v>
      </c>
      <c r="T170" s="20">
        <v>1320</v>
      </c>
      <c r="U170" s="20">
        <v>660</v>
      </c>
      <c r="V170" s="20">
        <v>660</v>
      </c>
      <c r="W170" s="34">
        <v>0</v>
      </c>
      <c r="X170" s="34">
        <v>0</v>
      </c>
      <c r="Y170" s="34">
        <v>0</v>
      </c>
      <c r="Z170" s="34">
        <v>0</v>
      </c>
    </row>
    <row r="171" spans="1:26">
      <c r="A171" s="5">
        <v>16212</v>
      </c>
      <c r="B171" s="5" t="s">
        <v>75</v>
      </c>
      <c r="C171" s="5" t="s">
        <v>76</v>
      </c>
      <c r="D171" s="5">
        <v>1212</v>
      </c>
      <c r="E171" s="5">
        <v>2400000</v>
      </c>
      <c r="F171" s="5" t="s">
        <v>111</v>
      </c>
      <c r="G171" s="5">
        <v>12</v>
      </c>
      <c r="H171" s="9">
        <v>900</v>
      </c>
      <c r="I171" s="9">
        <v>0</v>
      </c>
      <c r="J171" s="9">
        <v>60</v>
      </c>
      <c r="K171" s="9">
        <v>36</v>
      </c>
      <c r="L171" s="9">
        <v>36</v>
      </c>
      <c r="M171" s="5">
        <v>0</v>
      </c>
      <c r="N171" s="5">
        <v>0</v>
      </c>
      <c r="O171" s="5">
        <v>0</v>
      </c>
      <c r="P171" s="5">
        <v>0</v>
      </c>
      <c r="Q171" s="5">
        <v>12</v>
      </c>
      <c r="R171" s="20">
        <v>0</v>
      </c>
      <c r="S171" s="20">
        <v>21600</v>
      </c>
      <c r="T171" s="20">
        <v>1440</v>
      </c>
      <c r="U171" s="20">
        <v>720</v>
      </c>
      <c r="V171" s="20">
        <v>720</v>
      </c>
      <c r="W171" s="34">
        <v>0</v>
      </c>
      <c r="X171" s="34">
        <v>0</v>
      </c>
      <c r="Y171" s="34">
        <v>0</v>
      </c>
      <c r="Z171" s="34">
        <v>0</v>
      </c>
    </row>
    <row r="172" spans="1:26">
      <c r="A172" s="5">
        <v>16301</v>
      </c>
      <c r="B172" s="5" t="s">
        <v>121</v>
      </c>
      <c r="C172" s="5" t="s">
        <v>33</v>
      </c>
      <c r="D172" s="5">
        <v>1201</v>
      </c>
      <c r="E172" s="5">
        <v>10000</v>
      </c>
      <c r="F172" s="5" t="s">
        <v>101</v>
      </c>
      <c r="G172" s="5">
        <v>0</v>
      </c>
      <c r="H172" s="37">
        <v>75</v>
      </c>
      <c r="I172" s="9">
        <v>0</v>
      </c>
      <c r="J172" s="9">
        <v>5</v>
      </c>
      <c r="K172" s="9">
        <v>3</v>
      </c>
      <c r="L172" s="9">
        <v>3</v>
      </c>
      <c r="M172" s="5">
        <v>0</v>
      </c>
      <c r="N172" s="5">
        <v>0</v>
      </c>
      <c r="O172" s="5">
        <v>0</v>
      </c>
      <c r="P172" s="5">
        <v>0</v>
      </c>
      <c r="Q172" s="5">
        <v>1</v>
      </c>
      <c r="R172" s="20">
        <v>0</v>
      </c>
      <c r="S172" s="20">
        <v>1800</v>
      </c>
      <c r="T172" s="20">
        <v>120</v>
      </c>
      <c r="U172" s="20">
        <v>60</v>
      </c>
      <c r="V172" s="20">
        <v>60</v>
      </c>
      <c r="W172" s="34">
        <v>0</v>
      </c>
      <c r="X172" s="34">
        <v>0</v>
      </c>
      <c r="Y172" s="34">
        <v>0</v>
      </c>
      <c r="Z172" s="34">
        <v>0</v>
      </c>
    </row>
    <row r="173" spans="1:26">
      <c r="A173" s="5">
        <v>16302</v>
      </c>
      <c r="B173" s="5" t="s">
        <v>41</v>
      </c>
      <c r="C173" s="5" t="s">
        <v>34</v>
      </c>
      <c r="D173" s="5">
        <v>1202</v>
      </c>
      <c r="E173" s="5">
        <v>30000</v>
      </c>
      <c r="F173" s="5" t="s">
        <v>102</v>
      </c>
      <c r="G173" s="5">
        <v>0</v>
      </c>
      <c r="H173" s="9">
        <v>150</v>
      </c>
      <c r="I173" s="9">
        <v>0</v>
      </c>
      <c r="J173" s="9">
        <v>10</v>
      </c>
      <c r="K173" s="9">
        <v>6</v>
      </c>
      <c r="L173" s="9">
        <v>6</v>
      </c>
      <c r="M173" s="5">
        <v>0</v>
      </c>
      <c r="N173" s="5">
        <v>0</v>
      </c>
      <c r="O173" s="5">
        <v>0</v>
      </c>
      <c r="P173" s="5">
        <v>0</v>
      </c>
      <c r="Q173" s="5">
        <v>2</v>
      </c>
      <c r="R173" s="20">
        <v>0</v>
      </c>
      <c r="S173" s="20">
        <v>3600</v>
      </c>
      <c r="T173" s="20">
        <v>240</v>
      </c>
      <c r="U173" s="20">
        <v>120</v>
      </c>
      <c r="V173" s="20">
        <v>120</v>
      </c>
      <c r="W173" s="34">
        <v>0</v>
      </c>
      <c r="X173" s="34">
        <v>0</v>
      </c>
      <c r="Y173" s="34">
        <v>0</v>
      </c>
      <c r="Z173" s="34">
        <v>0</v>
      </c>
    </row>
    <row r="174" spans="1:26">
      <c r="A174" s="5">
        <v>16303</v>
      </c>
      <c r="B174" s="5" t="s">
        <v>42</v>
      </c>
      <c r="C174" s="5" t="s">
        <v>35</v>
      </c>
      <c r="D174" s="5">
        <v>1203</v>
      </c>
      <c r="E174" s="5">
        <v>50000</v>
      </c>
      <c r="F174" s="5" t="s">
        <v>103</v>
      </c>
      <c r="G174" s="5">
        <v>0</v>
      </c>
      <c r="H174" s="9">
        <v>225</v>
      </c>
      <c r="I174" s="9">
        <v>0</v>
      </c>
      <c r="J174" s="9">
        <v>15</v>
      </c>
      <c r="K174" s="9">
        <v>9</v>
      </c>
      <c r="L174" s="9">
        <v>9</v>
      </c>
      <c r="M174" s="5">
        <v>0</v>
      </c>
      <c r="N174" s="5">
        <v>0</v>
      </c>
      <c r="O174" s="5">
        <v>0</v>
      </c>
      <c r="P174" s="5">
        <v>0</v>
      </c>
      <c r="Q174" s="5">
        <v>3</v>
      </c>
      <c r="R174" s="20">
        <v>0</v>
      </c>
      <c r="S174" s="20">
        <v>5400</v>
      </c>
      <c r="T174" s="20">
        <v>360</v>
      </c>
      <c r="U174" s="20">
        <v>180</v>
      </c>
      <c r="V174" s="20">
        <v>180</v>
      </c>
      <c r="W174" s="34">
        <v>0</v>
      </c>
      <c r="X174" s="34">
        <v>0</v>
      </c>
      <c r="Y174" s="34">
        <v>0</v>
      </c>
      <c r="Z174" s="34">
        <v>0</v>
      </c>
    </row>
    <row r="175" spans="1:26">
      <c r="A175" s="5">
        <v>16304</v>
      </c>
      <c r="B175" s="5" t="s">
        <v>43</v>
      </c>
      <c r="C175" s="5" t="s">
        <v>36</v>
      </c>
      <c r="D175" s="5">
        <v>1204</v>
      </c>
      <c r="E175" s="5">
        <v>100000</v>
      </c>
      <c r="F175" s="5" t="s">
        <v>104</v>
      </c>
      <c r="G175" s="5">
        <v>1</v>
      </c>
      <c r="H175" s="9">
        <v>300</v>
      </c>
      <c r="I175" s="9">
        <v>0</v>
      </c>
      <c r="J175" s="9">
        <v>20</v>
      </c>
      <c r="K175" s="9">
        <v>12</v>
      </c>
      <c r="L175" s="9">
        <v>12</v>
      </c>
      <c r="M175" s="5">
        <v>0</v>
      </c>
      <c r="N175" s="5">
        <v>0</v>
      </c>
      <c r="O175" s="5">
        <v>0</v>
      </c>
      <c r="P175" s="5">
        <v>0</v>
      </c>
      <c r="Q175" s="5">
        <v>4</v>
      </c>
      <c r="R175" s="20">
        <v>0</v>
      </c>
      <c r="S175" s="20">
        <v>7200</v>
      </c>
      <c r="T175" s="20">
        <v>480</v>
      </c>
      <c r="U175" s="20">
        <v>240</v>
      </c>
      <c r="V175" s="20">
        <v>240</v>
      </c>
      <c r="W175" s="34">
        <v>0</v>
      </c>
      <c r="X175" s="34">
        <v>0</v>
      </c>
      <c r="Y175" s="34">
        <v>0</v>
      </c>
      <c r="Z175" s="34">
        <v>0</v>
      </c>
    </row>
    <row r="176" spans="1:26">
      <c r="A176" s="5">
        <v>16305</v>
      </c>
      <c r="B176" s="5" t="s">
        <v>44</v>
      </c>
      <c r="C176" s="5" t="s">
        <v>37</v>
      </c>
      <c r="D176" s="5">
        <v>1205</v>
      </c>
      <c r="E176" s="5">
        <v>200000</v>
      </c>
      <c r="F176" s="5" t="s">
        <v>105</v>
      </c>
      <c r="G176" s="5">
        <v>1</v>
      </c>
      <c r="H176" s="38">
        <v>375</v>
      </c>
      <c r="I176" s="9">
        <v>0</v>
      </c>
      <c r="J176" s="9">
        <v>25</v>
      </c>
      <c r="K176" s="9">
        <v>15</v>
      </c>
      <c r="L176" s="9">
        <v>15</v>
      </c>
      <c r="M176" s="5">
        <v>0</v>
      </c>
      <c r="N176" s="5">
        <v>0</v>
      </c>
      <c r="O176" s="5">
        <v>0</v>
      </c>
      <c r="P176" s="5">
        <v>0</v>
      </c>
      <c r="Q176" s="5">
        <v>5</v>
      </c>
      <c r="R176" s="20">
        <v>0</v>
      </c>
      <c r="S176" s="20">
        <v>9000</v>
      </c>
      <c r="T176" s="20">
        <v>600</v>
      </c>
      <c r="U176" s="20">
        <v>300</v>
      </c>
      <c r="V176" s="20">
        <v>300</v>
      </c>
      <c r="W176" s="34">
        <v>0</v>
      </c>
      <c r="X176" s="34">
        <v>0</v>
      </c>
      <c r="Y176" s="34">
        <v>0</v>
      </c>
      <c r="Z176" s="34">
        <v>0</v>
      </c>
    </row>
    <row r="177" spans="1:26">
      <c r="A177" s="5">
        <v>16306</v>
      </c>
      <c r="B177" s="5" t="s">
        <v>45</v>
      </c>
      <c r="C177" s="5" t="s">
        <v>38</v>
      </c>
      <c r="D177" s="5">
        <v>1206</v>
      </c>
      <c r="E177" s="5">
        <v>300000</v>
      </c>
      <c r="F177" s="5" t="s">
        <v>106</v>
      </c>
      <c r="G177" s="5">
        <v>2</v>
      </c>
      <c r="H177" s="9">
        <v>450</v>
      </c>
      <c r="I177" s="9">
        <v>0</v>
      </c>
      <c r="J177" s="9">
        <v>30</v>
      </c>
      <c r="K177" s="9">
        <v>18</v>
      </c>
      <c r="L177" s="9">
        <v>18</v>
      </c>
      <c r="M177" s="5">
        <v>0</v>
      </c>
      <c r="N177" s="5">
        <v>0</v>
      </c>
      <c r="O177" s="5">
        <v>0</v>
      </c>
      <c r="P177" s="5">
        <v>0</v>
      </c>
      <c r="Q177" s="5">
        <v>6</v>
      </c>
      <c r="R177" s="20">
        <v>0</v>
      </c>
      <c r="S177" s="20">
        <v>10800</v>
      </c>
      <c r="T177" s="20">
        <v>720</v>
      </c>
      <c r="U177" s="20">
        <v>360</v>
      </c>
      <c r="V177" s="20">
        <v>360</v>
      </c>
      <c r="W177" s="34">
        <v>0</v>
      </c>
      <c r="X177" s="34">
        <v>0</v>
      </c>
      <c r="Y177" s="34">
        <v>0</v>
      </c>
      <c r="Z177" s="34">
        <v>0</v>
      </c>
    </row>
    <row r="178" spans="1:26">
      <c r="A178" s="5">
        <v>16307</v>
      </c>
      <c r="B178" s="5" t="s">
        <v>46</v>
      </c>
      <c r="C178" s="5" t="s">
        <v>39</v>
      </c>
      <c r="D178" s="5">
        <v>1207</v>
      </c>
      <c r="E178" s="5">
        <v>500000</v>
      </c>
      <c r="F178" s="5" t="s">
        <v>107</v>
      </c>
      <c r="G178" s="5">
        <v>2</v>
      </c>
      <c r="H178" s="9">
        <v>525</v>
      </c>
      <c r="I178" s="9">
        <v>0</v>
      </c>
      <c r="J178" s="9">
        <v>35</v>
      </c>
      <c r="K178" s="9">
        <v>21</v>
      </c>
      <c r="L178" s="9">
        <v>21</v>
      </c>
      <c r="M178" s="5">
        <v>0</v>
      </c>
      <c r="N178" s="5">
        <v>0</v>
      </c>
      <c r="O178" s="5">
        <v>0</v>
      </c>
      <c r="P178" s="5">
        <v>0</v>
      </c>
      <c r="Q178" s="5">
        <v>7</v>
      </c>
      <c r="R178" s="20">
        <v>0</v>
      </c>
      <c r="S178" s="20">
        <v>12600</v>
      </c>
      <c r="T178" s="20">
        <v>840</v>
      </c>
      <c r="U178" s="20">
        <v>420</v>
      </c>
      <c r="V178" s="20">
        <v>420</v>
      </c>
      <c r="W178" s="34">
        <v>0</v>
      </c>
      <c r="X178" s="34">
        <v>0</v>
      </c>
      <c r="Y178" s="34">
        <v>0</v>
      </c>
      <c r="Z178" s="34">
        <v>0</v>
      </c>
    </row>
    <row r="179" spans="1:26">
      <c r="A179" s="5">
        <v>16308</v>
      </c>
      <c r="B179" s="5" t="s">
        <v>47</v>
      </c>
      <c r="C179" s="5" t="s">
        <v>40</v>
      </c>
      <c r="D179" s="5">
        <v>1208</v>
      </c>
      <c r="E179" s="5">
        <v>800000</v>
      </c>
      <c r="F179" s="5" t="s">
        <v>108</v>
      </c>
      <c r="G179" s="5">
        <v>4</v>
      </c>
      <c r="H179" s="9">
        <v>600</v>
      </c>
      <c r="I179" s="9">
        <v>0</v>
      </c>
      <c r="J179" s="9">
        <v>40</v>
      </c>
      <c r="K179" s="9">
        <v>24</v>
      </c>
      <c r="L179" s="9">
        <v>24</v>
      </c>
      <c r="M179" s="5">
        <v>0</v>
      </c>
      <c r="N179" s="5">
        <v>0</v>
      </c>
      <c r="O179" s="5">
        <v>0</v>
      </c>
      <c r="P179" s="5">
        <v>0</v>
      </c>
      <c r="Q179" s="5">
        <v>8</v>
      </c>
      <c r="R179" s="20">
        <v>0</v>
      </c>
      <c r="S179" s="20">
        <v>14400</v>
      </c>
      <c r="T179" s="20">
        <v>960</v>
      </c>
      <c r="U179" s="20">
        <v>480</v>
      </c>
      <c r="V179" s="20">
        <v>480</v>
      </c>
      <c r="W179" s="34">
        <v>0</v>
      </c>
      <c r="X179" s="34">
        <v>0</v>
      </c>
      <c r="Y179" s="34">
        <v>0</v>
      </c>
      <c r="Z179" s="34">
        <v>0</v>
      </c>
    </row>
    <row r="180" spans="1:26">
      <c r="A180" s="5">
        <v>16309</v>
      </c>
      <c r="B180" s="5" t="s">
        <v>69</v>
      </c>
      <c r="C180" s="5" t="s">
        <v>32</v>
      </c>
      <c r="D180" s="5">
        <v>1209</v>
      </c>
      <c r="E180" s="5">
        <v>1200000</v>
      </c>
      <c r="F180" s="5" t="s">
        <v>109</v>
      </c>
      <c r="G180" s="5">
        <v>6</v>
      </c>
      <c r="H180" s="38">
        <v>675</v>
      </c>
      <c r="I180" s="9">
        <v>0</v>
      </c>
      <c r="J180" s="9">
        <v>45</v>
      </c>
      <c r="K180" s="9">
        <v>27</v>
      </c>
      <c r="L180" s="9">
        <v>27</v>
      </c>
      <c r="M180" s="5">
        <v>0</v>
      </c>
      <c r="N180" s="5">
        <v>0</v>
      </c>
      <c r="O180" s="5">
        <v>0</v>
      </c>
      <c r="P180" s="5">
        <v>0</v>
      </c>
      <c r="Q180" s="5">
        <v>9</v>
      </c>
      <c r="R180" s="20">
        <v>0</v>
      </c>
      <c r="S180" s="20">
        <v>16200</v>
      </c>
      <c r="T180" s="20">
        <v>1080</v>
      </c>
      <c r="U180" s="20">
        <v>540</v>
      </c>
      <c r="V180" s="20">
        <v>540</v>
      </c>
      <c r="W180" s="34">
        <v>0</v>
      </c>
      <c r="X180" s="34">
        <v>0</v>
      </c>
      <c r="Y180" s="34">
        <v>0</v>
      </c>
      <c r="Z180" s="34">
        <v>0</v>
      </c>
    </row>
    <row r="181" spans="1:26">
      <c r="A181" s="5">
        <v>16310</v>
      </c>
      <c r="B181" s="5" t="s">
        <v>71</v>
      </c>
      <c r="C181" s="5" t="s">
        <v>31</v>
      </c>
      <c r="D181" s="5">
        <v>1210</v>
      </c>
      <c r="E181" s="5">
        <v>1600000</v>
      </c>
      <c r="F181" s="5" t="s">
        <v>110</v>
      </c>
      <c r="G181" s="5">
        <v>8</v>
      </c>
      <c r="H181" s="38">
        <v>750</v>
      </c>
      <c r="I181" s="9">
        <v>0</v>
      </c>
      <c r="J181" s="9">
        <v>50</v>
      </c>
      <c r="K181" s="9">
        <v>30</v>
      </c>
      <c r="L181" s="9">
        <v>30</v>
      </c>
      <c r="M181" s="5">
        <v>0</v>
      </c>
      <c r="N181" s="5">
        <v>0</v>
      </c>
      <c r="O181" s="5">
        <v>0</v>
      </c>
      <c r="P181" s="5">
        <v>0</v>
      </c>
      <c r="Q181" s="5">
        <v>10</v>
      </c>
      <c r="R181" s="20">
        <v>0</v>
      </c>
      <c r="S181" s="20">
        <v>18000</v>
      </c>
      <c r="T181" s="20">
        <v>1200</v>
      </c>
      <c r="U181" s="20">
        <v>600</v>
      </c>
      <c r="V181" s="20">
        <v>600</v>
      </c>
      <c r="W181" s="34">
        <v>0</v>
      </c>
      <c r="X181" s="34">
        <v>0</v>
      </c>
      <c r="Y181" s="34">
        <v>0</v>
      </c>
      <c r="Z181" s="34">
        <v>0</v>
      </c>
    </row>
    <row r="182" spans="1:26">
      <c r="A182" s="5">
        <v>16311</v>
      </c>
      <c r="B182" s="5" t="s">
        <v>73</v>
      </c>
      <c r="C182" s="5" t="s">
        <v>74</v>
      </c>
      <c r="D182" s="5">
        <v>1211</v>
      </c>
      <c r="E182" s="5">
        <v>2000000</v>
      </c>
      <c r="F182" s="5" t="s">
        <v>90</v>
      </c>
      <c r="G182" s="5">
        <v>10</v>
      </c>
      <c r="H182" s="9">
        <v>825</v>
      </c>
      <c r="I182" s="9">
        <v>0</v>
      </c>
      <c r="J182" s="9">
        <v>55</v>
      </c>
      <c r="K182" s="9">
        <v>33</v>
      </c>
      <c r="L182" s="9">
        <v>33</v>
      </c>
      <c r="M182" s="5">
        <v>0</v>
      </c>
      <c r="N182" s="5">
        <v>0</v>
      </c>
      <c r="O182" s="5">
        <v>0</v>
      </c>
      <c r="P182" s="5">
        <v>0</v>
      </c>
      <c r="Q182" s="5">
        <v>11</v>
      </c>
      <c r="R182" s="20">
        <v>0</v>
      </c>
      <c r="S182" s="20">
        <v>19800</v>
      </c>
      <c r="T182" s="20">
        <v>1320</v>
      </c>
      <c r="U182" s="20">
        <v>660</v>
      </c>
      <c r="V182" s="20">
        <v>660</v>
      </c>
      <c r="W182" s="34">
        <v>0</v>
      </c>
      <c r="X182" s="34">
        <v>0</v>
      </c>
      <c r="Y182" s="34">
        <v>0</v>
      </c>
      <c r="Z182" s="34">
        <v>0</v>
      </c>
    </row>
    <row r="183" spans="1:26">
      <c r="A183" s="5">
        <v>16312</v>
      </c>
      <c r="B183" s="5" t="s">
        <v>75</v>
      </c>
      <c r="C183" s="5" t="s">
        <v>76</v>
      </c>
      <c r="D183" s="5">
        <v>1212</v>
      </c>
      <c r="E183" s="5">
        <v>2400000</v>
      </c>
      <c r="F183" s="5" t="s">
        <v>111</v>
      </c>
      <c r="G183" s="5">
        <v>12</v>
      </c>
      <c r="H183" s="9">
        <v>900</v>
      </c>
      <c r="I183" s="9">
        <v>0</v>
      </c>
      <c r="J183" s="9">
        <v>60</v>
      </c>
      <c r="K183" s="9">
        <v>36</v>
      </c>
      <c r="L183" s="9">
        <v>36</v>
      </c>
      <c r="M183" s="5">
        <v>0</v>
      </c>
      <c r="N183" s="5">
        <v>0</v>
      </c>
      <c r="O183" s="5">
        <v>0</v>
      </c>
      <c r="P183" s="5">
        <v>0</v>
      </c>
      <c r="Q183" s="5">
        <v>12</v>
      </c>
      <c r="R183" s="20">
        <v>0</v>
      </c>
      <c r="S183" s="20">
        <v>21600</v>
      </c>
      <c r="T183" s="20">
        <v>1440</v>
      </c>
      <c r="U183" s="20">
        <v>720</v>
      </c>
      <c r="V183" s="20">
        <v>720</v>
      </c>
      <c r="W183" s="34">
        <v>0</v>
      </c>
      <c r="X183" s="34">
        <v>0</v>
      </c>
      <c r="Y183" s="34">
        <v>0</v>
      </c>
      <c r="Z183" s="34">
        <v>0</v>
      </c>
    </row>
    <row r="184" spans="1:26">
      <c r="A184" s="5">
        <v>16401</v>
      </c>
      <c r="B184" s="5" t="s">
        <v>121</v>
      </c>
      <c r="C184" s="5" t="s">
        <v>33</v>
      </c>
      <c r="D184" s="5">
        <v>1201</v>
      </c>
      <c r="E184" s="5">
        <v>10000</v>
      </c>
      <c r="F184" s="5" t="s">
        <v>101</v>
      </c>
      <c r="G184" s="5">
        <v>0</v>
      </c>
      <c r="H184" s="37">
        <v>75</v>
      </c>
      <c r="I184" s="9">
        <v>0</v>
      </c>
      <c r="J184" s="9">
        <v>5</v>
      </c>
      <c r="K184" s="9">
        <v>3</v>
      </c>
      <c r="L184" s="9">
        <v>3</v>
      </c>
      <c r="M184" s="5">
        <v>0</v>
      </c>
      <c r="N184" s="5">
        <v>0</v>
      </c>
      <c r="O184" s="5">
        <v>0</v>
      </c>
      <c r="P184" s="5">
        <v>0</v>
      </c>
      <c r="Q184" s="5">
        <v>1</v>
      </c>
      <c r="R184" s="20">
        <v>0</v>
      </c>
      <c r="S184" s="20">
        <v>1800</v>
      </c>
      <c r="T184" s="20">
        <v>120</v>
      </c>
      <c r="U184" s="20">
        <v>60</v>
      </c>
      <c r="V184" s="20">
        <v>60</v>
      </c>
      <c r="W184" s="34">
        <v>0</v>
      </c>
      <c r="X184" s="34">
        <v>0</v>
      </c>
      <c r="Y184" s="34">
        <v>0</v>
      </c>
      <c r="Z184" s="34">
        <v>0</v>
      </c>
    </row>
    <row r="185" spans="1:26">
      <c r="A185" s="5">
        <v>16402</v>
      </c>
      <c r="B185" s="5" t="s">
        <v>41</v>
      </c>
      <c r="C185" s="5" t="s">
        <v>34</v>
      </c>
      <c r="D185" s="5">
        <v>1202</v>
      </c>
      <c r="E185" s="5">
        <v>30000</v>
      </c>
      <c r="F185" s="5" t="s">
        <v>102</v>
      </c>
      <c r="G185" s="5">
        <v>0</v>
      </c>
      <c r="H185" s="9">
        <v>150</v>
      </c>
      <c r="I185" s="9">
        <v>0</v>
      </c>
      <c r="J185" s="9">
        <v>10</v>
      </c>
      <c r="K185" s="9">
        <v>6</v>
      </c>
      <c r="L185" s="9">
        <v>6</v>
      </c>
      <c r="M185" s="5">
        <v>0</v>
      </c>
      <c r="N185" s="5">
        <v>0</v>
      </c>
      <c r="O185" s="5">
        <v>0</v>
      </c>
      <c r="P185" s="5">
        <v>0</v>
      </c>
      <c r="Q185" s="5">
        <v>2</v>
      </c>
      <c r="R185" s="20">
        <v>0</v>
      </c>
      <c r="S185" s="20">
        <v>3600</v>
      </c>
      <c r="T185" s="20">
        <v>240</v>
      </c>
      <c r="U185" s="20">
        <v>120</v>
      </c>
      <c r="V185" s="20">
        <v>120</v>
      </c>
      <c r="W185" s="34">
        <v>0</v>
      </c>
      <c r="X185" s="34">
        <v>0</v>
      </c>
      <c r="Y185" s="34">
        <v>0</v>
      </c>
      <c r="Z185" s="34">
        <v>0</v>
      </c>
    </row>
    <row r="186" spans="1:26">
      <c r="A186" s="5">
        <v>16403</v>
      </c>
      <c r="B186" s="5" t="s">
        <v>42</v>
      </c>
      <c r="C186" s="5" t="s">
        <v>35</v>
      </c>
      <c r="D186" s="5">
        <v>1203</v>
      </c>
      <c r="E186" s="5">
        <v>50000</v>
      </c>
      <c r="F186" s="5" t="s">
        <v>103</v>
      </c>
      <c r="G186" s="5">
        <v>0</v>
      </c>
      <c r="H186" s="9">
        <v>225</v>
      </c>
      <c r="I186" s="9">
        <v>0</v>
      </c>
      <c r="J186" s="9">
        <v>15</v>
      </c>
      <c r="K186" s="9">
        <v>9</v>
      </c>
      <c r="L186" s="9">
        <v>9</v>
      </c>
      <c r="M186" s="5">
        <v>0</v>
      </c>
      <c r="N186" s="5">
        <v>0</v>
      </c>
      <c r="O186" s="5">
        <v>0</v>
      </c>
      <c r="P186" s="5">
        <v>0</v>
      </c>
      <c r="Q186" s="5">
        <v>3</v>
      </c>
      <c r="R186" s="20">
        <v>0</v>
      </c>
      <c r="S186" s="20">
        <v>5400</v>
      </c>
      <c r="T186" s="20">
        <v>360</v>
      </c>
      <c r="U186" s="20">
        <v>180</v>
      </c>
      <c r="V186" s="20">
        <v>180</v>
      </c>
      <c r="W186" s="34">
        <v>0</v>
      </c>
      <c r="X186" s="34">
        <v>0</v>
      </c>
      <c r="Y186" s="34">
        <v>0</v>
      </c>
      <c r="Z186" s="34">
        <v>0</v>
      </c>
    </row>
    <row r="187" spans="1:26">
      <c r="A187" s="5">
        <v>16404</v>
      </c>
      <c r="B187" s="5" t="s">
        <v>43</v>
      </c>
      <c r="C187" s="5" t="s">
        <v>36</v>
      </c>
      <c r="D187" s="5">
        <v>1204</v>
      </c>
      <c r="E187" s="5">
        <v>100000</v>
      </c>
      <c r="F187" s="5" t="s">
        <v>104</v>
      </c>
      <c r="G187" s="5">
        <v>1</v>
      </c>
      <c r="H187" s="9">
        <v>300</v>
      </c>
      <c r="I187" s="9">
        <v>0</v>
      </c>
      <c r="J187" s="9">
        <v>20</v>
      </c>
      <c r="K187" s="9">
        <v>12</v>
      </c>
      <c r="L187" s="9">
        <v>12</v>
      </c>
      <c r="M187" s="5">
        <v>0</v>
      </c>
      <c r="N187" s="5">
        <v>0</v>
      </c>
      <c r="O187" s="5">
        <v>0</v>
      </c>
      <c r="P187" s="5">
        <v>0</v>
      </c>
      <c r="Q187" s="5">
        <v>4</v>
      </c>
      <c r="R187" s="20">
        <v>0</v>
      </c>
      <c r="S187" s="20">
        <v>7200</v>
      </c>
      <c r="T187" s="20">
        <v>480</v>
      </c>
      <c r="U187" s="20">
        <v>240</v>
      </c>
      <c r="V187" s="20">
        <v>240</v>
      </c>
      <c r="W187" s="34">
        <v>0</v>
      </c>
      <c r="X187" s="34">
        <v>0</v>
      </c>
      <c r="Y187" s="34">
        <v>0</v>
      </c>
      <c r="Z187" s="34">
        <v>0</v>
      </c>
    </row>
    <row r="188" spans="1:26">
      <c r="A188" s="5">
        <v>16405</v>
      </c>
      <c r="B188" s="5" t="s">
        <v>44</v>
      </c>
      <c r="C188" s="5" t="s">
        <v>37</v>
      </c>
      <c r="D188" s="5">
        <v>1205</v>
      </c>
      <c r="E188" s="5">
        <v>200000</v>
      </c>
      <c r="F188" s="5" t="s">
        <v>105</v>
      </c>
      <c r="G188" s="5">
        <v>1</v>
      </c>
      <c r="H188" s="38">
        <v>375</v>
      </c>
      <c r="I188" s="9">
        <v>0</v>
      </c>
      <c r="J188" s="9">
        <v>25</v>
      </c>
      <c r="K188" s="9">
        <v>15</v>
      </c>
      <c r="L188" s="9">
        <v>15</v>
      </c>
      <c r="M188" s="5">
        <v>0</v>
      </c>
      <c r="N188" s="5">
        <v>0</v>
      </c>
      <c r="O188" s="5">
        <v>0</v>
      </c>
      <c r="P188" s="5">
        <v>0</v>
      </c>
      <c r="Q188" s="5">
        <v>5</v>
      </c>
      <c r="R188" s="20">
        <v>0</v>
      </c>
      <c r="S188" s="20">
        <v>9000</v>
      </c>
      <c r="T188" s="20">
        <v>600</v>
      </c>
      <c r="U188" s="20">
        <v>300</v>
      </c>
      <c r="V188" s="20">
        <v>300</v>
      </c>
      <c r="W188" s="34">
        <v>0</v>
      </c>
      <c r="X188" s="34">
        <v>0</v>
      </c>
      <c r="Y188" s="34">
        <v>0</v>
      </c>
      <c r="Z188" s="34">
        <v>0</v>
      </c>
    </row>
    <row r="189" spans="1:26">
      <c r="A189" s="5">
        <v>16406</v>
      </c>
      <c r="B189" s="5" t="s">
        <v>45</v>
      </c>
      <c r="C189" s="5" t="s">
        <v>38</v>
      </c>
      <c r="D189" s="5">
        <v>1206</v>
      </c>
      <c r="E189" s="5">
        <v>300000</v>
      </c>
      <c r="F189" s="5" t="s">
        <v>106</v>
      </c>
      <c r="G189" s="5">
        <v>2</v>
      </c>
      <c r="H189" s="9">
        <v>450</v>
      </c>
      <c r="I189" s="9">
        <v>0</v>
      </c>
      <c r="J189" s="9">
        <v>30</v>
      </c>
      <c r="K189" s="9">
        <v>18</v>
      </c>
      <c r="L189" s="9">
        <v>18</v>
      </c>
      <c r="M189" s="5">
        <v>0</v>
      </c>
      <c r="N189" s="5">
        <v>0</v>
      </c>
      <c r="O189" s="5">
        <v>0</v>
      </c>
      <c r="P189" s="5">
        <v>0</v>
      </c>
      <c r="Q189" s="5">
        <v>6</v>
      </c>
      <c r="R189" s="20">
        <v>0</v>
      </c>
      <c r="S189" s="20">
        <v>10800</v>
      </c>
      <c r="T189" s="20">
        <v>720</v>
      </c>
      <c r="U189" s="20">
        <v>360</v>
      </c>
      <c r="V189" s="20">
        <v>360</v>
      </c>
      <c r="W189" s="34">
        <v>0</v>
      </c>
      <c r="X189" s="34">
        <v>0</v>
      </c>
      <c r="Y189" s="34">
        <v>0</v>
      </c>
      <c r="Z189" s="34">
        <v>0</v>
      </c>
    </row>
    <row r="190" spans="1:26">
      <c r="A190" s="5">
        <v>16407</v>
      </c>
      <c r="B190" s="5" t="s">
        <v>46</v>
      </c>
      <c r="C190" s="5" t="s">
        <v>39</v>
      </c>
      <c r="D190" s="5">
        <v>1207</v>
      </c>
      <c r="E190" s="5">
        <v>500000</v>
      </c>
      <c r="F190" s="5" t="s">
        <v>107</v>
      </c>
      <c r="G190" s="5">
        <v>2</v>
      </c>
      <c r="H190" s="9">
        <v>525</v>
      </c>
      <c r="I190" s="9">
        <v>0</v>
      </c>
      <c r="J190" s="9">
        <v>35</v>
      </c>
      <c r="K190" s="9">
        <v>21</v>
      </c>
      <c r="L190" s="9">
        <v>21</v>
      </c>
      <c r="M190" s="5">
        <v>0</v>
      </c>
      <c r="N190" s="5">
        <v>0</v>
      </c>
      <c r="O190" s="5">
        <v>0</v>
      </c>
      <c r="P190" s="5">
        <v>0</v>
      </c>
      <c r="Q190" s="5">
        <v>7</v>
      </c>
      <c r="R190" s="20">
        <v>0</v>
      </c>
      <c r="S190" s="20">
        <v>12600</v>
      </c>
      <c r="T190" s="20">
        <v>840</v>
      </c>
      <c r="U190" s="20">
        <v>420</v>
      </c>
      <c r="V190" s="20">
        <v>420</v>
      </c>
      <c r="W190" s="34">
        <v>0</v>
      </c>
      <c r="X190" s="34">
        <v>0</v>
      </c>
      <c r="Y190" s="34">
        <v>0</v>
      </c>
      <c r="Z190" s="34">
        <v>0</v>
      </c>
    </row>
    <row r="191" spans="1:26">
      <c r="A191" s="5">
        <v>16408</v>
      </c>
      <c r="B191" s="5" t="s">
        <v>47</v>
      </c>
      <c r="C191" s="5" t="s">
        <v>40</v>
      </c>
      <c r="D191" s="5">
        <v>1208</v>
      </c>
      <c r="E191" s="5">
        <v>800000</v>
      </c>
      <c r="F191" s="5" t="s">
        <v>108</v>
      </c>
      <c r="G191" s="5">
        <v>4</v>
      </c>
      <c r="H191" s="9">
        <v>600</v>
      </c>
      <c r="I191" s="9">
        <v>0</v>
      </c>
      <c r="J191" s="9">
        <v>40</v>
      </c>
      <c r="K191" s="9">
        <v>24</v>
      </c>
      <c r="L191" s="9">
        <v>24</v>
      </c>
      <c r="M191" s="5">
        <v>0</v>
      </c>
      <c r="N191" s="5">
        <v>0</v>
      </c>
      <c r="O191" s="5">
        <v>0</v>
      </c>
      <c r="P191" s="5">
        <v>0</v>
      </c>
      <c r="Q191" s="5">
        <v>8</v>
      </c>
      <c r="R191" s="20">
        <v>0</v>
      </c>
      <c r="S191" s="20">
        <v>14400</v>
      </c>
      <c r="T191" s="20">
        <v>960</v>
      </c>
      <c r="U191" s="20">
        <v>480</v>
      </c>
      <c r="V191" s="20">
        <v>480</v>
      </c>
      <c r="W191" s="34">
        <v>0</v>
      </c>
      <c r="X191" s="34">
        <v>0</v>
      </c>
      <c r="Y191" s="34">
        <v>0</v>
      </c>
      <c r="Z191" s="34">
        <v>0</v>
      </c>
    </row>
    <row r="192" spans="1:26">
      <c r="A192" s="5">
        <v>16409</v>
      </c>
      <c r="B192" s="5" t="s">
        <v>69</v>
      </c>
      <c r="C192" s="5" t="s">
        <v>32</v>
      </c>
      <c r="D192" s="5">
        <v>1209</v>
      </c>
      <c r="E192" s="5">
        <v>1200000</v>
      </c>
      <c r="F192" s="5" t="s">
        <v>109</v>
      </c>
      <c r="G192" s="5">
        <v>6</v>
      </c>
      <c r="H192" s="38">
        <v>675</v>
      </c>
      <c r="I192" s="9">
        <v>0</v>
      </c>
      <c r="J192" s="9">
        <v>45</v>
      </c>
      <c r="K192" s="9">
        <v>27</v>
      </c>
      <c r="L192" s="9">
        <v>27</v>
      </c>
      <c r="M192" s="5">
        <v>0</v>
      </c>
      <c r="N192" s="5">
        <v>0</v>
      </c>
      <c r="O192" s="5">
        <v>0</v>
      </c>
      <c r="P192" s="5">
        <v>0</v>
      </c>
      <c r="Q192" s="5">
        <v>9</v>
      </c>
      <c r="R192" s="20">
        <v>0</v>
      </c>
      <c r="S192" s="20">
        <v>16200</v>
      </c>
      <c r="T192" s="20">
        <v>1080</v>
      </c>
      <c r="U192" s="20">
        <v>540</v>
      </c>
      <c r="V192" s="20">
        <v>540</v>
      </c>
      <c r="W192" s="34">
        <v>0</v>
      </c>
      <c r="X192" s="34">
        <v>0</v>
      </c>
      <c r="Y192" s="34">
        <v>0</v>
      </c>
      <c r="Z192" s="34">
        <v>0</v>
      </c>
    </row>
    <row r="193" spans="1:26">
      <c r="A193" s="5">
        <v>16410</v>
      </c>
      <c r="B193" s="5" t="s">
        <v>71</v>
      </c>
      <c r="C193" s="5" t="s">
        <v>31</v>
      </c>
      <c r="D193" s="5">
        <v>1210</v>
      </c>
      <c r="E193" s="5">
        <v>1600000</v>
      </c>
      <c r="F193" s="5" t="s">
        <v>110</v>
      </c>
      <c r="G193" s="5">
        <v>8</v>
      </c>
      <c r="H193" s="38">
        <v>750</v>
      </c>
      <c r="I193" s="9">
        <v>0</v>
      </c>
      <c r="J193" s="9">
        <v>50</v>
      </c>
      <c r="K193" s="9">
        <v>30</v>
      </c>
      <c r="L193" s="9">
        <v>30</v>
      </c>
      <c r="M193" s="5">
        <v>0</v>
      </c>
      <c r="N193" s="5">
        <v>0</v>
      </c>
      <c r="O193" s="5">
        <v>0</v>
      </c>
      <c r="P193" s="5">
        <v>0</v>
      </c>
      <c r="Q193" s="5">
        <v>10</v>
      </c>
      <c r="R193" s="20">
        <v>0</v>
      </c>
      <c r="S193" s="20">
        <v>18000</v>
      </c>
      <c r="T193" s="20">
        <v>1200</v>
      </c>
      <c r="U193" s="20">
        <v>600</v>
      </c>
      <c r="V193" s="20">
        <v>600</v>
      </c>
      <c r="W193" s="34">
        <v>0</v>
      </c>
      <c r="X193" s="34">
        <v>0</v>
      </c>
      <c r="Y193" s="34">
        <v>0</v>
      </c>
      <c r="Z193" s="34">
        <v>0</v>
      </c>
    </row>
    <row r="194" spans="1:26">
      <c r="A194" s="5">
        <v>16411</v>
      </c>
      <c r="B194" s="5" t="s">
        <v>73</v>
      </c>
      <c r="C194" s="5" t="s">
        <v>74</v>
      </c>
      <c r="D194" s="5">
        <v>1211</v>
      </c>
      <c r="E194" s="5">
        <v>2000000</v>
      </c>
      <c r="F194" s="5" t="s">
        <v>90</v>
      </c>
      <c r="G194" s="5">
        <v>10</v>
      </c>
      <c r="H194" s="9">
        <v>825</v>
      </c>
      <c r="I194" s="9">
        <v>0</v>
      </c>
      <c r="J194" s="9">
        <v>55</v>
      </c>
      <c r="K194" s="9">
        <v>33</v>
      </c>
      <c r="L194" s="9">
        <v>33</v>
      </c>
      <c r="M194" s="5">
        <v>0</v>
      </c>
      <c r="N194" s="5">
        <v>0</v>
      </c>
      <c r="O194" s="5">
        <v>0</v>
      </c>
      <c r="P194" s="5">
        <v>0</v>
      </c>
      <c r="Q194" s="5">
        <v>11</v>
      </c>
      <c r="R194" s="20">
        <v>0</v>
      </c>
      <c r="S194" s="20">
        <v>19800</v>
      </c>
      <c r="T194" s="20">
        <v>1320</v>
      </c>
      <c r="U194" s="20">
        <v>660</v>
      </c>
      <c r="V194" s="20">
        <v>660</v>
      </c>
      <c r="W194" s="34">
        <v>0</v>
      </c>
      <c r="X194" s="34">
        <v>0</v>
      </c>
      <c r="Y194" s="34">
        <v>0</v>
      </c>
      <c r="Z194" s="34">
        <v>0</v>
      </c>
    </row>
    <row r="195" spans="1:26">
      <c r="A195" s="5">
        <v>16412</v>
      </c>
      <c r="B195" s="5" t="s">
        <v>75</v>
      </c>
      <c r="C195" s="5" t="s">
        <v>76</v>
      </c>
      <c r="D195" s="5">
        <v>1212</v>
      </c>
      <c r="E195" s="5">
        <v>2400000</v>
      </c>
      <c r="F195" s="5" t="s">
        <v>111</v>
      </c>
      <c r="G195" s="5">
        <v>12</v>
      </c>
      <c r="H195" s="9">
        <v>900</v>
      </c>
      <c r="I195" s="9">
        <v>0</v>
      </c>
      <c r="J195" s="9">
        <v>60</v>
      </c>
      <c r="K195" s="9">
        <v>36</v>
      </c>
      <c r="L195" s="9">
        <v>36</v>
      </c>
      <c r="M195" s="5">
        <v>0</v>
      </c>
      <c r="N195" s="5">
        <v>0</v>
      </c>
      <c r="O195" s="5">
        <v>0</v>
      </c>
      <c r="P195" s="5">
        <v>0</v>
      </c>
      <c r="Q195" s="5">
        <v>12</v>
      </c>
      <c r="R195" s="20">
        <v>0</v>
      </c>
      <c r="S195" s="20">
        <v>21600</v>
      </c>
      <c r="T195" s="20">
        <v>1440</v>
      </c>
      <c r="U195" s="20">
        <v>720</v>
      </c>
      <c r="V195" s="20">
        <v>720</v>
      </c>
      <c r="W195" s="34">
        <v>0</v>
      </c>
      <c r="X195" s="34">
        <v>0</v>
      </c>
      <c r="Y195" s="34">
        <v>0</v>
      </c>
      <c r="Z195" s="34">
        <v>0</v>
      </c>
    </row>
    <row r="196" spans="1:26">
      <c r="A196" s="5">
        <v>16501</v>
      </c>
      <c r="B196" s="5" t="s">
        <v>121</v>
      </c>
      <c r="C196" s="5" t="s">
        <v>33</v>
      </c>
      <c r="D196" s="5">
        <v>1201</v>
      </c>
      <c r="E196" s="5">
        <v>10000</v>
      </c>
      <c r="F196" s="5" t="s">
        <v>101</v>
      </c>
      <c r="G196" s="5">
        <v>0</v>
      </c>
      <c r="H196" s="37">
        <v>75</v>
      </c>
      <c r="I196" s="9">
        <v>0</v>
      </c>
      <c r="J196" s="9">
        <v>5</v>
      </c>
      <c r="K196" s="9">
        <v>3</v>
      </c>
      <c r="L196" s="9">
        <v>3</v>
      </c>
      <c r="M196" s="5">
        <v>0</v>
      </c>
      <c r="N196" s="5">
        <v>0</v>
      </c>
      <c r="O196" s="5">
        <v>0</v>
      </c>
      <c r="P196" s="5">
        <v>0</v>
      </c>
      <c r="Q196" s="5">
        <v>1</v>
      </c>
      <c r="R196" s="20">
        <v>0</v>
      </c>
      <c r="S196" s="20">
        <v>1800</v>
      </c>
      <c r="T196" s="20">
        <v>120</v>
      </c>
      <c r="U196" s="20">
        <v>60</v>
      </c>
      <c r="V196" s="20">
        <v>60</v>
      </c>
      <c r="W196" s="34">
        <v>0</v>
      </c>
      <c r="X196" s="34">
        <v>0</v>
      </c>
      <c r="Y196" s="34">
        <v>0</v>
      </c>
      <c r="Z196" s="34">
        <v>0</v>
      </c>
    </row>
    <row r="197" spans="1:26">
      <c r="A197" s="5">
        <v>16502</v>
      </c>
      <c r="B197" s="5" t="s">
        <v>41</v>
      </c>
      <c r="C197" s="5" t="s">
        <v>34</v>
      </c>
      <c r="D197" s="5">
        <v>1202</v>
      </c>
      <c r="E197" s="5">
        <v>30000</v>
      </c>
      <c r="F197" s="5" t="s">
        <v>102</v>
      </c>
      <c r="G197" s="5">
        <v>0</v>
      </c>
      <c r="H197" s="9">
        <v>150</v>
      </c>
      <c r="I197" s="9">
        <v>0</v>
      </c>
      <c r="J197" s="9">
        <v>10</v>
      </c>
      <c r="K197" s="9">
        <v>6</v>
      </c>
      <c r="L197" s="9">
        <v>6</v>
      </c>
      <c r="M197" s="5">
        <v>0</v>
      </c>
      <c r="N197" s="5">
        <v>0</v>
      </c>
      <c r="O197" s="5">
        <v>0</v>
      </c>
      <c r="P197" s="5">
        <v>0</v>
      </c>
      <c r="Q197" s="5">
        <v>2</v>
      </c>
      <c r="R197" s="20">
        <v>0</v>
      </c>
      <c r="S197" s="20">
        <v>3600</v>
      </c>
      <c r="T197" s="20">
        <v>240</v>
      </c>
      <c r="U197" s="20">
        <v>120</v>
      </c>
      <c r="V197" s="20">
        <v>120</v>
      </c>
      <c r="W197" s="34">
        <v>0</v>
      </c>
      <c r="X197" s="34">
        <v>0</v>
      </c>
      <c r="Y197" s="34">
        <v>0</v>
      </c>
      <c r="Z197" s="34">
        <v>0</v>
      </c>
    </row>
    <row r="198" spans="1:26">
      <c r="A198" s="5">
        <v>16503</v>
      </c>
      <c r="B198" s="5" t="s">
        <v>42</v>
      </c>
      <c r="C198" s="5" t="s">
        <v>35</v>
      </c>
      <c r="D198" s="5">
        <v>1203</v>
      </c>
      <c r="E198" s="5">
        <v>50000</v>
      </c>
      <c r="F198" s="5" t="s">
        <v>103</v>
      </c>
      <c r="G198" s="5">
        <v>0</v>
      </c>
      <c r="H198" s="9">
        <v>225</v>
      </c>
      <c r="I198" s="9">
        <v>0</v>
      </c>
      <c r="J198" s="9">
        <v>15</v>
      </c>
      <c r="K198" s="9">
        <v>9</v>
      </c>
      <c r="L198" s="9">
        <v>9</v>
      </c>
      <c r="M198" s="5">
        <v>0</v>
      </c>
      <c r="N198" s="5">
        <v>0</v>
      </c>
      <c r="O198" s="5">
        <v>0</v>
      </c>
      <c r="P198" s="5">
        <v>0</v>
      </c>
      <c r="Q198" s="5">
        <v>3</v>
      </c>
      <c r="R198" s="20">
        <v>0</v>
      </c>
      <c r="S198" s="20">
        <v>5400</v>
      </c>
      <c r="T198" s="20">
        <v>360</v>
      </c>
      <c r="U198" s="20">
        <v>180</v>
      </c>
      <c r="V198" s="20">
        <v>180</v>
      </c>
      <c r="W198" s="34">
        <v>0</v>
      </c>
      <c r="X198" s="34">
        <v>0</v>
      </c>
      <c r="Y198" s="34">
        <v>0</v>
      </c>
      <c r="Z198" s="34">
        <v>0</v>
      </c>
    </row>
    <row r="199" spans="1:26">
      <c r="A199" s="5">
        <v>16504</v>
      </c>
      <c r="B199" s="5" t="s">
        <v>43</v>
      </c>
      <c r="C199" s="5" t="s">
        <v>36</v>
      </c>
      <c r="D199" s="5">
        <v>1204</v>
      </c>
      <c r="E199" s="5">
        <v>100000</v>
      </c>
      <c r="F199" s="5" t="s">
        <v>104</v>
      </c>
      <c r="G199" s="5">
        <v>1</v>
      </c>
      <c r="H199" s="9">
        <v>300</v>
      </c>
      <c r="I199" s="9">
        <v>0</v>
      </c>
      <c r="J199" s="9">
        <v>20</v>
      </c>
      <c r="K199" s="9">
        <v>12</v>
      </c>
      <c r="L199" s="9">
        <v>12</v>
      </c>
      <c r="M199" s="5">
        <v>0</v>
      </c>
      <c r="N199" s="5">
        <v>0</v>
      </c>
      <c r="O199" s="5">
        <v>0</v>
      </c>
      <c r="P199" s="5">
        <v>0</v>
      </c>
      <c r="Q199" s="5">
        <v>4</v>
      </c>
      <c r="R199" s="20">
        <v>0</v>
      </c>
      <c r="S199" s="20">
        <v>7200</v>
      </c>
      <c r="T199" s="20">
        <v>480</v>
      </c>
      <c r="U199" s="20">
        <v>240</v>
      </c>
      <c r="V199" s="20">
        <v>240</v>
      </c>
      <c r="W199" s="34">
        <v>0</v>
      </c>
      <c r="X199" s="34">
        <v>0</v>
      </c>
      <c r="Y199" s="34">
        <v>0</v>
      </c>
      <c r="Z199" s="34">
        <v>0</v>
      </c>
    </row>
    <row r="200" spans="1:26">
      <c r="A200" s="5">
        <v>16505</v>
      </c>
      <c r="B200" s="5" t="s">
        <v>44</v>
      </c>
      <c r="C200" s="5" t="s">
        <v>37</v>
      </c>
      <c r="D200" s="5">
        <v>1205</v>
      </c>
      <c r="E200" s="5">
        <v>200000</v>
      </c>
      <c r="F200" s="5" t="s">
        <v>105</v>
      </c>
      <c r="G200" s="5">
        <v>1</v>
      </c>
      <c r="H200" s="38">
        <v>375</v>
      </c>
      <c r="I200" s="9">
        <v>0</v>
      </c>
      <c r="J200" s="9">
        <v>25</v>
      </c>
      <c r="K200" s="9">
        <v>15</v>
      </c>
      <c r="L200" s="9">
        <v>15</v>
      </c>
      <c r="M200" s="5">
        <v>0</v>
      </c>
      <c r="N200" s="5">
        <v>0</v>
      </c>
      <c r="O200" s="5">
        <v>0</v>
      </c>
      <c r="P200" s="5">
        <v>0</v>
      </c>
      <c r="Q200" s="5">
        <v>5</v>
      </c>
      <c r="R200" s="20">
        <v>0</v>
      </c>
      <c r="S200" s="20">
        <v>9000</v>
      </c>
      <c r="T200" s="20">
        <v>600</v>
      </c>
      <c r="U200" s="20">
        <v>300</v>
      </c>
      <c r="V200" s="20">
        <v>300</v>
      </c>
      <c r="W200" s="34">
        <v>0</v>
      </c>
      <c r="X200" s="34">
        <v>0</v>
      </c>
      <c r="Y200" s="34">
        <v>0</v>
      </c>
      <c r="Z200" s="34">
        <v>0</v>
      </c>
    </row>
    <row r="201" spans="1:26">
      <c r="A201" s="5">
        <v>16506</v>
      </c>
      <c r="B201" s="5" t="s">
        <v>45</v>
      </c>
      <c r="C201" s="5" t="s">
        <v>38</v>
      </c>
      <c r="D201" s="5">
        <v>1206</v>
      </c>
      <c r="E201" s="5">
        <v>300000</v>
      </c>
      <c r="F201" s="5" t="s">
        <v>106</v>
      </c>
      <c r="G201" s="5">
        <v>2</v>
      </c>
      <c r="H201" s="9">
        <v>450</v>
      </c>
      <c r="I201" s="9">
        <v>0</v>
      </c>
      <c r="J201" s="9">
        <v>30</v>
      </c>
      <c r="K201" s="9">
        <v>18</v>
      </c>
      <c r="L201" s="9">
        <v>18</v>
      </c>
      <c r="M201" s="5">
        <v>0</v>
      </c>
      <c r="N201" s="5">
        <v>0</v>
      </c>
      <c r="O201" s="5">
        <v>0</v>
      </c>
      <c r="P201" s="5">
        <v>0</v>
      </c>
      <c r="Q201" s="5">
        <v>6</v>
      </c>
      <c r="R201" s="20">
        <v>0</v>
      </c>
      <c r="S201" s="20">
        <v>10800</v>
      </c>
      <c r="T201" s="20">
        <v>720</v>
      </c>
      <c r="U201" s="20">
        <v>360</v>
      </c>
      <c r="V201" s="20">
        <v>360</v>
      </c>
      <c r="W201" s="34">
        <v>0</v>
      </c>
      <c r="X201" s="34">
        <v>0</v>
      </c>
      <c r="Y201" s="34">
        <v>0</v>
      </c>
      <c r="Z201" s="34">
        <v>0</v>
      </c>
    </row>
    <row r="202" spans="1:26">
      <c r="A202" s="5">
        <v>16507</v>
      </c>
      <c r="B202" s="5" t="s">
        <v>46</v>
      </c>
      <c r="C202" s="5" t="s">
        <v>39</v>
      </c>
      <c r="D202" s="5">
        <v>1207</v>
      </c>
      <c r="E202" s="5">
        <v>500000</v>
      </c>
      <c r="F202" s="5" t="s">
        <v>107</v>
      </c>
      <c r="G202" s="5">
        <v>2</v>
      </c>
      <c r="H202" s="9">
        <v>525</v>
      </c>
      <c r="I202" s="9">
        <v>0</v>
      </c>
      <c r="J202" s="9">
        <v>35</v>
      </c>
      <c r="K202" s="9">
        <v>21</v>
      </c>
      <c r="L202" s="9">
        <v>21</v>
      </c>
      <c r="M202" s="5">
        <v>0</v>
      </c>
      <c r="N202" s="5">
        <v>0</v>
      </c>
      <c r="O202" s="5">
        <v>0</v>
      </c>
      <c r="P202" s="5">
        <v>0</v>
      </c>
      <c r="Q202" s="5">
        <v>7</v>
      </c>
      <c r="R202" s="20">
        <v>0</v>
      </c>
      <c r="S202" s="20">
        <v>12600</v>
      </c>
      <c r="T202" s="20">
        <v>840</v>
      </c>
      <c r="U202" s="20">
        <v>420</v>
      </c>
      <c r="V202" s="20">
        <v>420</v>
      </c>
      <c r="W202" s="34">
        <v>0</v>
      </c>
      <c r="X202" s="34">
        <v>0</v>
      </c>
      <c r="Y202" s="34">
        <v>0</v>
      </c>
      <c r="Z202" s="34">
        <v>0</v>
      </c>
    </row>
    <row r="203" spans="1:26">
      <c r="A203" s="5">
        <v>16508</v>
      </c>
      <c r="B203" s="5" t="s">
        <v>47</v>
      </c>
      <c r="C203" s="5" t="s">
        <v>40</v>
      </c>
      <c r="D203" s="5">
        <v>1208</v>
      </c>
      <c r="E203" s="5">
        <v>800000</v>
      </c>
      <c r="F203" s="5" t="s">
        <v>108</v>
      </c>
      <c r="G203" s="5">
        <v>4</v>
      </c>
      <c r="H203" s="9">
        <v>600</v>
      </c>
      <c r="I203" s="9">
        <v>0</v>
      </c>
      <c r="J203" s="9">
        <v>40</v>
      </c>
      <c r="K203" s="9">
        <v>24</v>
      </c>
      <c r="L203" s="9">
        <v>24</v>
      </c>
      <c r="M203" s="5">
        <v>0</v>
      </c>
      <c r="N203" s="5">
        <v>0</v>
      </c>
      <c r="O203" s="5">
        <v>0</v>
      </c>
      <c r="P203" s="5">
        <v>0</v>
      </c>
      <c r="Q203" s="5">
        <v>8</v>
      </c>
      <c r="R203" s="20">
        <v>0</v>
      </c>
      <c r="S203" s="20">
        <v>14400</v>
      </c>
      <c r="T203" s="20">
        <v>960</v>
      </c>
      <c r="U203" s="20">
        <v>480</v>
      </c>
      <c r="V203" s="20">
        <v>480</v>
      </c>
      <c r="W203" s="34">
        <v>0</v>
      </c>
      <c r="X203" s="34">
        <v>0</v>
      </c>
      <c r="Y203" s="34">
        <v>0</v>
      </c>
      <c r="Z203" s="34">
        <v>0</v>
      </c>
    </row>
    <row r="204" spans="1:26">
      <c r="A204" s="5">
        <v>16509</v>
      </c>
      <c r="B204" s="26" t="s">
        <v>69</v>
      </c>
      <c r="C204" s="26" t="s">
        <v>32</v>
      </c>
      <c r="D204" s="26">
        <v>1209</v>
      </c>
      <c r="E204" s="26">
        <v>1200000</v>
      </c>
      <c r="F204" s="26" t="s">
        <v>109</v>
      </c>
      <c r="G204" s="26">
        <v>6</v>
      </c>
      <c r="H204" s="38">
        <v>675</v>
      </c>
      <c r="I204" s="9">
        <v>0</v>
      </c>
      <c r="J204" s="9">
        <v>45</v>
      </c>
      <c r="K204" s="9">
        <v>27</v>
      </c>
      <c r="L204" s="9">
        <v>27</v>
      </c>
      <c r="M204" s="26">
        <v>0</v>
      </c>
      <c r="N204" s="26">
        <v>0</v>
      </c>
      <c r="O204" s="26">
        <v>0</v>
      </c>
      <c r="P204" s="26">
        <v>0</v>
      </c>
      <c r="Q204" s="5">
        <v>9</v>
      </c>
      <c r="R204" s="20">
        <v>0</v>
      </c>
      <c r="S204" s="20">
        <v>16200</v>
      </c>
      <c r="T204" s="20">
        <v>1080</v>
      </c>
      <c r="U204" s="20">
        <v>540</v>
      </c>
      <c r="V204" s="20">
        <v>540</v>
      </c>
      <c r="W204" s="35">
        <v>0</v>
      </c>
      <c r="X204" s="35">
        <v>0</v>
      </c>
      <c r="Y204" s="35">
        <v>0</v>
      </c>
      <c r="Z204" s="35">
        <v>0</v>
      </c>
    </row>
    <row r="205" spans="1:26">
      <c r="A205" s="5">
        <v>16510</v>
      </c>
      <c r="B205" s="26" t="s">
        <v>71</v>
      </c>
      <c r="C205" s="26" t="s">
        <v>31</v>
      </c>
      <c r="D205" s="26">
        <v>1210</v>
      </c>
      <c r="E205" s="26">
        <v>1600000</v>
      </c>
      <c r="F205" s="26" t="s">
        <v>110</v>
      </c>
      <c r="G205" s="26">
        <v>8</v>
      </c>
      <c r="H205" s="38">
        <v>750</v>
      </c>
      <c r="I205" s="9">
        <v>0</v>
      </c>
      <c r="J205" s="9">
        <v>50</v>
      </c>
      <c r="K205" s="9">
        <v>30</v>
      </c>
      <c r="L205" s="9">
        <v>30</v>
      </c>
      <c r="M205" s="26">
        <v>0</v>
      </c>
      <c r="N205" s="26">
        <v>0</v>
      </c>
      <c r="O205" s="26">
        <v>0</v>
      </c>
      <c r="P205" s="26">
        <v>0</v>
      </c>
      <c r="Q205" s="5">
        <v>10</v>
      </c>
      <c r="R205" s="20">
        <v>0</v>
      </c>
      <c r="S205" s="20">
        <v>18000</v>
      </c>
      <c r="T205" s="20">
        <v>1200</v>
      </c>
      <c r="U205" s="20">
        <v>600</v>
      </c>
      <c r="V205" s="20">
        <v>600</v>
      </c>
      <c r="W205" s="35">
        <v>0</v>
      </c>
      <c r="X205" s="35">
        <v>0</v>
      </c>
      <c r="Y205" s="35">
        <v>0</v>
      </c>
      <c r="Z205" s="35">
        <v>0</v>
      </c>
    </row>
    <row r="206" spans="1:26">
      <c r="A206" s="5">
        <v>16511</v>
      </c>
      <c r="B206" s="26" t="s">
        <v>73</v>
      </c>
      <c r="C206" s="26" t="s">
        <v>74</v>
      </c>
      <c r="D206" s="26">
        <v>1211</v>
      </c>
      <c r="E206" s="26">
        <v>2000000</v>
      </c>
      <c r="F206" s="27" t="s">
        <v>90</v>
      </c>
      <c r="G206" s="26">
        <v>10</v>
      </c>
      <c r="H206" s="9">
        <v>825</v>
      </c>
      <c r="I206" s="9">
        <v>0</v>
      </c>
      <c r="J206" s="9">
        <v>55</v>
      </c>
      <c r="K206" s="9">
        <v>33</v>
      </c>
      <c r="L206" s="9">
        <v>33</v>
      </c>
      <c r="M206" s="26">
        <v>0</v>
      </c>
      <c r="N206" s="26">
        <v>0</v>
      </c>
      <c r="O206" s="26">
        <v>0</v>
      </c>
      <c r="P206" s="26">
        <v>0</v>
      </c>
      <c r="Q206" s="5">
        <v>11</v>
      </c>
      <c r="R206" s="20">
        <v>0</v>
      </c>
      <c r="S206" s="20">
        <v>19800</v>
      </c>
      <c r="T206" s="20">
        <v>1320</v>
      </c>
      <c r="U206" s="20">
        <v>660</v>
      </c>
      <c r="V206" s="20">
        <v>660</v>
      </c>
      <c r="W206" s="35">
        <v>0</v>
      </c>
      <c r="X206" s="35">
        <v>0</v>
      </c>
      <c r="Y206" s="35">
        <v>0</v>
      </c>
      <c r="Z206" s="35">
        <v>0</v>
      </c>
    </row>
    <row r="207" spans="1:26">
      <c r="A207" s="28">
        <v>16512</v>
      </c>
      <c r="B207" s="29" t="s">
        <v>75</v>
      </c>
      <c r="C207" s="29" t="s">
        <v>76</v>
      </c>
      <c r="D207" s="29">
        <v>1212</v>
      </c>
      <c r="E207" s="29">
        <v>2400000</v>
      </c>
      <c r="F207" s="30" t="s">
        <v>111</v>
      </c>
      <c r="G207" s="29">
        <v>12</v>
      </c>
      <c r="H207" s="9">
        <v>900</v>
      </c>
      <c r="I207" s="9">
        <v>0</v>
      </c>
      <c r="J207" s="9">
        <v>60</v>
      </c>
      <c r="K207" s="9">
        <v>36</v>
      </c>
      <c r="L207" s="9">
        <v>36</v>
      </c>
      <c r="M207" s="29">
        <v>0</v>
      </c>
      <c r="N207" s="29">
        <v>0</v>
      </c>
      <c r="O207" s="29">
        <v>0</v>
      </c>
      <c r="P207" s="29">
        <v>0</v>
      </c>
      <c r="Q207" s="28">
        <v>12</v>
      </c>
      <c r="R207" s="31">
        <v>0</v>
      </c>
      <c r="S207" s="31">
        <v>21600</v>
      </c>
      <c r="T207" s="31">
        <v>1440</v>
      </c>
      <c r="U207" s="31">
        <v>720</v>
      </c>
      <c r="V207" s="31">
        <v>720</v>
      </c>
      <c r="W207" s="36">
        <v>0</v>
      </c>
      <c r="X207" s="36">
        <v>0</v>
      </c>
      <c r="Y207" s="36">
        <v>0</v>
      </c>
      <c r="Z207" s="36">
        <v>0</v>
      </c>
    </row>
    <row r="208" spans="1:26" s="32" customFormat="1">
      <c r="A208" s="22">
        <v>5101</v>
      </c>
      <c r="B208" s="10" t="s">
        <v>123</v>
      </c>
      <c r="C208" s="10" t="s">
        <v>33</v>
      </c>
      <c r="D208" s="10">
        <v>1201</v>
      </c>
      <c r="E208" s="10">
        <v>10000</v>
      </c>
      <c r="F208" s="23" t="s">
        <v>112</v>
      </c>
      <c r="G208" s="10">
        <v>0</v>
      </c>
      <c r="H208" s="24">
        <v>60</v>
      </c>
      <c r="I208" s="10">
        <v>0</v>
      </c>
      <c r="J208" s="24">
        <v>4</v>
      </c>
      <c r="K208" s="24">
        <v>2</v>
      </c>
      <c r="L208" s="24">
        <v>2</v>
      </c>
      <c r="M208" s="10">
        <v>0</v>
      </c>
      <c r="N208" s="10">
        <v>0</v>
      </c>
      <c r="O208" s="10">
        <v>0</v>
      </c>
      <c r="P208" s="10">
        <v>0</v>
      </c>
      <c r="Q208" s="10">
        <v>1</v>
      </c>
      <c r="R208" s="25">
        <v>0</v>
      </c>
      <c r="S208" s="25">
        <v>1800</v>
      </c>
      <c r="T208" s="25">
        <v>120</v>
      </c>
      <c r="U208" s="25">
        <v>60</v>
      </c>
      <c r="V208" s="25">
        <v>60</v>
      </c>
      <c r="W208" s="33">
        <v>0</v>
      </c>
      <c r="X208" s="33">
        <v>0</v>
      </c>
      <c r="Y208" s="33">
        <v>0</v>
      </c>
      <c r="Z208" s="33">
        <v>0</v>
      </c>
    </row>
    <row r="209" spans="1:26" s="32" customFormat="1">
      <c r="A209" s="22">
        <v>5102</v>
      </c>
      <c r="B209" s="10" t="s">
        <v>124</v>
      </c>
      <c r="C209" s="10" t="s">
        <v>34</v>
      </c>
      <c r="D209" s="10">
        <v>1202</v>
      </c>
      <c r="E209" s="10">
        <v>30000</v>
      </c>
      <c r="F209" s="23" t="s">
        <v>113</v>
      </c>
      <c r="G209" s="10">
        <v>0</v>
      </c>
      <c r="H209" s="24">
        <v>120</v>
      </c>
      <c r="I209" s="10">
        <v>0</v>
      </c>
      <c r="J209" s="24">
        <v>8</v>
      </c>
      <c r="K209" s="24">
        <v>4</v>
      </c>
      <c r="L209" s="24">
        <v>4</v>
      </c>
      <c r="M209" s="10">
        <v>0</v>
      </c>
      <c r="N209" s="10">
        <v>0</v>
      </c>
      <c r="O209" s="10">
        <v>0</v>
      </c>
      <c r="P209" s="10">
        <v>0</v>
      </c>
      <c r="Q209" s="10">
        <v>2</v>
      </c>
      <c r="R209" s="25">
        <v>0</v>
      </c>
      <c r="S209" s="25">
        <v>3600</v>
      </c>
      <c r="T209" s="25">
        <v>240</v>
      </c>
      <c r="U209" s="25">
        <v>120</v>
      </c>
      <c r="V209" s="25">
        <v>120</v>
      </c>
      <c r="W209" s="33">
        <v>0</v>
      </c>
      <c r="X209" s="33">
        <v>0</v>
      </c>
      <c r="Y209" s="33">
        <v>0</v>
      </c>
      <c r="Z209" s="33">
        <v>0</v>
      </c>
    </row>
    <row r="210" spans="1:26" s="32" customFormat="1">
      <c r="A210" s="22">
        <v>5103</v>
      </c>
      <c r="B210" s="10" t="s">
        <v>125</v>
      </c>
      <c r="C210" s="10" t="s">
        <v>35</v>
      </c>
      <c r="D210" s="10">
        <v>1203</v>
      </c>
      <c r="E210" s="10">
        <v>50000</v>
      </c>
      <c r="F210" s="23" t="s">
        <v>29</v>
      </c>
      <c r="G210" s="10">
        <v>0</v>
      </c>
      <c r="H210" s="24">
        <v>180</v>
      </c>
      <c r="I210" s="10">
        <v>0</v>
      </c>
      <c r="J210" s="24">
        <v>12</v>
      </c>
      <c r="K210" s="24">
        <v>6</v>
      </c>
      <c r="L210" s="24">
        <v>6</v>
      </c>
      <c r="M210" s="10">
        <v>0</v>
      </c>
      <c r="N210" s="10">
        <v>0</v>
      </c>
      <c r="O210" s="10">
        <v>0</v>
      </c>
      <c r="P210" s="10">
        <v>0</v>
      </c>
      <c r="Q210" s="10">
        <v>3</v>
      </c>
      <c r="R210" s="25">
        <v>0</v>
      </c>
      <c r="S210" s="25">
        <v>5400</v>
      </c>
      <c r="T210" s="25">
        <v>360</v>
      </c>
      <c r="U210" s="25">
        <v>180</v>
      </c>
      <c r="V210" s="25">
        <v>180</v>
      </c>
      <c r="W210" s="33">
        <v>0</v>
      </c>
      <c r="X210" s="33">
        <v>0</v>
      </c>
      <c r="Y210" s="33">
        <v>0</v>
      </c>
      <c r="Z210" s="33">
        <v>0</v>
      </c>
    </row>
    <row r="211" spans="1:26" s="32" customFormat="1">
      <c r="A211" s="22">
        <v>5104</v>
      </c>
      <c r="B211" s="10" t="s">
        <v>126</v>
      </c>
      <c r="C211" s="10" t="s">
        <v>36</v>
      </c>
      <c r="D211" s="10">
        <v>1204</v>
      </c>
      <c r="E211" s="10">
        <v>100000</v>
      </c>
      <c r="F211" s="23" t="s">
        <v>84</v>
      </c>
      <c r="G211" s="10">
        <v>0</v>
      </c>
      <c r="H211" s="24">
        <v>240</v>
      </c>
      <c r="I211" s="10">
        <v>0</v>
      </c>
      <c r="J211" s="24">
        <v>16</v>
      </c>
      <c r="K211" s="24">
        <v>8</v>
      </c>
      <c r="L211" s="24">
        <v>8</v>
      </c>
      <c r="M211" s="10">
        <v>0</v>
      </c>
      <c r="N211" s="10">
        <v>0</v>
      </c>
      <c r="O211" s="10">
        <v>0</v>
      </c>
      <c r="P211" s="10">
        <v>0</v>
      </c>
      <c r="Q211" s="10">
        <v>4</v>
      </c>
      <c r="R211" s="25">
        <v>0</v>
      </c>
      <c r="S211" s="25">
        <v>7200</v>
      </c>
      <c r="T211" s="25">
        <v>480</v>
      </c>
      <c r="U211" s="25">
        <v>240</v>
      </c>
      <c r="V211" s="25">
        <v>240</v>
      </c>
      <c r="W211" s="33">
        <v>0</v>
      </c>
      <c r="X211" s="33">
        <v>0</v>
      </c>
      <c r="Y211" s="33">
        <v>0</v>
      </c>
      <c r="Z211" s="33">
        <v>0</v>
      </c>
    </row>
    <row r="212" spans="1:26" s="32" customFormat="1">
      <c r="A212" s="22">
        <v>5105</v>
      </c>
      <c r="B212" s="10" t="s">
        <v>127</v>
      </c>
      <c r="C212" s="10" t="s">
        <v>37</v>
      </c>
      <c r="D212" s="10">
        <v>1205</v>
      </c>
      <c r="E212" s="10">
        <v>200000</v>
      </c>
      <c r="F212" s="23" t="s">
        <v>85</v>
      </c>
      <c r="G212" s="10">
        <v>0</v>
      </c>
      <c r="H212" s="24">
        <v>300</v>
      </c>
      <c r="I212" s="10">
        <v>0</v>
      </c>
      <c r="J212" s="24">
        <v>20</v>
      </c>
      <c r="K212" s="24">
        <v>10</v>
      </c>
      <c r="L212" s="24">
        <v>10</v>
      </c>
      <c r="M212" s="10">
        <v>0</v>
      </c>
      <c r="N212" s="10">
        <v>0</v>
      </c>
      <c r="O212" s="10">
        <v>0</v>
      </c>
      <c r="P212" s="10">
        <v>0</v>
      </c>
      <c r="Q212" s="10">
        <v>5</v>
      </c>
      <c r="R212" s="25">
        <v>0</v>
      </c>
      <c r="S212" s="25">
        <v>9000</v>
      </c>
      <c r="T212" s="25">
        <v>600</v>
      </c>
      <c r="U212" s="25">
        <v>300</v>
      </c>
      <c r="V212" s="25">
        <v>300</v>
      </c>
      <c r="W212" s="33">
        <v>0</v>
      </c>
      <c r="X212" s="33">
        <v>0</v>
      </c>
      <c r="Y212" s="33">
        <v>0</v>
      </c>
      <c r="Z212" s="33">
        <v>0</v>
      </c>
    </row>
    <row r="213" spans="1:26" s="32" customFormat="1">
      <c r="A213" s="22">
        <v>5106</v>
      </c>
      <c r="B213" s="10" t="s">
        <v>128</v>
      </c>
      <c r="C213" s="10" t="s">
        <v>38</v>
      </c>
      <c r="D213" s="10">
        <v>1206</v>
      </c>
      <c r="E213" s="10">
        <v>300000</v>
      </c>
      <c r="F213" s="23" t="s">
        <v>86</v>
      </c>
      <c r="G213" s="10">
        <v>0</v>
      </c>
      <c r="H213" s="24">
        <v>360</v>
      </c>
      <c r="I213" s="10">
        <v>0</v>
      </c>
      <c r="J213" s="24">
        <v>24</v>
      </c>
      <c r="K213" s="24">
        <v>12</v>
      </c>
      <c r="L213" s="24">
        <v>12</v>
      </c>
      <c r="M213" s="10">
        <v>0</v>
      </c>
      <c r="N213" s="10">
        <v>0</v>
      </c>
      <c r="O213" s="10">
        <v>0</v>
      </c>
      <c r="P213" s="10">
        <v>0</v>
      </c>
      <c r="Q213" s="10">
        <v>6</v>
      </c>
      <c r="R213" s="25">
        <v>0</v>
      </c>
      <c r="S213" s="25">
        <v>10800</v>
      </c>
      <c r="T213" s="25">
        <v>720</v>
      </c>
      <c r="U213" s="25">
        <v>360</v>
      </c>
      <c r="V213" s="25">
        <v>360</v>
      </c>
      <c r="W213" s="33">
        <v>0</v>
      </c>
      <c r="X213" s="33">
        <v>0</v>
      </c>
      <c r="Y213" s="33">
        <v>0</v>
      </c>
      <c r="Z213" s="33">
        <v>0</v>
      </c>
    </row>
    <row r="214" spans="1:26" s="32" customFormat="1">
      <c r="A214" s="10">
        <v>5107</v>
      </c>
      <c r="B214" s="10" t="s">
        <v>129</v>
      </c>
      <c r="C214" s="10" t="s">
        <v>39</v>
      </c>
      <c r="D214" s="10">
        <v>1207</v>
      </c>
      <c r="E214" s="10">
        <v>500000</v>
      </c>
      <c r="F214" s="10" t="s">
        <v>87</v>
      </c>
      <c r="G214" s="10">
        <v>0</v>
      </c>
      <c r="H214" s="10">
        <v>420</v>
      </c>
      <c r="I214" s="10">
        <v>0</v>
      </c>
      <c r="J214" s="10">
        <v>28</v>
      </c>
      <c r="K214" s="10">
        <v>14</v>
      </c>
      <c r="L214" s="10">
        <v>14</v>
      </c>
      <c r="M214" s="10">
        <v>0</v>
      </c>
      <c r="N214" s="10">
        <v>0</v>
      </c>
      <c r="O214" s="10">
        <v>0</v>
      </c>
      <c r="P214" s="10">
        <v>0</v>
      </c>
      <c r="Q214" s="10">
        <v>7</v>
      </c>
      <c r="R214" s="25">
        <v>0</v>
      </c>
      <c r="S214" s="25">
        <v>12600</v>
      </c>
      <c r="T214" s="25">
        <v>840</v>
      </c>
      <c r="U214" s="25">
        <v>420</v>
      </c>
      <c r="V214" s="25">
        <v>420</v>
      </c>
      <c r="W214" s="33">
        <v>0</v>
      </c>
      <c r="X214" s="33">
        <v>0</v>
      </c>
      <c r="Y214" s="33">
        <v>0</v>
      </c>
      <c r="Z214" s="33">
        <v>0</v>
      </c>
    </row>
    <row r="215" spans="1:26" s="32" customFormat="1">
      <c r="A215" s="10">
        <v>5108</v>
      </c>
      <c r="B215" s="10" t="s">
        <v>130</v>
      </c>
      <c r="C215" s="10" t="s">
        <v>40</v>
      </c>
      <c r="D215" s="10">
        <v>1208</v>
      </c>
      <c r="E215" s="10">
        <v>800000</v>
      </c>
      <c r="F215" s="10" t="s">
        <v>88</v>
      </c>
      <c r="G215" s="10">
        <v>0</v>
      </c>
      <c r="H215" s="10">
        <v>480</v>
      </c>
      <c r="I215" s="10">
        <v>0</v>
      </c>
      <c r="J215" s="10">
        <v>32</v>
      </c>
      <c r="K215" s="10">
        <v>16</v>
      </c>
      <c r="L215" s="10">
        <v>16</v>
      </c>
      <c r="M215" s="10">
        <v>0</v>
      </c>
      <c r="N215" s="10">
        <v>0</v>
      </c>
      <c r="O215" s="10">
        <v>0</v>
      </c>
      <c r="P215" s="10">
        <v>0</v>
      </c>
      <c r="Q215" s="10">
        <v>8</v>
      </c>
      <c r="R215" s="25">
        <v>0</v>
      </c>
      <c r="S215" s="25">
        <v>14400</v>
      </c>
      <c r="T215" s="25">
        <v>960</v>
      </c>
      <c r="U215" s="25">
        <v>480</v>
      </c>
      <c r="V215" s="25">
        <v>480</v>
      </c>
      <c r="W215" s="33">
        <v>0</v>
      </c>
      <c r="X215" s="33">
        <v>0</v>
      </c>
      <c r="Y215" s="33">
        <v>0</v>
      </c>
      <c r="Z215" s="33">
        <v>0</v>
      </c>
    </row>
    <row r="216" spans="1:26" s="32" customFormat="1">
      <c r="A216" s="10">
        <v>5109</v>
      </c>
      <c r="B216" s="10" t="s">
        <v>131</v>
      </c>
      <c r="C216" s="10" t="s">
        <v>32</v>
      </c>
      <c r="D216" s="10">
        <v>1209</v>
      </c>
      <c r="E216" s="10">
        <v>1200000</v>
      </c>
      <c r="F216" s="10" t="s">
        <v>89</v>
      </c>
      <c r="G216" s="10">
        <v>0</v>
      </c>
      <c r="H216" s="10">
        <v>540</v>
      </c>
      <c r="I216" s="10">
        <v>0</v>
      </c>
      <c r="J216" s="10">
        <v>36</v>
      </c>
      <c r="K216" s="10">
        <v>18</v>
      </c>
      <c r="L216" s="10">
        <v>18</v>
      </c>
      <c r="M216" s="10">
        <v>0</v>
      </c>
      <c r="N216" s="10">
        <v>0</v>
      </c>
      <c r="O216" s="10">
        <v>0</v>
      </c>
      <c r="P216" s="10">
        <v>0</v>
      </c>
      <c r="Q216" s="10">
        <v>9</v>
      </c>
      <c r="R216" s="25">
        <v>0</v>
      </c>
      <c r="S216" s="25">
        <v>16200</v>
      </c>
      <c r="T216" s="25">
        <v>1080</v>
      </c>
      <c r="U216" s="25">
        <v>540</v>
      </c>
      <c r="V216" s="25">
        <v>540</v>
      </c>
      <c r="W216" s="33">
        <v>0</v>
      </c>
      <c r="X216" s="33">
        <v>0</v>
      </c>
      <c r="Y216" s="33">
        <v>0</v>
      </c>
      <c r="Z216" s="33">
        <v>0</v>
      </c>
    </row>
    <row r="217" spans="1:26" s="32" customFormat="1">
      <c r="A217" s="10">
        <v>5110</v>
      </c>
      <c r="B217" s="10" t="s">
        <v>132</v>
      </c>
      <c r="C217" s="10" t="s">
        <v>31</v>
      </c>
      <c r="D217" s="10">
        <v>1210</v>
      </c>
      <c r="E217" s="10">
        <v>1600000</v>
      </c>
      <c r="F217" s="10" t="s">
        <v>90</v>
      </c>
      <c r="G217" s="10">
        <v>0</v>
      </c>
      <c r="H217" s="10">
        <v>600</v>
      </c>
      <c r="I217" s="10">
        <v>0</v>
      </c>
      <c r="J217" s="10">
        <v>40</v>
      </c>
      <c r="K217" s="10">
        <v>20</v>
      </c>
      <c r="L217" s="10">
        <v>20</v>
      </c>
      <c r="M217" s="10">
        <v>0</v>
      </c>
      <c r="N217" s="10">
        <v>0</v>
      </c>
      <c r="O217" s="10">
        <v>0</v>
      </c>
      <c r="P217" s="10">
        <v>0</v>
      </c>
      <c r="Q217" s="10">
        <v>10</v>
      </c>
      <c r="R217" s="25">
        <v>0</v>
      </c>
      <c r="S217" s="25">
        <v>18000</v>
      </c>
      <c r="T217" s="25">
        <v>1200</v>
      </c>
      <c r="U217" s="25">
        <v>600</v>
      </c>
      <c r="V217" s="25">
        <v>600</v>
      </c>
      <c r="W217" s="33">
        <v>0</v>
      </c>
      <c r="X217" s="33">
        <v>0</v>
      </c>
      <c r="Y217" s="33">
        <v>0</v>
      </c>
      <c r="Z217" s="33">
        <v>0</v>
      </c>
    </row>
    <row r="218" spans="1:26" s="32" customFormat="1">
      <c r="A218" s="10">
        <v>5111</v>
      </c>
      <c r="B218" s="10" t="s">
        <v>133</v>
      </c>
      <c r="C218" s="10" t="s">
        <v>74</v>
      </c>
      <c r="D218" s="10">
        <v>1211</v>
      </c>
      <c r="E218" s="10">
        <v>2000000</v>
      </c>
      <c r="F218" s="10" t="s">
        <v>91</v>
      </c>
      <c r="G218" s="10">
        <v>0</v>
      </c>
      <c r="H218" s="10">
        <v>660</v>
      </c>
      <c r="I218" s="10">
        <v>0</v>
      </c>
      <c r="J218" s="10">
        <v>44</v>
      </c>
      <c r="K218" s="10">
        <v>22</v>
      </c>
      <c r="L218" s="10">
        <v>22</v>
      </c>
      <c r="M218" s="10">
        <v>0</v>
      </c>
      <c r="N218" s="10">
        <v>0</v>
      </c>
      <c r="O218" s="10">
        <v>0</v>
      </c>
      <c r="P218" s="10">
        <v>0</v>
      </c>
      <c r="Q218" s="10">
        <v>11</v>
      </c>
      <c r="R218" s="25">
        <v>0</v>
      </c>
      <c r="S218" s="25">
        <v>19800</v>
      </c>
      <c r="T218" s="25">
        <v>1320</v>
      </c>
      <c r="U218" s="25">
        <v>660</v>
      </c>
      <c r="V218" s="25">
        <v>660</v>
      </c>
      <c r="W218" s="33">
        <v>0</v>
      </c>
      <c r="X218" s="33">
        <v>0</v>
      </c>
      <c r="Y218" s="33">
        <v>0</v>
      </c>
      <c r="Z218" s="33">
        <v>0</v>
      </c>
    </row>
    <row r="219" spans="1:26" s="32" customFormat="1">
      <c r="A219" s="10">
        <v>5112</v>
      </c>
      <c r="B219" s="10" t="s">
        <v>134</v>
      </c>
      <c r="C219" s="10" t="s">
        <v>76</v>
      </c>
      <c r="D219" s="10">
        <v>1212</v>
      </c>
      <c r="E219" s="10">
        <v>2400000</v>
      </c>
      <c r="F219" s="10" t="s">
        <v>114</v>
      </c>
      <c r="G219" s="10">
        <v>0</v>
      </c>
      <c r="H219" s="10">
        <v>720</v>
      </c>
      <c r="I219" s="10">
        <v>0</v>
      </c>
      <c r="J219" s="10">
        <v>48</v>
      </c>
      <c r="K219" s="10">
        <v>24</v>
      </c>
      <c r="L219" s="10">
        <v>24</v>
      </c>
      <c r="M219" s="10">
        <v>0</v>
      </c>
      <c r="N219" s="10">
        <v>0</v>
      </c>
      <c r="O219" s="10">
        <v>0</v>
      </c>
      <c r="P219" s="10">
        <v>0</v>
      </c>
      <c r="Q219" s="10">
        <v>12</v>
      </c>
      <c r="R219" s="25">
        <v>0</v>
      </c>
      <c r="S219" s="25">
        <v>21600</v>
      </c>
      <c r="T219" s="25">
        <v>1440</v>
      </c>
      <c r="U219" s="25">
        <v>720</v>
      </c>
      <c r="V219" s="25">
        <v>720</v>
      </c>
      <c r="W219" s="33">
        <v>0</v>
      </c>
      <c r="X219" s="33">
        <v>0</v>
      </c>
      <c r="Y219" s="33">
        <v>0</v>
      </c>
      <c r="Z219" s="33">
        <v>0</v>
      </c>
    </row>
  </sheetData>
  <sortState ref="B4:S103">
    <sortCondition ref="D4:D103"/>
  </sortState>
  <phoneticPr fontId="2" type="noConversion"/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R207"/>
  <sheetViews>
    <sheetView workbookViewId="0">
      <selection activeCell="H1" sqref="H1:M1048576"/>
    </sheetView>
  </sheetViews>
  <sheetFormatPr defaultRowHeight="13.5"/>
  <cols>
    <col min="2" max="2" width="20.5" bestFit="1" customWidth="1"/>
    <col min="5" max="5" width="10.5" bestFit="1" customWidth="1"/>
    <col min="6" max="6" width="10.5" customWidth="1"/>
    <col min="7" max="7" width="14.125" customWidth="1"/>
  </cols>
  <sheetData>
    <row r="1" spans="1:18" ht="108">
      <c r="A1" s="12" t="s">
        <v>52</v>
      </c>
      <c r="B1" s="12" t="s">
        <v>53</v>
      </c>
      <c r="C1" s="13" t="s">
        <v>50</v>
      </c>
      <c r="D1" s="12" t="s">
        <v>54</v>
      </c>
      <c r="E1" s="12" t="s">
        <v>55</v>
      </c>
      <c r="F1" s="12" t="s">
        <v>56</v>
      </c>
      <c r="G1" s="12" t="s">
        <v>56</v>
      </c>
      <c r="H1" s="12" t="s">
        <v>64</v>
      </c>
      <c r="I1" s="12" t="s">
        <v>68</v>
      </c>
      <c r="J1" s="12" t="s">
        <v>65</v>
      </c>
      <c r="K1" s="12" t="s">
        <v>66</v>
      </c>
      <c r="L1" s="12" t="s">
        <v>63</v>
      </c>
      <c r="M1" s="12" t="s">
        <v>62</v>
      </c>
      <c r="N1" s="12" t="s">
        <v>61</v>
      </c>
      <c r="O1" s="12" t="s">
        <v>60</v>
      </c>
      <c r="P1" s="12" t="s">
        <v>59</v>
      </c>
      <c r="Q1" s="12" t="s">
        <v>58</v>
      </c>
      <c r="R1" s="12" t="s">
        <v>57</v>
      </c>
    </row>
    <row r="2" spans="1:18">
      <c r="A2" t="str">
        <f>Sheet7!A2</f>
        <v>jinjie_id</v>
      </c>
      <c r="B2" t="str">
        <f>Sheet7!B2</f>
        <v>jinjie_description</v>
      </c>
      <c r="C2" t="str">
        <f>Sheet7!C2</f>
        <v>game_limit_illust</v>
      </c>
      <c r="D2" t="str">
        <f>Sheet7!D2</f>
        <v>jinjie_limit</v>
      </c>
      <c r="E2" t="str">
        <f>Sheet7!E2</f>
        <v>cost_gold</v>
      </c>
      <c r="F2" t="str">
        <f>Sheet7!E2</f>
        <v>cost_gold</v>
      </c>
      <c r="G2" t="str">
        <f>Sheet7!F2</f>
        <v>cost_item</v>
      </c>
      <c r="H2" t="str">
        <f>Sheet7!G2</f>
        <v>cost_hero</v>
      </c>
      <c r="I2" t="str">
        <f>Sheet7!H2</f>
        <v>hp</v>
      </c>
      <c r="J2" t="str">
        <f>Sheet7!I2</f>
        <v>mp</v>
      </c>
      <c r="K2" t="str">
        <f>Sheet7!J2</f>
        <v>attack</v>
      </c>
      <c r="L2" t="str">
        <f>Sheet7!K2</f>
        <v>defense_p</v>
      </c>
      <c r="M2" t="str">
        <f>Sheet7!L2</f>
        <v>defense_m</v>
      </c>
      <c r="N2" t="str">
        <f>Sheet7!M2</f>
        <v>hit_prop</v>
      </c>
      <c r="O2" t="str">
        <f>Sheet7!N2</f>
        <v>dodge_prop</v>
      </c>
      <c r="P2" t="str">
        <f>Sheet7!O2</f>
        <v>crit_prop</v>
      </c>
      <c r="Q2" t="str">
        <f>Sheet7!P2</f>
        <v>uncrit_prop</v>
      </c>
      <c r="R2" t="str">
        <f>Sheet7!Q2</f>
        <v>jinjie_leval</v>
      </c>
    </row>
    <row r="3" spans="1:18">
      <c r="A3">
        <f>Sheet7!A3</f>
        <v>0</v>
      </c>
      <c r="B3">
        <f>Sheet7!B3</f>
        <v>0</v>
      </c>
      <c r="C3">
        <f>Sheet7!C3</f>
        <v>0</v>
      </c>
      <c r="D3">
        <f>Sheet7!D3</f>
        <v>0</v>
      </c>
      <c r="E3">
        <f>Sheet7!E3</f>
        <v>0</v>
      </c>
      <c r="F3">
        <f>Sheet7!E3</f>
        <v>0</v>
      </c>
      <c r="G3">
        <f>Sheet7!F3</f>
        <v>0</v>
      </c>
      <c r="H3">
        <f>Sheet7!G3</f>
        <v>0</v>
      </c>
      <c r="I3">
        <f>Sheet7!H3</f>
        <v>0</v>
      </c>
      <c r="J3">
        <f>Sheet7!I3</f>
        <v>0</v>
      </c>
      <c r="K3">
        <f>Sheet7!J3</f>
        <v>0</v>
      </c>
      <c r="L3">
        <f>Sheet7!K3</f>
        <v>0</v>
      </c>
      <c r="M3">
        <f>Sheet7!L3</f>
        <v>0</v>
      </c>
      <c r="N3">
        <f>Sheet7!M3</f>
        <v>0</v>
      </c>
      <c r="O3">
        <f>Sheet7!N3</f>
        <v>0</v>
      </c>
      <c r="P3">
        <f>Sheet7!O3</f>
        <v>0</v>
      </c>
      <c r="Q3">
        <f>Sheet7!P3</f>
        <v>0</v>
      </c>
      <c r="R3">
        <f>Sheet7!Q3</f>
        <v>0</v>
      </c>
    </row>
    <row r="4" spans="1:18">
      <c r="A4">
        <v>2101</v>
      </c>
      <c r="B4" s="14" t="s">
        <v>48</v>
      </c>
      <c r="C4" s="14" t="s">
        <v>33</v>
      </c>
      <c r="D4" s="14">
        <v>1201</v>
      </c>
      <c r="E4" s="14">
        <v>10000</v>
      </c>
      <c r="F4" s="14" t="str">
        <f>"14107|"&amp;G4</f>
        <v>14107|120</v>
      </c>
      <c r="G4" s="14">
        <v>120</v>
      </c>
      <c r="H4" s="14">
        <v>0</v>
      </c>
      <c r="I4">
        <f>ROUND(VLOOKUP(INT(A4/1000),Sheet3!$A$2:$B$7,2,FALSE)*Sheet3!D$3,0)</f>
        <v>90</v>
      </c>
      <c r="K4">
        <f>ROUND(VLOOKUP(INT(A4/1000),Sheet3!$A$2:$B$7,2,FALSE)*Sheet3!E$3,0)</f>
        <v>3</v>
      </c>
      <c r="L4">
        <f>ROUND(VLOOKUP(INT(A4/1000),Sheet3!$A$2:$B$7,2,FALSE)*Sheet3!F$3,0)</f>
        <v>2</v>
      </c>
      <c r="M4">
        <f>ROUND(VLOOKUP(INT(A4/1000),Sheet3!$A$2:$B$7,2,FALSE)*Sheet3!G$3,0)</f>
        <v>2</v>
      </c>
    </row>
    <row r="5" spans="1:18">
      <c r="A5">
        <v>2102</v>
      </c>
      <c r="B5" s="14" t="s">
        <v>41</v>
      </c>
      <c r="C5" s="14" t="s">
        <v>34</v>
      </c>
      <c r="D5" s="14">
        <v>1202</v>
      </c>
      <c r="E5" s="14">
        <v>30000</v>
      </c>
      <c r="F5" s="14" t="str">
        <f t="shared" ref="F5:F15" si="0">"14107|"&amp;G5</f>
        <v>14107|360</v>
      </c>
      <c r="G5" s="14">
        <v>360</v>
      </c>
      <c r="H5" s="14">
        <v>0</v>
      </c>
      <c r="I5">
        <f>ROUND(VLOOKUP(INT(A5/1000),Sheet3!$A$2:$B$7,2,FALSE)*Sheet3!D$3,0)</f>
        <v>90</v>
      </c>
      <c r="K5">
        <f>ROUND(VLOOKUP(INT(A5/1000),Sheet3!$A$2:$B$7,2,FALSE)*Sheet3!E$3,0)</f>
        <v>3</v>
      </c>
      <c r="L5">
        <f>ROUND(VLOOKUP(INT(A5/1000),Sheet3!$A$2:$B$7,2,FALSE)*Sheet3!F$3,0)</f>
        <v>2</v>
      </c>
      <c r="M5">
        <f>ROUND(VLOOKUP(INT(A5/1000),Sheet3!$A$2:$B$7,2,FALSE)*Sheet3!G$3,0)</f>
        <v>2</v>
      </c>
    </row>
    <row r="6" spans="1:18">
      <c r="A6">
        <v>2103</v>
      </c>
      <c r="B6" s="14" t="s">
        <v>42</v>
      </c>
      <c r="C6" s="14" t="s">
        <v>35</v>
      </c>
      <c r="D6" s="14">
        <v>1203</v>
      </c>
      <c r="E6" s="14">
        <v>50000</v>
      </c>
      <c r="F6" s="14" t="str">
        <f t="shared" si="0"/>
        <v>14107|600</v>
      </c>
      <c r="G6" s="14">
        <v>600</v>
      </c>
      <c r="H6" s="14">
        <v>0</v>
      </c>
      <c r="I6">
        <f>ROUND(VLOOKUP(INT(A6/1000),Sheet3!$A$2:$B$7,2,FALSE)*Sheet3!D$3,0)</f>
        <v>90</v>
      </c>
      <c r="K6">
        <f>ROUND(VLOOKUP(INT(A6/1000),Sheet3!$A$2:$B$7,2,FALSE)*Sheet3!E$3,0)</f>
        <v>3</v>
      </c>
      <c r="L6">
        <f>ROUND(VLOOKUP(INT(A6/1000),Sheet3!$A$2:$B$7,2,FALSE)*Sheet3!F$3,0)</f>
        <v>2</v>
      </c>
      <c r="M6">
        <f>ROUND(VLOOKUP(INT(A6/1000),Sheet3!$A$2:$B$7,2,FALSE)*Sheet3!G$3,0)</f>
        <v>2</v>
      </c>
    </row>
    <row r="7" spans="1:18">
      <c r="A7">
        <v>2104</v>
      </c>
      <c r="B7" s="14" t="s">
        <v>43</v>
      </c>
      <c r="C7" s="14" t="s">
        <v>36</v>
      </c>
      <c r="D7" s="14">
        <v>1204</v>
      </c>
      <c r="E7" s="14">
        <v>100000</v>
      </c>
      <c r="F7" s="14" t="str">
        <f t="shared" si="0"/>
        <v>14107|1200</v>
      </c>
      <c r="G7" s="14">
        <v>1200</v>
      </c>
      <c r="H7" s="14">
        <v>1</v>
      </c>
      <c r="I7">
        <f>ROUND(VLOOKUP(INT(A7/1000),Sheet3!$A$2:$B$7,2,FALSE)*Sheet3!D$3,0)</f>
        <v>90</v>
      </c>
      <c r="K7">
        <f>ROUND(VLOOKUP(INT(A7/1000),Sheet3!$A$2:$B$7,2,FALSE)*Sheet3!E$3,0)</f>
        <v>3</v>
      </c>
      <c r="L7">
        <f>ROUND(VLOOKUP(INT(A7/1000),Sheet3!$A$2:$B$7,2,FALSE)*Sheet3!F$3,0)</f>
        <v>2</v>
      </c>
      <c r="M7">
        <f>ROUND(VLOOKUP(INT(A7/1000),Sheet3!$A$2:$B$7,2,FALSE)*Sheet3!G$3,0)</f>
        <v>2</v>
      </c>
    </row>
    <row r="8" spans="1:18">
      <c r="A8">
        <v>2105</v>
      </c>
      <c r="B8" s="14" t="s">
        <v>44</v>
      </c>
      <c r="C8" s="14" t="s">
        <v>37</v>
      </c>
      <c r="D8" s="14">
        <v>1205</v>
      </c>
      <c r="E8" s="14">
        <v>200000</v>
      </c>
      <c r="F8" s="14" t="str">
        <f t="shared" si="0"/>
        <v>14107|2400</v>
      </c>
      <c r="G8" s="14">
        <v>2400</v>
      </c>
      <c r="H8" s="14">
        <v>1</v>
      </c>
      <c r="I8">
        <f>ROUND(VLOOKUP(INT(A8/1000),Sheet3!$A$2:$B$7,2,FALSE)*Sheet3!D$3,0)</f>
        <v>90</v>
      </c>
      <c r="K8">
        <f>ROUND(VLOOKUP(INT(A8/1000),Sheet3!$A$2:$B$7,2,FALSE)*Sheet3!E$3,0)</f>
        <v>3</v>
      </c>
      <c r="L8">
        <f>ROUND(VLOOKUP(INT(A8/1000),Sheet3!$A$2:$B$7,2,FALSE)*Sheet3!F$3,0)</f>
        <v>2</v>
      </c>
      <c r="M8">
        <f>ROUND(VLOOKUP(INT(A8/1000),Sheet3!$A$2:$B$7,2,FALSE)*Sheet3!G$3,0)</f>
        <v>2</v>
      </c>
    </row>
    <row r="9" spans="1:18">
      <c r="A9">
        <v>2106</v>
      </c>
      <c r="B9" s="14" t="s">
        <v>45</v>
      </c>
      <c r="C9" s="14" t="s">
        <v>38</v>
      </c>
      <c r="D9" s="14">
        <v>1206</v>
      </c>
      <c r="E9" s="14">
        <v>300000</v>
      </c>
      <c r="F9" s="14" t="str">
        <f t="shared" si="0"/>
        <v>14107|3600</v>
      </c>
      <c r="G9" s="14">
        <v>3600</v>
      </c>
      <c r="H9" s="14">
        <v>2</v>
      </c>
      <c r="I9">
        <f>ROUND(VLOOKUP(INT(A9/1000),Sheet3!$A$2:$B$7,2,FALSE)*Sheet3!D$3,0)</f>
        <v>90</v>
      </c>
      <c r="K9">
        <f>ROUND(VLOOKUP(INT(A9/1000),Sheet3!$A$2:$B$7,2,FALSE)*Sheet3!E$3,0)</f>
        <v>3</v>
      </c>
      <c r="L9">
        <f>ROUND(VLOOKUP(INT(A9/1000),Sheet3!$A$2:$B$7,2,FALSE)*Sheet3!F$3,0)</f>
        <v>2</v>
      </c>
      <c r="M9">
        <f>ROUND(VLOOKUP(INT(A9/1000),Sheet3!$A$2:$B$7,2,FALSE)*Sheet3!G$3,0)</f>
        <v>2</v>
      </c>
    </row>
    <row r="10" spans="1:18">
      <c r="A10">
        <v>2107</v>
      </c>
      <c r="B10" s="14" t="s">
        <v>46</v>
      </c>
      <c r="C10" s="14" t="s">
        <v>39</v>
      </c>
      <c r="D10" s="14">
        <v>1207</v>
      </c>
      <c r="E10" s="14">
        <v>500000</v>
      </c>
      <c r="F10" s="14" t="str">
        <f t="shared" si="0"/>
        <v>14107|6000</v>
      </c>
      <c r="G10" s="14">
        <v>6000</v>
      </c>
      <c r="H10" s="14">
        <v>2</v>
      </c>
      <c r="I10">
        <f>ROUND(VLOOKUP(INT(A10/1000),Sheet3!$A$2:$B$7,2,FALSE)*Sheet3!D$3,0)</f>
        <v>90</v>
      </c>
      <c r="K10">
        <f>ROUND(VLOOKUP(INT(A10/1000),Sheet3!$A$2:$B$7,2,FALSE)*Sheet3!E$3,0)</f>
        <v>3</v>
      </c>
      <c r="L10">
        <f>ROUND(VLOOKUP(INT(A10/1000),Sheet3!$A$2:$B$7,2,FALSE)*Sheet3!F$3,0)</f>
        <v>2</v>
      </c>
      <c r="M10">
        <f>ROUND(VLOOKUP(INT(A10/1000),Sheet3!$A$2:$B$7,2,FALSE)*Sheet3!G$3,0)</f>
        <v>2</v>
      </c>
    </row>
    <row r="11" spans="1:18">
      <c r="A11">
        <v>2108</v>
      </c>
      <c r="B11" s="14" t="s">
        <v>47</v>
      </c>
      <c r="C11" s="14" t="s">
        <v>40</v>
      </c>
      <c r="D11" s="14">
        <v>1208</v>
      </c>
      <c r="E11" s="14">
        <v>800000</v>
      </c>
      <c r="F11" s="14" t="str">
        <f t="shared" si="0"/>
        <v>14107|10000</v>
      </c>
      <c r="G11" s="14">
        <v>10000</v>
      </c>
      <c r="H11" s="14">
        <v>4</v>
      </c>
      <c r="I11">
        <f>ROUND(VLOOKUP(INT(A11/1000),Sheet3!$A$2:$B$7,2,FALSE)*Sheet3!D$3,0)</f>
        <v>90</v>
      </c>
      <c r="K11">
        <f>ROUND(VLOOKUP(INT(A11/1000),Sheet3!$A$2:$B$7,2,FALSE)*Sheet3!E$3,0)</f>
        <v>3</v>
      </c>
      <c r="L11">
        <f>ROUND(VLOOKUP(INT(A11/1000),Sheet3!$A$2:$B$7,2,FALSE)*Sheet3!F$3,0)</f>
        <v>2</v>
      </c>
      <c r="M11">
        <f>ROUND(VLOOKUP(INT(A11/1000),Sheet3!$A$2:$B$7,2,FALSE)*Sheet3!G$3,0)</f>
        <v>2</v>
      </c>
    </row>
    <row r="12" spans="1:18">
      <c r="A12">
        <v>2109</v>
      </c>
      <c r="B12" s="14" t="s">
        <v>70</v>
      </c>
      <c r="C12" s="14" t="s">
        <v>32</v>
      </c>
      <c r="D12" s="14">
        <v>1209</v>
      </c>
      <c r="E12" s="14">
        <v>1200000</v>
      </c>
      <c r="F12" s="14" t="str">
        <f t="shared" si="0"/>
        <v>14107|15000</v>
      </c>
      <c r="G12" s="14">
        <v>15000</v>
      </c>
      <c r="H12" s="14">
        <v>6</v>
      </c>
      <c r="I12">
        <f>ROUND(VLOOKUP(INT(A12/1000),Sheet3!$A$2:$B$7,2,FALSE)*Sheet3!D$3,0)</f>
        <v>90</v>
      </c>
      <c r="K12">
        <f>ROUND(VLOOKUP(INT(A12/1000),Sheet3!$A$2:$B$7,2,FALSE)*Sheet3!E$3,0)</f>
        <v>3</v>
      </c>
      <c r="L12">
        <f>ROUND(VLOOKUP(INT(A12/1000),Sheet3!$A$2:$B$7,2,FALSE)*Sheet3!F$3,0)</f>
        <v>2</v>
      </c>
      <c r="M12">
        <f>ROUND(VLOOKUP(INT(A12/1000),Sheet3!$A$2:$B$7,2,FALSE)*Sheet3!G$3,0)</f>
        <v>2</v>
      </c>
    </row>
    <row r="13" spans="1:18">
      <c r="A13">
        <v>2110</v>
      </c>
      <c r="B13" s="14" t="s">
        <v>72</v>
      </c>
      <c r="C13" s="14" t="s">
        <v>31</v>
      </c>
      <c r="D13" s="14">
        <v>1210</v>
      </c>
      <c r="E13" s="14">
        <v>1600000</v>
      </c>
      <c r="F13" s="14" t="str">
        <f t="shared" si="0"/>
        <v>14107|20000</v>
      </c>
      <c r="G13" s="14">
        <v>20000</v>
      </c>
      <c r="H13" s="14">
        <v>8</v>
      </c>
      <c r="I13">
        <f>ROUND(VLOOKUP(INT(A13/1000),Sheet3!$A$2:$B$7,2,FALSE)*Sheet3!D$3,0)</f>
        <v>90</v>
      </c>
      <c r="K13">
        <f>ROUND(VLOOKUP(INT(A13/1000),Sheet3!$A$2:$B$7,2,FALSE)*Sheet3!E$3,0)</f>
        <v>3</v>
      </c>
      <c r="L13">
        <f>ROUND(VLOOKUP(INT(A13/1000),Sheet3!$A$2:$B$7,2,FALSE)*Sheet3!F$3,0)</f>
        <v>2</v>
      </c>
      <c r="M13">
        <f>ROUND(VLOOKUP(INT(A13/1000),Sheet3!$A$2:$B$7,2,FALSE)*Sheet3!G$3,0)</f>
        <v>2</v>
      </c>
    </row>
    <row r="14" spans="1:18">
      <c r="A14">
        <v>2111</v>
      </c>
      <c r="B14" s="14" t="s">
        <v>73</v>
      </c>
      <c r="C14" s="14" t="s">
        <v>74</v>
      </c>
      <c r="D14" s="14">
        <v>1211</v>
      </c>
      <c r="E14" s="14">
        <v>2000000</v>
      </c>
      <c r="F14" s="14" t="str">
        <f t="shared" si="0"/>
        <v>14107|24000</v>
      </c>
      <c r="G14" s="14">
        <v>24000</v>
      </c>
      <c r="H14" s="14">
        <v>10</v>
      </c>
      <c r="I14">
        <f>ROUND(VLOOKUP(INT(A14/1000),Sheet3!$A$2:$B$7,2,FALSE)*Sheet3!D$3,0)</f>
        <v>90</v>
      </c>
      <c r="K14">
        <f>ROUND(VLOOKUP(INT(A14/1000),Sheet3!$A$2:$B$7,2,FALSE)*Sheet3!E$3,0)</f>
        <v>3</v>
      </c>
      <c r="L14">
        <f>ROUND(VLOOKUP(INT(A14/1000),Sheet3!$A$2:$B$7,2,FALSE)*Sheet3!F$3,0)</f>
        <v>2</v>
      </c>
      <c r="M14">
        <f>ROUND(VLOOKUP(INT(A14/1000),Sheet3!$A$2:$B$7,2,FALSE)*Sheet3!G$3,0)</f>
        <v>2</v>
      </c>
    </row>
    <row r="15" spans="1:18">
      <c r="A15">
        <v>2112</v>
      </c>
      <c r="B15" s="14" t="s">
        <v>75</v>
      </c>
      <c r="C15" s="14" t="s">
        <v>76</v>
      </c>
      <c r="D15" s="14">
        <v>1212</v>
      </c>
      <c r="E15" s="14">
        <v>2400000</v>
      </c>
      <c r="F15" s="14" t="str">
        <f t="shared" si="0"/>
        <v>14107|28000</v>
      </c>
      <c r="G15" s="14">
        <v>28000</v>
      </c>
      <c r="H15" s="14">
        <v>12</v>
      </c>
      <c r="I15">
        <f>ROUND(VLOOKUP(INT(A15/1000),Sheet3!$A$2:$B$7,2,FALSE)*Sheet3!D$3,0)</f>
        <v>90</v>
      </c>
      <c r="K15">
        <f>ROUND(VLOOKUP(INT(A15/1000),Sheet3!$A$2:$B$7,2,FALSE)*Sheet3!E$3,0)</f>
        <v>3</v>
      </c>
      <c r="L15">
        <f>ROUND(VLOOKUP(INT(A15/1000),Sheet3!$A$2:$B$7,2,FALSE)*Sheet3!F$3,0)</f>
        <v>2</v>
      </c>
      <c r="M15">
        <f>ROUND(VLOOKUP(INT(A15/1000),Sheet3!$A$2:$B$7,2,FALSE)*Sheet3!G$3,0)</f>
        <v>2</v>
      </c>
    </row>
    <row r="16" spans="1:18">
      <c r="A16">
        <f t="shared" ref="A16:A27" si="1">A4+4000</f>
        <v>6101</v>
      </c>
      <c r="B16" t="s">
        <v>48</v>
      </c>
      <c r="C16" t="s">
        <v>33</v>
      </c>
      <c r="D16">
        <f t="shared" ref="D16:F27" si="2">D4</f>
        <v>1201</v>
      </c>
      <c r="E16">
        <f t="shared" si="2"/>
        <v>10000</v>
      </c>
      <c r="F16" t="str">
        <f t="shared" si="2"/>
        <v>14107|120</v>
      </c>
      <c r="H16">
        <f t="shared" ref="H16:H27" si="3">H4</f>
        <v>0</v>
      </c>
      <c r="I16">
        <f>ROUND(VLOOKUP(INT(A16/1000),Sheet3!$A$2:$B$7,2,FALSE)*Sheet3!D$3,0)</f>
        <v>105</v>
      </c>
      <c r="K16">
        <f>ROUND(VLOOKUP(INT(A16/1000),Sheet3!$A$2:$B$7,2,FALSE)*Sheet3!E$3,0)</f>
        <v>4</v>
      </c>
      <c r="L16">
        <f>ROUND(VLOOKUP(INT(A16/1000),Sheet3!$A$2:$B$7,2,FALSE)*Sheet3!F$3,0)</f>
        <v>2</v>
      </c>
      <c r="M16">
        <f>ROUND(VLOOKUP(INT(A16/1000),Sheet3!$A$2:$B$7,2,FALSE)*Sheet3!G$3,0)</f>
        <v>2</v>
      </c>
    </row>
    <row r="17" spans="1:13">
      <c r="A17">
        <f t="shared" si="1"/>
        <v>6102</v>
      </c>
      <c r="B17" t="s">
        <v>41</v>
      </c>
      <c r="C17" t="s">
        <v>34</v>
      </c>
      <c r="D17">
        <f t="shared" si="2"/>
        <v>1202</v>
      </c>
      <c r="E17">
        <f t="shared" si="2"/>
        <v>30000</v>
      </c>
      <c r="F17" t="str">
        <f t="shared" si="2"/>
        <v>14107|360</v>
      </c>
      <c r="H17">
        <f t="shared" si="3"/>
        <v>0</v>
      </c>
      <c r="I17">
        <f>ROUND(VLOOKUP(INT(A17/1000),Sheet3!$A$2:$B$7,2,FALSE)*Sheet3!D$3,0)</f>
        <v>105</v>
      </c>
      <c r="K17">
        <f>ROUND(VLOOKUP(INT(A17/1000),Sheet3!$A$2:$B$7,2,FALSE)*Sheet3!E$3,0)</f>
        <v>4</v>
      </c>
      <c r="L17">
        <f>ROUND(VLOOKUP(INT(A17/1000),Sheet3!$A$2:$B$7,2,FALSE)*Sheet3!F$3,0)</f>
        <v>2</v>
      </c>
      <c r="M17">
        <f>ROUND(VLOOKUP(INT(A17/1000),Sheet3!$A$2:$B$7,2,FALSE)*Sheet3!G$3,0)</f>
        <v>2</v>
      </c>
    </row>
    <row r="18" spans="1:13">
      <c r="A18">
        <f t="shared" si="1"/>
        <v>6103</v>
      </c>
      <c r="B18" t="s">
        <v>42</v>
      </c>
      <c r="C18" t="s">
        <v>35</v>
      </c>
      <c r="D18">
        <f t="shared" si="2"/>
        <v>1203</v>
      </c>
      <c r="E18">
        <f t="shared" si="2"/>
        <v>50000</v>
      </c>
      <c r="F18" t="str">
        <f t="shared" si="2"/>
        <v>14107|600</v>
      </c>
      <c r="H18">
        <f t="shared" si="3"/>
        <v>0</v>
      </c>
      <c r="I18">
        <f>ROUND(VLOOKUP(INT(A18/1000),Sheet3!$A$2:$B$7,2,FALSE)*Sheet3!D$3,0)</f>
        <v>105</v>
      </c>
      <c r="K18">
        <f>ROUND(VLOOKUP(INT(A18/1000),Sheet3!$A$2:$B$7,2,FALSE)*Sheet3!E$3,0)</f>
        <v>4</v>
      </c>
      <c r="L18">
        <f>ROUND(VLOOKUP(INT(A18/1000),Sheet3!$A$2:$B$7,2,FALSE)*Sheet3!F$3,0)</f>
        <v>2</v>
      </c>
      <c r="M18">
        <f>ROUND(VLOOKUP(INT(A18/1000),Sheet3!$A$2:$B$7,2,FALSE)*Sheet3!G$3,0)</f>
        <v>2</v>
      </c>
    </row>
    <row r="19" spans="1:13">
      <c r="A19">
        <f t="shared" si="1"/>
        <v>6104</v>
      </c>
      <c r="B19" t="s">
        <v>43</v>
      </c>
      <c r="C19" t="s">
        <v>36</v>
      </c>
      <c r="D19">
        <f t="shared" si="2"/>
        <v>1204</v>
      </c>
      <c r="E19">
        <f t="shared" si="2"/>
        <v>100000</v>
      </c>
      <c r="F19" t="str">
        <f t="shared" si="2"/>
        <v>14107|1200</v>
      </c>
      <c r="H19">
        <f t="shared" si="3"/>
        <v>1</v>
      </c>
      <c r="I19">
        <f>ROUND(VLOOKUP(INT(A19/1000),Sheet3!$A$2:$B$7,2,FALSE)*Sheet3!D$3,0)</f>
        <v>105</v>
      </c>
      <c r="K19">
        <f>ROUND(VLOOKUP(INT(A19/1000),Sheet3!$A$2:$B$7,2,FALSE)*Sheet3!E$3,0)</f>
        <v>4</v>
      </c>
      <c r="L19">
        <f>ROUND(VLOOKUP(INT(A19/1000),Sheet3!$A$2:$B$7,2,FALSE)*Sheet3!F$3,0)</f>
        <v>2</v>
      </c>
      <c r="M19">
        <f>ROUND(VLOOKUP(INT(A19/1000),Sheet3!$A$2:$B$7,2,FALSE)*Sheet3!G$3,0)</f>
        <v>2</v>
      </c>
    </row>
    <row r="20" spans="1:13">
      <c r="A20">
        <f t="shared" si="1"/>
        <v>6105</v>
      </c>
      <c r="B20" t="s">
        <v>44</v>
      </c>
      <c r="C20" t="s">
        <v>37</v>
      </c>
      <c r="D20">
        <f t="shared" si="2"/>
        <v>1205</v>
      </c>
      <c r="E20">
        <f t="shared" si="2"/>
        <v>200000</v>
      </c>
      <c r="F20" t="str">
        <f t="shared" si="2"/>
        <v>14107|2400</v>
      </c>
      <c r="H20">
        <f t="shared" si="3"/>
        <v>1</v>
      </c>
      <c r="I20">
        <f>ROUND(VLOOKUP(INT(A20/1000),Sheet3!$A$2:$B$7,2,FALSE)*Sheet3!D$3,0)</f>
        <v>105</v>
      </c>
      <c r="K20">
        <f>ROUND(VLOOKUP(INT(A20/1000),Sheet3!$A$2:$B$7,2,FALSE)*Sheet3!E$3,0)</f>
        <v>4</v>
      </c>
      <c r="L20">
        <f>ROUND(VLOOKUP(INT(A20/1000),Sheet3!$A$2:$B$7,2,FALSE)*Sheet3!F$3,0)</f>
        <v>2</v>
      </c>
      <c r="M20">
        <f>ROUND(VLOOKUP(INT(A20/1000),Sheet3!$A$2:$B$7,2,FALSE)*Sheet3!G$3,0)</f>
        <v>2</v>
      </c>
    </row>
    <row r="21" spans="1:13">
      <c r="A21">
        <f t="shared" si="1"/>
        <v>6106</v>
      </c>
      <c r="B21" t="s">
        <v>45</v>
      </c>
      <c r="C21" t="s">
        <v>38</v>
      </c>
      <c r="D21">
        <f t="shared" si="2"/>
        <v>1206</v>
      </c>
      <c r="E21">
        <f t="shared" si="2"/>
        <v>300000</v>
      </c>
      <c r="F21" t="str">
        <f t="shared" si="2"/>
        <v>14107|3600</v>
      </c>
      <c r="H21">
        <f t="shared" si="3"/>
        <v>2</v>
      </c>
      <c r="I21">
        <f>ROUND(VLOOKUP(INT(A21/1000),Sheet3!$A$2:$B$7,2,FALSE)*Sheet3!D$3,0)</f>
        <v>105</v>
      </c>
      <c r="K21">
        <f>ROUND(VLOOKUP(INT(A21/1000),Sheet3!$A$2:$B$7,2,FALSE)*Sheet3!E$3,0)</f>
        <v>4</v>
      </c>
      <c r="L21">
        <f>ROUND(VLOOKUP(INT(A21/1000),Sheet3!$A$2:$B$7,2,FALSE)*Sheet3!F$3,0)</f>
        <v>2</v>
      </c>
      <c r="M21">
        <f>ROUND(VLOOKUP(INT(A21/1000),Sheet3!$A$2:$B$7,2,FALSE)*Sheet3!G$3,0)</f>
        <v>2</v>
      </c>
    </row>
    <row r="22" spans="1:13">
      <c r="A22">
        <f t="shared" si="1"/>
        <v>6107</v>
      </c>
      <c r="B22" t="s">
        <v>46</v>
      </c>
      <c r="C22" t="s">
        <v>39</v>
      </c>
      <c r="D22">
        <f t="shared" si="2"/>
        <v>1207</v>
      </c>
      <c r="E22">
        <f t="shared" si="2"/>
        <v>500000</v>
      </c>
      <c r="F22" t="str">
        <f t="shared" si="2"/>
        <v>14107|6000</v>
      </c>
      <c r="H22">
        <f t="shared" si="3"/>
        <v>2</v>
      </c>
      <c r="I22">
        <f>ROUND(VLOOKUP(INT(A22/1000),Sheet3!$A$2:$B$7,2,FALSE)*Sheet3!D$3,0)</f>
        <v>105</v>
      </c>
      <c r="K22">
        <f>ROUND(VLOOKUP(INT(A22/1000),Sheet3!$A$2:$B$7,2,FALSE)*Sheet3!E$3,0)</f>
        <v>4</v>
      </c>
      <c r="L22">
        <f>ROUND(VLOOKUP(INT(A22/1000),Sheet3!$A$2:$B$7,2,FALSE)*Sheet3!F$3,0)</f>
        <v>2</v>
      </c>
      <c r="M22">
        <f>ROUND(VLOOKUP(INT(A22/1000),Sheet3!$A$2:$B$7,2,FALSE)*Sheet3!G$3,0)</f>
        <v>2</v>
      </c>
    </row>
    <row r="23" spans="1:13">
      <c r="A23">
        <f t="shared" si="1"/>
        <v>6108</v>
      </c>
      <c r="B23" t="s">
        <v>47</v>
      </c>
      <c r="C23" t="s">
        <v>40</v>
      </c>
      <c r="D23">
        <f t="shared" si="2"/>
        <v>1208</v>
      </c>
      <c r="E23">
        <f t="shared" si="2"/>
        <v>800000</v>
      </c>
      <c r="F23" t="str">
        <f t="shared" si="2"/>
        <v>14107|10000</v>
      </c>
      <c r="H23">
        <f t="shared" si="3"/>
        <v>4</v>
      </c>
      <c r="I23">
        <f>ROUND(VLOOKUP(INT(A23/1000),Sheet3!$A$2:$B$7,2,FALSE)*Sheet3!D$3,0)</f>
        <v>105</v>
      </c>
      <c r="K23">
        <f>ROUND(VLOOKUP(INT(A23/1000),Sheet3!$A$2:$B$7,2,FALSE)*Sheet3!E$3,0)</f>
        <v>4</v>
      </c>
      <c r="L23">
        <f>ROUND(VLOOKUP(INT(A23/1000),Sheet3!$A$2:$B$7,2,FALSE)*Sheet3!F$3,0)</f>
        <v>2</v>
      </c>
      <c r="M23">
        <f>ROUND(VLOOKUP(INT(A23/1000),Sheet3!$A$2:$B$7,2,FALSE)*Sheet3!G$3,0)</f>
        <v>2</v>
      </c>
    </row>
    <row r="24" spans="1:13">
      <c r="A24">
        <f t="shared" si="1"/>
        <v>6109</v>
      </c>
      <c r="B24" t="s">
        <v>70</v>
      </c>
      <c r="C24" t="s">
        <v>32</v>
      </c>
      <c r="D24">
        <f t="shared" si="2"/>
        <v>1209</v>
      </c>
      <c r="E24">
        <f t="shared" si="2"/>
        <v>1200000</v>
      </c>
      <c r="F24" t="str">
        <f t="shared" si="2"/>
        <v>14107|15000</v>
      </c>
      <c r="H24">
        <f t="shared" si="3"/>
        <v>6</v>
      </c>
      <c r="I24">
        <f>ROUND(VLOOKUP(INT(A24/1000),Sheet3!$A$2:$B$7,2,FALSE)*Sheet3!D$3,0)</f>
        <v>105</v>
      </c>
      <c r="K24">
        <f>ROUND(VLOOKUP(INT(A24/1000),Sheet3!$A$2:$B$7,2,FALSE)*Sheet3!E$3,0)</f>
        <v>4</v>
      </c>
      <c r="L24">
        <f>ROUND(VLOOKUP(INT(A24/1000),Sheet3!$A$2:$B$7,2,FALSE)*Sheet3!F$3,0)</f>
        <v>2</v>
      </c>
      <c r="M24">
        <f>ROUND(VLOOKUP(INT(A24/1000),Sheet3!$A$2:$B$7,2,FALSE)*Sheet3!G$3,0)</f>
        <v>2</v>
      </c>
    </row>
    <row r="25" spans="1:13">
      <c r="A25">
        <f t="shared" si="1"/>
        <v>6110</v>
      </c>
      <c r="B25" t="s">
        <v>72</v>
      </c>
      <c r="C25" t="s">
        <v>31</v>
      </c>
      <c r="D25">
        <f t="shared" si="2"/>
        <v>1210</v>
      </c>
      <c r="E25">
        <f t="shared" si="2"/>
        <v>1600000</v>
      </c>
      <c r="F25" t="str">
        <f t="shared" si="2"/>
        <v>14107|20000</v>
      </c>
      <c r="H25">
        <f t="shared" si="3"/>
        <v>8</v>
      </c>
      <c r="I25">
        <f>ROUND(VLOOKUP(INT(A25/1000),Sheet3!$A$2:$B$7,2,FALSE)*Sheet3!D$3,0)</f>
        <v>105</v>
      </c>
      <c r="K25">
        <f>ROUND(VLOOKUP(INT(A25/1000),Sheet3!$A$2:$B$7,2,FALSE)*Sheet3!E$3,0)</f>
        <v>4</v>
      </c>
      <c r="L25">
        <f>ROUND(VLOOKUP(INT(A25/1000),Sheet3!$A$2:$B$7,2,FALSE)*Sheet3!F$3,0)</f>
        <v>2</v>
      </c>
      <c r="M25">
        <f>ROUND(VLOOKUP(INT(A25/1000),Sheet3!$A$2:$B$7,2,FALSE)*Sheet3!G$3,0)</f>
        <v>2</v>
      </c>
    </row>
    <row r="26" spans="1:13">
      <c r="A26">
        <f t="shared" si="1"/>
        <v>6111</v>
      </c>
      <c r="B26" t="s">
        <v>73</v>
      </c>
      <c r="C26" t="s">
        <v>74</v>
      </c>
      <c r="D26">
        <f t="shared" si="2"/>
        <v>1211</v>
      </c>
      <c r="E26">
        <f t="shared" si="2"/>
        <v>2000000</v>
      </c>
      <c r="F26" t="str">
        <f t="shared" si="2"/>
        <v>14107|24000</v>
      </c>
      <c r="H26">
        <f t="shared" si="3"/>
        <v>10</v>
      </c>
      <c r="I26">
        <f>ROUND(VLOOKUP(INT(A26/1000),Sheet3!$A$2:$B$7,2,FALSE)*Sheet3!D$3,0)</f>
        <v>105</v>
      </c>
      <c r="K26">
        <f>ROUND(VLOOKUP(INT(A26/1000),Sheet3!$A$2:$B$7,2,FALSE)*Sheet3!E$3,0)</f>
        <v>4</v>
      </c>
      <c r="L26">
        <f>ROUND(VLOOKUP(INT(A26/1000),Sheet3!$A$2:$B$7,2,FALSE)*Sheet3!F$3,0)</f>
        <v>2</v>
      </c>
      <c r="M26">
        <f>ROUND(VLOOKUP(INT(A26/1000),Sheet3!$A$2:$B$7,2,FALSE)*Sheet3!G$3,0)</f>
        <v>2</v>
      </c>
    </row>
    <row r="27" spans="1:13">
      <c r="A27">
        <f t="shared" si="1"/>
        <v>6112</v>
      </c>
      <c r="B27" t="s">
        <v>75</v>
      </c>
      <c r="C27" t="s">
        <v>76</v>
      </c>
      <c r="D27">
        <f t="shared" si="2"/>
        <v>1212</v>
      </c>
      <c r="E27">
        <f t="shared" si="2"/>
        <v>2400000</v>
      </c>
      <c r="F27" t="str">
        <f t="shared" si="2"/>
        <v>14107|28000</v>
      </c>
      <c r="H27">
        <f t="shared" si="3"/>
        <v>12</v>
      </c>
      <c r="I27">
        <f>ROUND(VLOOKUP(INT(A27/1000),Sheet3!$A$2:$B$7,2,FALSE)*Sheet3!D$3,0)</f>
        <v>105</v>
      </c>
      <c r="K27">
        <f>ROUND(VLOOKUP(INT(A27/1000),Sheet3!$A$2:$B$7,2,FALSE)*Sheet3!E$3,0)</f>
        <v>4</v>
      </c>
      <c r="L27">
        <f>ROUND(VLOOKUP(INT(A27/1000),Sheet3!$A$2:$B$7,2,FALSE)*Sheet3!F$3,0)</f>
        <v>2</v>
      </c>
      <c r="M27">
        <f>ROUND(VLOOKUP(INT(A27/1000),Sheet3!$A$2:$B$7,2,FALSE)*Sheet3!G$3,0)</f>
        <v>2</v>
      </c>
    </row>
    <row r="28" spans="1:13">
      <c r="A28">
        <f t="shared" ref="A28:A33" si="4">A16+5000</f>
        <v>11101</v>
      </c>
      <c r="B28" t="str">
        <f t="shared" ref="B28:C39" si="5">B4</f>
        <v>伙伴5级时开启</v>
      </c>
      <c r="C28" t="str">
        <f t="shared" si="5"/>
        <v>进阶+1</v>
      </c>
      <c r="D28">
        <f t="shared" ref="D28:F80" si="6">D16</f>
        <v>1201</v>
      </c>
      <c r="E28">
        <f t="shared" ref="E28:F28" si="7">E16</f>
        <v>10000</v>
      </c>
      <c r="F28" t="str">
        <f t="shared" si="7"/>
        <v>14107|120</v>
      </c>
      <c r="H28">
        <f t="shared" ref="H28:H80" si="8">H16</f>
        <v>0</v>
      </c>
      <c r="I28">
        <f>ROUND(VLOOKUP(INT(A28/1000),Sheet3!$A$2:$B$7,2,FALSE)*Sheet3!D$3,0)</f>
        <v>120</v>
      </c>
      <c r="K28">
        <f>ROUND(VLOOKUP(INT(A28/1000),Sheet3!$A$2:$B$7,2,FALSE)*Sheet3!E$3,0)</f>
        <v>4</v>
      </c>
      <c r="L28">
        <f>ROUND(VLOOKUP(INT(A28/1000),Sheet3!$A$2:$B$7,2,FALSE)*Sheet3!F$3,0)</f>
        <v>2</v>
      </c>
      <c r="M28">
        <f>ROUND(VLOOKUP(INT(A28/1000),Sheet3!$A$2:$B$7,2,FALSE)*Sheet3!G$3,0)</f>
        <v>2</v>
      </c>
    </row>
    <row r="29" spans="1:13">
      <c r="A29">
        <f t="shared" si="4"/>
        <v>11102</v>
      </c>
      <c r="B29" t="str">
        <f t="shared" si="5"/>
        <v>伙伴15级时开启</v>
      </c>
      <c r="C29" t="str">
        <f t="shared" si="5"/>
        <v>进阶+2</v>
      </c>
      <c r="D29">
        <f t="shared" si="6"/>
        <v>1202</v>
      </c>
      <c r="E29">
        <f t="shared" ref="E29:F29" si="9">E17</f>
        <v>30000</v>
      </c>
      <c r="F29" t="str">
        <f t="shared" si="9"/>
        <v>14107|360</v>
      </c>
      <c r="H29">
        <f t="shared" si="8"/>
        <v>0</v>
      </c>
      <c r="I29">
        <f>ROUND(VLOOKUP(INT(A29/1000),Sheet3!$A$2:$B$7,2,FALSE)*Sheet3!D$3,0)</f>
        <v>120</v>
      </c>
      <c r="K29">
        <f>ROUND(VLOOKUP(INT(A29/1000),Sheet3!$A$2:$B$7,2,FALSE)*Sheet3!E$3,0)</f>
        <v>4</v>
      </c>
      <c r="L29">
        <f>ROUND(VLOOKUP(INT(A29/1000),Sheet3!$A$2:$B$7,2,FALSE)*Sheet3!F$3,0)</f>
        <v>2</v>
      </c>
      <c r="M29">
        <f>ROUND(VLOOKUP(INT(A29/1000),Sheet3!$A$2:$B$7,2,FALSE)*Sheet3!G$3,0)</f>
        <v>2</v>
      </c>
    </row>
    <row r="30" spans="1:13">
      <c r="A30">
        <f t="shared" si="4"/>
        <v>11103</v>
      </c>
      <c r="B30" t="str">
        <f t="shared" si="5"/>
        <v>伙伴25级时开启</v>
      </c>
      <c r="C30" t="str">
        <f t="shared" si="5"/>
        <v>进阶+3</v>
      </c>
      <c r="D30">
        <f t="shared" si="6"/>
        <v>1203</v>
      </c>
      <c r="E30">
        <f t="shared" ref="E30:F30" si="10">E18</f>
        <v>50000</v>
      </c>
      <c r="F30" t="str">
        <f t="shared" si="10"/>
        <v>14107|600</v>
      </c>
      <c r="H30">
        <f t="shared" si="8"/>
        <v>0</v>
      </c>
      <c r="I30">
        <f>ROUND(VLOOKUP(INT(A30/1000),Sheet3!$A$2:$B$7,2,FALSE)*Sheet3!D$3,0)</f>
        <v>120</v>
      </c>
      <c r="K30">
        <f>ROUND(VLOOKUP(INT(A30/1000),Sheet3!$A$2:$B$7,2,FALSE)*Sheet3!E$3,0)</f>
        <v>4</v>
      </c>
      <c r="L30">
        <f>ROUND(VLOOKUP(INT(A30/1000),Sheet3!$A$2:$B$7,2,FALSE)*Sheet3!F$3,0)</f>
        <v>2</v>
      </c>
      <c r="M30">
        <f>ROUND(VLOOKUP(INT(A30/1000),Sheet3!$A$2:$B$7,2,FALSE)*Sheet3!G$3,0)</f>
        <v>2</v>
      </c>
    </row>
    <row r="31" spans="1:13">
      <c r="A31">
        <f t="shared" si="4"/>
        <v>11104</v>
      </c>
      <c r="B31" t="str">
        <f t="shared" si="5"/>
        <v>伙伴35级时开启</v>
      </c>
      <c r="C31" t="str">
        <f t="shared" si="5"/>
        <v>进阶+4</v>
      </c>
      <c r="D31">
        <f t="shared" si="6"/>
        <v>1204</v>
      </c>
      <c r="E31">
        <f t="shared" ref="E31:F31" si="11">E19</f>
        <v>100000</v>
      </c>
      <c r="F31" t="str">
        <f t="shared" si="11"/>
        <v>14107|1200</v>
      </c>
      <c r="H31">
        <f t="shared" si="8"/>
        <v>1</v>
      </c>
      <c r="I31">
        <f>ROUND(VLOOKUP(INT(A31/1000),Sheet3!$A$2:$B$7,2,FALSE)*Sheet3!D$3,0)</f>
        <v>120</v>
      </c>
      <c r="K31">
        <f>ROUND(VLOOKUP(INT(A31/1000),Sheet3!$A$2:$B$7,2,FALSE)*Sheet3!E$3,0)</f>
        <v>4</v>
      </c>
      <c r="L31">
        <f>ROUND(VLOOKUP(INT(A31/1000),Sheet3!$A$2:$B$7,2,FALSE)*Sheet3!F$3,0)</f>
        <v>2</v>
      </c>
      <c r="M31">
        <f>ROUND(VLOOKUP(INT(A31/1000),Sheet3!$A$2:$B$7,2,FALSE)*Sheet3!G$3,0)</f>
        <v>2</v>
      </c>
    </row>
    <row r="32" spans="1:13">
      <c r="A32">
        <f t="shared" si="4"/>
        <v>11105</v>
      </c>
      <c r="B32" t="str">
        <f t="shared" si="5"/>
        <v>伙伴45级时开启</v>
      </c>
      <c r="C32" t="str">
        <f t="shared" si="5"/>
        <v>进阶+5</v>
      </c>
      <c r="D32">
        <f t="shared" si="6"/>
        <v>1205</v>
      </c>
      <c r="E32">
        <f t="shared" si="6"/>
        <v>200000</v>
      </c>
      <c r="F32" t="str">
        <f t="shared" si="6"/>
        <v>14107|2400</v>
      </c>
      <c r="H32">
        <f t="shared" si="8"/>
        <v>1</v>
      </c>
      <c r="I32">
        <f>ROUND(VLOOKUP(INT(A32/1000),Sheet3!$A$2:$B$7,2,FALSE)*Sheet3!D$3,0)</f>
        <v>120</v>
      </c>
      <c r="K32">
        <f>ROUND(VLOOKUP(INT(A32/1000),Sheet3!$A$2:$B$7,2,FALSE)*Sheet3!E$3,0)</f>
        <v>4</v>
      </c>
      <c r="L32">
        <f>ROUND(VLOOKUP(INT(A32/1000),Sheet3!$A$2:$B$7,2,FALSE)*Sheet3!F$3,0)</f>
        <v>2</v>
      </c>
      <c r="M32">
        <f>ROUND(VLOOKUP(INT(A32/1000),Sheet3!$A$2:$B$7,2,FALSE)*Sheet3!G$3,0)</f>
        <v>2</v>
      </c>
    </row>
    <row r="33" spans="1:13">
      <c r="A33">
        <f t="shared" si="4"/>
        <v>11106</v>
      </c>
      <c r="B33" t="str">
        <f t="shared" si="5"/>
        <v>伙伴55级时开启</v>
      </c>
      <c r="C33" t="str">
        <f t="shared" si="5"/>
        <v>进阶+6</v>
      </c>
      <c r="D33">
        <f t="shared" si="6"/>
        <v>1206</v>
      </c>
      <c r="E33">
        <f t="shared" ref="E33:F33" si="12">E21</f>
        <v>300000</v>
      </c>
      <c r="F33" t="str">
        <f t="shared" si="12"/>
        <v>14107|3600</v>
      </c>
      <c r="H33">
        <f t="shared" si="8"/>
        <v>2</v>
      </c>
      <c r="I33">
        <f>ROUND(VLOOKUP(INT(A33/1000),Sheet3!$A$2:$B$7,2,FALSE)*Sheet3!D$3,0)</f>
        <v>120</v>
      </c>
      <c r="K33">
        <f>ROUND(VLOOKUP(INT(A33/1000),Sheet3!$A$2:$B$7,2,FALSE)*Sheet3!E$3,0)</f>
        <v>4</v>
      </c>
      <c r="L33">
        <f>ROUND(VLOOKUP(INT(A33/1000),Sheet3!$A$2:$B$7,2,FALSE)*Sheet3!F$3,0)</f>
        <v>2</v>
      </c>
      <c r="M33">
        <f>ROUND(VLOOKUP(INT(A33/1000),Sheet3!$A$2:$B$7,2,FALSE)*Sheet3!G$3,0)</f>
        <v>2</v>
      </c>
    </row>
    <row r="34" spans="1:13">
      <c r="A34">
        <f t="shared" ref="A34:A39" si="13">A22+5000</f>
        <v>11107</v>
      </c>
      <c r="B34" t="str">
        <f t="shared" si="5"/>
        <v>伙伴65级时开启</v>
      </c>
      <c r="C34" t="str">
        <f t="shared" si="5"/>
        <v>进阶+7</v>
      </c>
      <c r="D34">
        <f t="shared" si="6"/>
        <v>1207</v>
      </c>
      <c r="E34">
        <f t="shared" ref="E34:F34" si="14">E22</f>
        <v>500000</v>
      </c>
      <c r="F34" t="str">
        <f t="shared" si="14"/>
        <v>14107|6000</v>
      </c>
      <c r="H34">
        <f t="shared" si="8"/>
        <v>2</v>
      </c>
      <c r="I34">
        <f>ROUND(VLOOKUP(INT(A34/1000),Sheet3!$A$2:$B$7,2,FALSE)*Sheet3!D$3,0)</f>
        <v>120</v>
      </c>
      <c r="K34">
        <f>ROUND(VLOOKUP(INT(A34/1000),Sheet3!$A$2:$B$7,2,FALSE)*Sheet3!E$3,0)</f>
        <v>4</v>
      </c>
      <c r="L34">
        <f>ROUND(VLOOKUP(INT(A34/1000),Sheet3!$A$2:$B$7,2,FALSE)*Sheet3!F$3,0)</f>
        <v>2</v>
      </c>
      <c r="M34">
        <f>ROUND(VLOOKUP(INT(A34/1000),Sheet3!$A$2:$B$7,2,FALSE)*Sheet3!G$3,0)</f>
        <v>2</v>
      </c>
    </row>
    <row r="35" spans="1:13">
      <c r="A35">
        <f t="shared" si="13"/>
        <v>11108</v>
      </c>
      <c r="B35" t="str">
        <f t="shared" si="5"/>
        <v>伙伴75级时开启</v>
      </c>
      <c r="C35" t="str">
        <f t="shared" si="5"/>
        <v>进阶+8</v>
      </c>
      <c r="D35">
        <f t="shared" si="6"/>
        <v>1208</v>
      </c>
      <c r="E35">
        <f t="shared" ref="E35:F35" si="15">E23</f>
        <v>800000</v>
      </c>
      <c r="F35" t="str">
        <f t="shared" si="15"/>
        <v>14107|10000</v>
      </c>
      <c r="H35">
        <f t="shared" si="8"/>
        <v>4</v>
      </c>
      <c r="I35">
        <f>ROUND(VLOOKUP(INT(A35/1000),Sheet3!$A$2:$B$7,2,FALSE)*Sheet3!D$3,0)</f>
        <v>120</v>
      </c>
      <c r="K35">
        <f>ROUND(VLOOKUP(INT(A35/1000),Sheet3!$A$2:$B$7,2,FALSE)*Sheet3!E$3,0)</f>
        <v>4</v>
      </c>
      <c r="L35">
        <f>ROUND(VLOOKUP(INT(A35/1000),Sheet3!$A$2:$B$7,2,FALSE)*Sheet3!F$3,0)</f>
        <v>2</v>
      </c>
      <c r="M35">
        <f>ROUND(VLOOKUP(INT(A35/1000),Sheet3!$A$2:$B$7,2,FALSE)*Sheet3!G$3,0)</f>
        <v>2</v>
      </c>
    </row>
    <row r="36" spans="1:13">
      <c r="A36">
        <f t="shared" si="13"/>
        <v>11109</v>
      </c>
      <c r="B36" t="str">
        <f t="shared" si="5"/>
        <v>伙伴85级时开启</v>
      </c>
      <c r="C36" t="str">
        <f t="shared" si="5"/>
        <v>进阶+9</v>
      </c>
      <c r="D36">
        <f t="shared" si="6"/>
        <v>1209</v>
      </c>
      <c r="E36">
        <f t="shared" ref="E36:F36" si="16">E24</f>
        <v>1200000</v>
      </c>
      <c r="F36" t="str">
        <f t="shared" si="16"/>
        <v>14107|15000</v>
      </c>
      <c r="H36">
        <f t="shared" si="8"/>
        <v>6</v>
      </c>
      <c r="I36">
        <f>ROUND(VLOOKUP(INT(A36/1000),Sheet3!$A$2:$B$7,2,FALSE)*Sheet3!D$3,0)</f>
        <v>120</v>
      </c>
      <c r="K36">
        <f>ROUND(VLOOKUP(INT(A36/1000),Sheet3!$A$2:$B$7,2,FALSE)*Sheet3!E$3,0)</f>
        <v>4</v>
      </c>
      <c r="L36">
        <f>ROUND(VLOOKUP(INT(A36/1000),Sheet3!$A$2:$B$7,2,FALSE)*Sheet3!F$3,0)</f>
        <v>2</v>
      </c>
      <c r="M36">
        <f>ROUND(VLOOKUP(INT(A36/1000),Sheet3!$A$2:$B$7,2,FALSE)*Sheet3!G$3,0)</f>
        <v>2</v>
      </c>
    </row>
    <row r="37" spans="1:13">
      <c r="A37">
        <f t="shared" si="13"/>
        <v>11110</v>
      </c>
      <c r="B37" t="str">
        <f t="shared" si="5"/>
        <v>伙伴95级时开启</v>
      </c>
      <c r="C37" t="str">
        <f t="shared" si="5"/>
        <v>进阶+10</v>
      </c>
      <c r="D37">
        <f t="shared" si="6"/>
        <v>1210</v>
      </c>
      <c r="E37">
        <f t="shared" ref="E37:F37" si="17">E25</f>
        <v>1600000</v>
      </c>
      <c r="F37" t="str">
        <f t="shared" si="17"/>
        <v>14107|20000</v>
      </c>
      <c r="H37">
        <f t="shared" si="8"/>
        <v>8</v>
      </c>
      <c r="I37">
        <f>ROUND(VLOOKUP(INT(A37/1000),Sheet3!$A$2:$B$7,2,FALSE)*Sheet3!D$3,0)</f>
        <v>120</v>
      </c>
      <c r="K37">
        <f>ROUND(VLOOKUP(INT(A37/1000),Sheet3!$A$2:$B$7,2,FALSE)*Sheet3!E$3,0)</f>
        <v>4</v>
      </c>
      <c r="L37">
        <f>ROUND(VLOOKUP(INT(A37/1000),Sheet3!$A$2:$B$7,2,FALSE)*Sheet3!F$3,0)</f>
        <v>2</v>
      </c>
      <c r="M37">
        <f>ROUND(VLOOKUP(INT(A37/1000),Sheet3!$A$2:$B$7,2,FALSE)*Sheet3!G$3,0)</f>
        <v>2</v>
      </c>
    </row>
    <row r="38" spans="1:13">
      <c r="A38">
        <f t="shared" si="13"/>
        <v>11111</v>
      </c>
      <c r="B38" t="str">
        <f t="shared" si="5"/>
        <v>伙伴105级时开启</v>
      </c>
      <c r="C38" t="str">
        <f t="shared" si="5"/>
        <v>进阶+11</v>
      </c>
      <c r="D38">
        <f t="shared" si="6"/>
        <v>1211</v>
      </c>
      <c r="E38">
        <f t="shared" ref="E38:F38" si="18">E26</f>
        <v>2000000</v>
      </c>
      <c r="F38" t="str">
        <f t="shared" si="18"/>
        <v>14107|24000</v>
      </c>
      <c r="H38">
        <f t="shared" si="8"/>
        <v>10</v>
      </c>
      <c r="I38">
        <f>ROUND(VLOOKUP(INT(A38/1000),Sheet3!$A$2:$B$7,2,FALSE)*Sheet3!D$3,0)</f>
        <v>120</v>
      </c>
      <c r="K38">
        <f>ROUND(VLOOKUP(INT(A38/1000),Sheet3!$A$2:$B$7,2,FALSE)*Sheet3!E$3,0)</f>
        <v>4</v>
      </c>
      <c r="L38">
        <f>ROUND(VLOOKUP(INT(A38/1000),Sheet3!$A$2:$B$7,2,FALSE)*Sheet3!F$3,0)</f>
        <v>2</v>
      </c>
      <c r="M38">
        <f>ROUND(VLOOKUP(INT(A38/1000),Sheet3!$A$2:$B$7,2,FALSE)*Sheet3!G$3,0)</f>
        <v>2</v>
      </c>
    </row>
    <row r="39" spans="1:13">
      <c r="A39">
        <f t="shared" si="13"/>
        <v>11112</v>
      </c>
      <c r="B39" t="str">
        <f t="shared" si="5"/>
        <v>伙伴115级时开启</v>
      </c>
      <c r="C39" t="str">
        <f t="shared" si="5"/>
        <v>进阶+12</v>
      </c>
      <c r="D39">
        <f t="shared" si="6"/>
        <v>1212</v>
      </c>
      <c r="E39">
        <f t="shared" ref="E39:F39" si="19">E27</f>
        <v>2400000</v>
      </c>
      <c r="F39" t="str">
        <f t="shared" si="19"/>
        <v>14107|28000</v>
      </c>
      <c r="H39">
        <f t="shared" si="8"/>
        <v>12</v>
      </c>
      <c r="I39">
        <f>ROUND(VLOOKUP(INT(A39/1000),Sheet3!$A$2:$B$7,2,FALSE)*Sheet3!D$3,0)</f>
        <v>120</v>
      </c>
      <c r="K39">
        <f>ROUND(VLOOKUP(INT(A39/1000),Sheet3!$A$2:$B$7,2,FALSE)*Sheet3!E$3,0)</f>
        <v>4</v>
      </c>
      <c r="L39">
        <f>ROUND(VLOOKUP(INT(A39/1000),Sheet3!$A$2:$B$7,2,FALSE)*Sheet3!F$3,0)</f>
        <v>2</v>
      </c>
      <c r="M39">
        <f>ROUND(VLOOKUP(INT(A39/1000),Sheet3!$A$2:$B$7,2,FALSE)*Sheet3!G$3,0)</f>
        <v>2</v>
      </c>
    </row>
    <row r="40" spans="1:13">
      <c r="A40">
        <f>A28+100</f>
        <v>11201</v>
      </c>
      <c r="B40" t="str">
        <f t="shared" ref="B40:C40" si="20">B16</f>
        <v>伙伴5级时开启</v>
      </c>
      <c r="C40" t="str">
        <f t="shared" si="20"/>
        <v>进阶+1</v>
      </c>
      <c r="D40">
        <f t="shared" si="6"/>
        <v>1201</v>
      </c>
      <c r="E40">
        <f t="shared" si="6"/>
        <v>10000</v>
      </c>
      <c r="F40" t="str">
        <f t="shared" si="6"/>
        <v>14107|120</v>
      </c>
      <c r="H40">
        <f t="shared" si="8"/>
        <v>0</v>
      </c>
      <c r="I40">
        <f>ROUND(VLOOKUP(INT(A40/1000),Sheet3!$A$2:$B$7,2,FALSE)*Sheet3!D$3,0)</f>
        <v>120</v>
      </c>
      <c r="K40">
        <f>ROUND(VLOOKUP(INT(A40/1000),Sheet3!$A$2:$B$7,2,FALSE)*Sheet3!E$3,0)</f>
        <v>4</v>
      </c>
      <c r="L40">
        <f>ROUND(VLOOKUP(INT(A40/1000),Sheet3!$A$2:$B$7,2,FALSE)*Sheet3!F$3,0)</f>
        <v>2</v>
      </c>
      <c r="M40">
        <f>ROUND(VLOOKUP(INT(A40/1000),Sheet3!$A$2:$B$7,2,FALSE)*Sheet3!G$3,0)</f>
        <v>2</v>
      </c>
    </row>
    <row r="41" spans="1:13">
      <c r="A41">
        <f t="shared" ref="A41:A87" si="21">A29+100</f>
        <v>11202</v>
      </c>
      <c r="B41" t="str">
        <f t="shared" ref="B41:C41" si="22">B17</f>
        <v>伙伴15级时开启</v>
      </c>
      <c r="C41" t="str">
        <f t="shared" si="22"/>
        <v>进阶+2</v>
      </c>
      <c r="D41">
        <f t="shared" si="6"/>
        <v>1202</v>
      </c>
      <c r="E41">
        <f t="shared" ref="E41:F41" si="23">E29</f>
        <v>30000</v>
      </c>
      <c r="F41" t="str">
        <f t="shared" si="23"/>
        <v>14107|360</v>
      </c>
      <c r="H41">
        <f t="shared" si="8"/>
        <v>0</v>
      </c>
      <c r="I41">
        <f>ROUND(VLOOKUP(INT(A41/1000),Sheet3!$A$2:$B$7,2,FALSE)*Sheet3!D$3,0)</f>
        <v>120</v>
      </c>
      <c r="K41">
        <f>ROUND(VLOOKUP(INT(A41/1000),Sheet3!$A$2:$B$7,2,FALSE)*Sheet3!E$3,0)</f>
        <v>4</v>
      </c>
      <c r="L41">
        <f>ROUND(VLOOKUP(INT(A41/1000),Sheet3!$A$2:$B$7,2,FALSE)*Sheet3!F$3,0)</f>
        <v>2</v>
      </c>
      <c r="M41">
        <f>ROUND(VLOOKUP(INT(A41/1000),Sheet3!$A$2:$B$7,2,FALSE)*Sheet3!G$3,0)</f>
        <v>2</v>
      </c>
    </row>
    <row r="42" spans="1:13">
      <c r="A42">
        <f t="shared" si="21"/>
        <v>11203</v>
      </c>
      <c r="B42" t="str">
        <f t="shared" ref="B42:C42" si="24">B18</f>
        <v>伙伴25级时开启</v>
      </c>
      <c r="C42" t="str">
        <f t="shared" si="24"/>
        <v>进阶+3</v>
      </c>
      <c r="D42">
        <f t="shared" si="6"/>
        <v>1203</v>
      </c>
      <c r="E42">
        <f t="shared" ref="E42:F42" si="25">E30</f>
        <v>50000</v>
      </c>
      <c r="F42" t="str">
        <f t="shared" si="25"/>
        <v>14107|600</v>
      </c>
      <c r="H42">
        <f t="shared" si="8"/>
        <v>0</v>
      </c>
      <c r="I42">
        <f>ROUND(VLOOKUP(INT(A42/1000),Sheet3!$A$2:$B$7,2,FALSE)*Sheet3!D$3,0)</f>
        <v>120</v>
      </c>
      <c r="K42">
        <f>ROUND(VLOOKUP(INT(A42/1000),Sheet3!$A$2:$B$7,2,FALSE)*Sheet3!E$3,0)</f>
        <v>4</v>
      </c>
      <c r="L42">
        <f>ROUND(VLOOKUP(INT(A42/1000),Sheet3!$A$2:$B$7,2,FALSE)*Sheet3!F$3,0)</f>
        <v>2</v>
      </c>
      <c r="M42">
        <f>ROUND(VLOOKUP(INT(A42/1000),Sheet3!$A$2:$B$7,2,FALSE)*Sheet3!G$3,0)</f>
        <v>2</v>
      </c>
    </row>
    <row r="43" spans="1:13">
      <c r="A43">
        <f t="shared" si="21"/>
        <v>11204</v>
      </c>
      <c r="B43" t="str">
        <f t="shared" ref="B43:C43" si="26">B19</f>
        <v>伙伴35级时开启</v>
      </c>
      <c r="C43" t="str">
        <f t="shared" si="26"/>
        <v>进阶+4</v>
      </c>
      <c r="D43">
        <f t="shared" si="6"/>
        <v>1204</v>
      </c>
      <c r="E43">
        <f t="shared" ref="E43:F43" si="27">E31</f>
        <v>100000</v>
      </c>
      <c r="F43" t="str">
        <f t="shared" si="27"/>
        <v>14107|1200</v>
      </c>
      <c r="H43">
        <f t="shared" si="8"/>
        <v>1</v>
      </c>
      <c r="I43">
        <f>ROUND(VLOOKUP(INT(A43/1000),Sheet3!$A$2:$B$7,2,FALSE)*Sheet3!D$3,0)</f>
        <v>120</v>
      </c>
      <c r="K43">
        <f>ROUND(VLOOKUP(INT(A43/1000),Sheet3!$A$2:$B$7,2,FALSE)*Sheet3!E$3,0)</f>
        <v>4</v>
      </c>
      <c r="L43">
        <f>ROUND(VLOOKUP(INT(A43/1000),Sheet3!$A$2:$B$7,2,FALSE)*Sheet3!F$3,0)</f>
        <v>2</v>
      </c>
      <c r="M43">
        <f>ROUND(VLOOKUP(INT(A43/1000),Sheet3!$A$2:$B$7,2,FALSE)*Sheet3!G$3,0)</f>
        <v>2</v>
      </c>
    </row>
    <row r="44" spans="1:13">
      <c r="A44">
        <f t="shared" si="21"/>
        <v>11205</v>
      </c>
      <c r="B44" t="str">
        <f t="shared" ref="B44:C44" si="28">B20</f>
        <v>伙伴45级时开启</v>
      </c>
      <c r="C44" t="str">
        <f t="shared" si="28"/>
        <v>进阶+5</v>
      </c>
      <c r="D44">
        <f t="shared" si="6"/>
        <v>1205</v>
      </c>
      <c r="E44">
        <f t="shared" ref="E44:F44" si="29">E32</f>
        <v>200000</v>
      </c>
      <c r="F44" t="str">
        <f t="shared" si="29"/>
        <v>14107|2400</v>
      </c>
      <c r="H44">
        <f t="shared" si="8"/>
        <v>1</v>
      </c>
      <c r="I44">
        <f>ROUND(VLOOKUP(INT(A44/1000),Sheet3!$A$2:$B$7,2,FALSE)*Sheet3!D$3,0)</f>
        <v>120</v>
      </c>
      <c r="K44">
        <f>ROUND(VLOOKUP(INT(A44/1000),Sheet3!$A$2:$B$7,2,FALSE)*Sheet3!E$3,0)</f>
        <v>4</v>
      </c>
      <c r="L44">
        <f>ROUND(VLOOKUP(INT(A44/1000),Sheet3!$A$2:$B$7,2,FALSE)*Sheet3!F$3,0)</f>
        <v>2</v>
      </c>
      <c r="M44">
        <f>ROUND(VLOOKUP(INT(A44/1000),Sheet3!$A$2:$B$7,2,FALSE)*Sheet3!G$3,0)</f>
        <v>2</v>
      </c>
    </row>
    <row r="45" spans="1:13">
      <c r="A45">
        <f t="shared" si="21"/>
        <v>11206</v>
      </c>
      <c r="B45" t="str">
        <f t="shared" ref="B45:C45" si="30">B21</f>
        <v>伙伴55级时开启</v>
      </c>
      <c r="C45" t="str">
        <f t="shared" si="30"/>
        <v>进阶+6</v>
      </c>
      <c r="D45">
        <f t="shared" si="6"/>
        <v>1206</v>
      </c>
      <c r="E45">
        <f t="shared" ref="E45:F45" si="31">E33</f>
        <v>300000</v>
      </c>
      <c r="F45" t="str">
        <f t="shared" si="31"/>
        <v>14107|3600</v>
      </c>
      <c r="H45">
        <f t="shared" si="8"/>
        <v>2</v>
      </c>
      <c r="I45">
        <f>ROUND(VLOOKUP(INT(A45/1000),Sheet3!$A$2:$B$7,2,FALSE)*Sheet3!D$3,0)</f>
        <v>120</v>
      </c>
      <c r="K45">
        <f>ROUND(VLOOKUP(INT(A45/1000),Sheet3!$A$2:$B$7,2,FALSE)*Sheet3!E$3,0)</f>
        <v>4</v>
      </c>
      <c r="L45">
        <f>ROUND(VLOOKUP(INT(A45/1000),Sheet3!$A$2:$B$7,2,FALSE)*Sheet3!F$3,0)</f>
        <v>2</v>
      </c>
      <c r="M45">
        <f>ROUND(VLOOKUP(INT(A45/1000),Sheet3!$A$2:$B$7,2,FALSE)*Sheet3!G$3,0)</f>
        <v>2</v>
      </c>
    </row>
    <row r="46" spans="1:13">
      <c r="A46">
        <f t="shared" si="21"/>
        <v>11207</v>
      </c>
      <c r="B46" t="str">
        <f t="shared" ref="B46:C46" si="32">B22</f>
        <v>伙伴65级时开启</v>
      </c>
      <c r="C46" t="str">
        <f t="shared" si="32"/>
        <v>进阶+7</v>
      </c>
      <c r="D46">
        <f t="shared" si="6"/>
        <v>1207</v>
      </c>
      <c r="E46">
        <f t="shared" ref="E46:F46" si="33">E34</f>
        <v>500000</v>
      </c>
      <c r="F46" t="str">
        <f t="shared" si="33"/>
        <v>14107|6000</v>
      </c>
      <c r="H46">
        <f t="shared" si="8"/>
        <v>2</v>
      </c>
      <c r="I46">
        <f>ROUND(VLOOKUP(INT(A46/1000),Sheet3!$A$2:$B$7,2,FALSE)*Sheet3!D$3,0)</f>
        <v>120</v>
      </c>
      <c r="K46">
        <f>ROUND(VLOOKUP(INT(A46/1000),Sheet3!$A$2:$B$7,2,FALSE)*Sheet3!E$3,0)</f>
        <v>4</v>
      </c>
      <c r="L46">
        <f>ROUND(VLOOKUP(INT(A46/1000),Sheet3!$A$2:$B$7,2,FALSE)*Sheet3!F$3,0)</f>
        <v>2</v>
      </c>
      <c r="M46">
        <f>ROUND(VLOOKUP(INT(A46/1000),Sheet3!$A$2:$B$7,2,FALSE)*Sheet3!G$3,0)</f>
        <v>2</v>
      </c>
    </row>
    <row r="47" spans="1:13">
      <c r="A47">
        <f t="shared" si="21"/>
        <v>11208</v>
      </c>
      <c r="B47" t="str">
        <f t="shared" ref="B47:C47" si="34">B23</f>
        <v>伙伴75级时开启</v>
      </c>
      <c r="C47" t="str">
        <f t="shared" si="34"/>
        <v>进阶+8</v>
      </c>
      <c r="D47">
        <f t="shared" si="6"/>
        <v>1208</v>
      </c>
      <c r="E47">
        <f t="shared" ref="E47:F47" si="35">E35</f>
        <v>800000</v>
      </c>
      <c r="F47" t="str">
        <f t="shared" si="35"/>
        <v>14107|10000</v>
      </c>
      <c r="H47">
        <f t="shared" si="8"/>
        <v>4</v>
      </c>
      <c r="I47">
        <f>ROUND(VLOOKUP(INT(A47/1000),Sheet3!$A$2:$B$7,2,FALSE)*Sheet3!D$3,0)</f>
        <v>120</v>
      </c>
      <c r="K47">
        <f>ROUND(VLOOKUP(INT(A47/1000),Sheet3!$A$2:$B$7,2,FALSE)*Sheet3!E$3,0)</f>
        <v>4</v>
      </c>
      <c r="L47">
        <f>ROUND(VLOOKUP(INT(A47/1000),Sheet3!$A$2:$B$7,2,FALSE)*Sheet3!F$3,0)</f>
        <v>2</v>
      </c>
      <c r="M47">
        <f>ROUND(VLOOKUP(INT(A47/1000),Sheet3!$A$2:$B$7,2,FALSE)*Sheet3!G$3,0)</f>
        <v>2</v>
      </c>
    </row>
    <row r="48" spans="1:13">
      <c r="A48">
        <f t="shared" si="21"/>
        <v>11209</v>
      </c>
      <c r="B48" t="str">
        <f t="shared" ref="B48:C48" si="36">B24</f>
        <v>伙伴85级时开启</v>
      </c>
      <c r="C48" t="str">
        <f t="shared" si="36"/>
        <v>进阶+9</v>
      </c>
      <c r="D48">
        <f t="shared" si="6"/>
        <v>1209</v>
      </c>
      <c r="E48">
        <f t="shared" si="6"/>
        <v>1200000</v>
      </c>
      <c r="F48" t="str">
        <f t="shared" si="6"/>
        <v>14107|15000</v>
      </c>
      <c r="H48">
        <f t="shared" si="8"/>
        <v>6</v>
      </c>
      <c r="I48">
        <f>ROUND(VLOOKUP(INT(A48/1000),Sheet3!$A$2:$B$7,2,FALSE)*Sheet3!D$3,0)</f>
        <v>120</v>
      </c>
      <c r="K48">
        <f>ROUND(VLOOKUP(INT(A48/1000),Sheet3!$A$2:$B$7,2,FALSE)*Sheet3!E$3,0)</f>
        <v>4</v>
      </c>
      <c r="L48">
        <f>ROUND(VLOOKUP(INT(A48/1000),Sheet3!$A$2:$B$7,2,FALSE)*Sheet3!F$3,0)</f>
        <v>2</v>
      </c>
      <c r="M48">
        <f>ROUND(VLOOKUP(INT(A48/1000),Sheet3!$A$2:$B$7,2,FALSE)*Sheet3!G$3,0)</f>
        <v>2</v>
      </c>
    </row>
    <row r="49" spans="1:13">
      <c r="A49">
        <f t="shared" si="21"/>
        <v>11210</v>
      </c>
      <c r="B49" t="str">
        <f t="shared" ref="B49:C49" si="37">B25</f>
        <v>伙伴95级时开启</v>
      </c>
      <c r="C49" t="str">
        <f t="shared" si="37"/>
        <v>进阶+10</v>
      </c>
      <c r="D49">
        <f t="shared" si="6"/>
        <v>1210</v>
      </c>
      <c r="E49">
        <f t="shared" ref="E49:F49" si="38">E37</f>
        <v>1600000</v>
      </c>
      <c r="F49" t="str">
        <f t="shared" si="38"/>
        <v>14107|20000</v>
      </c>
      <c r="H49">
        <f t="shared" si="8"/>
        <v>8</v>
      </c>
      <c r="I49">
        <f>ROUND(VLOOKUP(INT(A49/1000),Sheet3!$A$2:$B$7,2,FALSE)*Sheet3!D$3,0)</f>
        <v>120</v>
      </c>
      <c r="K49">
        <f>ROUND(VLOOKUP(INT(A49/1000),Sheet3!$A$2:$B$7,2,FALSE)*Sheet3!E$3,0)</f>
        <v>4</v>
      </c>
      <c r="L49">
        <f>ROUND(VLOOKUP(INT(A49/1000),Sheet3!$A$2:$B$7,2,FALSE)*Sheet3!F$3,0)</f>
        <v>2</v>
      </c>
      <c r="M49">
        <f>ROUND(VLOOKUP(INT(A49/1000),Sheet3!$A$2:$B$7,2,FALSE)*Sheet3!G$3,0)</f>
        <v>2</v>
      </c>
    </row>
    <row r="50" spans="1:13">
      <c r="A50">
        <f t="shared" si="21"/>
        <v>11211</v>
      </c>
      <c r="B50" t="str">
        <f t="shared" ref="B50:C50" si="39">B26</f>
        <v>伙伴105级时开启</v>
      </c>
      <c r="C50" t="str">
        <f t="shared" si="39"/>
        <v>进阶+11</v>
      </c>
      <c r="D50">
        <f t="shared" si="6"/>
        <v>1211</v>
      </c>
      <c r="E50">
        <f t="shared" ref="E50:F50" si="40">E38</f>
        <v>2000000</v>
      </c>
      <c r="F50" t="str">
        <f t="shared" si="40"/>
        <v>14107|24000</v>
      </c>
      <c r="H50">
        <f t="shared" si="8"/>
        <v>10</v>
      </c>
      <c r="I50">
        <f>ROUND(VLOOKUP(INT(A50/1000),Sheet3!$A$2:$B$7,2,FALSE)*Sheet3!D$3,0)</f>
        <v>120</v>
      </c>
      <c r="K50">
        <f>ROUND(VLOOKUP(INT(A50/1000),Sheet3!$A$2:$B$7,2,FALSE)*Sheet3!E$3,0)</f>
        <v>4</v>
      </c>
      <c r="L50">
        <f>ROUND(VLOOKUP(INT(A50/1000),Sheet3!$A$2:$B$7,2,FALSE)*Sheet3!F$3,0)</f>
        <v>2</v>
      </c>
      <c r="M50">
        <f>ROUND(VLOOKUP(INT(A50/1000),Sheet3!$A$2:$B$7,2,FALSE)*Sheet3!G$3,0)</f>
        <v>2</v>
      </c>
    </row>
    <row r="51" spans="1:13">
      <c r="A51">
        <f t="shared" si="21"/>
        <v>11212</v>
      </c>
      <c r="B51" t="str">
        <f t="shared" ref="B51:C51" si="41">B27</f>
        <v>伙伴115级时开启</v>
      </c>
      <c r="C51" t="str">
        <f t="shared" si="41"/>
        <v>进阶+12</v>
      </c>
      <c r="D51">
        <f t="shared" si="6"/>
        <v>1212</v>
      </c>
      <c r="E51">
        <f t="shared" ref="E51:F51" si="42">E39</f>
        <v>2400000</v>
      </c>
      <c r="F51" t="str">
        <f t="shared" si="42"/>
        <v>14107|28000</v>
      </c>
      <c r="H51">
        <f t="shared" si="8"/>
        <v>12</v>
      </c>
      <c r="I51">
        <f>ROUND(VLOOKUP(INT(A51/1000),Sheet3!$A$2:$B$7,2,FALSE)*Sheet3!D$3,0)</f>
        <v>120</v>
      </c>
      <c r="K51">
        <f>ROUND(VLOOKUP(INT(A51/1000),Sheet3!$A$2:$B$7,2,FALSE)*Sheet3!E$3,0)</f>
        <v>4</v>
      </c>
      <c r="L51">
        <f>ROUND(VLOOKUP(INT(A51/1000),Sheet3!$A$2:$B$7,2,FALSE)*Sheet3!F$3,0)</f>
        <v>2</v>
      </c>
      <c r="M51">
        <f>ROUND(VLOOKUP(INT(A51/1000),Sheet3!$A$2:$B$7,2,FALSE)*Sheet3!G$3,0)</f>
        <v>2</v>
      </c>
    </row>
    <row r="52" spans="1:13">
      <c r="A52">
        <f t="shared" si="21"/>
        <v>11301</v>
      </c>
      <c r="B52" t="str">
        <f t="shared" ref="B52:C52" si="43">B28</f>
        <v>伙伴5级时开启</v>
      </c>
      <c r="C52" t="str">
        <f t="shared" si="43"/>
        <v>进阶+1</v>
      </c>
      <c r="D52">
        <f t="shared" si="6"/>
        <v>1201</v>
      </c>
      <c r="E52">
        <f t="shared" ref="E52:F52" si="44">E40</f>
        <v>10000</v>
      </c>
      <c r="F52" t="str">
        <f t="shared" si="44"/>
        <v>14107|120</v>
      </c>
      <c r="H52">
        <f t="shared" si="8"/>
        <v>0</v>
      </c>
      <c r="I52">
        <f>ROUND(VLOOKUP(INT(A52/1000),Sheet3!$A$2:$B$7,2,FALSE)*Sheet3!D$3,0)</f>
        <v>120</v>
      </c>
      <c r="K52">
        <f>ROUND(VLOOKUP(INT(A52/1000),Sheet3!$A$2:$B$7,2,FALSE)*Sheet3!E$3,0)</f>
        <v>4</v>
      </c>
      <c r="L52">
        <f>ROUND(VLOOKUP(INT(A52/1000),Sheet3!$A$2:$B$7,2,FALSE)*Sheet3!F$3,0)</f>
        <v>2</v>
      </c>
      <c r="M52">
        <f>ROUND(VLOOKUP(INT(A52/1000),Sheet3!$A$2:$B$7,2,FALSE)*Sheet3!G$3,0)</f>
        <v>2</v>
      </c>
    </row>
    <row r="53" spans="1:13">
      <c r="A53">
        <f t="shared" si="21"/>
        <v>11302</v>
      </c>
      <c r="B53" t="str">
        <f t="shared" ref="B53:C53" si="45">B29</f>
        <v>伙伴15级时开启</v>
      </c>
      <c r="C53" t="str">
        <f t="shared" si="45"/>
        <v>进阶+2</v>
      </c>
      <c r="D53">
        <f t="shared" si="6"/>
        <v>1202</v>
      </c>
      <c r="E53">
        <f t="shared" ref="E53:F53" si="46">E41</f>
        <v>30000</v>
      </c>
      <c r="F53" t="str">
        <f t="shared" si="46"/>
        <v>14107|360</v>
      </c>
      <c r="H53">
        <f t="shared" si="8"/>
        <v>0</v>
      </c>
      <c r="I53">
        <f>ROUND(VLOOKUP(INT(A53/1000),Sheet3!$A$2:$B$7,2,FALSE)*Sheet3!D$3,0)</f>
        <v>120</v>
      </c>
      <c r="K53">
        <f>ROUND(VLOOKUP(INT(A53/1000),Sheet3!$A$2:$B$7,2,FALSE)*Sheet3!E$3,0)</f>
        <v>4</v>
      </c>
      <c r="L53">
        <f>ROUND(VLOOKUP(INT(A53/1000),Sheet3!$A$2:$B$7,2,FALSE)*Sheet3!F$3,0)</f>
        <v>2</v>
      </c>
      <c r="M53">
        <f>ROUND(VLOOKUP(INT(A53/1000),Sheet3!$A$2:$B$7,2,FALSE)*Sheet3!G$3,0)</f>
        <v>2</v>
      </c>
    </row>
    <row r="54" spans="1:13">
      <c r="A54">
        <f t="shared" si="21"/>
        <v>11303</v>
      </c>
      <c r="B54" t="str">
        <f t="shared" ref="B54:C54" si="47">B30</f>
        <v>伙伴25级时开启</v>
      </c>
      <c r="C54" t="str">
        <f t="shared" si="47"/>
        <v>进阶+3</v>
      </c>
      <c r="D54">
        <f t="shared" si="6"/>
        <v>1203</v>
      </c>
      <c r="E54">
        <f t="shared" ref="E54:F54" si="48">E42</f>
        <v>50000</v>
      </c>
      <c r="F54" t="str">
        <f t="shared" si="48"/>
        <v>14107|600</v>
      </c>
      <c r="H54">
        <f t="shared" si="8"/>
        <v>0</v>
      </c>
      <c r="I54">
        <f>ROUND(VLOOKUP(INT(A54/1000),Sheet3!$A$2:$B$7,2,FALSE)*Sheet3!D$3,0)</f>
        <v>120</v>
      </c>
      <c r="K54">
        <f>ROUND(VLOOKUP(INT(A54/1000),Sheet3!$A$2:$B$7,2,FALSE)*Sheet3!E$3,0)</f>
        <v>4</v>
      </c>
      <c r="L54">
        <f>ROUND(VLOOKUP(INT(A54/1000),Sheet3!$A$2:$B$7,2,FALSE)*Sheet3!F$3,0)</f>
        <v>2</v>
      </c>
      <c r="M54">
        <f>ROUND(VLOOKUP(INT(A54/1000),Sheet3!$A$2:$B$7,2,FALSE)*Sheet3!G$3,0)</f>
        <v>2</v>
      </c>
    </row>
    <row r="55" spans="1:13">
      <c r="A55">
        <f t="shared" si="21"/>
        <v>11304</v>
      </c>
      <c r="B55" t="str">
        <f t="shared" ref="B55:C55" si="49">B31</f>
        <v>伙伴35级时开启</v>
      </c>
      <c r="C55" t="str">
        <f t="shared" si="49"/>
        <v>进阶+4</v>
      </c>
      <c r="D55">
        <f t="shared" si="6"/>
        <v>1204</v>
      </c>
      <c r="E55">
        <f t="shared" ref="E55:F55" si="50">E43</f>
        <v>100000</v>
      </c>
      <c r="F55" t="str">
        <f t="shared" si="50"/>
        <v>14107|1200</v>
      </c>
      <c r="H55">
        <f t="shared" si="8"/>
        <v>1</v>
      </c>
      <c r="I55">
        <f>ROUND(VLOOKUP(INT(A55/1000),Sheet3!$A$2:$B$7,2,FALSE)*Sheet3!D$3,0)</f>
        <v>120</v>
      </c>
      <c r="K55">
        <f>ROUND(VLOOKUP(INT(A55/1000),Sheet3!$A$2:$B$7,2,FALSE)*Sheet3!E$3,0)</f>
        <v>4</v>
      </c>
      <c r="L55">
        <f>ROUND(VLOOKUP(INT(A55/1000),Sheet3!$A$2:$B$7,2,FALSE)*Sheet3!F$3,0)</f>
        <v>2</v>
      </c>
      <c r="M55">
        <f>ROUND(VLOOKUP(INT(A55/1000),Sheet3!$A$2:$B$7,2,FALSE)*Sheet3!G$3,0)</f>
        <v>2</v>
      </c>
    </row>
    <row r="56" spans="1:13">
      <c r="A56">
        <f t="shared" si="21"/>
        <v>11305</v>
      </c>
      <c r="B56" t="str">
        <f t="shared" ref="B56:C56" si="51">B32</f>
        <v>伙伴45级时开启</v>
      </c>
      <c r="C56" t="str">
        <f t="shared" si="51"/>
        <v>进阶+5</v>
      </c>
      <c r="D56">
        <f t="shared" si="6"/>
        <v>1205</v>
      </c>
      <c r="E56">
        <f t="shared" si="6"/>
        <v>200000</v>
      </c>
      <c r="F56" t="str">
        <f t="shared" si="6"/>
        <v>14107|2400</v>
      </c>
      <c r="H56">
        <f t="shared" si="8"/>
        <v>1</v>
      </c>
      <c r="I56">
        <f>ROUND(VLOOKUP(INT(A56/1000),Sheet3!$A$2:$B$7,2,FALSE)*Sheet3!D$3,0)</f>
        <v>120</v>
      </c>
      <c r="K56">
        <f>ROUND(VLOOKUP(INT(A56/1000),Sheet3!$A$2:$B$7,2,FALSE)*Sheet3!E$3,0)</f>
        <v>4</v>
      </c>
      <c r="L56">
        <f>ROUND(VLOOKUP(INT(A56/1000),Sheet3!$A$2:$B$7,2,FALSE)*Sheet3!F$3,0)</f>
        <v>2</v>
      </c>
      <c r="M56">
        <f>ROUND(VLOOKUP(INT(A56/1000),Sheet3!$A$2:$B$7,2,FALSE)*Sheet3!G$3,0)</f>
        <v>2</v>
      </c>
    </row>
    <row r="57" spans="1:13">
      <c r="A57">
        <f t="shared" si="21"/>
        <v>11306</v>
      </c>
      <c r="B57" t="str">
        <f t="shared" ref="B57:C57" si="52">B33</f>
        <v>伙伴55级时开启</v>
      </c>
      <c r="C57" t="str">
        <f t="shared" si="52"/>
        <v>进阶+6</v>
      </c>
      <c r="D57">
        <f t="shared" si="6"/>
        <v>1206</v>
      </c>
      <c r="E57">
        <f t="shared" ref="E57:F57" si="53">E45</f>
        <v>300000</v>
      </c>
      <c r="F57" t="str">
        <f t="shared" si="53"/>
        <v>14107|3600</v>
      </c>
      <c r="H57">
        <f t="shared" si="8"/>
        <v>2</v>
      </c>
      <c r="I57">
        <f>ROUND(VLOOKUP(INT(A57/1000),Sheet3!$A$2:$B$7,2,FALSE)*Sheet3!D$3,0)</f>
        <v>120</v>
      </c>
      <c r="K57">
        <f>ROUND(VLOOKUP(INT(A57/1000),Sheet3!$A$2:$B$7,2,FALSE)*Sheet3!E$3,0)</f>
        <v>4</v>
      </c>
      <c r="L57">
        <f>ROUND(VLOOKUP(INT(A57/1000),Sheet3!$A$2:$B$7,2,FALSE)*Sheet3!F$3,0)</f>
        <v>2</v>
      </c>
      <c r="M57">
        <f>ROUND(VLOOKUP(INT(A57/1000),Sheet3!$A$2:$B$7,2,FALSE)*Sheet3!G$3,0)</f>
        <v>2</v>
      </c>
    </row>
    <row r="58" spans="1:13">
      <c r="A58">
        <f t="shared" si="21"/>
        <v>11307</v>
      </c>
      <c r="B58" t="str">
        <f t="shared" ref="B58:C58" si="54">B34</f>
        <v>伙伴65级时开启</v>
      </c>
      <c r="C58" t="str">
        <f t="shared" si="54"/>
        <v>进阶+7</v>
      </c>
      <c r="D58">
        <f t="shared" si="6"/>
        <v>1207</v>
      </c>
      <c r="E58">
        <f t="shared" ref="E58:F58" si="55">E46</f>
        <v>500000</v>
      </c>
      <c r="F58" t="str">
        <f t="shared" si="55"/>
        <v>14107|6000</v>
      </c>
      <c r="H58">
        <f t="shared" si="8"/>
        <v>2</v>
      </c>
      <c r="I58">
        <f>ROUND(VLOOKUP(INT(A58/1000),Sheet3!$A$2:$B$7,2,FALSE)*Sheet3!D$3,0)</f>
        <v>120</v>
      </c>
      <c r="K58">
        <f>ROUND(VLOOKUP(INT(A58/1000),Sheet3!$A$2:$B$7,2,FALSE)*Sheet3!E$3,0)</f>
        <v>4</v>
      </c>
      <c r="L58">
        <f>ROUND(VLOOKUP(INT(A58/1000),Sheet3!$A$2:$B$7,2,FALSE)*Sheet3!F$3,0)</f>
        <v>2</v>
      </c>
      <c r="M58">
        <f>ROUND(VLOOKUP(INT(A58/1000),Sheet3!$A$2:$B$7,2,FALSE)*Sheet3!G$3,0)</f>
        <v>2</v>
      </c>
    </row>
    <row r="59" spans="1:13">
      <c r="A59">
        <f t="shared" si="21"/>
        <v>11308</v>
      </c>
      <c r="B59" t="str">
        <f t="shared" ref="B59:C59" si="56">B35</f>
        <v>伙伴75级时开启</v>
      </c>
      <c r="C59" t="str">
        <f t="shared" si="56"/>
        <v>进阶+8</v>
      </c>
      <c r="D59">
        <f t="shared" si="6"/>
        <v>1208</v>
      </c>
      <c r="E59">
        <f t="shared" ref="E59:F59" si="57">E47</f>
        <v>800000</v>
      </c>
      <c r="F59" t="str">
        <f t="shared" si="57"/>
        <v>14107|10000</v>
      </c>
      <c r="H59">
        <f t="shared" si="8"/>
        <v>4</v>
      </c>
      <c r="I59">
        <f>ROUND(VLOOKUP(INT(A59/1000),Sheet3!$A$2:$B$7,2,FALSE)*Sheet3!D$3,0)</f>
        <v>120</v>
      </c>
      <c r="K59">
        <f>ROUND(VLOOKUP(INT(A59/1000),Sheet3!$A$2:$B$7,2,FALSE)*Sheet3!E$3,0)</f>
        <v>4</v>
      </c>
      <c r="L59">
        <f>ROUND(VLOOKUP(INT(A59/1000),Sheet3!$A$2:$B$7,2,FALSE)*Sheet3!F$3,0)</f>
        <v>2</v>
      </c>
      <c r="M59">
        <f>ROUND(VLOOKUP(INT(A59/1000),Sheet3!$A$2:$B$7,2,FALSE)*Sheet3!G$3,0)</f>
        <v>2</v>
      </c>
    </row>
    <row r="60" spans="1:13">
      <c r="A60">
        <f t="shared" si="21"/>
        <v>11309</v>
      </c>
      <c r="B60" t="str">
        <f t="shared" ref="B60:C60" si="58">B36</f>
        <v>伙伴85级时开启</v>
      </c>
      <c r="C60" t="str">
        <f t="shared" si="58"/>
        <v>进阶+9</v>
      </c>
      <c r="D60">
        <f t="shared" si="6"/>
        <v>1209</v>
      </c>
      <c r="E60">
        <f t="shared" ref="E60:F60" si="59">E48</f>
        <v>1200000</v>
      </c>
      <c r="F60" t="str">
        <f t="shared" si="59"/>
        <v>14107|15000</v>
      </c>
      <c r="H60">
        <f t="shared" si="8"/>
        <v>6</v>
      </c>
      <c r="I60">
        <f>ROUND(VLOOKUP(INT(A60/1000),Sheet3!$A$2:$B$7,2,FALSE)*Sheet3!D$3,0)</f>
        <v>120</v>
      </c>
      <c r="K60">
        <f>ROUND(VLOOKUP(INT(A60/1000),Sheet3!$A$2:$B$7,2,FALSE)*Sheet3!E$3,0)</f>
        <v>4</v>
      </c>
      <c r="L60">
        <f>ROUND(VLOOKUP(INT(A60/1000),Sheet3!$A$2:$B$7,2,FALSE)*Sheet3!F$3,0)</f>
        <v>2</v>
      </c>
      <c r="M60">
        <f>ROUND(VLOOKUP(INT(A60/1000),Sheet3!$A$2:$B$7,2,FALSE)*Sheet3!G$3,0)</f>
        <v>2</v>
      </c>
    </row>
    <row r="61" spans="1:13">
      <c r="A61">
        <f t="shared" si="21"/>
        <v>11310</v>
      </c>
      <c r="B61" t="str">
        <f t="shared" ref="B61:C61" si="60">B37</f>
        <v>伙伴95级时开启</v>
      </c>
      <c r="C61" t="str">
        <f t="shared" si="60"/>
        <v>进阶+10</v>
      </c>
      <c r="D61">
        <f t="shared" si="6"/>
        <v>1210</v>
      </c>
      <c r="E61">
        <f t="shared" ref="E61:F61" si="61">E49</f>
        <v>1600000</v>
      </c>
      <c r="F61" t="str">
        <f t="shared" si="61"/>
        <v>14107|20000</v>
      </c>
      <c r="H61">
        <f t="shared" si="8"/>
        <v>8</v>
      </c>
      <c r="I61">
        <f>ROUND(VLOOKUP(INT(A61/1000),Sheet3!$A$2:$B$7,2,FALSE)*Sheet3!D$3,0)</f>
        <v>120</v>
      </c>
      <c r="K61">
        <f>ROUND(VLOOKUP(INT(A61/1000),Sheet3!$A$2:$B$7,2,FALSE)*Sheet3!E$3,0)</f>
        <v>4</v>
      </c>
      <c r="L61">
        <f>ROUND(VLOOKUP(INT(A61/1000),Sheet3!$A$2:$B$7,2,FALSE)*Sheet3!F$3,0)</f>
        <v>2</v>
      </c>
      <c r="M61">
        <f>ROUND(VLOOKUP(INT(A61/1000),Sheet3!$A$2:$B$7,2,FALSE)*Sheet3!G$3,0)</f>
        <v>2</v>
      </c>
    </row>
    <row r="62" spans="1:13">
      <c r="A62">
        <f t="shared" si="21"/>
        <v>11311</v>
      </c>
      <c r="B62" t="str">
        <f t="shared" ref="B62:C62" si="62">B38</f>
        <v>伙伴105级时开启</v>
      </c>
      <c r="C62" t="str">
        <f t="shared" si="62"/>
        <v>进阶+11</v>
      </c>
      <c r="D62">
        <f t="shared" si="6"/>
        <v>1211</v>
      </c>
      <c r="E62">
        <f t="shared" ref="E62:F62" si="63">E50</f>
        <v>2000000</v>
      </c>
      <c r="F62" t="str">
        <f t="shared" si="63"/>
        <v>14107|24000</v>
      </c>
      <c r="H62">
        <f t="shared" si="8"/>
        <v>10</v>
      </c>
      <c r="I62">
        <f>ROUND(VLOOKUP(INT(A62/1000),Sheet3!$A$2:$B$7,2,FALSE)*Sheet3!D$3,0)</f>
        <v>120</v>
      </c>
      <c r="K62">
        <f>ROUND(VLOOKUP(INT(A62/1000),Sheet3!$A$2:$B$7,2,FALSE)*Sheet3!E$3,0)</f>
        <v>4</v>
      </c>
      <c r="L62">
        <f>ROUND(VLOOKUP(INT(A62/1000),Sheet3!$A$2:$B$7,2,FALSE)*Sheet3!F$3,0)</f>
        <v>2</v>
      </c>
      <c r="M62">
        <f>ROUND(VLOOKUP(INT(A62/1000),Sheet3!$A$2:$B$7,2,FALSE)*Sheet3!G$3,0)</f>
        <v>2</v>
      </c>
    </row>
    <row r="63" spans="1:13">
      <c r="A63">
        <f t="shared" si="21"/>
        <v>11312</v>
      </c>
      <c r="B63" t="str">
        <f t="shared" ref="B63:C63" si="64">B39</f>
        <v>伙伴115级时开启</v>
      </c>
      <c r="C63" t="str">
        <f t="shared" si="64"/>
        <v>进阶+12</v>
      </c>
      <c r="D63">
        <f t="shared" si="6"/>
        <v>1212</v>
      </c>
      <c r="E63">
        <f t="shared" ref="E63:F63" si="65">E51</f>
        <v>2400000</v>
      </c>
      <c r="F63" t="str">
        <f t="shared" si="65"/>
        <v>14107|28000</v>
      </c>
      <c r="H63">
        <f t="shared" si="8"/>
        <v>12</v>
      </c>
      <c r="I63">
        <f>ROUND(VLOOKUP(INT(A63/1000),Sheet3!$A$2:$B$7,2,FALSE)*Sheet3!D$3,0)</f>
        <v>120</v>
      </c>
      <c r="K63">
        <f>ROUND(VLOOKUP(INT(A63/1000),Sheet3!$A$2:$B$7,2,FALSE)*Sheet3!E$3,0)</f>
        <v>4</v>
      </c>
      <c r="L63">
        <f>ROUND(VLOOKUP(INT(A63/1000),Sheet3!$A$2:$B$7,2,FALSE)*Sheet3!F$3,0)</f>
        <v>2</v>
      </c>
      <c r="M63">
        <f>ROUND(VLOOKUP(INT(A63/1000),Sheet3!$A$2:$B$7,2,FALSE)*Sheet3!G$3,0)</f>
        <v>2</v>
      </c>
    </row>
    <row r="64" spans="1:13">
      <c r="A64">
        <f t="shared" si="21"/>
        <v>11401</v>
      </c>
      <c r="B64" t="str">
        <f t="shared" ref="B64:C64" si="66">B40</f>
        <v>伙伴5级时开启</v>
      </c>
      <c r="C64" t="str">
        <f t="shared" si="66"/>
        <v>进阶+1</v>
      </c>
      <c r="D64">
        <f t="shared" si="6"/>
        <v>1201</v>
      </c>
      <c r="E64">
        <f t="shared" si="6"/>
        <v>10000</v>
      </c>
      <c r="F64" t="str">
        <f t="shared" si="6"/>
        <v>14107|120</v>
      </c>
      <c r="H64">
        <f t="shared" si="8"/>
        <v>0</v>
      </c>
      <c r="I64">
        <f>ROUND(VLOOKUP(INT(A64/1000),Sheet3!$A$2:$B$7,2,FALSE)*Sheet3!D$3,0)</f>
        <v>120</v>
      </c>
      <c r="K64">
        <f>ROUND(VLOOKUP(INT(A64/1000),Sheet3!$A$2:$B$7,2,FALSE)*Sheet3!E$3,0)</f>
        <v>4</v>
      </c>
      <c r="L64">
        <f>ROUND(VLOOKUP(INT(A64/1000),Sheet3!$A$2:$B$7,2,FALSE)*Sheet3!F$3,0)</f>
        <v>2</v>
      </c>
      <c r="M64">
        <f>ROUND(VLOOKUP(INT(A64/1000),Sheet3!$A$2:$B$7,2,FALSE)*Sheet3!G$3,0)</f>
        <v>2</v>
      </c>
    </row>
    <row r="65" spans="1:13">
      <c r="A65">
        <f t="shared" si="21"/>
        <v>11402</v>
      </c>
      <c r="B65" t="str">
        <f t="shared" ref="B65:C65" si="67">B41</f>
        <v>伙伴15级时开启</v>
      </c>
      <c r="C65" t="str">
        <f t="shared" si="67"/>
        <v>进阶+2</v>
      </c>
      <c r="D65">
        <f t="shared" si="6"/>
        <v>1202</v>
      </c>
      <c r="E65">
        <f t="shared" ref="E65:F65" si="68">E53</f>
        <v>30000</v>
      </c>
      <c r="F65" t="str">
        <f t="shared" si="68"/>
        <v>14107|360</v>
      </c>
      <c r="H65">
        <f t="shared" si="8"/>
        <v>0</v>
      </c>
      <c r="I65">
        <f>ROUND(VLOOKUP(INT(A65/1000),Sheet3!$A$2:$B$7,2,FALSE)*Sheet3!D$3,0)</f>
        <v>120</v>
      </c>
      <c r="K65">
        <f>ROUND(VLOOKUP(INT(A65/1000),Sheet3!$A$2:$B$7,2,FALSE)*Sheet3!E$3,0)</f>
        <v>4</v>
      </c>
      <c r="L65">
        <f>ROUND(VLOOKUP(INT(A65/1000),Sheet3!$A$2:$B$7,2,FALSE)*Sheet3!F$3,0)</f>
        <v>2</v>
      </c>
      <c r="M65">
        <f>ROUND(VLOOKUP(INT(A65/1000),Sheet3!$A$2:$B$7,2,FALSE)*Sheet3!G$3,0)</f>
        <v>2</v>
      </c>
    </row>
    <row r="66" spans="1:13">
      <c r="A66">
        <f t="shared" si="21"/>
        <v>11403</v>
      </c>
      <c r="B66" t="str">
        <f t="shared" ref="B66:C66" si="69">B42</f>
        <v>伙伴25级时开启</v>
      </c>
      <c r="C66" t="str">
        <f t="shared" si="69"/>
        <v>进阶+3</v>
      </c>
      <c r="D66">
        <f t="shared" si="6"/>
        <v>1203</v>
      </c>
      <c r="E66">
        <f t="shared" ref="E66:F66" si="70">E54</f>
        <v>50000</v>
      </c>
      <c r="F66" t="str">
        <f t="shared" si="70"/>
        <v>14107|600</v>
      </c>
      <c r="H66">
        <f t="shared" si="8"/>
        <v>0</v>
      </c>
      <c r="I66">
        <f>ROUND(VLOOKUP(INT(A66/1000),Sheet3!$A$2:$B$7,2,FALSE)*Sheet3!D$3,0)</f>
        <v>120</v>
      </c>
      <c r="K66">
        <f>ROUND(VLOOKUP(INT(A66/1000),Sheet3!$A$2:$B$7,2,FALSE)*Sheet3!E$3,0)</f>
        <v>4</v>
      </c>
      <c r="L66">
        <f>ROUND(VLOOKUP(INT(A66/1000),Sheet3!$A$2:$B$7,2,FALSE)*Sheet3!F$3,0)</f>
        <v>2</v>
      </c>
      <c r="M66">
        <f>ROUND(VLOOKUP(INT(A66/1000),Sheet3!$A$2:$B$7,2,FALSE)*Sheet3!G$3,0)</f>
        <v>2</v>
      </c>
    </row>
    <row r="67" spans="1:13">
      <c r="A67">
        <f t="shared" si="21"/>
        <v>11404</v>
      </c>
      <c r="B67" t="str">
        <f t="shared" ref="B67:C67" si="71">B43</f>
        <v>伙伴35级时开启</v>
      </c>
      <c r="C67" t="str">
        <f t="shared" si="71"/>
        <v>进阶+4</v>
      </c>
      <c r="D67">
        <f t="shared" si="6"/>
        <v>1204</v>
      </c>
      <c r="E67">
        <f t="shared" ref="E67:F67" si="72">E55</f>
        <v>100000</v>
      </c>
      <c r="F67" t="str">
        <f t="shared" si="72"/>
        <v>14107|1200</v>
      </c>
      <c r="H67">
        <f t="shared" si="8"/>
        <v>1</v>
      </c>
      <c r="I67">
        <f>ROUND(VLOOKUP(INT(A67/1000),Sheet3!$A$2:$B$7,2,FALSE)*Sheet3!D$3,0)</f>
        <v>120</v>
      </c>
      <c r="K67">
        <f>ROUND(VLOOKUP(INT(A67/1000),Sheet3!$A$2:$B$7,2,FALSE)*Sheet3!E$3,0)</f>
        <v>4</v>
      </c>
      <c r="L67">
        <f>ROUND(VLOOKUP(INT(A67/1000),Sheet3!$A$2:$B$7,2,FALSE)*Sheet3!F$3,0)</f>
        <v>2</v>
      </c>
      <c r="M67">
        <f>ROUND(VLOOKUP(INT(A67/1000),Sheet3!$A$2:$B$7,2,FALSE)*Sheet3!G$3,0)</f>
        <v>2</v>
      </c>
    </row>
    <row r="68" spans="1:13">
      <c r="A68">
        <f t="shared" si="21"/>
        <v>11405</v>
      </c>
      <c r="B68" t="str">
        <f t="shared" ref="B68:C68" si="73">B44</f>
        <v>伙伴45级时开启</v>
      </c>
      <c r="C68" t="str">
        <f t="shared" si="73"/>
        <v>进阶+5</v>
      </c>
      <c r="D68">
        <f t="shared" si="6"/>
        <v>1205</v>
      </c>
      <c r="E68">
        <f t="shared" ref="E68:F68" si="74">E56</f>
        <v>200000</v>
      </c>
      <c r="F68" t="str">
        <f t="shared" si="74"/>
        <v>14107|2400</v>
      </c>
      <c r="H68">
        <f t="shared" si="8"/>
        <v>1</v>
      </c>
      <c r="I68">
        <f>ROUND(VLOOKUP(INT(A68/1000),Sheet3!$A$2:$B$7,2,FALSE)*Sheet3!D$3,0)</f>
        <v>120</v>
      </c>
      <c r="K68">
        <f>ROUND(VLOOKUP(INT(A68/1000),Sheet3!$A$2:$B$7,2,FALSE)*Sheet3!E$3,0)</f>
        <v>4</v>
      </c>
      <c r="L68">
        <f>ROUND(VLOOKUP(INT(A68/1000),Sheet3!$A$2:$B$7,2,FALSE)*Sheet3!F$3,0)</f>
        <v>2</v>
      </c>
      <c r="M68">
        <f>ROUND(VLOOKUP(INT(A68/1000),Sheet3!$A$2:$B$7,2,FALSE)*Sheet3!G$3,0)</f>
        <v>2</v>
      </c>
    </row>
    <row r="69" spans="1:13">
      <c r="A69">
        <f t="shared" si="21"/>
        <v>11406</v>
      </c>
      <c r="B69" t="str">
        <f t="shared" ref="B69:C69" si="75">B45</f>
        <v>伙伴55级时开启</v>
      </c>
      <c r="C69" t="str">
        <f t="shared" si="75"/>
        <v>进阶+6</v>
      </c>
      <c r="D69">
        <f t="shared" si="6"/>
        <v>1206</v>
      </c>
      <c r="E69">
        <f t="shared" ref="E69:F69" si="76">E57</f>
        <v>300000</v>
      </c>
      <c r="F69" t="str">
        <f t="shared" si="76"/>
        <v>14107|3600</v>
      </c>
      <c r="H69">
        <f t="shared" si="8"/>
        <v>2</v>
      </c>
      <c r="I69">
        <f>ROUND(VLOOKUP(INT(A69/1000),Sheet3!$A$2:$B$7,2,FALSE)*Sheet3!D$3,0)</f>
        <v>120</v>
      </c>
      <c r="K69">
        <f>ROUND(VLOOKUP(INT(A69/1000),Sheet3!$A$2:$B$7,2,FALSE)*Sheet3!E$3,0)</f>
        <v>4</v>
      </c>
      <c r="L69">
        <f>ROUND(VLOOKUP(INT(A69/1000),Sheet3!$A$2:$B$7,2,FALSE)*Sheet3!F$3,0)</f>
        <v>2</v>
      </c>
      <c r="M69">
        <f>ROUND(VLOOKUP(INT(A69/1000),Sheet3!$A$2:$B$7,2,FALSE)*Sheet3!G$3,0)</f>
        <v>2</v>
      </c>
    </row>
    <row r="70" spans="1:13">
      <c r="A70">
        <f t="shared" si="21"/>
        <v>11407</v>
      </c>
      <c r="B70" t="str">
        <f t="shared" ref="B70:C70" si="77">B46</f>
        <v>伙伴65级时开启</v>
      </c>
      <c r="C70" t="str">
        <f t="shared" si="77"/>
        <v>进阶+7</v>
      </c>
      <c r="D70">
        <f t="shared" si="6"/>
        <v>1207</v>
      </c>
      <c r="E70">
        <f t="shared" ref="E70:F70" si="78">E58</f>
        <v>500000</v>
      </c>
      <c r="F70" t="str">
        <f t="shared" si="78"/>
        <v>14107|6000</v>
      </c>
      <c r="H70">
        <f t="shared" si="8"/>
        <v>2</v>
      </c>
      <c r="I70">
        <f>ROUND(VLOOKUP(INT(A70/1000),Sheet3!$A$2:$B$7,2,FALSE)*Sheet3!D$3,0)</f>
        <v>120</v>
      </c>
      <c r="K70">
        <f>ROUND(VLOOKUP(INT(A70/1000),Sheet3!$A$2:$B$7,2,FALSE)*Sheet3!E$3,0)</f>
        <v>4</v>
      </c>
      <c r="L70">
        <f>ROUND(VLOOKUP(INT(A70/1000),Sheet3!$A$2:$B$7,2,FALSE)*Sheet3!F$3,0)</f>
        <v>2</v>
      </c>
      <c r="M70">
        <f>ROUND(VLOOKUP(INT(A70/1000),Sheet3!$A$2:$B$7,2,FALSE)*Sheet3!G$3,0)</f>
        <v>2</v>
      </c>
    </row>
    <row r="71" spans="1:13">
      <c r="A71">
        <f t="shared" si="21"/>
        <v>11408</v>
      </c>
      <c r="B71" t="str">
        <f t="shared" ref="B71:C71" si="79">B47</f>
        <v>伙伴75级时开启</v>
      </c>
      <c r="C71" t="str">
        <f t="shared" si="79"/>
        <v>进阶+8</v>
      </c>
      <c r="D71">
        <f t="shared" si="6"/>
        <v>1208</v>
      </c>
      <c r="E71">
        <f t="shared" ref="E71:F71" si="80">E59</f>
        <v>800000</v>
      </c>
      <c r="F71" t="str">
        <f t="shared" si="80"/>
        <v>14107|10000</v>
      </c>
      <c r="H71">
        <f t="shared" si="8"/>
        <v>4</v>
      </c>
      <c r="I71">
        <f>ROUND(VLOOKUP(INT(A71/1000),Sheet3!$A$2:$B$7,2,FALSE)*Sheet3!D$3,0)</f>
        <v>120</v>
      </c>
      <c r="K71">
        <f>ROUND(VLOOKUP(INT(A71/1000),Sheet3!$A$2:$B$7,2,FALSE)*Sheet3!E$3,0)</f>
        <v>4</v>
      </c>
      <c r="L71">
        <f>ROUND(VLOOKUP(INT(A71/1000),Sheet3!$A$2:$B$7,2,FALSE)*Sheet3!F$3,0)</f>
        <v>2</v>
      </c>
      <c r="M71">
        <f>ROUND(VLOOKUP(INT(A71/1000),Sheet3!$A$2:$B$7,2,FALSE)*Sheet3!G$3,0)</f>
        <v>2</v>
      </c>
    </row>
    <row r="72" spans="1:13">
      <c r="A72">
        <f t="shared" si="21"/>
        <v>11409</v>
      </c>
      <c r="B72" t="str">
        <f t="shared" ref="B72:C72" si="81">B48</f>
        <v>伙伴85级时开启</v>
      </c>
      <c r="C72" t="str">
        <f t="shared" si="81"/>
        <v>进阶+9</v>
      </c>
      <c r="D72">
        <f t="shared" si="6"/>
        <v>1209</v>
      </c>
      <c r="E72">
        <f t="shared" si="6"/>
        <v>1200000</v>
      </c>
      <c r="F72" t="str">
        <f t="shared" si="6"/>
        <v>14107|15000</v>
      </c>
      <c r="H72">
        <f t="shared" si="8"/>
        <v>6</v>
      </c>
      <c r="I72">
        <f>ROUND(VLOOKUP(INT(A72/1000),Sheet3!$A$2:$B$7,2,FALSE)*Sheet3!D$3,0)</f>
        <v>120</v>
      </c>
      <c r="K72">
        <f>ROUND(VLOOKUP(INT(A72/1000),Sheet3!$A$2:$B$7,2,FALSE)*Sheet3!E$3,0)</f>
        <v>4</v>
      </c>
      <c r="L72">
        <f>ROUND(VLOOKUP(INT(A72/1000),Sheet3!$A$2:$B$7,2,FALSE)*Sheet3!F$3,0)</f>
        <v>2</v>
      </c>
      <c r="M72">
        <f>ROUND(VLOOKUP(INT(A72/1000),Sheet3!$A$2:$B$7,2,FALSE)*Sheet3!G$3,0)</f>
        <v>2</v>
      </c>
    </row>
    <row r="73" spans="1:13">
      <c r="A73">
        <f t="shared" si="21"/>
        <v>11410</v>
      </c>
      <c r="B73" t="str">
        <f t="shared" ref="B73:C73" si="82">B49</f>
        <v>伙伴95级时开启</v>
      </c>
      <c r="C73" t="str">
        <f t="shared" si="82"/>
        <v>进阶+10</v>
      </c>
      <c r="D73">
        <f t="shared" si="6"/>
        <v>1210</v>
      </c>
      <c r="E73">
        <f t="shared" ref="E73:F73" si="83">E61</f>
        <v>1600000</v>
      </c>
      <c r="F73" t="str">
        <f t="shared" si="83"/>
        <v>14107|20000</v>
      </c>
      <c r="H73">
        <f t="shared" si="8"/>
        <v>8</v>
      </c>
      <c r="I73">
        <f>ROUND(VLOOKUP(INT(A73/1000),Sheet3!$A$2:$B$7,2,FALSE)*Sheet3!D$3,0)</f>
        <v>120</v>
      </c>
      <c r="K73">
        <f>ROUND(VLOOKUP(INT(A73/1000),Sheet3!$A$2:$B$7,2,FALSE)*Sheet3!E$3,0)</f>
        <v>4</v>
      </c>
      <c r="L73">
        <f>ROUND(VLOOKUP(INT(A73/1000),Sheet3!$A$2:$B$7,2,FALSE)*Sheet3!F$3,0)</f>
        <v>2</v>
      </c>
      <c r="M73">
        <f>ROUND(VLOOKUP(INT(A73/1000),Sheet3!$A$2:$B$7,2,FALSE)*Sheet3!G$3,0)</f>
        <v>2</v>
      </c>
    </row>
    <row r="74" spans="1:13">
      <c r="A74">
        <f t="shared" si="21"/>
        <v>11411</v>
      </c>
      <c r="B74" t="str">
        <f t="shared" ref="B74:C74" si="84">B50</f>
        <v>伙伴105级时开启</v>
      </c>
      <c r="C74" t="str">
        <f t="shared" si="84"/>
        <v>进阶+11</v>
      </c>
      <c r="D74">
        <f t="shared" si="6"/>
        <v>1211</v>
      </c>
      <c r="E74">
        <f t="shared" ref="E74:F74" si="85">E62</f>
        <v>2000000</v>
      </c>
      <c r="F74" t="str">
        <f t="shared" si="85"/>
        <v>14107|24000</v>
      </c>
      <c r="H74">
        <f t="shared" si="8"/>
        <v>10</v>
      </c>
      <c r="I74">
        <f>ROUND(VLOOKUP(INT(A74/1000),Sheet3!$A$2:$B$7,2,FALSE)*Sheet3!D$3,0)</f>
        <v>120</v>
      </c>
      <c r="K74">
        <f>ROUND(VLOOKUP(INT(A74/1000),Sheet3!$A$2:$B$7,2,FALSE)*Sheet3!E$3,0)</f>
        <v>4</v>
      </c>
      <c r="L74">
        <f>ROUND(VLOOKUP(INT(A74/1000),Sheet3!$A$2:$B$7,2,FALSE)*Sheet3!F$3,0)</f>
        <v>2</v>
      </c>
      <c r="M74">
        <f>ROUND(VLOOKUP(INT(A74/1000),Sheet3!$A$2:$B$7,2,FALSE)*Sheet3!G$3,0)</f>
        <v>2</v>
      </c>
    </row>
    <row r="75" spans="1:13">
      <c r="A75">
        <f t="shared" si="21"/>
        <v>11412</v>
      </c>
      <c r="B75" t="str">
        <f t="shared" ref="B75:C75" si="86">B51</f>
        <v>伙伴115级时开启</v>
      </c>
      <c r="C75" t="str">
        <f t="shared" si="86"/>
        <v>进阶+12</v>
      </c>
      <c r="D75">
        <f t="shared" si="6"/>
        <v>1212</v>
      </c>
      <c r="E75">
        <f t="shared" ref="E75:F75" si="87">E63</f>
        <v>2400000</v>
      </c>
      <c r="F75" t="str">
        <f t="shared" si="87"/>
        <v>14107|28000</v>
      </c>
      <c r="H75">
        <f t="shared" si="8"/>
        <v>12</v>
      </c>
      <c r="I75">
        <f>ROUND(VLOOKUP(INT(A75/1000),Sheet3!$A$2:$B$7,2,FALSE)*Sheet3!D$3,0)</f>
        <v>120</v>
      </c>
      <c r="K75">
        <f>ROUND(VLOOKUP(INT(A75/1000),Sheet3!$A$2:$B$7,2,FALSE)*Sheet3!E$3,0)</f>
        <v>4</v>
      </c>
      <c r="L75">
        <f>ROUND(VLOOKUP(INT(A75/1000),Sheet3!$A$2:$B$7,2,FALSE)*Sheet3!F$3,0)</f>
        <v>2</v>
      </c>
      <c r="M75">
        <f>ROUND(VLOOKUP(INT(A75/1000),Sheet3!$A$2:$B$7,2,FALSE)*Sheet3!G$3,0)</f>
        <v>2</v>
      </c>
    </row>
    <row r="76" spans="1:13">
      <c r="A76">
        <f t="shared" si="21"/>
        <v>11501</v>
      </c>
      <c r="B76" t="str">
        <f t="shared" ref="B76:C76" si="88">B52</f>
        <v>伙伴5级时开启</v>
      </c>
      <c r="C76" t="str">
        <f t="shared" si="88"/>
        <v>进阶+1</v>
      </c>
      <c r="D76">
        <f t="shared" si="6"/>
        <v>1201</v>
      </c>
      <c r="E76">
        <f t="shared" ref="E76:F76" si="89">E64</f>
        <v>10000</v>
      </c>
      <c r="F76" t="str">
        <f t="shared" si="89"/>
        <v>14107|120</v>
      </c>
      <c r="H76">
        <f t="shared" si="8"/>
        <v>0</v>
      </c>
      <c r="I76">
        <f>ROUND(VLOOKUP(INT(A76/1000),Sheet3!$A$2:$B$7,2,FALSE)*Sheet3!D$3,0)</f>
        <v>120</v>
      </c>
      <c r="K76">
        <f>ROUND(VLOOKUP(INT(A76/1000),Sheet3!$A$2:$B$7,2,FALSE)*Sheet3!E$3,0)</f>
        <v>4</v>
      </c>
      <c r="L76">
        <f>ROUND(VLOOKUP(INT(A76/1000),Sheet3!$A$2:$B$7,2,FALSE)*Sheet3!F$3,0)</f>
        <v>2</v>
      </c>
      <c r="M76">
        <f>ROUND(VLOOKUP(INT(A76/1000),Sheet3!$A$2:$B$7,2,FALSE)*Sheet3!G$3,0)</f>
        <v>2</v>
      </c>
    </row>
    <row r="77" spans="1:13">
      <c r="A77">
        <f t="shared" si="21"/>
        <v>11502</v>
      </c>
      <c r="B77" t="str">
        <f t="shared" ref="B77:C77" si="90">B53</f>
        <v>伙伴15级时开启</v>
      </c>
      <c r="C77" t="str">
        <f t="shared" si="90"/>
        <v>进阶+2</v>
      </c>
      <c r="D77">
        <f t="shared" si="6"/>
        <v>1202</v>
      </c>
      <c r="E77">
        <f t="shared" ref="E77:F77" si="91">E65</f>
        <v>30000</v>
      </c>
      <c r="F77" t="str">
        <f t="shared" si="91"/>
        <v>14107|360</v>
      </c>
      <c r="H77">
        <f t="shared" si="8"/>
        <v>0</v>
      </c>
      <c r="I77">
        <f>ROUND(VLOOKUP(INT(A77/1000),Sheet3!$A$2:$B$7,2,FALSE)*Sheet3!D$3,0)</f>
        <v>120</v>
      </c>
      <c r="K77">
        <f>ROUND(VLOOKUP(INT(A77/1000),Sheet3!$A$2:$B$7,2,FALSE)*Sheet3!E$3,0)</f>
        <v>4</v>
      </c>
      <c r="L77">
        <f>ROUND(VLOOKUP(INT(A77/1000),Sheet3!$A$2:$B$7,2,FALSE)*Sheet3!F$3,0)</f>
        <v>2</v>
      </c>
      <c r="M77">
        <f>ROUND(VLOOKUP(INT(A77/1000),Sheet3!$A$2:$B$7,2,FALSE)*Sheet3!G$3,0)</f>
        <v>2</v>
      </c>
    </row>
    <row r="78" spans="1:13">
      <c r="A78">
        <f t="shared" si="21"/>
        <v>11503</v>
      </c>
      <c r="B78" t="str">
        <f t="shared" ref="B78:C78" si="92">B54</f>
        <v>伙伴25级时开启</v>
      </c>
      <c r="C78" t="str">
        <f t="shared" si="92"/>
        <v>进阶+3</v>
      </c>
      <c r="D78">
        <f t="shared" si="6"/>
        <v>1203</v>
      </c>
      <c r="E78">
        <f t="shared" ref="E78:F78" si="93">E66</f>
        <v>50000</v>
      </c>
      <c r="F78" t="str">
        <f t="shared" si="93"/>
        <v>14107|600</v>
      </c>
      <c r="H78">
        <f t="shared" si="8"/>
        <v>0</v>
      </c>
      <c r="I78">
        <f>ROUND(VLOOKUP(INT(A78/1000),Sheet3!$A$2:$B$7,2,FALSE)*Sheet3!D$3,0)</f>
        <v>120</v>
      </c>
      <c r="K78">
        <f>ROUND(VLOOKUP(INT(A78/1000),Sheet3!$A$2:$B$7,2,FALSE)*Sheet3!E$3,0)</f>
        <v>4</v>
      </c>
      <c r="L78">
        <f>ROUND(VLOOKUP(INT(A78/1000),Sheet3!$A$2:$B$7,2,FALSE)*Sheet3!F$3,0)</f>
        <v>2</v>
      </c>
      <c r="M78">
        <f>ROUND(VLOOKUP(INT(A78/1000),Sheet3!$A$2:$B$7,2,FALSE)*Sheet3!G$3,0)</f>
        <v>2</v>
      </c>
    </row>
    <row r="79" spans="1:13">
      <c r="A79">
        <f t="shared" si="21"/>
        <v>11504</v>
      </c>
      <c r="B79" t="str">
        <f t="shared" ref="B79:C79" si="94">B55</f>
        <v>伙伴35级时开启</v>
      </c>
      <c r="C79" t="str">
        <f t="shared" si="94"/>
        <v>进阶+4</v>
      </c>
      <c r="D79">
        <f t="shared" si="6"/>
        <v>1204</v>
      </c>
      <c r="E79">
        <f t="shared" ref="E79:F79" si="95">E67</f>
        <v>100000</v>
      </c>
      <c r="F79" t="str">
        <f t="shared" si="95"/>
        <v>14107|1200</v>
      </c>
      <c r="H79">
        <f t="shared" si="8"/>
        <v>1</v>
      </c>
      <c r="I79">
        <f>ROUND(VLOOKUP(INT(A79/1000),Sheet3!$A$2:$B$7,2,FALSE)*Sheet3!D$3,0)</f>
        <v>120</v>
      </c>
      <c r="K79">
        <f>ROUND(VLOOKUP(INT(A79/1000),Sheet3!$A$2:$B$7,2,FALSE)*Sheet3!E$3,0)</f>
        <v>4</v>
      </c>
      <c r="L79">
        <f>ROUND(VLOOKUP(INT(A79/1000),Sheet3!$A$2:$B$7,2,FALSE)*Sheet3!F$3,0)</f>
        <v>2</v>
      </c>
      <c r="M79">
        <f>ROUND(VLOOKUP(INT(A79/1000),Sheet3!$A$2:$B$7,2,FALSE)*Sheet3!G$3,0)</f>
        <v>2</v>
      </c>
    </row>
    <row r="80" spans="1:13">
      <c r="A80">
        <f t="shared" si="21"/>
        <v>11505</v>
      </c>
      <c r="B80" t="str">
        <f t="shared" ref="B80:C80" si="96">B56</f>
        <v>伙伴45级时开启</v>
      </c>
      <c r="C80" t="str">
        <f t="shared" si="96"/>
        <v>进阶+5</v>
      </c>
      <c r="D80">
        <f t="shared" si="6"/>
        <v>1205</v>
      </c>
      <c r="E80">
        <f t="shared" si="6"/>
        <v>200000</v>
      </c>
      <c r="F80" t="str">
        <f t="shared" si="6"/>
        <v>14107|2400</v>
      </c>
      <c r="H80">
        <f t="shared" si="8"/>
        <v>1</v>
      </c>
      <c r="I80">
        <f>ROUND(VLOOKUP(INT(A80/1000),Sheet3!$A$2:$B$7,2,FALSE)*Sheet3!D$3,0)</f>
        <v>120</v>
      </c>
      <c r="K80">
        <f>ROUND(VLOOKUP(INT(A80/1000),Sheet3!$A$2:$B$7,2,FALSE)*Sheet3!E$3,0)</f>
        <v>4</v>
      </c>
      <c r="L80">
        <f>ROUND(VLOOKUP(INT(A80/1000),Sheet3!$A$2:$B$7,2,FALSE)*Sheet3!F$3,0)</f>
        <v>2</v>
      </c>
      <c r="M80">
        <f>ROUND(VLOOKUP(INT(A80/1000),Sheet3!$A$2:$B$7,2,FALSE)*Sheet3!G$3,0)</f>
        <v>2</v>
      </c>
    </row>
    <row r="81" spans="1:13">
      <c r="A81">
        <f t="shared" si="21"/>
        <v>11506</v>
      </c>
      <c r="B81" t="str">
        <f t="shared" ref="B81:C81" si="97">B57</f>
        <v>伙伴55级时开启</v>
      </c>
      <c r="C81" t="str">
        <f t="shared" si="97"/>
        <v>进阶+6</v>
      </c>
      <c r="D81">
        <f t="shared" ref="D81:F144" si="98">D69</f>
        <v>1206</v>
      </c>
      <c r="E81">
        <f t="shared" si="98"/>
        <v>300000</v>
      </c>
      <c r="F81" t="str">
        <f t="shared" si="98"/>
        <v>14107|3600</v>
      </c>
      <c r="H81">
        <f t="shared" ref="H81:H144" si="99">H69</f>
        <v>2</v>
      </c>
      <c r="I81">
        <f>ROUND(VLOOKUP(INT(A81/1000),Sheet3!$A$2:$B$7,2,FALSE)*Sheet3!D$3,0)</f>
        <v>120</v>
      </c>
      <c r="K81">
        <f>ROUND(VLOOKUP(INT(A81/1000),Sheet3!$A$2:$B$7,2,FALSE)*Sheet3!E$3,0)</f>
        <v>4</v>
      </c>
      <c r="L81">
        <f>ROUND(VLOOKUP(INT(A81/1000),Sheet3!$A$2:$B$7,2,FALSE)*Sheet3!F$3,0)</f>
        <v>2</v>
      </c>
      <c r="M81">
        <f>ROUND(VLOOKUP(INT(A81/1000),Sheet3!$A$2:$B$7,2,FALSE)*Sheet3!G$3,0)</f>
        <v>2</v>
      </c>
    </row>
    <row r="82" spans="1:13">
      <c r="A82">
        <f t="shared" si="21"/>
        <v>11507</v>
      </c>
      <c r="B82" t="str">
        <f t="shared" ref="B82:C82" si="100">B58</f>
        <v>伙伴65级时开启</v>
      </c>
      <c r="C82" t="str">
        <f t="shared" si="100"/>
        <v>进阶+7</v>
      </c>
      <c r="D82">
        <f t="shared" si="98"/>
        <v>1207</v>
      </c>
      <c r="E82">
        <f t="shared" si="98"/>
        <v>500000</v>
      </c>
      <c r="F82" t="str">
        <f t="shared" si="98"/>
        <v>14107|6000</v>
      </c>
      <c r="H82">
        <f t="shared" si="99"/>
        <v>2</v>
      </c>
      <c r="I82">
        <f>ROUND(VLOOKUP(INT(A82/1000),Sheet3!$A$2:$B$7,2,FALSE)*Sheet3!D$3,0)</f>
        <v>120</v>
      </c>
      <c r="K82">
        <f>ROUND(VLOOKUP(INT(A82/1000),Sheet3!$A$2:$B$7,2,FALSE)*Sheet3!E$3,0)</f>
        <v>4</v>
      </c>
      <c r="L82">
        <f>ROUND(VLOOKUP(INT(A82/1000),Sheet3!$A$2:$B$7,2,FALSE)*Sheet3!F$3,0)</f>
        <v>2</v>
      </c>
      <c r="M82">
        <f>ROUND(VLOOKUP(INT(A82/1000),Sheet3!$A$2:$B$7,2,FALSE)*Sheet3!G$3,0)</f>
        <v>2</v>
      </c>
    </row>
    <row r="83" spans="1:13">
      <c r="A83">
        <f t="shared" si="21"/>
        <v>11508</v>
      </c>
      <c r="B83" t="str">
        <f t="shared" ref="B83:C83" si="101">B59</f>
        <v>伙伴75级时开启</v>
      </c>
      <c r="C83" t="str">
        <f t="shared" si="101"/>
        <v>进阶+8</v>
      </c>
      <c r="D83">
        <f t="shared" si="98"/>
        <v>1208</v>
      </c>
      <c r="E83">
        <f t="shared" si="98"/>
        <v>800000</v>
      </c>
      <c r="F83" t="str">
        <f t="shared" si="98"/>
        <v>14107|10000</v>
      </c>
      <c r="H83">
        <f t="shared" si="99"/>
        <v>4</v>
      </c>
      <c r="I83">
        <f>ROUND(VLOOKUP(INT(A83/1000),Sheet3!$A$2:$B$7,2,FALSE)*Sheet3!D$3,0)</f>
        <v>120</v>
      </c>
      <c r="K83">
        <f>ROUND(VLOOKUP(INT(A83/1000),Sheet3!$A$2:$B$7,2,FALSE)*Sheet3!E$3,0)</f>
        <v>4</v>
      </c>
      <c r="L83">
        <f>ROUND(VLOOKUP(INT(A83/1000),Sheet3!$A$2:$B$7,2,FALSE)*Sheet3!F$3,0)</f>
        <v>2</v>
      </c>
      <c r="M83">
        <f>ROUND(VLOOKUP(INT(A83/1000),Sheet3!$A$2:$B$7,2,FALSE)*Sheet3!G$3,0)</f>
        <v>2</v>
      </c>
    </row>
    <row r="84" spans="1:13">
      <c r="A84">
        <f t="shared" si="21"/>
        <v>11509</v>
      </c>
      <c r="B84" t="str">
        <f t="shared" ref="B84:C84" si="102">B60</f>
        <v>伙伴85级时开启</v>
      </c>
      <c r="C84" t="str">
        <f t="shared" si="102"/>
        <v>进阶+9</v>
      </c>
      <c r="D84">
        <f t="shared" si="98"/>
        <v>1209</v>
      </c>
      <c r="E84">
        <f t="shared" si="98"/>
        <v>1200000</v>
      </c>
      <c r="F84" t="str">
        <f t="shared" si="98"/>
        <v>14107|15000</v>
      </c>
      <c r="H84">
        <f t="shared" si="99"/>
        <v>6</v>
      </c>
      <c r="I84">
        <f>ROUND(VLOOKUP(INT(A84/1000),Sheet3!$A$2:$B$7,2,FALSE)*Sheet3!D$3,0)</f>
        <v>120</v>
      </c>
      <c r="K84">
        <f>ROUND(VLOOKUP(INT(A84/1000),Sheet3!$A$2:$B$7,2,FALSE)*Sheet3!E$3,0)</f>
        <v>4</v>
      </c>
      <c r="L84">
        <f>ROUND(VLOOKUP(INT(A84/1000),Sheet3!$A$2:$B$7,2,FALSE)*Sheet3!F$3,0)</f>
        <v>2</v>
      </c>
      <c r="M84">
        <f>ROUND(VLOOKUP(INT(A84/1000),Sheet3!$A$2:$B$7,2,FALSE)*Sheet3!G$3,0)</f>
        <v>2</v>
      </c>
    </row>
    <row r="85" spans="1:13">
      <c r="A85">
        <f t="shared" si="21"/>
        <v>11510</v>
      </c>
      <c r="B85" t="str">
        <f t="shared" ref="B85:C85" si="103">B61</f>
        <v>伙伴95级时开启</v>
      </c>
      <c r="C85" t="str">
        <f t="shared" si="103"/>
        <v>进阶+10</v>
      </c>
      <c r="D85">
        <f t="shared" si="98"/>
        <v>1210</v>
      </c>
      <c r="E85">
        <f t="shared" si="98"/>
        <v>1600000</v>
      </c>
      <c r="F85" t="str">
        <f t="shared" si="98"/>
        <v>14107|20000</v>
      </c>
      <c r="H85">
        <f t="shared" si="99"/>
        <v>8</v>
      </c>
      <c r="I85">
        <f>ROUND(VLOOKUP(INT(A85/1000),Sheet3!$A$2:$B$7,2,FALSE)*Sheet3!D$3,0)</f>
        <v>120</v>
      </c>
      <c r="K85">
        <f>ROUND(VLOOKUP(INT(A85/1000),Sheet3!$A$2:$B$7,2,FALSE)*Sheet3!E$3,0)</f>
        <v>4</v>
      </c>
      <c r="L85">
        <f>ROUND(VLOOKUP(INT(A85/1000),Sheet3!$A$2:$B$7,2,FALSE)*Sheet3!F$3,0)</f>
        <v>2</v>
      </c>
      <c r="M85">
        <f>ROUND(VLOOKUP(INT(A85/1000),Sheet3!$A$2:$B$7,2,FALSE)*Sheet3!G$3,0)</f>
        <v>2</v>
      </c>
    </row>
    <row r="86" spans="1:13">
      <c r="A86">
        <f t="shared" si="21"/>
        <v>11511</v>
      </c>
      <c r="B86" t="str">
        <f t="shared" ref="B86:C86" si="104">B62</f>
        <v>伙伴105级时开启</v>
      </c>
      <c r="C86" t="str">
        <f t="shared" si="104"/>
        <v>进阶+11</v>
      </c>
      <c r="D86">
        <f t="shared" si="98"/>
        <v>1211</v>
      </c>
      <c r="E86">
        <f t="shared" si="98"/>
        <v>2000000</v>
      </c>
      <c r="F86" t="str">
        <f t="shared" si="98"/>
        <v>14107|24000</v>
      </c>
      <c r="H86">
        <f t="shared" si="99"/>
        <v>10</v>
      </c>
      <c r="I86">
        <f>ROUND(VLOOKUP(INT(A86/1000),Sheet3!$A$2:$B$7,2,FALSE)*Sheet3!D$3,0)</f>
        <v>120</v>
      </c>
      <c r="K86">
        <f>ROUND(VLOOKUP(INT(A86/1000),Sheet3!$A$2:$B$7,2,FALSE)*Sheet3!E$3,0)</f>
        <v>4</v>
      </c>
      <c r="L86">
        <f>ROUND(VLOOKUP(INT(A86/1000),Sheet3!$A$2:$B$7,2,FALSE)*Sheet3!F$3,0)</f>
        <v>2</v>
      </c>
      <c r="M86">
        <f>ROUND(VLOOKUP(INT(A86/1000),Sheet3!$A$2:$B$7,2,FALSE)*Sheet3!G$3,0)</f>
        <v>2</v>
      </c>
    </row>
    <row r="87" spans="1:13">
      <c r="A87">
        <f t="shared" si="21"/>
        <v>11512</v>
      </c>
      <c r="B87" t="str">
        <f t="shared" ref="B87:C87" si="105">B63</f>
        <v>伙伴115级时开启</v>
      </c>
      <c r="C87" t="str">
        <f t="shared" si="105"/>
        <v>进阶+12</v>
      </c>
      <c r="D87">
        <f t="shared" si="98"/>
        <v>1212</v>
      </c>
      <c r="E87">
        <f t="shared" si="98"/>
        <v>2400000</v>
      </c>
      <c r="F87" t="str">
        <f t="shared" si="98"/>
        <v>14107|28000</v>
      </c>
      <c r="H87">
        <f t="shared" si="99"/>
        <v>12</v>
      </c>
      <c r="I87">
        <f>ROUND(VLOOKUP(INT(A87/1000),Sheet3!$A$2:$B$7,2,FALSE)*Sheet3!D$3,0)</f>
        <v>120</v>
      </c>
      <c r="K87">
        <f>ROUND(VLOOKUP(INT(A87/1000),Sheet3!$A$2:$B$7,2,FALSE)*Sheet3!E$3,0)</f>
        <v>4</v>
      </c>
      <c r="L87">
        <f>ROUND(VLOOKUP(INT(A87/1000),Sheet3!$A$2:$B$7,2,FALSE)*Sheet3!F$3,0)</f>
        <v>2</v>
      </c>
      <c r="M87">
        <f>ROUND(VLOOKUP(INT(A87/1000),Sheet3!$A$2:$B$7,2,FALSE)*Sheet3!G$3,0)</f>
        <v>2</v>
      </c>
    </row>
    <row r="88" spans="1:13">
      <c r="A88">
        <f>A28+2000</f>
        <v>13101</v>
      </c>
      <c r="B88" t="str">
        <f t="shared" ref="B88:C88" si="106">B64</f>
        <v>伙伴5级时开启</v>
      </c>
      <c r="C88" t="str">
        <f t="shared" si="106"/>
        <v>进阶+1</v>
      </c>
      <c r="D88">
        <f t="shared" si="98"/>
        <v>1201</v>
      </c>
      <c r="E88">
        <f t="shared" si="98"/>
        <v>10000</v>
      </c>
      <c r="F88" t="str">
        <f t="shared" si="98"/>
        <v>14107|120</v>
      </c>
      <c r="H88">
        <f t="shared" si="99"/>
        <v>0</v>
      </c>
      <c r="I88">
        <f>ROUND(VLOOKUP(INT(A88/1000),Sheet3!$A$2:$B$7,2,FALSE)*Sheet3!D$3,0)</f>
        <v>135</v>
      </c>
      <c r="K88">
        <f>ROUND(VLOOKUP(INT(A88/1000),Sheet3!$A$2:$B$7,2,FALSE)*Sheet3!E$3,0)</f>
        <v>5</v>
      </c>
      <c r="L88">
        <f>ROUND(VLOOKUP(INT(A88/1000),Sheet3!$A$2:$B$7,2,FALSE)*Sheet3!F$3,0)</f>
        <v>2</v>
      </c>
      <c r="M88">
        <f>ROUND(VLOOKUP(INT(A88/1000),Sheet3!$A$2:$B$7,2,FALSE)*Sheet3!G$3,0)</f>
        <v>2</v>
      </c>
    </row>
    <row r="89" spans="1:13">
      <c r="A89">
        <f t="shared" ref="A89:A147" si="107">A29+2000</f>
        <v>13102</v>
      </c>
      <c r="B89" t="str">
        <f t="shared" ref="B89:C89" si="108">B65</f>
        <v>伙伴15级时开启</v>
      </c>
      <c r="C89" t="str">
        <f t="shared" si="108"/>
        <v>进阶+2</v>
      </c>
      <c r="D89">
        <f t="shared" si="98"/>
        <v>1202</v>
      </c>
      <c r="E89">
        <f t="shared" si="98"/>
        <v>30000</v>
      </c>
      <c r="F89" t="str">
        <f t="shared" si="98"/>
        <v>14107|360</v>
      </c>
      <c r="H89">
        <f t="shared" si="99"/>
        <v>0</v>
      </c>
      <c r="I89">
        <f>ROUND(VLOOKUP(INT(A89/1000),Sheet3!$A$2:$B$7,2,FALSE)*Sheet3!D$3,0)</f>
        <v>135</v>
      </c>
      <c r="K89">
        <f>ROUND(VLOOKUP(INT(A89/1000),Sheet3!$A$2:$B$7,2,FALSE)*Sheet3!E$3,0)</f>
        <v>5</v>
      </c>
      <c r="L89">
        <f>ROUND(VLOOKUP(INT(A89/1000),Sheet3!$A$2:$B$7,2,FALSE)*Sheet3!F$3,0)</f>
        <v>2</v>
      </c>
      <c r="M89">
        <f>ROUND(VLOOKUP(INT(A89/1000),Sheet3!$A$2:$B$7,2,FALSE)*Sheet3!G$3,0)</f>
        <v>2</v>
      </c>
    </row>
    <row r="90" spans="1:13">
      <c r="A90">
        <f t="shared" si="107"/>
        <v>13103</v>
      </c>
      <c r="B90" t="str">
        <f t="shared" ref="B90:C90" si="109">B66</f>
        <v>伙伴25级时开启</v>
      </c>
      <c r="C90" t="str">
        <f t="shared" si="109"/>
        <v>进阶+3</v>
      </c>
      <c r="D90">
        <f t="shared" si="98"/>
        <v>1203</v>
      </c>
      <c r="E90">
        <f t="shared" si="98"/>
        <v>50000</v>
      </c>
      <c r="F90" t="str">
        <f t="shared" si="98"/>
        <v>14107|600</v>
      </c>
      <c r="H90">
        <f t="shared" si="99"/>
        <v>0</v>
      </c>
      <c r="I90">
        <f>ROUND(VLOOKUP(INT(A90/1000),Sheet3!$A$2:$B$7,2,FALSE)*Sheet3!D$3,0)</f>
        <v>135</v>
      </c>
      <c r="K90">
        <f>ROUND(VLOOKUP(INT(A90/1000),Sheet3!$A$2:$B$7,2,FALSE)*Sheet3!E$3,0)</f>
        <v>5</v>
      </c>
      <c r="L90">
        <f>ROUND(VLOOKUP(INT(A90/1000),Sheet3!$A$2:$B$7,2,FALSE)*Sheet3!F$3,0)</f>
        <v>2</v>
      </c>
      <c r="M90">
        <f>ROUND(VLOOKUP(INT(A90/1000),Sheet3!$A$2:$B$7,2,FALSE)*Sheet3!G$3,0)</f>
        <v>2</v>
      </c>
    </row>
    <row r="91" spans="1:13">
      <c r="A91">
        <f t="shared" si="107"/>
        <v>13104</v>
      </c>
      <c r="B91" t="str">
        <f t="shared" ref="B91:C91" si="110">B67</f>
        <v>伙伴35级时开启</v>
      </c>
      <c r="C91" t="str">
        <f t="shared" si="110"/>
        <v>进阶+4</v>
      </c>
      <c r="D91">
        <f t="shared" si="98"/>
        <v>1204</v>
      </c>
      <c r="E91">
        <f t="shared" si="98"/>
        <v>100000</v>
      </c>
      <c r="F91" t="str">
        <f t="shared" si="98"/>
        <v>14107|1200</v>
      </c>
      <c r="H91">
        <f t="shared" si="99"/>
        <v>1</v>
      </c>
      <c r="I91">
        <f>ROUND(VLOOKUP(INT(A91/1000),Sheet3!$A$2:$B$7,2,FALSE)*Sheet3!D$3,0)</f>
        <v>135</v>
      </c>
      <c r="K91">
        <f>ROUND(VLOOKUP(INT(A91/1000),Sheet3!$A$2:$B$7,2,FALSE)*Sheet3!E$3,0)</f>
        <v>5</v>
      </c>
      <c r="L91">
        <f>ROUND(VLOOKUP(INT(A91/1000),Sheet3!$A$2:$B$7,2,FALSE)*Sheet3!F$3,0)</f>
        <v>2</v>
      </c>
      <c r="M91">
        <f>ROUND(VLOOKUP(INT(A91/1000),Sheet3!$A$2:$B$7,2,FALSE)*Sheet3!G$3,0)</f>
        <v>2</v>
      </c>
    </row>
    <row r="92" spans="1:13">
      <c r="A92">
        <f t="shared" si="107"/>
        <v>13105</v>
      </c>
      <c r="B92" t="str">
        <f t="shared" ref="B92:C92" si="111">B68</f>
        <v>伙伴45级时开启</v>
      </c>
      <c r="C92" t="str">
        <f t="shared" si="111"/>
        <v>进阶+5</v>
      </c>
      <c r="D92">
        <f t="shared" si="98"/>
        <v>1205</v>
      </c>
      <c r="E92">
        <f t="shared" si="98"/>
        <v>200000</v>
      </c>
      <c r="F92" t="str">
        <f t="shared" si="98"/>
        <v>14107|2400</v>
      </c>
      <c r="H92">
        <f t="shared" si="99"/>
        <v>1</v>
      </c>
      <c r="I92">
        <f>ROUND(VLOOKUP(INT(A92/1000),Sheet3!$A$2:$B$7,2,FALSE)*Sheet3!D$3,0)</f>
        <v>135</v>
      </c>
      <c r="K92">
        <f>ROUND(VLOOKUP(INT(A92/1000),Sheet3!$A$2:$B$7,2,FALSE)*Sheet3!E$3,0)</f>
        <v>5</v>
      </c>
      <c r="L92">
        <f>ROUND(VLOOKUP(INT(A92/1000),Sheet3!$A$2:$B$7,2,FALSE)*Sheet3!F$3,0)</f>
        <v>2</v>
      </c>
      <c r="M92">
        <f>ROUND(VLOOKUP(INT(A92/1000),Sheet3!$A$2:$B$7,2,FALSE)*Sheet3!G$3,0)</f>
        <v>2</v>
      </c>
    </row>
    <row r="93" spans="1:13">
      <c r="A93">
        <f t="shared" si="107"/>
        <v>13106</v>
      </c>
      <c r="B93" t="str">
        <f t="shared" ref="B93:C93" si="112">B69</f>
        <v>伙伴55级时开启</v>
      </c>
      <c r="C93" t="str">
        <f t="shared" si="112"/>
        <v>进阶+6</v>
      </c>
      <c r="D93">
        <f t="shared" si="98"/>
        <v>1206</v>
      </c>
      <c r="E93">
        <f t="shared" si="98"/>
        <v>300000</v>
      </c>
      <c r="F93" t="str">
        <f t="shared" si="98"/>
        <v>14107|3600</v>
      </c>
      <c r="H93">
        <f t="shared" si="99"/>
        <v>2</v>
      </c>
      <c r="I93">
        <f>ROUND(VLOOKUP(INT(A93/1000),Sheet3!$A$2:$B$7,2,FALSE)*Sheet3!D$3,0)</f>
        <v>135</v>
      </c>
      <c r="K93">
        <f>ROUND(VLOOKUP(INT(A93/1000),Sheet3!$A$2:$B$7,2,FALSE)*Sheet3!E$3,0)</f>
        <v>5</v>
      </c>
      <c r="L93">
        <f>ROUND(VLOOKUP(INT(A93/1000),Sheet3!$A$2:$B$7,2,FALSE)*Sheet3!F$3,0)</f>
        <v>2</v>
      </c>
      <c r="M93">
        <f>ROUND(VLOOKUP(INT(A93/1000),Sheet3!$A$2:$B$7,2,FALSE)*Sheet3!G$3,0)</f>
        <v>2</v>
      </c>
    </row>
    <row r="94" spans="1:13">
      <c r="A94">
        <f t="shared" si="107"/>
        <v>13107</v>
      </c>
      <c r="B94" t="str">
        <f t="shared" ref="B94:C94" si="113">B70</f>
        <v>伙伴65级时开启</v>
      </c>
      <c r="C94" t="str">
        <f t="shared" si="113"/>
        <v>进阶+7</v>
      </c>
      <c r="D94">
        <f t="shared" si="98"/>
        <v>1207</v>
      </c>
      <c r="E94">
        <f t="shared" si="98"/>
        <v>500000</v>
      </c>
      <c r="F94" t="str">
        <f t="shared" si="98"/>
        <v>14107|6000</v>
      </c>
      <c r="H94">
        <f t="shared" si="99"/>
        <v>2</v>
      </c>
      <c r="I94">
        <f>ROUND(VLOOKUP(INT(A94/1000),Sheet3!$A$2:$B$7,2,FALSE)*Sheet3!D$3,0)</f>
        <v>135</v>
      </c>
      <c r="K94">
        <f>ROUND(VLOOKUP(INT(A94/1000),Sheet3!$A$2:$B$7,2,FALSE)*Sheet3!E$3,0)</f>
        <v>5</v>
      </c>
      <c r="L94">
        <f>ROUND(VLOOKUP(INT(A94/1000),Sheet3!$A$2:$B$7,2,FALSE)*Sheet3!F$3,0)</f>
        <v>2</v>
      </c>
      <c r="M94">
        <f>ROUND(VLOOKUP(INT(A94/1000),Sheet3!$A$2:$B$7,2,FALSE)*Sheet3!G$3,0)</f>
        <v>2</v>
      </c>
    </row>
    <row r="95" spans="1:13">
      <c r="A95">
        <f t="shared" si="107"/>
        <v>13108</v>
      </c>
      <c r="B95" t="str">
        <f t="shared" ref="B95:C95" si="114">B71</f>
        <v>伙伴75级时开启</v>
      </c>
      <c r="C95" t="str">
        <f t="shared" si="114"/>
        <v>进阶+8</v>
      </c>
      <c r="D95">
        <f t="shared" si="98"/>
        <v>1208</v>
      </c>
      <c r="E95">
        <f t="shared" si="98"/>
        <v>800000</v>
      </c>
      <c r="F95" t="str">
        <f t="shared" si="98"/>
        <v>14107|10000</v>
      </c>
      <c r="H95">
        <f t="shared" si="99"/>
        <v>4</v>
      </c>
      <c r="I95">
        <f>ROUND(VLOOKUP(INT(A95/1000),Sheet3!$A$2:$B$7,2,FALSE)*Sheet3!D$3,0)</f>
        <v>135</v>
      </c>
      <c r="K95">
        <f>ROUND(VLOOKUP(INT(A95/1000),Sheet3!$A$2:$B$7,2,FALSE)*Sheet3!E$3,0)</f>
        <v>5</v>
      </c>
      <c r="L95">
        <f>ROUND(VLOOKUP(INT(A95/1000),Sheet3!$A$2:$B$7,2,FALSE)*Sheet3!F$3,0)</f>
        <v>2</v>
      </c>
      <c r="M95">
        <f>ROUND(VLOOKUP(INT(A95/1000),Sheet3!$A$2:$B$7,2,FALSE)*Sheet3!G$3,0)</f>
        <v>2</v>
      </c>
    </row>
    <row r="96" spans="1:13">
      <c r="A96">
        <f t="shared" si="107"/>
        <v>13109</v>
      </c>
      <c r="B96" t="str">
        <f t="shared" ref="B96:C96" si="115">B72</f>
        <v>伙伴85级时开启</v>
      </c>
      <c r="C96" t="str">
        <f t="shared" si="115"/>
        <v>进阶+9</v>
      </c>
      <c r="D96">
        <f t="shared" si="98"/>
        <v>1209</v>
      </c>
      <c r="E96">
        <f t="shared" si="98"/>
        <v>1200000</v>
      </c>
      <c r="F96" t="str">
        <f t="shared" si="98"/>
        <v>14107|15000</v>
      </c>
      <c r="H96">
        <f t="shared" si="99"/>
        <v>6</v>
      </c>
      <c r="I96">
        <f>ROUND(VLOOKUP(INT(A96/1000),Sheet3!$A$2:$B$7,2,FALSE)*Sheet3!D$3,0)</f>
        <v>135</v>
      </c>
      <c r="K96">
        <f>ROUND(VLOOKUP(INT(A96/1000),Sheet3!$A$2:$B$7,2,FALSE)*Sheet3!E$3,0)</f>
        <v>5</v>
      </c>
      <c r="L96">
        <f>ROUND(VLOOKUP(INT(A96/1000),Sheet3!$A$2:$B$7,2,FALSE)*Sheet3!F$3,0)</f>
        <v>2</v>
      </c>
      <c r="M96">
        <f>ROUND(VLOOKUP(INT(A96/1000),Sheet3!$A$2:$B$7,2,FALSE)*Sheet3!G$3,0)</f>
        <v>2</v>
      </c>
    </row>
    <row r="97" spans="1:13">
      <c r="A97">
        <f t="shared" si="107"/>
        <v>13110</v>
      </c>
      <c r="B97" t="str">
        <f t="shared" ref="B97:C97" si="116">B73</f>
        <v>伙伴95级时开启</v>
      </c>
      <c r="C97" t="str">
        <f t="shared" si="116"/>
        <v>进阶+10</v>
      </c>
      <c r="D97">
        <f t="shared" si="98"/>
        <v>1210</v>
      </c>
      <c r="E97">
        <f t="shared" si="98"/>
        <v>1600000</v>
      </c>
      <c r="F97" t="str">
        <f t="shared" si="98"/>
        <v>14107|20000</v>
      </c>
      <c r="H97">
        <f t="shared" si="99"/>
        <v>8</v>
      </c>
      <c r="I97">
        <f>ROUND(VLOOKUP(INT(A97/1000),Sheet3!$A$2:$B$7,2,FALSE)*Sheet3!D$3,0)</f>
        <v>135</v>
      </c>
      <c r="K97">
        <f>ROUND(VLOOKUP(INT(A97/1000),Sheet3!$A$2:$B$7,2,FALSE)*Sheet3!E$3,0)</f>
        <v>5</v>
      </c>
      <c r="L97">
        <f>ROUND(VLOOKUP(INT(A97/1000),Sheet3!$A$2:$B$7,2,FALSE)*Sheet3!F$3,0)</f>
        <v>2</v>
      </c>
      <c r="M97">
        <f>ROUND(VLOOKUP(INT(A97/1000),Sheet3!$A$2:$B$7,2,FALSE)*Sheet3!G$3,0)</f>
        <v>2</v>
      </c>
    </row>
    <row r="98" spans="1:13">
      <c r="A98">
        <f t="shared" si="107"/>
        <v>13111</v>
      </c>
      <c r="B98" t="str">
        <f t="shared" ref="B98:C98" si="117">B74</f>
        <v>伙伴105级时开启</v>
      </c>
      <c r="C98" t="str">
        <f t="shared" si="117"/>
        <v>进阶+11</v>
      </c>
      <c r="D98">
        <f t="shared" si="98"/>
        <v>1211</v>
      </c>
      <c r="E98">
        <f t="shared" si="98"/>
        <v>2000000</v>
      </c>
      <c r="F98" t="str">
        <f t="shared" si="98"/>
        <v>14107|24000</v>
      </c>
      <c r="H98">
        <f t="shared" si="99"/>
        <v>10</v>
      </c>
      <c r="I98">
        <f>ROUND(VLOOKUP(INT(A98/1000),Sheet3!$A$2:$B$7,2,FALSE)*Sheet3!D$3,0)</f>
        <v>135</v>
      </c>
      <c r="K98">
        <f>ROUND(VLOOKUP(INT(A98/1000),Sheet3!$A$2:$B$7,2,FALSE)*Sheet3!E$3,0)</f>
        <v>5</v>
      </c>
      <c r="L98">
        <f>ROUND(VLOOKUP(INT(A98/1000),Sheet3!$A$2:$B$7,2,FALSE)*Sheet3!F$3,0)</f>
        <v>2</v>
      </c>
      <c r="M98">
        <f>ROUND(VLOOKUP(INT(A98/1000),Sheet3!$A$2:$B$7,2,FALSE)*Sheet3!G$3,0)</f>
        <v>2</v>
      </c>
    </row>
    <row r="99" spans="1:13">
      <c r="A99">
        <f t="shared" si="107"/>
        <v>13112</v>
      </c>
      <c r="B99" t="str">
        <f t="shared" ref="B99:C99" si="118">B75</f>
        <v>伙伴115级时开启</v>
      </c>
      <c r="C99" t="str">
        <f t="shared" si="118"/>
        <v>进阶+12</v>
      </c>
      <c r="D99">
        <f t="shared" si="98"/>
        <v>1212</v>
      </c>
      <c r="E99">
        <f t="shared" si="98"/>
        <v>2400000</v>
      </c>
      <c r="F99" t="str">
        <f t="shared" si="98"/>
        <v>14107|28000</v>
      </c>
      <c r="H99">
        <f t="shared" si="99"/>
        <v>12</v>
      </c>
      <c r="I99">
        <f>ROUND(VLOOKUP(INT(A99/1000),Sheet3!$A$2:$B$7,2,FALSE)*Sheet3!D$3,0)</f>
        <v>135</v>
      </c>
      <c r="K99">
        <f>ROUND(VLOOKUP(INT(A99/1000),Sheet3!$A$2:$B$7,2,FALSE)*Sheet3!E$3,0)</f>
        <v>5</v>
      </c>
      <c r="L99">
        <f>ROUND(VLOOKUP(INT(A99/1000),Sheet3!$A$2:$B$7,2,FALSE)*Sheet3!F$3,0)</f>
        <v>2</v>
      </c>
      <c r="M99">
        <f>ROUND(VLOOKUP(INT(A99/1000),Sheet3!$A$2:$B$7,2,FALSE)*Sheet3!G$3,0)</f>
        <v>2</v>
      </c>
    </row>
    <row r="100" spans="1:13">
      <c r="A100">
        <f t="shared" si="107"/>
        <v>13201</v>
      </c>
      <c r="B100" t="str">
        <f t="shared" ref="B100:C100" si="119">B76</f>
        <v>伙伴5级时开启</v>
      </c>
      <c r="C100" t="str">
        <f t="shared" si="119"/>
        <v>进阶+1</v>
      </c>
      <c r="D100">
        <f t="shared" si="98"/>
        <v>1201</v>
      </c>
      <c r="E100">
        <f t="shared" si="98"/>
        <v>10000</v>
      </c>
      <c r="F100" t="str">
        <f t="shared" si="98"/>
        <v>14107|120</v>
      </c>
      <c r="H100">
        <f t="shared" si="99"/>
        <v>0</v>
      </c>
      <c r="I100">
        <f>ROUND(VLOOKUP(INT(A100/1000),Sheet3!$A$2:$B$7,2,FALSE)*Sheet3!D$3,0)</f>
        <v>135</v>
      </c>
      <c r="K100">
        <f>ROUND(VLOOKUP(INT(A100/1000),Sheet3!$A$2:$B$7,2,FALSE)*Sheet3!E$3,0)</f>
        <v>5</v>
      </c>
      <c r="L100">
        <f>ROUND(VLOOKUP(INT(A100/1000),Sheet3!$A$2:$B$7,2,FALSE)*Sheet3!F$3,0)</f>
        <v>2</v>
      </c>
      <c r="M100">
        <f>ROUND(VLOOKUP(INT(A100/1000),Sheet3!$A$2:$B$7,2,FALSE)*Sheet3!G$3,0)</f>
        <v>2</v>
      </c>
    </row>
    <row r="101" spans="1:13">
      <c r="A101">
        <f t="shared" si="107"/>
        <v>13202</v>
      </c>
      <c r="B101" t="str">
        <f t="shared" ref="B101:C101" si="120">B77</f>
        <v>伙伴15级时开启</v>
      </c>
      <c r="C101" t="str">
        <f t="shared" si="120"/>
        <v>进阶+2</v>
      </c>
      <c r="D101">
        <f t="shared" si="98"/>
        <v>1202</v>
      </c>
      <c r="E101">
        <f t="shared" si="98"/>
        <v>30000</v>
      </c>
      <c r="F101" t="str">
        <f t="shared" si="98"/>
        <v>14107|360</v>
      </c>
      <c r="H101">
        <f t="shared" si="99"/>
        <v>0</v>
      </c>
      <c r="I101">
        <f>ROUND(VLOOKUP(INT(A101/1000),Sheet3!$A$2:$B$7,2,FALSE)*Sheet3!D$3,0)</f>
        <v>135</v>
      </c>
      <c r="K101">
        <f>ROUND(VLOOKUP(INT(A101/1000),Sheet3!$A$2:$B$7,2,FALSE)*Sheet3!E$3,0)</f>
        <v>5</v>
      </c>
      <c r="L101">
        <f>ROUND(VLOOKUP(INT(A101/1000),Sheet3!$A$2:$B$7,2,FALSE)*Sheet3!F$3,0)</f>
        <v>2</v>
      </c>
      <c r="M101">
        <f>ROUND(VLOOKUP(INT(A101/1000),Sheet3!$A$2:$B$7,2,FALSE)*Sheet3!G$3,0)</f>
        <v>2</v>
      </c>
    </row>
    <row r="102" spans="1:13">
      <c r="A102">
        <f t="shared" si="107"/>
        <v>13203</v>
      </c>
      <c r="B102" t="str">
        <f t="shared" ref="B102:C102" si="121">B78</f>
        <v>伙伴25级时开启</v>
      </c>
      <c r="C102" t="str">
        <f t="shared" si="121"/>
        <v>进阶+3</v>
      </c>
      <c r="D102">
        <f t="shared" si="98"/>
        <v>1203</v>
      </c>
      <c r="E102">
        <f t="shared" si="98"/>
        <v>50000</v>
      </c>
      <c r="F102" t="str">
        <f t="shared" si="98"/>
        <v>14107|600</v>
      </c>
      <c r="H102">
        <f t="shared" si="99"/>
        <v>0</v>
      </c>
      <c r="I102">
        <f>ROUND(VLOOKUP(INT(A102/1000),Sheet3!$A$2:$B$7,2,FALSE)*Sheet3!D$3,0)</f>
        <v>135</v>
      </c>
      <c r="K102">
        <f>ROUND(VLOOKUP(INT(A102/1000),Sheet3!$A$2:$B$7,2,FALSE)*Sheet3!E$3,0)</f>
        <v>5</v>
      </c>
      <c r="L102">
        <f>ROUND(VLOOKUP(INT(A102/1000),Sheet3!$A$2:$B$7,2,FALSE)*Sheet3!F$3,0)</f>
        <v>2</v>
      </c>
      <c r="M102">
        <f>ROUND(VLOOKUP(INT(A102/1000),Sheet3!$A$2:$B$7,2,FALSE)*Sheet3!G$3,0)</f>
        <v>2</v>
      </c>
    </row>
    <row r="103" spans="1:13">
      <c r="A103">
        <f t="shared" si="107"/>
        <v>13204</v>
      </c>
      <c r="B103" t="str">
        <f t="shared" ref="B103:C103" si="122">B79</f>
        <v>伙伴35级时开启</v>
      </c>
      <c r="C103" t="str">
        <f t="shared" si="122"/>
        <v>进阶+4</v>
      </c>
      <c r="D103">
        <f t="shared" si="98"/>
        <v>1204</v>
      </c>
      <c r="E103">
        <f t="shared" si="98"/>
        <v>100000</v>
      </c>
      <c r="F103" t="str">
        <f t="shared" si="98"/>
        <v>14107|1200</v>
      </c>
      <c r="H103">
        <f t="shared" si="99"/>
        <v>1</v>
      </c>
      <c r="I103">
        <f>ROUND(VLOOKUP(INT(A103/1000),Sheet3!$A$2:$B$7,2,FALSE)*Sheet3!D$3,0)</f>
        <v>135</v>
      </c>
      <c r="K103">
        <f>ROUND(VLOOKUP(INT(A103/1000),Sheet3!$A$2:$B$7,2,FALSE)*Sheet3!E$3,0)</f>
        <v>5</v>
      </c>
      <c r="L103">
        <f>ROUND(VLOOKUP(INT(A103/1000),Sheet3!$A$2:$B$7,2,FALSE)*Sheet3!F$3,0)</f>
        <v>2</v>
      </c>
      <c r="M103">
        <f>ROUND(VLOOKUP(INT(A103/1000),Sheet3!$A$2:$B$7,2,FALSE)*Sheet3!G$3,0)</f>
        <v>2</v>
      </c>
    </row>
    <row r="104" spans="1:13">
      <c r="A104">
        <f t="shared" si="107"/>
        <v>13205</v>
      </c>
      <c r="B104" t="str">
        <f t="shared" ref="B104:C104" si="123">B80</f>
        <v>伙伴45级时开启</v>
      </c>
      <c r="C104" t="str">
        <f t="shared" si="123"/>
        <v>进阶+5</v>
      </c>
      <c r="D104">
        <f t="shared" si="98"/>
        <v>1205</v>
      </c>
      <c r="E104">
        <f t="shared" si="98"/>
        <v>200000</v>
      </c>
      <c r="F104" t="str">
        <f t="shared" si="98"/>
        <v>14107|2400</v>
      </c>
      <c r="H104">
        <f t="shared" si="99"/>
        <v>1</v>
      </c>
      <c r="I104">
        <f>ROUND(VLOOKUP(INT(A104/1000),Sheet3!$A$2:$B$7,2,FALSE)*Sheet3!D$3,0)</f>
        <v>135</v>
      </c>
      <c r="K104">
        <f>ROUND(VLOOKUP(INT(A104/1000),Sheet3!$A$2:$B$7,2,FALSE)*Sheet3!E$3,0)</f>
        <v>5</v>
      </c>
      <c r="L104">
        <f>ROUND(VLOOKUP(INT(A104/1000),Sheet3!$A$2:$B$7,2,FALSE)*Sheet3!F$3,0)</f>
        <v>2</v>
      </c>
      <c r="M104">
        <f>ROUND(VLOOKUP(INT(A104/1000),Sheet3!$A$2:$B$7,2,FALSE)*Sheet3!G$3,0)</f>
        <v>2</v>
      </c>
    </row>
    <row r="105" spans="1:13">
      <c r="A105">
        <f t="shared" si="107"/>
        <v>13206</v>
      </c>
      <c r="B105" t="str">
        <f t="shared" ref="B105:C105" si="124">B81</f>
        <v>伙伴55级时开启</v>
      </c>
      <c r="C105" t="str">
        <f t="shared" si="124"/>
        <v>进阶+6</v>
      </c>
      <c r="D105">
        <f t="shared" si="98"/>
        <v>1206</v>
      </c>
      <c r="E105">
        <f t="shared" si="98"/>
        <v>300000</v>
      </c>
      <c r="F105" t="str">
        <f t="shared" si="98"/>
        <v>14107|3600</v>
      </c>
      <c r="H105">
        <f t="shared" si="99"/>
        <v>2</v>
      </c>
      <c r="I105">
        <f>ROUND(VLOOKUP(INT(A105/1000),Sheet3!$A$2:$B$7,2,FALSE)*Sheet3!D$3,0)</f>
        <v>135</v>
      </c>
      <c r="K105">
        <f>ROUND(VLOOKUP(INT(A105/1000),Sheet3!$A$2:$B$7,2,FALSE)*Sheet3!E$3,0)</f>
        <v>5</v>
      </c>
      <c r="L105">
        <f>ROUND(VLOOKUP(INT(A105/1000),Sheet3!$A$2:$B$7,2,FALSE)*Sheet3!F$3,0)</f>
        <v>2</v>
      </c>
      <c r="M105">
        <f>ROUND(VLOOKUP(INT(A105/1000),Sheet3!$A$2:$B$7,2,FALSE)*Sheet3!G$3,0)</f>
        <v>2</v>
      </c>
    </row>
    <row r="106" spans="1:13">
      <c r="A106">
        <f t="shared" si="107"/>
        <v>13207</v>
      </c>
      <c r="B106" t="str">
        <f t="shared" ref="B106:C106" si="125">B82</f>
        <v>伙伴65级时开启</v>
      </c>
      <c r="C106" t="str">
        <f t="shared" si="125"/>
        <v>进阶+7</v>
      </c>
      <c r="D106">
        <f t="shared" si="98"/>
        <v>1207</v>
      </c>
      <c r="E106">
        <f t="shared" si="98"/>
        <v>500000</v>
      </c>
      <c r="F106" t="str">
        <f t="shared" si="98"/>
        <v>14107|6000</v>
      </c>
      <c r="H106">
        <f t="shared" si="99"/>
        <v>2</v>
      </c>
      <c r="I106">
        <f>ROUND(VLOOKUP(INT(A106/1000),Sheet3!$A$2:$B$7,2,FALSE)*Sheet3!D$3,0)</f>
        <v>135</v>
      </c>
      <c r="K106">
        <f>ROUND(VLOOKUP(INT(A106/1000),Sheet3!$A$2:$B$7,2,FALSE)*Sheet3!E$3,0)</f>
        <v>5</v>
      </c>
      <c r="L106">
        <f>ROUND(VLOOKUP(INT(A106/1000),Sheet3!$A$2:$B$7,2,FALSE)*Sheet3!F$3,0)</f>
        <v>2</v>
      </c>
      <c r="M106">
        <f>ROUND(VLOOKUP(INT(A106/1000),Sheet3!$A$2:$B$7,2,FALSE)*Sheet3!G$3,0)</f>
        <v>2</v>
      </c>
    </row>
    <row r="107" spans="1:13">
      <c r="A107">
        <f t="shared" si="107"/>
        <v>13208</v>
      </c>
      <c r="B107" t="str">
        <f t="shared" ref="B107:C107" si="126">B83</f>
        <v>伙伴75级时开启</v>
      </c>
      <c r="C107" t="str">
        <f t="shared" si="126"/>
        <v>进阶+8</v>
      </c>
      <c r="D107">
        <f t="shared" si="98"/>
        <v>1208</v>
      </c>
      <c r="E107">
        <f t="shared" si="98"/>
        <v>800000</v>
      </c>
      <c r="F107" t="str">
        <f t="shared" si="98"/>
        <v>14107|10000</v>
      </c>
      <c r="H107">
        <f t="shared" si="99"/>
        <v>4</v>
      </c>
      <c r="I107">
        <f>ROUND(VLOOKUP(INT(A107/1000),Sheet3!$A$2:$B$7,2,FALSE)*Sheet3!D$3,0)</f>
        <v>135</v>
      </c>
      <c r="K107">
        <f>ROUND(VLOOKUP(INT(A107/1000),Sheet3!$A$2:$B$7,2,FALSE)*Sheet3!E$3,0)</f>
        <v>5</v>
      </c>
      <c r="L107">
        <f>ROUND(VLOOKUP(INT(A107/1000),Sheet3!$A$2:$B$7,2,FALSE)*Sheet3!F$3,0)</f>
        <v>2</v>
      </c>
      <c r="M107">
        <f>ROUND(VLOOKUP(INT(A107/1000),Sheet3!$A$2:$B$7,2,FALSE)*Sheet3!G$3,0)</f>
        <v>2</v>
      </c>
    </row>
    <row r="108" spans="1:13">
      <c r="A108">
        <f t="shared" si="107"/>
        <v>13209</v>
      </c>
      <c r="B108" t="str">
        <f t="shared" ref="B108:C108" si="127">B84</f>
        <v>伙伴85级时开启</v>
      </c>
      <c r="C108" t="str">
        <f t="shared" si="127"/>
        <v>进阶+9</v>
      </c>
      <c r="D108">
        <f t="shared" si="98"/>
        <v>1209</v>
      </c>
      <c r="E108">
        <f t="shared" si="98"/>
        <v>1200000</v>
      </c>
      <c r="F108" t="str">
        <f t="shared" si="98"/>
        <v>14107|15000</v>
      </c>
      <c r="H108">
        <f t="shared" si="99"/>
        <v>6</v>
      </c>
      <c r="I108">
        <f>ROUND(VLOOKUP(INT(A108/1000),Sheet3!$A$2:$B$7,2,FALSE)*Sheet3!D$3,0)</f>
        <v>135</v>
      </c>
      <c r="K108">
        <f>ROUND(VLOOKUP(INT(A108/1000),Sheet3!$A$2:$B$7,2,FALSE)*Sheet3!E$3,0)</f>
        <v>5</v>
      </c>
      <c r="L108">
        <f>ROUND(VLOOKUP(INT(A108/1000),Sheet3!$A$2:$B$7,2,FALSE)*Sheet3!F$3,0)</f>
        <v>2</v>
      </c>
      <c r="M108">
        <f>ROUND(VLOOKUP(INT(A108/1000),Sheet3!$A$2:$B$7,2,FALSE)*Sheet3!G$3,0)</f>
        <v>2</v>
      </c>
    </row>
    <row r="109" spans="1:13">
      <c r="A109">
        <f t="shared" si="107"/>
        <v>13210</v>
      </c>
      <c r="B109" t="str">
        <f t="shared" ref="B109:C109" si="128">B85</f>
        <v>伙伴95级时开启</v>
      </c>
      <c r="C109" t="str">
        <f t="shared" si="128"/>
        <v>进阶+10</v>
      </c>
      <c r="D109">
        <f t="shared" si="98"/>
        <v>1210</v>
      </c>
      <c r="E109">
        <f t="shared" si="98"/>
        <v>1600000</v>
      </c>
      <c r="F109" t="str">
        <f t="shared" si="98"/>
        <v>14107|20000</v>
      </c>
      <c r="H109">
        <f t="shared" si="99"/>
        <v>8</v>
      </c>
      <c r="I109">
        <f>ROUND(VLOOKUP(INT(A109/1000),Sheet3!$A$2:$B$7,2,FALSE)*Sheet3!D$3,0)</f>
        <v>135</v>
      </c>
      <c r="K109">
        <f>ROUND(VLOOKUP(INT(A109/1000),Sheet3!$A$2:$B$7,2,FALSE)*Sheet3!E$3,0)</f>
        <v>5</v>
      </c>
      <c r="L109">
        <f>ROUND(VLOOKUP(INT(A109/1000),Sheet3!$A$2:$B$7,2,FALSE)*Sheet3!F$3,0)</f>
        <v>2</v>
      </c>
      <c r="M109">
        <f>ROUND(VLOOKUP(INT(A109/1000),Sheet3!$A$2:$B$7,2,FALSE)*Sheet3!G$3,0)</f>
        <v>2</v>
      </c>
    </row>
    <row r="110" spans="1:13">
      <c r="A110">
        <f t="shared" si="107"/>
        <v>13211</v>
      </c>
      <c r="B110" t="str">
        <f t="shared" ref="B110:C110" si="129">B86</f>
        <v>伙伴105级时开启</v>
      </c>
      <c r="C110" t="str">
        <f t="shared" si="129"/>
        <v>进阶+11</v>
      </c>
      <c r="D110">
        <f t="shared" si="98"/>
        <v>1211</v>
      </c>
      <c r="E110">
        <f t="shared" si="98"/>
        <v>2000000</v>
      </c>
      <c r="F110" t="str">
        <f t="shared" si="98"/>
        <v>14107|24000</v>
      </c>
      <c r="H110">
        <f t="shared" si="99"/>
        <v>10</v>
      </c>
      <c r="I110">
        <f>ROUND(VLOOKUP(INT(A110/1000),Sheet3!$A$2:$B$7,2,FALSE)*Sheet3!D$3,0)</f>
        <v>135</v>
      </c>
      <c r="K110">
        <f>ROUND(VLOOKUP(INT(A110/1000),Sheet3!$A$2:$B$7,2,FALSE)*Sheet3!E$3,0)</f>
        <v>5</v>
      </c>
      <c r="L110">
        <f>ROUND(VLOOKUP(INT(A110/1000),Sheet3!$A$2:$B$7,2,FALSE)*Sheet3!F$3,0)</f>
        <v>2</v>
      </c>
      <c r="M110">
        <f>ROUND(VLOOKUP(INT(A110/1000),Sheet3!$A$2:$B$7,2,FALSE)*Sheet3!G$3,0)</f>
        <v>2</v>
      </c>
    </row>
    <row r="111" spans="1:13">
      <c r="A111">
        <f t="shared" si="107"/>
        <v>13212</v>
      </c>
      <c r="B111" t="str">
        <f t="shared" ref="B111:C111" si="130">B87</f>
        <v>伙伴115级时开启</v>
      </c>
      <c r="C111" t="str">
        <f t="shared" si="130"/>
        <v>进阶+12</v>
      </c>
      <c r="D111">
        <f t="shared" si="98"/>
        <v>1212</v>
      </c>
      <c r="E111">
        <f t="shared" si="98"/>
        <v>2400000</v>
      </c>
      <c r="F111" t="str">
        <f t="shared" si="98"/>
        <v>14107|28000</v>
      </c>
      <c r="H111">
        <f t="shared" si="99"/>
        <v>12</v>
      </c>
      <c r="I111">
        <f>ROUND(VLOOKUP(INT(A111/1000),Sheet3!$A$2:$B$7,2,FALSE)*Sheet3!D$3,0)</f>
        <v>135</v>
      </c>
      <c r="K111">
        <f>ROUND(VLOOKUP(INT(A111/1000),Sheet3!$A$2:$B$7,2,FALSE)*Sheet3!E$3,0)</f>
        <v>5</v>
      </c>
      <c r="L111">
        <f>ROUND(VLOOKUP(INT(A111/1000),Sheet3!$A$2:$B$7,2,FALSE)*Sheet3!F$3,0)</f>
        <v>2</v>
      </c>
      <c r="M111">
        <f>ROUND(VLOOKUP(INT(A111/1000),Sheet3!$A$2:$B$7,2,FALSE)*Sheet3!G$3,0)</f>
        <v>2</v>
      </c>
    </row>
    <row r="112" spans="1:13">
      <c r="A112">
        <f t="shared" si="107"/>
        <v>13301</v>
      </c>
      <c r="B112" t="str">
        <f t="shared" ref="B112:C112" si="131">B88</f>
        <v>伙伴5级时开启</v>
      </c>
      <c r="C112" t="str">
        <f t="shared" si="131"/>
        <v>进阶+1</v>
      </c>
      <c r="D112">
        <f t="shared" si="98"/>
        <v>1201</v>
      </c>
      <c r="E112">
        <f t="shared" si="98"/>
        <v>10000</v>
      </c>
      <c r="F112" t="str">
        <f t="shared" si="98"/>
        <v>14107|120</v>
      </c>
      <c r="H112">
        <f t="shared" si="99"/>
        <v>0</v>
      </c>
      <c r="I112">
        <f>ROUND(VLOOKUP(INT(A112/1000),Sheet3!$A$2:$B$7,2,FALSE)*Sheet3!D$3,0)</f>
        <v>135</v>
      </c>
      <c r="K112">
        <f>ROUND(VLOOKUP(INT(A112/1000),Sheet3!$A$2:$B$7,2,FALSE)*Sheet3!E$3,0)</f>
        <v>5</v>
      </c>
      <c r="L112">
        <f>ROUND(VLOOKUP(INT(A112/1000),Sheet3!$A$2:$B$7,2,FALSE)*Sheet3!F$3,0)</f>
        <v>2</v>
      </c>
      <c r="M112">
        <f>ROUND(VLOOKUP(INT(A112/1000),Sheet3!$A$2:$B$7,2,FALSE)*Sheet3!G$3,0)</f>
        <v>2</v>
      </c>
    </row>
    <row r="113" spans="1:13">
      <c r="A113">
        <f t="shared" si="107"/>
        <v>13302</v>
      </c>
      <c r="B113" t="str">
        <f t="shared" ref="B113:C113" si="132">B89</f>
        <v>伙伴15级时开启</v>
      </c>
      <c r="C113" t="str">
        <f t="shared" si="132"/>
        <v>进阶+2</v>
      </c>
      <c r="D113">
        <f t="shared" si="98"/>
        <v>1202</v>
      </c>
      <c r="E113">
        <f t="shared" si="98"/>
        <v>30000</v>
      </c>
      <c r="F113" t="str">
        <f t="shared" si="98"/>
        <v>14107|360</v>
      </c>
      <c r="H113">
        <f t="shared" si="99"/>
        <v>0</v>
      </c>
      <c r="I113">
        <f>ROUND(VLOOKUP(INT(A113/1000),Sheet3!$A$2:$B$7,2,FALSE)*Sheet3!D$3,0)</f>
        <v>135</v>
      </c>
      <c r="K113">
        <f>ROUND(VLOOKUP(INT(A113/1000),Sheet3!$A$2:$B$7,2,FALSE)*Sheet3!E$3,0)</f>
        <v>5</v>
      </c>
      <c r="L113">
        <f>ROUND(VLOOKUP(INT(A113/1000),Sheet3!$A$2:$B$7,2,FALSE)*Sheet3!F$3,0)</f>
        <v>2</v>
      </c>
      <c r="M113">
        <f>ROUND(VLOOKUP(INT(A113/1000),Sheet3!$A$2:$B$7,2,FALSE)*Sheet3!G$3,0)</f>
        <v>2</v>
      </c>
    </row>
    <row r="114" spans="1:13">
      <c r="A114">
        <f t="shared" si="107"/>
        <v>13303</v>
      </c>
      <c r="B114" t="str">
        <f t="shared" ref="B114:C114" si="133">B90</f>
        <v>伙伴25级时开启</v>
      </c>
      <c r="C114" t="str">
        <f t="shared" si="133"/>
        <v>进阶+3</v>
      </c>
      <c r="D114">
        <f t="shared" si="98"/>
        <v>1203</v>
      </c>
      <c r="E114">
        <f t="shared" si="98"/>
        <v>50000</v>
      </c>
      <c r="F114" t="str">
        <f t="shared" si="98"/>
        <v>14107|600</v>
      </c>
      <c r="H114">
        <f t="shared" si="99"/>
        <v>0</v>
      </c>
      <c r="I114">
        <f>ROUND(VLOOKUP(INT(A114/1000),Sheet3!$A$2:$B$7,2,FALSE)*Sheet3!D$3,0)</f>
        <v>135</v>
      </c>
      <c r="K114">
        <f>ROUND(VLOOKUP(INT(A114/1000),Sheet3!$A$2:$B$7,2,FALSE)*Sheet3!E$3,0)</f>
        <v>5</v>
      </c>
      <c r="L114">
        <f>ROUND(VLOOKUP(INT(A114/1000),Sheet3!$A$2:$B$7,2,FALSE)*Sheet3!F$3,0)</f>
        <v>2</v>
      </c>
      <c r="M114">
        <f>ROUND(VLOOKUP(INT(A114/1000),Sheet3!$A$2:$B$7,2,FALSE)*Sheet3!G$3,0)</f>
        <v>2</v>
      </c>
    </row>
    <row r="115" spans="1:13">
      <c r="A115">
        <f t="shared" si="107"/>
        <v>13304</v>
      </c>
      <c r="B115" t="str">
        <f t="shared" ref="B115:C115" si="134">B91</f>
        <v>伙伴35级时开启</v>
      </c>
      <c r="C115" t="str">
        <f t="shared" si="134"/>
        <v>进阶+4</v>
      </c>
      <c r="D115">
        <f t="shared" si="98"/>
        <v>1204</v>
      </c>
      <c r="E115">
        <f t="shared" si="98"/>
        <v>100000</v>
      </c>
      <c r="F115" t="str">
        <f t="shared" si="98"/>
        <v>14107|1200</v>
      </c>
      <c r="H115">
        <f t="shared" si="99"/>
        <v>1</v>
      </c>
      <c r="I115">
        <f>ROUND(VLOOKUP(INT(A115/1000),Sheet3!$A$2:$B$7,2,FALSE)*Sheet3!D$3,0)</f>
        <v>135</v>
      </c>
      <c r="K115">
        <f>ROUND(VLOOKUP(INT(A115/1000),Sheet3!$A$2:$B$7,2,FALSE)*Sheet3!E$3,0)</f>
        <v>5</v>
      </c>
      <c r="L115">
        <f>ROUND(VLOOKUP(INT(A115/1000),Sheet3!$A$2:$B$7,2,FALSE)*Sheet3!F$3,0)</f>
        <v>2</v>
      </c>
      <c r="M115">
        <f>ROUND(VLOOKUP(INT(A115/1000),Sheet3!$A$2:$B$7,2,FALSE)*Sheet3!G$3,0)</f>
        <v>2</v>
      </c>
    </row>
    <row r="116" spans="1:13">
      <c r="A116">
        <f t="shared" si="107"/>
        <v>13305</v>
      </c>
      <c r="B116" t="str">
        <f t="shared" ref="B116:C116" si="135">B92</f>
        <v>伙伴45级时开启</v>
      </c>
      <c r="C116" t="str">
        <f t="shared" si="135"/>
        <v>进阶+5</v>
      </c>
      <c r="D116">
        <f t="shared" si="98"/>
        <v>1205</v>
      </c>
      <c r="E116">
        <f t="shared" si="98"/>
        <v>200000</v>
      </c>
      <c r="F116" t="str">
        <f t="shared" si="98"/>
        <v>14107|2400</v>
      </c>
      <c r="H116">
        <f t="shared" si="99"/>
        <v>1</v>
      </c>
      <c r="I116">
        <f>ROUND(VLOOKUP(INT(A116/1000),Sheet3!$A$2:$B$7,2,FALSE)*Sheet3!D$3,0)</f>
        <v>135</v>
      </c>
      <c r="K116">
        <f>ROUND(VLOOKUP(INT(A116/1000),Sheet3!$A$2:$B$7,2,FALSE)*Sheet3!E$3,0)</f>
        <v>5</v>
      </c>
      <c r="L116">
        <f>ROUND(VLOOKUP(INT(A116/1000),Sheet3!$A$2:$B$7,2,FALSE)*Sheet3!F$3,0)</f>
        <v>2</v>
      </c>
      <c r="M116">
        <f>ROUND(VLOOKUP(INT(A116/1000),Sheet3!$A$2:$B$7,2,FALSE)*Sheet3!G$3,0)</f>
        <v>2</v>
      </c>
    </row>
    <row r="117" spans="1:13">
      <c r="A117">
        <f t="shared" si="107"/>
        <v>13306</v>
      </c>
      <c r="B117" t="str">
        <f t="shared" ref="B117:C117" si="136">B93</f>
        <v>伙伴55级时开启</v>
      </c>
      <c r="C117" t="str">
        <f t="shared" si="136"/>
        <v>进阶+6</v>
      </c>
      <c r="D117">
        <f t="shared" si="98"/>
        <v>1206</v>
      </c>
      <c r="E117">
        <f t="shared" si="98"/>
        <v>300000</v>
      </c>
      <c r="F117" t="str">
        <f t="shared" si="98"/>
        <v>14107|3600</v>
      </c>
      <c r="H117">
        <f t="shared" si="99"/>
        <v>2</v>
      </c>
      <c r="I117">
        <f>ROUND(VLOOKUP(INT(A117/1000),Sheet3!$A$2:$B$7,2,FALSE)*Sheet3!D$3,0)</f>
        <v>135</v>
      </c>
      <c r="K117">
        <f>ROUND(VLOOKUP(INT(A117/1000),Sheet3!$A$2:$B$7,2,FALSE)*Sheet3!E$3,0)</f>
        <v>5</v>
      </c>
      <c r="L117">
        <f>ROUND(VLOOKUP(INT(A117/1000),Sheet3!$A$2:$B$7,2,FALSE)*Sheet3!F$3,0)</f>
        <v>2</v>
      </c>
      <c r="M117">
        <f>ROUND(VLOOKUP(INT(A117/1000),Sheet3!$A$2:$B$7,2,FALSE)*Sheet3!G$3,0)</f>
        <v>2</v>
      </c>
    </row>
    <row r="118" spans="1:13">
      <c r="A118">
        <f t="shared" si="107"/>
        <v>13307</v>
      </c>
      <c r="B118" t="str">
        <f t="shared" ref="B118:C118" si="137">B94</f>
        <v>伙伴65级时开启</v>
      </c>
      <c r="C118" t="str">
        <f t="shared" si="137"/>
        <v>进阶+7</v>
      </c>
      <c r="D118">
        <f t="shared" si="98"/>
        <v>1207</v>
      </c>
      <c r="E118">
        <f t="shared" si="98"/>
        <v>500000</v>
      </c>
      <c r="F118" t="str">
        <f t="shared" si="98"/>
        <v>14107|6000</v>
      </c>
      <c r="H118">
        <f t="shared" si="99"/>
        <v>2</v>
      </c>
      <c r="I118">
        <f>ROUND(VLOOKUP(INT(A118/1000),Sheet3!$A$2:$B$7,2,FALSE)*Sheet3!D$3,0)</f>
        <v>135</v>
      </c>
      <c r="K118">
        <f>ROUND(VLOOKUP(INT(A118/1000),Sheet3!$A$2:$B$7,2,FALSE)*Sheet3!E$3,0)</f>
        <v>5</v>
      </c>
      <c r="L118">
        <f>ROUND(VLOOKUP(INT(A118/1000),Sheet3!$A$2:$B$7,2,FALSE)*Sheet3!F$3,0)</f>
        <v>2</v>
      </c>
      <c r="M118">
        <f>ROUND(VLOOKUP(INT(A118/1000),Sheet3!$A$2:$B$7,2,FALSE)*Sheet3!G$3,0)</f>
        <v>2</v>
      </c>
    </row>
    <row r="119" spans="1:13">
      <c r="A119">
        <f t="shared" si="107"/>
        <v>13308</v>
      </c>
      <c r="B119" t="str">
        <f t="shared" ref="B119:C119" si="138">B95</f>
        <v>伙伴75级时开启</v>
      </c>
      <c r="C119" t="str">
        <f t="shared" si="138"/>
        <v>进阶+8</v>
      </c>
      <c r="D119">
        <f t="shared" si="98"/>
        <v>1208</v>
      </c>
      <c r="E119">
        <f t="shared" si="98"/>
        <v>800000</v>
      </c>
      <c r="F119" t="str">
        <f t="shared" si="98"/>
        <v>14107|10000</v>
      </c>
      <c r="H119">
        <f t="shared" si="99"/>
        <v>4</v>
      </c>
      <c r="I119">
        <f>ROUND(VLOOKUP(INT(A119/1000),Sheet3!$A$2:$B$7,2,FALSE)*Sheet3!D$3,0)</f>
        <v>135</v>
      </c>
      <c r="K119">
        <f>ROUND(VLOOKUP(INT(A119/1000),Sheet3!$A$2:$B$7,2,FALSE)*Sheet3!E$3,0)</f>
        <v>5</v>
      </c>
      <c r="L119">
        <f>ROUND(VLOOKUP(INT(A119/1000),Sheet3!$A$2:$B$7,2,FALSE)*Sheet3!F$3,0)</f>
        <v>2</v>
      </c>
      <c r="M119">
        <f>ROUND(VLOOKUP(INT(A119/1000),Sheet3!$A$2:$B$7,2,FALSE)*Sheet3!G$3,0)</f>
        <v>2</v>
      </c>
    </row>
    <row r="120" spans="1:13">
      <c r="A120">
        <f t="shared" si="107"/>
        <v>13309</v>
      </c>
      <c r="B120" t="str">
        <f t="shared" ref="B120:C120" si="139">B96</f>
        <v>伙伴85级时开启</v>
      </c>
      <c r="C120" t="str">
        <f t="shared" si="139"/>
        <v>进阶+9</v>
      </c>
      <c r="D120">
        <f t="shared" si="98"/>
        <v>1209</v>
      </c>
      <c r="E120">
        <f t="shared" si="98"/>
        <v>1200000</v>
      </c>
      <c r="F120" t="str">
        <f t="shared" si="98"/>
        <v>14107|15000</v>
      </c>
      <c r="H120">
        <f t="shared" si="99"/>
        <v>6</v>
      </c>
      <c r="I120">
        <f>ROUND(VLOOKUP(INT(A120/1000),Sheet3!$A$2:$B$7,2,FALSE)*Sheet3!D$3,0)</f>
        <v>135</v>
      </c>
      <c r="K120">
        <f>ROUND(VLOOKUP(INT(A120/1000),Sheet3!$A$2:$B$7,2,FALSE)*Sheet3!E$3,0)</f>
        <v>5</v>
      </c>
      <c r="L120">
        <f>ROUND(VLOOKUP(INT(A120/1000),Sheet3!$A$2:$B$7,2,FALSE)*Sheet3!F$3,0)</f>
        <v>2</v>
      </c>
      <c r="M120">
        <f>ROUND(VLOOKUP(INT(A120/1000),Sheet3!$A$2:$B$7,2,FALSE)*Sheet3!G$3,0)</f>
        <v>2</v>
      </c>
    </row>
    <row r="121" spans="1:13">
      <c r="A121">
        <f t="shared" si="107"/>
        <v>13310</v>
      </c>
      <c r="B121" t="str">
        <f t="shared" ref="B121:C121" si="140">B97</f>
        <v>伙伴95级时开启</v>
      </c>
      <c r="C121" t="str">
        <f t="shared" si="140"/>
        <v>进阶+10</v>
      </c>
      <c r="D121">
        <f t="shared" si="98"/>
        <v>1210</v>
      </c>
      <c r="E121">
        <f t="shared" si="98"/>
        <v>1600000</v>
      </c>
      <c r="F121" t="str">
        <f t="shared" si="98"/>
        <v>14107|20000</v>
      </c>
      <c r="H121">
        <f t="shared" si="99"/>
        <v>8</v>
      </c>
      <c r="I121">
        <f>ROUND(VLOOKUP(INT(A121/1000),Sheet3!$A$2:$B$7,2,FALSE)*Sheet3!D$3,0)</f>
        <v>135</v>
      </c>
      <c r="K121">
        <f>ROUND(VLOOKUP(INT(A121/1000),Sheet3!$A$2:$B$7,2,FALSE)*Sheet3!E$3,0)</f>
        <v>5</v>
      </c>
      <c r="L121">
        <f>ROUND(VLOOKUP(INT(A121/1000),Sheet3!$A$2:$B$7,2,FALSE)*Sheet3!F$3,0)</f>
        <v>2</v>
      </c>
      <c r="M121">
        <f>ROUND(VLOOKUP(INT(A121/1000),Sheet3!$A$2:$B$7,2,FALSE)*Sheet3!G$3,0)</f>
        <v>2</v>
      </c>
    </row>
    <row r="122" spans="1:13">
      <c r="A122">
        <f t="shared" si="107"/>
        <v>13311</v>
      </c>
      <c r="B122" t="str">
        <f t="shared" ref="B122:C122" si="141">B98</f>
        <v>伙伴105级时开启</v>
      </c>
      <c r="C122" t="str">
        <f t="shared" si="141"/>
        <v>进阶+11</v>
      </c>
      <c r="D122">
        <f t="shared" si="98"/>
        <v>1211</v>
      </c>
      <c r="E122">
        <f t="shared" si="98"/>
        <v>2000000</v>
      </c>
      <c r="F122" t="str">
        <f t="shared" si="98"/>
        <v>14107|24000</v>
      </c>
      <c r="H122">
        <f t="shared" si="99"/>
        <v>10</v>
      </c>
      <c r="I122">
        <f>ROUND(VLOOKUP(INT(A122/1000),Sheet3!$A$2:$B$7,2,FALSE)*Sheet3!D$3,0)</f>
        <v>135</v>
      </c>
      <c r="K122">
        <f>ROUND(VLOOKUP(INT(A122/1000),Sheet3!$A$2:$B$7,2,FALSE)*Sheet3!E$3,0)</f>
        <v>5</v>
      </c>
      <c r="L122">
        <f>ROUND(VLOOKUP(INT(A122/1000),Sheet3!$A$2:$B$7,2,FALSE)*Sheet3!F$3,0)</f>
        <v>2</v>
      </c>
      <c r="M122">
        <f>ROUND(VLOOKUP(INT(A122/1000),Sheet3!$A$2:$B$7,2,FALSE)*Sheet3!G$3,0)</f>
        <v>2</v>
      </c>
    </row>
    <row r="123" spans="1:13">
      <c r="A123">
        <f t="shared" si="107"/>
        <v>13312</v>
      </c>
      <c r="B123" t="str">
        <f t="shared" ref="B123:C123" si="142">B99</f>
        <v>伙伴115级时开启</v>
      </c>
      <c r="C123" t="str">
        <f t="shared" si="142"/>
        <v>进阶+12</v>
      </c>
      <c r="D123">
        <f t="shared" si="98"/>
        <v>1212</v>
      </c>
      <c r="E123">
        <f t="shared" si="98"/>
        <v>2400000</v>
      </c>
      <c r="F123" t="str">
        <f t="shared" si="98"/>
        <v>14107|28000</v>
      </c>
      <c r="H123">
        <f t="shared" si="99"/>
        <v>12</v>
      </c>
      <c r="I123">
        <f>ROUND(VLOOKUP(INT(A123/1000),Sheet3!$A$2:$B$7,2,FALSE)*Sheet3!D$3,0)</f>
        <v>135</v>
      </c>
      <c r="K123">
        <f>ROUND(VLOOKUP(INT(A123/1000),Sheet3!$A$2:$B$7,2,FALSE)*Sheet3!E$3,0)</f>
        <v>5</v>
      </c>
      <c r="L123">
        <f>ROUND(VLOOKUP(INT(A123/1000),Sheet3!$A$2:$B$7,2,FALSE)*Sheet3!F$3,0)</f>
        <v>2</v>
      </c>
      <c r="M123">
        <f>ROUND(VLOOKUP(INT(A123/1000),Sheet3!$A$2:$B$7,2,FALSE)*Sheet3!G$3,0)</f>
        <v>2</v>
      </c>
    </row>
    <row r="124" spans="1:13">
      <c r="A124">
        <f t="shared" si="107"/>
        <v>13401</v>
      </c>
      <c r="B124" t="str">
        <f t="shared" ref="B124:C124" si="143">B100</f>
        <v>伙伴5级时开启</v>
      </c>
      <c r="C124" t="str">
        <f t="shared" si="143"/>
        <v>进阶+1</v>
      </c>
      <c r="D124">
        <f t="shared" si="98"/>
        <v>1201</v>
      </c>
      <c r="E124">
        <f t="shared" si="98"/>
        <v>10000</v>
      </c>
      <c r="F124" t="str">
        <f t="shared" si="98"/>
        <v>14107|120</v>
      </c>
      <c r="H124">
        <f t="shared" si="99"/>
        <v>0</v>
      </c>
      <c r="I124">
        <f>ROUND(VLOOKUP(INT(A124/1000),Sheet3!$A$2:$B$7,2,FALSE)*Sheet3!D$3,0)</f>
        <v>135</v>
      </c>
      <c r="K124">
        <f>ROUND(VLOOKUP(INT(A124/1000),Sheet3!$A$2:$B$7,2,FALSE)*Sheet3!E$3,0)</f>
        <v>5</v>
      </c>
      <c r="L124">
        <f>ROUND(VLOOKUP(INT(A124/1000),Sheet3!$A$2:$B$7,2,FALSE)*Sheet3!F$3,0)</f>
        <v>2</v>
      </c>
      <c r="M124">
        <f>ROUND(VLOOKUP(INT(A124/1000),Sheet3!$A$2:$B$7,2,FALSE)*Sheet3!G$3,0)</f>
        <v>2</v>
      </c>
    </row>
    <row r="125" spans="1:13">
      <c r="A125">
        <f t="shared" si="107"/>
        <v>13402</v>
      </c>
      <c r="B125" t="str">
        <f t="shared" ref="B125:C125" si="144">B101</f>
        <v>伙伴15级时开启</v>
      </c>
      <c r="C125" t="str">
        <f t="shared" si="144"/>
        <v>进阶+2</v>
      </c>
      <c r="D125">
        <f t="shared" si="98"/>
        <v>1202</v>
      </c>
      <c r="E125">
        <f t="shared" si="98"/>
        <v>30000</v>
      </c>
      <c r="F125" t="str">
        <f t="shared" si="98"/>
        <v>14107|360</v>
      </c>
      <c r="H125">
        <f t="shared" si="99"/>
        <v>0</v>
      </c>
      <c r="I125">
        <f>ROUND(VLOOKUP(INT(A125/1000),Sheet3!$A$2:$B$7,2,FALSE)*Sheet3!D$3,0)</f>
        <v>135</v>
      </c>
      <c r="K125">
        <f>ROUND(VLOOKUP(INT(A125/1000),Sheet3!$A$2:$B$7,2,FALSE)*Sheet3!E$3,0)</f>
        <v>5</v>
      </c>
      <c r="L125">
        <f>ROUND(VLOOKUP(INT(A125/1000),Sheet3!$A$2:$B$7,2,FALSE)*Sheet3!F$3,0)</f>
        <v>2</v>
      </c>
      <c r="M125">
        <f>ROUND(VLOOKUP(INT(A125/1000),Sheet3!$A$2:$B$7,2,FALSE)*Sheet3!G$3,0)</f>
        <v>2</v>
      </c>
    </row>
    <row r="126" spans="1:13">
      <c r="A126">
        <f t="shared" si="107"/>
        <v>13403</v>
      </c>
      <c r="B126" t="str">
        <f t="shared" ref="B126:C126" si="145">B102</f>
        <v>伙伴25级时开启</v>
      </c>
      <c r="C126" t="str">
        <f t="shared" si="145"/>
        <v>进阶+3</v>
      </c>
      <c r="D126">
        <f t="shared" si="98"/>
        <v>1203</v>
      </c>
      <c r="E126">
        <f t="shared" si="98"/>
        <v>50000</v>
      </c>
      <c r="F126" t="str">
        <f t="shared" si="98"/>
        <v>14107|600</v>
      </c>
      <c r="H126">
        <f t="shared" si="99"/>
        <v>0</v>
      </c>
      <c r="I126">
        <f>ROUND(VLOOKUP(INT(A126/1000),Sheet3!$A$2:$B$7,2,FALSE)*Sheet3!D$3,0)</f>
        <v>135</v>
      </c>
      <c r="K126">
        <f>ROUND(VLOOKUP(INT(A126/1000),Sheet3!$A$2:$B$7,2,FALSE)*Sheet3!E$3,0)</f>
        <v>5</v>
      </c>
      <c r="L126">
        <f>ROUND(VLOOKUP(INT(A126/1000),Sheet3!$A$2:$B$7,2,FALSE)*Sheet3!F$3,0)</f>
        <v>2</v>
      </c>
      <c r="M126">
        <f>ROUND(VLOOKUP(INT(A126/1000),Sheet3!$A$2:$B$7,2,FALSE)*Sheet3!G$3,0)</f>
        <v>2</v>
      </c>
    </row>
    <row r="127" spans="1:13">
      <c r="A127">
        <f t="shared" si="107"/>
        <v>13404</v>
      </c>
      <c r="B127" t="str">
        <f t="shared" ref="B127:C127" si="146">B103</f>
        <v>伙伴35级时开启</v>
      </c>
      <c r="C127" t="str">
        <f t="shared" si="146"/>
        <v>进阶+4</v>
      </c>
      <c r="D127">
        <f t="shared" si="98"/>
        <v>1204</v>
      </c>
      <c r="E127">
        <f t="shared" si="98"/>
        <v>100000</v>
      </c>
      <c r="F127" t="str">
        <f t="shared" si="98"/>
        <v>14107|1200</v>
      </c>
      <c r="H127">
        <f t="shared" si="99"/>
        <v>1</v>
      </c>
      <c r="I127">
        <f>ROUND(VLOOKUP(INT(A127/1000),Sheet3!$A$2:$B$7,2,FALSE)*Sheet3!D$3,0)</f>
        <v>135</v>
      </c>
      <c r="K127">
        <f>ROUND(VLOOKUP(INT(A127/1000),Sheet3!$A$2:$B$7,2,FALSE)*Sheet3!E$3,0)</f>
        <v>5</v>
      </c>
      <c r="L127">
        <f>ROUND(VLOOKUP(INT(A127/1000),Sheet3!$A$2:$B$7,2,FALSE)*Sheet3!F$3,0)</f>
        <v>2</v>
      </c>
      <c r="M127">
        <f>ROUND(VLOOKUP(INT(A127/1000),Sheet3!$A$2:$B$7,2,FALSE)*Sheet3!G$3,0)</f>
        <v>2</v>
      </c>
    </row>
    <row r="128" spans="1:13">
      <c r="A128">
        <f t="shared" si="107"/>
        <v>13405</v>
      </c>
      <c r="B128" t="str">
        <f t="shared" ref="B128:C128" si="147">B104</f>
        <v>伙伴45级时开启</v>
      </c>
      <c r="C128" t="str">
        <f t="shared" si="147"/>
        <v>进阶+5</v>
      </c>
      <c r="D128">
        <f t="shared" si="98"/>
        <v>1205</v>
      </c>
      <c r="E128">
        <f t="shared" si="98"/>
        <v>200000</v>
      </c>
      <c r="F128" t="str">
        <f t="shared" si="98"/>
        <v>14107|2400</v>
      </c>
      <c r="H128">
        <f t="shared" si="99"/>
        <v>1</v>
      </c>
      <c r="I128">
        <f>ROUND(VLOOKUP(INT(A128/1000),Sheet3!$A$2:$B$7,2,FALSE)*Sheet3!D$3,0)</f>
        <v>135</v>
      </c>
      <c r="K128">
        <f>ROUND(VLOOKUP(INT(A128/1000),Sheet3!$A$2:$B$7,2,FALSE)*Sheet3!E$3,0)</f>
        <v>5</v>
      </c>
      <c r="L128">
        <f>ROUND(VLOOKUP(INT(A128/1000),Sheet3!$A$2:$B$7,2,FALSE)*Sheet3!F$3,0)</f>
        <v>2</v>
      </c>
      <c r="M128">
        <f>ROUND(VLOOKUP(INT(A128/1000),Sheet3!$A$2:$B$7,2,FALSE)*Sheet3!G$3,0)</f>
        <v>2</v>
      </c>
    </row>
    <row r="129" spans="1:13">
      <c r="A129">
        <f t="shared" si="107"/>
        <v>13406</v>
      </c>
      <c r="B129" t="str">
        <f t="shared" ref="B129:C129" si="148">B105</f>
        <v>伙伴55级时开启</v>
      </c>
      <c r="C129" t="str">
        <f t="shared" si="148"/>
        <v>进阶+6</v>
      </c>
      <c r="D129">
        <f t="shared" si="98"/>
        <v>1206</v>
      </c>
      <c r="E129">
        <f t="shared" si="98"/>
        <v>300000</v>
      </c>
      <c r="F129" t="str">
        <f t="shared" si="98"/>
        <v>14107|3600</v>
      </c>
      <c r="H129">
        <f t="shared" si="99"/>
        <v>2</v>
      </c>
      <c r="I129">
        <f>ROUND(VLOOKUP(INT(A129/1000),Sheet3!$A$2:$B$7,2,FALSE)*Sheet3!D$3,0)</f>
        <v>135</v>
      </c>
      <c r="K129">
        <f>ROUND(VLOOKUP(INT(A129/1000),Sheet3!$A$2:$B$7,2,FALSE)*Sheet3!E$3,0)</f>
        <v>5</v>
      </c>
      <c r="L129">
        <f>ROUND(VLOOKUP(INT(A129/1000),Sheet3!$A$2:$B$7,2,FALSE)*Sheet3!F$3,0)</f>
        <v>2</v>
      </c>
      <c r="M129">
        <f>ROUND(VLOOKUP(INT(A129/1000),Sheet3!$A$2:$B$7,2,FALSE)*Sheet3!G$3,0)</f>
        <v>2</v>
      </c>
    </row>
    <row r="130" spans="1:13">
      <c r="A130">
        <f t="shared" si="107"/>
        <v>13407</v>
      </c>
      <c r="B130" t="str">
        <f t="shared" ref="B130:C130" si="149">B106</f>
        <v>伙伴65级时开启</v>
      </c>
      <c r="C130" t="str">
        <f t="shared" si="149"/>
        <v>进阶+7</v>
      </c>
      <c r="D130">
        <f t="shared" si="98"/>
        <v>1207</v>
      </c>
      <c r="E130">
        <f t="shared" si="98"/>
        <v>500000</v>
      </c>
      <c r="F130" t="str">
        <f t="shared" si="98"/>
        <v>14107|6000</v>
      </c>
      <c r="H130">
        <f t="shared" si="99"/>
        <v>2</v>
      </c>
      <c r="I130">
        <f>ROUND(VLOOKUP(INT(A130/1000),Sheet3!$A$2:$B$7,2,FALSE)*Sheet3!D$3,0)</f>
        <v>135</v>
      </c>
      <c r="K130">
        <f>ROUND(VLOOKUP(INT(A130/1000),Sheet3!$A$2:$B$7,2,FALSE)*Sheet3!E$3,0)</f>
        <v>5</v>
      </c>
      <c r="L130">
        <f>ROUND(VLOOKUP(INT(A130/1000),Sheet3!$A$2:$B$7,2,FALSE)*Sheet3!F$3,0)</f>
        <v>2</v>
      </c>
      <c r="M130">
        <f>ROUND(VLOOKUP(INT(A130/1000),Sheet3!$A$2:$B$7,2,FALSE)*Sheet3!G$3,0)</f>
        <v>2</v>
      </c>
    </row>
    <row r="131" spans="1:13">
      <c r="A131">
        <f t="shared" si="107"/>
        <v>13408</v>
      </c>
      <c r="B131" t="str">
        <f t="shared" ref="B131:C131" si="150">B107</f>
        <v>伙伴75级时开启</v>
      </c>
      <c r="C131" t="str">
        <f t="shared" si="150"/>
        <v>进阶+8</v>
      </c>
      <c r="D131">
        <f t="shared" si="98"/>
        <v>1208</v>
      </c>
      <c r="E131">
        <f t="shared" si="98"/>
        <v>800000</v>
      </c>
      <c r="F131" t="str">
        <f t="shared" si="98"/>
        <v>14107|10000</v>
      </c>
      <c r="H131">
        <f t="shared" si="99"/>
        <v>4</v>
      </c>
      <c r="I131">
        <f>ROUND(VLOOKUP(INT(A131/1000),Sheet3!$A$2:$B$7,2,FALSE)*Sheet3!D$3,0)</f>
        <v>135</v>
      </c>
      <c r="K131">
        <f>ROUND(VLOOKUP(INT(A131/1000),Sheet3!$A$2:$B$7,2,FALSE)*Sheet3!E$3,0)</f>
        <v>5</v>
      </c>
      <c r="L131">
        <f>ROUND(VLOOKUP(INT(A131/1000),Sheet3!$A$2:$B$7,2,FALSE)*Sheet3!F$3,0)</f>
        <v>2</v>
      </c>
      <c r="M131">
        <f>ROUND(VLOOKUP(INT(A131/1000),Sheet3!$A$2:$B$7,2,FALSE)*Sheet3!G$3,0)</f>
        <v>2</v>
      </c>
    </row>
    <row r="132" spans="1:13">
      <c r="A132">
        <f t="shared" si="107"/>
        <v>13409</v>
      </c>
      <c r="B132" t="str">
        <f t="shared" ref="B132:C132" si="151">B108</f>
        <v>伙伴85级时开启</v>
      </c>
      <c r="C132" t="str">
        <f t="shared" si="151"/>
        <v>进阶+9</v>
      </c>
      <c r="D132">
        <f t="shared" si="98"/>
        <v>1209</v>
      </c>
      <c r="E132">
        <f t="shared" si="98"/>
        <v>1200000</v>
      </c>
      <c r="F132" t="str">
        <f t="shared" si="98"/>
        <v>14107|15000</v>
      </c>
      <c r="H132">
        <f t="shared" si="99"/>
        <v>6</v>
      </c>
      <c r="I132">
        <f>ROUND(VLOOKUP(INT(A132/1000),Sheet3!$A$2:$B$7,2,FALSE)*Sheet3!D$3,0)</f>
        <v>135</v>
      </c>
      <c r="K132">
        <f>ROUND(VLOOKUP(INT(A132/1000),Sheet3!$A$2:$B$7,2,FALSE)*Sheet3!E$3,0)</f>
        <v>5</v>
      </c>
      <c r="L132">
        <f>ROUND(VLOOKUP(INT(A132/1000),Sheet3!$A$2:$B$7,2,FALSE)*Sheet3!F$3,0)</f>
        <v>2</v>
      </c>
      <c r="M132">
        <f>ROUND(VLOOKUP(INT(A132/1000),Sheet3!$A$2:$B$7,2,FALSE)*Sheet3!G$3,0)</f>
        <v>2</v>
      </c>
    </row>
    <row r="133" spans="1:13">
      <c r="A133">
        <f t="shared" si="107"/>
        <v>13410</v>
      </c>
      <c r="B133" t="str">
        <f t="shared" ref="B133:C133" si="152">B109</f>
        <v>伙伴95级时开启</v>
      </c>
      <c r="C133" t="str">
        <f t="shared" si="152"/>
        <v>进阶+10</v>
      </c>
      <c r="D133">
        <f t="shared" si="98"/>
        <v>1210</v>
      </c>
      <c r="E133">
        <f t="shared" si="98"/>
        <v>1600000</v>
      </c>
      <c r="F133" t="str">
        <f t="shared" si="98"/>
        <v>14107|20000</v>
      </c>
      <c r="H133">
        <f t="shared" si="99"/>
        <v>8</v>
      </c>
      <c r="I133">
        <f>ROUND(VLOOKUP(INT(A133/1000),Sheet3!$A$2:$B$7,2,FALSE)*Sheet3!D$3,0)</f>
        <v>135</v>
      </c>
      <c r="K133">
        <f>ROUND(VLOOKUP(INT(A133/1000),Sheet3!$A$2:$B$7,2,FALSE)*Sheet3!E$3,0)</f>
        <v>5</v>
      </c>
      <c r="L133">
        <f>ROUND(VLOOKUP(INT(A133/1000),Sheet3!$A$2:$B$7,2,FALSE)*Sheet3!F$3,0)</f>
        <v>2</v>
      </c>
      <c r="M133">
        <f>ROUND(VLOOKUP(INT(A133/1000),Sheet3!$A$2:$B$7,2,FALSE)*Sheet3!G$3,0)</f>
        <v>2</v>
      </c>
    </row>
    <row r="134" spans="1:13">
      <c r="A134">
        <f t="shared" si="107"/>
        <v>13411</v>
      </c>
      <c r="B134" t="str">
        <f t="shared" ref="B134:C134" si="153">B110</f>
        <v>伙伴105级时开启</v>
      </c>
      <c r="C134" t="str">
        <f t="shared" si="153"/>
        <v>进阶+11</v>
      </c>
      <c r="D134">
        <f t="shared" si="98"/>
        <v>1211</v>
      </c>
      <c r="E134">
        <f t="shared" si="98"/>
        <v>2000000</v>
      </c>
      <c r="F134" t="str">
        <f t="shared" si="98"/>
        <v>14107|24000</v>
      </c>
      <c r="H134">
        <f t="shared" si="99"/>
        <v>10</v>
      </c>
      <c r="I134">
        <f>ROUND(VLOOKUP(INT(A134/1000),Sheet3!$A$2:$B$7,2,FALSE)*Sheet3!D$3,0)</f>
        <v>135</v>
      </c>
      <c r="K134">
        <f>ROUND(VLOOKUP(INT(A134/1000),Sheet3!$A$2:$B$7,2,FALSE)*Sheet3!E$3,0)</f>
        <v>5</v>
      </c>
      <c r="L134">
        <f>ROUND(VLOOKUP(INT(A134/1000),Sheet3!$A$2:$B$7,2,FALSE)*Sheet3!F$3,0)</f>
        <v>2</v>
      </c>
      <c r="M134">
        <f>ROUND(VLOOKUP(INT(A134/1000),Sheet3!$A$2:$B$7,2,FALSE)*Sheet3!G$3,0)</f>
        <v>2</v>
      </c>
    </row>
    <row r="135" spans="1:13">
      <c r="A135">
        <f t="shared" si="107"/>
        <v>13412</v>
      </c>
      <c r="B135" t="str">
        <f t="shared" ref="B135:C135" si="154">B111</f>
        <v>伙伴115级时开启</v>
      </c>
      <c r="C135" t="str">
        <f t="shared" si="154"/>
        <v>进阶+12</v>
      </c>
      <c r="D135">
        <f t="shared" si="98"/>
        <v>1212</v>
      </c>
      <c r="E135">
        <f t="shared" si="98"/>
        <v>2400000</v>
      </c>
      <c r="F135" t="str">
        <f t="shared" si="98"/>
        <v>14107|28000</v>
      </c>
      <c r="H135">
        <f t="shared" si="99"/>
        <v>12</v>
      </c>
      <c r="I135">
        <f>ROUND(VLOOKUP(INT(A135/1000),Sheet3!$A$2:$B$7,2,FALSE)*Sheet3!D$3,0)</f>
        <v>135</v>
      </c>
      <c r="K135">
        <f>ROUND(VLOOKUP(INT(A135/1000),Sheet3!$A$2:$B$7,2,FALSE)*Sheet3!E$3,0)</f>
        <v>5</v>
      </c>
      <c r="L135">
        <f>ROUND(VLOOKUP(INT(A135/1000),Sheet3!$A$2:$B$7,2,FALSE)*Sheet3!F$3,0)</f>
        <v>2</v>
      </c>
      <c r="M135">
        <f>ROUND(VLOOKUP(INT(A135/1000),Sheet3!$A$2:$B$7,2,FALSE)*Sheet3!G$3,0)</f>
        <v>2</v>
      </c>
    </row>
    <row r="136" spans="1:13">
      <c r="A136">
        <f t="shared" si="107"/>
        <v>13501</v>
      </c>
      <c r="B136" t="str">
        <f t="shared" ref="B136:C136" si="155">B112</f>
        <v>伙伴5级时开启</v>
      </c>
      <c r="C136" t="str">
        <f t="shared" si="155"/>
        <v>进阶+1</v>
      </c>
      <c r="D136">
        <f t="shared" si="98"/>
        <v>1201</v>
      </c>
      <c r="E136">
        <f t="shared" si="98"/>
        <v>10000</v>
      </c>
      <c r="F136" t="str">
        <f t="shared" si="98"/>
        <v>14107|120</v>
      </c>
      <c r="H136">
        <f t="shared" si="99"/>
        <v>0</v>
      </c>
      <c r="I136">
        <f>ROUND(VLOOKUP(INT(A136/1000),Sheet3!$A$2:$B$7,2,FALSE)*Sheet3!D$3,0)</f>
        <v>135</v>
      </c>
      <c r="K136">
        <f>ROUND(VLOOKUP(INT(A136/1000),Sheet3!$A$2:$B$7,2,FALSE)*Sheet3!E$3,0)</f>
        <v>5</v>
      </c>
      <c r="L136">
        <f>ROUND(VLOOKUP(INT(A136/1000),Sheet3!$A$2:$B$7,2,FALSE)*Sheet3!F$3,0)</f>
        <v>2</v>
      </c>
      <c r="M136">
        <f>ROUND(VLOOKUP(INT(A136/1000),Sheet3!$A$2:$B$7,2,FALSE)*Sheet3!G$3,0)</f>
        <v>2</v>
      </c>
    </row>
    <row r="137" spans="1:13">
      <c r="A137">
        <f t="shared" si="107"/>
        <v>13502</v>
      </c>
      <c r="B137" t="str">
        <f t="shared" ref="B137:C137" si="156">B113</f>
        <v>伙伴15级时开启</v>
      </c>
      <c r="C137" t="str">
        <f t="shared" si="156"/>
        <v>进阶+2</v>
      </c>
      <c r="D137">
        <f t="shared" si="98"/>
        <v>1202</v>
      </c>
      <c r="E137">
        <f t="shared" si="98"/>
        <v>30000</v>
      </c>
      <c r="F137" t="str">
        <f t="shared" si="98"/>
        <v>14107|360</v>
      </c>
      <c r="H137">
        <f t="shared" si="99"/>
        <v>0</v>
      </c>
      <c r="I137">
        <f>ROUND(VLOOKUP(INT(A137/1000),Sheet3!$A$2:$B$7,2,FALSE)*Sheet3!D$3,0)</f>
        <v>135</v>
      </c>
      <c r="K137">
        <f>ROUND(VLOOKUP(INT(A137/1000),Sheet3!$A$2:$B$7,2,FALSE)*Sheet3!E$3,0)</f>
        <v>5</v>
      </c>
      <c r="L137">
        <f>ROUND(VLOOKUP(INT(A137/1000),Sheet3!$A$2:$B$7,2,FALSE)*Sheet3!F$3,0)</f>
        <v>2</v>
      </c>
      <c r="M137">
        <f>ROUND(VLOOKUP(INT(A137/1000),Sheet3!$A$2:$B$7,2,FALSE)*Sheet3!G$3,0)</f>
        <v>2</v>
      </c>
    </row>
    <row r="138" spans="1:13">
      <c r="A138">
        <f t="shared" si="107"/>
        <v>13503</v>
      </c>
      <c r="B138" t="str">
        <f t="shared" ref="B138:C138" si="157">B114</f>
        <v>伙伴25级时开启</v>
      </c>
      <c r="C138" t="str">
        <f t="shared" si="157"/>
        <v>进阶+3</v>
      </c>
      <c r="D138">
        <f t="shared" si="98"/>
        <v>1203</v>
      </c>
      <c r="E138">
        <f t="shared" si="98"/>
        <v>50000</v>
      </c>
      <c r="F138" t="str">
        <f t="shared" si="98"/>
        <v>14107|600</v>
      </c>
      <c r="H138">
        <f t="shared" si="99"/>
        <v>0</v>
      </c>
      <c r="I138">
        <f>ROUND(VLOOKUP(INT(A138/1000),Sheet3!$A$2:$B$7,2,FALSE)*Sheet3!D$3,0)</f>
        <v>135</v>
      </c>
      <c r="K138">
        <f>ROUND(VLOOKUP(INT(A138/1000),Sheet3!$A$2:$B$7,2,FALSE)*Sheet3!E$3,0)</f>
        <v>5</v>
      </c>
      <c r="L138">
        <f>ROUND(VLOOKUP(INT(A138/1000),Sheet3!$A$2:$B$7,2,FALSE)*Sheet3!F$3,0)</f>
        <v>2</v>
      </c>
      <c r="M138">
        <f>ROUND(VLOOKUP(INT(A138/1000),Sheet3!$A$2:$B$7,2,FALSE)*Sheet3!G$3,0)</f>
        <v>2</v>
      </c>
    </row>
    <row r="139" spans="1:13">
      <c r="A139">
        <f t="shared" si="107"/>
        <v>13504</v>
      </c>
      <c r="B139" t="str">
        <f t="shared" ref="B139:C139" si="158">B115</f>
        <v>伙伴35级时开启</v>
      </c>
      <c r="C139" t="str">
        <f t="shared" si="158"/>
        <v>进阶+4</v>
      </c>
      <c r="D139">
        <f t="shared" si="98"/>
        <v>1204</v>
      </c>
      <c r="E139">
        <f t="shared" si="98"/>
        <v>100000</v>
      </c>
      <c r="F139" t="str">
        <f t="shared" si="98"/>
        <v>14107|1200</v>
      </c>
      <c r="H139">
        <f t="shared" si="99"/>
        <v>1</v>
      </c>
      <c r="I139">
        <f>ROUND(VLOOKUP(INT(A139/1000),Sheet3!$A$2:$B$7,2,FALSE)*Sheet3!D$3,0)</f>
        <v>135</v>
      </c>
      <c r="K139">
        <f>ROUND(VLOOKUP(INT(A139/1000),Sheet3!$A$2:$B$7,2,FALSE)*Sheet3!E$3,0)</f>
        <v>5</v>
      </c>
      <c r="L139">
        <f>ROUND(VLOOKUP(INT(A139/1000),Sheet3!$A$2:$B$7,2,FALSE)*Sheet3!F$3,0)</f>
        <v>2</v>
      </c>
      <c r="M139">
        <f>ROUND(VLOOKUP(INT(A139/1000),Sheet3!$A$2:$B$7,2,FALSE)*Sheet3!G$3,0)</f>
        <v>2</v>
      </c>
    </row>
    <row r="140" spans="1:13">
      <c r="A140">
        <f t="shared" si="107"/>
        <v>13505</v>
      </c>
      <c r="B140" t="str">
        <f t="shared" ref="B140:C140" si="159">B116</f>
        <v>伙伴45级时开启</v>
      </c>
      <c r="C140" t="str">
        <f t="shared" si="159"/>
        <v>进阶+5</v>
      </c>
      <c r="D140">
        <f t="shared" si="98"/>
        <v>1205</v>
      </c>
      <c r="E140">
        <f t="shared" si="98"/>
        <v>200000</v>
      </c>
      <c r="F140" t="str">
        <f t="shared" si="98"/>
        <v>14107|2400</v>
      </c>
      <c r="H140">
        <f t="shared" si="99"/>
        <v>1</v>
      </c>
      <c r="I140">
        <f>ROUND(VLOOKUP(INT(A140/1000),Sheet3!$A$2:$B$7,2,FALSE)*Sheet3!D$3,0)</f>
        <v>135</v>
      </c>
      <c r="K140">
        <f>ROUND(VLOOKUP(INT(A140/1000),Sheet3!$A$2:$B$7,2,FALSE)*Sheet3!E$3,0)</f>
        <v>5</v>
      </c>
      <c r="L140">
        <f>ROUND(VLOOKUP(INT(A140/1000),Sheet3!$A$2:$B$7,2,FALSE)*Sheet3!F$3,0)</f>
        <v>2</v>
      </c>
      <c r="M140">
        <f>ROUND(VLOOKUP(INT(A140/1000),Sheet3!$A$2:$B$7,2,FALSE)*Sheet3!G$3,0)</f>
        <v>2</v>
      </c>
    </row>
    <row r="141" spans="1:13">
      <c r="A141">
        <f t="shared" si="107"/>
        <v>13506</v>
      </c>
      <c r="B141" t="str">
        <f t="shared" ref="B141:C141" si="160">B117</f>
        <v>伙伴55级时开启</v>
      </c>
      <c r="C141" t="str">
        <f t="shared" si="160"/>
        <v>进阶+6</v>
      </c>
      <c r="D141">
        <f t="shared" si="98"/>
        <v>1206</v>
      </c>
      <c r="E141">
        <f t="shared" si="98"/>
        <v>300000</v>
      </c>
      <c r="F141" t="str">
        <f t="shared" si="98"/>
        <v>14107|3600</v>
      </c>
      <c r="H141">
        <f t="shared" si="99"/>
        <v>2</v>
      </c>
      <c r="I141">
        <f>ROUND(VLOOKUP(INT(A141/1000),Sheet3!$A$2:$B$7,2,FALSE)*Sheet3!D$3,0)</f>
        <v>135</v>
      </c>
      <c r="K141">
        <f>ROUND(VLOOKUP(INT(A141/1000),Sheet3!$A$2:$B$7,2,FALSE)*Sheet3!E$3,0)</f>
        <v>5</v>
      </c>
      <c r="L141">
        <f>ROUND(VLOOKUP(INT(A141/1000),Sheet3!$A$2:$B$7,2,FALSE)*Sheet3!F$3,0)</f>
        <v>2</v>
      </c>
      <c r="M141">
        <f>ROUND(VLOOKUP(INT(A141/1000),Sheet3!$A$2:$B$7,2,FALSE)*Sheet3!G$3,0)</f>
        <v>2</v>
      </c>
    </row>
    <row r="142" spans="1:13">
      <c r="A142">
        <f t="shared" si="107"/>
        <v>13507</v>
      </c>
      <c r="B142" t="str">
        <f t="shared" ref="B142:C142" si="161">B118</f>
        <v>伙伴65级时开启</v>
      </c>
      <c r="C142" t="str">
        <f t="shared" si="161"/>
        <v>进阶+7</v>
      </c>
      <c r="D142">
        <f t="shared" si="98"/>
        <v>1207</v>
      </c>
      <c r="E142">
        <f t="shared" si="98"/>
        <v>500000</v>
      </c>
      <c r="F142" t="str">
        <f t="shared" si="98"/>
        <v>14107|6000</v>
      </c>
      <c r="H142">
        <f t="shared" si="99"/>
        <v>2</v>
      </c>
      <c r="I142">
        <f>ROUND(VLOOKUP(INT(A142/1000),Sheet3!$A$2:$B$7,2,FALSE)*Sheet3!D$3,0)</f>
        <v>135</v>
      </c>
      <c r="K142">
        <f>ROUND(VLOOKUP(INT(A142/1000),Sheet3!$A$2:$B$7,2,FALSE)*Sheet3!E$3,0)</f>
        <v>5</v>
      </c>
      <c r="L142">
        <f>ROUND(VLOOKUP(INT(A142/1000),Sheet3!$A$2:$B$7,2,FALSE)*Sheet3!F$3,0)</f>
        <v>2</v>
      </c>
      <c r="M142">
        <f>ROUND(VLOOKUP(INT(A142/1000),Sheet3!$A$2:$B$7,2,FALSE)*Sheet3!G$3,0)</f>
        <v>2</v>
      </c>
    </row>
    <row r="143" spans="1:13">
      <c r="A143">
        <f t="shared" si="107"/>
        <v>13508</v>
      </c>
      <c r="B143" t="str">
        <f t="shared" ref="B143:C143" si="162">B119</f>
        <v>伙伴75级时开启</v>
      </c>
      <c r="C143" t="str">
        <f t="shared" si="162"/>
        <v>进阶+8</v>
      </c>
      <c r="D143">
        <f t="shared" si="98"/>
        <v>1208</v>
      </c>
      <c r="E143">
        <f t="shared" si="98"/>
        <v>800000</v>
      </c>
      <c r="F143" t="str">
        <f t="shared" si="98"/>
        <v>14107|10000</v>
      </c>
      <c r="H143">
        <f t="shared" si="99"/>
        <v>4</v>
      </c>
      <c r="I143">
        <f>ROUND(VLOOKUP(INT(A143/1000),Sheet3!$A$2:$B$7,2,FALSE)*Sheet3!D$3,0)</f>
        <v>135</v>
      </c>
      <c r="K143">
        <f>ROUND(VLOOKUP(INT(A143/1000),Sheet3!$A$2:$B$7,2,FALSE)*Sheet3!E$3,0)</f>
        <v>5</v>
      </c>
      <c r="L143">
        <f>ROUND(VLOOKUP(INT(A143/1000),Sheet3!$A$2:$B$7,2,FALSE)*Sheet3!F$3,0)</f>
        <v>2</v>
      </c>
      <c r="M143">
        <f>ROUND(VLOOKUP(INT(A143/1000),Sheet3!$A$2:$B$7,2,FALSE)*Sheet3!G$3,0)</f>
        <v>2</v>
      </c>
    </row>
    <row r="144" spans="1:13">
      <c r="A144">
        <f t="shared" si="107"/>
        <v>13509</v>
      </c>
      <c r="B144" t="str">
        <f t="shared" ref="B144:C144" si="163">B120</f>
        <v>伙伴85级时开启</v>
      </c>
      <c r="C144" t="str">
        <f t="shared" si="163"/>
        <v>进阶+9</v>
      </c>
      <c r="D144">
        <f t="shared" si="98"/>
        <v>1209</v>
      </c>
      <c r="E144">
        <f t="shared" si="98"/>
        <v>1200000</v>
      </c>
      <c r="F144" t="str">
        <f t="shared" si="98"/>
        <v>14107|15000</v>
      </c>
      <c r="H144">
        <f t="shared" si="99"/>
        <v>6</v>
      </c>
      <c r="I144">
        <f>ROUND(VLOOKUP(INT(A144/1000),Sheet3!$A$2:$B$7,2,FALSE)*Sheet3!D$3,0)</f>
        <v>135</v>
      </c>
      <c r="K144">
        <f>ROUND(VLOOKUP(INT(A144/1000),Sheet3!$A$2:$B$7,2,FALSE)*Sheet3!E$3,0)</f>
        <v>5</v>
      </c>
      <c r="L144">
        <f>ROUND(VLOOKUP(INT(A144/1000),Sheet3!$A$2:$B$7,2,FALSE)*Sheet3!F$3,0)</f>
        <v>2</v>
      </c>
      <c r="M144">
        <f>ROUND(VLOOKUP(INT(A144/1000),Sheet3!$A$2:$B$7,2,FALSE)*Sheet3!G$3,0)</f>
        <v>2</v>
      </c>
    </row>
    <row r="145" spans="1:13">
      <c r="A145">
        <f t="shared" si="107"/>
        <v>13510</v>
      </c>
      <c r="B145" t="str">
        <f t="shared" ref="B145:C145" si="164">B121</f>
        <v>伙伴95级时开启</v>
      </c>
      <c r="C145" t="str">
        <f t="shared" si="164"/>
        <v>进阶+10</v>
      </c>
      <c r="D145">
        <f t="shared" ref="D145:F207" si="165">D133</f>
        <v>1210</v>
      </c>
      <c r="E145">
        <f t="shared" si="165"/>
        <v>1600000</v>
      </c>
      <c r="F145" t="str">
        <f t="shared" si="165"/>
        <v>14107|20000</v>
      </c>
      <c r="H145">
        <f t="shared" ref="H145:H207" si="166">H133</f>
        <v>8</v>
      </c>
      <c r="I145">
        <f>ROUND(VLOOKUP(INT(A145/1000),Sheet3!$A$2:$B$7,2,FALSE)*Sheet3!D$3,0)</f>
        <v>135</v>
      </c>
      <c r="K145">
        <f>ROUND(VLOOKUP(INT(A145/1000),Sheet3!$A$2:$B$7,2,FALSE)*Sheet3!E$3,0)</f>
        <v>5</v>
      </c>
      <c r="L145">
        <f>ROUND(VLOOKUP(INT(A145/1000),Sheet3!$A$2:$B$7,2,FALSE)*Sheet3!F$3,0)</f>
        <v>2</v>
      </c>
      <c r="M145">
        <f>ROUND(VLOOKUP(INT(A145/1000),Sheet3!$A$2:$B$7,2,FALSE)*Sheet3!G$3,0)</f>
        <v>2</v>
      </c>
    </row>
    <row r="146" spans="1:13">
      <c r="A146">
        <f t="shared" si="107"/>
        <v>13511</v>
      </c>
      <c r="B146" t="str">
        <f t="shared" ref="B146:C146" si="167">B122</f>
        <v>伙伴105级时开启</v>
      </c>
      <c r="C146" t="str">
        <f t="shared" si="167"/>
        <v>进阶+11</v>
      </c>
      <c r="D146">
        <f t="shared" si="165"/>
        <v>1211</v>
      </c>
      <c r="E146">
        <f t="shared" si="165"/>
        <v>2000000</v>
      </c>
      <c r="F146" t="str">
        <f t="shared" si="165"/>
        <v>14107|24000</v>
      </c>
      <c r="H146">
        <f t="shared" si="166"/>
        <v>10</v>
      </c>
      <c r="I146">
        <f>ROUND(VLOOKUP(INT(A146/1000),Sheet3!$A$2:$B$7,2,FALSE)*Sheet3!D$3,0)</f>
        <v>135</v>
      </c>
      <c r="K146">
        <f>ROUND(VLOOKUP(INT(A146/1000),Sheet3!$A$2:$B$7,2,FALSE)*Sheet3!E$3,0)</f>
        <v>5</v>
      </c>
      <c r="L146">
        <f>ROUND(VLOOKUP(INT(A146/1000),Sheet3!$A$2:$B$7,2,FALSE)*Sheet3!F$3,0)</f>
        <v>2</v>
      </c>
      <c r="M146">
        <f>ROUND(VLOOKUP(INT(A146/1000),Sheet3!$A$2:$B$7,2,FALSE)*Sheet3!G$3,0)</f>
        <v>2</v>
      </c>
    </row>
    <row r="147" spans="1:13">
      <c r="A147">
        <f t="shared" si="107"/>
        <v>13512</v>
      </c>
      <c r="B147" t="str">
        <f t="shared" ref="B147:C147" si="168">B123</f>
        <v>伙伴115级时开启</v>
      </c>
      <c r="C147" t="str">
        <f t="shared" si="168"/>
        <v>进阶+12</v>
      </c>
      <c r="D147">
        <f t="shared" si="165"/>
        <v>1212</v>
      </c>
      <c r="E147">
        <f t="shared" si="165"/>
        <v>2400000</v>
      </c>
      <c r="F147" t="str">
        <f t="shared" si="165"/>
        <v>14107|28000</v>
      </c>
      <c r="H147">
        <f t="shared" si="166"/>
        <v>12</v>
      </c>
      <c r="I147">
        <f>ROUND(VLOOKUP(INT(A147/1000),Sheet3!$A$2:$B$7,2,FALSE)*Sheet3!D$3,0)</f>
        <v>135</v>
      </c>
      <c r="K147">
        <f>ROUND(VLOOKUP(INT(A147/1000),Sheet3!$A$2:$B$7,2,FALSE)*Sheet3!E$3,0)</f>
        <v>5</v>
      </c>
      <c r="L147">
        <f>ROUND(VLOOKUP(INT(A147/1000),Sheet3!$A$2:$B$7,2,FALSE)*Sheet3!F$3,0)</f>
        <v>2</v>
      </c>
      <c r="M147">
        <f>ROUND(VLOOKUP(INT(A147/1000),Sheet3!$A$2:$B$7,2,FALSE)*Sheet3!G$3,0)</f>
        <v>2</v>
      </c>
    </row>
    <row r="148" spans="1:13">
      <c r="A148">
        <f>A88+3000</f>
        <v>16101</v>
      </c>
      <c r="B148" t="str">
        <f t="shared" ref="B148:C148" si="169">B124</f>
        <v>伙伴5级时开启</v>
      </c>
      <c r="C148" t="str">
        <f t="shared" si="169"/>
        <v>进阶+1</v>
      </c>
      <c r="D148">
        <f t="shared" si="165"/>
        <v>1201</v>
      </c>
      <c r="E148">
        <f t="shared" si="165"/>
        <v>10000</v>
      </c>
      <c r="F148" t="str">
        <f t="shared" si="165"/>
        <v>14107|120</v>
      </c>
      <c r="H148">
        <f t="shared" si="166"/>
        <v>0</v>
      </c>
      <c r="I148">
        <f>ROUND(VLOOKUP(INT(A148/1000),Sheet3!$A$2:$B$7,2,FALSE)*Sheet3!D$3,0)</f>
        <v>150</v>
      </c>
      <c r="K148">
        <f>ROUND(VLOOKUP(INT(A148/1000),Sheet3!$A$2:$B$7,2,FALSE)*Sheet3!E$3,0)</f>
        <v>5</v>
      </c>
      <c r="L148">
        <f>ROUND(VLOOKUP(INT(A148/1000),Sheet3!$A$2:$B$7,2,FALSE)*Sheet3!F$3,0)</f>
        <v>3</v>
      </c>
      <c r="M148">
        <f>ROUND(VLOOKUP(INT(A148/1000),Sheet3!$A$2:$B$7,2,FALSE)*Sheet3!G$3,0)</f>
        <v>3</v>
      </c>
    </row>
    <row r="149" spans="1:13">
      <c r="A149">
        <f t="shared" ref="A149:A207" si="170">A89+3000</f>
        <v>16102</v>
      </c>
      <c r="B149" t="str">
        <f t="shared" ref="B149:C149" si="171">B125</f>
        <v>伙伴15级时开启</v>
      </c>
      <c r="C149" t="str">
        <f t="shared" si="171"/>
        <v>进阶+2</v>
      </c>
      <c r="D149">
        <f t="shared" si="165"/>
        <v>1202</v>
      </c>
      <c r="E149">
        <f t="shared" si="165"/>
        <v>30000</v>
      </c>
      <c r="F149" t="str">
        <f t="shared" si="165"/>
        <v>14107|360</v>
      </c>
      <c r="H149">
        <f t="shared" si="166"/>
        <v>0</v>
      </c>
      <c r="I149">
        <f>ROUND(VLOOKUP(INT(A149/1000),Sheet3!$A$2:$B$7,2,FALSE)*Sheet3!D$3,0)</f>
        <v>150</v>
      </c>
      <c r="K149">
        <f>ROUND(VLOOKUP(INT(A149/1000),Sheet3!$A$2:$B$7,2,FALSE)*Sheet3!E$3,0)</f>
        <v>5</v>
      </c>
      <c r="L149">
        <f>ROUND(VLOOKUP(INT(A149/1000),Sheet3!$A$2:$B$7,2,FALSE)*Sheet3!F$3,0)</f>
        <v>3</v>
      </c>
      <c r="M149">
        <f>ROUND(VLOOKUP(INT(A149/1000),Sheet3!$A$2:$B$7,2,FALSE)*Sheet3!G$3,0)</f>
        <v>3</v>
      </c>
    </row>
    <row r="150" spans="1:13">
      <c r="A150">
        <f t="shared" si="170"/>
        <v>16103</v>
      </c>
      <c r="B150" t="str">
        <f t="shared" ref="B150:C150" si="172">B126</f>
        <v>伙伴25级时开启</v>
      </c>
      <c r="C150" t="str">
        <f t="shared" si="172"/>
        <v>进阶+3</v>
      </c>
      <c r="D150">
        <f t="shared" si="165"/>
        <v>1203</v>
      </c>
      <c r="E150">
        <f t="shared" si="165"/>
        <v>50000</v>
      </c>
      <c r="F150" t="str">
        <f t="shared" si="165"/>
        <v>14107|600</v>
      </c>
      <c r="H150">
        <f t="shared" si="166"/>
        <v>0</v>
      </c>
      <c r="I150">
        <f>ROUND(VLOOKUP(INT(A150/1000),Sheet3!$A$2:$B$7,2,FALSE)*Sheet3!D$3,0)</f>
        <v>150</v>
      </c>
      <c r="K150">
        <f>ROUND(VLOOKUP(INT(A150/1000),Sheet3!$A$2:$B$7,2,FALSE)*Sheet3!E$3,0)</f>
        <v>5</v>
      </c>
      <c r="L150">
        <f>ROUND(VLOOKUP(INT(A150/1000),Sheet3!$A$2:$B$7,2,FALSE)*Sheet3!F$3,0)</f>
        <v>3</v>
      </c>
      <c r="M150">
        <f>ROUND(VLOOKUP(INT(A150/1000),Sheet3!$A$2:$B$7,2,FALSE)*Sheet3!G$3,0)</f>
        <v>3</v>
      </c>
    </row>
    <row r="151" spans="1:13">
      <c r="A151">
        <f t="shared" si="170"/>
        <v>16104</v>
      </c>
      <c r="B151" t="str">
        <f t="shared" ref="B151:C151" si="173">B127</f>
        <v>伙伴35级时开启</v>
      </c>
      <c r="C151" t="str">
        <f t="shared" si="173"/>
        <v>进阶+4</v>
      </c>
      <c r="D151">
        <f t="shared" si="165"/>
        <v>1204</v>
      </c>
      <c r="E151">
        <f t="shared" si="165"/>
        <v>100000</v>
      </c>
      <c r="F151" t="str">
        <f t="shared" si="165"/>
        <v>14107|1200</v>
      </c>
      <c r="H151">
        <f t="shared" si="166"/>
        <v>1</v>
      </c>
      <c r="I151">
        <f>ROUND(VLOOKUP(INT(A151/1000),Sheet3!$A$2:$B$7,2,FALSE)*Sheet3!D$3,0)</f>
        <v>150</v>
      </c>
      <c r="K151">
        <f>ROUND(VLOOKUP(INT(A151/1000),Sheet3!$A$2:$B$7,2,FALSE)*Sheet3!E$3,0)</f>
        <v>5</v>
      </c>
      <c r="L151">
        <f>ROUND(VLOOKUP(INT(A151/1000),Sheet3!$A$2:$B$7,2,FALSE)*Sheet3!F$3,0)</f>
        <v>3</v>
      </c>
      <c r="M151">
        <f>ROUND(VLOOKUP(INT(A151/1000),Sheet3!$A$2:$B$7,2,FALSE)*Sheet3!G$3,0)</f>
        <v>3</v>
      </c>
    </row>
    <row r="152" spans="1:13">
      <c r="A152">
        <f t="shared" si="170"/>
        <v>16105</v>
      </c>
      <c r="B152" t="str">
        <f t="shared" ref="B152:C152" si="174">B128</f>
        <v>伙伴45级时开启</v>
      </c>
      <c r="C152" t="str">
        <f t="shared" si="174"/>
        <v>进阶+5</v>
      </c>
      <c r="D152">
        <f t="shared" si="165"/>
        <v>1205</v>
      </c>
      <c r="E152">
        <f t="shared" si="165"/>
        <v>200000</v>
      </c>
      <c r="F152" t="str">
        <f t="shared" si="165"/>
        <v>14107|2400</v>
      </c>
      <c r="H152">
        <f t="shared" si="166"/>
        <v>1</v>
      </c>
      <c r="I152">
        <f>ROUND(VLOOKUP(INT(A152/1000),Sheet3!$A$2:$B$7,2,FALSE)*Sheet3!D$3,0)</f>
        <v>150</v>
      </c>
      <c r="K152">
        <f>ROUND(VLOOKUP(INT(A152/1000),Sheet3!$A$2:$B$7,2,FALSE)*Sheet3!E$3,0)</f>
        <v>5</v>
      </c>
      <c r="L152">
        <f>ROUND(VLOOKUP(INT(A152/1000),Sheet3!$A$2:$B$7,2,FALSE)*Sheet3!F$3,0)</f>
        <v>3</v>
      </c>
      <c r="M152">
        <f>ROUND(VLOOKUP(INT(A152/1000),Sheet3!$A$2:$B$7,2,FALSE)*Sheet3!G$3,0)</f>
        <v>3</v>
      </c>
    </row>
    <row r="153" spans="1:13">
      <c r="A153">
        <f t="shared" si="170"/>
        <v>16106</v>
      </c>
      <c r="B153" t="str">
        <f t="shared" ref="B153:C153" si="175">B129</f>
        <v>伙伴55级时开启</v>
      </c>
      <c r="C153" t="str">
        <f t="shared" si="175"/>
        <v>进阶+6</v>
      </c>
      <c r="D153">
        <f t="shared" si="165"/>
        <v>1206</v>
      </c>
      <c r="E153">
        <f t="shared" si="165"/>
        <v>300000</v>
      </c>
      <c r="F153" t="str">
        <f t="shared" si="165"/>
        <v>14107|3600</v>
      </c>
      <c r="H153">
        <f t="shared" si="166"/>
        <v>2</v>
      </c>
      <c r="I153">
        <f>ROUND(VLOOKUP(INT(A153/1000),Sheet3!$A$2:$B$7,2,FALSE)*Sheet3!D$3,0)</f>
        <v>150</v>
      </c>
      <c r="K153">
        <f>ROUND(VLOOKUP(INT(A153/1000),Sheet3!$A$2:$B$7,2,FALSE)*Sheet3!E$3,0)</f>
        <v>5</v>
      </c>
      <c r="L153">
        <f>ROUND(VLOOKUP(INT(A153/1000),Sheet3!$A$2:$B$7,2,FALSE)*Sheet3!F$3,0)</f>
        <v>3</v>
      </c>
      <c r="M153">
        <f>ROUND(VLOOKUP(INT(A153/1000),Sheet3!$A$2:$B$7,2,FALSE)*Sheet3!G$3,0)</f>
        <v>3</v>
      </c>
    </row>
    <row r="154" spans="1:13">
      <c r="A154">
        <f t="shared" si="170"/>
        <v>16107</v>
      </c>
      <c r="B154" t="str">
        <f t="shared" ref="B154:C154" si="176">B130</f>
        <v>伙伴65级时开启</v>
      </c>
      <c r="C154" t="str">
        <f t="shared" si="176"/>
        <v>进阶+7</v>
      </c>
      <c r="D154">
        <f t="shared" si="165"/>
        <v>1207</v>
      </c>
      <c r="E154">
        <f t="shared" si="165"/>
        <v>500000</v>
      </c>
      <c r="F154" t="str">
        <f t="shared" si="165"/>
        <v>14107|6000</v>
      </c>
      <c r="H154">
        <f t="shared" si="166"/>
        <v>2</v>
      </c>
      <c r="I154">
        <f>ROUND(VLOOKUP(INT(A154/1000),Sheet3!$A$2:$B$7,2,FALSE)*Sheet3!D$3,0)</f>
        <v>150</v>
      </c>
      <c r="K154">
        <f>ROUND(VLOOKUP(INT(A154/1000),Sheet3!$A$2:$B$7,2,FALSE)*Sheet3!E$3,0)</f>
        <v>5</v>
      </c>
      <c r="L154">
        <f>ROUND(VLOOKUP(INT(A154/1000),Sheet3!$A$2:$B$7,2,FALSE)*Sheet3!F$3,0)</f>
        <v>3</v>
      </c>
      <c r="M154">
        <f>ROUND(VLOOKUP(INT(A154/1000),Sheet3!$A$2:$B$7,2,FALSE)*Sheet3!G$3,0)</f>
        <v>3</v>
      </c>
    </row>
    <row r="155" spans="1:13">
      <c r="A155">
        <f t="shared" si="170"/>
        <v>16108</v>
      </c>
      <c r="B155" t="str">
        <f t="shared" ref="B155:C155" si="177">B131</f>
        <v>伙伴75级时开启</v>
      </c>
      <c r="C155" t="str">
        <f t="shared" si="177"/>
        <v>进阶+8</v>
      </c>
      <c r="D155">
        <f t="shared" si="165"/>
        <v>1208</v>
      </c>
      <c r="E155">
        <f t="shared" si="165"/>
        <v>800000</v>
      </c>
      <c r="F155" t="str">
        <f t="shared" si="165"/>
        <v>14107|10000</v>
      </c>
      <c r="H155">
        <f t="shared" si="166"/>
        <v>4</v>
      </c>
      <c r="I155">
        <f>ROUND(VLOOKUP(INT(A155/1000),Sheet3!$A$2:$B$7,2,FALSE)*Sheet3!D$3,0)</f>
        <v>150</v>
      </c>
      <c r="K155">
        <f>ROUND(VLOOKUP(INT(A155/1000),Sheet3!$A$2:$B$7,2,FALSE)*Sheet3!E$3,0)</f>
        <v>5</v>
      </c>
      <c r="L155">
        <f>ROUND(VLOOKUP(INT(A155/1000),Sheet3!$A$2:$B$7,2,FALSE)*Sheet3!F$3,0)</f>
        <v>3</v>
      </c>
      <c r="M155">
        <f>ROUND(VLOOKUP(INT(A155/1000),Sheet3!$A$2:$B$7,2,FALSE)*Sheet3!G$3,0)</f>
        <v>3</v>
      </c>
    </row>
    <row r="156" spans="1:13">
      <c r="A156">
        <f t="shared" si="170"/>
        <v>16109</v>
      </c>
      <c r="B156" t="str">
        <f t="shared" ref="B156:C156" si="178">B132</f>
        <v>伙伴85级时开启</v>
      </c>
      <c r="C156" t="str">
        <f t="shared" si="178"/>
        <v>进阶+9</v>
      </c>
      <c r="D156">
        <f t="shared" si="165"/>
        <v>1209</v>
      </c>
      <c r="E156">
        <f t="shared" si="165"/>
        <v>1200000</v>
      </c>
      <c r="F156" t="str">
        <f t="shared" si="165"/>
        <v>14107|15000</v>
      </c>
      <c r="H156">
        <f t="shared" si="166"/>
        <v>6</v>
      </c>
      <c r="I156">
        <f>ROUND(VLOOKUP(INT(A156/1000),Sheet3!$A$2:$B$7,2,FALSE)*Sheet3!D$3,0)</f>
        <v>150</v>
      </c>
      <c r="K156">
        <f>ROUND(VLOOKUP(INT(A156/1000),Sheet3!$A$2:$B$7,2,FALSE)*Sheet3!E$3,0)</f>
        <v>5</v>
      </c>
      <c r="L156">
        <f>ROUND(VLOOKUP(INT(A156/1000),Sheet3!$A$2:$B$7,2,FALSE)*Sheet3!F$3,0)</f>
        <v>3</v>
      </c>
      <c r="M156">
        <f>ROUND(VLOOKUP(INT(A156/1000),Sheet3!$A$2:$B$7,2,FALSE)*Sheet3!G$3,0)</f>
        <v>3</v>
      </c>
    </row>
    <row r="157" spans="1:13">
      <c r="A157">
        <f t="shared" si="170"/>
        <v>16110</v>
      </c>
      <c r="B157" t="str">
        <f t="shared" ref="B157:C157" si="179">B133</f>
        <v>伙伴95级时开启</v>
      </c>
      <c r="C157" t="str">
        <f t="shared" si="179"/>
        <v>进阶+10</v>
      </c>
      <c r="D157">
        <f t="shared" si="165"/>
        <v>1210</v>
      </c>
      <c r="E157">
        <f t="shared" si="165"/>
        <v>1600000</v>
      </c>
      <c r="F157" t="str">
        <f t="shared" si="165"/>
        <v>14107|20000</v>
      </c>
      <c r="H157">
        <f t="shared" si="166"/>
        <v>8</v>
      </c>
      <c r="I157">
        <f>ROUND(VLOOKUP(INT(A157/1000),Sheet3!$A$2:$B$7,2,FALSE)*Sheet3!D$3,0)</f>
        <v>150</v>
      </c>
      <c r="K157">
        <f>ROUND(VLOOKUP(INT(A157/1000),Sheet3!$A$2:$B$7,2,FALSE)*Sheet3!E$3,0)</f>
        <v>5</v>
      </c>
      <c r="L157">
        <f>ROUND(VLOOKUP(INT(A157/1000),Sheet3!$A$2:$B$7,2,FALSE)*Sheet3!F$3,0)</f>
        <v>3</v>
      </c>
      <c r="M157">
        <f>ROUND(VLOOKUP(INT(A157/1000),Sheet3!$A$2:$B$7,2,FALSE)*Sheet3!G$3,0)</f>
        <v>3</v>
      </c>
    </row>
    <row r="158" spans="1:13">
      <c r="A158">
        <f t="shared" si="170"/>
        <v>16111</v>
      </c>
      <c r="B158" t="str">
        <f t="shared" ref="B158:C158" si="180">B134</f>
        <v>伙伴105级时开启</v>
      </c>
      <c r="C158" t="str">
        <f t="shared" si="180"/>
        <v>进阶+11</v>
      </c>
      <c r="D158">
        <f t="shared" si="165"/>
        <v>1211</v>
      </c>
      <c r="E158">
        <f t="shared" si="165"/>
        <v>2000000</v>
      </c>
      <c r="F158" t="str">
        <f t="shared" si="165"/>
        <v>14107|24000</v>
      </c>
      <c r="H158">
        <f t="shared" si="166"/>
        <v>10</v>
      </c>
      <c r="I158">
        <f>ROUND(VLOOKUP(INT(A158/1000),Sheet3!$A$2:$B$7,2,FALSE)*Sheet3!D$3,0)</f>
        <v>150</v>
      </c>
      <c r="K158">
        <f>ROUND(VLOOKUP(INT(A158/1000),Sheet3!$A$2:$B$7,2,FALSE)*Sheet3!E$3,0)</f>
        <v>5</v>
      </c>
      <c r="L158">
        <f>ROUND(VLOOKUP(INT(A158/1000),Sheet3!$A$2:$B$7,2,FALSE)*Sheet3!F$3,0)</f>
        <v>3</v>
      </c>
      <c r="M158">
        <f>ROUND(VLOOKUP(INT(A158/1000),Sheet3!$A$2:$B$7,2,FALSE)*Sheet3!G$3,0)</f>
        <v>3</v>
      </c>
    </row>
    <row r="159" spans="1:13">
      <c r="A159">
        <f t="shared" si="170"/>
        <v>16112</v>
      </c>
      <c r="B159" t="str">
        <f t="shared" ref="B159:C159" si="181">B135</f>
        <v>伙伴115级时开启</v>
      </c>
      <c r="C159" t="str">
        <f t="shared" si="181"/>
        <v>进阶+12</v>
      </c>
      <c r="D159">
        <f t="shared" si="165"/>
        <v>1212</v>
      </c>
      <c r="E159">
        <f t="shared" si="165"/>
        <v>2400000</v>
      </c>
      <c r="F159" t="str">
        <f t="shared" si="165"/>
        <v>14107|28000</v>
      </c>
      <c r="H159">
        <f t="shared" si="166"/>
        <v>12</v>
      </c>
      <c r="I159">
        <f>ROUND(VLOOKUP(INT(A159/1000),Sheet3!$A$2:$B$7,2,FALSE)*Sheet3!D$3,0)</f>
        <v>150</v>
      </c>
      <c r="K159">
        <f>ROUND(VLOOKUP(INT(A159/1000),Sheet3!$A$2:$B$7,2,FALSE)*Sheet3!E$3,0)</f>
        <v>5</v>
      </c>
      <c r="L159">
        <f>ROUND(VLOOKUP(INT(A159/1000),Sheet3!$A$2:$B$7,2,FALSE)*Sheet3!F$3,0)</f>
        <v>3</v>
      </c>
      <c r="M159">
        <f>ROUND(VLOOKUP(INT(A159/1000),Sheet3!$A$2:$B$7,2,FALSE)*Sheet3!G$3,0)</f>
        <v>3</v>
      </c>
    </row>
    <row r="160" spans="1:13">
      <c r="A160">
        <f t="shared" si="170"/>
        <v>16201</v>
      </c>
      <c r="B160" t="str">
        <f t="shared" ref="B160:C160" si="182">B136</f>
        <v>伙伴5级时开启</v>
      </c>
      <c r="C160" t="str">
        <f t="shared" si="182"/>
        <v>进阶+1</v>
      </c>
      <c r="D160">
        <f t="shared" si="165"/>
        <v>1201</v>
      </c>
      <c r="E160">
        <f t="shared" si="165"/>
        <v>10000</v>
      </c>
      <c r="F160" t="str">
        <f t="shared" si="165"/>
        <v>14107|120</v>
      </c>
      <c r="H160">
        <f t="shared" si="166"/>
        <v>0</v>
      </c>
      <c r="I160">
        <f>ROUND(VLOOKUP(INT(A160/1000),Sheet3!$A$2:$B$7,2,FALSE)*Sheet3!D$3,0)</f>
        <v>150</v>
      </c>
      <c r="K160">
        <f>ROUND(VLOOKUP(INT(A160/1000),Sheet3!$A$2:$B$7,2,FALSE)*Sheet3!E$3,0)</f>
        <v>5</v>
      </c>
      <c r="L160">
        <f>ROUND(VLOOKUP(INT(A160/1000),Sheet3!$A$2:$B$7,2,FALSE)*Sheet3!F$3,0)</f>
        <v>3</v>
      </c>
      <c r="M160">
        <f>ROUND(VLOOKUP(INT(A160/1000),Sheet3!$A$2:$B$7,2,FALSE)*Sheet3!G$3,0)</f>
        <v>3</v>
      </c>
    </row>
    <row r="161" spans="1:13">
      <c r="A161">
        <f t="shared" si="170"/>
        <v>16202</v>
      </c>
      <c r="B161" t="str">
        <f t="shared" ref="B161:C161" si="183">B137</f>
        <v>伙伴15级时开启</v>
      </c>
      <c r="C161" t="str">
        <f t="shared" si="183"/>
        <v>进阶+2</v>
      </c>
      <c r="D161">
        <f t="shared" si="165"/>
        <v>1202</v>
      </c>
      <c r="E161">
        <f t="shared" si="165"/>
        <v>30000</v>
      </c>
      <c r="F161" t="str">
        <f t="shared" si="165"/>
        <v>14107|360</v>
      </c>
      <c r="H161">
        <f t="shared" si="166"/>
        <v>0</v>
      </c>
      <c r="I161">
        <f>ROUND(VLOOKUP(INT(A161/1000),Sheet3!$A$2:$B$7,2,FALSE)*Sheet3!D$3,0)</f>
        <v>150</v>
      </c>
      <c r="K161">
        <f>ROUND(VLOOKUP(INT(A161/1000),Sheet3!$A$2:$B$7,2,FALSE)*Sheet3!E$3,0)</f>
        <v>5</v>
      </c>
      <c r="L161">
        <f>ROUND(VLOOKUP(INT(A161/1000),Sheet3!$A$2:$B$7,2,FALSE)*Sheet3!F$3,0)</f>
        <v>3</v>
      </c>
      <c r="M161">
        <f>ROUND(VLOOKUP(INT(A161/1000),Sheet3!$A$2:$B$7,2,FALSE)*Sheet3!G$3,0)</f>
        <v>3</v>
      </c>
    </row>
    <row r="162" spans="1:13">
      <c r="A162">
        <f t="shared" si="170"/>
        <v>16203</v>
      </c>
      <c r="B162" t="str">
        <f t="shared" ref="B162:C162" si="184">B138</f>
        <v>伙伴25级时开启</v>
      </c>
      <c r="C162" t="str">
        <f t="shared" si="184"/>
        <v>进阶+3</v>
      </c>
      <c r="D162">
        <f t="shared" si="165"/>
        <v>1203</v>
      </c>
      <c r="E162">
        <f t="shared" si="165"/>
        <v>50000</v>
      </c>
      <c r="F162" t="str">
        <f t="shared" si="165"/>
        <v>14107|600</v>
      </c>
      <c r="H162">
        <f t="shared" si="166"/>
        <v>0</v>
      </c>
      <c r="I162">
        <f>ROUND(VLOOKUP(INT(A162/1000),Sheet3!$A$2:$B$7,2,FALSE)*Sheet3!D$3,0)</f>
        <v>150</v>
      </c>
      <c r="K162">
        <f>ROUND(VLOOKUP(INT(A162/1000),Sheet3!$A$2:$B$7,2,FALSE)*Sheet3!E$3,0)</f>
        <v>5</v>
      </c>
      <c r="L162">
        <f>ROUND(VLOOKUP(INT(A162/1000),Sheet3!$A$2:$B$7,2,FALSE)*Sheet3!F$3,0)</f>
        <v>3</v>
      </c>
      <c r="M162">
        <f>ROUND(VLOOKUP(INT(A162/1000),Sheet3!$A$2:$B$7,2,FALSE)*Sheet3!G$3,0)</f>
        <v>3</v>
      </c>
    </row>
    <row r="163" spans="1:13">
      <c r="A163">
        <f t="shared" si="170"/>
        <v>16204</v>
      </c>
      <c r="B163" t="str">
        <f t="shared" ref="B163:C163" si="185">B139</f>
        <v>伙伴35级时开启</v>
      </c>
      <c r="C163" t="str">
        <f t="shared" si="185"/>
        <v>进阶+4</v>
      </c>
      <c r="D163">
        <f t="shared" si="165"/>
        <v>1204</v>
      </c>
      <c r="E163">
        <f t="shared" si="165"/>
        <v>100000</v>
      </c>
      <c r="F163" t="str">
        <f t="shared" si="165"/>
        <v>14107|1200</v>
      </c>
      <c r="H163">
        <f t="shared" si="166"/>
        <v>1</v>
      </c>
      <c r="I163">
        <f>ROUND(VLOOKUP(INT(A163/1000),Sheet3!$A$2:$B$7,2,FALSE)*Sheet3!D$3,0)</f>
        <v>150</v>
      </c>
      <c r="K163">
        <f>ROUND(VLOOKUP(INT(A163/1000),Sheet3!$A$2:$B$7,2,FALSE)*Sheet3!E$3,0)</f>
        <v>5</v>
      </c>
      <c r="L163">
        <f>ROUND(VLOOKUP(INT(A163/1000),Sheet3!$A$2:$B$7,2,FALSE)*Sheet3!F$3,0)</f>
        <v>3</v>
      </c>
      <c r="M163">
        <f>ROUND(VLOOKUP(INT(A163/1000),Sheet3!$A$2:$B$7,2,FALSE)*Sheet3!G$3,0)</f>
        <v>3</v>
      </c>
    </row>
    <row r="164" spans="1:13">
      <c r="A164">
        <f t="shared" si="170"/>
        <v>16205</v>
      </c>
      <c r="B164" t="str">
        <f t="shared" ref="B164:C164" si="186">B140</f>
        <v>伙伴45级时开启</v>
      </c>
      <c r="C164" t="str">
        <f t="shared" si="186"/>
        <v>进阶+5</v>
      </c>
      <c r="D164">
        <f t="shared" si="165"/>
        <v>1205</v>
      </c>
      <c r="E164">
        <f t="shared" si="165"/>
        <v>200000</v>
      </c>
      <c r="F164" t="str">
        <f t="shared" si="165"/>
        <v>14107|2400</v>
      </c>
      <c r="H164">
        <f t="shared" si="166"/>
        <v>1</v>
      </c>
      <c r="I164">
        <f>ROUND(VLOOKUP(INT(A164/1000),Sheet3!$A$2:$B$7,2,FALSE)*Sheet3!D$3,0)</f>
        <v>150</v>
      </c>
      <c r="K164">
        <f>ROUND(VLOOKUP(INT(A164/1000),Sheet3!$A$2:$B$7,2,FALSE)*Sheet3!E$3,0)</f>
        <v>5</v>
      </c>
      <c r="L164">
        <f>ROUND(VLOOKUP(INT(A164/1000),Sheet3!$A$2:$B$7,2,FALSE)*Sheet3!F$3,0)</f>
        <v>3</v>
      </c>
      <c r="M164">
        <f>ROUND(VLOOKUP(INT(A164/1000),Sheet3!$A$2:$B$7,2,FALSE)*Sheet3!G$3,0)</f>
        <v>3</v>
      </c>
    </row>
    <row r="165" spans="1:13">
      <c r="A165">
        <f t="shared" si="170"/>
        <v>16206</v>
      </c>
      <c r="B165" t="str">
        <f t="shared" ref="B165:C165" si="187">B141</f>
        <v>伙伴55级时开启</v>
      </c>
      <c r="C165" t="str">
        <f t="shared" si="187"/>
        <v>进阶+6</v>
      </c>
      <c r="D165">
        <f t="shared" si="165"/>
        <v>1206</v>
      </c>
      <c r="E165">
        <f t="shared" si="165"/>
        <v>300000</v>
      </c>
      <c r="F165" t="str">
        <f t="shared" si="165"/>
        <v>14107|3600</v>
      </c>
      <c r="H165">
        <f t="shared" si="166"/>
        <v>2</v>
      </c>
      <c r="I165">
        <f>ROUND(VLOOKUP(INT(A165/1000),Sheet3!$A$2:$B$7,2,FALSE)*Sheet3!D$3,0)</f>
        <v>150</v>
      </c>
      <c r="K165">
        <f>ROUND(VLOOKUP(INT(A165/1000),Sheet3!$A$2:$B$7,2,FALSE)*Sheet3!E$3,0)</f>
        <v>5</v>
      </c>
      <c r="L165">
        <f>ROUND(VLOOKUP(INT(A165/1000),Sheet3!$A$2:$B$7,2,FALSE)*Sheet3!F$3,0)</f>
        <v>3</v>
      </c>
      <c r="M165">
        <f>ROUND(VLOOKUP(INT(A165/1000),Sheet3!$A$2:$B$7,2,FALSE)*Sheet3!G$3,0)</f>
        <v>3</v>
      </c>
    </row>
    <row r="166" spans="1:13">
      <c r="A166">
        <f t="shared" si="170"/>
        <v>16207</v>
      </c>
      <c r="B166" t="str">
        <f t="shared" ref="B166:C166" si="188">B142</f>
        <v>伙伴65级时开启</v>
      </c>
      <c r="C166" t="str">
        <f t="shared" si="188"/>
        <v>进阶+7</v>
      </c>
      <c r="D166">
        <f t="shared" si="165"/>
        <v>1207</v>
      </c>
      <c r="E166">
        <f t="shared" si="165"/>
        <v>500000</v>
      </c>
      <c r="F166" t="str">
        <f t="shared" si="165"/>
        <v>14107|6000</v>
      </c>
      <c r="H166">
        <f t="shared" si="166"/>
        <v>2</v>
      </c>
      <c r="I166">
        <f>ROUND(VLOOKUP(INT(A166/1000),Sheet3!$A$2:$B$7,2,FALSE)*Sheet3!D$3,0)</f>
        <v>150</v>
      </c>
      <c r="K166">
        <f>ROUND(VLOOKUP(INT(A166/1000),Sheet3!$A$2:$B$7,2,FALSE)*Sheet3!E$3,0)</f>
        <v>5</v>
      </c>
      <c r="L166">
        <f>ROUND(VLOOKUP(INT(A166/1000),Sheet3!$A$2:$B$7,2,FALSE)*Sheet3!F$3,0)</f>
        <v>3</v>
      </c>
      <c r="M166">
        <f>ROUND(VLOOKUP(INT(A166/1000),Sheet3!$A$2:$B$7,2,FALSE)*Sheet3!G$3,0)</f>
        <v>3</v>
      </c>
    </row>
    <row r="167" spans="1:13">
      <c r="A167">
        <f t="shared" si="170"/>
        <v>16208</v>
      </c>
      <c r="B167" t="str">
        <f t="shared" ref="B167:C167" si="189">B143</f>
        <v>伙伴75级时开启</v>
      </c>
      <c r="C167" t="str">
        <f t="shared" si="189"/>
        <v>进阶+8</v>
      </c>
      <c r="D167">
        <f t="shared" si="165"/>
        <v>1208</v>
      </c>
      <c r="E167">
        <f t="shared" si="165"/>
        <v>800000</v>
      </c>
      <c r="F167" t="str">
        <f t="shared" si="165"/>
        <v>14107|10000</v>
      </c>
      <c r="H167">
        <f t="shared" si="166"/>
        <v>4</v>
      </c>
      <c r="I167">
        <f>ROUND(VLOOKUP(INT(A167/1000),Sheet3!$A$2:$B$7,2,FALSE)*Sheet3!D$3,0)</f>
        <v>150</v>
      </c>
      <c r="K167">
        <f>ROUND(VLOOKUP(INT(A167/1000),Sheet3!$A$2:$B$7,2,FALSE)*Sheet3!E$3,0)</f>
        <v>5</v>
      </c>
      <c r="L167">
        <f>ROUND(VLOOKUP(INT(A167/1000),Sheet3!$A$2:$B$7,2,FALSE)*Sheet3!F$3,0)</f>
        <v>3</v>
      </c>
      <c r="M167">
        <f>ROUND(VLOOKUP(INT(A167/1000),Sheet3!$A$2:$B$7,2,FALSE)*Sheet3!G$3,0)</f>
        <v>3</v>
      </c>
    </row>
    <row r="168" spans="1:13">
      <c r="A168">
        <f t="shared" si="170"/>
        <v>16209</v>
      </c>
      <c r="B168" t="str">
        <f t="shared" ref="B168:C168" si="190">B144</f>
        <v>伙伴85级时开启</v>
      </c>
      <c r="C168" t="str">
        <f t="shared" si="190"/>
        <v>进阶+9</v>
      </c>
      <c r="D168">
        <f t="shared" si="165"/>
        <v>1209</v>
      </c>
      <c r="E168">
        <f t="shared" si="165"/>
        <v>1200000</v>
      </c>
      <c r="F168" t="str">
        <f t="shared" si="165"/>
        <v>14107|15000</v>
      </c>
      <c r="H168">
        <f t="shared" si="166"/>
        <v>6</v>
      </c>
      <c r="I168">
        <f>ROUND(VLOOKUP(INT(A168/1000),Sheet3!$A$2:$B$7,2,FALSE)*Sheet3!D$3,0)</f>
        <v>150</v>
      </c>
      <c r="K168">
        <f>ROUND(VLOOKUP(INT(A168/1000),Sheet3!$A$2:$B$7,2,FALSE)*Sheet3!E$3,0)</f>
        <v>5</v>
      </c>
      <c r="L168">
        <f>ROUND(VLOOKUP(INT(A168/1000),Sheet3!$A$2:$B$7,2,FALSE)*Sheet3!F$3,0)</f>
        <v>3</v>
      </c>
      <c r="M168">
        <f>ROUND(VLOOKUP(INT(A168/1000),Sheet3!$A$2:$B$7,2,FALSE)*Sheet3!G$3,0)</f>
        <v>3</v>
      </c>
    </row>
    <row r="169" spans="1:13">
      <c r="A169">
        <f t="shared" si="170"/>
        <v>16210</v>
      </c>
      <c r="B169" t="str">
        <f t="shared" ref="B169:C169" si="191">B145</f>
        <v>伙伴95级时开启</v>
      </c>
      <c r="C169" t="str">
        <f t="shared" si="191"/>
        <v>进阶+10</v>
      </c>
      <c r="D169">
        <f t="shared" si="165"/>
        <v>1210</v>
      </c>
      <c r="E169">
        <f t="shared" si="165"/>
        <v>1600000</v>
      </c>
      <c r="F169" t="str">
        <f t="shared" si="165"/>
        <v>14107|20000</v>
      </c>
      <c r="H169">
        <f t="shared" si="166"/>
        <v>8</v>
      </c>
      <c r="I169">
        <f>ROUND(VLOOKUP(INT(A169/1000),Sheet3!$A$2:$B$7,2,FALSE)*Sheet3!D$3,0)</f>
        <v>150</v>
      </c>
      <c r="K169">
        <f>ROUND(VLOOKUP(INT(A169/1000),Sheet3!$A$2:$B$7,2,FALSE)*Sheet3!E$3,0)</f>
        <v>5</v>
      </c>
      <c r="L169">
        <f>ROUND(VLOOKUP(INT(A169/1000),Sheet3!$A$2:$B$7,2,FALSE)*Sheet3!F$3,0)</f>
        <v>3</v>
      </c>
      <c r="M169">
        <f>ROUND(VLOOKUP(INT(A169/1000),Sheet3!$A$2:$B$7,2,FALSE)*Sheet3!G$3,0)</f>
        <v>3</v>
      </c>
    </row>
    <row r="170" spans="1:13">
      <c r="A170">
        <f t="shared" si="170"/>
        <v>16211</v>
      </c>
      <c r="B170" t="str">
        <f t="shared" ref="B170:C170" si="192">B146</f>
        <v>伙伴105级时开启</v>
      </c>
      <c r="C170" t="str">
        <f t="shared" si="192"/>
        <v>进阶+11</v>
      </c>
      <c r="D170">
        <f t="shared" si="165"/>
        <v>1211</v>
      </c>
      <c r="E170">
        <f t="shared" si="165"/>
        <v>2000000</v>
      </c>
      <c r="F170" t="str">
        <f t="shared" si="165"/>
        <v>14107|24000</v>
      </c>
      <c r="H170">
        <f t="shared" si="166"/>
        <v>10</v>
      </c>
      <c r="I170">
        <f>ROUND(VLOOKUP(INT(A170/1000),Sheet3!$A$2:$B$7,2,FALSE)*Sheet3!D$3,0)</f>
        <v>150</v>
      </c>
      <c r="K170">
        <f>ROUND(VLOOKUP(INT(A170/1000),Sheet3!$A$2:$B$7,2,FALSE)*Sheet3!E$3,0)</f>
        <v>5</v>
      </c>
      <c r="L170">
        <f>ROUND(VLOOKUP(INT(A170/1000),Sheet3!$A$2:$B$7,2,FALSE)*Sheet3!F$3,0)</f>
        <v>3</v>
      </c>
      <c r="M170">
        <f>ROUND(VLOOKUP(INT(A170/1000),Sheet3!$A$2:$B$7,2,FALSE)*Sheet3!G$3,0)</f>
        <v>3</v>
      </c>
    </row>
    <row r="171" spans="1:13">
      <c r="A171">
        <f t="shared" si="170"/>
        <v>16212</v>
      </c>
      <c r="B171" t="str">
        <f t="shared" ref="B171:C171" si="193">B147</f>
        <v>伙伴115级时开启</v>
      </c>
      <c r="C171" t="str">
        <f t="shared" si="193"/>
        <v>进阶+12</v>
      </c>
      <c r="D171">
        <f t="shared" si="165"/>
        <v>1212</v>
      </c>
      <c r="E171">
        <f t="shared" si="165"/>
        <v>2400000</v>
      </c>
      <c r="F171" t="str">
        <f t="shared" si="165"/>
        <v>14107|28000</v>
      </c>
      <c r="H171">
        <f t="shared" si="166"/>
        <v>12</v>
      </c>
      <c r="I171">
        <f>ROUND(VLOOKUP(INT(A171/1000),Sheet3!$A$2:$B$7,2,FALSE)*Sheet3!D$3,0)</f>
        <v>150</v>
      </c>
      <c r="K171">
        <f>ROUND(VLOOKUP(INT(A171/1000),Sheet3!$A$2:$B$7,2,FALSE)*Sheet3!E$3,0)</f>
        <v>5</v>
      </c>
      <c r="L171">
        <f>ROUND(VLOOKUP(INT(A171/1000),Sheet3!$A$2:$B$7,2,FALSE)*Sheet3!F$3,0)</f>
        <v>3</v>
      </c>
      <c r="M171">
        <f>ROUND(VLOOKUP(INT(A171/1000),Sheet3!$A$2:$B$7,2,FALSE)*Sheet3!G$3,0)</f>
        <v>3</v>
      </c>
    </row>
    <row r="172" spans="1:13">
      <c r="A172">
        <f t="shared" si="170"/>
        <v>16301</v>
      </c>
      <c r="B172" t="str">
        <f t="shared" ref="B172:C172" si="194">B148</f>
        <v>伙伴5级时开启</v>
      </c>
      <c r="C172" t="str">
        <f t="shared" si="194"/>
        <v>进阶+1</v>
      </c>
      <c r="D172">
        <f t="shared" si="165"/>
        <v>1201</v>
      </c>
      <c r="E172">
        <f t="shared" si="165"/>
        <v>10000</v>
      </c>
      <c r="F172" t="str">
        <f t="shared" si="165"/>
        <v>14107|120</v>
      </c>
      <c r="H172">
        <f t="shared" si="166"/>
        <v>0</v>
      </c>
      <c r="I172">
        <f>ROUND(VLOOKUP(INT(A172/1000),Sheet3!$A$2:$B$7,2,FALSE)*Sheet3!D$3,0)</f>
        <v>150</v>
      </c>
      <c r="K172">
        <f>ROUND(VLOOKUP(INT(A172/1000),Sheet3!$A$2:$B$7,2,FALSE)*Sheet3!E$3,0)</f>
        <v>5</v>
      </c>
      <c r="L172">
        <f>ROUND(VLOOKUP(INT(A172/1000),Sheet3!$A$2:$B$7,2,FALSE)*Sheet3!F$3,0)</f>
        <v>3</v>
      </c>
      <c r="M172">
        <f>ROUND(VLOOKUP(INT(A172/1000),Sheet3!$A$2:$B$7,2,FALSE)*Sheet3!G$3,0)</f>
        <v>3</v>
      </c>
    </row>
    <row r="173" spans="1:13">
      <c r="A173">
        <f t="shared" si="170"/>
        <v>16302</v>
      </c>
      <c r="B173" t="str">
        <f t="shared" ref="B173:C173" si="195">B149</f>
        <v>伙伴15级时开启</v>
      </c>
      <c r="C173" t="str">
        <f t="shared" si="195"/>
        <v>进阶+2</v>
      </c>
      <c r="D173">
        <f t="shared" si="165"/>
        <v>1202</v>
      </c>
      <c r="E173">
        <f t="shared" si="165"/>
        <v>30000</v>
      </c>
      <c r="F173" t="str">
        <f t="shared" si="165"/>
        <v>14107|360</v>
      </c>
      <c r="H173">
        <f t="shared" si="166"/>
        <v>0</v>
      </c>
      <c r="I173">
        <f>ROUND(VLOOKUP(INT(A173/1000),Sheet3!$A$2:$B$7,2,FALSE)*Sheet3!D$3,0)</f>
        <v>150</v>
      </c>
      <c r="K173">
        <f>ROUND(VLOOKUP(INT(A173/1000),Sheet3!$A$2:$B$7,2,FALSE)*Sheet3!E$3,0)</f>
        <v>5</v>
      </c>
      <c r="L173">
        <f>ROUND(VLOOKUP(INT(A173/1000),Sheet3!$A$2:$B$7,2,FALSE)*Sheet3!F$3,0)</f>
        <v>3</v>
      </c>
      <c r="M173">
        <f>ROUND(VLOOKUP(INT(A173/1000),Sheet3!$A$2:$B$7,2,FALSE)*Sheet3!G$3,0)</f>
        <v>3</v>
      </c>
    </row>
    <row r="174" spans="1:13">
      <c r="A174">
        <f t="shared" si="170"/>
        <v>16303</v>
      </c>
      <c r="B174" t="str">
        <f t="shared" ref="B174:C174" si="196">B150</f>
        <v>伙伴25级时开启</v>
      </c>
      <c r="C174" t="str">
        <f t="shared" si="196"/>
        <v>进阶+3</v>
      </c>
      <c r="D174">
        <f t="shared" si="165"/>
        <v>1203</v>
      </c>
      <c r="E174">
        <f t="shared" si="165"/>
        <v>50000</v>
      </c>
      <c r="F174" t="str">
        <f t="shared" si="165"/>
        <v>14107|600</v>
      </c>
      <c r="H174">
        <f t="shared" si="166"/>
        <v>0</v>
      </c>
      <c r="I174">
        <f>ROUND(VLOOKUP(INT(A174/1000),Sheet3!$A$2:$B$7,2,FALSE)*Sheet3!D$3,0)</f>
        <v>150</v>
      </c>
      <c r="K174">
        <f>ROUND(VLOOKUP(INT(A174/1000),Sheet3!$A$2:$B$7,2,FALSE)*Sheet3!E$3,0)</f>
        <v>5</v>
      </c>
      <c r="L174">
        <f>ROUND(VLOOKUP(INT(A174/1000),Sheet3!$A$2:$B$7,2,FALSE)*Sheet3!F$3,0)</f>
        <v>3</v>
      </c>
      <c r="M174">
        <f>ROUND(VLOOKUP(INT(A174/1000),Sheet3!$A$2:$B$7,2,FALSE)*Sheet3!G$3,0)</f>
        <v>3</v>
      </c>
    </row>
    <row r="175" spans="1:13">
      <c r="A175">
        <f t="shared" si="170"/>
        <v>16304</v>
      </c>
      <c r="B175" t="str">
        <f t="shared" ref="B175:C175" si="197">B151</f>
        <v>伙伴35级时开启</v>
      </c>
      <c r="C175" t="str">
        <f t="shared" si="197"/>
        <v>进阶+4</v>
      </c>
      <c r="D175">
        <f t="shared" si="165"/>
        <v>1204</v>
      </c>
      <c r="E175">
        <f t="shared" si="165"/>
        <v>100000</v>
      </c>
      <c r="F175" t="str">
        <f t="shared" si="165"/>
        <v>14107|1200</v>
      </c>
      <c r="H175">
        <f t="shared" si="166"/>
        <v>1</v>
      </c>
      <c r="I175">
        <f>ROUND(VLOOKUP(INT(A175/1000),Sheet3!$A$2:$B$7,2,FALSE)*Sheet3!D$3,0)</f>
        <v>150</v>
      </c>
      <c r="K175">
        <f>ROUND(VLOOKUP(INT(A175/1000),Sheet3!$A$2:$B$7,2,FALSE)*Sheet3!E$3,0)</f>
        <v>5</v>
      </c>
      <c r="L175">
        <f>ROUND(VLOOKUP(INT(A175/1000),Sheet3!$A$2:$B$7,2,FALSE)*Sheet3!F$3,0)</f>
        <v>3</v>
      </c>
      <c r="M175">
        <f>ROUND(VLOOKUP(INT(A175/1000),Sheet3!$A$2:$B$7,2,FALSE)*Sheet3!G$3,0)</f>
        <v>3</v>
      </c>
    </row>
    <row r="176" spans="1:13">
      <c r="A176">
        <f t="shared" si="170"/>
        <v>16305</v>
      </c>
      <c r="B176" t="str">
        <f t="shared" ref="B176:C176" si="198">B152</f>
        <v>伙伴45级时开启</v>
      </c>
      <c r="C176" t="str">
        <f t="shared" si="198"/>
        <v>进阶+5</v>
      </c>
      <c r="D176">
        <f t="shared" si="165"/>
        <v>1205</v>
      </c>
      <c r="E176">
        <f t="shared" si="165"/>
        <v>200000</v>
      </c>
      <c r="F176" t="str">
        <f t="shared" si="165"/>
        <v>14107|2400</v>
      </c>
      <c r="H176">
        <f t="shared" si="166"/>
        <v>1</v>
      </c>
      <c r="I176">
        <f>ROUND(VLOOKUP(INT(A176/1000),Sheet3!$A$2:$B$7,2,FALSE)*Sheet3!D$3,0)</f>
        <v>150</v>
      </c>
      <c r="K176">
        <f>ROUND(VLOOKUP(INT(A176/1000),Sheet3!$A$2:$B$7,2,FALSE)*Sheet3!E$3,0)</f>
        <v>5</v>
      </c>
      <c r="L176">
        <f>ROUND(VLOOKUP(INT(A176/1000),Sheet3!$A$2:$B$7,2,FALSE)*Sheet3!F$3,0)</f>
        <v>3</v>
      </c>
      <c r="M176">
        <f>ROUND(VLOOKUP(INT(A176/1000),Sheet3!$A$2:$B$7,2,FALSE)*Sheet3!G$3,0)</f>
        <v>3</v>
      </c>
    </row>
    <row r="177" spans="1:13">
      <c r="A177">
        <f t="shared" si="170"/>
        <v>16306</v>
      </c>
      <c r="B177" t="str">
        <f t="shared" ref="B177:C177" si="199">B153</f>
        <v>伙伴55级时开启</v>
      </c>
      <c r="C177" t="str">
        <f t="shared" si="199"/>
        <v>进阶+6</v>
      </c>
      <c r="D177">
        <f t="shared" si="165"/>
        <v>1206</v>
      </c>
      <c r="E177">
        <f t="shared" si="165"/>
        <v>300000</v>
      </c>
      <c r="F177" t="str">
        <f t="shared" si="165"/>
        <v>14107|3600</v>
      </c>
      <c r="H177">
        <f t="shared" si="166"/>
        <v>2</v>
      </c>
      <c r="I177">
        <f>ROUND(VLOOKUP(INT(A177/1000),Sheet3!$A$2:$B$7,2,FALSE)*Sheet3!D$3,0)</f>
        <v>150</v>
      </c>
      <c r="K177">
        <f>ROUND(VLOOKUP(INT(A177/1000),Sheet3!$A$2:$B$7,2,FALSE)*Sheet3!E$3,0)</f>
        <v>5</v>
      </c>
      <c r="L177">
        <f>ROUND(VLOOKUP(INT(A177/1000),Sheet3!$A$2:$B$7,2,FALSE)*Sheet3!F$3,0)</f>
        <v>3</v>
      </c>
      <c r="M177">
        <f>ROUND(VLOOKUP(INT(A177/1000),Sheet3!$A$2:$B$7,2,FALSE)*Sheet3!G$3,0)</f>
        <v>3</v>
      </c>
    </row>
    <row r="178" spans="1:13">
      <c r="A178">
        <f t="shared" si="170"/>
        <v>16307</v>
      </c>
      <c r="B178" t="str">
        <f t="shared" ref="B178:C178" si="200">B154</f>
        <v>伙伴65级时开启</v>
      </c>
      <c r="C178" t="str">
        <f t="shared" si="200"/>
        <v>进阶+7</v>
      </c>
      <c r="D178">
        <f t="shared" si="165"/>
        <v>1207</v>
      </c>
      <c r="E178">
        <f t="shared" si="165"/>
        <v>500000</v>
      </c>
      <c r="F178" t="str">
        <f t="shared" si="165"/>
        <v>14107|6000</v>
      </c>
      <c r="H178">
        <f t="shared" si="166"/>
        <v>2</v>
      </c>
      <c r="I178">
        <f>ROUND(VLOOKUP(INT(A178/1000),Sheet3!$A$2:$B$7,2,FALSE)*Sheet3!D$3,0)</f>
        <v>150</v>
      </c>
      <c r="K178">
        <f>ROUND(VLOOKUP(INT(A178/1000),Sheet3!$A$2:$B$7,2,FALSE)*Sheet3!E$3,0)</f>
        <v>5</v>
      </c>
      <c r="L178">
        <f>ROUND(VLOOKUP(INT(A178/1000),Sheet3!$A$2:$B$7,2,FALSE)*Sheet3!F$3,0)</f>
        <v>3</v>
      </c>
      <c r="M178">
        <f>ROUND(VLOOKUP(INT(A178/1000),Sheet3!$A$2:$B$7,2,FALSE)*Sheet3!G$3,0)</f>
        <v>3</v>
      </c>
    </row>
    <row r="179" spans="1:13">
      <c r="A179">
        <f t="shared" si="170"/>
        <v>16308</v>
      </c>
      <c r="B179" t="str">
        <f t="shared" ref="B179:C179" si="201">B155</f>
        <v>伙伴75级时开启</v>
      </c>
      <c r="C179" t="str">
        <f t="shared" si="201"/>
        <v>进阶+8</v>
      </c>
      <c r="D179">
        <f t="shared" si="165"/>
        <v>1208</v>
      </c>
      <c r="E179">
        <f t="shared" si="165"/>
        <v>800000</v>
      </c>
      <c r="F179" t="str">
        <f t="shared" si="165"/>
        <v>14107|10000</v>
      </c>
      <c r="H179">
        <f t="shared" si="166"/>
        <v>4</v>
      </c>
      <c r="I179">
        <f>ROUND(VLOOKUP(INT(A179/1000),Sheet3!$A$2:$B$7,2,FALSE)*Sheet3!D$3,0)</f>
        <v>150</v>
      </c>
      <c r="K179">
        <f>ROUND(VLOOKUP(INT(A179/1000),Sheet3!$A$2:$B$7,2,FALSE)*Sheet3!E$3,0)</f>
        <v>5</v>
      </c>
      <c r="L179">
        <f>ROUND(VLOOKUP(INT(A179/1000),Sheet3!$A$2:$B$7,2,FALSE)*Sheet3!F$3,0)</f>
        <v>3</v>
      </c>
      <c r="M179">
        <f>ROUND(VLOOKUP(INT(A179/1000),Sheet3!$A$2:$B$7,2,FALSE)*Sheet3!G$3,0)</f>
        <v>3</v>
      </c>
    </row>
    <row r="180" spans="1:13">
      <c r="A180">
        <f t="shared" si="170"/>
        <v>16309</v>
      </c>
      <c r="B180" t="str">
        <f t="shared" ref="B180:C180" si="202">B156</f>
        <v>伙伴85级时开启</v>
      </c>
      <c r="C180" t="str">
        <f t="shared" si="202"/>
        <v>进阶+9</v>
      </c>
      <c r="D180">
        <f t="shared" si="165"/>
        <v>1209</v>
      </c>
      <c r="E180">
        <f t="shared" si="165"/>
        <v>1200000</v>
      </c>
      <c r="F180" t="str">
        <f t="shared" si="165"/>
        <v>14107|15000</v>
      </c>
      <c r="H180">
        <f t="shared" si="166"/>
        <v>6</v>
      </c>
      <c r="I180">
        <f>ROUND(VLOOKUP(INT(A180/1000),Sheet3!$A$2:$B$7,2,FALSE)*Sheet3!D$3,0)</f>
        <v>150</v>
      </c>
      <c r="K180">
        <f>ROUND(VLOOKUP(INT(A180/1000),Sheet3!$A$2:$B$7,2,FALSE)*Sheet3!E$3,0)</f>
        <v>5</v>
      </c>
      <c r="L180">
        <f>ROUND(VLOOKUP(INT(A180/1000),Sheet3!$A$2:$B$7,2,FALSE)*Sheet3!F$3,0)</f>
        <v>3</v>
      </c>
      <c r="M180">
        <f>ROUND(VLOOKUP(INT(A180/1000),Sheet3!$A$2:$B$7,2,FALSE)*Sheet3!G$3,0)</f>
        <v>3</v>
      </c>
    </row>
    <row r="181" spans="1:13">
      <c r="A181">
        <f t="shared" si="170"/>
        <v>16310</v>
      </c>
      <c r="B181" t="str">
        <f t="shared" ref="B181:C181" si="203">B157</f>
        <v>伙伴95级时开启</v>
      </c>
      <c r="C181" t="str">
        <f t="shared" si="203"/>
        <v>进阶+10</v>
      </c>
      <c r="D181">
        <f t="shared" si="165"/>
        <v>1210</v>
      </c>
      <c r="E181">
        <f t="shared" si="165"/>
        <v>1600000</v>
      </c>
      <c r="F181" t="str">
        <f t="shared" si="165"/>
        <v>14107|20000</v>
      </c>
      <c r="H181">
        <f t="shared" si="166"/>
        <v>8</v>
      </c>
      <c r="I181">
        <f>ROUND(VLOOKUP(INT(A181/1000),Sheet3!$A$2:$B$7,2,FALSE)*Sheet3!D$3,0)</f>
        <v>150</v>
      </c>
      <c r="K181">
        <f>ROUND(VLOOKUP(INT(A181/1000),Sheet3!$A$2:$B$7,2,FALSE)*Sheet3!E$3,0)</f>
        <v>5</v>
      </c>
      <c r="L181">
        <f>ROUND(VLOOKUP(INT(A181/1000),Sheet3!$A$2:$B$7,2,FALSE)*Sheet3!F$3,0)</f>
        <v>3</v>
      </c>
      <c r="M181">
        <f>ROUND(VLOOKUP(INT(A181/1000),Sheet3!$A$2:$B$7,2,FALSE)*Sheet3!G$3,0)</f>
        <v>3</v>
      </c>
    </row>
    <row r="182" spans="1:13">
      <c r="A182">
        <f t="shared" si="170"/>
        <v>16311</v>
      </c>
      <c r="B182" t="str">
        <f t="shared" ref="B182:C182" si="204">B158</f>
        <v>伙伴105级时开启</v>
      </c>
      <c r="C182" t="str">
        <f t="shared" si="204"/>
        <v>进阶+11</v>
      </c>
      <c r="D182">
        <f t="shared" si="165"/>
        <v>1211</v>
      </c>
      <c r="E182">
        <f t="shared" si="165"/>
        <v>2000000</v>
      </c>
      <c r="F182" t="str">
        <f t="shared" si="165"/>
        <v>14107|24000</v>
      </c>
      <c r="H182">
        <f t="shared" si="166"/>
        <v>10</v>
      </c>
      <c r="I182">
        <f>ROUND(VLOOKUP(INT(A182/1000),Sheet3!$A$2:$B$7,2,FALSE)*Sheet3!D$3,0)</f>
        <v>150</v>
      </c>
      <c r="K182">
        <f>ROUND(VLOOKUP(INT(A182/1000),Sheet3!$A$2:$B$7,2,FALSE)*Sheet3!E$3,0)</f>
        <v>5</v>
      </c>
      <c r="L182">
        <f>ROUND(VLOOKUP(INT(A182/1000),Sheet3!$A$2:$B$7,2,FALSE)*Sheet3!F$3,0)</f>
        <v>3</v>
      </c>
      <c r="M182">
        <f>ROUND(VLOOKUP(INT(A182/1000),Sheet3!$A$2:$B$7,2,FALSE)*Sheet3!G$3,0)</f>
        <v>3</v>
      </c>
    </row>
    <row r="183" spans="1:13">
      <c r="A183">
        <f t="shared" si="170"/>
        <v>16312</v>
      </c>
      <c r="B183" t="str">
        <f t="shared" ref="B183:C183" si="205">B159</f>
        <v>伙伴115级时开启</v>
      </c>
      <c r="C183" t="str">
        <f t="shared" si="205"/>
        <v>进阶+12</v>
      </c>
      <c r="D183">
        <f t="shared" si="165"/>
        <v>1212</v>
      </c>
      <c r="E183">
        <f t="shared" si="165"/>
        <v>2400000</v>
      </c>
      <c r="F183" t="str">
        <f t="shared" si="165"/>
        <v>14107|28000</v>
      </c>
      <c r="H183">
        <f t="shared" si="166"/>
        <v>12</v>
      </c>
      <c r="I183">
        <f>ROUND(VLOOKUP(INT(A183/1000),Sheet3!$A$2:$B$7,2,FALSE)*Sheet3!D$3,0)</f>
        <v>150</v>
      </c>
      <c r="K183">
        <f>ROUND(VLOOKUP(INT(A183/1000),Sheet3!$A$2:$B$7,2,FALSE)*Sheet3!E$3,0)</f>
        <v>5</v>
      </c>
      <c r="L183">
        <f>ROUND(VLOOKUP(INT(A183/1000),Sheet3!$A$2:$B$7,2,FALSE)*Sheet3!F$3,0)</f>
        <v>3</v>
      </c>
      <c r="M183">
        <f>ROUND(VLOOKUP(INT(A183/1000),Sheet3!$A$2:$B$7,2,FALSE)*Sheet3!G$3,0)</f>
        <v>3</v>
      </c>
    </row>
    <row r="184" spans="1:13">
      <c r="A184">
        <f t="shared" si="170"/>
        <v>16401</v>
      </c>
      <c r="B184" t="str">
        <f t="shared" ref="B184:C184" si="206">B160</f>
        <v>伙伴5级时开启</v>
      </c>
      <c r="C184" t="str">
        <f t="shared" si="206"/>
        <v>进阶+1</v>
      </c>
      <c r="D184">
        <f t="shared" si="165"/>
        <v>1201</v>
      </c>
      <c r="E184">
        <f t="shared" si="165"/>
        <v>10000</v>
      </c>
      <c r="F184" t="str">
        <f t="shared" si="165"/>
        <v>14107|120</v>
      </c>
      <c r="H184">
        <f t="shared" si="166"/>
        <v>0</v>
      </c>
      <c r="I184">
        <f>ROUND(VLOOKUP(INT(A184/1000),Sheet3!$A$2:$B$7,2,FALSE)*Sheet3!D$3,0)</f>
        <v>150</v>
      </c>
      <c r="K184">
        <f>ROUND(VLOOKUP(INT(A184/1000),Sheet3!$A$2:$B$7,2,FALSE)*Sheet3!E$3,0)</f>
        <v>5</v>
      </c>
      <c r="L184">
        <f>ROUND(VLOOKUP(INT(A184/1000),Sheet3!$A$2:$B$7,2,FALSE)*Sheet3!F$3,0)</f>
        <v>3</v>
      </c>
      <c r="M184">
        <f>ROUND(VLOOKUP(INT(A184/1000),Sheet3!$A$2:$B$7,2,FALSE)*Sheet3!G$3,0)</f>
        <v>3</v>
      </c>
    </row>
    <row r="185" spans="1:13">
      <c r="A185">
        <f t="shared" si="170"/>
        <v>16402</v>
      </c>
      <c r="B185" t="str">
        <f t="shared" ref="B185:C185" si="207">B161</f>
        <v>伙伴15级时开启</v>
      </c>
      <c r="C185" t="str">
        <f t="shared" si="207"/>
        <v>进阶+2</v>
      </c>
      <c r="D185">
        <f t="shared" si="165"/>
        <v>1202</v>
      </c>
      <c r="E185">
        <f t="shared" si="165"/>
        <v>30000</v>
      </c>
      <c r="F185" t="str">
        <f t="shared" si="165"/>
        <v>14107|360</v>
      </c>
      <c r="H185">
        <f t="shared" si="166"/>
        <v>0</v>
      </c>
      <c r="I185">
        <f>ROUND(VLOOKUP(INT(A185/1000),Sheet3!$A$2:$B$7,2,FALSE)*Sheet3!D$3,0)</f>
        <v>150</v>
      </c>
      <c r="K185">
        <f>ROUND(VLOOKUP(INT(A185/1000),Sheet3!$A$2:$B$7,2,FALSE)*Sheet3!E$3,0)</f>
        <v>5</v>
      </c>
      <c r="L185">
        <f>ROUND(VLOOKUP(INT(A185/1000),Sheet3!$A$2:$B$7,2,FALSE)*Sheet3!F$3,0)</f>
        <v>3</v>
      </c>
      <c r="M185">
        <f>ROUND(VLOOKUP(INT(A185/1000),Sheet3!$A$2:$B$7,2,FALSE)*Sheet3!G$3,0)</f>
        <v>3</v>
      </c>
    </row>
    <row r="186" spans="1:13">
      <c r="A186">
        <f t="shared" si="170"/>
        <v>16403</v>
      </c>
      <c r="B186" t="str">
        <f t="shared" ref="B186:C186" si="208">B162</f>
        <v>伙伴25级时开启</v>
      </c>
      <c r="C186" t="str">
        <f t="shared" si="208"/>
        <v>进阶+3</v>
      </c>
      <c r="D186">
        <f t="shared" si="165"/>
        <v>1203</v>
      </c>
      <c r="E186">
        <f t="shared" si="165"/>
        <v>50000</v>
      </c>
      <c r="F186" t="str">
        <f t="shared" si="165"/>
        <v>14107|600</v>
      </c>
      <c r="H186">
        <f t="shared" si="166"/>
        <v>0</v>
      </c>
      <c r="I186">
        <f>ROUND(VLOOKUP(INT(A186/1000),Sheet3!$A$2:$B$7,2,FALSE)*Sheet3!D$3,0)</f>
        <v>150</v>
      </c>
      <c r="K186">
        <f>ROUND(VLOOKUP(INT(A186/1000),Sheet3!$A$2:$B$7,2,FALSE)*Sheet3!E$3,0)</f>
        <v>5</v>
      </c>
      <c r="L186">
        <f>ROUND(VLOOKUP(INT(A186/1000),Sheet3!$A$2:$B$7,2,FALSE)*Sheet3!F$3,0)</f>
        <v>3</v>
      </c>
      <c r="M186">
        <f>ROUND(VLOOKUP(INT(A186/1000),Sheet3!$A$2:$B$7,2,FALSE)*Sheet3!G$3,0)</f>
        <v>3</v>
      </c>
    </row>
    <row r="187" spans="1:13">
      <c r="A187">
        <f t="shared" si="170"/>
        <v>16404</v>
      </c>
      <c r="B187" t="str">
        <f t="shared" ref="B187:C187" si="209">B163</f>
        <v>伙伴35级时开启</v>
      </c>
      <c r="C187" t="str">
        <f t="shared" si="209"/>
        <v>进阶+4</v>
      </c>
      <c r="D187">
        <f t="shared" si="165"/>
        <v>1204</v>
      </c>
      <c r="E187">
        <f t="shared" si="165"/>
        <v>100000</v>
      </c>
      <c r="F187" t="str">
        <f t="shared" si="165"/>
        <v>14107|1200</v>
      </c>
      <c r="H187">
        <f t="shared" si="166"/>
        <v>1</v>
      </c>
      <c r="I187">
        <f>ROUND(VLOOKUP(INT(A187/1000),Sheet3!$A$2:$B$7,2,FALSE)*Sheet3!D$3,0)</f>
        <v>150</v>
      </c>
      <c r="K187">
        <f>ROUND(VLOOKUP(INT(A187/1000),Sheet3!$A$2:$B$7,2,FALSE)*Sheet3!E$3,0)</f>
        <v>5</v>
      </c>
      <c r="L187">
        <f>ROUND(VLOOKUP(INT(A187/1000),Sheet3!$A$2:$B$7,2,FALSE)*Sheet3!F$3,0)</f>
        <v>3</v>
      </c>
      <c r="M187">
        <f>ROUND(VLOOKUP(INT(A187/1000),Sheet3!$A$2:$B$7,2,FALSE)*Sheet3!G$3,0)</f>
        <v>3</v>
      </c>
    </row>
    <row r="188" spans="1:13">
      <c r="A188">
        <f t="shared" si="170"/>
        <v>16405</v>
      </c>
      <c r="B188" t="str">
        <f t="shared" ref="B188:C188" si="210">B164</f>
        <v>伙伴45级时开启</v>
      </c>
      <c r="C188" t="str">
        <f t="shared" si="210"/>
        <v>进阶+5</v>
      </c>
      <c r="D188">
        <f t="shared" si="165"/>
        <v>1205</v>
      </c>
      <c r="E188">
        <f t="shared" si="165"/>
        <v>200000</v>
      </c>
      <c r="F188" t="str">
        <f t="shared" si="165"/>
        <v>14107|2400</v>
      </c>
      <c r="H188">
        <f t="shared" si="166"/>
        <v>1</v>
      </c>
      <c r="I188">
        <f>ROUND(VLOOKUP(INT(A188/1000),Sheet3!$A$2:$B$7,2,FALSE)*Sheet3!D$3,0)</f>
        <v>150</v>
      </c>
      <c r="K188">
        <f>ROUND(VLOOKUP(INT(A188/1000),Sheet3!$A$2:$B$7,2,FALSE)*Sheet3!E$3,0)</f>
        <v>5</v>
      </c>
      <c r="L188">
        <f>ROUND(VLOOKUP(INT(A188/1000),Sheet3!$A$2:$B$7,2,FALSE)*Sheet3!F$3,0)</f>
        <v>3</v>
      </c>
      <c r="M188">
        <f>ROUND(VLOOKUP(INT(A188/1000),Sheet3!$A$2:$B$7,2,FALSE)*Sheet3!G$3,0)</f>
        <v>3</v>
      </c>
    </row>
    <row r="189" spans="1:13">
      <c r="A189">
        <f t="shared" si="170"/>
        <v>16406</v>
      </c>
      <c r="B189" t="str">
        <f t="shared" ref="B189:C189" si="211">B165</f>
        <v>伙伴55级时开启</v>
      </c>
      <c r="C189" t="str">
        <f t="shared" si="211"/>
        <v>进阶+6</v>
      </c>
      <c r="D189">
        <f t="shared" si="165"/>
        <v>1206</v>
      </c>
      <c r="E189">
        <f t="shared" si="165"/>
        <v>300000</v>
      </c>
      <c r="F189" t="str">
        <f t="shared" si="165"/>
        <v>14107|3600</v>
      </c>
      <c r="H189">
        <f t="shared" si="166"/>
        <v>2</v>
      </c>
      <c r="I189">
        <f>ROUND(VLOOKUP(INT(A189/1000),Sheet3!$A$2:$B$7,2,FALSE)*Sheet3!D$3,0)</f>
        <v>150</v>
      </c>
      <c r="K189">
        <f>ROUND(VLOOKUP(INT(A189/1000),Sheet3!$A$2:$B$7,2,FALSE)*Sheet3!E$3,0)</f>
        <v>5</v>
      </c>
      <c r="L189">
        <f>ROUND(VLOOKUP(INT(A189/1000),Sheet3!$A$2:$B$7,2,FALSE)*Sheet3!F$3,0)</f>
        <v>3</v>
      </c>
      <c r="M189">
        <f>ROUND(VLOOKUP(INT(A189/1000),Sheet3!$A$2:$B$7,2,FALSE)*Sheet3!G$3,0)</f>
        <v>3</v>
      </c>
    </row>
    <row r="190" spans="1:13">
      <c r="A190">
        <f t="shared" si="170"/>
        <v>16407</v>
      </c>
      <c r="B190" t="str">
        <f t="shared" ref="B190:C190" si="212">B166</f>
        <v>伙伴65级时开启</v>
      </c>
      <c r="C190" t="str">
        <f t="shared" si="212"/>
        <v>进阶+7</v>
      </c>
      <c r="D190">
        <f t="shared" si="165"/>
        <v>1207</v>
      </c>
      <c r="E190">
        <f t="shared" si="165"/>
        <v>500000</v>
      </c>
      <c r="F190" t="str">
        <f t="shared" si="165"/>
        <v>14107|6000</v>
      </c>
      <c r="H190">
        <f t="shared" si="166"/>
        <v>2</v>
      </c>
      <c r="I190">
        <f>ROUND(VLOOKUP(INT(A190/1000),Sheet3!$A$2:$B$7,2,FALSE)*Sheet3!D$3,0)</f>
        <v>150</v>
      </c>
      <c r="K190">
        <f>ROUND(VLOOKUP(INT(A190/1000),Sheet3!$A$2:$B$7,2,FALSE)*Sheet3!E$3,0)</f>
        <v>5</v>
      </c>
      <c r="L190">
        <f>ROUND(VLOOKUP(INT(A190/1000),Sheet3!$A$2:$B$7,2,FALSE)*Sheet3!F$3,0)</f>
        <v>3</v>
      </c>
      <c r="M190">
        <f>ROUND(VLOOKUP(INT(A190/1000),Sheet3!$A$2:$B$7,2,FALSE)*Sheet3!G$3,0)</f>
        <v>3</v>
      </c>
    </row>
    <row r="191" spans="1:13">
      <c r="A191">
        <f t="shared" si="170"/>
        <v>16408</v>
      </c>
      <c r="B191" t="str">
        <f t="shared" ref="B191:C191" si="213">B167</f>
        <v>伙伴75级时开启</v>
      </c>
      <c r="C191" t="str">
        <f t="shared" si="213"/>
        <v>进阶+8</v>
      </c>
      <c r="D191">
        <f t="shared" si="165"/>
        <v>1208</v>
      </c>
      <c r="E191">
        <f t="shared" si="165"/>
        <v>800000</v>
      </c>
      <c r="F191" t="str">
        <f t="shared" si="165"/>
        <v>14107|10000</v>
      </c>
      <c r="H191">
        <f t="shared" si="166"/>
        <v>4</v>
      </c>
      <c r="I191">
        <f>ROUND(VLOOKUP(INT(A191/1000),Sheet3!$A$2:$B$7,2,FALSE)*Sheet3!D$3,0)</f>
        <v>150</v>
      </c>
      <c r="K191">
        <f>ROUND(VLOOKUP(INT(A191/1000),Sheet3!$A$2:$B$7,2,FALSE)*Sheet3!E$3,0)</f>
        <v>5</v>
      </c>
      <c r="L191">
        <f>ROUND(VLOOKUP(INT(A191/1000),Sheet3!$A$2:$B$7,2,FALSE)*Sheet3!F$3,0)</f>
        <v>3</v>
      </c>
      <c r="M191">
        <f>ROUND(VLOOKUP(INT(A191/1000),Sheet3!$A$2:$B$7,2,FALSE)*Sheet3!G$3,0)</f>
        <v>3</v>
      </c>
    </row>
    <row r="192" spans="1:13">
      <c r="A192">
        <f t="shared" si="170"/>
        <v>16409</v>
      </c>
      <c r="B192" t="str">
        <f t="shared" ref="B192:C192" si="214">B168</f>
        <v>伙伴85级时开启</v>
      </c>
      <c r="C192" t="str">
        <f t="shared" si="214"/>
        <v>进阶+9</v>
      </c>
      <c r="D192">
        <f t="shared" si="165"/>
        <v>1209</v>
      </c>
      <c r="E192">
        <f t="shared" si="165"/>
        <v>1200000</v>
      </c>
      <c r="F192" t="str">
        <f t="shared" si="165"/>
        <v>14107|15000</v>
      </c>
      <c r="H192">
        <f t="shared" si="166"/>
        <v>6</v>
      </c>
      <c r="I192">
        <f>ROUND(VLOOKUP(INT(A192/1000),Sheet3!$A$2:$B$7,2,FALSE)*Sheet3!D$3,0)</f>
        <v>150</v>
      </c>
      <c r="K192">
        <f>ROUND(VLOOKUP(INT(A192/1000),Sheet3!$A$2:$B$7,2,FALSE)*Sheet3!E$3,0)</f>
        <v>5</v>
      </c>
      <c r="L192">
        <f>ROUND(VLOOKUP(INT(A192/1000),Sheet3!$A$2:$B$7,2,FALSE)*Sheet3!F$3,0)</f>
        <v>3</v>
      </c>
      <c r="M192">
        <f>ROUND(VLOOKUP(INT(A192/1000),Sheet3!$A$2:$B$7,2,FALSE)*Sheet3!G$3,0)</f>
        <v>3</v>
      </c>
    </row>
    <row r="193" spans="1:13">
      <c r="A193">
        <f t="shared" si="170"/>
        <v>16410</v>
      </c>
      <c r="B193" t="str">
        <f t="shared" ref="B193:C193" si="215">B169</f>
        <v>伙伴95级时开启</v>
      </c>
      <c r="C193" t="str">
        <f t="shared" si="215"/>
        <v>进阶+10</v>
      </c>
      <c r="D193">
        <f t="shared" si="165"/>
        <v>1210</v>
      </c>
      <c r="E193">
        <f t="shared" si="165"/>
        <v>1600000</v>
      </c>
      <c r="F193" t="str">
        <f t="shared" si="165"/>
        <v>14107|20000</v>
      </c>
      <c r="H193">
        <f t="shared" si="166"/>
        <v>8</v>
      </c>
      <c r="I193">
        <f>ROUND(VLOOKUP(INT(A193/1000),Sheet3!$A$2:$B$7,2,FALSE)*Sheet3!D$3,0)</f>
        <v>150</v>
      </c>
      <c r="K193">
        <f>ROUND(VLOOKUP(INT(A193/1000),Sheet3!$A$2:$B$7,2,FALSE)*Sheet3!E$3,0)</f>
        <v>5</v>
      </c>
      <c r="L193">
        <f>ROUND(VLOOKUP(INT(A193/1000),Sheet3!$A$2:$B$7,2,FALSE)*Sheet3!F$3,0)</f>
        <v>3</v>
      </c>
      <c r="M193">
        <f>ROUND(VLOOKUP(INT(A193/1000),Sheet3!$A$2:$B$7,2,FALSE)*Sheet3!G$3,0)</f>
        <v>3</v>
      </c>
    </row>
    <row r="194" spans="1:13">
      <c r="A194">
        <f t="shared" si="170"/>
        <v>16411</v>
      </c>
      <c r="B194" t="str">
        <f t="shared" ref="B194:C194" si="216">B170</f>
        <v>伙伴105级时开启</v>
      </c>
      <c r="C194" t="str">
        <f t="shared" si="216"/>
        <v>进阶+11</v>
      </c>
      <c r="D194">
        <f t="shared" si="165"/>
        <v>1211</v>
      </c>
      <c r="E194">
        <f t="shared" si="165"/>
        <v>2000000</v>
      </c>
      <c r="F194" t="str">
        <f t="shared" si="165"/>
        <v>14107|24000</v>
      </c>
      <c r="H194">
        <f t="shared" si="166"/>
        <v>10</v>
      </c>
      <c r="I194">
        <f>ROUND(VLOOKUP(INT(A194/1000),Sheet3!$A$2:$B$7,2,FALSE)*Sheet3!D$3,0)</f>
        <v>150</v>
      </c>
      <c r="K194">
        <f>ROUND(VLOOKUP(INT(A194/1000),Sheet3!$A$2:$B$7,2,FALSE)*Sheet3!E$3,0)</f>
        <v>5</v>
      </c>
      <c r="L194">
        <f>ROUND(VLOOKUP(INT(A194/1000),Sheet3!$A$2:$B$7,2,FALSE)*Sheet3!F$3,0)</f>
        <v>3</v>
      </c>
      <c r="M194">
        <f>ROUND(VLOOKUP(INT(A194/1000),Sheet3!$A$2:$B$7,2,FALSE)*Sheet3!G$3,0)</f>
        <v>3</v>
      </c>
    </row>
    <row r="195" spans="1:13">
      <c r="A195">
        <f t="shared" si="170"/>
        <v>16412</v>
      </c>
      <c r="B195" t="str">
        <f t="shared" ref="B195:C195" si="217">B171</f>
        <v>伙伴115级时开启</v>
      </c>
      <c r="C195" t="str">
        <f t="shared" si="217"/>
        <v>进阶+12</v>
      </c>
      <c r="D195">
        <f t="shared" si="165"/>
        <v>1212</v>
      </c>
      <c r="E195">
        <f t="shared" si="165"/>
        <v>2400000</v>
      </c>
      <c r="F195" t="str">
        <f t="shared" si="165"/>
        <v>14107|28000</v>
      </c>
      <c r="H195">
        <f t="shared" si="166"/>
        <v>12</v>
      </c>
      <c r="I195">
        <f>ROUND(VLOOKUP(INT(A195/1000),Sheet3!$A$2:$B$7,2,FALSE)*Sheet3!D$3,0)</f>
        <v>150</v>
      </c>
      <c r="K195">
        <f>ROUND(VLOOKUP(INT(A195/1000),Sheet3!$A$2:$B$7,2,FALSE)*Sheet3!E$3,0)</f>
        <v>5</v>
      </c>
      <c r="L195">
        <f>ROUND(VLOOKUP(INT(A195/1000),Sheet3!$A$2:$B$7,2,FALSE)*Sheet3!F$3,0)</f>
        <v>3</v>
      </c>
      <c r="M195">
        <f>ROUND(VLOOKUP(INT(A195/1000),Sheet3!$A$2:$B$7,2,FALSE)*Sheet3!G$3,0)</f>
        <v>3</v>
      </c>
    </row>
    <row r="196" spans="1:13">
      <c r="A196">
        <f t="shared" si="170"/>
        <v>16501</v>
      </c>
      <c r="B196" t="str">
        <f t="shared" ref="B196:C196" si="218">B172</f>
        <v>伙伴5级时开启</v>
      </c>
      <c r="C196" t="str">
        <f t="shared" si="218"/>
        <v>进阶+1</v>
      </c>
      <c r="D196">
        <f t="shared" si="165"/>
        <v>1201</v>
      </c>
      <c r="E196">
        <f t="shared" si="165"/>
        <v>10000</v>
      </c>
      <c r="F196" t="str">
        <f t="shared" si="165"/>
        <v>14107|120</v>
      </c>
      <c r="H196">
        <f t="shared" si="166"/>
        <v>0</v>
      </c>
      <c r="I196">
        <f>ROUND(VLOOKUP(INT(A196/1000),Sheet3!$A$2:$B$7,2,FALSE)*Sheet3!D$3,0)</f>
        <v>150</v>
      </c>
      <c r="K196">
        <f>ROUND(VLOOKUP(INT(A196/1000),Sheet3!$A$2:$B$7,2,FALSE)*Sheet3!E$3,0)</f>
        <v>5</v>
      </c>
      <c r="L196">
        <f>ROUND(VLOOKUP(INT(A196/1000),Sheet3!$A$2:$B$7,2,FALSE)*Sheet3!F$3,0)</f>
        <v>3</v>
      </c>
      <c r="M196">
        <f>ROUND(VLOOKUP(INT(A196/1000),Sheet3!$A$2:$B$7,2,FALSE)*Sheet3!G$3,0)</f>
        <v>3</v>
      </c>
    </row>
    <row r="197" spans="1:13">
      <c r="A197">
        <f t="shared" si="170"/>
        <v>16502</v>
      </c>
      <c r="B197" t="str">
        <f t="shared" ref="B197:C197" si="219">B173</f>
        <v>伙伴15级时开启</v>
      </c>
      <c r="C197" t="str">
        <f t="shared" si="219"/>
        <v>进阶+2</v>
      </c>
      <c r="D197">
        <f t="shared" si="165"/>
        <v>1202</v>
      </c>
      <c r="E197">
        <f t="shared" si="165"/>
        <v>30000</v>
      </c>
      <c r="F197" t="str">
        <f t="shared" si="165"/>
        <v>14107|360</v>
      </c>
      <c r="H197">
        <f t="shared" si="166"/>
        <v>0</v>
      </c>
      <c r="I197">
        <f>ROUND(VLOOKUP(INT(A197/1000),Sheet3!$A$2:$B$7,2,FALSE)*Sheet3!D$3,0)</f>
        <v>150</v>
      </c>
      <c r="K197">
        <f>ROUND(VLOOKUP(INT(A197/1000),Sheet3!$A$2:$B$7,2,FALSE)*Sheet3!E$3,0)</f>
        <v>5</v>
      </c>
      <c r="L197">
        <f>ROUND(VLOOKUP(INT(A197/1000),Sheet3!$A$2:$B$7,2,FALSE)*Sheet3!F$3,0)</f>
        <v>3</v>
      </c>
      <c r="M197">
        <f>ROUND(VLOOKUP(INT(A197/1000),Sheet3!$A$2:$B$7,2,FALSE)*Sheet3!G$3,0)</f>
        <v>3</v>
      </c>
    </row>
    <row r="198" spans="1:13">
      <c r="A198">
        <f t="shared" si="170"/>
        <v>16503</v>
      </c>
      <c r="B198" t="str">
        <f t="shared" ref="B198:C198" si="220">B174</f>
        <v>伙伴25级时开启</v>
      </c>
      <c r="C198" t="str">
        <f t="shared" si="220"/>
        <v>进阶+3</v>
      </c>
      <c r="D198">
        <f t="shared" si="165"/>
        <v>1203</v>
      </c>
      <c r="E198">
        <f t="shared" si="165"/>
        <v>50000</v>
      </c>
      <c r="F198" t="str">
        <f t="shared" si="165"/>
        <v>14107|600</v>
      </c>
      <c r="H198">
        <f t="shared" si="166"/>
        <v>0</v>
      </c>
      <c r="I198">
        <f>ROUND(VLOOKUP(INT(A198/1000),Sheet3!$A$2:$B$7,2,FALSE)*Sheet3!D$3,0)</f>
        <v>150</v>
      </c>
      <c r="K198">
        <f>ROUND(VLOOKUP(INT(A198/1000),Sheet3!$A$2:$B$7,2,FALSE)*Sheet3!E$3,0)</f>
        <v>5</v>
      </c>
      <c r="L198">
        <f>ROUND(VLOOKUP(INT(A198/1000),Sheet3!$A$2:$B$7,2,FALSE)*Sheet3!F$3,0)</f>
        <v>3</v>
      </c>
      <c r="M198">
        <f>ROUND(VLOOKUP(INT(A198/1000),Sheet3!$A$2:$B$7,2,FALSE)*Sheet3!G$3,0)</f>
        <v>3</v>
      </c>
    </row>
    <row r="199" spans="1:13">
      <c r="A199">
        <f t="shared" si="170"/>
        <v>16504</v>
      </c>
      <c r="B199" t="str">
        <f t="shared" ref="B199:C199" si="221">B175</f>
        <v>伙伴35级时开启</v>
      </c>
      <c r="C199" t="str">
        <f t="shared" si="221"/>
        <v>进阶+4</v>
      </c>
      <c r="D199">
        <f t="shared" si="165"/>
        <v>1204</v>
      </c>
      <c r="E199">
        <f t="shared" si="165"/>
        <v>100000</v>
      </c>
      <c r="F199" t="str">
        <f t="shared" si="165"/>
        <v>14107|1200</v>
      </c>
      <c r="H199">
        <f t="shared" si="166"/>
        <v>1</v>
      </c>
      <c r="I199">
        <f>ROUND(VLOOKUP(INT(A199/1000),Sheet3!$A$2:$B$7,2,FALSE)*Sheet3!D$3,0)</f>
        <v>150</v>
      </c>
      <c r="K199">
        <f>ROUND(VLOOKUP(INT(A199/1000),Sheet3!$A$2:$B$7,2,FALSE)*Sheet3!E$3,0)</f>
        <v>5</v>
      </c>
      <c r="L199">
        <f>ROUND(VLOOKUP(INT(A199/1000),Sheet3!$A$2:$B$7,2,FALSE)*Sheet3!F$3,0)</f>
        <v>3</v>
      </c>
      <c r="M199">
        <f>ROUND(VLOOKUP(INT(A199/1000),Sheet3!$A$2:$B$7,2,FALSE)*Sheet3!G$3,0)</f>
        <v>3</v>
      </c>
    </row>
    <row r="200" spans="1:13">
      <c r="A200">
        <f t="shared" si="170"/>
        <v>16505</v>
      </c>
      <c r="B200" t="str">
        <f t="shared" ref="B200:C200" si="222">B176</f>
        <v>伙伴45级时开启</v>
      </c>
      <c r="C200" t="str">
        <f t="shared" si="222"/>
        <v>进阶+5</v>
      </c>
      <c r="D200">
        <f t="shared" si="165"/>
        <v>1205</v>
      </c>
      <c r="E200">
        <f t="shared" si="165"/>
        <v>200000</v>
      </c>
      <c r="F200" t="str">
        <f t="shared" si="165"/>
        <v>14107|2400</v>
      </c>
      <c r="H200">
        <f t="shared" si="166"/>
        <v>1</v>
      </c>
      <c r="I200">
        <f>ROUND(VLOOKUP(INT(A200/1000),Sheet3!$A$2:$B$7,2,FALSE)*Sheet3!D$3,0)</f>
        <v>150</v>
      </c>
      <c r="K200">
        <f>ROUND(VLOOKUP(INT(A200/1000),Sheet3!$A$2:$B$7,2,FALSE)*Sheet3!E$3,0)</f>
        <v>5</v>
      </c>
      <c r="L200">
        <f>ROUND(VLOOKUP(INT(A200/1000),Sheet3!$A$2:$B$7,2,FALSE)*Sheet3!F$3,0)</f>
        <v>3</v>
      </c>
      <c r="M200">
        <f>ROUND(VLOOKUP(INT(A200/1000),Sheet3!$A$2:$B$7,2,FALSE)*Sheet3!G$3,0)</f>
        <v>3</v>
      </c>
    </row>
    <row r="201" spans="1:13">
      <c r="A201">
        <f t="shared" si="170"/>
        <v>16506</v>
      </c>
      <c r="B201" t="str">
        <f t="shared" ref="B201:C201" si="223">B177</f>
        <v>伙伴55级时开启</v>
      </c>
      <c r="C201" t="str">
        <f t="shared" si="223"/>
        <v>进阶+6</v>
      </c>
      <c r="D201">
        <f t="shared" si="165"/>
        <v>1206</v>
      </c>
      <c r="E201">
        <f t="shared" si="165"/>
        <v>300000</v>
      </c>
      <c r="F201" t="str">
        <f t="shared" si="165"/>
        <v>14107|3600</v>
      </c>
      <c r="H201">
        <f t="shared" si="166"/>
        <v>2</v>
      </c>
      <c r="I201">
        <f>ROUND(VLOOKUP(INT(A201/1000),Sheet3!$A$2:$B$7,2,FALSE)*Sheet3!D$3,0)</f>
        <v>150</v>
      </c>
      <c r="K201">
        <f>ROUND(VLOOKUP(INT(A201/1000),Sheet3!$A$2:$B$7,2,FALSE)*Sheet3!E$3,0)</f>
        <v>5</v>
      </c>
      <c r="L201">
        <f>ROUND(VLOOKUP(INT(A201/1000),Sheet3!$A$2:$B$7,2,FALSE)*Sheet3!F$3,0)</f>
        <v>3</v>
      </c>
      <c r="M201">
        <f>ROUND(VLOOKUP(INT(A201/1000),Sheet3!$A$2:$B$7,2,FALSE)*Sheet3!G$3,0)</f>
        <v>3</v>
      </c>
    </row>
    <row r="202" spans="1:13">
      <c r="A202">
        <f t="shared" si="170"/>
        <v>16507</v>
      </c>
      <c r="B202" t="str">
        <f t="shared" ref="B202:C202" si="224">B178</f>
        <v>伙伴65级时开启</v>
      </c>
      <c r="C202" t="str">
        <f t="shared" si="224"/>
        <v>进阶+7</v>
      </c>
      <c r="D202">
        <f t="shared" si="165"/>
        <v>1207</v>
      </c>
      <c r="E202">
        <f t="shared" si="165"/>
        <v>500000</v>
      </c>
      <c r="F202" t="str">
        <f t="shared" si="165"/>
        <v>14107|6000</v>
      </c>
      <c r="H202">
        <f t="shared" si="166"/>
        <v>2</v>
      </c>
      <c r="I202">
        <f>ROUND(VLOOKUP(INT(A202/1000),Sheet3!$A$2:$B$7,2,FALSE)*Sheet3!D$3,0)</f>
        <v>150</v>
      </c>
      <c r="K202">
        <f>ROUND(VLOOKUP(INT(A202/1000),Sheet3!$A$2:$B$7,2,FALSE)*Sheet3!E$3,0)</f>
        <v>5</v>
      </c>
      <c r="L202">
        <f>ROUND(VLOOKUP(INT(A202/1000),Sheet3!$A$2:$B$7,2,FALSE)*Sheet3!F$3,0)</f>
        <v>3</v>
      </c>
      <c r="M202">
        <f>ROUND(VLOOKUP(INT(A202/1000),Sheet3!$A$2:$B$7,2,FALSE)*Sheet3!G$3,0)</f>
        <v>3</v>
      </c>
    </row>
    <row r="203" spans="1:13">
      <c r="A203">
        <f t="shared" si="170"/>
        <v>16508</v>
      </c>
      <c r="B203" t="str">
        <f t="shared" ref="B203:C203" si="225">B179</f>
        <v>伙伴75级时开启</v>
      </c>
      <c r="C203" t="str">
        <f t="shared" si="225"/>
        <v>进阶+8</v>
      </c>
      <c r="D203">
        <f t="shared" si="165"/>
        <v>1208</v>
      </c>
      <c r="E203">
        <f t="shared" si="165"/>
        <v>800000</v>
      </c>
      <c r="F203" t="str">
        <f t="shared" si="165"/>
        <v>14107|10000</v>
      </c>
      <c r="H203">
        <f t="shared" si="166"/>
        <v>4</v>
      </c>
      <c r="I203">
        <f>ROUND(VLOOKUP(INT(A203/1000),Sheet3!$A$2:$B$7,2,FALSE)*Sheet3!D$3,0)</f>
        <v>150</v>
      </c>
      <c r="K203">
        <f>ROUND(VLOOKUP(INT(A203/1000),Sheet3!$A$2:$B$7,2,FALSE)*Sheet3!E$3,0)</f>
        <v>5</v>
      </c>
      <c r="L203">
        <f>ROUND(VLOOKUP(INT(A203/1000),Sheet3!$A$2:$B$7,2,FALSE)*Sheet3!F$3,0)</f>
        <v>3</v>
      </c>
      <c r="M203">
        <f>ROUND(VLOOKUP(INT(A203/1000),Sheet3!$A$2:$B$7,2,FALSE)*Sheet3!G$3,0)</f>
        <v>3</v>
      </c>
    </row>
    <row r="204" spans="1:13">
      <c r="A204">
        <f t="shared" si="170"/>
        <v>16509</v>
      </c>
      <c r="B204" t="str">
        <f t="shared" ref="B204:C204" si="226">B180</f>
        <v>伙伴85级时开启</v>
      </c>
      <c r="C204" t="str">
        <f t="shared" si="226"/>
        <v>进阶+9</v>
      </c>
      <c r="D204">
        <f t="shared" si="165"/>
        <v>1209</v>
      </c>
      <c r="E204">
        <f t="shared" si="165"/>
        <v>1200000</v>
      </c>
      <c r="F204" t="str">
        <f t="shared" si="165"/>
        <v>14107|15000</v>
      </c>
      <c r="H204">
        <f t="shared" si="166"/>
        <v>6</v>
      </c>
      <c r="I204">
        <f>ROUND(VLOOKUP(INT(A204/1000),Sheet3!$A$2:$B$7,2,FALSE)*Sheet3!D$3,0)</f>
        <v>150</v>
      </c>
      <c r="K204">
        <f>ROUND(VLOOKUP(INT(A204/1000),Sheet3!$A$2:$B$7,2,FALSE)*Sheet3!E$3,0)</f>
        <v>5</v>
      </c>
      <c r="L204">
        <f>ROUND(VLOOKUP(INT(A204/1000),Sheet3!$A$2:$B$7,2,FALSE)*Sheet3!F$3,0)</f>
        <v>3</v>
      </c>
      <c r="M204">
        <f>ROUND(VLOOKUP(INT(A204/1000),Sheet3!$A$2:$B$7,2,FALSE)*Sheet3!G$3,0)</f>
        <v>3</v>
      </c>
    </row>
    <row r="205" spans="1:13">
      <c r="A205">
        <f t="shared" si="170"/>
        <v>16510</v>
      </c>
      <c r="B205" t="str">
        <f t="shared" ref="B205:C205" si="227">B181</f>
        <v>伙伴95级时开启</v>
      </c>
      <c r="C205" t="str">
        <f t="shared" si="227"/>
        <v>进阶+10</v>
      </c>
      <c r="D205">
        <f t="shared" si="165"/>
        <v>1210</v>
      </c>
      <c r="E205">
        <f t="shared" si="165"/>
        <v>1600000</v>
      </c>
      <c r="F205" t="str">
        <f t="shared" si="165"/>
        <v>14107|20000</v>
      </c>
      <c r="H205">
        <f t="shared" si="166"/>
        <v>8</v>
      </c>
      <c r="I205">
        <f>ROUND(VLOOKUP(INT(A205/1000),Sheet3!$A$2:$B$7,2,FALSE)*Sheet3!D$3,0)</f>
        <v>150</v>
      </c>
      <c r="K205">
        <f>ROUND(VLOOKUP(INT(A205/1000),Sheet3!$A$2:$B$7,2,FALSE)*Sheet3!E$3,0)</f>
        <v>5</v>
      </c>
      <c r="L205">
        <f>ROUND(VLOOKUP(INT(A205/1000),Sheet3!$A$2:$B$7,2,FALSE)*Sheet3!F$3,0)</f>
        <v>3</v>
      </c>
      <c r="M205">
        <f>ROUND(VLOOKUP(INT(A205/1000),Sheet3!$A$2:$B$7,2,FALSE)*Sheet3!G$3,0)</f>
        <v>3</v>
      </c>
    </row>
    <row r="206" spans="1:13">
      <c r="A206">
        <f t="shared" si="170"/>
        <v>16511</v>
      </c>
      <c r="B206" t="str">
        <f t="shared" ref="B206:C206" si="228">B182</f>
        <v>伙伴105级时开启</v>
      </c>
      <c r="C206" t="str">
        <f t="shared" si="228"/>
        <v>进阶+11</v>
      </c>
      <c r="D206">
        <f t="shared" si="165"/>
        <v>1211</v>
      </c>
      <c r="E206">
        <f t="shared" si="165"/>
        <v>2000000</v>
      </c>
      <c r="F206" t="str">
        <f t="shared" si="165"/>
        <v>14107|24000</v>
      </c>
      <c r="H206">
        <f t="shared" si="166"/>
        <v>10</v>
      </c>
      <c r="I206">
        <f>ROUND(VLOOKUP(INT(A206/1000),Sheet3!$A$2:$B$7,2,FALSE)*Sheet3!D$3,0)</f>
        <v>150</v>
      </c>
      <c r="K206">
        <f>ROUND(VLOOKUP(INT(A206/1000),Sheet3!$A$2:$B$7,2,FALSE)*Sheet3!E$3,0)</f>
        <v>5</v>
      </c>
      <c r="L206">
        <f>ROUND(VLOOKUP(INT(A206/1000),Sheet3!$A$2:$B$7,2,FALSE)*Sheet3!F$3,0)</f>
        <v>3</v>
      </c>
      <c r="M206">
        <f>ROUND(VLOOKUP(INT(A206/1000),Sheet3!$A$2:$B$7,2,FALSE)*Sheet3!G$3,0)</f>
        <v>3</v>
      </c>
    </row>
    <row r="207" spans="1:13">
      <c r="A207">
        <f t="shared" si="170"/>
        <v>16512</v>
      </c>
      <c r="B207" t="str">
        <f t="shared" ref="B207:C207" si="229">B183</f>
        <v>伙伴115级时开启</v>
      </c>
      <c r="C207" t="str">
        <f t="shared" si="229"/>
        <v>进阶+12</v>
      </c>
      <c r="D207">
        <f t="shared" si="165"/>
        <v>1212</v>
      </c>
      <c r="E207">
        <f t="shared" si="165"/>
        <v>2400000</v>
      </c>
      <c r="F207" t="str">
        <f t="shared" si="165"/>
        <v>14107|28000</v>
      </c>
      <c r="H207">
        <f t="shared" si="166"/>
        <v>12</v>
      </c>
      <c r="I207">
        <f>ROUND(VLOOKUP(INT(A207/1000),Sheet3!$A$2:$B$7,2,FALSE)*Sheet3!D$3,0)</f>
        <v>150</v>
      </c>
      <c r="K207">
        <f>ROUND(VLOOKUP(INT(A207/1000),Sheet3!$A$2:$B$7,2,FALSE)*Sheet3!E$3,0)</f>
        <v>5</v>
      </c>
      <c r="L207">
        <f>ROUND(VLOOKUP(INT(A207/1000),Sheet3!$A$2:$B$7,2,FALSE)*Sheet3!F$3,0)</f>
        <v>3</v>
      </c>
      <c r="M207">
        <f>ROUND(VLOOKUP(INT(A207/1000),Sheet3!$A$2:$B$7,2,FALSE)*Sheet3!G$3,0)</f>
        <v>3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8"/>
  <sheetViews>
    <sheetView workbookViewId="0">
      <selection activeCell="J9" sqref="J9"/>
    </sheetView>
  </sheetViews>
  <sheetFormatPr defaultRowHeight="13.5"/>
  <sheetData>
    <row r="1" spans="1:7" ht="16.5">
      <c r="A1" s="15" t="s">
        <v>78</v>
      </c>
      <c r="B1" s="15" t="s">
        <v>79</v>
      </c>
      <c r="D1" s="16" t="s">
        <v>80</v>
      </c>
      <c r="E1" s="16" t="s">
        <v>81</v>
      </c>
      <c r="F1" s="16" t="s">
        <v>82</v>
      </c>
      <c r="G1" s="16" t="s">
        <v>83</v>
      </c>
    </row>
    <row r="2" spans="1:7" ht="16.5">
      <c r="A2" s="15">
        <v>20</v>
      </c>
      <c r="B2" s="15">
        <v>1.2</v>
      </c>
      <c r="D2" s="16">
        <v>600</v>
      </c>
      <c r="E2" s="16">
        <v>20</v>
      </c>
      <c r="F2" s="16">
        <v>10</v>
      </c>
      <c r="G2" s="16">
        <v>10</v>
      </c>
    </row>
    <row r="3" spans="1:7">
      <c r="A3" s="15">
        <v>16</v>
      </c>
      <c r="B3" s="15">
        <v>1</v>
      </c>
      <c r="D3">
        <f>D2*0.25</f>
        <v>150</v>
      </c>
      <c r="E3">
        <f t="shared" ref="E3:G3" si="0">E2*0.25</f>
        <v>5</v>
      </c>
      <c r="F3">
        <f t="shared" si="0"/>
        <v>2.5</v>
      </c>
      <c r="G3">
        <f t="shared" si="0"/>
        <v>2.5</v>
      </c>
    </row>
    <row r="4" spans="1:7">
      <c r="A4" s="15">
        <v>13</v>
      </c>
      <c r="B4" s="15">
        <v>0.9</v>
      </c>
    </row>
    <row r="5" spans="1:7">
      <c r="A5" s="15">
        <v>11</v>
      </c>
      <c r="B5" s="15">
        <v>0.8</v>
      </c>
    </row>
    <row r="6" spans="1:7">
      <c r="A6" s="15">
        <v>6</v>
      </c>
      <c r="B6" s="15">
        <v>0.7</v>
      </c>
    </row>
    <row r="7" spans="1:7">
      <c r="A7" s="15">
        <v>2</v>
      </c>
      <c r="B7" s="15">
        <v>0.6</v>
      </c>
    </row>
    <row r="8" spans="1:7">
      <c r="A8" s="15">
        <v>0</v>
      </c>
      <c r="B8" s="15">
        <v>0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G67"/>
  <sheetViews>
    <sheetView topLeftCell="A2" workbookViewId="0">
      <selection activeCell="F19" sqref="F19"/>
    </sheetView>
  </sheetViews>
  <sheetFormatPr defaultRowHeight="13.5"/>
  <sheetData>
    <row r="1" spans="1:59">
      <c r="C1" t="s">
        <v>147</v>
      </c>
      <c r="L1" t="s">
        <v>135</v>
      </c>
      <c r="P1" t="s">
        <v>136</v>
      </c>
      <c r="T1" t="s">
        <v>137</v>
      </c>
      <c r="X1" t="s">
        <v>138</v>
      </c>
      <c r="AB1" t="s">
        <v>139</v>
      </c>
      <c r="AF1" t="s">
        <v>140</v>
      </c>
      <c r="AJ1" t="s">
        <v>141</v>
      </c>
      <c r="AN1" t="s">
        <v>142</v>
      </c>
      <c r="AR1" t="s">
        <v>143</v>
      </c>
      <c r="AV1" t="s">
        <v>144</v>
      </c>
      <c r="AZ1" t="s">
        <v>145</v>
      </c>
      <c r="BD1" t="s">
        <v>146</v>
      </c>
    </row>
    <row r="2" spans="1:59">
      <c r="C2" t="s">
        <v>80</v>
      </c>
      <c r="D2" s="41" t="s">
        <v>148</v>
      </c>
      <c r="E2" t="s">
        <v>81</v>
      </c>
      <c r="F2" s="41" t="s">
        <v>149</v>
      </c>
      <c r="G2" t="s">
        <v>82</v>
      </c>
      <c r="H2" s="41" t="s">
        <v>150</v>
      </c>
      <c r="I2" t="s">
        <v>83</v>
      </c>
      <c r="J2" s="41" t="s">
        <v>151</v>
      </c>
      <c r="L2" t="s">
        <v>80</v>
      </c>
      <c r="M2" t="s">
        <v>81</v>
      </c>
      <c r="N2" t="s">
        <v>82</v>
      </c>
      <c r="O2" t="s">
        <v>83</v>
      </c>
      <c r="P2" t="s">
        <v>80</v>
      </c>
      <c r="Q2" t="s">
        <v>81</v>
      </c>
      <c r="R2" t="s">
        <v>82</v>
      </c>
      <c r="S2" t="s">
        <v>83</v>
      </c>
      <c r="T2" t="s">
        <v>80</v>
      </c>
      <c r="U2" t="s">
        <v>81</v>
      </c>
      <c r="V2" t="s">
        <v>82</v>
      </c>
      <c r="W2" t="s">
        <v>83</v>
      </c>
      <c r="X2" t="s">
        <v>80</v>
      </c>
      <c r="Y2" t="s">
        <v>81</v>
      </c>
      <c r="Z2" t="s">
        <v>82</v>
      </c>
      <c r="AA2" t="s">
        <v>83</v>
      </c>
      <c r="AB2" t="s">
        <v>80</v>
      </c>
      <c r="AC2" t="s">
        <v>81</v>
      </c>
      <c r="AD2" t="s">
        <v>82</v>
      </c>
      <c r="AE2" t="s">
        <v>83</v>
      </c>
      <c r="AF2" t="s">
        <v>80</v>
      </c>
      <c r="AG2" t="s">
        <v>81</v>
      </c>
      <c r="AH2" t="s">
        <v>82</v>
      </c>
      <c r="AI2" t="s">
        <v>83</v>
      </c>
      <c r="AJ2" t="s">
        <v>80</v>
      </c>
      <c r="AK2" t="s">
        <v>81</v>
      </c>
      <c r="AL2" t="s">
        <v>82</v>
      </c>
      <c r="AM2" t="s">
        <v>83</v>
      </c>
      <c r="AN2" t="s">
        <v>80</v>
      </c>
      <c r="AO2" t="s">
        <v>81</v>
      </c>
      <c r="AP2" t="s">
        <v>82</v>
      </c>
      <c r="AQ2" t="s">
        <v>83</v>
      </c>
      <c r="AR2" t="s">
        <v>80</v>
      </c>
      <c r="AS2" t="s">
        <v>81</v>
      </c>
      <c r="AT2" t="s">
        <v>82</v>
      </c>
      <c r="AU2" t="s">
        <v>83</v>
      </c>
      <c r="AV2" t="s">
        <v>80</v>
      </c>
      <c r="AW2" t="s">
        <v>81</v>
      </c>
      <c r="AX2" t="s">
        <v>82</v>
      </c>
      <c r="AY2" t="s">
        <v>83</v>
      </c>
      <c r="AZ2" t="s">
        <v>80</v>
      </c>
      <c r="BA2" t="s">
        <v>81</v>
      </c>
      <c r="BB2" t="s">
        <v>82</v>
      </c>
      <c r="BC2" t="s">
        <v>83</v>
      </c>
      <c r="BD2" t="s">
        <v>80</v>
      </c>
      <c r="BE2" t="s">
        <v>81</v>
      </c>
      <c r="BF2" t="s">
        <v>82</v>
      </c>
      <c r="BG2" t="s">
        <v>83</v>
      </c>
    </row>
    <row r="3" spans="1:59">
      <c r="B3" s="39">
        <v>16</v>
      </c>
      <c r="C3">
        <v>800</v>
      </c>
      <c r="E3">
        <v>20</v>
      </c>
      <c r="G3">
        <v>10</v>
      </c>
      <c r="I3">
        <v>10</v>
      </c>
      <c r="K3" s="39">
        <v>16</v>
      </c>
    </row>
    <row r="4" spans="1:59">
      <c r="B4" s="40">
        <v>13</v>
      </c>
      <c r="C4">
        <v>720</v>
      </c>
      <c r="E4">
        <v>18</v>
      </c>
      <c r="G4">
        <v>9</v>
      </c>
      <c r="I4">
        <v>9</v>
      </c>
      <c r="K4" s="40">
        <v>13</v>
      </c>
    </row>
    <row r="5" spans="1:59">
      <c r="B5" s="40">
        <v>11</v>
      </c>
      <c r="C5">
        <v>640</v>
      </c>
      <c r="E5">
        <v>16</v>
      </c>
      <c r="G5">
        <v>8</v>
      </c>
      <c r="I5">
        <v>8</v>
      </c>
      <c r="K5" s="40">
        <v>11</v>
      </c>
    </row>
    <row r="6" spans="1:59">
      <c r="B6" s="40">
        <v>6</v>
      </c>
      <c r="C6">
        <v>560</v>
      </c>
      <c r="E6">
        <v>14</v>
      </c>
      <c r="G6">
        <v>7</v>
      </c>
      <c r="I6">
        <v>7</v>
      </c>
      <c r="K6" s="40">
        <v>6</v>
      </c>
    </row>
    <row r="7" spans="1:59">
      <c r="B7" s="40">
        <v>2</v>
      </c>
      <c r="C7">
        <v>480</v>
      </c>
      <c r="E7">
        <v>12</v>
      </c>
      <c r="G7">
        <v>6</v>
      </c>
      <c r="I7">
        <v>6</v>
      </c>
      <c r="K7" s="40">
        <v>2</v>
      </c>
    </row>
    <row r="8" spans="1:59">
      <c r="A8">
        <v>1</v>
      </c>
      <c r="B8">
        <v>5001</v>
      </c>
      <c r="C8">
        <v>1000</v>
      </c>
      <c r="D8">
        <v>200</v>
      </c>
      <c r="E8">
        <v>25</v>
      </c>
      <c r="F8">
        <v>5</v>
      </c>
      <c r="G8">
        <v>13</v>
      </c>
      <c r="H8">
        <v>3</v>
      </c>
      <c r="I8">
        <v>13</v>
      </c>
      <c r="J8">
        <v>3</v>
      </c>
    </row>
    <row r="9" spans="1:59">
      <c r="A9">
        <v>1</v>
      </c>
      <c r="B9">
        <v>4001</v>
      </c>
      <c r="C9">
        <v>900</v>
      </c>
      <c r="D9">
        <v>180</v>
      </c>
      <c r="E9">
        <v>23</v>
      </c>
      <c r="F9">
        <v>5</v>
      </c>
      <c r="G9">
        <v>11</v>
      </c>
      <c r="H9">
        <v>2</v>
      </c>
      <c r="I9">
        <v>11</v>
      </c>
      <c r="J9">
        <v>2</v>
      </c>
    </row>
    <row r="10" spans="1:59">
      <c r="A10">
        <v>1</v>
      </c>
      <c r="B10">
        <v>3001</v>
      </c>
      <c r="C10">
        <v>800</v>
      </c>
      <c r="D10">
        <v>160</v>
      </c>
      <c r="E10">
        <v>20</v>
      </c>
      <c r="F10">
        <v>4</v>
      </c>
      <c r="G10">
        <v>10</v>
      </c>
      <c r="H10">
        <v>2</v>
      </c>
      <c r="I10">
        <v>10</v>
      </c>
      <c r="J10">
        <v>2</v>
      </c>
    </row>
    <row r="11" spans="1:59">
      <c r="A11">
        <v>1</v>
      </c>
      <c r="B11">
        <v>2001</v>
      </c>
      <c r="C11">
        <v>700</v>
      </c>
      <c r="D11">
        <v>140</v>
      </c>
      <c r="E11">
        <v>18</v>
      </c>
      <c r="F11">
        <v>4</v>
      </c>
      <c r="G11">
        <v>9</v>
      </c>
      <c r="H11">
        <v>2</v>
      </c>
      <c r="I11">
        <v>9</v>
      </c>
      <c r="J11">
        <v>2</v>
      </c>
    </row>
    <row r="12" spans="1:59">
      <c r="A12">
        <v>1</v>
      </c>
      <c r="B12">
        <v>1001</v>
      </c>
      <c r="C12">
        <v>600</v>
      </c>
      <c r="D12">
        <v>120</v>
      </c>
      <c r="E12">
        <v>15</v>
      </c>
      <c r="F12">
        <v>3</v>
      </c>
      <c r="G12">
        <v>8</v>
      </c>
      <c r="H12">
        <v>2</v>
      </c>
      <c r="I12">
        <v>8</v>
      </c>
      <c r="J12">
        <v>2</v>
      </c>
    </row>
    <row r="13" spans="1:59">
      <c r="A13">
        <v>2</v>
      </c>
      <c r="B13">
        <f>B8+1</f>
        <v>5002</v>
      </c>
      <c r="C13">
        <v>1200</v>
      </c>
      <c r="D13">
        <v>400</v>
      </c>
      <c r="E13">
        <v>30</v>
      </c>
      <c r="F13">
        <v>10</v>
      </c>
      <c r="G13">
        <v>15</v>
      </c>
      <c r="H13">
        <v>5</v>
      </c>
      <c r="I13">
        <v>15</v>
      </c>
      <c r="J13">
        <v>5</v>
      </c>
    </row>
    <row r="14" spans="1:59">
      <c r="A14">
        <v>2</v>
      </c>
      <c r="B14">
        <f t="shared" ref="B14:B67" si="0">B9+1</f>
        <v>4002</v>
      </c>
      <c r="C14">
        <v>1080</v>
      </c>
      <c r="D14">
        <v>360</v>
      </c>
      <c r="E14">
        <v>27</v>
      </c>
      <c r="F14">
        <v>9</v>
      </c>
      <c r="G14">
        <v>14</v>
      </c>
      <c r="H14">
        <v>5</v>
      </c>
      <c r="I14">
        <v>14</v>
      </c>
      <c r="J14">
        <v>5</v>
      </c>
    </row>
    <row r="15" spans="1:59">
      <c r="A15">
        <v>2</v>
      </c>
      <c r="B15">
        <f t="shared" si="0"/>
        <v>3002</v>
      </c>
      <c r="C15">
        <v>960</v>
      </c>
      <c r="D15">
        <v>320</v>
      </c>
      <c r="E15">
        <v>24</v>
      </c>
      <c r="F15">
        <v>8</v>
      </c>
      <c r="G15">
        <v>12</v>
      </c>
      <c r="H15">
        <v>4</v>
      </c>
      <c r="I15">
        <v>12</v>
      </c>
      <c r="J15">
        <v>4</v>
      </c>
    </row>
    <row r="16" spans="1:59">
      <c r="A16">
        <v>2</v>
      </c>
      <c r="B16">
        <f t="shared" si="0"/>
        <v>2002</v>
      </c>
      <c r="C16">
        <v>840</v>
      </c>
      <c r="D16">
        <v>280</v>
      </c>
      <c r="E16">
        <v>21</v>
      </c>
      <c r="F16">
        <v>7</v>
      </c>
      <c r="G16">
        <v>11</v>
      </c>
      <c r="H16">
        <v>4</v>
      </c>
      <c r="I16">
        <v>11</v>
      </c>
      <c r="J16">
        <v>4</v>
      </c>
    </row>
    <row r="17" spans="1:10">
      <c r="A17">
        <v>2</v>
      </c>
      <c r="B17">
        <f t="shared" si="0"/>
        <v>1002</v>
      </c>
      <c r="C17">
        <v>720</v>
      </c>
      <c r="D17">
        <v>240</v>
      </c>
      <c r="E17">
        <v>18</v>
      </c>
      <c r="F17">
        <v>6</v>
      </c>
      <c r="G17">
        <v>9</v>
      </c>
      <c r="H17">
        <v>3</v>
      </c>
      <c r="I17">
        <v>9</v>
      </c>
      <c r="J17">
        <v>3</v>
      </c>
    </row>
    <row r="18" spans="1:10">
      <c r="A18">
        <v>3</v>
      </c>
      <c r="B18">
        <f t="shared" si="0"/>
        <v>5003</v>
      </c>
      <c r="C18">
        <v>1400</v>
      </c>
      <c r="D18">
        <v>600</v>
      </c>
      <c r="E18">
        <v>35</v>
      </c>
      <c r="F18">
        <v>15</v>
      </c>
      <c r="G18">
        <v>18</v>
      </c>
      <c r="H18">
        <v>8</v>
      </c>
      <c r="I18">
        <v>18</v>
      </c>
      <c r="J18">
        <v>8</v>
      </c>
    </row>
    <row r="19" spans="1:10">
      <c r="A19">
        <v>3</v>
      </c>
      <c r="B19">
        <f t="shared" si="0"/>
        <v>4003</v>
      </c>
      <c r="C19">
        <v>1260</v>
      </c>
      <c r="D19">
        <v>540</v>
      </c>
      <c r="E19">
        <v>32</v>
      </c>
      <c r="F19">
        <v>14</v>
      </c>
      <c r="G19">
        <v>16</v>
      </c>
      <c r="H19">
        <v>7</v>
      </c>
      <c r="I19">
        <v>16</v>
      </c>
      <c r="J19">
        <v>7</v>
      </c>
    </row>
    <row r="20" spans="1:10">
      <c r="A20">
        <v>3</v>
      </c>
      <c r="B20">
        <f t="shared" si="0"/>
        <v>3003</v>
      </c>
      <c r="C20">
        <v>1120</v>
      </c>
      <c r="D20">
        <v>480</v>
      </c>
      <c r="E20">
        <v>28</v>
      </c>
      <c r="F20">
        <v>12</v>
      </c>
      <c r="G20">
        <v>14</v>
      </c>
      <c r="H20">
        <v>6</v>
      </c>
      <c r="I20">
        <v>14</v>
      </c>
      <c r="J20">
        <v>6</v>
      </c>
    </row>
    <row r="21" spans="1:10">
      <c r="A21">
        <v>3</v>
      </c>
      <c r="B21">
        <f t="shared" si="0"/>
        <v>2003</v>
      </c>
      <c r="C21">
        <v>980</v>
      </c>
      <c r="D21">
        <v>420</v>
      </c>
      <c r="E21">
        <v>25</v>
      </c>
      <c r="F21">
        <v>11</v>
      </c>
      <c r="G21">
        <v>12</v>
      </c>
      <c r="H21">
        <v>5</v>
      </c>
      <c r="I21">
        <v>12</v>
      </c>
      <c r="J21">
        <v>5</v>
      </c>
    </row>
    <row r="22" spans="1:10">
      <c r="A22">
        <v>3</v>
      </c>
      <c r="B22">
        <f t="shared" si="0"/>
        <v>1003</v>
      </c>
      <c r="C22">
        <v>840</v>
      </c>
      <c r="D22">
        <v>360</v>
      </c>
      <c r="E22">
        <v>21</v>
      </c>
      <c r="F22">
        <v>9</v>
      </c>
      <c r="G22">
        <v>11</v>
      </c>
      <c r="H22">
        <v>5</v>
      </c>
      <c r="I22">
        <v>11</v>
      </c>
      <c r="J22">
        <v>5</v>
      </c>
    </row>
    <row r="23" spans="1:10">
      <c r="A23">
        <v>4</v>
      </c>
      <c r="B23">
        <f t="shared" si="0"/>
        <v>5004</v>
      </c>
      <c r="C23">
        <v>1600</v>
      </c>
      <c r="D23">
        <v>800</v>
      </c>
      <c r="E23">
        <v>40</v>
      </c>
      <c r="F23">
        <v>20</v>
      </c>
      <c r="G23">
        <v>20</v>
      </c>
      <c r="H23">
        <v>10</v>
      </c>
      <c r="I23">
        <v>20</v>
      </c>
      <c r="J23">
        <v>10</v>
      </c>
    </row>
    <row r="24" spans="1:10">
      <c r="A24">
        <v>4</v>
      </c>
      <c r="B24">
        <f t="shared" si="0"/>
        <v>4004</v>
      </c>
      <c r="C24">
        <v>1440</v>
      </c>
      <c r="D24">
        <v>720</v>
      </c>
      <c r="E24">
        <v>36</v>
      </c>
      <c r="F24">
        <v>18</v>
      </c>
      <c r="G24">
        <v>18</v>
      </c>
      <c r="H24">
        <v>9</v>
      </c>
      <c r="I24">
        <v>18</v>
      </c>
      <c r="J24">
        <v>9</v>
      </c>
    </row>
    <row r="25" spans="1:10">
      <c r="A25">
        <v>4</v>
      </c>
      <c r="B25">
        <f t="shared" si="0"/>
        <v>3004</v>
      </c>
      <c r="C25">
        <v>1280</v>
      </c>
      <c r="D25">
        <v>640</v>
      </c>
      <c r="E25">
        <v>32</v>
      </c>
      <c r="F25">
        <v>16</v>
      </c>
      <c r="G25">
        <v>16</v>
      </c>
      <c r="H25">
        <v>8</v>
      </c>
      <c r="I25">
        <v>16</v>
      </c>
      <c r="J25">
        <v>8</v>
      </c>
    </row>
    <row r="26" spans="1:10">
      <c r="A26">
        <v>4</v>
      </c>
      <c r="B26">
        <f t="shared" si="0"/>
        <v>2004</v>
      </c>
      <c r="C26">
        <v>1120</v>
      </c>
      <c r="D26">
        <v>560</v>
      </c>
      <c r="E26">
        <v>28</v>
      </c>
      <c r="F26">
        <v>14</v>
      </c>
      <c r="G26">
        <v>14</v>
      </c>
      <c r="H26">
        <v>7</v>
      </c>
      <c r="I26">
        <v>14</v>
      </c>
      <c r="J26">
        <v>7</v>
      </c>
    </row>
    <row r="27" spans="1:10">
      <c r="A27">
        <v>4</v>
      </c>
      <c r="B27">
        <f t="shared" si="0"/>
        <v>1004</v>
      </c>
      <c r="C27">
        <v>960</v>
      </c>
      <c r="D27">
        <v>480</v>
      </c>
      <c r="E27">
        <v>24</v>
      </c>
      <c r="F27">
        <v>12</v>
      </c>
      <c r="G27">
        <v>12</v>
      </c>
      <c r="H27">
        <v>6</v>
      </c>
      <c r="I27">
        <v>12</v>
      </c>
      <c r="J27">
        <v>6</v>
      </c>
    </row>
    <row r="28" spans="1:10">
      <c r="A28">
        <v>5</v>
      </c>
      <c r="B28">
        <f t="shared" si="0"/>
        <v>5005</v>
      </c>
      <c r="C28">
        <v>1800</v>
      </c>
      <c r="D28">
        <v>1000</v>
      </c>
      <c r="E28">
        <v>45</v>
      </c>
      <c r="F28">
        <v>25</v>
      </c>
      <c r="G28">
        <v>23</v>
      </c>
      <c r="H28">
        <v>13</v>
      </c>
      <c r="I28">
        <v>23</v>
      </c>
      <c r="J28">
        <v>13</v>
      </c>
    </row>
    <row r="29" spans="1:10">
      <c r="A29">
        <v>5</v>
      </c>
      <c r="B29">
        <f t="shared" si="0"/>
        <v>4005</v>
      </c>
      <c r="C29">
        <v>1620</v>
      </c>
      <c r="D29">
        <v>900</v>
      </c>
      <c r="E29">
        <v>41</v>
      </c>
      <c r="F29">
        <v>23</v>
      </c>
      <c r="G29">
        <v>20</v>
      </c>
      <c r="H29">
        <v>11</v>
      </c>
      <c r="I29">
        <v>20</v>
      </c>
      <c r="J29">
        <v>11</v>
      </c>
    </row>
    <row r="30" spans="1:10">
      <c r="A30">
        <v>5</v>
      </c>
      <c r="B30">
        <f t="shared" si="0"/>
        <v>3005</v>
      </c>
      <c r="C30">
        <v>1440</v>
      </c>
      <c r="D30">
        <v>800</v>
      </c>
      <c r="E30">
        <v>36</v>
      </c>
      <c r="F30">
        <v>20</v>
      </c>
      <c r="G30">
        <v>18</v>
      </c>
      <c r="H30">
        <v>10</v>
      </c>
      <c r="I30">
        <v>18</v>
      </c>
      <c r="J30">
        <v>10</v>
      </c>
    </row>
    <row r="31" spans="1:10">
      <c r="A31">
        <v>5</v>
      </c>
      <c r="B31">
        <f t="shared" si="0"/>
        <v>2005</v>
      </c>
      <c r="C31">
        <v>1260</v>
      </c>
      <c r="D31">
        <v>700</v>
      </c>
      <c r="E31">
        <v>32</v>
      </c>
      <c r="F31">
        <v>18</v>
      </c>
      <c r="G31">
        <v>16</v>
      </c>
      <c r="H31">
        <v>9</v>
      </c>
      <c r="I31">
        <v>16</v>
      </c>
      <c r="J31">
        <v>9</v>
      </c>
    </row>
    <row r="32" spans="1:10">
      <c r="A32">
        <v>5</v>
      </c>
      <c r="B32">
        <f t="shared" si="0"/>
        <v>1005</v>
      </c>
      <c r="C32">
        <v>1080</v>
      </c>
      <c r="D32">
        <v>600</v>
      </c>
      <c r="E32">
        <v>27</v>
      </c>
      <c r="F32">
        <v>15</v>
      </c>
      <c r="G32">
        <v>14</v>
      </c>
      <c r="H32">
        <v>8</v>
      </c>
      <c r="I32">
        <v>14</v>
      </c>
      <c r="J32">
        <v>8</v>
      </c>
    </row>
    <row r="33" spans="1:10">
      <c r="A33">
        <v>6</v>
      </c>
      <c r="B33">
        <f t="shared" si="0"/>
        <v>5006</v>
      </c>
      <c r="C33">
        <v>2000</v>
      </c>
      <c r="D33">
        <v>1200</v>
      </c>
      <c r="E33">
        <v>50</v>
      </c>
      <c r="F33">
        <v>30</v>
      </c>
      <c r="G33">
        <v>25</v>
      </c>
      <c r="H33">
        <v>15</v>
      </c>
      <c r="I33">
        <v>25</v>
      </c>
      <c r="J33">
        <v>15</v>
      </c>
    </row>
    <row r="34" spans="1:10">
      <c r="A34">
        <v>6</v>
      </c>
      <c r="B34">
        <f t="shared" si="0"/>
        <v>4006</v>
      </c>
      <c r="C34">
        <v>1800</v>
      </c>
      <c r="D34">
        <v>1080</v>
      </c>
      <c r="E34">
        <v>45</v>
      </c>
      <c r="F34">
        <v>27</v>
      </c>
      <c r="G34">
        <v>23</v>
      </c>
      <c r="H34">
        <v>14</v>
      </c>
      <c r="I34">
        <v>23</v>
      </c>
      <c r="J34">
        <v>14</v>
      </c>
    </row>
    <row r="35" spans="1:10">
      <c r="A35">
        <v>6</v>
      </c>
      <c r="B35">
        <f t="shared" si="0"/>
        <v>3006</v>
      </c>
      <c r="C35">
        <v>1600</v>
      </c>
      <c r="D35">
        <v>960</v>
      </c>
      <c r="E35">
        <v>40</v>
      </c>
      <c r="F35">
        <v>24</v>
      </c>
      <c r="G35">
        <v>20</v>
      </c>
      <c r="H35">
        <v>12</v>
      </c>
      <c r="I35">
        <v>20</v>
      </c>
      <c r="J35">
        <v>12</v>
      </c>
    </row>
    <row r="36" spans="1:10">
      <c r="A36">
        <v>6</v>
      </c>
      <c r="B36">
        <f t="shared" si="0"/>
        <v>2006</v>
      </c>
      <c r="C36">
        <v>1400</v>
      </c>
      <c r="D36">
        <v>840</v>
      </c>
      <c r="E36">
        <v>35</v>
      </c>
      <c r="F36">
        <v>21</v>
      </c>
      <c r="G36">
        <v>18</v>
      </c>
      <c r="H36">
        <v>11</v>
      </c>
      <c r="I36">
        <v>18</v>
      </c>
      <c r="J36">
        <v>11</v>
      </c>
    </row>
    <row r="37" spans="1:10">
      <c r="A37">
        <v>6</v>
      </c>
      <c r="B37">
        <f t="shared" si="0"/>
        <v>1006</v>
      </c>
      <c r="C37">
        <v>1200</v>
      </c>
      <c r="D37">
        <v>720</v>
      </c>
      <c r="E37">
        <v>30</v>
      </c>
      <c r="F37">
        <v>18</v>
      </c>
      <c r="G37">
        <v>15</v>
      </c>
      <c r="H37">
        <v>9</v>
      </c>
      <c r="I37">
        <v>15</v>
      </c>
      <c r="J37">
        <v>9</v>
      </c>
    </row>
    <row r="38" spans="1:10">
      <c r="A38">
        <v>7</v>
      </c>
      <c r="B38">
        <f t="shared" si="0"/>
        <v>5007</v>
      </c>
      <c r="C38">
        <v>2200</v>
      </c>
      <c r="D38">
        <v>1400</v>
      </c>
      <c r="E38">
        <v>55</v>
      </c>
      <c r="F38">
        <v>35</v>
      </c>
      <c r="G38">
        <v>28</v>
      </c>
      <c r="H38">
        <v>18</v>
      </c>
      <c r="I38">
        <v>28</v>
      </c>
      <c r="J38">
        <v>18</v>
      </c>
    </row>
    <row r="39" spans="1:10">
      <c r="A39">
        <v>7</v>
      </c>
      <c r="B39">
        <f t="shared" si="0"/>
        <v>4007</v>
      </c>
      <c r="C39">
        <v>1980</v>
      </c>
      <c r="D39">
        <v>1260</v>
      </c>
      <c r="E39">
        <v>50</v>
      </c>
      <c r="F39">
        <v>32</v>
      </c>
      <c r="G39">
        <v>25</v>
      </c>
      <c r="H39">
        <v>16</v>
      </c>
      <c r="I39">
        <v>25</v>
      </c>
      <c r="J39">
        <v>16</v>
      </c>
    </row>
    <row r="40" spans="1:10">
      <c r="A40">
        <v>7</v>
      </c>
      <c r="B40">
        <f t="shared" si="0"/>
        <v>3007</v>
      </c>
      <c r="C40">
        <v>1760</v>
      </c>
      <c r="D40">
        <v>1120</v>
      </c>
      <c r="E40">
        <v>44</v>
      </c>
      <c r="F40">
        <v>28</v>
      </c>
      <c r="G40">
        <v>22</v>
      </c>
      <c r="H40">
        <v>14</v>
      </c>
      <c r="I40">
        <v>22</v>
      </c>
      <c r="J40">
        <v>14</v>
      </c>
    </row>
    <row r="41" spans="1:10">
      <c r="A41">
        <v>7</v>
      </c>
      <c r="B41">
        <f t="shared" si="0"/>
        <v>2007</v>
      </c>
      <c r="C41">
        <v>1540</v>
      </c>
      <c r="D41">
        <v>980</v>
      </c>
      <c r="E41">
        <v>39</v>
      </c>
      <c r="F41">
        <v>25</v>
      </c>
      <c r="G41">
        <v>19</v>
      </c>
      <c r="H41">
        <v>12</v>
      </c>
      <c r="I41">
        <v>19</v>
      </c>
      <c r="J41">
        <v>12</v>
      </c>
    </row>
    <row r="42" spans="1:10">
      <c r="A42">
        <v>7</v>
      </c>
      <c r="B42">
        <f t="shared" si="0"/>
        <v>1007</v>
      </c>
      <c r="C42">
        <v>1320</v>
      </c>
      <c r="D42">
        <v>840</v>
      </c>
      <c r="E42">
        <v>33</v>
      </c>
      <c r="F42">
        <v>21</v>
      </c>
      <c r="G42">
        <v>17</v>
      </c>
      <c r="H42">
        <v>11</v>
      </c>
      <c r="I42">
        <v>17</v>
      </c>
      <c r="J42">
        <v>11</v>
      </c>
    </row>
    <row r="43" spans="1:10">
      <c r="A43">
        <v>8</v>
      </c>
      <c r="B43">
        <f t="shared" si="0"/>
        <v>5008</v>
      </c>
      <c r="C43">
        <v>2400</v>
      </c>
      <c r="D43">
        <v>1600</v>
      </c>
      <c r="E43">
        <v>60</v>
      </c>
      <c r="F43">
        <v>40</v>
      </c>
      <c r="G43">
        <v>30</v>
      </c>
      <c r="H43">
        <v>20</v>
      </c>
      <c r="I43">
        <v>30</v>
      </c>
      <c r="J43">
        <v>20</v>
      </c>
    </row>
    <row r="44" spans="1:10">
      <c r="A44">
        <v>8</v>
      </c>
      <c r="B44">
        <f t="shared" si="0"/>
        <v>4008</v>
      </c>
      <c r="C44">
        <v>2160</v>
      </c>
      <c r="D44">
        <v>1440</v>
      </c>
      <c r="E44">
        <v>54</v>
      </c>
      <c r="F44">
        <v>36</v>
      </c>
      <c r="G44">
        <v>27</v>
      </c>
      <c r="H44">
        <v>18</v>
      </c>
      <c r="I44">
        <v>27</v>
      </c>
      <c r="J44">
        <v>18</v>
      </c>
    </row>
    <row r="45" spans="1:10">
      <c r="A45">
        <v>8</v>
      </c>
      <c r="B45">
        <f t="shared" si="0"/>
        <v>3008</v>
      </c>
      <c r="C45">
        <v>1920</v>
      </c>
      <c r="D45">
        <v>1280</v>
      </c>
      <c r="E45">
        <v>48</v>
      </c>
      <c r="F45">
        <v>32</v>
      </c>
      <c r="G45">
        <v>24</v>
      </c>
      <c r="H45">
        <v>16</v>
      </c>
      <c r="I45">
        <v>24</v>
      </c>
      <c r="J45">
        <v>16</v>
      </c>
    </row>
    <row r="46" spans="1:10">
      <c r="A46">
        <v>8</v>
      </c>
      <c r="B46">
        <f t="shared" si="0"/>
        <v>2008</v>
      </c>
      <c r="C46">
        <v>1680</v>
      </c>
      <c r="D46">
        <v>1120</v>
      </c>
      <c r="E46">
        <v>42</v>
      </c>
      <c r="F46">
        <v>28</v>
      </c>
      <c r="G46">
        <v>21</v>
      </c>
      <c r="H46">
        <v>14</v>
      </c>
      <c r="I46">
        <v>21</v>
      </c>
      <c r="J46">
        <v>14</v>
      </c>
    </row>
    <row r="47" spans="1:10">
      <c r="A47">
        <v>8</v>
      </c>
      <c r="B47">
        <f t="shared" si="0"/>
        <v>1008</v>
      </c>
      <c r="C47">
        <v>1440</v>
      </c>
      <c r="D47">
        <v>960</v>
      </c>
      <c r="E47">
        <v>36</v>
      </c>
      <c r="F47">
        <v>24</v>
      </c>
      <c r="G47">
        <v>18</v>
      </c>
      <c r="H47">
        <v>12</v>
      </c>
      <c r="I47">
        <v>18</v>
      </c>
      <c r="J47">
        <v>12</v>
      </c>
    </row>
    <row r="48" spans="1:10">
      <c r="A48">
        <v>9</v>
      </c>
      <c r="B48">
        <f t="shared" si="0"/>
        <v>5009</v>
      </c>
      <c r="C48">
        <v>2600</v>
      </c>
      <c r="D48">
        <v>1800</v>
      </c>
      <c r="E48">
        <v>65</v>
      </c>
      <c r="F48">
        <v>45</v>
      </c>
      <c r="G48">
        <v>33</v>
      </c>
      <c r="H48">
        <v>23</v>
      </c>
      <c r="I48">
        <v>33</v>
      </c>
      <c r="J48">
        <v>23</v>
      </c>
    </row>
    <row r="49" spans="1:10">
      <c r="A49">
        <v>9</v>
      </c>
      <c r="B49">
        <f t="shared" si="0"/>
        <v>4009</v>
      </c>
      <c r="C49">
        <v>2340</v>
      </c>
      <c r="D49">
        <v>1620</v>
      </c>
      <c r="E49">
        <v>59</v>
      </c>
      <c r="F49">
        <v>41</v>
      </c>
      <c r="G49">
        <v>29</v>
      </c>
      <c r="H49">
        <v>20</v>
      </c>
      <c r="I49">
        <v>29</v>
      </c>
      <c r="J49">
        <v>20</v>
      </c>
    </row>
    <row r="50" spans="1:10">
      <c r="A50">
        <v>9</v>
      </c>
      <c r="B50">
        <f t="shared" si="0"/>
        <v>3009</v>
      </c>
      <c r="C50">
        <v>2080</v>
      </c>
      <c r="D50">
        <v>1440</v>
      </c>
      <c r="E50">
        <v>52</v>
      </c>
      <c r="F50">
        <v>36</v>
      </c>
      <c r="G50">
        <v>26</v>
      </c>
      <c r="H50">
        <v>18</v>
      </c>
      <c r="I50">
        <v>26</v>
      </c>
      <c r="J50">
        <v>18</v>
      </c>
    </row>
    <row r="51" spans="1:10">
      <c r="A51">
        <v>9</v>
      </c>
      <c r="B51">
        <f t="shared" si="0"/>
        <v>2009</v>
      </c>
      <c r="C51">
        <v>1820</v>
      </c>
      <c r="D51">
        <v>1260</v>
      </c>
      <c r="E51">
        <v>46</v>
      </c>
      <c r="F51">
        <v>32</v>
      </c>
      <c r="G51">
        <v>23</v>
      </c>
      <c r="H51">
        <v>16</v>
      </c>
      <c r="I51">
        <v>23</v>
      </c>
      <c r="J51">
        <v>16</v>
      </c>
    </row>
    <row r="52" spans="1:10">
      <c r="A52">
        <v>9</v>
      </c>
      <c r="B52">
        <f t="shared" si="0"/>
        <v>1009</v>
      </c>
      <c r="C52">
        <v>1560</v>
      </c>
      <c r="D52">
        <v>1080</v>
      </c>
      <c r="E52">
        <v>39</v>
      </c>
      <c r="F52">
        <v>27</v>
      </c>
      <c r="G52">
        <v>20</v>
      </c>
      <c r="H52">
        <v>14</v>
      </c>
      <c r="I52">
        <v>20</v>
      </c>
      <c r="J52">
        <v>14</v>
      </c>
    </row>
    <row r="53" spans="1:10">
      <c r="A53">
        <v>10</v>
      </c>
      <c r="B53">
        <f t="shared" si="0"/>
        <v>5010</v>
      </c>
      <c r="C53">
        <v>2800</v>
      </c>
      <c r="D53">
        <v>2000</v>
      </c>
      <c r="E53">
        <v>70</v>
      </c>
      <c r="F53">
        <v>50</v>
      </c>
      <c r="G53">
        <v>35</v>
      </c>
      <c r="H53">
        <v>25</v>
      </c>
      <c r="I53">
        <v>35</v>
      </c>
      <c r="J53">
        <v>25</v>
      </c>
    </row>
    <row r="54" spans="1:10">
      <c r="A54">
        <v>10</v>
      </c>
      <c r="B54">
        <f t="shared" si="0"/>
        <v>4010</v>
      </c>
      <c r="C54">
        <v>2520</v>
      </c>
      <c r="D54">
        <v>1800</v>
      </c>
      <c r="E54">
        <v>63</v>
      </c>
      <c r="F54">
        <v>45</v>
      </c>
      <c r="G54">
        <v>32</v>
      </c>
      <c r="H54">
        <v>23</v>
      </c>
      <c r="I54">
        <v>32</v>
      </c>
      <c r="J54">
        <v>23</v>
      </c>
    </row>
    <row r="55" spans="1:10">
      <c r="A55">
        <v>10</v>
      </c>
      <c r="B55">
        <f t="shared" si="0"/>
        <v>3010</v>
      </c>
      <c r="C55">
        <v>2240</v>
      </c>
      <c r="D55">
        <v>1600</v>
      </c>
      <c r="E55">
        <v>56</v>
      </c>
      <c r="F55">
        <v>40</v>
      </c>
      <c r="G55">
        <v>28</v>
      </c>
      <c r="H55">
        <v>20</v>
      </c>
      <c r="I55">
        <v>28</v>
      </c>
      <c r="J55">
        <v>20</v>
      </c>
    </row>
    <row r="56" spans="1:10">
      <c r="A56">
        <v>10</v>
      </c>
      <c r="B56">
        <f t="shared" si="0"/>
        <v>2010</v>
      </c>
      <c r="C56">
        <v>1960</v>
      </c>
      <c r="D56">
        <v>1400</v>
      </c>
      <c r="E56">
        <v>49</v>
      </c>
      <c r="F56">
        <v>35</v>
      </c>
      <c r="G56">
        <v>25</v>
      </c>
      <c r="H56">
        <v>18</v>
      </c>
      <c r="I56">
        <v>25</v>
      </c>
      <c r="J56">
        <v>18</v>
      </c>
    </row>
    <row r="57" spans="1:10">
      <c r="A57">
        <v>10</v>
      </c>
      <c r="B57">
        <f t="shared" si="0"/>
        <v>1010</v>
      </c>
      <c r="C57">
        <v>1680</v>
      </c>
      <c r="D57">
        <v>1200</v>
      </c>
      <c r="E57">
        <v>42</v>
      </c>
      <c r="F57">
        <v>30</v>
      </c>
      <c r="G57">
        <v>21</v>
      </c>
      <c r="H57">
        <v>15</v>
      </c>
      <c r="I57">
        <v>21</v>
      </c>
      <c r="J57">
        <v>15</v>
      </c>
    </row>
    <row r="58" spans="1:10">
      <c r="A58">
        <v>11</v>
      </c>
      <c r="B58">
        <f t="shared" si="0"/>
        <v>5011</v>
      </c>
      <c r="C58">
        <v>3000</v>
      </c>
      <c r="D58">
        <v>2200</v>
      </c>
      <c r="E58">
        <v>75</v>
      </c>
      <c r="F58">
        <v>55</v>
      </c>
      <c r="G58">
        <v>38</v>
      </c>
      <c r="H58">
        <v>28</v>
      </c>
      <c r="I58">
        <v>38</v>
      </c>
      <c r="J58">
        <v>28</v>
      </c>
    </row>
    <row r="59" spans="1:10">
      <c r="A59">
        <v>11</v>
      </c>
      <c r="B59">
        <f t="shared" si="0"/>
        <v>4011</v>
      </c>
      <c r="C59">
        <v>2700</v>
      </c>
      <c r="D59">
        <v>1980</v>
      </c>
      <c r="E59">
        <v>68</v>
      </c>
      <c r="F59">
        <v>50</v>
      </c>
      <c r="G59">
        <v>34</v>
      </c>
      <c r="H59">
        <v>25</v>
      </c>
      <c r="I59">
        <v>34</v>
      </c>
      <c r="J59">
        <v>25</v>
      </c>
    </row>
    <row r="60" spans="1:10">
      <c r="A60">
        <v>11</v>
      </c>
      <c r="B60">
        <f t="shared" si="0"/>
        <v>3011</v>
      </c>
      <c r="C60">
        <v>2400</v>
      </c>
      <c r="D60">
        <v>1760</v>
      </c>
      <c r="E60">
        <v>60</v>
      </c>
      <c r="F60">
        <v>44</v>
      </c>
      <c r="G60">
        <v>30</v>
      </c>
      <c r="H60">
        <v>22</v>
      </c>
      <c r="I60">
        <v>30</v>
      </c>
      <c r="J60">
        <v>22</v>
      </c>
    </row>
    <row r="61" spans="1:10">
      <c r="A61">
        <v>11</v>
      </c>
      <c r="B61">
        <f t="shared" si="0"/>
        <v>2011</v>
      </c>
      <c r="C61">
        <v>2100</v>
      </c>
      <c r="D61">
        <v>1540</v>
      </c>
      <c r="E61">
        <v>53</v>
      </c>
      <c r="F61">
        <v>39</v>
      </c>
      <c r="G61">
        <v>26</v>
      </c>
      <c r="H61">
        <v>19</v>
      </c>
      <c r="I61">
        <v>26</v>
      </c>
      <c r="J61">
        <v>19</v>
      </c>
    </row>
    <row r="62" spans="1:10">
      <c r="A62">
        <v>11</v>
      </c>
      <c r="B62">
        <f t="shared" si="0"/>
        <v>1011</v>
      </c>
      <c r="C62">
        <v>1800</v>
      </c>
      <c r="D62">
        <v>1320</v>
      </c>
      <c r="E62">
        <v>45</v>
      </c>
      <c r="F62">
        <v>33</v>
      </c>
      <c r="G62">
        <v>23</v>
      </c>
      <c r="H62">
        <v>17</v>
      </c>
      <c r="I62">
        <v>23</v>
      </c>
      <c r="J62">
        <v>17</v>
      </c>
    </row>
    <row r="63" spans="1:10">
      <c r="A63">
        <v>12</v>
      </c>
      <c r="B63">
        <f t="shared" si="0"/>
        <v>5012</v>
      </c>
      <c r="C63">
        <v>3200</v>
      </c>
      <c r="D63">
        <v>2400</v>
      </c>
      <c r="E63">
        <v>80</v>
      </c>
      <c r="F63">
        <v>60</v>
      </c>
      <c r="G63">
        <v>40</v>
      </c>
      <c r="H63">
        <v>30</v>
      </c>
      <c r="I63">
        <v>40</v>
      </c>
      <c r="J63">
        <v>30</v>
      </c>
    </row>
    <row r="64" spans="1:10">
      <c r="A64">
        <v>12</v>
      </c>
      <c r="B64">
        <f t="shared" si="0"/>
        <v>4012</v>
      </c>
      <c r="C64">
        <v>2880</v>
      </c>
      <c r="D64">
        <v>2160</v>
      </c>
      <c r="E64">
        <v>72</v>
      </c>
      <c r="F64">
        <v>54</v>
      </c>
      <c r="G64">
        <v>36</v>
      </c>
      <c r="H64">
        <v>27</v>
      </c>
      <c r="I64">
        <v>36</v>
      </c>
      <c r="J64">
        <v>27</v>
      </c>
    </row>
    <row r="65" spans="1:10">
      <c r="A65">
        <v>12</v>
      </c>
      <c r="B65">
        <f t="shared" si="0"/>
        <v>3012</v>
      </c>
      <c r="C65">
        <v>2560</v>
      </c>
      <c r="D65">
        <v>1920</v>
      </c>
      <c r="E65">
        <v>64</v>
      </c>
      <c r="F65">
        <v>48</v>
      </c>
      <c r="G65">
        <v>32</v>
      </c>
      <c r="H65">
        <v>24</v>
      </c>
      <c r="I65">
        <v>32</v>
      </c>
      <c r="J65">
        <v>24</v>
      </c>
    </row>
    <row r="66" spans="1:10">
      <c r="A66">
        <v>12</v>
      </c>
      <c r="B66">
        <f t="shared" si="0"/>
        <v>2012</v>
      </c>
      <c r="C66">
        <v>2240</v>
      </c>
      <c r="D66">
        <v>1680</v>
      </c>
      <c r="E66">
        <v>56</v>
      </c>
      <c r="F66">
        <v>42</v>
      </c>
      <c r="G66">
        <v>28</v>
      </c>
      <c r="H66">
        <v>21</v>
      </c>
      <c r="I66">
        <v>28</v>
      </c>
      <c r="J66">
        <v>21</v>
      </c>
    </row>
    <row r="67" spans="1:10">
      <c r="A67">
        <v>12</v>
      </c>
      <c r="B67">
        <f t="shared" si="0"/>
        <v>1012</v>
      </c>
      <c r="C67">
        <v>1920</v>
      </c>
      <c r="D67">
        <v>1440</v>
      </c>
      <c r="E67">
        <v>48</v>
      </c>
      <c r="F67">
        <v>36</v>
      </c>
      <c r="G67">
        <v>24</v>
      </c>
      <c r="H67">
        <v>18</v>
      </c>
      <c r="I67">
        <v>24</v>
      </c>
      <c r="J67">
        <v>18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AA288"/>
  <sheetViews>
    <sheetView topLeftCell="A248" zoomScale="70" zoomScaleNormal="70" workbookViewId="0">
      <selection activeCell="I4" sqref="I4:L288"/>
    </sheetView>
  </sheetViews>
  <sheetFormatPr defaultColWidth="12" defaultRowHeight="16.5"/>
  <cols>
    <col min="1" max="5" width="16.375" style="11" customWidth="1"/>
    <col min="6" max="6" width="39.625" style="11" bestFit="1" customWidth="1"/>
    <col min="7" max="7" width="14.875" style="11" bestFit="1" customWidth="1"/>
    <col min="8" max="8" width="12" style="46"/>
    <col min="9" max="17" width="12" style="11"/>
    <col min="18" max="18" width="18.625" style="21" customWidth="1"/>
    <col min="19" max="22" width="18.625" style="21" bestFit="1" customWidth="1"/>
    <col min="23" max="23" width="18.375" style="21" bestFit="1" customWidth="1"/>
    <col min="24" max="24" width="14.25" style="21" bestFit="1" customWidth="1"/>
    <col min="25" max="25" width="15" style="21" bestFit="1" customWidth="1"/>
    <col min="26" max="26" width="17.5" style="21" bestFit="1" customWidth="1"/>
    <col min="27" max="16384" width="12" style="4"/>
  </cols>
  <sheetData>
    <row r="1" spans="1:27" s="11" customFormat="1" ht="132" customHeight="1">
      <c r="A1" s="10" t="s">
        <v>152</v>
      </c>
      <c r="B1" s="10" t="s">
        <v>7</v>
      </c>
      <c r="C1" s="10" t="s">
        <v>50</v>
      </c>
      <c r="D1" s="10" t="s">
        <v>8</v>
      </c>
      <c r="E1" s="10" t="s">
        <v>9</v>
      </c>
      <c r="F1" s="10" t="s">
        <v>51</v>
      </c>
      <c r="G1" s="10" t="s">
        <v>30</v>
      </c>
      <c r="H1" s="42" t="s">
        <v>10</v>
      </c>
      <c r="I1" s="10" t="s">
        <v>67</v>
      </c>
      <c r="J1" s="10" t="s">
        <v>11</v>
      </c>
      <c r="K1" s="10" t="s">
        <v>12</v>
      </c>
      <c r="L1" s="10" t="s">
        <v>13</v>
      </c>
      <c r="M1" s="10" t="s">
        <v>14</v>
      </c>
      <c r="N1" s="10" t="s">
        <v>15</v>
      </c>
      <c r="O1" s="10" t="s">
        <v>16</v>
      </c>
      <c r="P1" s="10" t="s">
        <v>17</v>
      </c>
      <c r="Q1" s="10" t="s">
        <v>18</v>
      </c>
      <c r="R1" s="17" t="s">
        <v>10</v>
      </c>
      <c r="S1" s="17" t="s">
        <v>94</v>
      </c>
      <c r="T1" s="17" t="s">
        <v>95</v>
      </c>
      <c r="U1" s="17" t="s">
        <v>96</v>
      </c>
      <c r="V1" s="17" t="s">
        <v>97</v>
      </c>
      <c r="W1" s="33" t="s">
        <v>15</v>
      </c>
      <c r="X1" s="33" t="s">
        <v>14</v>
      </c>
      <c r="Y1" s="33" t="s">
        <v>16</v>
      </c>
      <c r="Z1" s="33" t="s">
        <v>17</v>
      </c>
    </row>
    <row r="2" spans="1:27" s="6" customFormat="1">
      <c r="A2" s="2" t="s">
        <v>19</v>
      </c>
      <c r="B2" s="2" t="s">
        <v>20</v>
      </c>
      <c r="C2" s="2" t="s">
        <v>77</v>
      </c>
      <c r="D2" s="2" t="s">
        <v>21</v>
      </c>
      <c r="E2" s="2" t="s">
        <v>22</v>
      </c>
      <c r="F2" s="3" t="s">
        <v>23</v>
      </c>
      <c r="G2" s="3" t="s">
        <v>24</v>
      </c>
      <c r="H2" s="43" t="s">
        <v>1</v>
      </c>
      <c r="I2" s="3" t="s">
        <v>92</v>
      </c>
      <c r="J2" s="3" t="s">
        <v>25</v>
      </c>
      <c r="K2" s="3" t="s">
        <v>2</v>
      </c>
      <c r="L2" s="3" t="s">
        <v>93</v>
      </c>
      <c r="M2" s="3" t="s">
        <v>3</v>
      </c>
      <c r="N2" s="3" t="s">
        <v>4</v>
      </c>
      <c r="O2" s="3" t="s">
        <v>5</v>
      </c>
      <c r="P2" s="3" t="s">
        <v>6</v>
      </c>
      <c r="Q2" s="3" t="s">
        <v>26</v>
      </c>
      <c r="R2" s="18" t="s">
        <v>120</v>
      </c>
      <c r="S2" s="18" t="s">
        <v>98</v>
      </c>
      <c r="T2" s="18" t="s">
        <v>99</v>
      </c>
      <c r="U2" s="18" t="s">
        <v>115</v>
      </c>
      <c r="V2" s="18" t="s">
        <v>100</v>
      </c>
      <c r="W2" s="18" t="s">
        <v>117</v>
      </c>
      <c r="X2" s="18" t="s">
        <v>116</v>
      </c>
      <c r="Y2" s="18" t="s">
        <v>118</v>
      </c>
      <c r="Z2" s="18" t="s">
        <v>119</v>
      </c>
    </row>
    <row r="3" spans="1:27" s="7" customFormat="1">
      <c r="A3" s="2"/>
      <c r="B3" s="2"/>
      <c r="C3" s="2"/>
      <c r="D3" s="2"/>
      <c r="E3" s="2"/>
      <c r="F3" s="1"/>
      <c r="G3" s="1"/>
      <c r="H3" s="44"/>
      <c r="I3" s="1"/>
      <c r="J3" s="1"/>
      <c r="K3" s="1"/>
      <c r="L3" s="1"/>
      <c r="M3" s="1"/>
      <c r="N3" s="1"/>
      <c r="O3" s="1"/>
      <c r="P3" s="1"/>
      <c r="Q3" s="1"/>
      <c r="R3" s="19"/>
      <c r="S3" s="19"/>
      <c r="T3" s="19"/>
      <c r="U3" s="19"/>
      <c r="V3" s="19"/>
      <c r="W3" s="19"/>
      <c r="X3" s="19"/>
      <c r="Y3" s="19"/>
      <c r="Z3" s="19"/>
    </row>
    <row r="4" spans="1:27" s="8" customFormat="1">
      <c r="A4" s="5">
        <v>101</v>
      </c>
      <c r="B4" s="5" t="s">
        <v>121</v>
      </c>
      <c r="C4" s="5" t="s">
        <v>33</v>
      </c>
      <c r="D4" s="5">
        <v>1201</v>
      </c>
      <c r="E4" s="5">
        <f t="shared" ref="E4:E12" si="0">E112</f>
        <v>100000</v>
      </c>
      <c r="F4" s="5" t="s">
        <v>112</v>
      </c>
      <c r="G4" s="5">
        <f>G112</f>
        <v>1</v>
      </c>
      <c r="H4" s="45">
        <v>0</v>
      </c>
      <c r="I4" s="37">
        <f>INDEX([1]角色基础!$AC$16:$CJ$45,MATCH($AA4,[1]角色基础!$J$16:$J$45,0),MATCH(I$2,[1]角色基础!$AC$12:$AF$12,0)+4*(INT(SUBSTITUTE(RIGHT($C4,2),"+",""))-1))</f>
        <v>156</v>
      </c>
      <c r="J4" s="9">
        <f>INDEX([1]角色基础!$AC$16:$CJ$45,MATCH($AA4,[1]角色基础!$J$16:$J$45,0),MATCH(J$2,[1]角色基础!$AC$12:$AF$12,0)+4*(INT(SUBSTITUTE(RIGHT($C4,2),"+",""))-1))</f>
        <v>6</v>
      </c>
      <c r="K4" s="9">
        <f>INDEX([1]角色基础!$AC$16:$CJ$45,MATCH($AA4,[1]角色基础!$J$16:$J$45,0),MATCH(K$2,[1]角色基础!$AC$12:$AF$12,0)+4*(INT(SUBSTITUTE(RIGHT($C4,2),"+",""))-1))</f>
        <v>3</v>
      </c>
      <c r="L4" s="9">
        <f>INDEX([1]角色基础!$AC$16:$CJ$45,MATCH($AA4,[1]角色基础!$J$16:$J$45,0),MATCH(L$2,[1]角色基础!$AC$12:$AF$12,0)+4*(INT(SUBSTITUTE(RIGHT($C4,2),"+",""))-1))</f>
        <v>3</v>
      </c>
      <c r="M4" s="5">
        <v>0</v>
      </c>
      <c r="N4" s="5">
        <v>0</v>
      </c>
      <c r="O4" s="5">
        <v>0</v>
      </c>
      <c r="P4" s="5">
        <v>0</v>
      </c>
      <c r="Q4" s="5">
        <v>1</v>
      </c>
      <c r="R4" s="20">
        <v>0</v>
      </c>
      <c r="S4" s="20" t="e">
        <f>INDEX([1]角色基础!$AC$16:$BX$45,MATCH($AA4,[1]角色基础!$J$16:$J$45,0),MATCH(S$2,[1]角色基础!$AC$12:$AF$12,0)+4*(INT(SUBSTITUTE(RIGHT($C4,2),"+",""))-1))</f>
        <v>#N/A</v>
      </c>
      <c r="T4" s="20" t="e">
        <f>INDEX([1]角色基础!$AC$16:$BX$45,MATCH($AA4,[1]角色基础!$J$16:$J$45,0),MATCH(T$2,[1]角色基础!$AC$12:$AF$12,0)+4*(INT(SUBSTITUTE(RIGHT($C4,2),"+",""))-1))</f>
        <v>#N/A</v>
      </c>
      <c r="U4" s="20" t="e">
        <f>INDEX([1]角色基础!$AC$16:$BX$45,MATCH($AA4,[1]角色基础!$J$16:$J$45,0),MATCH(U$2,[1]角色基础!$AC$12:$AF$12,0)+4*(INT(SUBSTITUTE(RIGHT($C4,2),"+",""))-1))</f>
        <v>#N/A</v>
      </c>
      <c r="V4" s="20" t="e">
        <f>INDEX([1]角色基础!$AC$16:$BX$45,MATCH($AA4,[1]角色基础!$J$16:$J$45,0),MATCH(V$2,[1]角色基础!$AC$12:$AF$12,0)+4*(INT(SUBSTITUTE(RIGHT($C4,2),"+",""))-1))</f>
        <v>#N/A</v>
      </c>
      <c r="W4" s="34">
        <v>0</v>
      </c>
      <c r="X4" s="34">
        <v>0</v>
      </c>
      <c r="Y4" s="34">
        <v>0</v>
      </c>
      <c r="Z4" s="34">
        <v>0</v>
      </c>
      <c r="AA4" s="8" t="s">
        <v>164</v>
      </c>
    </row>
    <row r="5" spans="1:27" s="8" customFormat="1">
      <c r="A5" s="5">
        <v>102</v>
      </c>
      <c r="B5" s="5" t="s">
        <v>41</v>
      </c>
      <c r="C5" s="5" t="s">
        <v>34</v>
      </c>
      <c r="D5" s="5">
        <v>1202</v>
      </c>
      <c r="E5" s="5">
        <f t="shared" si="0"/>
        <v>200000</v>
      </c>
      <c r="F5" s="5" t="s">
        <v>113</v>
      </c>
      <c r="G5" s="5">
        <v>0</v>
      </c>
      <c r="H5" s="45">
        <v>0</v>
      </c>
      <c r="I5" s="9">
        <f>INDEX([1]角色基础!$AC$16:$CJ$45,MATCH($AA5,[1]角色基础!$J$16:$J$45,0),MATCH(I$2,[1]角色基础!$AC$12:$AF$12,0)+4*(INT(SUBSTITUTE(RIGHT($C5,2),"+",""))-1))</f>
        <v>313</v>
      </c>
      <c r="J5" s="9">
        <f>INDEX([1]角色基础!$AC$16:$CJ$45,MATCH($AA5,[1]角色基础!$J$16:$J$45,0),MATCH(J$2,[1]角色基础!$AC$12:$AF$12,0)+4*(INT(SUBSTITUTE(RIGHT($C5,2),"+",""))-1))</f>
        <v>13</v>
      </c>
      <c r="K5" s="9">
        <f>INDEX([1]角色基础!$AC$16:$CJ$45,MATCH($AA5,[1]角色基础!$J$16:$J$45,0),MATCH(K$2,[1]角色基础!$AC$12:$AF$12,0)+4*(INT(SUBSTITUTE(RIGHT($C5,2),"+",""))-1))</f>
        <v>7</v>
      </c>
      <c r="L5" s="9">
        <f>INDEX([1]角色基础!$AC$16:$CJ$45,MATCH($AA5,[1]角色基础!$J$16:$J$45,0),MATCH(L$2,[1]角色基础!$AC$12:$AF$12,0)+4*(INT(SUBSTITUTE(RIGHT($C5,2),"+",""))-1))</f>
        <v>7</v>
      </c>
      <c r="M5" s="5">
        <v>0</v>
      </c>
      <c r="N5" s="5">
        <v>0</v>
      </c>
      <c r="O5" s="5">
        <v>0</v>
      </c>
      <c r="P5" s="5">
        <v>0</v>
      </c>
      <c r="Q5" s="5">
        <v>2</v>
      </c>
      <c r="R5" s="20">
        <v>0</v>
      </c>
      <c r="S5" s="20" t="e">
        <f>INDEX([1]角色基础!$AC$16:$BX$45,MATCH($AA5,[1]角色基础!$J$16:$J$45,0),MATCH(S$2,[1]角色基础!$AC$12:$AF$12,0)+4*(INT(SUBSTITUTE(RIGHT($C5,2),"+",""))-1))</f>
        <v>#N/A</v>
      </c>
      <c r="T5" s="20" t="e">
        <f>INDEX([1]角色基础!$AC$16:$BX$45,MATCH($AA5,[1]角色基础!$J$16:$J$45,0),MATCH(T$2,[1]角色基础!$AC$12:$AF$12,0)+4*(INT(SUBSTITUTE(RIGHT($C5,2),"+",""))-1))</f>
        <v>#N/A</v>
      </c>
      <c r="U5" s="20" t="e">
        <f>INDEX([1]角色基础!$AC$16:$BX$45,MATCH($AA5,[1]角色基础!$J$16:$J$45,0),MATCH(U$2,[1]角色基础!$AC$12:$AF$12,0)+4*(INT(SUBSTITUTE(RIGHT($C5,2),"+",""))-1))</f>
        <v>#N/A</v>
      </c>
      <c r="V5" s="20" t="e">
        <f>INDEX([1]角色基础!$AC$16:$BX$45,MATCH($AA5,[1]角色基础!$J$16:$J$45,0),MATCH(V$2,[1]角色基础!$AC$12:$AF$12,0)+4*(INT(SUBSTITUTE(RIGHT($C5,2),"+",""))-1))</f>
        <v>#N/A</v>
      </c>
      <c r="W5" s="34">
        <v>0</v>
      </c>
      <c r="X5" s="34">
        <v>0</v>
      </c>
      <c r="Y5" s="34">
        <v>0</v>
      </c>
      <c r="Z5" s="34">
        <v>0</v>
      </c>
      <c r="AA5" s="8" t="s">
        <v>164</v>
      </c>
    </row>
    <row r="6" spans="1:27" s="8" customFormat="1">
      <c r="A6" s="5">
        <v>103</v>
      </c>
      <c r="B6" s="5" t="s">
        <v>42</v>
      </c>
      <c r="C6" s="5" t="s">
        <v>35</v>
      </c>
      <c r="D6" s="5">
        <v>1203</v>
      </c>
      <c r="E6" s="5">
        <f t="shared" si="0"/>
        <v>300000</v>
      </c>
      <c r="F6" s="5" t="s">
        <v>29</v>
      </c>
      <c r="G6" s="5">
        <v>0</v>
      </c>
      <c r="H6" s="45">
        <v>0</v>
      </c>
      <c r="I6" s="9">
        <f>INDEX([1]角色基础!$AC$16:$CJ$45,MATCH($AA6,[1]角色基础!$J$16:$J$45,0),MATCH(I$2,[1]角色基础!$AC$12:$AF$12,0)+4*(INT(SUBSTITUTE(RIGHT($C6,2),"+",""))-1))</f>
        <v>469</v>
      </c>
      <c r="J6" s="9">
        <f>INDEX([1]角色基础!$AC$16:$CJ$45,MATCH($AA6,[1]角色基础!$J$16:$J$45,0),MATCH(J$2,[1]角色基础!$AC$12:$AF$12,0)+4*(INT(SUBSTITUTE(RIGHT($C6,2),"+",""))-1))</f>
        <v>19</v>
      </c>
      <c r="K6" s="9">
        <f>INDEX([1]角色基础!$AC$16:$CJ$45,MATCH($AA6,[1]角色基础!$J$16:$J$45,0),MATCH(K$2,[1]角色基础!$AC$12:$AF$12,0)+4*(INT(SUBSTITUTE(RIGHT($C6,2),"+",""))-1))</f>
        <v>10</v>
      </c>
      <c r="L6" s="9">
        <f>INDEX([1]角色基础!$AC$16:$CJ$45,MATCH($AA6,[1]角色基础!$J$16:$J$45,0),MATCH(L$2,[1]角色基础!$AC$12:$AF$12,0)+4*(INT(SUBSTITUTE(RIGHT($C6,2),"+",""))-1))</f>
        <v>10</v>
      </c>
      <c r="M6" s="5">
        <v>0</v>
      </c>
      <c r="N6" s="5">
        <v>0</v>
      </c>
      <c r="O6" s="5">
        <v>0</v>
      </c>
      <c r="P6" s="5">
        <v>0</v>
      </c>
      <c r="Q6" s="5">
        <v>3</v>
      </c>
      <c r="R6" s="20">
        <v>0</v>
      </c>
      <c r="S6" s="20" t="e">
        <f>INDEX([1]角色基础!$AC$16:$BX$45,MATCH($AA6,[1]角色基础!$J$16:$J$45,0),MATCH(S$2,[1]角色基础!$AC$12:$AF$12,0)+4*(INT(SUBSTITUTE(RIGHT($C6,2),"+",""))-1))</f>
        <v>#N/A</v>
      </c>
      <c r="T6" s="20" t="e">
        <f>INDEX([1]角色基础!$AC$16:$BX$45,MATCH($AA6,[1]角色基础!$J$16:$J$45,0),MATCH(T$2,[1]角色基础!$AC$12:$AF$12,0)+4*(INT(SUBSTITUTE(RIGHT($C6,2),"+",""))-1))</f>
        <v>#N/A</v>
      </c>
      <c r="U6" s="20" t="e">
        <f>INDEX([1]角色基础!$AC$16:$BX$45,MATCH($AA6,[1]角色基础!$J$16:$J$45,0),MATCH(U$2,[1]角色基础!$AC$12:$AF$12,0)+4*(INT(SUBSTITUTE(RIGHT($C6,2),"+",""))-1))</f>
        <v>#N/A</v>
      </c>
      <c r="V6" s="20" t="e">
        <f>INDEX([1]角色基础!$AC$16:$BX$45,MATCH($AA6,[1]角色基础!$J$16:$J$45,0),MATCH(V$2,[1]角色基础!$AC$12:$AF$12,0)+4*(INT(SUBSTITUTE(RIGHT($C6,2),"+",""))-1))</f>
        <v>#N/A</v>
      </c>
      <c r="W6" s="34">
        <v>0</v>
      </c>
      <c r="X6" s="34">
        <v>0</v>
      </c>
      <c r="Y6" s="34">
        <v>0</v>
      </c>
      <c r="Z6" s="34">
        <v>0</v>
      </c>
      <c r="AA6" s="8" t="s">
        <v>164</v>
      </c>
    </row>
    <row r="7" spans="1:27" s="8" customFormat="1">
      <c r="A7" s="5">
        <v>104</v>
      </c>
      <c r="B7" s="5" t="s">
        <v>43</v>
      </c>
      <c r="C7" s="5" t="s">
        <v>36</v>
      </c>
      <c r="D7" s="5">
        <v>1204</v>
      </c>
      <c r="E7" s="5">
        <f t="shared" si="0"/>
        <v>500000</v>
      </c>
      <c r="F7" s="5" t="s">
        <v>84</v>
      </c>
      <c r="G7" s="5">
        <v>0</v>
      </c>
      <c r="H7" s="45">
        <v>0</v>
      </c>
      <c r="I7" s="9">
        <f>INDEX([1]角色基础!$AC$16:$CJ$45,MATCH($AA7,[1]角色基础!$J$16:$J$45,0),MATCH(I$2,[1]角色基础!$AC$12:$AF$12,0)+4*(INT(SUBSTITUTE(RIGHT($C7,2),"+",""))-1))</f>
        <v>625</v>
      </c>
      <c r="J7" s="9">
        <f>INDEX([1]角色基础!$AC$16:$CJ$45,MATCH($AA7,[1]角色基础!$J$16:$J$45,0),MATCH(J$2,[1]角色基础!$AC$12:$AF$12,0)+4*(INT(SUBSTITUTE(RIGHT($C7,2),"+",""))-1))</f>
        <v>25</v>
      </c>
      <c r="K7" s="9">
        <f>INDEX([1]角色基础!$AC$16:$CJ$45,MATCH($AA7,[1]角色基础!$J$16:$J$45,0),MATCH(K$2,[1]角色基础!$AC$12:$AF$12,0)+4*(INT(SUBSTITUTE(RIGHT($C7,2),"+",""))-1))</f>
        <v>13</v>
      </c>
      <c r="L7" s="9">
        <f>INDEX([1]角色基础!$AC$16:$CJ$45,MATCH($AA7,[1]角色基础!$J$16:$J$45,0),MATCH(L$2,[1]角色基础!$AC$12:$AF$12,0)+4*(INT(SUBSTITUTE(RIGHT($C7,2),"+",""))-1))</f>
        <v>13</v>
      </c>
      <c r="M7" s="5">
        <v>0</v>
      </c>
      <c r="N7" s="5">
        <v>0</v>
      </c>
      <c r="O7" s="5">
        <v>0</v>
      </c>
      <c r="P7" s="5">
        <v>0</v>
      </c>
      <c r="Q7" s="5">
        <v>4</v>
      </c>
      <c r="R7" s="20">
        <v>0</v>
      </c>
      <c r="S7" s="20" t="e">
        <f>INDEX([1]角色基础!$AC$16:$BX$45,MATCH($AA7,[1]角色基础!$J$16:$J$45,0),MATCH(S$2,[1]角色基础!$AC$12:$AF$12,0)+4*(INT(SUBSTITUTE(RIGHT($C7,2),"+",""))-1))</f>
        <v>#N/A</v>
      </c>
      <c r="T7" s="20" t="e">
        <f>INDEX([1]角色基础!$AC$16:$BX$45,MATCH($AA7,[1]角色基础!$J$16:$J$45,0),MATCH(T$2,[1]角色基础!$AC$12:$AF$12,0)+4*(INT(SUBSTITUTE(RIGHT($C7,2),"+",""))-1))</f>
        <v>#N/A</v>
      </c>
      <c r="U7" s="20" t="e">
        <f>INDEX([1]角色基础!$AC$16:$BX$45,MATCH($AA7,[1]角色基础!$J$16:$J$45,0),MATCH(U$2,[1]角色基础!$AC$12:$AF$12,0)+4*(INT(SUBSTITUTE(RIGHT($C7,2),"+",""))-1))</f>
        <v>#N/A</v>
      </c>
      <c r="V7" s="20" t="e">
        <f>INDEX([1]角色基础!$AC$16:$BX$45,MATCH($AA7,[1]角色基础!$J$16:$J$45,0),MATCH(V$2,[1]角色基础!$AC$12:$AF$12,0)+4*(INT(SUBSTITUTE(RIGHT($C7,2),"+",""))-1))</f>
        <v>#N/A</v>
      </c>
      <c r="W7" s="34">
        <v>0</v>
      </c>
      <c r="X7" s="34">
        <v>0</v>
      </c>
      <c r="Y7" s="34">
        <v>0</v>
      </c>
      <c r="Z7" s="34">
        <v>0</v>
      </c>
      <c r="AA7" s="8" t="s">
        <v>164</v>
      </c>
    </row>
    <row r="8" spans="1:27" s="8" customFormat="1">
      <c r="A8" s="5">
        <v>105</v>
      </c>
      <c r="B8" s="5" t="s">
        <v>44</v>
      </c>
      <c r="C8" s="5" t="s">
        <v>37</v>
      </c>
      <c r="D8" s="5">
        <v>1205</v>
      </c>
      <c r="E8" s="5">
        <f t="shared" si="0"/>
        <v>800000</v>
      </c>
      <c r="F8" s="5" t="s">
        <v>85</v>
      </c>
      <c r="G8" s="5">
        <v>0</v>
      </c>
      <c r="H8" s="45">
        <v>0</v>
      </c>
      <c r="I8" s="9">
        <f>INDEX([1]角色基础!$AC$16:$CJ$45,MATCH($AA8,[1]角色基础!$J$16:$J$45,0),MATCH(I$2,[1]角色基础!$AC$12:$AF$12,0)+4*(INT(SUBSTITUTE(RIGHT($C8,2),"+",""))-1))</f>
        <v>781</v>
      </c>
      <c r="J8" s="9">
        <f>INDEX([1]角色基础!$AC$16:$CJ$45,MATCH($AA8,[1]角色基础!$J$16:$J$45,0),MATCH(J$2,[1]角色基础!$AC$12:$AF$12,0)+4*(INT(SUBSTITUTE(RIGHT($C8,2),"+",""))-1))</f>
        <v>31</v>
      </c>
      <c r="K8" s="9">
        <f>INDEX([1]角色基础!$AC$16:$CJ$45,MATCH($AA8,[1]角色基础!$J$16:$J$45,0),MATCH(K$2,[1]角色基础!$AC$12:$AF$12,0)+4*(INT(SUBSTITUTE(RIGHT($C8,2),"+",""))-1))</f>
        <v>16</v>
      </c>
      <c r="L8" s="9">
        <f>INDEX([1]角色基础!$AC$16:$CJ$45,MATCH($AA8,[1]角色基础!$J$16:$J$45,0),MATCH(L$2,[1]角色基础!$AC$12:$AF$12,0)+4*(INT(SUBSTITUTE(RIGHT($C8,2),"+",""))-1))</f>
        <v>16</v>
      </c>
      <c r="M8" s="5">
        <v>0</v>
      </c>
      <c r="N8" s="5">
        <v>0</v>
      </c>
      <c r="O8" s="5">
        <v>0</v>
      </c>
      <c r="P8" s="5">
        <v>0</v>
      </c>
      <c r="Q8" s="5">
        <v>5</v>
      </c>
      <c r="R8" s="20">
        <v>0</v>
      </c>
      <c r="S8" s="20" t="e">
        <f>INDEX([1]角色基础!$AC$16:$BX$45,MATCH($AA8,[1]角色基础!$J$16:$J$45,0),MATCH(S$2,[1]角色基础!$AC$12:$AF$12,0)+4*(INT(SUBSTITUTE(RIGHT($C8,2),"+",""))-1))</f>
        <v>#N/A</v>
      </c>
      <c r="T8" s="20" t="e">
        <f>INDEX([1]角色基础!$AC$16:$BX$45,MATCH($AA8,[1]角色基础!$J$16:$J$45,0),MATCH(T$2,[1]角色基础!$AC$12:$AF$12,0)+4*(INT(SUBSTITUTE(RIGHT($C8,2),"+",""))-1))</f>
        <v>#N/A</v>
      </c>
      <c r="U8" s="20" t="e">
        <f>INDEX([1]角色基础!$AC$16:$BX$45,MATCH($AA8,[1]角色基础!$J$16:$J$45,0),MATCH(U$2,[1]角色基础!$AC$12:$AF$12,0)+4*(INT(SUBSTITUTE(RIGHT($C8,2),"+",""))-1))</f>
        <v>#N/A</v>
      </c>
      <c r="V8" s="20" t="e">
        <f>INDEX([1]角色基础!$AC$16:$BX$45,MATCH($AA8,[1]角色基础!$J$16:$J$45,0),MATCH(V$2,[1]角色基础!$AC$12:$AF$12,0)+4*(INT(SUBSTITUTE(RIGHT($C8,2),"+",""))-1))</f>
        <v>#N/A</v>
      </c>
      <c r="W8" s="34">
        <v>0</v>
      </c>
      <c r="X8" s="34">
        <v>0</v>
      </c>
      <c r="Y8" s="34">
        <v>0</v>
      </c>
      <c r="Z8" s="34">
        <v>0</v>
      </c>
      <c r="AA8" s="8" t="s">
        <v>164</v>
      </c>
    </row>
    <row r="9" spans="1:27" s="8" customFormat="1">
      <c r="A9" s="5">
        <v>106</v>
      </c>
      <c r="B9" s="5" t="s">
        <v>45</v>
      </c>
      <c r="C9" s="5" t="s">
        <v>38</v>
      </c>
      <c r="D9" s="5">
        <v>1206</v>
      </c>
      <c r="E9" s="5">
        <f t="shared" si="0"/>
        <v>1200000</v>
      </c>
      <c r="F9" s="5" t="s">
        <v>86</v>
      </c>
      <c r="G9" s="5">
        <v>0</v>
      </c>
      <c r="H9" s="45">
        <v>0</v>
      </c>
      <c r="I9" s="9">
        <f>INDEX([1]角色基础!$AC$16:$CJ$45,MATCH($AA9,[1]角色基础!$J$16:$J$45,0),MATCH(I$2,[1]角色基础!$AC$12:$AF$12,0)+4*(INT(SUBSTITUTE(RIGHT($C9,2),"+",""))-1))</f>
        <v>938</v>
      </c>
      <c r="J9" s="9">
        <f>INDEX([1]角色基础!$AC$16:$CJ$45,MATCH($AA9,[1]角色基础!$J$16:$J$45,0),MATCH(J$2,[1]角色基础!$AC$12:$AF$12,0)+4*(INT(SUBSTITUTE(RIGHT($C9,2),"+",""))-1))</f>
        <v>38</v>
      </c>
      <c r="K9" s="9">
        <f>INDEX([1]角色基础!$AC$16:$CJ$45,MATCH($AA9,[1]角色基础!$J$16:$J$45,0),MATCH(K$2,[1]角色基础!$AC$12:$AF$12,0)+4*(INT(SUBSTITUTE(RIGHT($C9,2),"+",""))-1))</f>
        <v>20</v>
      </c>
      <c r="L9" s="9">
        <f>INDEX([1]角色基础!$AC$16:$CJ$45,MATCH($AA9,[1]角色基础!$J$16:$J$45,0),MATCH(L$2,[1]角色基础!$AC$12:$AF$12,0)+4*(INT(SUBSTITUTE(RIGHT($C9,2),"+",""))-1))</f>
        <v>20</v>
      </c>
      <c r="M9" s="5">
        <v>0</v>
      </c>
      <c r="N9" s="5">
        <v>0</v>
      </c>
      <c r="O9" s="5">
        <v>0</v>
      </c>
      <c r="P9" s="5">
        <v>0</v>
      </c>
      <c r="Q9" s="5">
        <v>6</v>
      </c>
      <c r="R9" s="20">
        <v>0</v>
      </c>
      <c r="S9" s="20" t="e">
        <f>INDEX([1]角色基础!$AC$16:$BX$45,MATCH($AA9,[1]角色基础!$J$16:$J$45,0),MATCH(S$2,[1]角色基础!$AC$12:$AF$12,0)+4*(INT(SUBSTITUTE(RIGHT($C9,2),"+",""))-1))</f>
        <v>#N/A</v>
      </c>
      <c r="T9" s="20" t="e">
        <f>INDEX([1]角色基础!$AC$16:$BX$45,MATCH($AA9,[1]角色基础!$J$16:$J$45,0),MATCH(T$2,[1]角色基础!$AC$12:$AF$12,0)+4*(INT(SUBSTITUTE(RIGHT($C9,2),"+",""))-1))</f>
        <v>#N/A</v>
      </c>
      <c r="U9" s="20" t="e">
        <f>INDEX([1]角色基础!$AC$16:$BX$45,MATCH($AA9,[1]角色基础!$J$16:$J$45,0),MATCH(U$2,[1]角色基础!$AC$12:$AF$12,0)+4*(INT(SUBSTITUTE(RIGHT($C9,2),"+",""))-1))</f>
        <v>#N/A</v>
      </c>
      <c r="V9" s="20" t="e">
        <f>INDEX([1]角色基础!$AC$16:$BX$45,MATCH($AA9,[1]角色基础!$J$16:$J$45,0),MATCH(V$2,[1]角色基础!$AC$12:$AF$12,0)+4*(INT(SUBSTITUTE(RIGHT($C9,2),"+",""))-1))</f>
        <v>#N/A</v>
      </c>
      <c r="W9" s="34">
        <v>0</v>
      </c>
      <c r="X9" s="34">
        <v>0</v>
      </c>
      <c r="Y9" s="34">
        <v>0</v>
      </c>
      <c r="Z9" s="34">
        <v>0</v>
      </c>
      <c r="AA9" s="8" t="s">
        <v>164</v>
      </c>
    </row>
    <row r="10" spans="1:27" s="8" customFormat="1">
      <c r="A10" s="5">
        <v>107</v>
      </c>
      <c r="B10" s="5" t="s">
        <v>46</v>
      </c>
      <c r="C10" s="5" t="s">
        <v>39</v>
      </c>
      <c r="D10" s="5">
        <v>1207</v>
      </c>
      <c r="E10" s="5">
        <f t="shared" si="0"/>
        <v>1600000</v>
      </c>
      <c r="F10" s="5" t="s">
        <v>87</v>
      </c>
      <c r="G10" s="5">
        <v>0</v>
      </c>
      <c r="H10" s="45">
        <v>0</v>
      </c>
      <c r="I10" s="9">
        <f>INDEX([1]角色基础!$AC$16:$CJ$45,MATCH($AA10,[1]角色基础!$J$16:$J$45,0),MATCH(I$2,[1]角色基础!$AC$12:$AF$12,0)+4*(INT(SUBSTITUTE(RIGHT($C10,2),"+",""))-1))</f>
        <v>1094</v>
      </c>
      <c r="J10" s="9">
        <f>INDEX([1]角色基础!$AC$16:$CJ$45,MATCH($AA10,[1]角色基础!$J$16:$J$45,0),MATCH(J$2,[1]角色基础!$AC$12:$AF$12,0)+4*(INT(SUBSTITUTE(RIGHT($C10,2),"+",""))-1))</f>
        <v>44</v>
      </c>
      <c r="K10" s="9">
        <f>INDEX([1]角色基础!$AC$16:$CJ$45,MATCH($AA10,[1]角色基础!$J$16:$J$45,0),MATCH(K$2,[1]角色基础!$AC$12:$AF$12,0)+4*(INT(SUBSTITUTE(RIGHT($C10,2),"+",""))-1))</f>
        <v>23</v>
      </c>
      <c r="L10" s="9">
        <f>INDEX([1]角色基础!$AC$16:$CJ$45,MATCH($AA10,[1]角色基础!$J$16:$J$45,0),MATCH(L$2,[1]角色基础!$AC$12:$AF$12,0)+4*(INT(SUBSTITUTE(RIGHT($C10,2),"+",""))-1))</f>
        <v>23</v>
      </c>
      <c r="M10" s="5">
        <v>0</v>
      </c>
      <c r="N10" s="5">
        <v>0</v>
      </c>
      <c r="O10" s="5">
        <v>0</v>
      </c>
      <c r="P10" s="5">
        <v>0</v>
      </c>
      <c r="Q10" s="5">
        <v>7</v>
      </c>
      <c r="R10" s="20">
        <v>0</v>
      </c>
      <c r="S10" s="20" t="e">
        <f>INDEX([1]角色基础!$AC$16:$BX$45,MATCH($AA10,[1]角色基础!$J$16:$J$45,0),MATCH(S$2,[1]角色基础!$AC$12:$AF$12,0)+4*(INT(SUBSTITUTE(RIGHT($C10,2),"+",""))-1))</f>
        <v>#N/A</v>
      </c>
      <c r="T10" s="20" t="e">
        <f>INDEX([1]角色基础!$AC$16:$BX$45,MATCH($AA10,[1]角色基础!$J$16:$J$45,0),MATCH(T$2,[1]角色基础!$AC$12:$AF$12,0)+4*(INT(SUBSTITUTE(RIGHT($C10,2),"+",""))-1))</f>
        <v>#N/A</v>
      </c>
      <c r="U10" s="20" t="e">
        <f>INDEX([1]角色基础!$AC$16:$BX$45,MATCH($AA10,[1]角色基础!$J$16:$J$45,0),MATCH(U$2,[1]角色基础!$AC$12:$AF$12,0)+4*(INT(SUBSTITUTE(RIGHT($C10,2),"+",""))-1))</f>
        <v>#N/A</v>
      </c>
      <c r="V10" s="20" t="e">
        <f>INDEX([1]角色基础!$AC$16:$BX$45,MATCH($AA10,[1]角色基础!$J$16:$J$45,0),MATCH(V$2,[1]角色基础!$AC$12:$AF$12,0)+4*(INT(SUBSTITUTE(RIGHT($C10,2),"+",""))-1))</f>
        <v>#N/A</v>
      </c>
      <c r="W10" s="34">
        <v>0</v>
      </c>
      <c r="X10" s="34">
        <v>0</v>
      </c>
      <c r="Y10" s="34">
        <v>0</v>
      </c>
      <c r="Z10" s="34">
        <v>0</v>
      </c>
      <c r="AA10" s="8" t="s">
        <v>164</v>
      </c>
    </row>
    <row r="11" spans="1:27" s="8" customFormat="1">
      <c r="A11" s="5">
        <v>108</v>
      </c>
      <c r="B11" s="5" t="s">
        <v>47</v>
      </c>
      <c r="C11" s="5" t="s">
        <v>40</v>
      </c>
      <c r="D11" s="5">
        <v>1208</v>
      </c>
      <c r="E11" s="5">
        <f t="shared" si="0"/>
        <v>2000000</v>
      </c>
      <c r="F11" s="5" t="s">
        <v>88</v>
      </c>
      <c r="G11" s="5">
        <v>0</v>
      </c>
      <c r="H11" s="45">
        <v>0</v>
      </c>
      <c r="I11" s="9">
        <f>INDEX([1]角色基础!$AC$16:$CJ$45,MATCH($AA11,[1]角色基础!$J$16:$J$45,0),MATCH(I$2,[1]角色基础!$AC$12:$AF$12,0)+4*(INT(SUBSTITUTE(RIGHT($C11,2),"+",""))-1))</f>
        <v>1250</v>
      </c>
      <c r="J11" s="9">
        <f>INDEX([1]角色基础!$AC$16:$CJ$45,MATCH($AA11,[1]角色基础!$J$16:$J$45,0),MATCH(J$2,[1]角色基础!$AC$12:$AF$12,0)+4*(INT(SUBSTITUTE(RIGHT($C11,2),"+",""))-1))</f>
        <v>50</v>
      </c>
      <c r="K11" s="9">
        <f>INDEX([1]角色基础!$AC$16:$CJ$45,MATCH($AA11,[1]角色基础!$J$16:$J$45,0),MATCH(K$2,[1]角色基础!$AC$12:$AF$12,0)+4*(INT(SUBSTITUTE(RIGHT($C11,2),"+",""))-1))</f>
        <v>26</v>
      </c>
      <c r="L11" s="9">
        <f>INDEX([1]角色基础!$AC$16:$CJ$45,MATCH($AA11,[1]角色基础!$J$16:$J$45,0),MATCH(L$2,[1]角色基础!$AC$12:$AF$12,0)+4*(INT(SUBSTITUTE(RIGHT($C11,2),"+",""))-1))</f>
        <v>26</v>
      </c>
      <c r="M11" s="5">
        <v>0</v>
      </c>
      <c r="N11" s="5">
        <v>0</v>
      </c>
      <c r="O11" s="5">
        <v>0</v>
      </c>
      <c r="P11" s="5">
        <v>0</v>
      </c>
      <c r="Q11" s="5">
        <v>8</v>
      </c>
      <c r="R11" s="20">
        <v>0</v>
      </c>
      <c r="S11" s="20" t="e">
        <f>INDEX([1]角色基础!$AC$16:$BX$45,MATCH($AA11,[1]角色基础!$J$16:$J$45,0),MATCH(S$2,[1]角色基础!$AC$12:$AF$12,0)+4*(INT(SUBSTITUTE(RIGHT($C11,2),"+",""))-1))</f>
        <v>#N/A</v>
      </c>
      <c r="T11" s="20" t="e">
        <f>INDEX([1]角色基础!$AC$16:$BX$45,MATCH($AA11,[1]角色基础!$J$16:$J$45,0),MATCH(T$2,[1]角色基础!$AC$12:$AF$12,0)+4*(INT(SUBSTITUTE(RIGHT($C11,2),"+",""))-1))</f>
        <v>#N/A</v>
      </c>
      <c r="U11" s="20" t="e">
        <f>INDEX([1]角色基础!$AC$16:$BX$45,MATCH($AA11,[1]角色基础!$J$16:$J$45,0),MATCH(U$2,[1]角色基础!$AC$12:$AF$12,0)+4*(INT(SUBSTITUTE(RIGHT($C11,2),"+",""))-1))</f>
        <v>#N/A</v>
      </c>
      <c r="V11" s="20" t="e">
        <f>INDEX([1]角色基础!$AC$16:$BX$45,MATCH($AA11,[1]角色基础!$J$16:$J$45,0),MATCH(V$2,[1]角色基础!$AC$12:$AF$12,0)+4*(INT(SUBSTITUTE(RIGHT($C11,2),"+",""))-1))</f>
        <v>#N/A</v>
      </c>
      <c r="W11" s="34">
        <v>0</v>
      </c>
      <c r="X11" s="34">
        <v>0</v>
      </c>
      <c r="Y11" s="34">
        <v>0</v>
      </c>
      <c r="Z11" s="34">
        <v>0</v>
      </c>
      <c r="AA11" s="8" t="s">
        <v>164</v>
      </c>
    </row>
    <row r="12" spans="1:27" s="8" customFormat="1">
      <c r="A12" s="5">
        <v>109</v>
      </c>
      <c r="B12" s="5" t="s">
        <v>69</v>
      </c>
      <c r="C12" s="5" t="s">
        <v>32</v>
      </c>
      <c r="D12" s="5">
        <v>1209</v>
      </c>
      <c r="E12" s="5">
        <f t="shared" si="0"/>
        <v>2500000</v>
      </c>
      <c r="F12" s="5" t="s">
        <v>89</v>
      </c>
      <c r="G12" s="5">
        <v>0</v>
      </c>
      <c r="H12" s="45">
        <v>0</v>
      </c>
      <c r="I12" s="9">
        <f>INDEX([1]角色基础!$AC$16:$CJ$45,MATCH($AA12,[1]角色基础!$J$16:$J$45,0),MATCH(I$2,[1]角色基础!$AC$12:$AF$12,0)+4*(INT(SUBSTITUTE(RIGHT($C12,2),"+",""))-1))</f>
        <v>1406</v>
      </c>
      <c r="J12" s="9">
        <f>INDEX([1]角色基础!$AC$16:$CJ$45,MATCH($AA12,[1]角色基础!$J$16:$J$45,0),MATCH(J$2,[1]角色基础!$AC$12:$AF$12,0)+4*(INT(SUBSTITUTE(RIGHT($C12,2),"+",""))-1))</f>
        <v>56</v>
      </c>
      <c r="K12" s="9">
        <f>INDEX([1]角色基础!$AC$16:$CJ$45,MATCH($AA12,[1]角色基础!$J$16:$J$45,0),MATCH(K$2,[1]角色基础!$AC$12:$AF$12,0)+4*(INT(SUBSTITUTE(RIGHT($C12,2),"+",""))-1))</f>
        <v>29</v>
      </c>
      <c r="L12" s="9">
        <f>INDEX([1]角色基础!$AC$16:$CJ$45,MATCH($AA12,[1]角色基础!$J$16:$J$45,0),MATCH(L$2,[1]角色基础!$AC$12:$AF$12,0)+4*(INT(SUBSTITUTE(RIGHT($C12,2),"+",""))-1))</f>
        <v>29</v>
      </c>
      <c r="M12" s="5">
        <v>0</v>
      </c>
      <c r="N12" s="5">
        <v>0</v>
      </c>
      <c r="O12" s="5">
        <v>0</v>
      </c>
      <c r="P12" s="5">
        <v>0</v>
      </c>
      <c r="Q12" s="5">
        <v>9</v>
      </c>
      <c r="R12" s="20">
        <v>0</v>
      </c>
      <c r="S12" s="20" t="e">
        <f>INDEX([1]角色基础!$AC$16:$BX$45,MATCH($AA12,[1]角色基础!$J$16:$J$45,0),MATCH(S$2,[1]角色基础!$AC$12:$AF$12,0)+4*(INT(SUBSTITUTE(RIGHT($C12,2),"+",""))-1))</f>
        <v>#N/A</v>
      </c>
      <c r="T12" s="20" t="e">
        <f>INDEX([1]角色基础!$AC$16:$BX$45,MATCH($AA12,[1]角色基础!$J$16:$J$45,0),MATCH(T$2,[1]角色基础!$AC$12:$AF$12,0)+4*(INT(SUBSTITUTE(RIGHT($C12,2),"+",""))-1))</f>
        <v>#N/A</v>
      </c>
      <c r="U12" s="20" t="e">
        <f>INDEX([1]角色基础!$AC$16:$BX$45,MATCH($AA12,[1]角色基础!$J$16:$J$45,0),MATCH(U$2,[1]角色基础!$AC$12:$AF$12,0)+4*(INT(SUBSTITUTE(RIGHT($C12,2),"+",""))-1))</f>
        <v>#N/A</v>
      </c>
      <c r="V12" s="20" t="e">
        <f>INDEX([1]角色基础!$AC$16:$BX$45,MATCH($AA12,[1]角色基础!$J$16:$J$45,0),MATCH(V$2,[1]角色基础!$AC$12:$AF$12,0)+4*(INT(SUBSTITUTE(RIGHT($C12,2),"+",""))-1))</f>
        <v>#N/A</v>
      </c>
      <c r="W12" s="34">
        <v>0</v>
      </c>
      <c r="X12" s="34">
        <v>0</v>
      </c>
      <c r="Y12" s="34">
        <v>0</v>
      </c>
      <c r="Z12" s="34">
        <v>0</v>
      </c>
      <c r="AA12" s="8" t="s">
        <v>164</v>
      </c>
    </row>
    <row r="13" spans="1:27" s="8" customFormat="1">
      <c r="A13" s="5">
        <v>110</v>
      </c>
      <c r="B13" s="5" t="s">
        <v>71</v>
      </c>
      <c r="C13" s="5" t="s">
        <v>31</v>
      </c>
      <c r="D13" s="5">
        <v>10095</v>
      </c>
      <c r="E13" s="5">
        <f t="shared" ref="E13:E15" si="1">E148</f>
        <v>2000000</v>
      </c>
      <c r="F13" s="5" t="s">
        <v>90</v>
      </c>
      <c r="G13" s="5">
        <v>0</v>
      </c>
      <c r="H13" s="45">
        <v>0</v>
      </c>
      <c r="I13" s="9">
        <f>INDEX([1]角色基础!$AC$16:$CJ$45,MATCH($AA13,[1]角色基础!$J$16:$J$45,0),MATCH(I$2,[1]角色基础!$AC$12:$AF$12,0)+4*(INT(SUBSTITUTE(RIGHT($C13,2),"+",""))-1))</f>
        <v>1563</v>
      </c>
      <c r="J13" s="9">
        <f>INDEX([1]角色基础!$AC$16:$CJ$45,MATCH($AA13,[1]角色基础!$J$16:$J$45,0),MATCH(J$2,[1]角色基础!$AC$12:$AF$12,0)+4*(INT(SUBSTITUTE(RIGHT($C13,2),"+",""))-1))</f>
        <v>63</v>
      </c>
      <c r="K13" s="9">
        <f>INDEX([1]角色基础!$AC$16:$CJ$45,MATCH($AA13,[1]角色基础!$J$16:$J$45,0),MATCH(K$2,[1]角色基础!$AC$12:$AF$12,0)+4*(INT(SUBSTITUTE(RIGHT($C13,2),"+",""))-1))</f>
        <v>33</v>
      </c>
      <c r="L13" s="9">
        <f>INDEX([1]角色基础!$AC$16:$CJ$45,MATCH($AA13,[1]角色基础!$J$16:$J$45,0),MATCH(L$2,[1]角色基础!$AC$12:$AF$12,0)+4*(INT(SUBSTITUTE(RIGHT($C13,2),"+",""))-1))</f>
        <v>33</v>
      </c>
      <c r="M13" s="5">
        <v>0</v>
      </c>
      <c r="N13" s="5">
        <v>0</v>
      </c>
      <c r="O13" s="5">
        <v>0</v>
      </c>
      <c r="P13" s="5">
        <v>0</v>
      </c>
      <c r="Q13" s="5">
        <v>10</v>
      </c>
      <c r="R13" s="20">
        <v>0</v>
      </c>
      <c r="S13" s="20">
        <v>3000</v>
      </c>
      <c r="T13" s="20">
        <v>120</v>
      </c>
      <c r="U13" s="20">
        <v>60</v>
      </c>
      <c r="V13" s="20">
        <v>60</v>
      </c>
      <c r="W13" s="34">
        <v>0</v>
      </c>
      <c r="X13" s="34">
        <v>0</v>
      </c>
      <c r="Y13" s="34">
        <v>0</v>
      </c>
      <c r="Z13" s="34">
        <v>0</v>
      </c>
      <c r="AA13" s="8" t="s">
        <v>164</v>
      </c>
    </row>
    <row r="14" spans="1:27" s="8" customFormat="1">
      <c r="A14" s="5">
        <v>111</v>
      </c>
      <c r="B14" s="5" t="s">
        <v>73</v>
      </c>
      <c r="C14" s="5" t="s">
        <v>74</v>
      </c>
      <c r="D14" s="5">
        <v>10105</v>
      </c>
      <c r="E14" s="5">
        <f t="shared" si="1"/>
        <v>2400000</v>
      </c>
      <c r="F14" s="5" t="s">
        <v>91</v>
      </c>
      <c r="G14" s="5">
        <v>0</v>
      </c>
      <c r="H14" s="45">
        <v>0</v>
      </c>
      <c r="I14" s="9">
        <f>INDEX([1]角色基础!$AC$16:$CJ$45,MATCH($AA14,[1]角色基础!$J$16:$J$45,0),MATCH(I$2,[1]角色基础!$AC$12:$AF$12,0)+4*(INT(SUBSTITUTE(RIGHT($C14,2),"+",""))-1))</f>
        <v>1719</v>
      </c>
      <c r="J14" s="9">
        <f>INDEX([1]角色基础!$AC$16:$CJ$45,MATCH($AA14,[1]角色基础!$J$16:$J$45,0),MATCH(J$2,[1]角色基础!$AC$12:$AF$12,0)+4*(INT(SUBSTITUTE(RIGHT($C14,2),"+",""))-1))</f>
        <v>69</v>
      </c>
      <c r="K14" s="9">
        <f>INDEX([1]角色基础!$AC$16:$CJ$45,MATCH($AA14,[1]角色基础!$J$16:$J$45,0),MATCH(K$2,[1]角色基础!$AC$12:$AF$12,0)+4*(INT(SUBSTITUTE(RIGHT($C14,2),"+",""))-1))</f>
        <v>36</v>
      </c>
      <c r="L14" s="9">
        <f>INDEX([1]角色基础!$AC$16:$CJ$45,MATCH($AA14,[1]角色基础!$J$16:$J$45,0),MATCH(L$2,[1]角色基础!$AC$12:$AF$12,0)+4*(INT(SUBSTITUTE(RIGHT($C14,2),"+",""))-1))</f>
        <v>36</v>
      </c>
      <c r="M14" s="5">
        <v>0</v>
      </c>
      <c r="N14" s="5">
        <v>0</v>
      </c>
      <c r="O14" s="5">
        <v>0</v>
      </c>
      <c r="P14" s="5">
        <v>0</v>
      </c>
      <c r="Q14" s="5">
        <v>11</v>
      </c>
      <c r="R14" s="20">
        <v>0</v>
      </c>
      <c r="S14" s="20">
        <v>3000</v>
      </c>
      <c r="T14" s="20">
        <v>120</v>
      </c>
      <c r="U14" s="20">
        <v>60</v>
      </c>
      <c r="V14" s="20">
        <v>60</v>
      </c>
      <c r="W14" s="34">
        <v>0</v>
      </c>
      <c r="X14" s="34">
        <v>0</v>
      </c>
      <c r="Y14" s="34">
        <v>0</v>
      </c>
      <c r="Z14" s="34">
        <v>0</v>
      </c>
      <c r="AA14" s="8" t="s">
        <v>164</v>
      </c>
    </row>
    <row r="15" spans="1:27" s="8" customFormat="1">
      <c r="A15" s="5">
        <v>112</v>
      </c>
      <c r="B15" s="5" t="s">
        <v>75</v>
      </c>
      <c r="C15" s="5" t="s">
        <v>76</v>
      </c>
      <c r="D15" s="5">
        <v>10115</v>
      </c>
      <c r="E15" s="5">
        <f t="shared" si="1"/>
        <v>3000000</v>
      </c>
      <c r="F15" s="5" t="s">
        <v>114</v>
      </c>
      <c r="G15" s="5">
        <v>0</v>
      </c>
      <c r="H15" s="45">
        <v>0</v>
      </c>
      <c r="I15" s="9">
        <f>INDEX([1]角色基础!$AC$16:$CJ$45,MATCH($AA15,[1]角色基础!$J$16:$J$45,0),MATCH(I$2,[1]角色基础!$AC$12:$AF$12,0)+4*(INT(SUBSTITUTE(RIGHT($C15,2),"+",""))-1))</f>
        <v>1875</v>
      </c>
      <c r="J15" s="9">
        <f>INDEX([1]角色基础!$AC$16:$CJ$45,MATCH($AA15,[1]角色基础!$J$16:$J$45,0),MATCH(J$2,[1]角色基础!$AC$12:$AF$12,0)+4*(INT(SUBSTITUTE(RIGHT($C15,2),"+",""))-1))</f>
        <v>75</v>
      </c>
      <c r="K15" s="9">
        <f>INDEX([1]角色基础!$AC$16:$CJ$45,MATCH($AA15,[1]角色基础!$J$16:$J$45,0),MATCH(K$2,[1]角色基础!$AC$12:$AF$12,0)+4*(INT(SUBSTITUTE(RIGHT($C15,2),"+",""))-1))</f>
        <v>39</v>
      </c>
      <c r="L15" s="9">
        <f>INDEX([1]角色基础!$AC$16:$CJ$45,MATCH($AA15,[1]角色基础!$J$16:$J$45,0),MATCH(L$2,[1]角色基础!$AC$12:$AF$12,0)+4*(INT(SUBSTITUTE(RIGHT($C15,2),"+",""))-1))</f>
        <v>39</v>
      </c>
      <c r="M15" s="5">
        <v>0</v>
      </c>
      <c r="N15" s="5">
        <v>0</v>
      </c>
      <c r="O15" s="5">
        <v>0</v>
      </c>
      <c r="P15" s="5">
        <v>0</v>
      </c>
      <c r="Q15" s="5">
        <v>12</v>
      </c>
      <c r="R15" s="20">
        <v>0</v>
      </c>
      <c r="S15" s="20">
        <v>3000</v>
      </c>
      <c r="T15" s="20">
        <v>120</v>
      </c>
      <c r="U15" s="20">
        <v>60</v>
      </c>
      <c r="V15" s="20">
        <v>60</v>
      </c>
      <c r="W15" s="34">
        <v>0</v>
      </c>
      <c r="X15" s="34">
        <v>0</v>
      </c>
      <c r="Y15" s="34">
        <v>0</v>
      </c>
      <c r="Z15" s="34">
        <v>0</v>
      </c>
      <c r="AA15" s="8" t="s">
        <v>164</v>
      </c>
    </row>
    <row r="16" spans="1:27" s="8" customFormat="1">
      <c r="A16" s="5">
        <v>113</v>
      </c>
      <c r="B16" s="5" t="s">
        <v>182</v>
      </c>
      <c r="C16" s="5" t="s">
        <v>183</v>
      </c>
      <c r="D16" s="5">
        <v>10125</v>
      </c>
      <c r="E16" s="5">
        <f>E154</f>
        <v>6000</v>
      </c>
      <c r="F16" s="5" t="s">
        <v>189</v>
      </c>
      <c r="G16" s="5">
        <v>0</v>
      </c>
      <c r="H16" s="45">
        <v>0</v>
      </c>
      <c r="I16" s="9">
        <f>INDEX([1]角色基础!$AC$16:$CJ$45,MATCH($AA16,[1]角色基础!$J$16:$J$45,0),MATCH(I$2,[1]角色基础!$AC$12:$AF$12,0)+4*(INT(SUBSTITUTE(RIGHT($C16,2),"+",""))-1))</f>
        <v>2031</v>
      </c>
      <c r="J16" s="9">
        <f>INDEX([1]角色基础!$AC$16:$CJ$45,MATCH($AA16,[1]角色基础!$J$16:$J$45,0),MATCH(J$2,[1]角色基础!$AC$12:$AF$12,0)+4*(INT(SUBSTITUTE(RIGHT($C16,2),"+",""))-1))</f>
        <v>81</v>
      </c>
      <c r="K16" s="9">
        <f>INDEX([1]角色基础!$AC$16:$CJ$45,MATCH($AA16,[1]角色基础!$J$16:$J$45,0),MATCH(K$2,[1]角色基础!$AC$12:$AF$12,0)+4*(INT(SUBSTITUTE(RIGHT($C16,2),"+",""))-1))</f>
        <v>42</v>
      </c>
      <c r="L16" s="9">
        <f>INDEX([1]角色基础!$AC$16:$CJ$45,MATCH($AA16,[1]角色基础!$J$16:$J$45,0),MATCH(L$2,[1]角色基础!$AC$12:$AF$12,0)+4*(INT(SUBSTITUTE(RIGHT($C16,2),"+",""))-1))</f>
        <v>42</v>
      </c>
      <c r="M16" s="5">
        <v>0</v>
      </c>
      <c r="N16" s="5">
        <v>0</v>
      </c>
      <c r="O16" s="5">
        <v>0</v>
      </c>
      <c r="P16" s="5">
        <v>0</v>
      </c>
      <c r="Q16" s="5">
        <v>13</v>
      </c>
      <c r="R16" s="20">
        <v>0</v>
      </c>
      <c r="S16" s="20">
        <v>3000</v>
      </c>
      <c r="T16" s="20">
        <v>120</v>
      </c>
      <c r="U16" s="20">
        <v>60</v>
      </c>
      <c r="V16" s="20">
        <v>60</v>
      </c>
      <c r="W16" s="34">
        <v>0</v>
      </c>
      <c r="X16" s="34">
        <v>0</v>
      </c>
      <c r="Y16" s="34">
        <v>0</v>
      </c>
      <c r="Z16" s="34">
        <v>0</v>
      </c>
      <c r="AA16" s="8" t="s">
        <v>164</v>
      </c>
    </row>
    <row r="17" spans="1:27" s="8" customFormat="1">
      <c r="A17" s="5">
        <v>114</v>
      </c>
      <c r="B17" s="5" t="s">
        <v>184</v>
      </c>
      <c r="C17" s="5" t="s">
        <v>185</v>
      </c>
      <c r="D17" s="5">
        <v>10135</v>
      </c>
      <c r="E17" s="5">
        <f>E155</f>
        <v>24000</v>
      </c>
      <c r="F17" s="5" t="s">
        <v>191</v>
      </c>
      <c r="G17" s="5">
        <v>0</v>
      </c>
      <c r="H17" s="45">
        <v>0</v>
      </c>
      <c r="I17" s="9">
        <f>INDEX([1]角色基础!$AC$16:$CJ$45,MATCH($AA17,[1]角色基础!$J$16:$J$45,0),MATCH(I$2,[1]角色基础!$AC$12:$AF$12,0)+4*(INT(SUBSTITUTE(RIGHT($C17,2),"+",""))-1))</f>
        <v>2188</v>
      </c>
      <c r="J17" s="9">
        <f>INDEX([1]角色基础!$AC$16:$CJ$45,MATCH($AA17,[1]角色基础!$J$16:$J$45,0),MATCH(J$2,[1]角色基础!$AC$12:$AF$12,0)+4*(INT(SUBSTITUTE(RIGHT($C17,2),"+",""))-1))</f>
        <v>88</v>
      </c>
      <c r="K17" s="9">
        <f>INDEX([1]角色基础!$AC$16:$CJ$45,MATCH($AA17,[1]角色基础!$J$16:$J$45,0),MATCH(K$2,[1]角色基础!$AC$12:$AF$12,0)+4*(INT(SUBSTITUTE(RIGHT($C17,2),"+",""))-1))</f>
        <v>46</v>
      </c>
      <c r="L17" s="9">
        <f>INDEX([1]角色基础!$AC$16:$CJ$45,MATCH($AA17,[1]角色基础!$J$16:$J$45,0),MATCH(L$2,[1]角色基础!$AC$12:$AF$12,0)+4*(INT(SUBSTITUTE(RIGHT($C17,2),"+",""))-1))</f>
        <v>46</v>
      </c>
      <c r="M17" s="5">
        <v>0</v>
      </c>
      <c r="N17" s="5">
        <v>0</v>
      </c>
      <c r="O17" s="5">
        <v>0</v>
      </c>
      <c r="P17" s="5">
        <v>0</v>
      </c>
      <c r="Q17" s="5">
        <v>14</v>
      </c>
      <c r="R17" s="20">
        <v>0</v>
      </c>
      <c r="S17" s="20">
        <v>3000</v>
      </c>
      <c r="T17" s="20">
        <v>120</v>
      </c>
      <c r="U17" s="20">
        <v>60</v>
      </c>
      <c r="V17" s="20">
        <v>60</v>
      </c>
      <c r="W17" s="34">
        <v>0</v>
      </c>
      <c r="X17" s="34">
        <v>0</v>
      </c>
      <c r="Y17" s="34">
        <v>0</v>
      </c>
      <c r="Z17" s="34">
        <v>0</v>
      </c>
      <c r="AA17" s="8" t="s">
        <v>164</v>
      </c>
    </row>
    <row r="18" spans="1:27" s="8" customFormat="1">
      <c r="A18" s="5">
        <v>115</v>
      </c>
      <c r="B18" s="5" t="s">
        <v>186</v>
      </c>
      <c r="C18" s="5" t="s">
        <v>187</v>
      </c>
      <c r="D18" s="5">
        <v>10145</v>
      </c>
      <c r="E18" s="5">
        <f>E156</f>
        <v>60000</v>
      </c>
      <c r="F18" s="5" t="s">
        <v>193</v>
      </c>
      <c r="G18" s="5">
        <v>0</v>
      </c>
      <c r="H18" s="45">
        <v>0</v>
      </c>
      <c r="I18" s="9">
        <f>INDEX([1]角色基础!$AC$16:$CJ$45,MATCH($AA18,[1]角色基础!$J$16:$J$45,0),MATCH(I$2,[1]角色基础!$AC$12:$AF$12,0)+4*(INT(SUBSTITUTE(RIGHT($C18,2),"+",""))-1))</f>
        <v>2344</v>
      </c>
      <c r="J18" s="9">
        <f>INDEX([1]角色基础!$AC$16:$CJ$45,MATCH($AA18,[1]角色基础!$J$16:$J$45,0),MATCH(J$2,[1]角色基础!$AC$12:$AF$12,0)+4*(INT(SUBSTITUTE(RIGHT($C18,2),"+",""))-1))</f>
        <v>94</v>
      </c>
      <c r="K18" s="9">
        <f>INDEX([1]角色基础!$AC$16:$CJ$45,MATCH($AA18,[1]角色基础!$J$16:$J$45,0),MATCH(K$2,[1]角色基础!$AC$12:$AF$12,0)+4*(INT(SUBSTITUTE(RIGHT($C18,2),"+",""))-1))</f>
        <v>49</v>
      </c>
      <c r="L18" s="9">
        <f>INDEX([1]角色基础!$AC$16:$CJ$45,MATCH($AA18,[1]角色基础!$J$16:$J$45,0),MATCH(L$2,[1]角色基础!$AC$12:$AF$12,0)+4*(INT(SUBSTITUTE(RIGHT($C18,2),"+",""))-1))</f>
        <v>49</v>
      </c>
      <c r="M18" s="5">
        <v>0</v>
      </c>
      <c r="N18" s="5">
        <v>0</v>
      </c>
      <c r="O18" s="5">
        <v>0</v>
      </c>
      <c r="P18" s="5">
        <v>0</v>
      </c>
      <c r="Q18" s="5">
        <v>15</v>
      </c>
      <c r="R18" s="20">
        <v>0</v>
      </c>
      <c r="S18" s="20">
        <v>3000</v>
      </c>
      <c r="T18" s="20">
        <v>120</v>
      </c>
      <c r="U18" s="20">
        <v>60</v>
      </c>
      <c r="V18" s="20">
        <v>60</v>
      </c>
      <c r="W18" s="34">
        <v>0</v>
      </c>
      <c r="X18" s="34">
        <v>0</v>
      </c>
      <c r="Y18" s="34">
        <v>0</v>
      </c>
      <c r="Z18" s="34">
        <v>0</v>
      </c>
      <c r="AA18" s="8" t="s">
        <v>164</v>
      </c>
    </row>
    <row r="19" spans="1:27" s="65" customFormat="1">
      <c r="A19" s="59">
        <v>1001</v>
      </c>
      <c r="B19" s="59" t="s">
        <v>122</v>
      </c>
      <c r="C19" s="59" t="s">
        <v>33</v>
      </c>
      <c r="D19" s="59">
        <v>10001</v>
      </c>
      <c r="E19" s="60">
        <v>5000</v>
      </c>
      <c r="F19" s="59" t="s">
        <v>101</v>
      </c>
      <c r="G19" s="59">
        <v>0</v>
      </c>
      <c r="H19" s="61">
        <v>0</v>
      </c>
      <c r="I19" s="62">
        <f>INDEX([1]角色基础!$AC$16:$CJ$45,MATCH($AA19,[1]角色基础!$J$16:$J$45,0),MATCH(I$2,[1]角色基础!$AC$12:$AF$12,0)+4*(INT(SUBSTITUTE(RIGHT($C19,2),"+",""))-1))</f>
        <v>50</v>
      </c>
      <c r="J19" s="62">
        <f>INDEX([1]角色基础!$AC$16:$CJ$45,MATCH($AA19,[1]角色基础!$J$16:$J$45,0),MATCH(J$2,[1]角色基础!$AC$12:$AF$12,0)+4*(INT(SUBSTITUTE(RIGHT($C19,2),"+",""))-1))</f>
        <v>2</v>
      </c>
      <c r="K19" s="62">
        <f>INDEX([1]角色基础!$AC$16:$CJ$45,MATCH($AA19,[1]角色基础!$J$16:$J$45,0),MATCH(K$2,[1]角色基础!$AC$12:$AF$12,0)+4*(INT(SUBSTITUTE(RIGHT($C19,2),"+",""))-1))</f>
        <v>1</v>
      </c>
      <c r="L19" s="62">
        <f>INDEX([1]角色基础!$AC$16:$CJ$45,MATCH($AA19,[1]角色基础!$J$16:$J$45,0),MATCH(L$2,[1]角色基础!$AC$12:$AF$12,0)+4*(INT(SUBSTITUTE(RIGHT($C19,2),"+",""))-1))</f>
        <v>1</v>
      </c>
      <c r="M19" s="59">
        <v>0</v>
      </c>
      <c r="N19" s="59">
        <v>0</v>
      </c>
      <c r="O19" s="59">
        <v>0</v>
      </c>
      <c r="P19" s="59">
        <v>0</v>
      </c>
      <c r="Q19" s="59">
        <v>1</v>
      </c>
      <c r="R19" s="63">
        <v>0</v>
      </c>
      <c r="S19" s="84">
        <v>1200</v>
      </c>
      <c r="T19" s="63">
        <v>48</v>
      </c>
      <c r="U19" s="63">
        <v>24</v>
      </c>
      <c r="V19" s="63">
        <v>24</v>
      </c>
      <c r="W19" s="64">
        <v>0</v>
      </c>
      <c r="X19" s="64">
        <v>0</v>
      </c>
      <c r="Y19" s="64">
        <v>0</v>
      </c>
      <c r="Z19" s="64">
        <v>0</v>
      </c>
      <c r="AA19" s="65" t="s">
        <v>165</v>
      </c>
    </row>
    <row r="20" spans="1:27" s="65" customFormat="1">
      <c r="A20" s="59">
        <v>1002</v>
      </c>
      <c r="B20" s="59" t="s">
        <v>41</v>
      </c>
      <c r="C20" s="59" t="s">
        <v>34</v>
      </c>
      <c r="D20" s="59">
        <v>10015</v>
      </c>
      <c r="E20" s="60">
        <v>20000</v>
      </c>
      <c r="F20" s="59" t="s">
        <v>102</v>
      </c>
      <c r="G20" s="59">
        <v>0</v>
      </c>
      <c r="H20" s="61">
        <v>0</v>
      </c>
      <c r="I20" s="62">
        <f>INDEX([1]角色基础!$AC$16:$CJ$45,MATCH($AA20,[1]角色基础!$J$16:$J$45,0),MATCH(I$2,[1]角色基础!$AC$12:$AF$12,0)+4*(INT(SUBSTITUTE(RIGHT($C20,2),"+",""))-1))</f>
        <v>100</v>
      </c>
      <c r="J20" s="62">
        <f>INDEX([1]角色基础!$AC$16:$CJ$45,MATCH($AA20,[1]角色基础!$J$16:$J$45,0),MATCH(J$2,[1]角色基础!$AC$12:$AF$12,0)+4*(INT(SUBSTITUTE(RIGHT($C20,2),"+",""))-1))</f>
        <v>4</v>
      </c>
      <c r="K20" s="62">
        <f>INDEX([1]角色基础!$AC$16:$CJ$45,MATCH($AA20,[1]角色基础!$J$16:$J$45,0),MATCH(K$2,[1]角色基础!$AC$12:$AF$12,0)+4*(INT(SUBSTITUTE(RIGHT($C20,2),"+",""))-1))</f>
        <v>2</v>
      </c>
      <c r="L20" s="62">
        <f>INDEX([1]角色基础!$AC$16:$CJ$45,MATCH($AA20,[1]角色基础!$J$16:$J$45,0),MATCH(L$2,[1]角色基础!$AC$12:$AF$12,0)+4*(INT(SUBSTITUTE(RIGHT($C20,2),"+",""))-1))</f>
        <v>2</v>
      </c>
      <c r="M20" s="59">
        <v>0</v>
      </c>
      <c r="N20" s="59">
        <v>0</v>
      </c>
      <c r="O20" s="59">
        <v>0</v>
      </c>
      <c r="P20" s="59">
        <v>0</v>
      </c>
      <c r="Q20" s="59">
        <v>2</v>
      </c>
      <c r="R20" s="63">
        <v>0</v>
      </c>
      <c r="S20" s="84">
        <v>1200</v>
      </c>
      <c r="T20" s="63">
        <v>48</v>
      </c>
      <c r="U20" s="63">
        <v>24</v>
      </c>
      <c r="V20" s="63">
        <v>24</v>
      </c>
      <c r="W20" s="64">
        <v>0</v>
      </c>
      <c r="X20" s="64">
        <v>0</v>
      </c>
      <c r="Y20" s="64">
        <v>0</v>
      </c>
      <c r="Z20" s="64">
        <v>0</v>
      </c>
      <c r="AA20" s="65" t="s">
        <v>165</v>
      </c>
    </row>
    <row r="21" spans="1:27" s="65" customFormat="1">
      <c r="A21" s="59">
        <v>1003</v>
      </c>
      <c r="B21" s="59" t="s">
        <v>42</v>
      </c>
      <c r="C21" s="59" t="s">
        <v>35</v>
      </c>
      <c r="D21" s="59">
        <v>10025</v>
      </c>
      <c r="E21" s="60">
        <v>50000</v>
      </c>
      <c r="F21" s="59" t="s">
        <v>103</v>
      </c>
      <c r="G21" s="59">
        <v>0</v>
      </c>
      <c r="H21" s="61">
        <v>0</v>
      </c>
      <c r="I21" s="62">
        <f>INDEX([1]角色基础!$AC$16:$CJ$45,MATCH($AA21,[1]角色基础!$J$16:$J$45,0),MATCH(I$2,[1]角色基础!$AC$12:$AF$12,0)+4*(INT(SUBSTITUTE(RIGHT($C21,2),"+",""))-1))</f>
        <v>150</v>
      </c>
      <c r="J21" s="62">
        <f>INDEX([1]角色基础!$AC$16:$CJ$45,MATCH($AA21,[1]角色基础!$J$16:$J$45,0),MATCH(J$2,[1]角色基础!$AC$12:$AF$12,0)+4*(INT(SUBSTITUTE(RIGHT($C21,2),"+",""))-1))</f>
        <v>6</v>
      </c>
      <c r="K21" s="62">
        <f>INDEX([1]角色基础!$AC$16:$CJ$45,MATCH($AA21,[1]角色基础!$J$16:$J$45,0),MATCH(K$2,[1]角色基础!$AC$12:$AF$12,0)+4*(INT(SUBSTITUTE(RIGHT($C21,2),"+",""))-1))</f>
        <v>3</v>
      </c>
      <c r="L21" s="62">
        <f>INDEX([1]角色基础!$AC$16:$CJ$45,MATCH($AA21,[1]角色基础!$J$16:$J$45,0),MATCH(L$2,[1]角色基础!$AC$12:$AF$12,0)+4*(INT(SUBSTITUTE(RIGHT($C21,2),"+",""))-1))</f>
        <v>3</v>
      </c>
      <c r="M21" s="59">
        <v>0</v>
      </c>
      <c r="N21" s="59">
        <v>0</v>
      </c>
      <c r="O21" s="59">
        <v>0</v>
      </c>
      <c r="P21" s="59">
        <v>0</v>
      </c>
      <c r="Q21" s="59">
        <v>3</v>
      </c>
      <c r="R21" s="63">
        <v>0</v>
      </c>
      <c r="S21" s="84">
        <v>1200</v>
      </c>
      <c r="T21" s="63">
        <v>48</v>
      </c>
      <c r="U21" s="63">
        <v>24</v>
      </c>
      <c r="V21" s="63">
        <v>24</v>
      </c>
      <c r="W21" s="64">
        <v>0</v>
      </c>
      <c r="X21" s="64">
        <v>0</v>
      </c>
      <c r="Y21" s="64">
        <v>0</v>
      </c>
      <c r="Z21" s="64">
        <v>0</v>
      </c>
      <c r="AA21" s="65" t="s">
        <v>165</v>
      </c>
    </row>
    <row r="22" spans="1:27" s="65" customFormat="1">
      <c r="A22" s="59">
        <v>1004</v>
      </c>
      <c r="B22" s="59" t="s">
        <v>43</v>
      </c>
      <c r="C22" s="59" t="s">
        <v>36</v>
      </c>
      <c r="D22" s="59">
        <v>10035</v>
      </c>
      <c r="E22" s="60">
        <v>100000</v>
      </c>
      <c r="F22" s="59" t="s">
        <v>104</v>
      </c>
      <c r="G22" s="59">
        <v>1</v>
      </c>
      <c r="H22" s="61">
        <v>0</v>
      </c>
      <c r="I22" s="62">
        <f>INDEX([1]角色基础!$AC$16:$CJ$45,MATCH($AA22,[1]角色基础!$J$16:$J$45,0),MATCH(I$2,[1]角色基础!$AC$12:$AF$12,0)+4*(INT(SUBSTITUTE(RIGHT($C22,2),"+",""))-1))</f>
        <v>200</v>
      </c>
      <c r="J22" s="62">
        <f>INDEX([1]角色基础!$AC$16:$CJ$45,MATCH($AA22,[1]角色基础!$J$16:$J$45,0),MATCH(J$2,[1]角色基础!$AC$12:$AF$12,0)+4*(INT(SUBSTITUTE(RIGHT($C22,2),"+",""))-1))</f>
        <v>8</v>
      </c>
      <c r="K22" s="62">
        <f>INDEX([1]角色基础!$AC$16:$CJ$45,MATCH($AA22,[1]角色基础!$J$16:$J$45,0),MATCH(K$2,[1]角色基础!$AC$12:$AF$12,0)+4*(INT(SUBSTITUTE(RIGHT($C22,2),"+",""))-1))</f>
        <v>4</v>
      </c>
      <c r="L22" s="62">
        <f>INDEX([1]角色基础!$AC$16:$CJ$45,MATCH($AA22,[1]角色基础!$J$16:$J$45,0),MATCH(L$2,[1]角色基础!$AC$12:$AF$12,0)+4*(INT(SUBSTITUTE(RIGHT($C22,2),"+",""))-1))</f>
        <v>4</v>
      </c>
      <c r="M22" s="59">
        <v>0</v>
      </c>
      <c r="N22" s="59">
        <v>0</v>
      </c>
      <c r="O22" s="59">
        <v>0</v>
      </c>
      <c r="P22" s="59">
        <v>0</v>
      </c>
      <c r="Q22" s="59">
        <v>4</v>
      </c>
      <c r="R22" s="63">
        <v>0</v>
      </c>
      <c r="S22" s="84">
        <v>1200</v>
      </c>
      <c r="T22" s="63">
        <v>48</v>
      </c>
      <c r="U22" s="63">
        <v>24</v>
      </c>
      <c r="V22" s="63">
        <v>24</v>
      </c>
      <c r="W22" s="64">
        <v>0</v>
      </c>
      <c r="X22" s="64">
        <v>0</v>
      </c>
      <c r="Y22" s="64">
        <v>0</v>
      </c>
      <c r="Z22" s="64">
        <v>0</v>
      </c>
      <c r="AA22" s="65" t="s">
        <v>165</v>
      </c>
    </row>
    <row r="23" spans="1:27" s="65" customFormat="1">
      <c r="A23" s="59">
        <v>1005</v>
      </c>
      <c r="B23" s="59" t="s">
        <v>44</v>
      </c>
      <c r="C23" s="59" t="s">
        <v>37</v>
      </c>
      <c r="D23" s="59">
        <v>10045</v>
      </c>
      <c r="E23" s="60">
        <v>200000</v>
      </c>
      <c r="F23" s="59" t="s">
        <v>105</v>
      </c>
      <c r="G23" s="59">
        <v>1</v>
      </c>
      <c r="H23" s="61">
        <v>0</v>
      </c>
      <c r="I23" s="62">
        <f>INDEX([1]角色基础!$AC$16:$CJ$45,MATCH($AA23,[1]角色基础!$J$16:$J$45,0),MATCH(I$2,[1]角色基础!$AC$12:$AF$12,0)+4*(INT(SUBSTITUTE(RIGHT($C23,2),"+",""))-1))</f>
        <v>250</v>
      </c>
      <c r="J23" s="62">
        <f>INDEX([1]角色基础!$AC$16:$CJ$45,MATCH($AA23,[1]角色基础!$J$16:$J$45,0),MATCH(J$2,[1]角色基础!$AC$12:$AF$12,0)+4*(INT(SUBSTITUTE(RIGHT($C23,2),"+",""))-1))</f>
        <v>10</v>
      </c>
      <c r="K23" s="62">
        <f>INDEX([1]角色基础!$AC$16:$CJ$45,MATCH($AA23,[1]角色基础!$J$16:$J$45,0),MATCH(K$2,[1]角色基础!$AC$12:$AF$12,0)+4*(INT(SUBSTITUTE(RIGHT($C23,2),"+",""))-1))</f>
        <v>5</v>
      </c>
      <c r="L23" s="62">
        <f>INDEX([1]角色基础!$AC$16:$CJ$45,MATCH($AA23,[1]角色基础!$J$16:$J$45,0),MATCH(L$2,[1]角色基础!$AC$12:$AF$12,0)+4*(INT(SUBSTITUTE(RIGHT($C23,2),"+",""))-1))</f>
        <v>5</v>
      </c>
      <c r="M23" s="59">
        <v>0</v>
      </c>
      <c r="N23" s="59">
        <v>0</v>
      </c>
      <c r="O23" s="59">
        <v>0</v>
      </c>
      <c r="P23" s="59">
        <v>0</v>
      </c>
      <c r="Q23" s="59">
        <v>5</v>
      </c>
      <c r="R23" s="63">
        <v>0</v>
      </c>
      <c r="S23" s="84">
        <v>1200</v>
      </c>
      <c r="T23" s="63">
        <v>48</v>
      </c>
      <c r="U23" s="63">
        <v>24</v>
      </c>
      <c r="V23" s="63">
        <v>24</v>
      </c>
      <c r="W23" s="64">
        <v>0</v>
      </c>
      <c r="X23" s="64">
        <v>0</v>
      </c>
      <c r="Y23" s="64">
        <v>0</v>
      </c>
      <c r="Z23" s="64">
        <v>0</v>
      </c>
      <c r="AA23" s="65" t="s">
        <v>165</v>
      </c>
    </row>
    <row r="24" spans="1:27" s="65" customFormat="1">
      <c r="A24" s="59">
        <v>1006</v>
      </c>
      <c r="B24" s="59" t="s">
        <v>45</v>
      </c>
      <c r="C24" s="59" t="s">
        <v>38</v>
      </c>
      <c r="D24" s="59">
        <v>10055</v>
      </c>
      <c r="E24" s="60">
        <v>300000</v>
      </c>
      <c r="F24" s="59" t="s">
        <v>106</v>
      </c>
      <c r="G24" s="59">
        <v>2</v>
      </c>
      <c r="H24" s="61">
        <v>0</v>
      </c>
      <c r="I24" s="62">
        <f>INDEX([1]角色基础!$AC$16:$CJ$45,MATCH($AA24,[1]角色基础!$J$16:$J$45,0),MATCH(I$2,[1]角色基础!$AC$12:$AF$12,0)+4*(INT(SUBSTITUTE(RIGHT($C24,2),"+",""))-1))</f>
        <v>300</v>
      </c>
      <c r="J24" s="62">
        <f>INDEX([1]角色基础!$AC$16:$CJ$45,MATCH($AA24,[1]角色基础!$J$16:$J$45,0),MATCH(J$2,[1]角色基础!$AC$12:$AF$12,0)+4*(INT(SUBSTITUTE(RIGHT($C24,2),"+",""))-1))</f>
        <v>12</v>
      </c>
      <c r="K24" s="62">
        <f>INDEX([1]角色基础!$AC$16:$CJ$45,MATCH($AA24,[1]角色基础!$J$16:$J$45,0),MATCH(K$2,[1]角色基础!$AC$12:$AF$12,0)+4*(INT(SUBSTITUTE(RIGHT($C24,2),"+",""))-1))</f>
        <v>6</v>
      </c>
      <c r="L24" s="62">
        <f>INDEX([1]角色基础!$AC$16:$CJ$45,MATCH($AA24,[1]角色基础!$J$16:$J$45,0),MATCH(L$2,[1]角色基础!$AC$12:$AF$12,0)+4*(INT(SUBSTITUTE(RIGHT($C24,2),"+",""))-1))</f>
        <v>6</v>
      </c>
      <c r="M24" s="59">
        <v>0</v>
      </c>
      <c r="N24" s="59">
        <v>0</v>
      </c>
      <c r="O24" s="59">
        <v>0</v>
      </c>
      <c r="P24" s="59">
        <v>0</v>
      </c>
      <c r="Q24" s="59">
        <v>6</v>
      </c>
      <c r="R24" s="63">
        <v>0</v>
      </c>
      <c r="S24" s="84">
        <v>1200</v>
      </c>
      <c r="T24" s="63">
        <v>48</v>
      </c>
      <c r="U24" s="63">
        <v>24</v>
      </c>
      <c r="V24" s="63">
        <v>24</v>
      </c>
      <c r="W24" s="64">
        <v>0</v>
      </c>
      <c r="X24" s="64">
        <v>0</v>
      </c>
      <c r="Y24" s="64">
        <v>0</v>
      </c>
      <c r="Z24" s="64">
        <v>0</v>
      </c>
      <c r="AA24" s="65" t="s">
        <v>165</v>
      </c>
    </row>
    <row r="25" spans="1:27" s="65" customFormat="1">
      <c r="A25" s="59">
        <v>1007</v>
      </c>
      <c r="B25" s="59" t="s">
        <v>46</v>
      </c>
      <c r="C25" s="59" t="s">
        <v>39</v>
      </c>
      <c r="D25" s="59">
        <v>10065</v>
      </c>
      <c r="E25" s="60">
        <v>500000</v>
      </c>
      <c r="F25" s="59" t="s">
        <v>107</v>
      </c>
      <c r="G25" s="59">
        <v>2</v>
      </c>
      <c r="H25" s="61">
        <v>0</v>
      </c>
      <c r="I25" s="62">
        <f>INDEX([1]角色基础!$AC$16:$CJ$45,MATCH($AA25,[1]角色基础!$J$16:$J$45,0),MATCH(I$2,[1]角色基础!$AC$12:$AF$12,0)+4*(INT(SUBSTITUTE(RIGHT($C25,2),"+",""))-1))</f>
        <v>350</v>
      </c>
      <c r="J25" s="62">
        <f>INDEX([1]角色基础!$AC$16:$CJ$45,MATCH($AA25,[1]角色基础!$J$16:$J$45,0),MATCH(J$2,[1]角色基础!$AC$12:$AF$12,0)+4*(INT(SUBSTITUTE(RIGHT($C25,2),"+",""))-1))</f>
        <v>14</v>
      </c>
      <c r="K25" s="62">
        <f>INDEX([1]角色基础!$AC$16:$CJ$45,MATCH($AA25,[1]角色基础!$J$16:$J$45,0),MATCH(K$2,[1]角色基础!$AC$12:$AF$12,0)+4*(INT(SUBSTITUTE(RIGHT($C25,2),"+",""))-1))</f>
        <v>7</v>
      </c>
      <c r="L25" s="62">
        <f>INDEX([1]角色基础!$AC$16:$CJ$45,MATCH($AA25,[1]角色基础!$J$16:$J$45,0),MATCH(L$2,[1]角色基础!$AC$12:$AF$12,0)+4*(INT(SUBSTITUTE(RIGHT($C25,2),"+",""))-1))</f>
        <v>7</v>
      </c>
      <c r="M25" s="59">
        <v>0</v>
      </c>
      <c r="N25" s="59">
        <v>0</v>
      </c>
      <c r="O25" s="59">
        <v>0</v>
      </c>
      <c r="P25" s="59">
        <v>0</v>
      </c>
      <c r="Q25" s="59">
        <v>7</v>
      </c>
      <c r="R25" s="63">
        <v>0</v>
      </c>
      <c r="S25" s="84">
        <v>1200</v>
      </c>
      <c r="T25" s="63">
        <v>48</v>
      </c>
      <c r="U25" s="63">
        <v>24</v>
      </c>
      <c r="V25" s="63">
        <v>24</v>
      </c>
      <c r="W25" s="64">
        <v>0</v>
      </c>
      <c r="X25" s="64">
        <v>0</v>
      </c>
      <c r="Y25" s="64">
        <v>0</v>
      </c>
      <c r="Z25" s="64">
        <v>0</v>
      </c>
      <c r="AA25" s="65" t="s">
        <v>165</v>
      </c>
    </row>
    <row r="26" spans="1:27" s="65" customFormat="1">
      <c r="A26" s="59">
        <v>1008</v>
      </c>
      <c r="B26" s="59" t="s">
        <v>47</v>
      </c>
      <c r="C26" s="59" t="s">
        <v>40</v>
      </c>
      <c r="D26" s="59">
        <v>10075</v>
      </c>
      <c r="E26" s="60">
        <v>800000</v>
      </c>
      <c r="F26" s="59" t="s">
        <v>108</v>
      </c>
      <c r="G26" s="59">
        <v>4</v>
      </c>
      <c r="H26" s="61">
        <v>0</v>
      </c>
      <c r="I26" s="62">
        <f>INDEX([1]角色基础!$AC$16:$CJ$45,MATCH($AA26,[1]角色基础!$J$16:$J$45,0),MATCH(I$2,[1]角色基础!$AC$12:$AF$12,0)+4*(INT(SUBSTITUTE(RIGHT($C26,2),"+",""))-1))</f>
        <v>400</v>
      </c>
      <c r="J26" s="62">
        <f>INDEX([1]角色基础!$AC$16:$CJ$45,MATCH($AA26,[1]角色基础!$J$16:$J$45,0),MATCH(J$2,[1]角色基础!$AC$12:$AF$12,0)+4*(INT(SUBSTITUTE(RIGHT($C26,2),"+",""))-1))</f>
        <v>16</v>
      </c>
      <c r="K26" s="62">
        <f>INDEX([1]角色基础!$AC$16:$CJ$45,MATCH($AA26,[1]角色基础!$J$16:$J$45,0),MATCH(K$2,[1]角色基础!$AC$12:$AF$12,0)+4*(INT(SUBSTITUTE(RIGHT($C26,2),"+",""))-1))</f>
        <v>8</v>
      </c>
      <c r="L26" s="62">
        <f>INDEX([1]角色基础!$AC$16:$CJ$45,MATCH($AA26,[1]角色基础!$J$16:$J$45,0),MATCH(L$2,[1]角色基础!$AC$12:$AF$12,0)+4*(INT(SUBSTITUTE(RIGHT($C26,2),"+",""))-1))</f>
        <v>8</v>
      </c>
      <c r="M26" s="59">
        <v>0</v>
      </c>
      <c r="N26" s="59">
        <v>0</v>
      </c>
      <c r="O26" s="59">
        <v>0</v>
      </c>
      <c r="P26" s="59">
        <v>0</v>
      </c>
      <c r="Q26" s="59">
        <v>8</v>
      </c>
      <c r="R26" s="63">
        <v>0</v>
      </c>
      <c r="S26" s="84">
        <v>1200</v>
      </c>
      <c r="T26" s="63">
        <v>48</v>
      </c>
      <c r="U26" s="63">
        <v>24</v>
      </c>
      <c r="V26" s="63">
        <v>24</v>
      </c>
      <c r="W26" s="64">
        <v>0</v>
      </c>
      <c r="X26" s="64">
        <v>0</v>
      </c>
      <c r="Y26" s="64">
        <v>0</v>
      </c>
      <c r="Z26" s="64">
        <v>0</v>
      </c>
      <c r="AA26" s="65" t="s">
        <v>165</v>
      </c>
    </row>
    <row r="27" spans="1:27" s="65" customFormat="1">
      <c r="A27" s="59">
        <v>1009</v>
      </c>
      <c r="B27" s="59" t="s">
        <v>69</v>
      </c>
      <c r="C27" s="59" t="s">
        <v>32</v>
      </c>
      <c r="D27" s="59">
        <v>10085</v>
      </c>
      <c r="E27" s="60">
        <v>1200000</v>
      </c>
      <c r="F27" s="59" t="s">
        <v>109</v>
      </c>
      <c r="G27" s="59">
        <v>6</v>
      </c>
      <c r="H27" s="61">
        <v>0</v>
      </c>
      <c r="I27" s="62">
        <f>INDEX([1]角色基础!$AC$16:$CJ$45,MATCH($AA27,[1]角色基础!$J$16:$J$45,0),MATCH(I$2,[1]角色基础!$AC$12:$AF$12,0)+4*(INT(SUBSTITUTE(RIGHT($C27,2),"+",""))-1))</f>
        <v>450</v>
      </c>
      <c r="J27" s="62">
        <f>INDEX([1]角色基础!$AC$16:$CJ$45,MATCH($AA27,[1]角色基础!$J$16:$J$45,0),MATCH(J$2,[1]角色基础!$AC$12:$AF$12,0)+4*(INT(SUBSTITUTE(RIGHT($C27,2),"+",""))-1))</f>
        <v>18</v>
      </c>
      <c r="K27" s="62">
        <f>INDEX([1]角色基础!$AC$16:$CJ$45,MATCH($AA27,[1]角色基础!$J$16:$J$45,0),MATCH(K$2,[1]角色基础!$AC$12:$AF$12,0)+4*(INT(SUBSTITUTE(RIGHT($C27,2),"+",""))-1))</f>
        <v>9</v>
      </c>
      <c r="L27" s="62">
        <f>INDEX([1]角色基础!$AC$16:$CJ$45,MATCH($AA27,[1]角色基础!$J$16:$J$45,0),MATCH(L$2,[1]角色基础!$AC$12:$AF$12,0)+4*(INT(SUBSTITUTE(RIGHT($C27,2),"+",""))-1))</f>
        <v>9</v>
      </c>
      <c r="M27" s="59">
        <v>0</v>
      </c>
      <c r="N27" s="59">
        <v>0</v>
      </c>
      <c r="O27" s="59">
        <v>0</v>
      </c>
      <c r="P27" s="59">
        <v>0</v>
      </c>
      <c r="Q27" s="59">
        <v>9</v>
      </c>
      <c r="R27" s="63">
        <v>0</v>
      </c>
      <c r="S27" s="84">
        <v>1200</v>
      </c>
      <c r="T27" s="63">
        <v>48</v>
      </c>
      <c r="U27" s="63">
        <v>24</v>
      </c>
      <c r="V27" s="63">
        <v>24</v>
      </c>
      <c r="W27" s="64">
        <v>0</v>
      </c>
      <c r="X27" s="64">
        <v>0</v>
      </c>
      <c r="Y27" s="64">
        <v>0</v>
      </c>
      <c r="Z27" s="64">
        <v>0</v>
      </c>
      <c r="AA27" s="65" t="s">
        <v>165</v>
      </c>
    </row>
    <row r="28" spans="1:27" s="65" customFormat="1">
      <c r="A28" s="59">
        <v>1010</v>
      </c>
      <c r="B28" s="59" t="s">
        <v>71</v>
      </c>
      <c r="C28" s="59" t="s">
        <v>31</v>
      </c>
      <c r="D28" s="59">
        <v>10095</v>
      </c>
      <c r="E28" s="60">
        <v>1600000</v>
      </c>
      <c r="F28" s="59" t="s">
        <v>110</v>
      </c>
      <c r="G28" s="59">
        <v>8</v>
      </c>
      <c r="H28" s="61">
        <v>0</v>
      </c>
      <c r="I28" s="62">
        <f>INDEX([1]角色基础!$AC$16:$CJ$45,MATCH($AA28,[1]角色基础!$J$16:$J$45,0),MATCH(I$2,[1]角色基础!$AC$12:$AF$12,0)+4*(INT(SUBSTITUTE(RIGHT($C28,2),"+",""))-1))</f>
        <v>500</v>
      </c>
      <c r="J28" s="62">
        <f>INDEX([1]角色基础!$AC$16:$CJ$45,MATCH($AA28,[1]角色基础!$J$16:$J$45,0),MATCH(J$2,[1]角色基础!$AC$12:$AF$12,0)+4*(INT(SUBSTITUTE(RIGHT($C28,2),"+",""))-1))</f>
        <v>20</v>
      </c>
      <c r="K28" s="62">
        <f>INDEX([1]角色基础!$AC$16:$CJ$45,MATCH($AA28,[1]角色基础!$J$16:$J$45,0),MATCH(K$2,[1]角色基础!$AC$12:$AF$12,0)+4*(INT(SUBSTITUTE(RIGHT($C28,2),"+",""))-1))</f>
        <v>10</v>
      </c>
      <c r="L28" s="62">
        <f>INDEX([1]角色基础!$AC$16:$CJ$45,MATCH($AA28,[1]角色基础!$J$16:$J$45,0),MATCH(L$2,[1]角色基础!$AC$12:$AF$12,0)+4*(INT(SUBSTITUTE(RIGHT($C28,2),"+",""))-1))</f>
        <v>10</v>
      </c>
      <c r="M28" s="59">
        <v>0</v>
      </c>
      <c r="N28" s="59">
        <v>0</v>
      </c>
      <c r="O28" s="59">
        <v>0</v>
      </c>
      <c r="P28" s="59">
        <v>0</v>
      </c>
      <c r="Q28" s="59">
        <v>10</v>
      </c>
      <c r="R28" s="63">
        <v>0</v>
      </c>
      <c r="S28" s="84">
        <v>1200</v>
      </c>
      <c r="T28" s="63">
        <v>48</v>
      </c>
      <c r="U28" s="63">
        <v>24</v>
      </c>
      <c r="V28" s="63">
        <v>24</v>
      </c>
      <c r="W28" s="64">
        <v>0</v>
      </c>
      <c r="X28" s="64">
        <v>0</v>
      </c>
      <c r="Y28" s="64">
        <v>0</v>
      </c>
      <c r="Z28" s="64">
        <v>0</v>
      </c>
      <c r="AA28" s="65" t="s">
        <v>165</v>
      </c>
    </row>
    <row r="29" spans="1:27" s="65" customFormat="1">
      <c r="A29" s="59">
        <v>1011</v>
      </c>
      <c r="B29" s="59" t="s">
        <v>73</v>
      </c>
      <c r="C29" s="59" t="s">
        <v>74</v>
      </c>
      <c r="D29" s="59">
        <v>10105</v>
      </c>
      <c r="E29" s="60">
        <v>2000000</v>
      </c>
      <c r="F29" s="59" t="s">
        <v>90</v>
      </c>
      <c r="G29" s="59">
        <v>10</v>
      </c>
      <c r="H29" s="61">
        <v>0</v>
      </c>
      <c r="I29" s="62">
        <f>INDEX([1]角色基础!$AC$16:$CJ$45,MATCH($AA29,[1]角色基础!$J$16:$J$45,0),MATCH(I$2,[1]角色基础!$AC$12:$AF$12,0)+4*(INT(SUBSTITUTE(RIGHT($C29,2),"+",""))-1))</f>
        <v>550</v>
      </c>
      <c r="J29" s="62">
        <f>INDEX([1]角色基础!$AC$16:$CJ$45,MATCH($AA29,[1]角色基础!$J$16:$J$45,0),MATCH(J$2,[1]角色基础!$AC$12:$AF$12,0)+4*(INT(SUBSTITUTE(RIGHT($C29,2),"+",""))-1))</f>
        <v>22</v>
      </c>
      <c r="K29" s="62">
        <f>INDEX([1]角色基础!$AC$16:$CJ$45,MATCH($AA29,[1]角色基础!$J$16:$J$45,0),MATCH(K$2,[1]角色基础!$AC$12:$AF$12,0)+4*(INT(SUBSTITUTE(RIGHT($C29,2),"+",""))-1))</f>
        <v>11</v>
      </c>
      <c r="L29" s="62">
        <f>INDEX([1]角色基础!$AC$16:$CJ$45,MATCH($AA29,[1]角色基础!$J$16:$J$45,0),MATCH(L$2,[1]角色基础!$AC$12:$AF$12,0)+4*(INT(SUBSTITUTE(RIGHT($C29,2),"+",""))-1))</f>
        <v>11</v>
      </c>
      <c r="M29" s="59">
        <v>0</v>
      </c>
      <c r="N29" s="59">
        <v>0</v>
      </c>
      <c r="O29" s="59">
        <v>0</v>
      </c>
      <c r="P29" s="59">
        <v>0</v>
      </c>
      <c r="Q29" s="59">
        <v>11</v>
      </c>
      <c r="R29" s="63">
        <v>0</v>
      </c>
      <c r="S29" s="84">
        <v>1200</v>
      </c>
      <c r="T29" s="63">
        <v>48</v>
      </c>
      <c r="U29" s="63">
        <v>24</v>
      </c>
      <c r="V29" s="63">
        <v>24</v>
      </c>
      <c r="W29" s="64">
        <v>0</v>
      </c>
      <c r="X29" s="64">
        <v>0</v>
      </c>
      <c r="Y29" s="64">
        <v>0</v>
      </c>
      <c r="Z29" s="64">
        <v>0</v>
      </c>
      <c r="AA29" s="65" t="s">
        <v>165</v>
      </c>
    </row>
    <row r="30" spans="1:27" s="65" customFormat="1">
      <c r="A30" s="59">
        <v>1012</v>
      </c>
      <c r="B30" s="59" t="s">
        <v>75</v>
      </c>
      <c r="C30" s="59" t="s">
        <v>76</v>
      </c>
      <c r="D30" s="59">
        <v>10115</v>
      </c>
      <c r="E30" s="60">
        <v>2500000</v>
      </c>
      <c r="F30" s="59" t="s">
        <v>111</v>
      </c>
      <c r="G30" s="59">
        <v>12</v>
      </c>
      <c r="H30" s="61">
        <v>0</v>
      </c>
      <c r="I30" s="62">
        <f>INDEX([1]角色基础!$AC$16:$CJ$45,MATCH($AA30,[1]角色基础!$J$16:$J$45,0),MATCH(I$2,[1]角色基础!$AC$12:$AF$12,0)+4*(INT(SUBSTITUTE(RIGHT($C30,2),"+",""))-1))</f>
        <v>600</v>
      </c>
      <c r="J30" s="62">
        <f>INDEX([1]角色基础!$AC$16:$CJ$45,MATCH($AA30,[1]角色基础!$J$16:$J$45,0),MATCH(J$2,[1]角色基础!$AC$12:$AF$12,0)+4*(INT(SUBSTITUTE(RIGHT($C30,2),"+",""))-1))</f>
        <v>24</v>
      </c>
      <c r="K30" s="62">
        <f>INDEX([1]角色基础!$AC$16:$CJ$45,MATCH($AA30,[1]角色基础!$J$16:$J$45,0),MATCH(K$2,[1]角色基础!$AC$12:$AF$12,0)+4*(INT(SUBSTITUTE(RIGHT($C30,2),"+",""))-1))</f>
        <v>12</v>
      </c>
      <c r="L30" s="62">
        <f>INDEX([1]角色基础!$AC$16:$CJ$45,MATCH($AA30,[1]角色基础!$J$16:$J$45,0),MATCH(L$2,[1]角色基础!$AC$12:$AF$12,0)+4*(INT(SUBSTITUTE(RIGHT($C30,2),"+",""))-1))</f>
        <v>12</v>
      </c>
      <c r="M30" s="59">
        <v>0</v>
      </c>
      <c r="N30" s="59">
        <v>0</v>
      </c>
      <c r="O30" s="59">
        <v>0</v>
      </c>
      <c r="P30" s="59">
        <v>0</v>
      </c>
      <c r="Q30" s="59">
        <v>12</v>
      </c>
      <c r="R30" s="63">
        <v>0</v>
      </c>
      <c r="S30" s="84">
        <v>1200</v>
      </c>
      <c r="T30" s="63">
        <v>48</v>
      </c>
      <c r="U30" s="63">
        <v>24</v>
      </c>
      <c r="V30" s="63">
        <v>24</v>
      </c>
      <c r="W30" s="64">
        <v>0</v>
      </c>
      <c r="X30" s="64">
        <v>0</v>
      </c>
      <c r="Y30" s="64">
        <v>0</v>
      </c>
      <c r="Z30" s="64">
        <v>0</v>
      </c>
      <c r="AA30" s="65" t="s">
        <v>165</v>
      </c>
    </row>
    <row r="31" spans="1:27" s="65" customFormat="1">
      <c r="A31" s="59">
        <v>1013</v>
      </c>
      <c r="B31" s="59" t="s">
        <v>182</v>
      </c>
      <c r="C31" s="59" t="s">
        <v>183</v>
      </c>
      <c r="D31" s="59">
        <v>10125</v>
      </c>
      <c r="E31" s="60">
        <v>3000000</v>
      </c>
      <c r="F31" s="59" t="s">
        <v>194</v>
      </c>
      <c r="G31" s="59">
        <v>14</v>
      </c>
      <c r="H31" s="61">
        <v>0</v>
      </c>
      <c r="I31" s="62">
        <f>INDEX([1]角色基础!$AC$16:$CJ$45,MATCH($AA31,[1]角色基础!$J$16:$J$45,0),MATCH(I$2,[1]角色基础!$AC$12:$AF$12,0)+4*(INT(SUBSTITUTE(RIGHT($C31,2),"+",""))-1))</f>
        <v>650</v>
      </c>
      <c r="J31" s="62">
        <f>INDEX([1]角色基础!$AC$16:$CJ$45,MATCH($AA31,[1]角色基础!$J$16:$J$45,0),MATCH(J$2,[1]角色基础!$AC$12:$AF$12,0)+4*(INT(SUBSTITUTE(RIGHT($C31,2),"+",""))-1))</f>
        <v>26</v>
      </c>
      <c r="K31" s="62">
        <f>INDEX([1]角色基础!$AC$16:$CJ$45,MATCH($AA31,[1]角色基础!$J$16:$J$45,0),MATCH(K$2,[1]角色基础!$AC$12:$AF$12,0)+4*(INT(SUBSTITUTE(RIGHT($C31,2),"+",""))-1))</f>
        <v>13</v>
      </c>
      <c r="L31" s="62">
        <f>INDEX([1]角色基础!$AC$16:$CJ$45,MATCH($AA31,[1]角色基础!$J$16:$J$45,0),MATCH(L$2,[1]角色基础!$AC$12:$AF$12,0)+4*(INT(SUBSTITUTE(RIGHT($C31,2),"+",""))-1))</f>
        <v>13</v>
      </c>
      <c r="M31" s="59">
        <v>0</v>
      </c>
      <c r="N31" s="59">
        <v>0</v>
      </c>
      <c r="O31" s="59">
        <v>0</v>
      </c>
      <c r="P31" s="59">
        <v>0</v>
      </c>
      <c r="Q31" s="59">
        <v>13</v>
      </c>
      <c r="R31" s="63">
        <v>0</v>
      </c>
      <c r="S31" s="84">
        <v>1200</v>
      </c>
      <c r="T31" s="63">
        <v>48</v>
      </c>
      <c r="U31" s="63">
        <v>24</v>
      </c>
      <c r="V31" s="63">
        <v>24</v>
      </c>
      <c r="W31" s="64">
        <v>0</v>
      </c>
      <c r="X31" s="64">
        <v>0</v>
      </c>
      <c r="Y31" s="64">
        <v>0</v>
      </c>
      <c r="Z31" s="64">
        <v>0</v>
      </c>
      <c r="AA31" s="65" t="s">
        <v>165</v>
      </c>
    </row>
    <row r="32" spans="1:27" s="65" customFormat="1">
      <c r="A32" s="59">
        <v>1014</v>
      </c>
      <c r="B32" s="59" t="s">
        <v>184</v>
      </c>
      <c r="C32" s="59" t="s">
        <v>185</v>
      </c>
      <c r="D32" s="59">
        <v>10135</v>
      </c>
      <c r="E32" s="60">
        <v>4000000</v>
      </c>
      <c r="F32" s="59" t="s">
        <v>198</v>
      </c>
      <c r="G32" s="59">
        <v>16</v>
      </c>
      <c r="H32" s="61">
        <v>0</v>
      </c>
      <c r="I32" s="62">
        <f>INDEX([1]角色基础!$AC$16:$CJ$45,MATCH($AA32,[1]角色基础!$J$16:$J$45,0),MATCH(I$2,[1]角色基础!$AC$12:$AF$12,0)+4*(INT(SUBSTITUTE(RIGHT($C32,2),"+",""))-1))</f>
        <v>700</v>
      </c>
      <c r="J32" s="62">
        <f>INDEX([1]角色基础!$AC$16:$CJ$45,MATCH($AA32,[1]角色基础!$J$16:$J$45,0),MATCH(J$2,[1]角色基础!$AC$12:$AF$12,0)+4*(INT(SUBSTITUTE(RIGHT($C32,2),"+",""))-1))</f>
        <v>28</v>
      </c>
      <c r="K32" s="62">
        <f>INDEX([1]角色基础!$AC$16:$CJ$45,MATCH($AA32,[1]角色基础!$J$16:$J$45,0),MATCH(K$2,[1]角色基础!$AC$12:$AF$12,0)+4*(INT(SUBSTITUTE(RIGHT($C32,2),"+",""))-1))</f>
        <v>14</v>
      </c>
      <c r="L32" s="62">
        <f>INDEX([1]角色基础!$AC$16:$CJ$45,MATCH($AA32,[1]角色基础!$J$16:$J$45,0),MATCH(L$2,[1]角色基础!$AC$12:$AF$12,0)+4*(INT(SUBSTITUTE(RIGHT($C32,2),"+",""))-1))</f>
        <v>14</v>
      </c>
      <c r="M32" s="59">
        <v>0</v>
      </c>
      <c r="N32" s="59">
        <v>0</v>
      </c>
      <c r="O32" s="59">
        <v>0</v>
      </c>
      <c r="P32" s="59">
        <v>0</v>
      </c>
      <c r="Q32" s="59">
        <v>14</v>
      </c>
      <c r="R32" s="63">
        <v>0</v>
      </c>
      <c r="S32" s="84">
        <v>1200</v>
      </c>
      <c r="T32" s="63">
        <v>48</v>
      </c>
      <c r="U32" s="63">
        <v>24</v>
      </c>
      <c r="V32" s="63">
        <v>24</v>
      </c>
      <c r="W32" s="64">
        <v>0</v>
      </c>
      <c r="X32" s="64">
        <v>0</v>
      </c>
      <c r="Y32" s="64">
        <v>0</v>
      </c>
      <c r="Z32" s="64">
        <v>0</v>
      </c>
      <c r="AA32" s="65" t="s">
        <v>165</v>
      </c>
    </row>
    <row r="33" spans="1:27" s="65" customFormat="1">
      <c r="A33" s="59">
        <v>1015</v>
      </c>
      <c r="B33" s="59" t="s">
        <v>186</v>
      </c>
      <c r="C33" s="59" t="s">
        <v>187</v>
      </c>
      <c r="D33" s="59">
        <v>10145</v>
      </c>
      <c r="E33" s="60">
        <v>5000000</v>
      </c>
      <c r="F33" s="59" t="s">
        <v>196</v>
      </c>
      <c r="G33" s="59">
        <v>20</v>
      </c>
      <c r="H33" s="61">
        <v>0</v>
      </c>
      <c r="I33" s="62">
        <f>INDEX([1]角色基础!$AC$16:$CJ$45,MATCH($AA33,[1]角色基础!$J$16:$J$45,0),MATCH(I$2,[1]角色基础!$AC$12:$AF$12,0)+4*(INT(SUBSTITUTE(RIGHT($C33,2),"+",""))-1))</f>
        <v>750</v>
      </c>
      <c r="J33" s="62">
        <f>INDEX([1]角色基础!$AC$16:$CJ$45,MATCH($AA33,[1]角色基础!$J$16:$J$45,0),MATCH(J$2,[1]角色基础!$AC$12:$AF$12,0)+4*(INT(SUBSTITUTE(RIGHT($C33,2),"+",""))-1))</f>
        <v>30</v>
      </c>
      <c r="K33" s="62">
        <f>INDEX([1]角色基础!$AC$16:$CJ$45,MATCH($AA33,[1]角色基础!$J$16:$J$45,0),MATCH(K$2,[1]角色基础!$AC$12:$AF$12,0)+4*(INT(SUBSTITUTE(RIGHT($C33,2),"+",""))-1))</f>
        <v>15</v>
      </c>
      <c r="L33" s="62">
        <f>INDEX([1]角色基础!$AC$16:$CJ$45,MATCH($AA33,[1]角色基础!$J$16:$J$45,0),MATCH(L$2,[1]角色基础!$AC$12:$AF$12,0)+4*(INT(SUBSTITUTE(RIGHT($C33,2),"+",""))-1))</f>
        <v>15</v>
      </c>
      <c r="M33" s="59">
        <v>0</v>
      </c>
      <c r="N33" s="59">
        <v>0</v>
      </c>
      <c r="O33" s="59">
        <v>0</v>
      </c>
      <c r="P33" s="59">
        <v>0</v>
      </c>
      <c r="Q33" s="59">
        <v>15</v>
      </c>
      <c r="R33" s="63">
        <v>0</v>
      </c>
      <c r="S33" s="84">
        <v>1200</v>
      </c>
      <c r="T33" s="63">
        <v>48</v>
      </c>
      <c r="U33" s="63">
        <v>24</v>
      </c>
      <c r="V33" s="63">
        <v>24</v>
      </c>
      <c r="W33" s="64">
        <v>0</v>
      </c>
      <c r="X33" s="64">
        <v>0</v>
      </c>
      <c r="Y33" s="64">
        <v>0</v>
      </c>
      <c r="Z33" s="64">
        <v>0</v>
      </c>
      <c r="AA33" s="65" t="s">
        <v>165</v>
      </c>
    </row>
    <row r="34" spans="1:27" s="52" customFormat="1">
      <c r="A34" s="47">
        <v>2001</v>
      </c>
      <c r="B34" s="47" t="s">
        <v>121</v>
      </c>
      <c r="C34" s="47" t="s">
        <v>33</v>
      </c>
      <c r="D34" s="47">
        <v>10001</v>
      </c>
      <c r="E34" s="47">
        <v>5000</v>
      </c>
      <c r="F34" s="47" t="s">
        <v>101</v>
      </c>
      <c r="G34" s="47">
        <v>0</v>
      </c>
      <c r="H34" s="48">
        <v>0</v>
      </c>
      <c r="I34" s="49">
        <f>INDEX([1]角色基础!$AC$16:$CJ$45,MATCH($AA34,[1]角色基础!$J$16:$J$45,0),MATCH(I$2,[1]角色基础!$AC$12:$AF$12,0)+4*(INT(SUBSTITUTE(RIGHT($C34,2),"+",""))-1))</f>
        <v>75</v>
      </c>
      <c r="J34" s="49">
        <f>INDEX([1]角色基础!$AC$16:$CJ$45,MATCH($AA34,[1]角色基础!$J$16:$J$45,0),MATCH(J$2,[1]角色基础!$AC$12:$AF$12,0)+4*(INT(SUBSTITUTE(RIGHT($C34,2),"+",""))-1))</f>
        <v>3</v>
      </c>
      <c r="K34" s="49">
        <f>INDEX([1]角色基础!$AC$16:$CJ$45,MATCH($AA34,[1]角色基础!$J$16:$J$45,0),MATCH(K$2,[1]角色基础!$AC$12:$AF$12,0)+4*(INT(SUBSTITUTE(RIGHT($C34,2),"+",""))-1))</f>
        <v>2</v>
      </c>
      <c r="L34" s="49">
        <f>INDEX([1]角色基础!$AC$16:$CJ$45,MATCH($AA34,[1]角色基础!$J$16:$J$45,0),MATCH(L$2,[1]角色基础!$AC$12:$AF$12,0)+4*(INT(SUBSTITUTE(RIGHT($C34,2),"+",""))-1))</f>
        <v>2</v>
      </c>
      <c r="M34" s="47">
        <v>0</v>
      </c>
      <c r="N34" s="47">
        <v>0</v>
      </c>
      <c r="O34" s="47">
        <v>0</v>
      </c>
      <c r="P34" s="47">
        <v>0</v>
      </c>
      <c r="Q34" s="47">
        <v>1</v>
      </c>
      <c r="R34" s="50">
        <v>0</v>
      </c>
      <c r="S34" s="50">
        <v>1800</v>
      </c>
      <c r="T34" s="50">
        <v>72</v>
      </c>
      <c r="U34" s="50">
        <v>36</v>
      </c>
      <c r="V34" s="50">
        <v>36</v>
      </c>
      <c r="W34" s="51">
        <v>0</v>
      </c>
      <c r="X34" s="51">
        <v>0</v>
      </c>
      <c r="Y34" s="51">
        <v>0</v>
      </c>
      <c r="Z34" s="51">
        <v>0</v>
      </c>
      <c r="AA34" s="52" t="s">
        <v>166</v>
      </c>
    </row>
    <row r="35" spans="1:27" s="52" customFormat="1">
      <c r="A35" s="47">
        <v>2002</v>
      </c>
      <c r="B35" s="47" t="s">
        <v>41</v>
      </c>
      <c r="C35" s="47" t="s">
        <v>34</v>
      </c>
      <c r="D35" s="47">
        <v>10015</v>
      </c>
      <c r="E35" s="47">
        <v>20000</v>
      </c>
      <c r="F35" s="47" t="s">
        <v>102</v>
      </c>
      <c r="G35" s="47">
        <v>0</v>
      </c>
      <c r="H35" s="48">
        <v>0</v>
      </c>
      <c r="I35" s="49">
        <f>INDEX([1]角色基础!$AC$16:$CJ$45,MATCH($AA35,[1]角色基础!$J$16:$J$45,0),MATCH(I$2,[1]角色基础!$AC$12:$AF$12,0)+4*(INT(SUBSTITUTE(RIGHT($C35,2),"+",""))-1))</f>
        <v>150</v>
      </c>
      <c r="J35" s="49">
        <f>INDEX([1]角色基础!$AC$16:$CJ$45,MATCH($AA35,[1]角色基础!$J$16:$J$45,0),MATCH(J$2,[1]角色基础!$AC$12:$AF$12,0)+4*(INT(SUBSTITUTE(RIGHT($C35,2),"+",""))-1))</f>
        <v>6</v>
      </c>
      <c r="K35" s="49">
        <f>INDEX([1]角色基础!$AC$16:$CJ$45,MATCH($AA35,[1]角色基础!$J$16:$J$45,0),MATCH(K$2,[1]角色基础!$AC$12:$AF$12,0)+4*(INT(SUBSTITUTE(RIGHT($C35,2),"+",""))-1))</f>
        <v>3</v>
      </c>
      <c r="L35" s="49">
        <f>INDEX([1]角色基础!$AC$16:$CJ$45,MATCH($AA35,[1]角色基础!$J$16:$J$45,0),MATCH(L$2,[1]角色基础!$AC$12:$AF$12,0)+4*(INT(SUBSTITUTE(RIGHT($C35,2),"+",""))-1))</f>
        <v>3</v>
      </c>
      <c r="M35" s="47">
        <v>0</v>
      </c>
      <c r="N35" s="47">
        <v>0</v>
      </c>
      <c r="O35" s="47">
        <v>0</v>
      </c>
      <c r="P35" s="47">
        <v>0</v>
      </c>
      <c r="Q35" s="47">
        <v>2</v>
      </c>
      <c r="R35" s="50">
        <v>0</v>
      </c>
      <c r="S35" s="50">
        <v>1800</v>
      </c>
      <c r="T35" s="50">
        <v>72</v>
      </c>
      <c r="U35" s="50">
        <v>36</v>
      </c>
      <c r="V35" s="50">
        <v>36</v>
      </c>
      <c r="W35" s="51">
        <v>0</v>
      </c>
      <c r="X35" s="51">
        <v>0</v>
      </c>
      <c r="Y35" s="51">
        <v>0</v>
      </c>
      <c r="Z35" s="51">
        <v>0</v>
      </c>
      <c r="AA35" s="52" t="s">
        <v>166</v>
      </c>
    </row>
    <row r="36" spans="1:27" s="52" customFormat="1">
      <c r="A36" s="47">
        <v>2003</v>
      </c>
      <c r="B36" s="47" t="s">
        <v>42</v>
      </c>
      <c r="C36" s="47" t="s">
        <v>35</v>
      </c>
      <c r="D36" s="47">
        <v>10025</v>
      </c>
      <c r="E36" s="47">
        <v>50000</v>
      </c>
      <c r="F36" s="47" t="s">
        <v>103</v>
      </c>
      <c r="G36" s="47">
        <v>0</v>
      </c>
      <c r="H36" s="48">
        <v>0</v>
      </c>
      <c r="I36" s="49">
        <f>INDEX([1]角色基础!$AC$16:$CJ$45,MATCH($AA36,[1]角色基础!$J$16:$J$45,0),MATCH(I$2,[1]角色基础!$AC$12:$AF$12,0)+4*(INT(SUBSTITUTE(RIGHT($C36,2),"+",""))-1))</f>
        <v>225</v>
      </c>
      <c r="J36" s="49">
        <f>INDEX([1]角色基础!$AC$16:$CJ$45,MATCH($AA36,[1]角色基础!$J$16:$J$45,0),MATCH(J$2,[1]角色基础!$AC$12:$AF$12,0)+4*(INT(SUBSTITUTE(RIGHT($C36,2),"+",""))-1))</f>
        <v>9</v>
      </c>
      <c r="K36" s="49">
        <f>INDEX([1]角色基础!$AC$16:$CJ$45,MATCH($AA36,[1]角色基础!$J$16:$J$45,0),MATCH(K$2,[1]角色基础!$AC$12:$AF$12,0)+4*(INT(SUBSTITUTE(RIGHT($C36,2),"+",""))-1))</f>
        <v>5</v>
      </c>
      <c r="L36" s="49">
        <f>INDEX([1]角色基础!$AC$16:$CJ$45,MATCH($AA36,[1]角色基础!$J$16:$J$45,0),MATCH(L$2,[1]角色基础!$AC$12:$AF$12,0)+4*(INT(SUBSTITUTE(RIGHT($C36,2),"+",""))-1))</f>
        <v>5</v>
      </c>
      <c r="M36" s="47">
        <v>0</v>
      </c>
      <c r="N36" s="47">
        <v>0</v>
      </c>
      <c r="O36" s="47">
        <v>0</v>
      </c>
      <c r="P36" s="47">
        <v>0</v>
      </c>
      <c r="Q36" s="47">
        <v>3</v>
      </c>
      <c r="R36" s="50">
        <v>0</v>
      </c>
      <c r="S36" s="50">
        <v>1800</v>
      </c>
      <c r="T36" s="50">
        <v>72</v>
      </c>
      <c r="U36" s="50">
        <v>36</v>
      </c>
      <c r="V36" s="50">
        <v>36</v>
      </c>
      <c r="W36" s="51">
        <v>0</v>
      </c>
      <c r="X36" s="51">
        <v>0</v>
      </c>
      <c r="Y36" s="51">
        <v>0</v>
      </c>
      <c r="Z36" s="51">
        <v>0</v>
      </c>
      <c r="AA36" s="52" t="s">
        <v>166</v>
      </c>
    </row>
    <row r="37" spans="1:27" s="52" customFormat="1">
      <c r="A37" s="47">
        <v>2004</v>
      </c>
      <c r="B37" s="47" t="s">
        <v>43</v>
      </c>
      <c r="C37" s="47" t="s">
        <v>36</v>
      </c>
      <c r="D37" s="47">
        <v>10035</v>
      </c>
      <c r="E37" s="47">
        <v>100000</v>
      </c>
      <c r="F37" s="47" t="s">
        <v>104</v>
      </c>
      <c r="G37" s="47">
        <v>1</v>
      </c>
      <c r="H37" s="48">
        <v>0</v>
      </c>
      <c r="I37" s="49">
        <f>INDEX([1]角色基础!$AC$16:$CJ$45,MATCH($AA37,[1]角色基础!$J$16:$J$45,0),MATCH(I$2,[1]角色基础!$AC$12:$AF$12,0)+4*(INT(SUBSTITUTE(RIGHT($C37,2),"+",""))-1))</f>
        <v>300</v>
      </c>
      <c r="J37" s="49">
        <f>INDEX([1]角色基础!$AC$16:$CJ$45,MATCH($AA37,[1]角色基础!$J$16:$J$45,0),MATCH(J$2,[1]角色基础!$AC$12:$AF$12,0)+4*(INT(SUBSTITUTE(RIGHT($C37,2),"+",""))-1))</f>
        <v>12</v>
      </c>
      <c r="K37" s="49">
        <f>INDEX([1]角色基础!$AC$16:$CJ$45,MATCH($AA37,[1]角色基础!$J$16:$J$45,0),MATCH(K$2,[1]角色基础!$AC$12:$AF$12,0)+4*(INT(SUBSTITUTE(RIGHT($C37,2),"+",""))-1))</f>
        <v>6</v>
      </c>
      <c r="L37" s="49">
        <f>INDEX([1]角色基础!$AC$16:$CJ$45,MATCH($AA37,[1]角色基础!$J$16:$J$45,0),MATCH(L$2,[1]角色基础!$AC$12:$AF$12,0)+4*(INT(SUBSTITUTE(RIGHT($C37,2),"+",""))-1))</f>
        <v>6</v>
      </c>
      <c r="M37" s="47">
        <v>0</v>
      </c>
      <c r="N37" s="47">
        <v>0</v>
      </c>
      <c r="O37" s="47">
        <v>0</v>
      </c>
      <c r="P37" s="47">
        <v>0</v>
      </c>
      <c r="Q37" s="47">
        <v>4</v>
      </c>
      <c r="R37" s="50">
        <v>0</v>
      </c>
      <c r="S37" s="50">
        <v>1800</v>
      </c>
      <c r="T37" s="50">
        <v>72</v>
      </c>
      <c r="U37" s="50">
        <v>36</v>
      </c>
      <c r="V37" s="50">
        <v>36</v>
      </c>
      <c r="W37" s="51">
        <v>0</v>
      </c>
      <c r="X37" s="51">
        <v>0</v>
      </c>
      <c r="Y37" s="51">
        <v>0</v>
      </c>
      <c r="Z37" s="51">
        <v>0</v>
      </c>
      <c r="AA37" s="52" t="s">
        <v>166</v>
      </c>
    </row>
    <row r="38" spans="1:27" s="52" customFormat="1">
      <c r="A38" s="47">
        <v>2005</v>
      </c>
      <c r="B38" s="47" t="s">
        <v>44</v>
      </c>
      <c r="C38" s="47" t="s">
        <v>37</v>
      </c>
      <c r="D38" s="47">
        <v>10045</v>
      </c>
      <c r="E38" s="47">
        <v>200000</v>
      </c>
      <c r="F38" s="47" t="s">
        <v>105</v>
      </c>
      <c r="G38" s="47">
        <v>1</v>
      </c>
      <c r="H38" s="48">
        <v>0</v>
      </c>
      <c r="I38" s="49">
        <f>INDEX([1]角色基础!$AC$16:$CJ$45,MATCH($AA38,[1]角色基础!$J$16:$J$45,0),MATCH(I$2,[1]角色基础!$AC$12:$AF$12,0)+4*(INT(SUBSTITUTE(RIGHT($C38,2),"+",""))-1))</f>
        <v>375</v>
      </c>
      <c r="J38" s="49">
        <f>INDEX([1]角色基础!$AC$16:$CJ$45,MATCH($AA38,[1]角色基础!$J$16:$J$45,0),MATCH(J$2,[1]角色基础!$AC$12:$AF$12,0)+4*(INT(SUBSTITUTE(RIGHT($C38,2),"+",""))-1))</f>
        <v>15</v>
      </c>
      <c r="K38" s="49">
        <f>INDEX([1]角色基础!$AC$16:$CJ$45,MATCH($AA38,[1]角色基础!$J$16:$J$45,0),MATCH(K$2,[1]角色基础!$AC$12:$AF$12,0)+4*(INT(SUBSTITUTE(RIGHT($C38,2),"+",""))-1))</f>
        <v>8</v>
      </c>
      <c r="L38" s="49">
        <f>INDEX([1]角色基础!$AC$16:$CJ$45,MATCH($AA38,[1]角色基础!$J$16:$J$45,0),MATCH(L$2,[1]角色基础!$AC$12:$AF$12,0)+4*(INT(SUBSTITUTE(RIGHT($C38,2),"+",""))-1))</f>
        <v>8</v>
      </c>
      <c r="M38" s="47">
        <v>0</v>
      </c>
      <c r="N38" s="47">
        <v>0</v>
      </c>
      <c r="O38" s="47">
        <v>0</v>
      </c>
      <c r="P38" s="47">
        <v>0</v>
      </c>
      <c r="Q38" s="47">
        <v>5</v>
      </c>
      <c r="R38" s="50">
        <v>0</v>
      </c>
      <c r="S38" s="50">
        <v>1800</v>
      </c>
      <c r="T38" s="50">
        <v>72</v>
      </c>
      <c r="U38" s="50">
        <v>36</v>
      </c>
      <c r="V38" s="50">
        <v>36</v>
      </c>
      <c r="W38" s="51">
        <v>0</v>
      </c>
      <c r="X38" s="51">
        <v>0</v>
      </c>
      <c r="Y38" s="51">
        <v>0</v>
      </c>
      <c r="Z38" s="51">
        <v>0</v>
      </c>
      <c r="AA38" s="52" t="s">
        <v>166</v>
      </c>
    </row>
    <row r="39" spans="1:27" s="52" customFormat="1">
      <c r="A39" s="47">
        <v>2006</v>
      </c>
      <c r="B39" s="47" t="s">
        <v>45</v>
      </c>
      <c r="C39" s="47" t="s">
        <v>38</v>
      </c>
      <c r="D39" s="47">
        <v>10055</v>
      </c>
      <c r="E39" s="47">
        <v>300000</v>
      </c>
      <c r="F39" s="47" t="s">
        <v>106</v>
      </c>
      <c r="G39" s="47">
        <v>2</v>
      </c>
      <c r="H39" s="48">
        <v>0</v>
      </c>
      <c r="I39" s="49">
        <f>INDEX([1]角色基础!$AC$16:$CJ$45,MATCH($AA39,[1]角色基础!$J$16:$J$45,0),MATCH(I$2,[1]角色基础!$AC$12:$AF$12,0)+4*(INT(SUBSTITUTE(RIGHT($C39,2),"+",""))-1))</f>
        <v>450</v>
      </c>
      <c r="J39" s="49">
        <f>INDEX([1]角色基础!$AC$16:$CJ$45,MATCH($AA39,[1]角色基础!$J$16:$J$45,0),MATCH(J$2,[1]角色基础!$AC$12:$AF$12,0)+4*(INT(SUBSTITUTE(RIGHT($C39,2),"+",""))-1))</f>
        <v>18</v>
      </c>
      <c r="K39" s="49">
        <f>INDEX([1]角色基础!$AC$16:$CJ$45,MATCH($AA39,[1]角色基础!$J$16:$J$45,0),MATCH(K$2,[1]角色基础!$AC$12:$AF$12,0)+4*(INT(SUBSTITUTE(RIGHT($C39,2),"+",""))-1))</f>
        <v>9</v>
      </c>
      <c r="L39" s="49">
        <f>INDEX([1]角色基础!$AC$16:$CJ$45,MATCH($AA39,[1]角色基础!$J$16:$J$45,0),MATCH(L$2,[1]角色基础!$AC$12:$AF$12,0)+4*(INT(SUBSTITUTE(RIGHT($C39,2),"+",""))-1))</f>
        <v>9</v>
      </c>
      <c r="M39" s="47">
        <v>0</v>
      </c>
      <c r="N39" s="47">
        <v>0</v>
      </c>
      <c r="O39" s="47">
        <v>0</v>
      </c>
      <c r="P39" s="47">
        <v>0</v>
      </c>
      <c r="Q39" s="47">
        <v>6</v>
      </c>
      <c r="R39" s="50">
        <v>0</v>
      </c>
      <c r="S39" s="50">
        <v>1800</v>
      </c>
      <c r="T39" s="50">
        <v>72</v>
      </c>
      <c r="U39" s="50">
        <v>36</v>
      </c>
      <c r="V39" s="50">
        <v>36</v>
      </c>
      <c r="W39" s="51">
        <v>0</v>
      </c>
      <c r="X39" s="51">
        <v>0</v>
      </c>
      <c r="Y39" s="51">
        <v>0</v>
      </c>
      <c r="Z39" s="51">
        <v>0</v>
      </c>
      <c r="AA39" s="52" t="s">
        <v>166</v>
      </c>
    </row>
    <row r="40" spans="1:27" s="52" customFormat="1">
      <c r="A40" s="47">
        <v>2007</v>
      </c>
      <c r="B40" s="47" t="s">
        <v>46</v>
      </c>
      <c r="C40" s="47" t="s">
        <v>39</v>
      </c>
      <c r="D40" s="47">
        <v>10065</v>
      </c>
      <c r="E40" s="47">
        <v>500000</v>
      </c>
      <c r="F40" s="47" t="s">
        <v>107</v>
      </c>
      <c r="G40" s="47">
        <v>2</v>
      </c>
      <c r="H40" s="48">
        <v>0</v>
      </c>
      <c r="I40" s="49">
        <f>INDEX([1]角色基础!$AC$16:$CJ$45,MATCH($AA40,[1]角色基础!$J$16:$J$45,0),MATCH(I$2,[1]角色基础!$AC$12:$AF$12,0)+4*(INT(SUBSTITUTE(RIGHT($C40,2),"+",""))-1))</f>
        <v>525</v>
      </c>
      <c r="J40" s="49">
        <f>INDEX([1]角色基础!$AC$16:$CJ$45,MATCH($AA40,[1]角色基础!$J$16:$J$45,0),MATCH(J$2,[1]角色基础!$AC$12:$AF$12,0)+4*(INT(SUBSTITUTE(RIGHT($C40,2),"+",""))-1))</f>
        <v>21</v>
      </c>
      <c r="K40" s="49">
        <f>INDEX([1]角色基础!$AC$16:$CJ$45,MATCH($AA40,[1]角色基础!$J$16:$J$45,0),MATCH(K$2,[1]角色基础!$AC$12:$AF$12,0)+4*(INT(SUBSTITUTE(RIGHT($C40,2),"+",""))-1))</f>
        <v>11</v>
      </c>
      <c r="L40" s="49">
        <f>INDEX([1]角色基础!$AC$16:$CJ$45,MATCH($AA40,[1]角色基础!$J$16:$J$45,0),MATCH(L$2,[1]角色基础!$AC$12:$AF$12,0)+4*(INT(SUBSTITUTE(RIGHT($C40,2),"+",""))-1))</f>
        <v>11</v>
      </c>
      <c r="M40" s="47">
        <v>0</v>
      </c>
      <c r="N40" s="47">
        <v>0</v>
      </c>
      <c r="O40" s="47">
        <v>0</v>
      </c>
      <c r="P40" s="47">
        <v>0</v>
      </c>
      <c r="Q40" s="47">
        <v>7</v>
      </c>
      <c r="R40" s="50">
        <v>0</v>
      </c>
      <c r="S40" s="50">
        <v>1800</v>
      </c>
      <c r="T40" s="50">
        <v>72</v>
      </c>
      <c r="U40" s="50">
        <v>36</v>
      </c>
      <c r="V40" s="50">
        <v>36</v>
      </c>
      <c r="W40" s="51">
        <v>0</v>
      </c>
      <c r="X40" s="51">
        <v>0</v>
      </c>
      <c r="Y40" s="51">
        <v>0</v>
      </c>
      <c r="Z40" s="51">
        <v>0</v>
      </c>
      <c r="AA40" s="52" t="s">
        <v>166</v>
      </c>
    </row>
    <row r="41" spans="1:27" s="52" customFormat="1">
      <c r="A41" s="47">
        <v>2008</v>
      </c>
      <c r="B41" s="47" t="s">
        <v>47</v>
      </c>
      <c r="C41" s="47" t="s">
        <v>40</v>
      </c>
      <c r="D41" s="47">
        <v>10075</v>
      </c>
      <c r="E41" s="47">
        <v>800000</v>
      </c>
      <c r="F41" s="47" t="s">
        <v>108</v>
      </c>
      <c r="G41" s="47">
        <v>4</v>
      </c>
      <c r="H41" s="48">
        <v>0</v>
      </c>
      <c r="I41" s="49">
        <f>INDEX([1]角色基础!$AC$16:$CJ$45,MATCH($AA41,[1]角色基础!$J$16:$J$45,0),MATCH(I$2,[1]角色基础!$AC$12:$AF$12,0)+4*(INT(SUBSTITUTE(RIGHT($C41,2),"+",""))-1))</f>
        <v>600</v>
      </c>
      <c r="J41" s="49">
        <f>INDEX([1]角色基础!$AC$16:$CJ$45,MATCH($AA41,[1]角色基础!$J$16:$J$45,0),MATCH(J$2,[1]角色基础!$AC$12:$AF$12,0)+4*(INT(SUBSTITUTE(RIGHT($C41,2),"+",""))-1))</f>
        <v>24</v>
      </c>
      <c r="K41" s="49">
        <f>INDEX([1]角色基础!$AC$16:$CJ$45,MATCH($AA41,[1]角色基础!$J$16:$J$45,0),MATCH(K$2,[1]角色基础!$AC$12:$AF$12,0)+4*(INT(SUBSTITUTE(RIGHT($C41,2),"+",""))-1))</f>
        <v>12</v>
      </c>
      <c r="L41" s="49">
        <f>INDEX([1]角色基础!$AC$16:$CJ$45,MATCH($AA41,[1]角色基础!$J$16:$J$45,0),MATCH(L$2,[1]角色基础!$AC$12:$AF$12,0)+4*(INT(SUBSTITUTE(RIGHT($C41,2),"+",""))-1))</f>
        <v>12</v>
      </c>
      <c r="M41" s="47">
        <v>0</v>
      </c>
      <c r="N41" s="47">
        <v>0</v>
      </c>
      <c r="O41" s="47">
        <v>0</v>
      </c>
      <c r="P41" s="47">
        <v>0</v>
      </c>
      <c r="Q41" s="47">
        <v>8</v>
      </c>
      <c r="R41" s="50">
        <v>0</v>
      </c>
      <c r="S41" s="50">
        <v>1800</v>
      </c>
      <c r="T41" s="50">
        <v>72</v>
      </c>
      <c r="U41" s="50">
        <v>36</v>
      </c>
      <c r="V41" s="50">
        <v>36</v>
      </c>
      <c r="W41" s="51">
        <v>0</v>
      </c>
      <c r="X41" s="51">
        <v>0</v>
      </c>
      <c r="Y41" s="51">
        <v>0</v>
      </c>
      <c r="Z41" s="51">
        <v>0</v>
      </c>
      <c r="AA41" s="52" t="s">
        <v>166</v>
      </c>
    </row>
    <row r="42" spans="1:27" s="52" customFormat="1">
      <c r="A42" s="47">
        <v>2009</v>
      </c>
      <c r="B42" s="47" t="s">
        <v>69</v>
      </c>
      <c r="C42" s="47" t="s">
        <v>32</v>
      </c>
      <c r="D42" s="47">
        <v>10085</v>
      </c>
      <c r="E42" s="47">
        <v>1200000</v>
      </c>
      <c r="F42" s="47" t="s">
        <v>109</v>
      </c>
      <c r="G42" s="47">
        <v>6</v>
      </c>
      <c r="H42" s="48">
        <v>0</v>
      </c>
      <c r="I42" s="49">
        <f>INDEX([1]角色基础!$AC$16:$CJ$45,MATCH($AA42,[1]角色基础!$J$16:$J$45,0),MATCH(I$2,[1]角色基础!$AC$12:$AF$12,0)+4*(INT(SUBSTITUTE(RIGHT($C42,2),"+",""))-1))</f>
        <v>675</v>
      </c>
      <c r="J42" s="49">
        <f>INDEX([1]角色基础!$AC$16:$CJ$45,MATCH($AA42,[1]角色基础!$J$16:$J$45,0),MATCH(J$2,[1]角色基础!$AC$12:$AF$12,0)+4*(INT(SUBSTITUTE(RIGHT($C42,2),"+",""))-1))</f>
        <v>27</v>
      </c>
      <c r="K42" s="49">
        <f>INDEX([1]角色基础!$AC$16:$CJ$45,MATCH($AA42,[1]角色基础!$J$16:$J$45,0),MATCH(K$2,[1]角色基础!$AC$12:$AF$12,0)+4*(INT(SUBSTITUTE(RIGHT($C42,2),"+",""))-1))</f>
        <v>14</v>
      </c>
      <c r="L42" s="49">
        <f>INDEX([1]角色基础!$AC$16:$CJ$45,MATCH($AA42,[1]角色基础!$J$16:$J$45,0),MATCH(L$2,[1]角色基础!$AC$12:$AF$12,0)+4*(INT(SUBSTITUTE(RIGHT($C42,2),"+",""))-1))</f>
        <v>14</v>
      </c>
      <c r="M42" s="47">
        <v>0</v>
      </c>
      <c r="N42" s="47">
        <v>0</v>
      </c>
      <c r="O42" s="47">
        <v>0</v>
      </c>
      <c r="P42" s="47">
        <v>0</v>
      </c>
      <c r="Q42" s="47">
        <v>9</v>
      </c>
      <c r="R42" s="50">
        <v>0</v>
      </c>
      <c r="S42" s="50">
        <v>1800</v>
      </c>
      <c r="T42" s="50">
        <v>72</v>
      </c>
      <c r="U42" s="50">
        <v>36</v>
      </c>
      <c r="V42" s="50">
        <v>36</v>
      </c>
      <c r="W42" s="51">
        <v>0</v>
      </c>
      <c r="X42" s="51">
        <v>0</v>
      </c>
      <c r="Y42" s="51">
        <v>0</v>
      </c>
      <c r="Z42" s="51">
        <v>0</v>
      </c>
      <c r="AA42" s="52" t="s">
        <v>166</v>
      </c>
    </row>
    <row r="43" spans="1:27" s="52" customFormat="1">
      <c r="A43" s="47">
        <v>2010</v>
      </c>
      <c r="B43" s="47" t="s">
        <v>71</v>
      </c>
      <c r="C43" s="47" t="s">
        <v>31</v>
      </c>
      <c r="D43" s="47">
        <v>10095</v>
      </c>
      <c r="E43" s="47">
        <v>1600000</v>
      </c>
      <c r="F43" s="47" t="s">
        <v>110</v>
      </c>
      <c r="G43" s="47">
        <v>8</v>
      </c>
      <c r="H43" s="48">
        <v>0</v>
      </c>
      <c r="I43" s="49">
        <f>INDEX([1]角色基础!$AC$16:$CJ$45,MATCH($AA43,[1]角色基础!$J$16:$J$45,0),MATCH(I$2,[1]角色基础!$AC$12:$AF$12,0)+4*(INT(SUBSTITUTE(RIGHT($C43,2),"+",""))-1))</f>
        <v>750</v>
      </c>
      <c r="J43" s="49">
        <f>INDEX([1]角色基础!$AC$16:$CJ$45,MATCH($AA43,[1]角色基础!$J$16:$J$45,0),MATCH(J$2,[1]角色基础!$AC$12:$AF$12,0)+4*(INT(SUBSTITUTE(RIGHT($C43,2),"+",""))-1))</f>
        <v>30</v>
      </c>
      <c r="K43" s="49">
        <f>INDEX([1]角色基础!$AC$16:$CJ$45,MATCH($AA43,[1]角色基础!$J$16:$J$45,0),MATCH(K$2,[1]角色基础!$AC$12:$AF$12,0)+4*(INT(SUBSTITUTE(RIGHT($C43,2),"+",""))-1))</f>
        <v>15</v>
      </c>
      <c r="L43" s="49">
        <f>INDEX([1]角色基础!$AC$16:$CJ$45,MATCH($AA43,[1]角色基础!$J$16:$J$45,0),MATCH(L$2,[1]角色基础!$AC$12:$AF$12,0)+4*(INT(SUBSTITUTE(RIGHT($C43,2),"+",""))-1))</f>
        <v>15</v>
      </c>
      <c r="M43" s="47">
        <v>0</v>
      </c>
      <c r="N43" s="47">
        <v>0</v>
      </c>
      <c r="O43" s="47">
        <v>0</v>
      </c>
      <c r="P43" s="47">
        <v>0</v>
      </c>
      <c r="Q43" s="47">
        <v>10</v>
      </c>
      <c r="R43" s="50">
        <v>0</v>
      </c>
      <c r="S43" s="50">
        <v>1800</v>
      </c>
      <c r="T43" s="50">
        <v>72</v>
      </c>
      <c r="U43" s="50">
        <v>36</v>
      </c>
      <c r="V43" s="50">
        <v>36</v>
      </c>
      <c r="W43" s="51">
        <v>0</v>
      </c>
      <c r="X43" s="51">
        <v>0</v>
      </c>
      <c r="Y43" s="51">
        <v>0</v>
      </c>
      <c r="Z43" s="51">
        <v>0</v>
      </c>
      <c r="AA43" s="52" t="s">
        <v>166</v>
      </c>
    </row>
    <row r="44" spans="1:27" s="52" customFormat="1">
      <c r="A44" s="47">
        <v>2011</v>
      </c>
      <c r="B44" s="47" t="s">
        <v>73</v>
      </c>
      <c r="C44" s="47" t="s">
        <v>74</v>
      </c>
      <c r="D44" s="47">
        <v>10105</v>
      </c>
      <c r="E44" s="47">
        <v>2000000</v>
      </c>
      <c r="F44" s="47" t="s">
        <v>90</v>
      </c>
      <c r="G44" s="47">
        <v>10</v>
      </c>
      <c r="H44" s="48">
        <v>0</v>
      </c>
      <c r="I44" s="49">
        <f>INDEX([1]角色基础!$AC$16:$CJ$45,MATCH($AA44,[1]角色基础!$J$16:$J$45,0),MATCH(I$2,[1]角色基础!$AC$12:$AF$12,0)+4*(INT(SUBSTITUTE(RIGHT($C44,2),"+",""))-1))</f>
        <v>825</v>
      </c>
      <c r="J44" s="49">
        <f>INDEX([1]角色基础!$AC$16:$CJ$45,MATCH($AA44,[1]角色基础!$J$16:$J$45,0),MATCH(J$2,[1]角色基础!$AC$12:$AF$12,0)+4*(INT(SUBSTITUTE(RIGHT($C44,2),"+",""))-1))</f>
        <v>33</v>
      </c>
      <c r="K44" s="49">
        <f>INDEX([1]角色基础!$AC$16:$CJ$45,MATCH($AA44,[1]角色基础!$J$16:$J$45,0),MATCH(K$2,[1]角色基础!$AC$12:$AF$12,0)+4*(INT(SUBSTITUTE(RIGHT($C44,2),"+",""))-1))</f>
        <v>17</v>
      </c>
      <c r="L44" s="49">
        <f>INDEX([1]角色基础!$AC$16:$CJ$45,MATCH($AA44,[1]角色基础!$J$16:$J$45,0),MATCH(L$2,[1]角色基础!$AC$12:$AF$12,0)+4*(INT(SUBSTITUTE(RIGHT($C44,2),"+",""))-1))</f>
        <v>17</v>
      </c>
      <c r="M44" s="47">
        <v>0</v>
      </c>
      <c r="N44" s="47">
        <v>0</v>
      </c>
      <c r="O44" s="47">
        <v>0</v>
      </c>
      <c r="P44" s="47">
        <v>0</v>
      </c>
      <c r="Q44" s="47">
        <v>11</v>
      </c>
      <c r="R44" s="50">
        <v>0</v>
      </c>
      <c r="S44" s="50">
        <v>1800</v>
      </c>
      <c r="T44" s="50">
        <v>72</v>
      </c>
      <c r="U44" s="50">
        <v>36</v>
      </c>
      <c r="V44" s="50">
        <v>36</v>
      </c>
      <c r="W44" s="51">
        <v>0</v>
      </c>
      <c r="X44" s="51">
        <v>0</v>
      </c>
      <c r="Y44" s="51">
        <v>0</v>
      </c>
      <c r="Z44" s="51">
        <v>0</v>
      </c>
      <c r="AA44" s="52" t="s">
        <v>166</v>
      </c>
    </row>
    <row r="45" spans="1:27" s="52" customFormat="1">
      <c r="A45" s="47">
        <v>2012</v>
      </c>
      <c r="B45" s="47" t="s">
        <v>75</v>
      </c>
      <c r="C45" s="47" t="s">
        <v>76</v>
      </c>
      <c r="D45" s="47">
        <v>10115</v>
      </c>
      <c r="E45" s="47">
        <v>2500000</v>
      </c>
      <c r="F45" s="47" t="s">
        <v>111</v>
      </c>
      <c r="G45" s="47">
        <v>12</v>
      </c>
      <c r="H45" s="48">
        <v>0</v>
      </c>
      <c r="I45" s="49">
        <f>INDEX([1]角色基础!$AC$16:$CJ$45,MATCH($AA45,[1]角色基础!$J$16:$J$45,0),MATCH(I$2,[1]角色基础!$AC$12:$AF$12,0)+4*(INT(SUBSTITUTE(RIGHT($C45,2),"+",""))-1))</f>
        <v>900</v>
      </c>
      <c r="J45" s="49">
        <f>INDEX([1]角色基础!$AC$16:$CJ$45,MATCH($AA45,[1]角色基础!$J$16:$J$45,0),MATCH(J$2,[1]角色基础!$AC$12:$AF$12,0)+4*(INT(SUBSTITUTE(RIGHT($C45,2),"+",""))-1))</f>
        <v>36</v>
      </c>
      <c r="K45" s="49">
        <f>INDEX([1]角色基础!$AC$16:$CJ$45,MATCH($AA45,[1]角色基础!$J$16:$J$45,0),MATCH(K$2,[1]角色基础!$AC$12:$AF$12,0)+4*(INT(SUBSTITUTE(RIGHT($C45,2),"+",""))-1))</f>
        <v>18</v>
      </c>
      <c r="L45" s="49">
        <f>INDEX([1]角色基础!$AC$16:$CJ$45,MATCH($AA45,[1]角色基础!$J$16:$J$45,0),MATCH(L$2,[1]角色基础!$AC$12:$AF$12,0)+4*(INT(SUBSTITUTE(RIGHT($C45,2),"+",""))-1))</f>
        <v>18</v>
      </c>
      <c r="M45" s="47">
        <v>0</v>
      </c>
      <c r="N45" s="47">
        <v>0</v>
      </c>
      <c r="O45" s="47">
        <v>0</v>
      </c>
      <c r="P45" s="47">
        <v>0</v>
      </c>
      <c r="Q45" s="47">
        <v>12</v>
      </c>
      <c r="R45" s="50">
        <v>0</v>
      </c>
      <c r="S45" s="50">
        <v>1800</v>
      </c>
      <c r="T45" s="50">
        <v>72</v>
      </c>
      <c r="U45" s="50">
        <v>36</v>
      </c>
      <c r="V45" s="50">
        <v>36</v>
      </c>
      <c r="W45" s="51">
        <v>0</v>
      </c>
      <c r="X45" s="51">
        <v>0</v>
      </c>
      <c r="Y45" s="51">
        <v>0</v>
      </c>
      <c r="Z45" s="51">
        <v>0</v>
      </c>
      <c r="AA45" s="52" t="s">
        <v>166</v>
      </c>
    </row>
    <row r="46" spans="1:27" s="52" customFormat="1">
      <c r="A46" s="47">
        <v>2013</v>
      </c>
      <c r="B46" s="47" t="s">
        <v>182</v>
      </c>
      <c r="C46" s="47" t="s">
        <v>183</v>
      </c>
      <c r="D46" s="47">
        <v>10125</v>
      </c>
      <c r="E46" s="47">
        <v>3000000</v>
      </c>
      <c r="F46" s="47" t="s">
        <v>114</v>
      </c>
      <c r="G46" s="47">
        <v>14</v>
      </c>
      <c r="H46" s="48">
        <v>0</v>
      </c>
      <c r="I46" s="49">
        <f>INDEX([1]角色基础!$AC$16:$CJ$45,MATCH($AA46,[1]角色基础!$J$16:$J$45,0),MATCH(I$2,[1]角色基础!$AC$12:$AF$12,0)+4*(INT(SUBSTITUTE(RIGHT($C46,2),"+",""))-1))</f>
        <v>975</v>
      </c>
      <c r="J46" s="49">
        <f>INDEX([1]角色基础!$AC$16:$CJ$45,MATCH($AA46,[1]角色基础!$J$16:$J$45,0),MATCH(J$2,[1]角色基础!$AC$12:$AF$12,0)+4*(INT(SUBSTITUTE(RIGHT($C46,2),"+",""))-1))</f>
        <v>39</v>
      </c>
      <c r="K46" s="49">
        <f>INDEX([1]角色基础!$AC$16:$CJ$45,MATCH($AA46,[1]角色基础!$J$16:$J$45,0),MATCH(K$2,[1]角色基础!$AC$12:$AF$12,0)+4*(INT(SUBSTITUTE(RIGHT($C46,2),"+",""))-1))</f>
        <v>20</v>
      </c>
      <c r="L46" s="49">
        <f>INDEX([1]角色基础!$AC$16:$CJ$45,MATCH($AA46,[1]角色基础!$J$16:$J$45,0),MATCH(L$2,[1]角色基础!$AC$12:$AF$12,0)+4*(INT(SUBSTITUTE(RIGHT($C46,2),"+",""))-1))</f>
        <v>20</v>
      </c>
      <c r="M46" s="47">
        <v>0</v>
      </c>
      <c r="N46" s="47">
        <v>0</v>
      </c>
      <c r="O46" s="47">
        <v>0</v>
      </c>
      <c r="P46" s="47">
        <v>0</v>
      </c>
      <c r="Q46" s="47">
        <v>13</v>
      </c>
      <c r="R46" s="50">
        <v>0</v>
      </c>
      <c r="S46" s="50">
        <v>1800</v>
      </c>
      <c r="T46" s="50">
        <v>72</v>
      </c>
      <c r="U46" s="50">
        <v>36</v>
      </c>
      <c r="V46" s="50">
        <v>36</v>
      </c>
      <c r="W46" s="51">
        <v>0</v>
      </c>
      <c r="X46" s="51">
        <v>0</v>
      </c>
      <c r="Y46" s="51">
        <v>0</v>
      </c>
      <c r="Z46" s="51">
        <v>0</v>
      </c>
      <c r="AA46" s="52" t="s">
        <v>166</v>
      </c>
    </row>
    <row r="47" spans="1:27" s="52" customFormat="1">
      <c r="A47" s="47">
        <v>2014</v>
      </c>
      <c r="B47" s="47" t="s">
        <v>184</v>
      </c>
      <c r="C47" s="47" t="s">
        <v>185</v>
      </c>
      <c r="D47" s="47">
        <v>10135</v>
      </c>
      <c r="E47" s="47">
        <v>4000000</v>
      </c>
      <c r="F47" s="47" t="s">
        <v>197</v>
      </c>
      <c r="G47" s="47">
        <v>16</v>
      </c>
      <c r="H47" s="48">
        <v>0</v>
      </c>
      <c r="I47" s="49">
        <f>INDEX([1]角色基础!$AC$16:$CJ$45,MATCH($AA47,[1]角色基础!$J$16:$J$45,0),MATCH(I$2,[1]角色基础!$AC$12:$AF$12,0)+4*(INT(SUBSTITUTE(RIGHT($C47,2),"+",""))-1))</f>
        <v>1050</v>
      </c>
      <c r="J47" s="49">
        <f>INDEX([1]角色基础!$AC$16:$CJ$45,MATCH($AA47,[1]角色基础!$J$16:$J$45,0),MATCH(J$2,[1]角色基础!$AC$12:$AF$12,0)+4*(INT(SUBSTITUTE(RIGHT($C47,2),"+",""))-1))</f>
        <v>42</v>
      </c>
      <c r="K47" s="49">
        <f>INDEX([1]角色基础!$AC$16:$CJ$45,MATCH($AA47,[1]角色基础!$J$16:$J$45,0),MATCH(K$2,[1]角色基础!$AC$12:$AF$12,0)+4*(INT(SUBSTITUTE(RIGHT($C47,2),"+",""))-1))</f>
        <v>21</v>
      </c>
      <c r="L47" s="49">
        <f>INDEX([1]角色基础!$AC$16:$CJ$45,MATCH($AA47,[1]角色基础!$J$16:$J$45,0),MATCH(L$2,[1]角色基础!$AC$12:$AF$12,0)+4*(INT(SUBSTITUTE(RIGHT($C47,2),"+",""))-1))</f>
        <v>21</v>
      </c>
      <c r="M47" s="47">
        <v>0</v>
      </c>
      <c r="N47" s="47">
        <v>0</v>
      </c>
      <c r="O47" s="47">
        <v>0</v>
      </c>
      <c r="P47" s="47">
        <v>0</v>
      </c>
      <c r="Q47" s="47">
        <v>14</v>
      </c>
      <c r="R47" s="50">
        <v>0</v>
      </c>
      <c r="S47" s="50">
        <v>1800</v>
      </c>
      <c r="T47" s="50">
        <v>72</v>
      </c>
      <c r="U47" s="50">
        <v>36</v>
      </c>
      <c r="V47" s="50">
        <v>36</v>
      </c>
      <c r="W47" s="51">
        <v>0</v>
      </c>
      <c r="X47" s="51">
        <v>0</v>
      </c>
      <c r="Y47" s="51">
        <v>0</v>
      </c>
      <c r="Z47" s="51">
        <v>0</v>
      </c>
      <c r="AA47" s="52" t="s">
        <v>166</v>
      </c>
    </row>
    <row r="48" spans="1:27" s="52" customFormat="1">
      <c r="A48" s="47">
        <v>2015</v>
      </c>
      <c r="B48" s="47" t="s">
        <v>186</v>
      </c>
      <c r="C48" s="47" t="s">
        <v>187</v>
      </c>
      <c r="D48" s="47">
        <v>10145</v>
      </c>
      <c r="E48" s="47">
        <v>5000000</v>
      </c>
      <c r="F48" s="47" t="s">
        <v>195</v>
      </c>
      <c r="G48" s="47">
        <v>20</v>
      </c>
      <c r="H48" s="48">
        <v>0</v>
      </c>
      <c r="I48" s="49">
        <f>INDEX([1]角色基础!$AC$16:$CJ$45,MATCH($AA48,[1]角色基础!$J$16:$J$45,0),MATCH(I$2,[1]角色基础!$AC$12:$AF$12,0)+4*(INT(SUBSTITUTE(RIGHT($C48,2),"+",""))-1))</f>
        <v>1125</v>
      </c>
      <c r="J48" s="49">
        <f>INDEX([1]角色基础!$AC$16:$CJ$45,MATCH($AA48,[1]角色基础!$J$16:$J$45,0),MATCH(J$2,[1]角色基础!$AC$12:$AF$12,0)+4*(INT(SUBSTITUTE(RIGHT($C48,2),"+",""))-1))</f>
        <v>45</v>
      </c>
      <c r="K48" s="49">
        <f>INDEX([1]角色基础!$AC$16:$CJ$45,MATCH($AA48,[1]角色基础!$J$16:$J$45,0),MATCH(K$2,[1]角色基础!$AC$12:$AF$12,0)+4*(INT(SUBSTITUTE(RIGHT($C48,2),"+",""))-1))</f>
        <v>23</v>
      </c>
      <c r="L48" s="49">
        <f>INDEX([1]角色基础!$AC$16:$CJ$45,MATCH($AA48,[1]角色基础!$J$16:$J$45,0),MATCH(L$2,[1]角色基础!$AC$12:$AF$12,0)+4*(INT(SUBSTITUTE(RIGHT($C48,2),"+",""))-1))</f>
        <v>23</v>
      </c>
      <c r="M48" s="47">
        <v>0</v>
      </c>
      <c r="N48" s="47">
        <v>0</v>
      </c>
      <c r="O48" s="47">
        <v>0</v>
      </c>
      <c r="P48" s="47">
        <v>0</v>
      </c>
      <c r="Q48" s="47">
        <v>15</v>
      </c>
      <c r="R48" s="50">
        <v>0</v>
      </c>
      <c r="S48" s="50">
        <v>1800</v>
      </c>
      <c r="T48" s="50">
        <v>72</v>
      </c>
      <c r="U48" s="50">
        <v>36</v>
      </c>
      <c r="V48" s="50">
        <v>36</v>
      </c>
      <c r="W48" s="51">
        <v>0</v>
      </c>
      <c r="X48" s="51">
        <v>0</v>
      </c>
      <c r="Y48" s="51">
        <v>0</v>
      </c>
      <c r="Z48" s="51">
        <v>0</v>
      </c>
      <c r="AA48" s="52" t="s">
        <v>166</v>
      </c>
    </row>
    <row r="49" spans="1:27" s="58" customFormat="1">
      <c r="A49" s="53">
        <v>3001</v>
      </c>
      <c r="B49" s="53" t="s">
        <v>121</v>
      </c>
      <c r="C49" s="53" t="s">
        <v>33</v>
      </c>
      <c r="D49" s="53">
        <v>10001</v>
      </c>
      <c r="E49" s="53">
        <v>5000</v>
      </c>
      <c r="F49" s="53" t="s">
        <v>101</v>
      </c>
      <c r="G49" s="53">
        <v>0</v>
      </c>
      <c r="H49" s="54">
        <v>0</v>
      </c>
      <c r="I49" s="55">
        <f>INDEX([1]角色基础!$AC$16:$CJ$45,MATCH($AA49,[1]角色基础!$J$16:$J$45,0),MATCH(I$2,[1]角色基础!$AC$12:$AF$12,0)+4*(INT(SUBSTITUTE(RIGHT($C49,2),"+",""))-1))</f>
        <v>100</v>
      </c>
      <c r="J49" s="55">
        <f>INDEX([1]角色基础!$AC$16:$CJ$45,MATCH($AA49,[1]角色基础!$J$16:$J$45,0),MATCH(J$2,[1]角色基础!$AC$12:$AF$12,0)+4*(INT(SUBSTITUTE(RIGHT($C49,2),"+",""))-1))</f>
        <v>4</v>
      </c>
      <c r="K49" s="55">
        <f>INDEX([1]角色基础!$AC$16:$CJ$45,MATCH($AA49,[1]角色基础!$J$16:$J$45,0),MATCH(K$2,[1]角色基础!$AC$12:$AF$12,0)+4*(INT(SUBSTITUTE(RIGHT($C49,2),"+",""))-1))</f>
        <v>2</v>
      </c>
      <c r="L49" s="55">
        <f>INDEX([1]角色基础!$AC$16:$CJ$45,MATCH($AA49,[1]角色基础!$J$16:$J$45,0),MATCH(L$2,[1]角色基础!$AC$12:$AF$12,0)+4*(INT(SUBSTITUTE(RIGHT($C49,2),"+",""))-1))</f>
        <v>2</v>
      </c>
      <c r="M49" s="53">
        <v>0</v>
      </c>
      <c r="N49" s="53">
        <v>0</v>
      </c>
      <c r="O49" s="53">
        <v>0</v>
      </c>
      <c r="P49" s="53">
        <v>0</v>
      </c>
      <c r="Q49" s="53">
        <v>1</v>
      </c>
      <c r="R49" s="56">
        <v>0</v>
      </c>
      <c r="S49" s="56">
        <v>2400</v>
      </c>
      <c r="T49" s="56">
        <v>96</v>
      </c>
      <c r="U49" s="56">
        <v>48</v>
      </c>
      <c r="V49" s="56">
        <v>48</v>
      </c>
      <c r="W49" s="57">
        <v>0</v>
      </c>
      <c r="X49" s="57">
        <v>0</v>
      </c>
      <c r="Y49" s="57">
        <v>0</v>
      </c>
      <c r="Z49" s="57">
        <v>0</v>
      </c>
      <c r="AA49" s="58" t="s">
        <v>167</v>
      </c>
    </row>
    <row r="50" spans="1:27" s="58" customFormat="1">
      <c r="A50" s="53">
        <v>3002</v>
      </c>
      <c r="B50" s="53" t="s">
        <v>41</v>
      </c>
      <c r="C50" s="53" t="s">
        <v>34</v>
      </c>
      <c r="D50" s="53">
        <v>10015</v>
      </c>
      <c r="E50" s="53">
        <v>20000</v>
      </c>
      <c r="F50" s="53" t="s">
        <v>102</v>
      </c>
      <c r="G50" s="53">
        <v>0</v>
      </c>
      <c r="H50" s="54">
        <v>0</v>
      </c>
      <c r="I50" s="55">
        <f>INDEX([1]角色基础!$AC$16:$CJ$45,MATCH($AA50,[1]角色基础!$J$16:$J$45,0),MATCH(I$2,[1]角色基础!$AC$12:$AF$12,0)+4*(INT(SUBSTITUTE(RIGHT($C50,2),"+",""))-1))</f>
        <v>200</v>
      </c>
      <c r="J50" s="55">
        <f>INDEX([1]角色基础!$AC$16:$CJ$45,MATCH($AA50,[1]角色基础!$J$16:$J$45,0),MATCH(J$2,[1]角色基础!$AC$12:$AF$12,0)+4*(INT(SUBSTITUTE(RIGHT($C50,2),"+",""))-1))</f>
        <v>8</v>
      </c>
      <c r="K50" s="55">
        <f>INDEX([1]角色基础!$AC$16:$CJ$45,MATCH($AA50,[1]角色基础!$J$16:$J$45,0),MATCH(K$2,[1]角色基础!$AC$12:$AF$12,0)+4*(INT(SUBSTITUTE(RIGHT($C50,2),"+",""))-1))</f>
        <v>4</v>
      </c>
      <c r="L50" s="55">
        <f>INDEX([1]角色基础!$AC$16:$CJ$45,MATCH($AA50,[1]角色基础!$J$16:$J$45,0),MATCH(L$2,[1]角色基础!$AC$12:$AF$12,0)+4*(INT(SUBSTITUTE(RIGHT($C50,2),"+",""))-1))</f>
        <v>4</v>
      </c>
      <c r="M50" s="53">
        <v>0</v>
      </c>
      <c r="N50" s="53">
        <v>0</v>
      </c>
      <c r="O50" s="53">
        <v>0</v>
      </c>
      <c r="P50" s="53">
        <v>0</v>
      </c>
      <c r="Q50" s="53">
        <v>2</v>
      </c>
      <c r="R50" s="56">
        <v>0</v>
      </c>
      <c r="S50" s="56">
        <v>2400</v>
      </c>
      <c r="T50" s="56">
        <v>96</v>
      </c>
      <c r="U50" s="56">
        <v>48</v>
      </c>
      <c r="V50" s="56">
        <v>48</v>
      </c>
      <c r="W50" s="57">
        <v>0</v>
      </c>
      <c r="X50" s="57">
        <v>0</v>
      </c>
      <c r="Y50" s="57">
        <v>0</v>
      </c>
      <c r="Z50" s="57">
        <v>0</v>
      </c>
      <c r="AA50" s="58" t="s">
        <v>167</v>
      </c>
    </row>
    <row r="51" spans="1:27" s="58" customFormat="1">
      <c r="A51" s="53">
        <v>3003</v>
      </c>
      <c r="B51" s="53" t="s">
        <v>42</v>
      </c>
      <c r="C51" s="53" t="s">
        <v>35</v>
      </c>
      <c r="D51" s="53">
        <v>10025</v>
      </c>
      <c r="E51" s="53">
        <v>50000</v>
      </c>
      <c r="F51" s="53" t="s">
        <v>103</v>
      </c>
      <c r="G51" s="53">
        <v>0</v>
      </c>
      <c r="H51" s="54">
        <v>0</v>
      </c>
      <c r="I51" s="55">
        <f>INDEX([1]角色基础!$AC$16:$CJ$45,MATCH($AA51,[1]角色基础!$J$16:$J$45,0),MATCH(I$2,[1]角色基础!$AC$12:$AF$12,0)+4*(INT(SUBSTITUTE(RIGHT($C51,2),"+",""))-1))</f>
        <v>300</v>
      </c>
      <c r="J51" s="55">
        <f>INDEX([1]角色基础!$AC$16:$CJ$45,MATCH($AA51,[1]角色基础!$J$16:$J$45,0),MATCH(J$2,[1]角色基础!$AC$12:$AF$12,0)+4*(INT(SUBSTITUTE(RIGHT($C51,2),"+",""))-1))</f>
        <v>12</v>
      </c>
      <c r="K51" s="55">
        <f>INDEX([1]角色基础!$AC$16:$CJ$45,MATCH($AA51,[1]角色基础!$J$16:$J$45,0),MATCH(K$2,[1]角色基础!$AC$12:$AF$12,0)+4*(INT(SUBSTITUTE(RIGHT($C51,2),"+",""))-1))</f>
        <v>6</v>
      </c>
      <c r="L51" s="55">
        <f>INDEX([1]角色基础!$AC$16:$CJ$45,MATCH($AA51,[1]角色基础!$J$16:$J$45,0),MATCH(L$2,[1]角色基础!$AC$12:$AF$12,0)+4*(INT(SUBSTITUTE(RIGHT($C51,2),"+",""))-1))</f>
        <v>6</v>
      </c>
      <c r="M51" s="53">
        <v>0</v>
      </c>
      <c r="N51" s="53">
        <v>0</v>
      </c>
      <c r="O51" s="53">
        <v>0</v>
      </c>
      <c r="P51" s="53">
        <v>0</v>
      </c>
      <c r="Q51" s="53">
        <v>3</v>
      </c>
      <c r="R51" s="56">
        <v>0</v>
      </c>
      <c r="S51" s="56">
        <v>2400</v>
      </c>
      <c r="T51" s="56">
        <v>96</v>
      </c>
      <c r="U51" s="56">
        <v>48</v>
      </c>
      <c r="V51" s="56">
        <v>48</v>
      </c>
      <c r="W51" s="57">
        <v>0</v>
      </c>
      <c r="X51" s="57">
        <v>0</v>
      </c>
      <c r="Y51" s="57">
        <v>0</v>
      </c>
      <c r="Z51" s="57">
        <v>0</v>
      </c>
      <c r="AA51" s="58" t="s">
        <v>167</v>
      </c>
    </row>
    <row r="52" spans="1:27" s="58" customFormat="1">
      <c r="A52" s="53">
        <v>3004</v>
      </c>
      <c r="B52" s="53" t="s">
        <v>43</v>
      </c>
      <c r="C52" s="53" t="s">
        <v>36</v>
      </c>
      <c r="D52" s="53">
        <v>10035</v>
      </c>
      <c r="E52" s="53">
        <v>100000</v>
      </c>
      <c r="F52" s="53" t="s">
        <v>104</v>
      </c>
      <c r="G52" s="53">
        <v>1</v>
      </c>
      <c r="H52" s="54">
        <v>0</v>
      </c>
      <c r="I52" s="55">
        <f>INDEX([1]角色基础!$AC$16:$CJ$45,MATCH($AA52,[1]角色基础!$J$16:$J$45,0),MATCH(I$2,[1]角色基础!$AC$12:$AF$12,0)+4*(INT(SUBSTITUTE(RIGHT($C52,2),"+",""))-1))</f>
        <v>400</v>
      </c>
      <c r="J52" s="55">
        <f>INDEX([1]角色基础!$AC$16:$CJ$45,MATCH($AA52,[1]角色基础!$J$16:$J$45,0),MATCH(J$2,[1]角色基础!$AC$12:$AF$12,0)+4*(INT(SUBSTITUTE(RIGHT($C52,2),"+",""))-1))</f>
        <v>16</v>
      </c>
      <c r="K52" s="55">
        <f>INDEX([1]角色基础!$AC$16:$CJ$45,MATCH($AA52,[1]角色基础!$J$16:$J$45,0),MATCH(K$2,[1]角色基础!$AC$12:$AF$12,0)+4*(INT(SUBSTITUTE(RIGHT($C52,2),"+",""))-1))</f>
        <v>8</v>
      </c>
      <c r="L52" s="55">
        <f>INDEX([1]角色基础!$AC$16:$CJ$45,MATCH($AA52,[1]角色基础!$J$16:$J$45,0),MATCH(L$2,[1]角色基础!$AC$12:$AF$12,0)+4*(INT(SUBSTITUTE(RIGHT($C52,2),"+",""))-1))</f>
        <v>8</v>
      </c>
      <c r="M52" s="53">
        <v>0</v>
      </c>
      <c r="N52" s="53">
        <v>0</v>
      </c>
      <c r="O52" s="53">
        <v>0</v>
      </c>
      <c r="P52" s="53">
        <v>0</v>
      </c>
      <c r="Q52" s="53">
        <v>4</v>
      </c>
      <c r="R52" s="56">
        <v>0</v>
      </c>
      <c r="S52" s="56">
        <v>2400</v>
      </c>
      <c r="T52" s="56">
        <v>96</v>
      </c>
      <c r="U52" s="56">
        <v>48</v>
      </c>
      <c r="V52" s="56">
        <v>48</v>
      </c>
      <c r="W52" s="57">
        <v>0</v>
      </c>
      <c r="X52" s="57">
        <v>0</v>
      </c>
      <c r="Y52" s="57">
        <v>0</v>
      </c>
      <c r="Z52" s="57">
        <v>0</v>
      </c>
      <c r="AA52" s="58" t="s">
        <v>167</v>
      </c>
    </row>
    <row r="53" spans="1:27" s="58" customFormat="1">
      <c r="A53" s="53">
        <v>3005</v>
      </c>
      <c r="B53" s="53" t="s">
        <v>44</v>
      </c>
      <c r="C53" s="53" t="s">
        <v>37</v>
      </c>
      <c r="D53" s="53">
        <v>10045</v>
      </c>
      <c r="E53" s="53">
        <v>200000</v>
      </c>
      <c r="F53" s="53" t="s">
        <v>105</v>
      </c>
      <c r="G53" s="53">
        <v>1</v>
      </c>
      <c r="H53" s="54">
        <v>0</v>
      </c>
      <c r="I53" s="55">
        <f>INDEX([1]角色基础!$AC$16:$CJ$45,MATCH($AA53,[1]角色基础!$J$16:$J$45,0),MATCH(I$2,[1]角色基础!$AC$12:$AF$12,0)+4*(INT(SUBSTITUTE(RIGHT($C53,2),"+",""))-1))</f>
        <v>500</v>
      </c>
      <c r="J53" s="55">
        <f>INDEX([1]角色基础!$AC$16:$CJ$45,MATCH($AA53,[1]角色基础!$J$16:$J$45,0),MATCH(J$2,[1]角色基础!$AC$12:$AF$12,0)+4*(INT(SUBSTITUTE(RIGHT($C53,2),"+",""))-1))</f>
        <v>20</v>
      </c>
      <c r="K53" s="55">
        <f>INDEX([1]角色基础!$AC$16:$CJ$45,MATCH($AA53,[1]角色基础!$J$16:$J$45,0),MATCH(K$2,[1]角色基础!$AC$12:$AF$12,0)+4*(INT(SUBSTITUTE(RIGHT($C53,2),"+",""))-1))</f>
        <v>10</v>
      </c>
      <c r="L53" s="55">
        <f>INDEX([1]角色基础!$AC$16:$CJ$45,MATCH($AA53,[1]角色基础!$J$16:$J$45,0),MATCH(L$2,[1]角色基础!$AC$12:$AF$12,0)+4*(INT(SUBSTITUTE(RIGHT($C53,2),"+",""))-1))</f>
        <v>10</v>
      </c>
      <c r="M53" s="53">
        <v>0</v>
      </c>
      <c r="N53" s="53">
        <v>0</v>
      </c>
      <c r="O53" s="53">
        <v>0</v>
      </c>
      <c r="P53" s="53">
        <v>0</v>
      </c>
      <c r="Q53" s="53">
        <v>5</v>
      </c>
      <c r="R53" s="56">
        <v>0</v>
      </c>
      <c r="S53" s="56">
        <v>2400</v>
      </c>
      <c r="T53" s="56">
        <v>96</v>
      </c>
      <c r="U53" s="56">
        <v>48</v>
      </c>
      <c r="V53" s="56">
        <v>48</v>
      </c>
      <c r="W53" s="57">
        <v>0</v>
      </c>
      <c r="X53" s="57">
        <v>0</v>
      </c>
      <c r="Y53" s="57">
        <v>0</v>
      </c>
      <c r="Z53" s="57">
        <v>0</v>
      </c>
      <c r="AA53" s="58" t="s">
        <v>167</v>
      </c>
    </row>
    <row r="54" spans="1:27" s="58" customFormat="1">
      <c r="A54" s="53">
        <v>3006</v>
      </c>
      <c r="B54" s="53" t="s">
        <v>45</v>
      </c>
      <c r="C54" s="53" t="s">
        <v>38</v>
      </c>
      <c r="D54" s="53">
        <v>10055</v>
      </c>
      <c r="E54" s="53">
        <v>300000</v>
      </c>
      <c r="F54" s="53" t="s">
        <v>106</v>
      </c>
      <c r="G54" s="53">
        <v>2</v>
      </c>
      <c r="H54" s="54">
        <v>0</v>
      </c>
      <c r="I54" s="55">
        <f>INDEX([1]角色基础!$AC$16:$CJ$45,MATCH($AA54,[1]角色基础!$J$16:$J$45,0),MATCH(I$2,[1]角色基础!$AC$12:$AF$12,0)+4*(INT(SUBSTITUTE(RIGHT($C54,2),"+",""))-1))</f>
        <v>600</v>
      </c>
      <c r="J54" s="55">
        <f>INDEX([1]角色基础!$AC$16:$CJ$45,MATCH($AA54,[1]角色基础!$J$16:$J$45,0),MATCH(J$2,[1]角色基础!$AC$12:$AF$12,0)+4*(INT(SUBSTITUTE(RIGHT($C54,2),"+",""))-1))</f>
        <v>24</v>
      </c>
      <c r="K54" s="55">
        <f>INDEX([1]角色基础!$AC$16:$CJ$45,MATCH($AA54,[1]角色基础!$J$16:$J$45,0),MATCH(K$2,[1]角色基础!$AC$12:$AF$12,0)+4*(INT(SUBSTITUTE(RIGHT($C54,2),"+",""))-1))</f>
        <v>12</v>
      </c>
      <c r="L54" s="55">
        <f>INDEX([1]角色基础!$AC$16:$CJ$45,MATCH($AA54,[1]角色基础!$J$16:$J$45,0),MATCH(L$2,[1]角色基础!$AC$12:$AF$12,0)+4*(INT(SUBSTITUTE(RIGHT($C54,2),"+",""))-1))</f>
        <v>12</v>
      </c>
      <c r="M54" s="53">
        <v>0</v>
      </c>
      <c r="N54" s="53">
        <v>0</v>
      </c>
      <c r="O54" s="53">
        <v>0</v>
      </c>
      <c r="P54" s="53">
        <v>0</v>
      </c>
      <c r="Q54" s="53">
        <v>6</v>
      </c>
      <c r="R54" s="56">
        <v>0</v>
      </c>
      <c r="S54" s="56">
        <v>2400</v>
      </c>
      <c r="T54" s="56">
        <v>96</v>
      </c>
      <c r="U54" s="56">
        <v>48</v>
      </c>
      <c r="V54" s="56">
        <v>48</v>
      </c>
      <c r="W54" s="57">
        <v>0</v>
      </c>
      <c r="X54" s="57">
        <v>0</v>
      </c>
      <c r="Y54" s="57">
        <v>0</v>
      </c>
      <c r="Z54" s="57">
        <v>0</v>
      </c>
      <c r="AA54" s="58" t="s">
        <v>167</v>
      </c>
    </row>
    <row r="55" spans="1:27" s="58" customFormat="1">
      <c r="A55" s="53">
        <v>3007</v>
      </c>
      <c r="B55" s="53" t="s">
        <v>46</v>
      </c>
      <c r="C55" s="53" t="s">
        <v>39</v>
      </c>
      <c r="D55" s="53">
        <v>10065</v>
      </c>
      <c r="E55" s="53">
        <v>500000</v>
      </c>
      <c r="F55" s="53" t="s">
        <v>107</v>
      </c>
      <c r="G55" s="53">
        <v>2</v>
      </c>
      <c r="H55" s="54">
        <v>0</v>
      </c>
      <c r="I55" s="55">
        <f>INDEX([1]角色基础!$AC$16:$CJ$45,MATCH($AA55,[1]角色基础!$J$16:$J$45,0),MATCH(I$2,[1]角色基础!$AC$12:$AF$12,0)+4*(INT(SUBSTITUTE(RIGHT($C55,2),"+",""))-1))</f>
        <v>700</v>
      </c>
      <c r="J55" s="55">
        <f>INDEX([1]角色基础!$AC$16:$CJ$45,MATCH($AA55,[1]角色基础!$J$16:$J$45,0),MATCH(J$2,[1]角色基础!$AC$12:$AF$12,0)+4*(INT(SUBSTITUTE(RIGHT($C55,2),"+",""))-1))</f>
        <v>28</v>
      </c>
      <c r="K55" s="55">
        <f>INDEX([1]角色基础!$AC$16:$CJ$45,MATCH($AA55,[1]角色基础!$J$16:$J$45,0),MATCH(K$2,[1]角色基础!$AC$12:$AF$12,0)+4*(INT(SUBSTITUTE(RIGHT($C55,2),"+",""))-1))</f>
        <v>14</v>
      </c>
      <c r="L55" s="55">
        <f>INDEX([1]角色基础!$AC$16:$CJ$45,MATCH($AA55,[1]角色基础!$J$16:$J$45,0),MATCH(L$2,[1]角色基础!$AC$12:$AF$12,0)+4*(INT(SUBSTITUTE(RIGHT($C55,2),"+",""))-1))</f>
        <v>14</v>
      </c>
      <c r="M55" s="53">
        <v>0</v>
      </c>
      <c r="N55" s="53">
        <v>0</v>
      </c>
      <c r="O55" s="53">
        <v>0</v>
      </c>
      <c r="P55" s="53">
        <v>0</v>
      </c>
      <c r="Q55" s="53">
        <v>7</v>
      </c>
      <c r="R55" s="56">
        <v>0</v>
      </c>
      <c r="S55" s="56">
        <v>2400</v>
      </c>
      <c r="T55" s="56">
        <v>96</v>
      </c>
      <c r="U55" s="56">
        <v>48</v>
      </c>
      <c r="V55" s="56">
        <v>48</v>
      </c>
      <c r="W55" s="57">
        <v>0</v>
      </c>
      <c r="X55" s="57">
        <v>0</v>
      </c>
      <c r="Y55" s="57">
        <v>0</v>
      </c>
      <c r="Z55" s="57">
        <v>0</v>
      </c>
      <c r="AA55" s="58" t="s">
        <v>167</v>
      </c>
    </row>
    <row r="56" spans="1:27" s="58" customFormat="1">
      <c r="A56" s="53">
        <v>3008</v>
      </c>
      <c r="B56" s="53" t="s">
        <v>47</v>
      </c>
      <c r="C56" s="53" t="s">
        <v>40</v>
      </c>
      <c r="D56" s="53">
        <v>10075</v>
      </c>
      <c r="E56" s="53">
        <v>800000</v>
      </c>
      <c r="F56" s="53" t="s">
        <v>108</v>
      </c>
      <c r="G56" s="53">
        <v>4</v>
      </c>
      <c r="H56" s="54">
        <v>0</v>
      </c>
      <c r="I56" s="55">
        <f>INDEX([1]角色基础!$AC$16:$CJ$45,MATCH($AA56,[1]角色基础!$J$16:$J$45,0),MATCH(I$2,[1]角色基础!$AC$12:$AF$12,0)+4*(INT(SUBSTITUTE(RIGHT($C56,2),"+",""))-1))</f>
        <v>800</v>
      </c>
      <c r="J56" s="55">
        <f>INDEX([1]角色基础!$AC$16:$CJ$45,MATCH($AA56,[1]角色基础!$J$16:$J$45,0),MATCH(J$2,[1]角色基础!$AC$12:$AF$12,0)+4*(INT(SUBSTITUTE(RIGHT($C56,2),"+",""))-1))</f>
        <v>32</v>
      </c>
      <c r="K56" s="55">
        <f>INDEX([1]角色基础!$AC$16:$CJ$45,MATCH($AA56,[1]角色基础!$J$16:$J$45,0),MATCH(K$2,[1]角色基础!$AC$12:$AF$12,0)+4*(INT(SUBSTITUTE(RIGHT($C56,2),"+",""))-1))</f>
        <v>16</v>
      </c>
      <c r="L56" s="55">
        <f>INDEX([1]角色基础!$AC$16:$CJ$45,MATCH($AA56,[1]角色基础!$J$16:$J$45,0),MATCH(L$2,[1]角色基础!$AC$12:$AF$12,0)+4*(INT(SUBSTITUTE(RIGHT($C56,2),"+",""))-1))</f>
        <v>16</v>
      </c>
      <c r="M56" s="53">
        <v>0</v>
      </c>
      <c r="N56" s="53">
        <v>0</v>
      </c>
      <c r="O56" s="53">
        <v>0</v>
      </c>
      <c r="P56" s="53">
        <v>0</v>
      </c>
      <c r="Q56" s="53">
        <v>8</v>
      </c>
      <c r="R56" s="56">
        <v>0</v>
      </c>
      <c r="S56" s="56">
        <v>2400</v>
      </c>
      <c r="T56" s="56">
        <v>96</v>
      </c>
      <c r="U56" s="56">
        <v>48</v>
      </c>
      <c r="V56" s="56">
        <v>48</v>
      </c>
      <c r="W56" s="57">
        <v>0</v>
      </c>
      <c r="X56" s="57">
        <v>0</v>
      </c>
      <c r="Y56" s="57">
        <v>0</v>
      </c>
      <c r="Z56" s="57">
        <v>0</v>
      </c>
      <c r="AA56" s="58" t="s">
        <v>167</v>
      </c>
    </row>
    <row r="57" spans="1:27" s="58" customFormat="1">
      <c r="A57" s="53">
        <v>3009</v>
      </c>
      <c r="B57" s="53" t="s">
        <v>69</v>
      </c>
      <c r="C57" s="53" t="s">
        <v>32</v>
      </c>
      <c r="D57" s="53">
        <v>10085</v>
      </c>
      <c r="E57" s="53">
        <v>1200000</v>
      </c>
      <c r="F57" s="53" t="s">
        <v>109</v>
      </c>
      <c r="G57" s="53">
        <v>6</v>
      </c>
      <c r="H57" s="54">
        <v>0</v>
      </c>
      <c r="I57" s="55">
        <f>INDEX([1]角色基础!$AC$16:$CJ$45,MATCH($AA57,[1]角色基础!$J$16:$J$45,0),MATCH(I$2,[1]角色基础!$AC$12:$AF$12,0)+4*(INT(SUBSTITUTE(RIGHT($C57,2),"+",""))-1))</f>
        <v>900</v>
      </c>
      <c r="J57" s="55">
        <f>INDEX([1]角色基础!$AC$16:$CJ$45,MATCH($AA57,[1]角色基础!$J$16:$J$45,0),MATCH(J$2,[1]角色基础!$AC$12:$AF$12,0)+4*(INT(SUBSTITUTE(RIGHT($C57,2),"+",""))-1))</f>
        <v>36</v>
      </c>
      <c r="K57" s="55">
        <f>INDEX([1]角色基础!$AC$16:$CJ$45,MATCH($AA57,[1]角色基础!$J$16:$J$45,0),MATCH(K$2,[1]角色基础!$AC$12:$AF$12,0)+4*(INT(SUBSTITUTE(RIGHT($C57,2),"+",""))-1))</f>
        <v>18</v>
      </c>
      <c r="L57" s="55">
        <f>INDEX([1]角色基础!$AC$16:$CJ$45,MATCH($AA57,[1]角色基础!$J$16:$J$45,0),MATCH(L$2,[1]角色基础!$AC$12:$AF$12,0)+4*(INT(SUBSTITUTE(RIGHT($C57,2),"+",""))-1))</f>
        <v>18</v>
      </c>
      <c r="M57" s="53">
        <v>0</v>
      </c>
      <c r="N57" s="53">
        <v>0</v>
      </c>
      <c r="O57" s="53">
        <v>0</v>
      </c>
      <c r="P57" s="53">
        <v>0</v>
      </c>
      <c r="Q57" s="53">
        <v>9</v>
      </c>
      <c r="R57" s="56">
        <v>0</v>
      </c>
      <c r="S57" s="56">
        <v>2400</v>
      </c>
      <c r="T57" s="56">
        <v>96</v>
      </c>
      <c r="U57" s="56">
        <v>48</v>
      </c>
      <c r="V57" s="56">
        <v>48</v>
      </c>
      <c r="W57" s="57">
        <v>0</v>
      </c>
      <c r="X57" s="57">
        <v>0</v>
      </c>
      <c r="Y57" s="57">
        <v>0</v>
      </c>
      <c r="Z57" s="57">
        <v>0</v>
      </c>
      <c r="AA57" s="58" t="s">
        <v>167</v>
      </c>
    </row>
    <row r="58" spans="1:27" s="58" customFormat="1">
      <c r="A58" s="53">
        <v>3010</v>
      </c>
      <c r="B58" s="53" t="s">
        <v>71</v>
      </c>
      <c r="C58" s="53" t="s">
        <v>31</v>
      </c>
      <c r="D58" s="53">
        <v>10095</v>
      </c>
      <c r="E58" s="53">
        <v>1600000</v>
      </c>
      <c r="F58" s="53" t="s">
        <v>110</v>
      </c>
      <c r="G58" s="53">
        <v>8</v>
      </c>
      <c r="H58" s="54">
        <v>0</v>
      </c>
      <c r="I58" s="55">
        <f>INDEX([1]角色基础!$AC$16:$CJ$45,MATCH($AA58,[1]角色基础!$J$16:$J$45,0),MATCH(I$2,[1]角色基础!$AC$12:$AF$12,0)+4*(INT(SUBSTITUTE(RIGHT($C58,2),"+",""))-1))</f>
        <v>1000</v>
      </c>
      <c r="J58" s="55">
        <f>INDEX([1]角色基础!$AC$16:$CJ$45,MATCH($AA58,[1]角色基础!$J$16:$J$45,0),MATCH(J$2,[1]角色基础!$AC$12:$AF$12,0)+4*(INT(SUBSTITUTE(RIGHT($C58,2),"+",""))-1))</f>
        <v>40</v>
      </c>
      <c r="K58" s="55">
        <f>INDEX([1]角色基础!$AC$16:$CJ$45,MATCH($AA58,[1]角色基础!$J$16:$J$45,0),MATCH(K$2,[1]角色基础!$AC$12:$AF$12,0)+4*(INT(SUBSTITUTE(RIGHT($C58,2),"+",""))-1))</f>
        <v>20</v>
      </c>
      <c r="L58" s="55">
        <f>INDEX([1]角色基础!$AC$16:$CJ$45,MATCH($AA58,[1]角色基础!$J$16:$J$45,0),MATCH(L$2,[1]角色基础!$AC$12:$AF$12,0)+4*(INT(SUBSTITUTE(RIGHT($C58,2),"+",""))-1))</f>
        <v>20</v>
      </c>
      <c r="M58" s="53">
        <v>0</v>
      </c>
      <c r="N58" s="53">
        <v>0</v>
      </c>
      <c r="O58" s="53">
        <v>0</v>
      </c>
      <c r="P58" s="53">
        <v>0</v>
      </c>
      <c r="Q58" s="53">
        <v>10</v>
      </c>
      <c r="R58" s="56">
        <v>0</v>
      </c>
      <c r="S58" s="56">
        <v>2400</v>
      </c>
      <c r="T58" s="56">
        <v>96</v>
      </c>
      <c r="U58" s="56">
        <v>48</v>
      </c>
      <c r="V58" s="56">
        <v>48</v>
      </c>
      <c r="W58" s="57">
        <v>0</v>
      </c>
      <c r="X58" s="57">
        <v>0</v>
      </c>
      <c r="Y58" s="57">
        <v>0</v>
      </c>
      <c r="Z58" s="57">
        <v>0</v>
      </c>
      <c r="AA58" s="58" t="s">
        <v>167</v>
      </c>
    </row>
    <row r="59" spans="1:27" s="58" customFormat="1">
      <c r="A59" s="53">
        <v>3011</v>
      </c>
      <c r="B59" s="53" t="s">
        <v>73</v>
      </c>
      <c r="C59" s="53" t="s">
        <v>74</v>
      </c>
      <c r="D59" s="53">
        <v>10105</v>
      </c>
      <c r="E59" s="53">
        <v>2000000</v>
      </c>
      <c r="F59" s="53" t="s">
        <v>90</v>
      </c>
      <c r="G59" s="53">
        <v>10</v>
      </c>
      <c r="H59" s="54">
        <v>0</v>
      </c>
      <c r="I59" s="55">
        <f>INDEX([1]角色基础!$AC$16:$CJ$45,MATCH($AA59,[1]角色基础!$J$16:$J$45,0),MATCH(I$2,[1]角色基础!$AC$12:$AF$12,0)+4*(INT(SUBSTITUTE(RIGHT($C59,2),"+",""))-1))</f>
        <v>1100</v>
      </c>
      <c r="J59" s="55">
        <f>INDEX([1]角色基础!$AC$16:$CJ$45,MATCH($AA59,[1]角色基础!$J$16:$J$45,0),MATCH(J$2,[1]角色基础!$AC$12:$AF$12,0)+4*(INT(SUBSTITUTE(RIGHT($C59,2),"+",""))-1))</f>
        <v>44</v>
      </c>
      <c r="K59" s="55">
        <f>INDEX([1]角色基础!$AC$16:$CJ$45,MATCH($AA59,[1]角色基础!$J$16:$J$45,0),MATCH(K$2,[1]角色基础!$AC$12:$AF$12,0)+4*(INT(SUBSTITUTE(RIGHT($C59,2),"+",""))-1))</f>
        <v>22</v>
      </c>
      <c r="L59" s="55">
        <f>INDEX([1]角色基础!$AC$16:$CJ$45,MATCH($AA59,[1]角色基础!$J$16:$J$45,0),MATCH(L$2,[1]角色基础!$AC$12:$AF$12,0)+4*(INT(SUBSTITUTE(RIGHT($C59,2),"+",""))-1))</f>
        <v>22</v>
      </c>
      <c r="M59" s="53">
        <v>0</v>
      </c>
      <c r="N59" s="53">
        <v>0</v>
      </c>
      <c r="O59" s="53">
        <v>0</v>
      </c>
      <c r="P59" s="53">
        <v>0</v>
      </c>
      <c r="Q59" s="53">
        <v>11</v>
      </c>
      <c r="R59" s="56">
        <v>0</v>
      </c>
      <c r="S59" s="56">
        <v>2400</v>
      </c>
      <c r="T59" s="56">
        <v>96</v>
      </c>
      <c r="U59" s="56">
        <v>48</v>
      </c>
      <c r="V59" s="56">
        <v>48</v>
      </c>
      <c r="W59" s="57">
        <v>0</v>
      </c>
      <c r="X59" s="57">
        <v>0</v>
      </c>
      <c r="Y59" s="57">
        <v>0</v>
      </c>
      <c r="Z59" s="57">
        <v>0</v>
      </c>
      <c r="AA59" s="58" t="s">
        <v>167</v>
      </c>
    </row>
    <row r="60" spans="1:27" s="58" customFormat="1">
      <c r="A60" s="53">
        <v>3012</v>
      </c>
      <c r="B60" s="53" t="s">
        <v>75</v>
      </c>
      <c r="C60" s="53" t="s">
        <v>76</v>
      </c>
      <c r="D60" s="53">
        <v>10115</v>
      </c>
      <c r="E60" s="53">
        <v>2500000</v>
      </c>
      <c r="F60" s="53" t="s">
        <v>111</v>
      </c>
      <c r="G60" s="53">
        <v>12</v>
      </c>
      <c r="H60" s="54">
        <v>0</v>
      </c>
      <c r="I60" s="55">
        <f>INDEX([1]角色基础!$AC$16:$CJ$45,MATCH($AA60,[1]角色基础!$J$16:$J$45,0),MATCH(I$2,[1]角色基础!$AC$12:$AF$12,0)+4*(INT(SUBSTITUTE(RIGHT($C60,2),"+",""))-1))</f>
        <v>1200</v>
      </c>
      <c r="J60" s="55">
        <f>INDEX([1]角色基础!$AC$16:$CJ$45,MATCH($AA60,[1]角色基础!$J$16:$J$45,0),MATCH(J$2,[1]角色基础!$AC$12:$AF$12,0)+4*(INT(SUBSTITUTE(RIGHT($C60,2),"+",""))-1))</f>
        <v>48</v>
      </c>
      <c r="K60" s="55">
        <f>INDEX([1]角色基础!$AC$16:$CJ$45,MATCH($AA60,[1]角色基础!$J$16:$J$45,0),MATCH(K$2,[1]角色基础!$AC$12:$AF$12,0)+4*(INT(SUBSTITUTE(RIGHT($C60,2),"+",""))-1))</f>
        <v>24</v>
      </c>
      <c r="L60" s="55">
        <f>INDEX([1]角色基础!$AC$16:$CJ$45,MATCH($AA60,[1]角色基础!$J$16:$J$45,0),MATCH(L$2,[1]角色基础!$AC$12:$AF$12,0)+4*(INT(SUBSTITUTE(RIGHT($C60,2),"+",""))-1))</f>
        <v>24</v>
      </c>
      <c r="M60" s="53">
        <v>0</v>
      </c>
      <c r="N60" s="53">
        <v>0</v>
      </c>
      <c r="O60" s="53">
        <v>0</v>
      </c>
      <c r="P60" s="53">
        <v>0</v>
      </c>
      <c r="Q60" s="53">
        <v>12</v>
      </c>
      <c r="R60" s="56">
        <v>0</v>
      </c>
      <c r="S60" s="56">
        <v>2400</v>
      </c>
      <c r="T60" s="56">
        <v>96</v>
      </c>
      <c r="U60" s="56">
        <v>48</v>
      </c>
      <c r="V60" s="56">
        <v>48</v>
      </c>
      <c r="W60" s="57">
        <v>0</v>
      </c>
      <c r="X60" s="57">
        <v>0</v>
      </c>
      <c r="Y60" s="57">
        <v>0</v>
      </c>
      <c r="Z60" s="57">
        <v>0</v>
      </c>
      <c r="AA60" s="58" t="s">
        <v>167</v>
      </c>
    </row>
    <row r="61" spans="1:27" s="58" customFormat="1">
      <c r="A61" s="53">
        <v>3013</v>
      </c>
      <c r="B61" s="53" t="s">
        <v>182</v>
      </c>
      <c r="C61" s="53" t="s">
        <v>183</v>
      </c>
      <c r="D61" s="53">
        <v>10125</v>
      </c>
      <c r="E61" s="53">
        <v>3000000</v>
      </c>
      <c r="F61" s="53" t="s">
        <v>114</v>
      </c>
      <c r="G61" s="53">
        <v>14</v>
      </c>
      <c r="H61" s="54">
        <v>0</v>
      </c>
      <c r="I61" s="55">
        <f>INDEX([1]角色基础!$AC$16:$CJ$45,MATCH($AA61,[1]角色基础!$J$16:$J$45,0),MATCH(I$2,[1]角色基础!$AC$12:$AF$12,0)+4*(INT(SUBSTITUTE(RIGHT($C61,2),"+",""))-1))</f>
        <v>1300</v>
      </c>
      <c r="J61" s="55">
        <f>INDEX([1]角色基础!$AC$16:$CJ$45,MATCH($AA61,[1]角色基础!$J$16:$J$45,0),MATCH(J$2,[1]角色基础!$AC$12:$AF$12,0)+4*(INT(SUBSTITUTE(RIGHT($C61,2),"+",""))-1))</f>
        <v>52</v>
      </c>
      <c r="K61" s="55">
        <f>INDEX([1]角色基础!$AC$16:$CJ$45,MATCH($AA61,[1]角色基础!$J$16:$J$45,0),MATCH(K$2,[1]角色基础!$AC$12:$AF$12,0)+4*(INT(SUBSTITUTE(RIGHT($C61,2),"+",""))-1))</f>
        <v>26</v>
      </c>
      <c r="L61" s="55">
        <f>INDEX([1]角色基础!$AC$16:$CJ$45,MATCH($AA61,[1]角色基础!$J$16:$J$45,0),MATCH(L$2,[1]角色基础!$AC$12:$AF$12,0)+4*(INT(SUBSTITUTE(RIGHT($C61,2),"+",""))-1))</f>
        <v>26</v>
      </c>
      <c r="M61" s="53">
        <v>0</v>
      </c>
      <c r="N61" s="53">
        <v>0</v>
      </c>
      <c r="O61" s="53">
        <v>0</v>
      </c>
      <c r="P61" s="53">
        <v>0</v>
      </c>
      <c r="Q61" s="53">
        <v>13</v>
      </c>
      <c r="R61" s="56">
        <v>0</v>
      </c>
      <c r="S61" s="56">
        <v>2400</v>
      </c>
      <c r="T61" s="56">
        <v>96</v>
      </c>
      <c r="U61" s="56">
        <v>48</v>
      </c>
      <c r="V61" s="56">
        <v>48</v>
      </c>
      <c r="W61" s="57">
        <v>0</v>
      </c>
      <c r="X61" s="57">
        <v>0</v>
      </c>
      <c r="Y61" s="57">
        <v>0</v>
      </c>
      <c r="Z61" s="57">
        <v>0</v>
      </c>
      <c r="AA61" s="58" t="s">
        <v>167</v>
      </c>
    </row>
    <row r="62" spans="1:27" s="58" customFormat="1">
      <c r="A62" s="53">
        <v>3014</v>
      </c>
      <c r="B62" s="53" t="s">
        <v>184</v>
      </c>
      <c r="C62" s="53" t="s">
        <v>185</v>
      </c>
      <c r="D62" s="53">
        <v>10135</v>
      </c>
      <c r="E62" s="53">
        <v>4000000</v>
      </c>
      <c r="F62" s="53" t="s">
        <v>197</v>
      </c>
      <c r="G62" s="53">
        <v>16</v>
      </c>
      <c r="H62" s="54">
        <v>0</v>
      </c>
      <c r="I62" s="55">
        <f>INDEX([1]角色基础!$AC$16:$CJ$45,MATCH($AA62,[1]角色基础!$J$16:$J$45,0),MATCH(I$2,[1]角色基础!$AC$12:$AF$12,0)+4*(INT(SUBSTITUTE(RIGHT($C62,2),"+",""))-1))</f>
        <v>1400</v>
      </c>
      <c r="J62" s="55">
        <f>INDEX([1]角色基础!$AC$16:$CJ$45,MATCH($AA62,[1]角色基础!$J$16:$J$45,0),MATCH(J$2,[1]角色基础!$AC$12:$AF$12,0)+4*(INT(SUBSTITUTE(RIGHT($C62,2),"+",""))-1))</f>
        <v>56</v>
      </c>
      <c r="K62" s="55">
        <f>INDEX([1]角色基础!$AC$16:$CJ$45,MATCH($AA62,[1]角色基础!$J$16:$J$45,0),MATCH(K$2,[1]角色基础!$AC$12:$AF$12,0)+4*(INT(SUBSTITUTE(RIGHT($C62,2),"+",""))-1))</f>
        <v>28</v>
      </c>
      <c r="L62" s="55">
        <f>INDEX([1]角色基础!$AC$16:$CJ$45,MATCH($AA62,[1]角色基础!$J$16:$J$45,0),MATCH(L$2,[1]角色基础!$AC$12:$AF$12,0)+4*(INT(SUBSTITUTE(RIGHT($C62,2),"+",""))-1))</f>
        <v>28</v>
      </c>
      <c r="M62" s="53">
        <v>0</v>
      </c>
      <c r="N62" s="53">
        <v>0</v>
      </c>
      <c r="O62" s="53">
        <v>0</v>
      </c>
      <c r="P62" s="53">
        <v>0</v>
      </c>
      <c r="Q62" s="53">
        <v>14</v>
      </c>
      <c r="R62" s="56">
        <v>0</v>
      </c>
      <c r="S62" s="56">
        <v>2400</v>
      </c>
      <c r="T62" s="56">
        <v>96</v>
      </c>
      <c r="U62" s="56">
        <v>48</v>
      </c>
      <c r="V62" s="56">
        <v>48</v>
      </c>
      <c r="W62" s="57">
        <v>0</v>
      </c>
      <c r="X62" s="57">
        <v>0</v>
      </c>
      <c r="Y62" s="57">
        <v>0</v>
      </c>
      <c r="Z62" s="57">
        <v>0</v>
      </c>
      <c r="AA62" s="58" t="s">
        <v>167</v>
      </c>
    </row>
    <row r="63" spans="1:27" s="58" customFormat="1">
      <c r="A63" s="53">
        <v>3015</v>
      </c>
      <c r="B63" s="53" t="s">
        <v>186</v>
      </c>
      <c r="C63" s="53" t="s">
        <v>187</v>
      </c>
      <c r="D63" s="53">
        <v>10145</v>
      </c>
      <c r="E63" s="53">
        <v>5000000</v>
      </c>
      <c r="F63" s="53" t="s">
        <v>195</v>
      </c>
      <c r="G63" s="53">
        <v>20</v>
      </c>
      <c r="H63" s="54">
        <v>0</v>
      </c>
      <c r="I63" s="55">
        <f>INDEX([1]角色基础!$AC$16:$CJ$45,MATCH($AA63,[1]角色基础!$J$16:$J$45,0),MATCH(I$2,[1]角色基础!$AC$12:$AF$12,0)+4*(INT(SUBSTITUTE(RIGHT($C63,2),"+",""))-1))</f>
        <v>1500</v>
      </c>
      <c r="J63" s="55">
        <f>INDEX([1]角色基础!$AC$16:$CJ$45,MATCH($AA63,[1]角色基础!$J$16:$J$45,0),MATCH(J$2,[1]角色基础!$AC$12:$AF$12,0)+4*(INT(SUBSTITUTE(RIGHT($C63,2),"+",""))-1))</f>
        <v>60</v>
      </c>
      <c r="K63" s="55">
        <f>INDEX([1]角色基础!$AC$16:$CJ$45,MATCH($AA63,[1]角色基础!$J$16:$J$45,0),MATCH(K$2,[1]角色基础!$AC$12:$AF$12,0)+4*(INT(SUBSTITUTE(RIGHT($C63,2),"+",""))-1))</f>
        <v>30</v>
      </c>
      <c r="L63" s="55">
        <f>INDEX([1]角色基础!$AC$16:$CJ$45,MATCH($AA63,[1]角色基础!$J$16:$J$45,0),MATCH(L$2,[1]角色基础!$AC$12:$AF$12,0)+4*(INT(SUBSTITUTE(RIGHT($C63,2),"+",""))-1))</f>
        <v>30</v>
      </c>
      <c r="M63" s="53">
        <v>0</v>
      </c>
      <c r="N63" s="53">
        <v>0</v>
      </c>
      <c r="O63" s="53">
        <v>0</v>
      </c>
      <c r="P63" s="53">
        <v>0</v>
      </c>
      <c r="Q63" s="53">
        <v>15</v>
      </c>
      <c r="R63" s="56">
        <v>0</v>
      </c>
      <c r="S63" s="56">
        <v>2400</v>
      </c>
      <c r="T63" s="56">
        <v>96</v>
      </c>
      <c r="U63" s="56">
        <v>48</v>
      </c>
      <c r="V63" s="56">
        <v>48</v>
      </c>
      <c r="W63" s="57">
        <v>0</v>
      </c>
      <c r="X63" s="57">
        <v>0</v>
      </c>
      <c r="Y63" s="57">
        <v>0</v>
      </c>
      <c r="Z63" s="57">
        <v>0</v>
      </c>
      <c r="AA63" s="58" t="s">
        <v>167</v>
      </c>
    </row>
    <row r="64" spans="1:27" s="71" customFormat="1">
      <c r="A64" s="66">
        <v>4101</v>
      </c>
      <c r="B64" s="66" t="s">
        <v>121</v>
      </c>
      <c r="C64" s="66" t="s">
        <v>33</v>
      </c>
      <c r="D64" s="66">
        <v>10001</v>
      </c>
      <c r="E64" s="66">
        <v>5000</v>
      </c>
      <c r="F64" s="66" t="s">
        <v>101</v>
      </c>
      <c r="G64" s="66">
        <v>0</v>
      </c>
      <c r="H64" s="67">
        <v>0</v>
      </c>
      <c r="I64" s="68">
        <f>INDEX([1]角色基础!$AC$16:$CJ$45,MATCH($AA64,[1]角色基础!$J$16:$J$45,0),MATCH(I$2,[1]角色基础!$AC$12:$AF$12,0)+4*(INT(SUBSTITUTE(RIGHT($C64,2),"+",""))-1))</f>
        <v>156</v>
      </c>
      <c r="J64" s="68">
        <f>INDEX([1]角色基础!$AC$16:$CJ$45,MATCH($AA64,[1]角色基础!$J$16:$J$45,0),MATCH(J$2,[1]角色基础!$AC$12:$AF$12,0)+4*(INT(SUBSTITUTE(RIGHT($C64,2),"+",""))-1))</f>
        <v>6</v>
      </c>
      <c r="K64" s="68">
        <f>INDEX([1]角色基础!$AC$16:$CJ$45,MATCH($AA64,[1]角色基础!$J$16:$J$45,0),MATCH(K$2,[1]角色基础!$AC$12:$AF$12,0)+4*(INT(SUBSTITUTE(RIGHT($C64,2),"+",""))-1))</f>
        <v>3</v>
      </c>
      <c r="L64" s="68">
        <f>INDEX([1]角色基础!$AC$16:$CJ$45,MATCH($AA64,[1]角色基础!$J$16:$J$45,0),MATCH(L$2,[1]角色基础!$AC$12:$AF$12,0)+4*(INT(SUBSTITUTE(RIGHT($C64,2),"+",""))-1))</f>
        <v>3</v>
      </c>
      <c r="M64" s="66">
        <v>0</v>
      </c>
      <c r="N64" s="66">
        <v>0</v>
      </c>
      <c r="O64" s="66">
        <v>0</v>
      </c>
      <c r="P64" s="66">
        <v>0</v>
      </c>
      <c r="Q64" s="66">
        <v>1</v>
      </c>
      <c r="R64" s="69">
        <v>0</v>
      </c>
      <c r="S64" s="69">
        <v>3000</v>
      </c>
      <c r="T64" s="69">
        <v>120</v>
      </c>
      <c r="U64" s="69">
        <v>60</v>
      </c>
      <c r="V64" s="69">
        <v>60</v>
      </c>
      <c r="W64" s="70">
        <v>0</v>
      </c>
      <c r="X64" s="70">
        <v>0</v>
      </c>
      <c r="Y64" s="70">
        <v>0</v>
      </c>
      <c r="Z64" s="70">
        <v>0</v>
      </c>
      <c r="AA64" s="71" t="s">
        <v>171</v>
      </c>
    </row>
    <row r="65" spans="1:27" s="71" customFormat="1">
      <c r="A65" s="66">
        <v>4102</v>
      </c>
      <c r="B65" s="66" t="s">
        <v>41</v>
      </c>
      <c r="C65" s="66" t="s">
        <v>34</v>
      </c>
      <c r="D65" s="66">
        <v>10015</v>
      </c>
      <c r="E65" s="66">
        <v>20000</v>
      </c>
      <c r="F65" s="66" t="s">
        <v>102</v>
      </c>
      <c r="G65" s="66">
        <v>0</v>
      </c>
      <c r="H65" s="67">
        <v>0</v>
      </c>
      <c r="I65" s="68">
        <f>INDEX([1]角色基础!$AC$16:$CJ$45,MATCH($AA65,[1]角色基础!$J$16:$J$45,0),MATCH(I$2,[1]角色基础!$AC$12:$AF$12,0)+4*(INT(SUBSTITUTE(RIGHT($C65,2),"+",""))-1))</f>
        <v>313</v>
      </c>
      <c r="J65" s="68">
        <f>INDEX([1]角色基础!$AC$16:$CJ$45,MATCH($AA65,[1]角色基础!$J$16:$J$45,0),MATCH(J$2,[1]角色基础!$AC$12:$AF$12,0)+4*(INT(SUBSTITUTE(RIGHT($C65,2),"+",""))-1))</f>
        <v>13</v>
      </c>
      <c r="K65" s="68">
        <f>INDEX([1]角色基础!$AC$16:$CJ$45,MATCH($AA65,[1]角色基础!$J$16:$J$45,0),MATCH(K$2,[1]角色基础!$AC$12:$AF$12,0)+4*(INT(SUBSTITUTE(RIGHT($C65,2),"+",""))-1))</f>
        <v>7</v>
      </c>
      <c r="L65" s="68">
        <f>INDEX([1]角色基础!$AC$16:$CJ$45,MATCH($AA65,[1]角色基础!$J$16:$J$45,0),MATCH(L$2,[1]角色基础!$AC$12:$AF$12,0)+4*(INT(SUBSTITUTE(RIGHT($C65,2),"+",""))-1))</f>
        <v>7</v>
      </c>
      <c r="M65" s="66">
        <v>0</v>
      </c>
      <c r="N65" s="66">
        <v>0</v>
      </c>
      <c r="O65" s="66">
        <v>0</v>
      </c>
      <c r="P65" s="66">
        <v>0</v>
      </c>
      <c r="Q65" s="66">
        <v>2</v>
      </c>
      <c r="R65" s="69">
        <v>0</v>
      </c>
      <c r="S65" s="69">
        <v>3000</v>
      </c>
      <c r="T65" s="69">
        <v>120</v>
      </c>
      <c r="U65" s="69">
        <v>60</v>
      </c>
      <c r="V65" s="69">
        <v>60</v>
      </c>
      <c r="W65" s="70">
        <v>0</v>
      </c>
      <c r="X65" s="70">
        <v>0</v>
      </c>
      <c r="Y65" s="70">
        <v>0</v>
      </c>
      <c r="Z65" s="70">
        <v>0</v>
      </c>
      <c r="AA65" s="71" t="s">
        <v>171</v>
      </c>
    </row>
    <row r="66" spans="1:27" s="71" customFormat="1">
      <c r="A66" s="66">
        <v>4103</v>
      </c>
      <c r="B66" s="66" t="s">
        <v>42</v>
      </c>
      <c r="C66" s="66" t="s">
        <v>35</v>
      </c>
      <c r="D66" s="66">
        <v>10025</v>
      </c>
      <c r="E66" s="66">
        <v>50000</v>
      </c>
      <c r="F66" s="66" t="s">
        <v>103</v>
      </c>
      <c r="G66" s="66">
        <v>0</v>
      </c>
      <c r="H66" s="67">
        <v>0</v>
      </c>
      <c r="I66" s="68">
        <f>INDEX([1]角色基础!$AC$16:$CJ$45,MATCH($AA66,[1]角色基础!$J$16:$J$45,0),MATCH(I$2,[1]角色基础!$AC$12:$AF$12,0)+4*(INT(SUBSTITUTE(RIGHT($C66,2),"+",""))-1))</f>
        <v>469</v>
      </c>
      <c r="J66" s="68">
        <f>INDEX([1]角色基础!$AC$16:$CJ$45,MATCH($AA66,[1]角色基础!$J$16:$J$45,0),MATCH(J$2,[1]角色基础!$AC$12:$AF$12,0)+4*(INT(SUBSTITUTE(RIGHT($C66,2),"+",""))-1))</f>
        <v>19</v>
      </c>
      <c r="K66" s="68">
        <f>INDEX([1]角色基础!$AC$16:$CJ$45,MATCH($AA66,[1]角色基础!$J$16:$J$45,0),MATCH(K$2,[1]角色基础!$AC$12:$AF$12,0)+4*(INT(SUBSTITUTE(RIGHT($C66,2),"+",""))-1))</f>
        <v>10</v>
      </c>
      <c r="L66" s="68">
        <f>INDEX([1]角色基础!$AC$16:$CJ$45,MATCH($AA66,[1]角色基础!$J$16:$J$45,0),MATCH(L$2,[1]角色基础!$AC$12:$AF$12,0)+4*(INT(SUBSTITUTE(RIGHT($C66,2),"+",""))-1))</f>
        <v>10</v>
      </c>
      <c r="M66" s="66">
        <v>0</v>
      </c>
      <c r="N66" s="66">
        <v>0</v>
      </c>
      <c r="O66" s="66">
        <v>0</v>
      </c>
      <c r="P66" s="66">
        <v>0</v>
      </c>
      <c r="Q66" s="66">
        <v>3</v>
      </c>
      <c r="R66" s="69">
        <v>0</v>
      </c>
      <c r="S66" s="69">
        <v>3000</v>
      </c>
      <c r="T66" s="69">
        <v>120</v>
      </c>
      <c r="U66" s="69">
        <v>60</v>
      </c>
      <c r="V66" s="69">
        <v>60</v>
      </c>
      <c r="W66" s="70">
        <v>0</v>
      </c>
      <c r="X66" s="70">
        <v>0</v>
      </c>
      <c r="Y66" s="70">
        <v>0</v>
      </c>
      <c r="Z66" s="70">
        <v>0</v>
      </c>
      <c r="AA66" s="71" t="s">
        <v>171</v>
      </c>
    </row>
    <row r="67" spans="1:27" s="71" customFormat="1">
      <c r="A67" s="66">
        <v>4104</v>
      </c>
      <c r="B67" s="66" t="s">
        <v>43</v>
      </c>
      <c r="C67" s="66" t="s">
        <v>36</v>
      </c>
      <c r="D67" s="66">
        <v>10035</v>
      </c>
      <c r="E67" s="66">
        <v>100000</v>
      </c>
      <c r="F67" s="66" t="s">
        <v>104</v>
      </c>
      <c r="G67" s="66">
        <v>1</v>
      </c>
      <c r="H67" s="67">
        <v>0</v>
      </c>
      <c r="I67" s="68">
        <f>INDEX([1]角色基础!$AC$16:$CJ$45,MATCH($AA67,[1]角色基础!$J$16:$J$45,0),MATCH(I$2,[1]角色基础!$AC$12:$AF$12,0)+4*(INT(SUBSTITUTE(RIGHT($C67,2),"+",""))-1))</f>
        <v>625</v>
      </c>
      <c r="J67" s="68">
        <f>INDEX([1]角色基础!$AC$16:$CJ$45,MATCH($AA67,[1]角色基础!$J$16:$J$45,0),MATCH(J$2,[1]角色基础!$AC$12:$AF$12,0)+4*(INT(SUBSTITUTE(RIGHT($C67,2),"+",""))-1))</f>
        <v>25</v>
      </c>
      <c r="K67" s="68">
        <f>INDEX([1]角色基础!$AC$16:$CJ$45,MATCH($AA67,[1]角色基础!$J$16:$J$45,0),MATCH(K$2,[1]角色基础!$AC$12:$AF$12,0)+4*(INT(SUBSTITUTE(RIGHT($C67,2),"+",""))-1))</f>
        <v>13</v>
      </c>
      <c r="L67" s="68">
        <f>INDEX([1]角色基础!$AC$16:$CJ$45,MATCH($AA67,[1]角色基础!$J$16:$J$45,0),MATCH(L$2,[1]角色基础!$AC$12:$AF$12,0)+4*(INT(SUBSTITUTE(RIGHT($C67,2),"+",""))-1))</f>
        <v>13</v>
      </c>
      <c r="M67" s="66">
        <v>0</v>
      </c>
      <c r="N67" s="66">
        <v>0</v>
      </c>
      <c r="O67" s="66">
        <v>0</v>
      </c>
      <c r="P67" s="66">
        <v>0</v>
      </c>
      <c r="Q67" s="66">
        <v>4</v>
      </c>
      <c r="R67" s="69">
        <v>0</v>
      </c>
      <c r="S67" s="69">
        <v>3000</v>
      </c>
      <c r="T67" s="69">
        <v>120</v>
      </c>
      <c r="U67" s="69">
        <v>60</v>
      </c>
      <c r="V67" s="69">
        <v>60</v>
      </c>
      <c r="W67" s="70">
        <v>0</v>
      </c>
      <c r="X67" s="70">
        <v>0</v>
      </c>
      <c r="Y67" s="70">
        <v>0</v>
      </c>
      <c r="Z67" s="70">
        <v>0</v>
      </c>
      <c r="AA67" s="71" t="s">
        <v>171</v>
      </c>
    </row>
    <row r="68" spans="1:27" s="71" customFormat="1">
      <c r="A68" s="66">
        <v>4105</v>
      </c>
      <c r="B68" s="66" t="s">
        <v>44</v>
      </c>
      <c r="C68" s="66" t="s">
        <v>37</v>
      </c>
      <c r="D68" s="66">
        <v>10045</v>
      </c>
      <c r="E68" s="66">
        <v>200000</v>
      </c>
      <c r="F68" s="66" t="s">
        <v>105</v>
      </c>
      <c r="G68" s="66">
        <v>1</v>
      </c>
      <c r="H68" s="67">
        <v>0</v>
      </c>
      <c r="I68" s="68">
        <f>INDEX([1]角色基础!$AC$16:$CJ$45,MATCH($AA68,[1]角色基础!$J$16:$J$45,0),MATCH(I$2,[1]角色基础!$AC$12:$AF$12,0)+4*(INT(SUBSTITUTE(RIGHT($C68,2),"+",""))-1))</f>
        <v>781</v>
      </c>
      <c r="J68" s="68">
        <f>INDEX([1]角色基础!$AC$16:$CJ$45,MATCH($AA68,[1]角色基础!$J$16:$J$45,0),MATCH(J$2,[1]角色基础!$AC$12:$AF$12,0)+4*(INT(SUBSTITUTE(RIGHT($C68,2),"+",""))-1))</f>
        <v>31</v>
      </c>
      <c r="K68" s="68">
        <f>INDEX([1]角色基础!$AC$16:$CJ$45,MATCH($AA68,[1]角色基础!$J$16:$J$45,0),MATCH(K$2,[1]角色基础!$AC$12:$AF$12,0)+4*(INT(SUBSTITUTE(RIGHT($C68,2),"+",""))-1))</f>
        <v>16</v>
      </c>
      <c r="L68" s="68">
        <f>INDEX([1]角色基础!$AC$16:$CJ$45,MATCH($AA68,[1]角色基础!$J$16:$J$45,0),MATCH(L$2,[1]角色基础!$AC$12:$AF$12,0)+4*(INT(SUBSTITUTE(RIGHT($C68,2),"+",""))-1))</f>
        <v>16</v>
      </c>
      <c r="M68" s="66">
        <v>0</v>
      </c>
      <c r="N68" s="66">
        <v>0</v>
      </c>
      <c r="O68" s="66">
        <v>0</v>
      </c>
      <c r="P68" s="66">
        <v>0</v>
      </c>
      <c r="Q68" s="66">
        <v>5</v>
      </c>
      <c r="R68" s="69">
        <v>0</v>
      </c>
      <c r="S68" s="69">
        <v>3000</v>
      </c>
      <c r="T68" s="69">
        <v>120</v>
      </c>
      <c r="U68" s="69">
        <v>60</v>
      </c>
      <c r="V68" s="69">
        <v>60</v>
      </c>
      <c r="W68" s="70">
        <v>0</v>
      </c>
      <c r="X68" s="70">
        <v>0</v>
      </c>
      <c r="Y68" s="70">
        <v>0</v>
      </c>
      <c r="Z68" s="70">
        <v>0</v>
      </c>
      <c r="AA68" s="71" t="s">
        <v>171</v>
      </c>
    </row>
    <row r="69" spans="1:27" s="71" customFormat="1">
      <c r="A69" s="66">
        <v>4106</v>
      </c>
      <c r="B69" s="66" t="s">
        <v>45</v>
      </c>
      <c r="C69" s="66" t="s">
        <v>38</v>
      </c>
      <c r="D69" s="66">
        <v>10055</v>
      </c>
      <c r="E69" s="66">
        <v>300000</v>
      </c>
      <c r="F69" s="66" t="s">
        <v>106</v>
      </c>
      <c r="G69" s="66">
        <v>2</v>
      </c>
      <c r="H69" s="67">
        <v>0</v>
      </c>
      <c r="I69" s="68">
        <f>INDEX([1]角色基础!$AC$16:$CJ$45,MATCH($AA69,[1]角色基础!$J$16:$J$45,0),MATCH(I$2,[1]角色基础!$AC$12:$AF$12,0)+4*(INT(SUBSTITUTE(RIGHT($C69,2),"+",""))-1))</f>
        <v>938</v>
      </c>
      <c r="J69" s="68">
        <f>INDEX([1]角色基础!$AC$16:$CJ$45,MATCH($AA69,[1]角色基础!$J$16:$J$45,0),MATCH(J$2,[1]角色基础!$AC$12:$AF$12,0)+4*(INT(SUBSTITUTE(RIGHT($C69,2),"+",""))-1))</f>
        <v>38</v>
      </c>
      <c r="K69" s="68">
        <f>INDEX([1]角色基础!$AC$16:$CJ$45,MATCH($AA69,[1]角色基础!$J$16:$J$45,0),MATCH(K$2,[1]角色基础!$AC$12:$AF$12,0)+4*(INT(SUBSTITUTE(RIGHT($C69,2),"+",""))-1))</f>
        <v>20</v>
      </c>
      <c r="L69" s="68">
        <f>INDEX([1]角色基础!$AC$16:$CJ$45,MATCH($AA69,[1]角色基础!$J$16:$J$45,0),MATCH(L$2,[1]角色基础!$AC$12:$AF$12,0)+4*(INT(SUBSTITUTE(RIGHT($C69,2),"+",""))-1))</f>
        <v>20</v>
      </c>
      <c r="M69" s="66">
        <v>0</v>
      </c>
      <c r="N69" s="66">
        <v>0</v>
      </c>
      <c r="O69" s="66">
        <v>0</v>
      </c>
      <c r="P69" s="66">
        <v>0</v>
      </c>
      <c r="Q69" s="66">
        <v>6</v>
      </c>
      <c r="R69" s="69">
        <v>0</v>
      </c>
      <c r="S69" s="69">
        <v>3000</v>
      </c>
      <c r="T69" s="69">
        <v>120</v>
      </c>
      <c r="U69" s="69">
        <v>60</v>
      </c>
      <c r="V69" s="69">
        <v>60</v>
      </c>
      <c r="W69" s="70">
        <v>0</v>
      </c>
      <c r="X69" s="70">
        <v>0</v>
      </c>
      <c r="Y69" s="70">
        <v>0</v>
      </c>
      <c r="Z69" s="70">
        <v>0</v>
      </c>
      <c r="AA69" s="71" t="s">
        <v>171</v>
      </c>
    </row>
    <row r="70" spans="1:27" s="71" customFormat="1">
      <c r="A70" s="66">
        <v>4107</v>
      </c>
      <c r="B70" s="66" t="s">
        <v>46</v>
      </c>
      <c r="C70" s="66" t="s">
        <v>39</v>
      </c>
      <c r="D70" s="66">
        <v>10065</v>
      </c>
      <c r="E70" s="66">
        <v>500000</v>
      </c>
      <c r="F70" s="66" t="s">
        <v>107</v>
      </c>
      <c r="G70" s="66">
        <v>2</v>
      </c>
      <c r="H70" s="67">
        <v>0</v>
      </c>
      <c r="I70" s="68">
        <f>INDEX([1]角色基础!$AC$16:$CJ$45,MATCH($AA70,[1]角色基础!$J$16:$J$45,0),MATCH(I$2,[1]角色基础!$AC$12:$AF$12,0)+4*(INT(SUBSTITUTE(RIGHT($C70,2),"+",""))-1))</f>
        <v>1094</v>
      </c>
      <c r="J70" s="68">
        <f>INDEX([1]角色基础!$AC$16:$CJ$45,MATCH($AA70,[1]角色基础!$J$16:$J$45,0),MATCH(J$2,[1]角色基础!$AC$12:$AF$12,0)+4*(INT(SUBSTITUTE(RIGHT($C70,2),"+",""))-1))</f>
        <v>44</v>
      </c>
      <c r="K70" s="68">
        <f>INDEX([1]角色基础!$AC$16:$CJ$45,MATCH($AA70,[1]角色基础!$J$16:$J$45,0),MATCH(K$2,[1]角色基础!$AC$12:$AF$12,0)+4*(INT(SUBSTITUTE(RIGHT($C70,2),"+",""))-1))</f>
        <v>23</v>
      </c>
      <c r="L70" s="68">
        <f>INDEX([1]角色基础!$AC$16:$CJ$45,MATCH($AA70,[1]角色基础!$J$16:$J$45,0),MATCH(L$2,[1]角色基础!$AC$12:$AF$12,0)+4*(INT(SUBSTITUTE(RIGHT($C70,2),"+",""))-1))</f>
        <v>23</v>
      </c>
      <c r="M70" s="66">
        <v>0</v>
      </c>
      <c r="N70" s="66">
        <v>0</v>
      </c>
      <c r="O70" s="66">
        <v>0</v>
      </c>
      <c r="P70" s="66">
        <v>0</v>
      </c>
      <c r="Q70" s="66">
        <v>7</v>
      </c>
      <c r="R70" s="69">
        <v>0</v>
      </c>
      <c r="S70" s="69">
        <v>3000</v>
      </c>
      <c r="T70" s="69">
        <v>120</v>
      </c>
      <c r="U70" s="69">
        <v>60</v>
      </c>
      <c r="V70" s="69">
        <v>60</v>
      </c>
      <c r="W70" s="70">
        <v>0</v>
      </c>
      <c r="X70" s="70">
        <v>0</v>
      </c>
      <c r="Y70" s="70">
        <v>0</v>
      </c>
      <c r="Z70" s="70">
        <v>0</v>
      </c>
      <c r="AA70" s="71" t="s">
        <v>171</v>
      </c>
    </row>
    <row r="71" spans="1:27" s="71" customFormat="1">
      <c r="A71" s="66">
        <v>4108</v>
      </c>
      <c r="B71" s="66" t="s">
        <v>47</v>
      </c>
      <c r="C71" s="66" t="s">
        <v>40</v>
      </c>
      <c r="D71" s="66">
        <v>10075</v>
      </c>
      <c r="E71" s="66">
        <v>800000</v>
      </c>
      <c r="F71" s="66" t="s">
        <v>108</v>
      </c>
      <c r="G71" s="66">
        <v>4</v>
      </c>
      <c r="H71" s="67">
        <v>0</v>
      </c>
      <c r="I71" s="68">
        <f>INDEX([1]角色基础!$AC$16:$CJ$45,MATCH($AA71,[1]角色基础!$J$16:$J$45,0),MATCH(I$2,[1]角色基础!$AC$12:$AF$12,0)+4*(INT(SUBSTITUTE(RIGHT($C71,2),"+",""))-1))</f>
        <v>1250</v>
      </c>
      <c r="J71" s="68">
        <f>INDEX([1]角色基础!$AC$16:$CJ$45,MATCH($AA71,[1]角色基础!$J$16:$J$45,0),MATCH(J$2,[1]角色基础!$AC$12:$AF$12,0)+4*(INT(SUBSTITUTE(RIGHT($C71,2),"+",""))-1))</f>
        <v>50</v>
      </c>
      <c r="K71" s="68">
        <f>INDEX([1]角色基础!$AC$16:$CJ$45,MATCH($AA71,[1]角色基础!$J$16:$J$45,0),MATCH(K$2,[1]角色基础!$AC$12:$AF$12,0)+4*(INT(SUBSTITUTE(RIGHT($C71,2),"+",""))-1))</f>
        <v>26</v>
      </c>
      <c r="L71" s="68">
        <f>INDEX([1]角色基础!$AC$16:$CJ$45,MATCH($AA71,[1]角色基础!$J$16:$J$45,0),MATCH(L$2,[1]角色基础!$AC$12:$AF$12,0)+4*(INT(SUBSTITUTE(RIGHT($C71,2),"+",""))-1))</f>
        <v>26</v>
      </c>
      <c r="M71" s="66">
        <v>0</v>
      </c>
      <c r="N71" s="66">
        <v>0</v>
      </c>
      <c r="O71" s="66">
        <v>0</v>
      </c>
      <c r="P71" s="66">
        <v>0</v>
      </c>
      <c r="Q71" s="66">
        <v>8</v>
      </c>
      <c r="R71" s="69">
        <v>0</v>
      </c>
      <c r="S71" s="69">
        <v>3000</v>
      </c>
      <c r="T71" s="69">
        <v>120</v>
      </c>
      <c r="U71" s="69">
        <v>60</v>
      </c>
      <c r="V71" s="69">
        <v>60</v>
      </c>
      <c r="W71" s="70">
        <v>0</v>
      </c>
      <c r="X71" s="70">
        <v>0</v>
      </c>
      <c r="Y71" s="70">
        <v>0</v>
      </c>
      <c r="Z71" s="70">
        <v>0</v>
      </c>
      <c r="AA71" s="71" t="s">
        <v>171</v>
      </c>
    </row>
    <row r="72" spans="1:27" s="71" customFormat="1">
      <c r="A72" s="66">
        <v>4109</v>
      </c>
      <c r="B72" s="66" t="s">
        <v>69</v>
      </c>
      <c r="C72" s="66" t="s">
        <v>32</v>
      </c>
      <c r="D72" s="66">
        <v>10085</v>
      </c>
      <c r="E72" s="66">
        <v>1200000</v>
      </c>
      <c r="F72" s="66" t="s">
        <v>109</v>
      </c>
      <c r="G72" s="66">
        <v>6</v>
      </c>
      <c r="H72" s="67">
        <v>0</v>
      </c>
      <c r="I72" s="68">
        <f>INDEX([1]角色基础!$AC$16:$CJ$45,MATCH($AA72,[1]角色基础!$J$16:$J$45,0),MATCH(I$2,[1]角色基础!$AC$12:$AF$12,0)+4*(INT(SUBSTITUTE(RIGHT($C72,2),"+",""))-1))</f>
        <v>1406</v>
      </c>
      <c r="J72" s="68">
        <f>INDEX([1]角色基础!$AC$16:$CJ$45,MATCH($AA72,[1]角色基础!$J$16:$J$45,0),MATCH(J$2,[1]角色基础!$AC$12:$AF$12,0)+4*(INT(SUBSTITUTE(RIGHT($C72,2),"+",""))-1))</f>
        <v>56</v>
      </c>
      <c r="K72" s="68">
        <f>INDEX([1]角色基础!$AC$16:$CJ$45,MATCH($AA72,[1]角色基础!$J$16:$J$45,0),MATCH(K$2,[1]角色基础!$AC$12:$AF$12,0)+4*(INT(SUBSTITUTE(RIGHT($C72,2),"+",""))-1))</f>
        <v>29</v>
      </c>
      <c r="L72" s="68">
        <f>INDEX([1]角色基础!$AC$16:$CJ$45,MATCH($AA72,[1]角色基础!$J$16:$J$45,0),MATCH(L$2,[1]角色基础!$AC$12:$AF$12,0)+4*(INT(SUBSTITUTE(RIGHT($C72,2),"+",""))-1))</f>
        <v>29</v>
      </c>
      <c r="M72" s="66">
        <v>0</v>
      </c>
      <c r="N72" s="66">
        <v>0</v>
      </c>
      <c r="O72" s="66">
        <v>0</v>
      </c>
      <c r="P72" s="66">
        <v>0</v>
      </c>
      <c r="Q72" s="66">
        <v>9</v>
      </c>
      <c r="R72" s="69">
        <v>0</v>
      </c>
      <c r="S72" s="69">
        <v>3000</v>
      </c>
      <c r="T72" s="69">
        <v>120</v>
      </c>
      <c r="U72" s="69">
        <v>60</v>
      </c>
      <c r="V72" s="69">
        <v>60</v>
      </c>
      <c r="W72" s="70">
        <v>0</v>
      </c>
      <c r="X72" s="70">
        <v>0</v>
      </c>
      <c r="Y72" s="70">
        <v>0</v>
      </c>
      <c r="Z72" s="70">
        <v>0</v>
      </c>
      <c r="AA72" s="71" t="s">
        <v>171</v>
      </c>
    </row>
    <row r="73" spans="1:27" s="71" customFormat="1">
      <c r="A73" s="66">
        <v>4110</v>
      </c>
      <c r="B73" s="66" t="s">
        <v>71</v>
      </c>
      <c r="C73" s="66" t="s">
        <v>31</v>
      </c>
      <c r="D73" s="66">
        <v>10095</v>
      </c>
      <c r="E73" s="66">
        <v>1600000</v>
      </c>
      <c r="F73" s="66" t="s">
        <v>110</v>
      </c>
      <c r="G73" s="66">
        <v>8</v>
      </c>
      <c r="H73" s="67">
        <v>0</v>
      </c>
      <c r="I73" s="68">
        <f>INDEX([1]角色基础!$AC$16:$CJ$45,MATCH($AA73,[1]角色基础!$J$16:$J$45,0),MATCH(I$2,[1]角色基础!$AC$12:$AF$12,0)+4*(INT(SUBSTITUTE(RIGHT($C73,2),"+",""))-1))</f>
        <v>1563</v>
      </c>
      <c r="J73" s="68">
        <f>INDEX([1]角色基础!$AC$16:$CJ$45,MATCH($AA73,[1]角色基础!$J$16:$J$45,0),MATCH(J$2,[1]角色基础!$AC$12:$AF$12,0)+4*(INT(SUBSTITUTE(RIGHT($C73,2),"+",""))-1))</f>
        <v>63</v>
      </c>
      <c r="K73" s="68">
        <f>INDEX([1]角色基础!$AC$16:$CJ$45,MATCH($AA73,[1]角色基础!$J$16:$J$45,0),MATCH(K$2,[1]角色基础!$AC$12:$AF$12,0)+4*(INT(SUBSTITUTE(RIGHT($C73,2),"+",""))-1))</f>
        <v>33</v>
      </c>
      <c r="L73" s="68">
        <f>INDEX([1]角色基础!$AC$16:$CJ$45,MATCH($AA73,[1]角色基础!$J$16:$J$45,0),MATCH(L$2,[1]角色基础!$AC$12:$AF$12,0)+4*(INT(SUBSTITUTE(RIGHT($C73,2),"+",""))-1))</f>
        <v>33</v>
      </c>
      <c r="M73" s="66">
        <v>0</v>
      </c>
      <c r="N73" s="66">
        <v>0</v>
      </c>
      <c r="O73" s="66">
        <v>0</v>
      </c>
      <c r="P73" s="66">
        <v>0</v>
      </c>
      <c r="Q73" s="66">
        <v>10</v>
      </c>
      <c r="R73" s="69">
        <v>0</v>
      </c>
      <c r="S73" s="69">
        <v>3000</v>
      </c>
      <c r="T73" s="69">
        <v>120</v>
      </c>
      <c r="U73" s="69">
        <v>60</v>
      </c>
      <c r="V73" s="69">
        <v>60</v>
      </c>
      <c r="W73" s="70">
        <v>0</v>
      </c>
      <c r="X73" s="70">
        <v>0</v>
      </c>
      <c r="Y73" s="70">
        <v>0</v>
      </c>
      <c r="Z73" s="70">
        <v>0</v>
      </c>
      <c r="AA73" s="71" t="s">
        <v>171</v>
      </c>
    </row>
    <row r="74" spans="1:27" s="71" customFormat="1">
      <c r="A74" s="66">
        <v>4111</v>
      </c>
      <c r="B74" s="66" t="s">
        <v>73</v>
      </c>
      <c r="C74" s="66" t="s">
        <v>74</v>
      </c>
      <c r="D74" s="66">
        <v>10105</v>
      </c>
      <c r="E74" s="66">
        <v>2000000</v>
      </c>
      <c r="F74" s="66" t="s">
        <v>90</v>
      </c>
      <c r="G74" s="66">
        <v>10</v>
      </c>
      <c r="H74" s="67">
        <v>0</v>
      </c>
      <c r="I74" s="68">
        <f>INDEX([1]角色基础!$AC$16:$CJ$45,MATCH($AA74,[1]角色基础!$J$16:$J$45,0),MATCH(I$2,[1]角色基础!$AC$12:$AF$12,0)+4*(INT(SUBSTITUTE(RIGHT($C74,2),"+",""))-1))</f>
        <v>1719</v>
      </c>
      <c r="J74" s="68">
        <f>INDEX([1]角色基础!$AC$16:$CJ$45,MATCH($AA74,[1]角色基础!$J$16:$J$45,0),MATCH(J$2,[1]角色基础!$AC$12:$AF$12,0)+4*(INT(SUBSTITUTE(RIGHT($C74,2),"+",""))-1))</f>
        <v>69</v>
      </c>
      <c r="K74" s="68">
        <f>INDEX([1]角色基础!$AC$16:$CJ$45,MATCH($AA74,[1]角色基础!$J$16:$J$45,0),MATCH(K$2,[1]角色基础!$AC$12:$AF$12,0)+4*(INT(SUBSTITUTE(RIGHT($C74,2),"+",""))-1))</f>
        <v>36</v>
      </c>
      <c r="L74" s="68">
        <f>INDEX([1]角色基础!$AC$16:$CJ$45,MATCH($AA74,[1]角色基础!$J$16:$J$45,0),MATCH(L$2,[1]角色基础!$AC$12:$AF$12,0)+4*(INT(SUBSTITUTE(RIGHT($C74,2),"+",""))-1))</f>
        <v>36</v>
      </c>
      <c r="M74" s="66">
        <v>0</v>
      </c>
      <c r="N74" s="66">
        <v>0</v>
      </c>
      <c r="O74" s="66">
        <v>0</v>
      </c>
      <c r="P74" s="66">
        <v>0</v>
      </c>
      <c r="Q74" s="66">
        <v>11</v>
      </c>
      <c r="R74" s="69">
        <v>0</v>
      </c>
      <c r="S74" s="69">
        <v>3000</v>
      </c>
      <c r="T74" s="69">
        <v>120</v>
      </c>
      <c r="U74" s="69">
        <v>60</v>
      </c>
      <c r="V74" s="69">
        <v>60</v>
      </c>
      <c r="W74" s="70">
        <v>0</v>
      </c>
      <c r="X74" s="70">
        <v>0</v>
      </c>
      <c r="Y74" s="70">
        <v>0</v>
      </c>
      <c r="Z74" s="70">
        <v>0</v>
      </c>
      <c r="AA74" s="71" t="s">
        <v>171</v>
      </c>
    </row>
    <row r="75" spans="1:27" s="71" customFormat="1">
      <c r="A75" s="66">
        <v>4112</v>
      </c>
      <c r="B75" s="66" t="s">
        <v>75</v>
      </c>
      <c r="C75" s="66" t="s">
        <v>76</v>
      </c>
      <c r="D75" s="66">
        <v>10115</v>
      </c>
      <c r="E75" s="66">
        <v>2500000</v>
      </c>
      <c r="F75" s="66" t="s">
        <v>111</v>
      </c>
      <c r="G75" s="66">
        <v>12</v>
      </c>
      <c r="H75" s="67">
        <v>0</v>
      </c>
      <c r="I75" s="68">
        <f>INDEX([1]角色基础!$AC$16:$CJ$45,MATCH($AA75,[1]角色基础!$J$16:$J$45,0),MATCH(I$2,[1]角色基础!$AC$12:$AF$12,0)+4*(INT(SUBSTITUTE(RIGHT($C75,2),"+",""))-1))</f>
        <v>1875</v>
      </c>
      <c r="J75" s="68">
        <f>INDEX([1]角色基础!$AC$16:$CJ$45,MATCH($AA75,[1]角色基础!$J$16:$J$45,0),MATCH(J$2,[1]角色基础!$AC$12:$AF$12,0)+4*(INT(SUBSTITUTE(RIGHT($C75,2),"+",""))-1))</f>
        <v>75</v>
      </c>
      <c r="K75" s="68">
        <f>INDEX([1]角色基础!$AC$16:$CJ$45,MATCH($AA75,[1]角色基础!$J$16:$J$45,0),MATCH(K$2,[1]角色基础!$AC$12:$AF$12,0)+4*(INT(SUBSTITUTE(RIGHT($C75,2),"+",""))-1))</f>
        <v>39</v>
      </c>
      <c r="L75" s="68">
        <f>INDEX([1]角色基础!$AC$16:$CJ$45,MATCH($AA75,[1]角色基础!$J$16:$J$45,0),MATCH(L$2,[1]角色基础!$AC$12:$AF$12,0)+4*(INT(SUBSTITUTE(RIGHT($C75,2),"+",""))-1))</f>
        <v>39</v>
      </c>
      <c r="M75" s="66">
        <v>0</v>
      </c>
      <c r="N75" s="66">
        <v>0</v>
      </c>
      <c r="O75" s="66">
        <v>0</v>
      </c>
      <c r="P75" s="66">
        <v>0</v>
      </c>
      <c r="Q75" s="66">
        <v>12</v>
      </c>
      <c r="R75" s="69">
        <v>0</v>
      </c>
      <c r="S75" s="69">
        <v>3000</v>
      </c>
      <c r="T75" s="69">
        <v>120</v>
      </c>
      <c r="U75" s="69">
        <v>60</v>
      </c>
      <c r="V75" s="69">
        <v>60</v>
      </c>
      <c r="W75" s="70">
        <v>0</v>
      </c>
      <c r="X75" s="70">
        <v>0</v>
      </c>
      <c r="Y75" s="70">
        <v>0</v>
      </c>
      <c r="Z75" s="70">
        <v>0</v>
      </c>
      <c r="AA75" s="71" t="s">
        <v>171</v>
      </c>
    </row>
    <row r="76" spans="1:27" s="71" customFormat="1">
      <c r="A76" s="66">
        <v>4113</v>
      </c>
      <c r="B76" s="66" t="s">
        <v>182</v>
      </c>
      <c r="C76" s="66" t="s">
        <v>183</v>
      </c>
      <c r="D76" s="66">
        <v>10125</v>
      </c>
      <c r="E76" s="66">
        <v>3000000</v>
      </c>
      <c r="F76" s="66" t="s">
        <v>114</v>
      </c>
      <c r="G76" s="66">
        <v>14</v>
      </c>
      <c r="H76" s="67">
        <v>0</v>
      </c>
      <c r="I76" s="68">
        <f>INDEX([1]角色基础!$AC$16:$CJ$45,MATCH($AA76,[1]角色基础!$J$16:$J$45,0),MATCH(I$2,[1]角色基础!$AC$12:$AF$12,0)+4*(INT(SUBSTITUTE(RIGHT($C76,2),"+",""))-1))</f>
        <v>2031</v>
      </c>
      <c r="J76" s="68">
        <f>INDEX([1]角色基础!$AC$16:$CJ$45,MATCH($AA76,[1]角色基础!$J$16:$J$45,0),MATCH(J$2,[1]角色基础!$AC$12:$AF$12,0)+4*(INT(SUBSTITUTE(RIGHT($C76,2),"+",""))-1))</f>
        <v>81</v>
      </c>
      <c r="K76" s="68">
        <f>INDEX([1]角色基础!$AC$16:$CJ$45,MATCH($AA76,[1]角色基础!$J$16:$J$45,0),MATCH(K$2,[1]角色基础!$AC$12:$AF$12,0)+4*(INT(SUBSTITUTE(RIGHT($C76,2),"+",""))-1))</f>
        <v>42</v>
      </c>
      <c r="L76" s="68">
        <f>INDEX([1]角色基础!$AC$16:$CJ$45,MATCH($AA76,[1]角色基础!$J$16:$J$45,0),MATCH(L$2,[1]角色基础!$AC$12:$AF$12,0)+4*(INT(SUBSTITUTE(RIGHT($C76,2),"+",""))-1))</f>
        <v>42</v>
      </c>
      <c r="M76" s="66">
        <v>0</v>
      </c>
      <c r="N76" s="66">
        <v>0</v>
      </c>
      <c r="O76" s="66">
        <v>0</v>
      </c>
      <c r="P76" s="66">
        <v>0</v>
      </c>
      <c r="Q76" s="66">
        <v>13</v>
      </c>
      <c r="R76" s="69">
        <v>0</v>
      </c>
      <c r="S76" s="69">
        <v>3000</v>
      </c>
      <c r="T76" s="69">
        <v>120</v>
      </c>
      <c r="U76" s="69">
        <v>60</v>
      </c>
      <c r="V76" s="69">
        <v>60</v>
      </c>
      <c r="W76" s="70">
        <v>0</v>
      </c>
      <c r="X76" s="70">
        <v>0</v>
      </c>
      <c r="Y76" s="70">
        <v>0</v>
      </c>
      <c r="Z76" s="70">
        <v>0</v>
      </c>
      <c r="AA76" s="71" t="s">
        <v>171</v>
      </c>
    </row>
    <row r="77" spans="1:27" s="71" customFormat="1">
      <c r="A77" s="66">
        <v>4114</v>
      </c>
      <c r="B77" s="66" t="s">
        <v>184</v>
      </c>
      <c r="C77" s="66" t="s">
        <v>185</v>
      </c>
      <c r="D77" s="66">
        <v>10135</v>
      </c>
      <c r="E77" s="66">
        <v>4000000</v>
      </c>
      <c r="F77" s="66" t="s">
        <v>197</v>
      </c>
      <c r="G77" s="66">
        <v>16</v>
      </c>
      <c r="H77" s="67">
        <v>0</v>
      </c>
      <c r="I77" s="68">
        <f>INDEX([1]角色基础!$AC$16:$CJ$45,MATCH($AA77,[1]角色基础!$J$16:$J$45,0),MATCH(I$2,[1]角色基础!$AC$12:$AF$12,0)+4*(INT(SUBSTITUTE(RIGHT($C77,2),"+",""))-1))</f>
        <v>2188</v>
      </c>
      <c r="J77" s="68">
        <f>INDEX([1]角色基础!$AC$16:$CJ$45,MATCH($AA77,[1]角色基础!$J$16:$J$45,0),MATCH(J$2,[1]角色基础!$AC$12:$AF$12,0)+4*(INT(SUBSTITUTE(RIGHT($C77,2),"+",""))-1))</f>
        <v>88</v>
      </c>
      <c r="K77" s="68">
        <f>INDEX([1]角色基础!$AC$16:$CJ$45,MATCH($AA77,[1]角色基础!$J$16:$J$45,0),MATCH(K$2,[1]角色基础!$AC$12:$AF$12,0)+4*(INT(SUBSTITUTE(RIGHT($C77,2),"+",""))-1))</f>
        <v>46</v>
      </c>
      <c r="L77" s="68">
        <f>INDEX([1]角色基础!$AC$16:$CJ$45,MATCH($AA77,[1]角色基础!$J$16:$J$45,0),MATCH(L$2,[1]角色基础!$AC$12:$AF$12,0)+4*(INT(SUBSTITUTE(RIGHT($C77,2),"+",""))-1))</f>
        <v>46</v>
      </c>
      <c r="M77" s="66">
        <v>0</v>
      </c>
      <c r="N77" s="66">
        <v>0</v>
      </c>
      <c r="O77" s="66">
        <v>0</v>
      </c>
      <c r="P77" s="66">
        <v>0</v>
      </c>
      <c r="Q77" s="66">
        <v>14</v>
      </c>
      <c r="R77" s="69">
        <v>0</v>
      </c>
      <c r="S77" s="69">
        <v>3000</v>
      </c>
      <c r="T77" s="69">
        <v>120</v>
      </c>
      <c r="U77" s="69">
        <v>60</v>
      </c>
      <c r="V77" s="69">
        <v>60</v>
      </c>
      <c r="W77" s="70">
        <v>0</v>
      </c>
      <c r="X77" s="70">
        <v>0</v>
      </c>
      <c r="Y77" s="70">
        <v>0</v>
      </c>
      <c r="Z77" s="70">
        <v>0</v>
      </c>
      <c r="AA77" s="71" t="s">
        <v>171</v>
      </c>
    </row>
    <row r="78" spans="1:27" s="71" customFormat="1">
      <c r="A78" s="66">
        <v>4115</v>
      </c>
      <c r="B78" s="66" t="s">
        <v>186</v>
      </c>
      <c r="C78" s="66" t="s">
        <v>187</v>
      </c>
      <c r="D78" s="66">
        <v>10145</v>
      </c>
      <c r="E78" s="66">
        <v>5000000</v>
      </c>
      <c r="F78" s="66" t="s">
        <v>195</v>
      </c>
      <c r="G78" s="66">
        <v>20</v>
      </c>
      <c r="H78" s="67">
        <v>0</v>
      </c>
      <c r="I78" s="68">
        <f>INDEX([1]角色基础!$AC$16:$CJ$45,MATCH($AA78,[1]角色基础!$J$16:$J$45,0),MATCH(I$2,[1]角色基础!$AC$12:$AF$12,0)+4*(INT(SUBSTITUTE(RIGHT($C78,2),"+",""))-1))</f>
        <v>2344</v>
      </c>
      <c r="J78" s="68">
        <f>INDEX([1]角色基础!$AC$16:$CJ$45,MATCH($AA78,[1]角色基础!$J$16:$J$45,0),MATCH(J$2,[1]角色基础!$AC$12:$AF$12,0)+4*(INT(SUBSTITUTE(RIGHT($C78,2),"+",""))-1))</f>
        <v>94</v>
      </c>
      <c r="K78" s="68">
        <f>INDEX([1]角色基础!$AC$16:$CJ$45,MATCH($AA78,[1]角色基础!$J$16:$J$45,0),MATCH(K$2,[1]角色基础!$AC$12:$AF$12,0)+4*(INT(SUBSTITUTE(RIGHT($C78,2),"+",""))-1))</f>
        <v>49</v>
      </c>
      <c r="L78" s="68">
        <f>INDEX([1]角色基础!$AC$16:$CJ$45,MATCH($AA78,[1]角色基础!$J$16:$J$45,0),MATCH(L$2,[1]角色基础!$AC$12:$AF$12,0)+4*(INT(SUBSTITUTE(RIGHT($C78,2),"+",""))-1))</f>
        <v>49</v>
      </c>
      <c r="M78" s="66">
        <v>0</v>
      </c>
      <c r="N78" s="66">
        <v>0</v>
      </c>
      <c r="O78" s="66">
        <v>0</v>
      </c>
      <c r="P78" s="66">
        <v>0</v>
      </c>
      <c r="Q78" s="66">
        <v>15</v>
      </c>
      <c r="R78" s="69">
        <v>0</v>
      </c>
      <c r="S78" s="69">
        <v>3000</v>
      </c>
      <c r="T78" s="69">
        <v>120</v>
      </c>
      <c r="U78" s="69">
        <v>60</v>
      </c>
      <c r="V78" s="69">
        <v>60</v>
      </c>
      <c r="W78" s="70">
        <v>0</v>
      </c>
      <c r="X78" s="70">
        <v>0</v>
      </c>
      <c r="Y78" s="70">
        <v>0</v>
      </c>
      <c r="Z78" s="70">
        <v>0</v>
      </c>
      <c r="AA78" s="71" t="s">
        <v>171</v>
      </c>
    </row>
    <row r="79" spans="1:27" s="90" customFormat="1">
      <c r="A79" s="85">
        <v>4201</v>
      </c>
      <c r="B79" s="85" t="s">
        <v>121</v>
      </c>
      <c r="C79" s="85" t="s">
        <v>33</v>
      </c>
      <c r="D79" s="85">
        <v>10001</v>
      </c>
      <c r="E79" s="85">
        <v>5000</v>
      </c>
      <c r="F79" s="85" t="s">
        <v>101</v>
      </c>
      <c r="G79" s="85">
        <v>0</v>
      </c>
      <c r="H79" s="86">
        <v>0</v>
      </c>
      <c r="I79" s="87">
        <f>INDEX([1]角色基础!$AC$16:$CJ$45,MATCH($AA79,[1]角色基础!$J$16:$J$45,0),MATCH(I$2,[1]角色基础!$AC$12:$AF$12,0)+4*(INT(SUBSTITUTE(RIGHT($C79,2),"+",""))-1))</f>
        <v>156</v>
      </c>
      <c r="J79" s="87">
        <f>INDEX([1]角色基础!$AC$16:$CJ$45,MATCH($AA79,[1]角色基础!$J$16:$J$45,0),MATCH(J$2,[1]角色基础!$AC$12:$AF$12,0)+4*(INT(SUBSTITUTE(RIGHT($C79,2),"+",""))-1))</f>
        <v>6</v>
      </c>
      <c r="K79" s="87">
        <f>INDEX([1]角色基础!$AC$16:$CJ$45,MATCH($AA79,[1]角色基础!$J$16:$J$45,0),MATCH(K$2,[1]角色基础!$AC$12:$AF$12,0)+4*(INT(SUBSTITUTE(RIGHT($C79,2),"+",""))-1))</f>
        <v>3</v>
      </c>
      <c r="L79" s="87">
        <f>INDEX([1]角色基础!$AC$16:$CJ$45,MATCH($AA79,[1]角色基础!$J$16:$J$45,0),MATCH(L$2,[1]角色基础!$AC$12:$AF$12,0)+4*(INT(SUBSTITUTE(RIGHT($C79,2),"+",""))-1))</f>
        <v>3</v>
      </c>
      <c r="M79" s="85">
        <v>0</v>
      </c>
      <c r="N79" s="85">
        <v>0</v>
      </c>
      <c r="O79" s="85">
        <v>0</v>
      </c>
      <c r="P79" s="85">
        <v>0</v>
      </c>
      <c r="Q79" s="85">
        <v>1</v>
      </c>
      <c r="R79" s="88">
        <v>0</v>
      </c>
      <c r="S79" s="88">
        <v>3000</v>
      </c>
      <c r="T79" s="88">
        <v>120</v>
      </c>
      <c r="U79" s="88">
        <v>60</v>
      </c>
      <c r="V79" s="88">
        <v>60</v>
      </c>
      <c r="W79" s="89">
        <v>0</v>
      </c>
      <c r="X79" s="89">
        <v>0</v>
      </c>
      <c r="Y79" s="89">
        <v>0</v>
      </c>
      <c r="Z79" s="89">
        <v>0</v>
      </c>
      <c r="AA79" s="90" t="s">
        <v>164</v>
      </c>
    </row>
    <row r="80" spans="1:27" s="90" customFormat="1">
      <c r="A80" s="85">
        <v>4202</v>
      </c>
      <c r="B80" s="85" t="s">
        <v>41</v>
      </c>
      <c r="C80" s="85" t="s">
        <v>34</v>
      </c>
      <c r="D80" s="85">
        <v>10015</v>
      </c>
      <c r="E80" s="85">
        <v>20000</v>
      </c>
      <c r="F80" s="85" t="s">
        <v>102</v>
      </c>
      <c r="G80" s="85">
        <v>0</v>
      </c>
      <c r="H80" s="86">
        <v>0</v>
      </c>
      <c r="I80" s="87">
        <f>INDEX([1]角色基础!$AC$16:$CJ$45,MATCH($AA80,[1]角色基础!$J$16:$J$45,0),MATCH(I$2,[1]角色基础!$AC$12:$AF$12,0)+4*(INT(SUBSTITUTE(RIGHT($C80,2),"+",""))-1))</f>
        <v>313</v>
      </c>
      <c r="J80" s="87">
        <f>INDEX([1]角色基础!$AC$16:$CJ$45,MATCH($AA80,[1]角色基础!$J$16:$J$45,0),MATCH(J$2,[1]角色基础!$AC$12:$AF$12,0)+4*(INT(SUBSTITUTE(RIGHT($C80,2),"+",""))-1))</f>
        <v>13</v>
      </c>
      <c r="K80" s="87">
        <f>INDEX([1]角色基础!$AC$16:$CJ$45,MATCH($AA80,[1]角色基础!$J$16:$J$45,0),MATCH(K$2,[1]角色基础!$AC$12:$AF$12,0)+4*(INT(SUBSTITUTE(RIGHT($C80,2),"+",""))-1))</f>
        <v>7</v>
      </c>
      <c r="L80" s="87">
        <f>INDEX([1]角色基础!$AC$16:$CJ$45,MATCH($AA80,[1]角色基础!$J$16:$J$45,0),MATCH(L$2,[1]角色基础!$AC$12:$AF$12,0)+4*(INT(SUBSTITUTE(RIGHT($C80,2),"+",""))-1))</f>
        <v>7</v>
      </c>
      <c r="M80" s="85">
        <v>0</v>
      </c>
      <c r="N80" s="85">
        <v>0</v>
      </c>
      <c r="O80" s="85">
        <v>0</v>
      </c>
      <c r="P80" s="85">
        <v>0</v>
      </c>
      <c r="Q80" s="85">
        <v>2</v>
      </c>
      <c r="R80" s="88">
        <v>0</v>
      </c>
      <c r="S80" s="88">
        <v>3000</v>
      </c>
      <c r="T80" s="88">
        <v>120</v>
      </c>
      <c r="U80" s="88">
        <v>60</v>
      </c>
      <c r="V80" s="88">
        <v>60</v>
      </c>
      <c r="W80" s="89">
        <v>0</v>
      </c>
      <c r="X80" s="89">
        <v>0</v>
      </c>
      <c r="Y80" s="89">
        <v>0</v>
      </c>
      <c r="Z80" s="89">
        <v>0</v>
      </c>
      <c r="AA80" s="90" t="s">
        <v>164</v>
      </c>
    </row>
    <row r="81" spans="1:27" s="90" customFormat="1">
      <c r="A81" s="85">
        <v>4203</v>
      </c>
      <c r="B81" s="85" t="s">
        <v>42</v>
      </c>
      <c r="C81" s="85" t="s">
        <v>35</v>
      </c>
      <c r="D81" s="85">
        <v>10025</v>
      </c>
      <c r="E81" s="85">
        <v>50000</v>
      </c>
      <c r="F81" s="85" t="s">
        <v>103</v>
      </c>
      <c r="G81" s="85">
        <v>0</v>
      </c>
      <c r="H81" s="86">
        <v>0</v>
      </c>
      <c r="I81" s="87">
        <f>INDEX([1]角色基础!$AC$16:$CJ$45,MATCH($AA81,[1]角色基础!$J$16:$J$45,0),MATCH(I$2,[1]角色基础!$AC$12:$AF$12,0)+4*(INT(SUBSTITUTE(RIGHT($C81,2),"+",""))-1))</f>
        <v>469</v>
      </c>
      <c r="J81" s="87">
        <f>INDEX([1]角色基础!$AC$16:$CJ$45,MATCH($AA81,[1]角色基础!$J$16:$J$45,0),MATCH(J$2,[1]角色基础!$AC$12:$AF$12,0)+4*(INT(SUBSTITUTE(RIGHT($C81,2),"+",""))-1))</f>
        <v>19</v>
      </c>
      <c r="K81" s="87">
        <f>INDEX([1]角色基础!$AC$16:$CJ$45,MATCH($AA81,[1]角色基础!$J$16:$J$45,0),MATCH(K$2,[1]角色基础!$AC$12:$AF$12,0)+4*(INT(SUBSTITUTE(RIGHT($C81,2),"+",""))-1))</f>
        <v>10</v>
      </c>
      <c r="L81" s="87">
        <f>INDEX([1]角色基础!$AC$16:$CJ$45,MATCH($AA81,[1]角色基础!$J$16:$J$45,0),MATCH(L$2,[1]角色基础!$AC$12:$AF$12,0)+4*(INT(SUBSTITUTE(RIGHT($C81,2),"+",""))-1))</f>
        <v>10</v>
      </c>
      <c r="M81" s="85">
        <v>0</v>
      </c>
      <c r="N81" s="85">
        <v>0</v>
      </c>
      <c r="O81" s="85">
        <v>0</v>
      </c>
      <c r="P81" s="85">
        <v>0</v>
      </c>
      <c r="Q81" s="85">
        <v>3</v>
      </c>
      <c r="R81" s="88">
        <v>0</v>
      </c>
      <c r="S81" s="88">
        <v>3000</v>
      </c>
      <c r="T81" s="88">
        <v>120</v>
      </c>
      <c r="U81" s="88">
        <v>60</v>
      </c>
      <c r="V81" s="88">
        <v>60</v>
      </c>
      <c r="W81" s="89">
        <v>0</v>
      </c>
      <c r="X81" s="89">
        <v>0</v>
      </c>
      <c r="Y81" s="89">
        <v>0</v>
      </c>
      <c r="Z81" s="89">
        <v>0</v>
      </c>
      <c r="AA81" s="90" t="s">
        <v>164</v>
      </c>
    </row>
    <row r="82" spans="1:27" s="90" customFormat="1">
      <c r="A82" s="85">
        <v>4204</v>
      </c>
      <c r="B82" s="85" t="s">
        <v>43</v>
      </c>
      <c r="C82" s="85" t="s">
        <v>36</v>
      </c>
      <c r="D82" s="85">
        <v>10035</v>
      </c>
      <c r="E82" s="85">
        <v>100000</v>
      </c>
      <c r="F82" s="85" t="s">
        <v>104</v>
      </c>
      <c r="G82" s="85">
        <v>1</v>
      </c>
      <c r="H82" s="86">
        <v>0</v>
      </c>
      <c r="I82" s="87">
        <f>INDEX([1]角色基础!$AC$16:$CJ$45,MATCH($AA82,[1]角色基础!$J$16:$J$45,0),MATCH(I$2,[1]角色基础!$AC$12:$AF$12,0)+4*(INT(SUBSTITUTE(RIGHT($C82,2),"+",""))-1))</f>
        <v>625</v>
      </c>
      <c r="J82" s="87">
        <f>INDEX([1]角色基础!$AC$16:$CJ$45,MATCH($AA82,[1]角色基础!$J$16:$J$45,0),MATCH(J$2,[1]角色基础!$AC$12:$AF$12,0)+4*(INT(SUBSTITUTE(RIGHT($C82,2),"+",""))-1))</f>
        <v>25</v>
      </c>
      <c r="K82" s="87">
        <f>INDEX([1]角色基础!$AC$16:$CJ$45,MATCH($AA82,[1]角色基础!$J$16:$J$45,0),MATCH(K$2,[1]角色基础!$AC$12:$AF$12,0)+4*(INT(SUBSTITUTE(RIGHT($C82,2),"+",""))-1))</f>
        <v>13</v>
      </c>
      <c r="L82" s="87">
        <f>INDEX([1]角色基础!$AC$16:$CJ$45,MATCH($AA82,[1]角色基础!$J$16:$J$45,0),MATCH(L$2,[1]角色基础!$AC$12:$AF$12,0)+4*(INT(SUBSTITUTE(RIGHT($C82,2),"+",""))-1))</f>
        <v>13</v>
      </c>
      <c r="M82" s="85">
        <v>0</v>
      </c>
      <c r="N82" s="85">
        <v>0</v>
      </c>
      <c r="O82" s="85">
        <v>0</v>
      </c>
      <c r="P82" s="85">
        <v>0</v>
      </c>
      <c r="Q82" s="85">
        <v>4</v>
      </c>
      <c r="R82" s="88">
        <v>0</v>
      </c>
      <c r="S82" s="88">
        <v>3000</v>
      </c>
      <c r="T82" s="88">
        <v>120</v>
      </c>
      <c r="U82" s="88">
        <v>60</v>
      </c>
      <c r="V82" s="88">
        <v>60</v>
      </c>
      <c r="W82" s="89">
        <v>0</v>
      </c>
      <c r="X82" s="89">
        <v>0</v>
      </c>
      <c r="Y82" s="89">
        <v>0</v>
      </c>
      <c r="Z82" s="89">
        <v>0</v>
      </c>
      <c r="AA82" s="90" t="s">
        <v>164</v>
      </c>
    </row>
    <row r="83" spans="1:27" s="90" customFormat="1">
      <c r="A83" s="85">
        <v>4205</v>
      </c>
      <c r="B83" s="85" t="s">
        <v>44</v>
      </c>
      <c r="C83" s="85" t="s">
        <v>37</v>
      </c>
      <c r="D83" s="85">
        <v>10045</v>
      </c>
      <c r="E83" s="85">
        <v>200000</v>
      </c>
      <c r="F83" s="85" t="s">
        <v>105</v>
      </c>
      <c r="G83" s="85">
        <v>1</v>
      </c>
      <c r="H83" s="86">
        <v>0</v>
      </c>
      <c r="I83" s="87">
        <f>INDEX([1]角色基础!$AC$16:$CJ$45,MATCH($AA83,[1]角色基础!$J$16:$J$45,0),MATCH(I$2,[1]角色基础!$AC$12:$AF$12,0)+4*(INT(SUBSTITUTE(RIGHT($C83,2),"+",""))-1))</f>
        <v>781</v>
      </c>
      <c r="J83" s="87">
        <f>INDEX([1]角色基础!$AC$16:$CJ$45,MATCH($AA83,[1]角色基础!$J$16:$J$45,0),MATCH(J$2,[1]角色基础!$AC$12:$AF$12,0)+4*(INT(SUBSTITUTE(RIGHT($C83,2),"+",""))-1))</f>
        <v>31</v>
      </c>
      <c r="K83" s="87">
        <f>INDEX([1]角色基础!$AC$16:$CJ$45,MATCH($AA83,[1]角色基础!$J$16:$J$45,0),MATCH(K$2,[1]角色基础!$AC$12:$AF$12,0)+4*(INT(SUBSTITUTE(RIGHT($C83,2),"+",""))-1))</f>
        <v>16</v>
      </c>
      <c r="L83" s="87">
        <f>INDEX([1]角色基础!$AC$16:$CJ$45,MATCH($AA83,[1]角色基础!$J$16:$J$45,0),MATCH(L$2,[1]角色基础!$AC$12:$AF$12,0)+4*(INT(SUBSTITUTE(RIGHT($C83,2),"+",""))-1))</f>
        <v>16</v>
      </c>
      <c r="M83" s="85">
        <v>0</v>
      </c>
      <c r="N83" s="85">
        <v>0</v>
      </c>
      <c r="O83" s="85">
        <v>0</v>
      </c>
      <c r="P83" s="85">
        <v>0</v>
      </c>
      <c r="Q83" s="85">
        <v>5</v>
      </c>
      <c r="R83" s="88">
        <v>0</v>
      </c>
      <c r="S83" s="88">
        <v>3000</v>
      </c>
      <c r="T83" s="88">
        <v>120</v>
      </c>
      <c r="U83" s="88">
        <v>60</v>
      </c>
      <c r="V83" s="88">
        <v>60</v>
      </c>
      <c r="W83" s="89">
        <v>0</v>
      </c>
      <c r="X83" s="89">
        <v>0</v>
      </c>
      <c r="Y83" s="89">
        <v>0</v>
      </c>
      <c r="Z83" s="89">
        <v>0</v>
      </c>
      <c r="AA83" s="90" t="s">
        <v>164</v>
      </c>
    </row>
    <row r="84" spans="1:27" s="90" customFormat="1">
      <c r="A84" s="85">
        <v>4206</v>
      </c>
      <c r="B84" s="85" t="s">
        <v>45</v>
      </c>
      <c r="C84" s="85" t="s">
        <v>38</v>
      </c>
      <c r="D84" s="85">
        <v>10055</v>
      </c>
      <c r="E84" s="85">
        <v>300000</v>
      </c>
      <c r="F84" s="85" t="s">
        <v>106</v>
      </c>
      <c r="G84" s="85">
        <v>2</v>
      </c>
      <c r="H84" s="86">
        <v>0</v>
      </c>
      <c r="I84" s="87">
        <f>INDEX([1]角色基础!$AC$16:$CJ$45,MATCH($AA84,[1]角色基础!$J$16:$J$45,0),MATCH(I$2,[1]角色基础!$AC$12:$AF$12,0)+4*(INT(SUBSTITUTE(RIGHT($C84,2),"+",""))-1))</f>
        <v>938</v>
      </c>
      <c r="J84" s="87">
        <f>INDEX([1]角色基础!$AC$16:$CJ$45,MATCH($AA84,[1]角色基础!$J$16:$J$45,0),MATCH(J$2,[1]角色基础!$AC$12:$AF$12,0)+4*(INT(SUBSTITUTE(RIGHT($C84,2),"+",""))-1))</f>
        <v>38</v>
      </c>
      <c r="K84" s="87">
        <f>INDEX([1]角色基础!$AC$16:$CJ$45,MATCH($AA84,[1]角色基础!$J$16:$J$45,0),MATCH(K$2,[1]角色基础!$AC$12:$AF$12,0)+4*(INT(SUBSTITUTE(RIGHT($C84,2),"+",""))-1))</f>
        <v>20</v>
      </c>
      <c r="L84" s="87">
        <f>INDEX([1]角色基础!$AC$16:$CJ$45,MATCH($AA84,[1]角色基础!$J$16:$J$45,0),MATCH(L$2,[1]角色基础!$AC$12:$AF$12,0)+4*(INT(SUBSTITUTE(RIGHT($C84,2),"+",""))-1))</f>
        <v>20</v>
      </c>
      <c r="M84" s="85">
        <v>0</v>
      </c>
      <c r="N84" s="85">
        <v>0</v>
      </c>
      <c r="O84" s="85">
        <v>0</v>
      </c>
      <c r="P84" s="85">
        <v>0</v>
      </c>
      <c r="Q84" s="85">
        <v>6</v>
      </c>
      <c r="R84" s="88">
        <v>0</v>
      </c>
      <c r="S84" s="88">
        <v>3000</v>
      </c>
      <c r="T84" s="88">
        <v>120</v>
      </c>
      <c r="U84" s="88">
        <v>60</v>
      </c>
      <c r="V84" s="88">
        <v>60</v>
      </c>
      <c r="W84" s="89">
        <v>0</v>
      </c>
      <c r="X84" s="89">
        <v>0</v>
      </c>
      <c r="Y84" s="89">
        <v>0</v>
      </c>
      <c r="Z84" s="89">
        <v>0</v>
      </c>
      <c r="AA84" s="90" t="s">
        <v>164</v>
      </c>
    </row>
    <row r="85" spans="1:27" s="90" customFormat="1">
      <c r="A85" s="85">
        <v>4207</v>
      </c>
      <c r="B85" s="85" t="s">
        <v>46</v>
      </c>
      <c r="C85" s="85" t="s">
        <v>39</v>
      </c>
      <c r="D85" s="85">
        <v>10065</v>
      </c>
      <c r="E85" s="85">
        <v>500000</v>
      </c>
      <c r="F85" s="85" t="s">
        <v>107</v>
      </c>
      <c r="G85" s="85">
        <v>2</v>
      </c>
      <c r="H85" s="86">
        <v>0</v>
      </c>
      <c r="I85" s="87">
        <f>INDEX([1]角色基础!$AC$16:$CJ$45,MATCH($AA85,[1]角色基础!$J$16:$J$45,0),MATCH(I$2,[1]角色基础!$AC$12:$AF$12,0)+4*(INT(SUBSTITUTE(RIGHT($C85,2),"+",""))-1))</f>
        <v>1094</v>
      </c>
      <c r="J85" s="87">
        <f>INDEX([1]角色基础!$AC$16:$CJ$45,MATCH($AA85,[1]角色基础!$J$16:$J$45,0),MATCH(J$2,[1]角色基础!$AC$12:$AF$12,0)+4*(INT(SUBSTITUTE(RIGHT($C85,2),"+",""))-1))</f>
        <v>44</v>
      </c>
      <c r="K85" s="87">
        <f>INDEX([1]角色基础!$AC$16:$CJ$45,MATCH($AA85,[1]角色基础!$J$16:$J$45,0),MATCH(K$2,[1]角色基础!$AC$12:$AF$12,0)+4*(INT(SUBSTITUTE(RIGHT($C85,2),"+",""))-1))</f>
        <v>23</v>
      </c>
      <c r="L85" s="87">
        <f>INDEX([1]角色基础!$AC$16:$CJ$45,MATCH($AA85,[1]角色基础!$J$16:$J$45,0),MATCH(L$2,[1]角色基础!$AC$12:$AF$12,0)+4*(INT(SUBSTITUTE(RIGHT($C85,2),"+",""))-1))</f>
        <v>23</v>
      </c>
      <c r="M85" s="85">
        <v>0</v>
      </c>
      <c r="N85" s="85">
        <v>0</v>
      </c>
      <c r="O85" s="85">
        <v>0</v>
      </c>
      <c r="P85" s="85">
        <v>0</v>
      </c>
      <c r="Q85" s="85">
        <v>7</v>
      </c>
      <c r="R85" s="88">
        <v>0</v>
      </c>
      <c r="S85" s="88">
        <v>3000</v>
      </c>
      <c r="T85" s="88">
        <v>120</v>
      </c>
      <c r="U85" s="88">
        <v>60</v>
      </c>
      <c r="V85" s="88">
        <v>60</v>
      </c>
      <c r="W85" s="89">
        <v>0</v>
      </c>
      <c r="X85" s="89">
        <v>0</v>
      </c>
      <c r="Y85" s="89">
        <v>0</v>
      </c>
      <c r="Z85" s="89">
        <v>0</v>
      </c>
      <c r="AA85" s="90" t="s">
        <v>164</v>
      </c>
    </row>
    <row r="86" spans="1:27" s="90" customFormat="1">
      <c r="A86" s="85">
        <v>4208</v>
      </c>
      <c r="B86" s="85" t="s">
        <v>47</v>
      </c>
      <c r="C86" s="85" t="s">
        <v>40</v>
      </c>
      <c r="D86" s="85">
        <v>10075</v>
      </c>
      <c r="E86" s="85">
        <v>800000</v>
      </c>
      <c r="F86" s="85" t="s">
        <v>108</v>
      </c>
      <c r="G86" s="85">
        <v>4</v>
      </c>
      <c r="H86" s="86">
        <v>0</v>
      </c>
      <c r="I86" s="87">
        <f>INDEX([1]角色基础!$AC$16:$CJ$45,MATCH($AA86,[1]角色基础!$J$16:$J$45,0),MATCH(I$2,[1]角色基础!$AC$12:$AF$12,0)+4*(INT(SUBSTITUTE(RIGHT($C86,2),"+",""))-1))</f>
        <v>1250</v>
      </c>
      <c r="J86" s="87">
        <f>INDEX([1]角色基础!$AC$16:$CJ$45,MATCH($AA86,[1]角色基础!$J$16:$J$45,0),MATCH(J$2,[1]角色基础!$AC$12:$AF$12,0)+4*(INT(SUBSTITUTE(RIGHT($C86,2),"+",""))-1))</f>
        <v>50</v>
      </c>
      <c r="K86" s="87">
        <f>INDEX([1]角色基础!$AC$16:$CJ$45,MATCH($AA86,[1]角色基础!$J$16:$J$45,0),MATCH(K$2,[1]角色基础!$AC$12:$AF$12,0)+4*(INT(SUBSTITUTE(RIGHT($C86,2),"+",""))-1))</f>
        <v>26</v>
      </c>
      <c r="L86" s="87">
        <f>INDEX([1]角色基础!$AC$16:$CJ$45,MATCH($AA86,[1]角色基础!$J$16:$J$45,0),MATCH(L$2,[1]角色基础!$AC$12:$AF$12,0)+4*(INT(SUBSTITUTE(RIGHT($C86,2),"+",""))-1))</f>
        <v>26</v>
      </c>
      <c r="M86" s="85">
        <v>0</v>
      </c>
      <c r="N86" s="85">
        <v>0</v>
      </c>
      <c r="O86" s="85">
        <v>0</v>
      </c>
      <c r="P86" s="85">
        <v>0</v>
      </c>
      <c r="Q86" s="85">
        <v>8</v>
      </c>
      <c r="R86" s="88">
        <v>0</v>
      </c>
      <c r="S86" s="88">
        <v>3000</v>
      </c>
      <c r="T86" s="88">
        <v>120</v>
      </c>
      <c r="U86" s="88">
        <v>60</v>
      </c>
      <c r="V86" s="88">
        <v>60</v>
      </c>
      <c r="W86" s="89">
        <v>0</v>
      </c>
      <c r="X86" s="89">
        <v>0</v>
      </c>
      <c r="Y86" s="89">
        <v>0</v>
      </c>
      <c r="Z86" s="89">
        <v>0</v>
      </c>
      <c r="AA86" s="90" t="s">
        <v>164</v>
      </c>
    </row>
    <row r="87" spans="1:27" s="90" customFormat="1">
      <c r="A87" s="85">
        <v>4209</v>
      </c>
      <c r="B87" s="85" t="s">
        <v>69</v>
      </c>
      <c r="C87" s="85" t="s">
        <v>32</v>
      </c>
      <c r="D87" s="85">
        <v>10085</v>
      </c>
      <c r="E87" s="85">
        <v>1200000</v>
      </c>
      <c r="F87" s="85" t="s">
        <v>109</v>
      </c>
      <c r="G87" s="85">
        <v>6</v>
      </c>
      <c r="H87" s="86">
        <v>0</v>
      </c>
      <c r="I87" s="87">
        <f>INDEX([1]角色基础!$AC$16:$CJ$45,MATCH($AA87,[1]角色基础!$J$16:$J$45,0),MATCH(I$2,[1]角色基础!$AC$12:$AF$12,0)+4*(INT(SUBSTITUTE(RIGHT($C87,2),"+",""))-1))</f>
        <v>1406</v>
      </c>
      <c r="J87" s="87">
        <f>INDEX([1]角色基础!$AC$16:$CJ$45,MATCH($AA87,[1]角色基础!$J$16:$J$45,0),MATCH(J$2,[1]角色基础!$AC$12:$AF$12,0)+4*(INT(SUBSTITUTE(RIGHT($C87,2),"+",""))-1))</f>
        <v>56</v>
      </c>
      <c r="K87" s="87">
        <f>INDEX([1]角色基础!$AC$16:$CJ$45,MATCH($AA87,[1]角色基础!$J$16:$J$45,0),MATCH(K$2,[1]角色基础!$AC$12:$AF$12,0)+4*(INT(SUBSTITUTE(RIGHT($C87,2),"+",""))-1))</f>
        <v>29</v>
      </c>
      <c r="L87" s="87">
        <f>INDEX([1]角色基础!$AC$16:$CJ$45,MATCH($AA87,[1]角色基础!$J$16:$J$45,0),MATCH(L$2,[1]角色基础!$AC$12:$AF$12,0)+4*(INT(SUBSTITUTE(RIGHT($C87,2),"+",""))-1))</f>
        <v>29</v>
      </c>
      <c r="M87" s="85">
        <v>0</v>
      </c>
      <c r="N87" s="85">
        <v>0</v>
      </c>
      <c r="O87" s="85">
        <v>0</v>
      </c>
      <c r="P87" s="85">
        <v>0</v>
      </c>
      <c r="Q87" s="85">
        <v>9</v>
      </c>
      <c r="R87" s="88">
        <v>0</v>
      </c>
      <c r="S87" s="88">
        <v>3000</v>
      </c>
      <c r="T87" s="88">
        <v>120</v>
      </c>
      <c r="U87" s="88">
        <v>60</v>
      </c>
      <c r="V87" s="88">
        <v>60</v>
      </c>
      <c r="W87" s="89">
        <v>0</v>
      </c>
      <c r="X87" s="89">
        <v>0</v>
      </c>
      <c r="Y87" s="89">
        <v>0</v>
      </c>
      <c r="Z87" s="89">
        <v>0</v>
      </c>
      <c r="AA87" s="90" t="s">
        <v>164</v>
      </c>
    </row>
    <row r="88" spans="1:27" s="90" customFormat="1">
      <c r="A88" s="85">
        <v>4210</v>
      </c>
      <c r="B88" s="85" t="s">
        <v>71</v>
      </c>
      <c r="C88" s="85" t="s">
        <v>31</v>
      </c>
      <c r="D88" s="85">
        <v>10095</v>
      </c>
      <c r="E88" s="85">
        <v>1600000</v>
      </c>
      <c r="F88" s="85" t="s">
        <v>110</v>
      </c>
      <c r="G88" s="85">
        <v>8</v>
      </c>
      <c r="H88" s="86">
        <v>0</v>
      </c>
      <c r="I88" s="87">
        <f>INDEX([1]角色基础!$AC$16:$CJ$45,MATCH($AA88,[1]角色基础!$J$16:$J$45,0),MATCH(I$2,[1]角色基础!$AC$12:$AF$12,0)+4*(INT(SUBSTITUTE(RIGHT($C88,2),"+",""))-1))</f>
        <v>1563</v>
      </c>
      <c r="J88" s="87">
        <f>INDEX([1]角色基础!$AC$16:$CJ$45,MATCH($AA88,[1]角色基础!$J$16:$J$45,0),MATCH(J$2,[1]角色基础!$AC$12:$AF$12,0)+4*(INT(SUBSTITUTE(RIGHT($C88,2),"+",""))-1))</f>
        <v>63</v>
      </c>
      <c r="K88" s="87">
        <f>INDEX([1]角色基础!$AC$16:$CJ$45,MATCH($AA88,[1]角色基础!$J$16:$J$45,0),MATCH(K$2,[1]角色基础!$AC$12:$AF$12,0)+4*(INT(SUBSTITUTE(RIGHT($C88,2),"+",""))-1))</f>
        <v>33</v>
      </c>
      <c r="L88" s="87">
        <f>INDEX([1]角色基础!$AC$16:$CJ$45,MATCH($AA88,[1]角色基础!$J$16:$J$45,0),MATCH(L$2,[1]角色基础!$AC$12:$AF$12,0)+4*(INT(SUBSTITUTE(RIGHT($C88,2),"+",""))-1))</f>
        <v>33</v>
      </c>
      <c r="M88" s="85">
        <v>0</v>
      </c>
      <c r="N88" s="85">
        <v>0</v>
      </c>
      <c r="O88" s="85">
        <v>0</v>
      </c>
      <c r="P88" s="85">
        <v>0</v>
      </c>
      <c r="Q88" s="85">
        <v>10</v>
      </c>
      <c r="R88" s="88">
        <v>0</v>
      </c>
      <c r="S88" s="88">
        <v>3000</v>
      </c>
      <c r="T88" s="88">
        <v>120</v>
      </c>
      <c r="U88" s="88">
        <v>60</v>
      </c>
      <c r="V88" s="88">
        <v>60</v>
      </c>
      <c r="W88" s="89">
        <v>0</v>
      </c>
      <c r="X88" s="89">
        <v>0</v>
      </c>
      <c r="Y88" s="89">
        <v>0</v>
      </c>
      <c r="Z88" s="89">
        <v>0</v>
      </c>
      <c r="AA88" s="90" t="s">
        <v>164</v>
      </c>
    </row>
    <row r="89" spans="1:27" s="90" customFormat="1">
      <c r="A89" s="85">
        <v>4211</v>
      </c>
      <c r="B89" s="85" t="s">
        <v>73</v>
      </c>
      <c r="C89" s="85" t="s">
        <v>74</v>
      </c>
      <c r="D89" s="85">
        <v>10105</v>
      </c>
      <c r="E89" s="85">
        <v>2000000</v>
      </c>
      <c r="F89" s="85" t="s">
        <v>90</v>
      </c>
      <c r="G89" s="85">
        <v>10</v>
      </c>
      <c r="H89" s="86">
        <v>0</v>
      </c>
      <c r="I89" s="87">
        <f>INDEX([1]角色基础!$AC$16:$CJ$45,MATCH($AA89,[1]角色基础!$J$16:$J$45,0),MATCH(I$2,[1]角色基础!$AC$12:$AF$12,0)+4*(INT(SUBSTITUTE(RIGHT($C89,2),"+",""))-1))</f>
        <v>1719</v>
      </c>
      <c r="J89" s="87">
        <f>INDEX([1]角色基础!$AC$16:$CJ$45,MATCH($AA89,[1]角色基础!$J$16:$J$45,0),MATCH(J$2,[1]角色基础!$AC$12:$AF$12,0)+4*(INT(SUBSTITUTE(RIGHT($C89,2),"+",""))-1))</f>
        <v>69</v>
      </c>
      <c r="K89" s="87">
        <f>INDEX([1]角色基础!$AC$16:$CJ$45,MATCH($AA89,[1]角色基础!$J$16:$J$45,0),MATCH(K$2,[1]角色基础!$AC$12:$AF$12,0)+4*(INT(SUBSTITUTE(RIGHT($C89,2),"+",""))-1))</f>
        <v>36</v>
      </c>
      <c r="L89" s="87">
        <f>INDEX([1]角色基础!$AC$16:$CJ$45,MATCH($AA89,[1]角色基础!$J$16:$J$45,0),MATCH(L$2,[1]角色基础!$AC$12:$AF$12,0)+4*(INT(SUBSTITUTE(RIGHT($C89,2),"+",""))-1))</f>
        <v>36</v>
      </c>
      <c r="M89" s="85">
        <v>0</v>
      </c>
      <c r="N89" s="85">
        <v>0</v>
      </c>
      <c r="O89" s="85">
        <v>0</v>
      </c>
      <c r="P89" s="85">
        <v>0</v>
      </c>
      <c r="Q89" s="85">
        <v>11</v>
      </c>
      <c r="R89" s="88">
        <v>0</v>
      </c>
      <c r="S89" s="88">
        <v>3000</v>
      </c>
      <c r="T89" s="88">
        <v>120</v>
      </c>
      <c r="U89" s="88">
        <v>60</v>
      </c>
      <c r="V89" s="88">
        <v>60</v>
      </c>
      <c r="W89" s="89">
        <v>0</v>
      </c>
      <c r="X89" s="89">
        <v>0</v>
      </c>
      <c r="Y89" s="89">
        <v>0</v>
      </c>
      <c r="Z89" s="89">
        <v>0</v>
      </c>
      <c r="AA89" s="90" t="s">
        <v>164</v>
      </c>
    </row>
    <row r="90" spans="1:27" s="90" customFormat="1">
      <c r="A90" s="85">
        <v>4212</v>
      </c>
      <c r="B90" s="85" t="s">
        <v>75</v>
      </c>
      <c r="C90" s="85" t="s">
        <v>76</v>
      </c>
      <c r="D90" s="85">
        <v>10115</v>
      </c>
      <c r="E90" s="85">
        <v>2500000</v>
      </c>
      <c r="F90" s="85" t="s">
        <v>111</v>
      </c>
      <c r="G90" s="85">
        <v>12</v>
      </c>
      <c r="H90" s="86">
        <v>0</v>
      </c>
      <c r="I90" s="87">
        <f>INDEX([1]角色基础!$AC$16:$CJ$45,MATCH($AA90,[1]角色基础!$J$16:$J$45,0),MATCH(I$2,[1]角色基础!$AC$12:$AF$12,0)+4*(INT(SUBSTITUTE(RIGHT($C90,2),"+",""))-1))</f>
        <v>1875</v>
      </c>
      <c r="J90" s="87">
        <f>INDEX([1]角色基础!$AC$16:$CJ$45,MATCH($AA90,[1]角色基础!$J$16:$J$45,0),MATCH(J$2,[1]角色基础!$AC$12:$AF$12,0)+4*(INT(SUBSTITUTE(RIGHT($C90,2),"+",""))-1))</f>
        <v>75</v>
      </c>
      <c r="K90" s="87">
        <f>INDEX([1]角色基础!$AC$16:$CJ$45,MATCH($AA90,[1]角色基础!$J$16:$J$45,0),MATCH(K$2,[1]角色基础!$AC$12:$AF$12,0)+4*(INT(SUBSTITUTE(RIGHT($C90,2),"+",""))-1))</f>
        <v>39</v>
      </c>
      <c r="L90" s="87">
        <f>INDEX([1]角色基础!$AC$16:$CJ$45,MATCH($AA90,[1]角色基础!$J$16:$J$45,0),MATCH(L$2,[1]角色基础!$AC$12:$AF$12,0)+4*(INT(SUBSTITUTE(RIGHT($C90,2),"+",""))-1))</f>
        <v>39</v>
      </c>
      <c r="M90" s="85">
        <v>0</v>
      </c>
      <c r="N90" s="85">
        <v>0</v>
      </c>
      <c r="O90" s="85">
        <v>0</v>
      </c>
      <c r="P90" s="85">
        <v>0</v>
      </c>
      <c r="Q90" s="85">
        <v>12</v>
      </c>
      <c r="R90" s="88">
        <v>0</v>
      </c>
      <c r="S90" s="88">
        <v>3000</v>
      </c>
      <c r="T90" s="88">
        <v>120</v>
      </c>
      <c r="U90" s="88">
        <v>60</v>
      </c>
      <c r="V90" s="88">
        <v>60</v>
      </c>
      <c r="W90" s="89">
        <v>0</v>
      </c>
      <c r="X90" s="89">
        <v>0</v>
      </c>
      <c r="Y90" s="89">
        <v>0</v>
      </c>
      <c r="Z90" s="89">
        <v>0</v>
      </c>
      <c r="AA90" s="90" t="s">
        <v>164</v>
      </c>
    </row>
    <row r="91" spans="1:27" s="90" customFormat="1">
      <c r="A91" s="85">
        <v>4213</v>
      </c>
      <c r="B91" s="85" t="s">
        <v>182</v>
      </c>
      <c r="C91" s="85" t="s">
        <v>183</v>
      </c>
      <c r="D91" s="85">
        <v>10125</v>
      </c>
      <c r="E91" s="85">
        <v>3000000</v>
      </c>
      <c r="F91" s="85" t="s">
        <v>114</v>
      </c>
      <c r="G91" s="85">
        <v>14</v>
      </c>
      <c r="H91" s="86">
        <v>0</v>
      </c>
      <c r="I91" s="87">
        <f>INDEX([1]角色基础!$AC$16:$CJ$45,MATCH($AA91,[1]角色基础!$J$16:$J$45,0),MATCH(I$2,[1]角色基础!$AC$12:$AF$12,0)+4*(INT(SUBSTITUTE(RIGHT($C91,2),"+",""))-1))</f>
        <v>2031</v>
      </c>
      <c r="J91" s="87">
        <f>INDEX([1]角色基础!$AC$16:$CJ$45,MATCH($AA91,[1]角色基础!$J$16:$J$45,0),MATCH(J$2,[1]角色基础!$AC$12:$AF$12,0)+4*(INT(SUBSTITUTE(RIGHT($C91,2),"+",""))-1))</f>
        <v>81</v>
      </c>
      <c r="K91" s="87">
        <f>INDEX([1]角色基础!$AC$16:$CJ$45,MATCH($AA91,[1]角色基础!$J$16:$J$45,0),MATCH(K$2,[1]角色基础!$AC$12:$AF$12,0)+4*(INT(SUBSTITUTE(RIGHT($C91,2),"+",""))-1))</f>
        <v>42</v>
      </c>
      <c r="L91" s="87">
        <f>INDEX([1]角色基础!$AC$16:$CJ$45,MATCH($AA91,[1]角色基础!$J$16:$J$45,0),MATCH(L$2,[1]角色基础!$AC$12:$AF$12,0)+4*(INT(SUBSTITUTE(RIGHT($C91,2),"+",""))-1))</f>
        <v>42</v>
      </c>
      <c r="M91" s="85">
        <v>0</v>
      </c>
      <c r="N91" s="85">
        <v>0</v>
      </c>
      <c r="O91" s="85">
        <v>0</v>
      </c>
      <c r="P91" s="85">
        <v>0</v>
      </c>
      <c r="Q91" s="85">
        <v>13</v>
      </c>
      <c r="R91" s="88">
        <v>0</v>
      </c>
      <c r="S91" s="88">
        <v>3000</v>
      </c>
      <c r="T91" s="88">
        <v>120</v>
      </c>
      <c r="U91" s="88">
        <v>60</v>
      </c>
      <c r="V91" s="88">
        <v>60</v>
      </c>
      <c r="W91" s="89">
        <v>0</v>
      </c>
      <c r="X91" s="89">
        <v>0</v>
      </c>
      <c r="Y91" s="89">
        <v>0</v>
      </c>
      <c r="Z91" s="89">
        <v>0</v>
      </c>
      <c r="AA91" s="90" t="s">
        <v>164</v>
      </c>
    </row>
    <row r="92" spans="1:27" s="90" customFormat="1">
      <c r="A92" s="85">
        <v>4214</v>
      </c>
      <c r="B92" s="85" t="s">
        <v>184</v>
      </c>
      <c r="C92" s="85" t="s">
        <v>185</v>
      </c>
      <c r="D92" s="85">
        <v>10135</v>
      </c>
      <c r="E92" s="85">
        <v>4000000</v>
      </c>
      <c r="F92" s="85" t="s">
        <v>197</v>
      </c>
      <c r="G92" s="85">
        <v>16</v>
      </c>
      <c r="H92" s="86">
        <v>0</v>
      </c>
      <c r="I92" s="87">
        <f>INDEX([1]角色基础!$AC$16:$CJ$45,MATCH($AA92,[1]角色基础!$J$16:$J$45,0),MATCH(I$2,[1]角色基础!$AC$12:$AF$12,0)+4*(INT(SUBSTITUTE(RIGHT($C92,2),"+",""))-1))</f>
        <v>2188</v>
      </c>
      <c r="J92" s="87">
        <f>INDEX([1]角色基础!$AC$16:$CJ$45,MATCH($AA92,[1]角色基础!$J$16:$J$45,0),MATCH(J$2,[1]角色基础!$AC$12:$AF$12,0)+4*(INT(SUBSTITUTE(RIGHT($C92,2),"+",""))-1))</f>
        <v>88</v>
      </c>
      <c r="K92" s="87">
        <f>INDEX([1]角色基础!$AC$16:$CJ$45,MATCH($AA92,[1]角色基础!$J$16:$J$45,0),MATCH(K$2,[1]角色基础!$AC$12:$AF$12,0)+4*(INT(SUBSTITUTE(RIGHT($C92,2),"+",""))-1))</f>
        <v>46</v>
      </c>
      <c r="L92" s="87">
        <f>INDEX([1]角色基础!$AC$16:$CJ$45,MATCH($AA92,[1]角色基础!$J$16:$J$45,0),MATCH(L$2,[1]角色基础!$AC$12:$AF$12,0)+4*(INT(SUBSTITUTE(RIGHT($C92,2),"+",""))-1))</f>
        <v>46</v>
      </c>
      <c r="M92" s="85">
        <v>0</v>
      </c>
      <c r="N92" s="85">
        <v>0</v>
      </c>
      <c r="O92" s="85">
        <v>0</v>
      </c>
      <c r="P92" s="85">
        <v>0</v>
      </c>
      <c r="Q92" s="85">
        <v>14</v>
      </c>
      <c r="R92" s="88">
        <v>0</v>
      </c>
      <c r="S92" s="88">
        <v>3000</v>
      </c>
      <c r="T92" s="88">
        <v>120</v>
      </c>
      <c r="U92" s="88">
        <v>60</v>
      </c>
      <c r="V92" s="88">
        <v>60</v>
      </c>
      <c r="W92" s="89">
        <v>0</v>
      </c>
      <c r="X92" s="89">
        <v>0</v>
      </c>
      <c r="Y92" s="89">
        <v>0</v>
      </c>
      <c r="Z92" s="89">
        <v>0</v>
      </c>
      <c r="AA92" s="90" t="s">
        <v>164</v>
      </c>
    </row>
    <row r="93" spans="1:27" s="90" customFormat="1">
      <c r="A93" s="85">
        <v>4215</v>
      </c>
      <c r="B93" s="85" t="s">
        <v>186</v>
      </c>
      <c r="C93" s="85" t="s">
        <v>187</v>
      </c>
      <c r="D93" s="85">
        <v>10145</v>
      </c>
      <c r="E93" s="85">
        <v>5000000</v>
      </c>
      <c r="F93" s="85" t="s">
        <v>195</v>
      </c>
      <c r="G93" s="85">
        <v>20</v>
      </c>
      <c r="H93" s="86">
        <v>0</v>
      </c>
      <c r="I93" s="87">
        <f>INDEX([1]角色基础!$AC$16:$CJ$45,MATCH($AA93,[1]角色基础!$J$16:$J$45,0),MATCH(I$2,[1]角色基础!$AC$12:$AF$12,0)+4*(INT(SUBSTITUTE(RIGHT($C93,2),"+",""))-1))</f>
        <v>2344</v>
      </c>
      <c r="J93" s="87">
        <f>INDEX([1]角色基础!$AC$16:$CJ$45,MATCH($AA93,[1]角色基础!$J$16:$J$45,0),MATCH(J$2,[1]角色基础!$AC$12:$AF$12,0)+4*(INT(SUBSTITUTE(RIGHT($C93,2),"+",""))-1))</f>
        <v>94</v>
      </c>
      <c r="K93" s="87">
        <f>INDEX([1]角色基础!$AC$16:$CJ$45,MATCH($AA93,[1]角色基础!$J$16:$J$45,0),MATCH(K$2,[1]角色基础!$AC$12:$AF$12,0)+4*(INT(SUBSTITUTE(RIGHT($C93,2),"+",""))-1))</f>
        <v>49</v>
      </c>
      <c r="L93" s="87">
        <f>INDEX([1]角色基础!$AC$16:$CJ$45,MATCH($AA93,[1]角色基础!$J$16:$J$45,0),MATCH(L$2,[1]角色基础!$AC$12:$AF$12,0)+4*(INT(SUBSTITUTE(RIGHT($C93,2),"+",""))-1))</f>
        <v>49</v>
      </c>
      <c r="M93" s="85">
        <v>0</v>
      </c>
      <c r="N93" s="85">
        <v>0</v>
      </c>
      <c r="O93" s="85">
        <v>0</v>
      </c>
      <c r="P93" s="85">
        <v>0</v>
      </c>
      <c r="Q93" s="85">
        <v>15</v>
      </c>
      <c r="R93" s="88">
        <v>0</v>
      </c>
      <c r="S93" s="88">
        <v>3000</v>
      </c>
      <c r="T93" s="88">
        <v>120</v>
      </c>
      <c r="U93" s="88">
        <v>60</v>
      </c>
      <c r="V93" s="88">
        <v>60</v>
      </c>
      <c r="W93" s="89">
        <v>0</v>
      </c>
      <c r="X93" s="89">
        <v>0</v>
      </c>
      <c r="Y93" s="89">
        <v>0</v>
      </c>
      <c r="Z93" s="89">
        <v>0</v>
      </c>
      <c r="AA93" s="90" t="s">
        <v>164</v>
      </c>
    </row>
    <row r="94" spans="1:27" s="71" customFormat="1">
      <c r="A94" s="66">
        <v>4301</v>
      </c>
      <c r="B94" s="66" t="s">
        <v>121</v>
      </c>
      <c r="C94" s="66" t="s">
        <v>33</v>
      </c>
      <c r="D94" s="66">
        <v>10001</v>
      </c>
      <c r="E94" s="66">
        <v>5000</v>
      </c>
      <c r="F94" s="66" t="s">
        <v>101</v>
      </c>
      <c r="G94" s="66">
        <v>0</v>
      </c>
      <c r="H94" s="67">
        <v>0</v>
      </c>
      <c r="I94" s="68">
        <f>INDEX([1]角色基础!$AC$16:$CJ$45,MATCH($AA94,[1]角色基础!$J$16:$J$45,0),MATCH(I$2,[1]角色基础!$AC$12:$AF$12,0)+4*(INT(SUBSTITUTE(RIGHT($C94,2),"+",""))-1))</f>
        <v>156</v>
      </c>
      <c r="J94" s="68">
        <f>INDEX([1]角色基础!$AC$16:$CJ$45,MATCH($AA94,[1]角色基础!$J$16:$J$45,0),MATCH(J$2,[1]角色基础!$AC$12:$AF$12,0)+4*(INT(SUBSTITUTE(RIGHT($C94,2),"+",""))-1))</f>
        <v>6</v>
      </c>
      <c r="K94" s="68">
        <f>INDEX([1]角色基础!$AC$16:$CJ$45,MATCH($AA94,[1]角色基础!$J$16:$J$45,0),MATCH(K$2,[1]角色基础!$AC$12:$AF$12,0)+4*(INT(SUBSTITUTE(RIGHT($C94,2),"+",""))-1))</f>
        <v>3</v>
      </c>
      <c r="L94" s="68">
        <f>INDEX([1]角色基础!$AC$16:$CJ$45,MATCH($AA94,[1]角色基础!$J$16:$J$45,0),MATCH(L$2,[1]角色基础!$AC$12:$AF$12,0)+4*(INT(SUBSTITUTE(RIGHT($C94,2),"+",""))-1))</f>
        <v>3</v>
      </c>
      <c r="M94" s="66">
        <v>0</v>
      </c>
      <c r="N94" s="66">
        <v>0</v>
      </c>
      <c r="O94" s="66">
        <v>0</v>
      </c>
      <c r="P94" s="66">
        <v>0</v>
      </c>
      <c r="Q94" s="66">
        <v>1</v>
      </c>
      <c r="R94" s="69">
        <v>0</v>
      </c>
      <c r="S94" s="69">
        <v>3000</v>
      </c>
      <c r="T94" s="69">
        <v>120</v>
      </c>
      <c r="U94" s="69">
        <v>60</v>
      </c>
      <c r="V94" s="69">
        <v>60</v>
      </c>
      <c r="W94" s="70">
        <v>0</v>
      </c>
      <c r="X94" s="70">
        <v>0</v>
      </c>
      <c r="Y94" s="70">
        <v>0</v>
      </c>
      <c r="Z94" s="70">
        <v>0</v>
      </c>
      <c r="AA94" s="71" t="s">
        <v>169</v>
      </c>
    </row>
    <row r="95" spans="1:27" s="71" customFormat="1">
      <c r="A95" s="66">
        <v>4302</v>
      </c>
      <c r="B95" s="66" t="s">
        <v>41</v>
      </c>
      <c r="C95" s="66" t="s">
        <v>34</v>
      </c>
      <c r="D95" s="66">
        <v>10015</v>
      </c>
      <c r="E95" s="66">
        <v>20000</v>
      </c>
      <c r="F95" s="66" t="s">
        <v>102</v>
      </c>
      <c r="G95" s="66">
        <v>0</v>
      </c>
      <c r="H95" s="67">
        <v>0</v>
      </c>
      <c r="I95" s="68">
        <f>INDEX([1]角色基础!$AC$16:$CJ$45,MATCH($AA95,[1]角色基础!$J$16:$J$45,0),MATCH(I$2,[1]角色基础!$AC$12:$AF$12,0)+4*(INT(SUBSTITUTE(RIGHT($C95,2),"+",""))-1))</f>
        <v>313</v>
      </c>
      <c r="J95" s="68">
        <f>INDEX([1]角色基础!$AC$16:$CJ$45,MATCH($AA95,[1]角色基础!$J$16:$J$45,0),MATCH(J$2,[1]角色基础!$AC$12:$AF$12,0)+4*(INT(SUBSTITUTE(RIGHT($C95,2),"+",""))-1))</f>
        <v>13</v>
      </c>
      <c r="K95" s="68">
        <f>INDEX([1]角色基础!$AC$16:$CJ$45,MATCH($AA95,[1]角色基础!$J$16:$J$45,0),MATCH(K$2,[1]角色基础!$AC$12:$AF$12,0)+4*(INT(SUBSTITUTE(RIGHT($C95,2),"+",""))-1))</f>
        <v>7</v>
      </c>
      <c r="L95" s="68">
        <f>INDEX([1]角色基础!$AC$16:$CJ$45,MATCH($AA95,[1]角色基础!$J$16:$J$45,0),MATCH(L$2,[1]角色基础!$AC$12:$AF$12,0)+4*(INT(SUBSTITUTE(RIGHT($C95,2),"+",""))-1))</f>
        <v>7</v>
      </c>
      <c r="M95" s="66">
        <v>0</v>
      </c>
      <c r="N95" s="66">
        <v>0</v>
      </c>
      <c r="O95" s="66">
        <v>0</v>
      </c>
      <c r="P95" s="66">
        <v>0</v>
      </c>
      <c r="Q95" s="66">
        <v>2</v>
      </c>
      <c r="R95" s="69">
        <v>0</v>
      </c>
      <c r="S95" s="69">
        <v>3000</v>
      </c>
      <c r="T95" s="69">
        <v>120</v>
      </c>
      <c r="U95" s="69">
        <v>60</v>
      </c>
      <c r="V95" s="69">
        <v>60</v>
      </c>
      <c r="W95" s="70">
        <v>0</v>
      </c>
      <c r="X95" s="70">
        <v>0</v>
      </c>
      <c r="Y95" s="70">
        <v>0</v>
      </c>
      <c r="Z95" s="70">
        <v>0</v>
      </c>
      <c r="AA95" s="71" t="s">
        <v>169</v>
      </c>
    </row>
    <row r="96" spans="1:27" s="71" customFormat="1">
      <c r="A96" s="66">
        <v>4303</v>
      </c>
      <c r="B96" s="66" t="s">
        <v>42</v>
      </c>
      <c r="C96" s="66" t="s">
        <v>35</v>
      </c>
      <c r="D96" s="66">
        <v>10025</v>
      </c>
      <c r="E96" s="66">
        <v>50000</v>
      </c>
      <c r="F96" s="66" t="s">
        <v>103</v>
      </c>
      <c r="G96" s="66">
        <v>0</v>
      </c>
      <c r="H96" s="67">
        <v>0</v>
      </c>
      <c r="I96" s="68">
        <f>INDEX([1]角色基础!$AC$16:$CJ$45,MATCH($AA96,[1]角色基础!$J$16:$J$45,0),MATCH(I$2,[1]角色基础!$AC$12:$AF$12,0)+4*(INT(SUBSTITUTE(RIGHT($C96,2),"+",""))-1))</f>
        <v>469</v>
      </c>
      <c r="J96" s="68">
        <f>INDEX([1]角色基础!$AC$16:$CJ$45,MATCH($AA96,[1]角色基础!$J$16:$J$45,0),MATCH(J$2,[1]角色基础!$AC$12:$AF$12,0)+4*(INT(SUBSTITUTE(RIGHT($C96,2),"+",""))-1))</f>
        <v>19</v>
      </c>
      <c r="K96" s="68">
        <f>INDEX([1]角色基础!$AC$16:$CJ$45,MATCH($AA96,[1]角色基础!$J$16:$J$45,0),MATCH(K$2,[1]角色基础!$AC$12:$AF$12,0)+4*(INT(SUBSTITUTE(RIGHT($C96,2),"+",""))-1))</f>
        <v>10</v>
      </c>
      <c r="L96" s="68">
        <f>INDEX([1]角色基础!$AC$16:$CJ$45,MATCH($AA96,[1]角色基础!$J$16:$J$45,0),MATCH(L$2,[1]角色基础!$AC$12:$AF$12,0)+4*(INT(SUBSTITUTE(RIGHT($C96,2),"+",""))-1))</f>
        <v>10</v>
      </c>
      <c r="M96" s="66">
        <v>0</v>
      </c>
      <c r="N96" s="66">
        <v>0</v>
      </c>
      <c r="O96" s="66">
        <v>0</v>
      </c>
      <c r="P96" s="66">
        <v>0</v>
      </c>
      <c r="Q96" s="66">
        <v>3</v>
      </c>
      <c r="R96" s="69">
        <v>0</v>
      </c>
      <c r="S96" s="69">
        <v>3000</v>
      </c>
      <c r="T96" s="69">
        <v>120</v>
      </c>
      <c r="U96" s="69">
        <v>60</v>
      </c>
      <c r="V96" s="69">
        <v>60</v>
      </c>
      <c r="W96" s="70">
        <v>0</v>
      </c>
      <c r="X96" s="70">
        <v>0</v>
      </c>
      <c r="Y96" s="70">
        <v>0</v>
      </c>
      <c r="Z96" s="70">
        <v>0</v>
      </c>
      <c r="AA96" s="71" t="s">
        <v>169</v>
      </c>
    </row>
    <row r="97" spans="1:27" s="71" customFormat="1">
      <c r="A97" s="66">
        <v>4304</v>
      </c>
      <c r="B97" s="66" t="s">
        <v>43</v>
      </c>
      <c r="C97" s="66" t="s">
        <v>36</v>
      </c>
      <c r="D97" s="66">
        <v>10035</v>
      </c>
      <c r="E97" s="66">
        <v>100000</v>
      </c>
      <c r="F97" s="66" t="s">
        <v>104</v>
      </c>
      <c r="G97" s="66">
        <v>1</v>
      </c>
      <c r="H97" s="67">
        <v>0</v>
      </c>
      <c r="I97" s="68">
        <f>INDEX([1]角色基础!$AC$16:$CJ$45,MATCH($AA97,[1]角色基础!$J$16:$J$45,0),MATCH(I$2,[1]角色基础!$AC$12:$AF$12,0)+4*(INT(SUBSTITUTE(RIGHT($C97,2),"+",""))-1))</f>
        <v>625</v>
      </c>
      <c r="J97" s="68">
        <f>INDEX([1]角色基础!$AC$16:$CJ$45,MATCH($AA97,[1]角色基础!$J$16:$J$45,0),MATCH(J$2,[1]角色基础!$AC$12:$AF$12,0)+4*(INT(SUBSTITUTE(RIGHT($C97,2),"+",""))-1))</f>
        <v>25</v>
      </c>
      <c r="K97" s="68">
        <f>INDEX([1]角色基础!$AC$16:$CJ$45,MATCH($AA97,[1]角色基础!$J$16:$J$45,0),MATCH(K$2,[1]角色基础!$AC$12:$AF$12,0)+4*(INT(SUBSTITUTE(RIGHT($C97,2),"+",""))-1))</f>
        <v>13</v>
      </c>
      <c r="L97" s="68">
        <f>INDEX([1]角色基础!$AC$16:$CJ$45,MATCH($AA97,[1]角色基础!$J$16:$J$45,0),MATCH(L$2,[1]角色基础!$AC$12:$AF$12,0)+4*(INT(SUBSTITUTE(RIGHT($C97,2),"+",""))-1))</f>
        <v>13</v>
      </c>
      <c r="M97" s="66">
        <v>0</v>
      </c>
      <c r="N97" s="66">
        <v>0</v>
      </c>
      <c r="O97" s="66">
        <v>0</v>
      </c>
      <c r="P97" s="66">
        <v>0</v>
      </c>
      <c r="Q97" s="66">
        <v>4</v>
      </c>
      <c r="R97" s="69">
        <v>0</v>
      </c>
      <c r="S97" s="69">
        <v>3000</v>
      </c>
      <c r="T97" s="69">
        <v>120</v>
      </c>
      <c r="U97" s="69">
        <v>60</v>
      </c>
      <c r="V97" s="69">
        <v>60</v>
      </c>
      <c r="W97" s="70">
        <v>0</v>
      </c>
      <c r="X97" s="70">
        <v>0</v>
      </c>
      <c r="Y97" s="70">
        <v>0</v>
      </c>
      <c r="Z97" s="70">
        <v>0</v>
      </c>
      <c r="AA97" s="71" t="s">
        <v>169</v>
      </c>
    </row>
    <row r="98" spans="1:27" s="71" customFormat="1">
      <c r="A98" s="66">
        <v>4305</v>
      </c>
      <c r="B98" s="66" t="s">
        <v>44</v>
      </c>
      <c r="C98" s="66" t="s">
        <v>37</v>
      </c>
      <c r="D98" s="66">
        <v>10045</v>
      </c>
      <c r="E98" s="66">
        <v>200000</v>
      </c>
      <c r="F98" s="66" t="s">
        <v>105</v>
      </c>
      <c r="G98" s="66">
        <v>1</v>
      </c>
      <c r="H98" s="67">
        <v>0</v>
      </c>
      <c r="I98" s="68">
        <f>INDEX([1]角色基础!$AC$16:$CJ$45,MATCH($AA98,[1]角色基础!$J$16:$J$45,0),MATCH(I$2,[1]角色基础!$AC$12:$AF$12,0)+4*(INT(SUBSTITUTE(RIGHT($C98,2),"+",""))-1))</f>
        <v>781</v>
      </c>
      <c r="J98" s="68">
        <f>INDEX([1]角色基础!$AC$16:$CJ$45,MATCH($AA98,[1]角色基础!$J$16:$J$45,0),MATCH(J$2,[1]角色基础!$AC$12:$AF$12,0)+4*(INT(SUBSTITUTE(RIGHT($C98,2),"+",""))-1))</f>
        <v>31</v>
      </c>
      <c r="K98" s="68">
        <f>INDEX([1]角色基础!$AC$16:$CJ$45,MATCH($AA98,[1]角色基础!$J$16:$J$45,0),MATCH(K$2,[1]角色基础!$AC$12:$AF$12,0)+4*(INT(SUBSTITUTE(RIGHT($C98,2),"+",""))-1))</f>
        <v>16</v>
      </c>
      <c r="L98" s="68">
        <f>INDEX([1]角色基础!$AC$16:$CJ$45,MATCH($AA98,[1]角色基础!$J$16:$J$45,0),MATCH(L$2,[1]角色基础!$AC$12:$AF$12,0)+4*(INT(SUBSTITUTE(RIGHT($C98,2),"+",""))-1))</f>
        <v>16</v>
      </c>
      <c r="M98" s="66">
        <v>0</v>
      </c>
      <c r="N98" s="66">
        <v>0</v>
      </c>
      <c r="O98" s="66">
        <v>0</v>
      </c>
      <c r="P98" s="66">
        <v>0</v>
      </c>
      <c r="Q98" s="66">
        <v>5</v>
      </c>
      <c r="R98" s="69">
        <v>0</v>
      </c>
      <c r="S98" s="69">
        <v>3000</v>
      </c>
      <c r="T98" s="69">
        <v>120</v>
      </c>
      <c r="U98" s="69">
        <v>60</v>
      </c>
      <c r="V98" s="69">
        <v>60</v>
      </c>
      <c r="W98" s="70">
        <v>0</v>
      </c>
      <c r="X98" s="70">
        <v>0</v>
      </c>
      <c r="Y98" s="70">
        <v>0</v>
      </c>
      <c r="Z98" s="70">
        <v>0</v>
      </c>
      <c r="AA98" s="71" t="s">
        <v>169</v>
      </c>
    </row>
    <row r="99" spans="1:27" s="71" customFormat="1">
      <c r="A99" s="66">
        <v>4306</v>
      </c>
      <c r="B99" s="66" t="s">
        <v>45</v>
      </c>
      <c r="C99" s="66" t="s">
        <v>38</v>
      </c>
      <c r="D99" s="66">
        <v>10055</v>
      </c>
      <c r="E99" s="66">
        <v>300000</v>
      </c>
      <c r="F99" s="66" t="s">
        <v>106</v>
      </c>
      <c r="G99" s="66">
        <v>2</v>
      </c>
      <c r="H99" s="67">
        <v>0</v>
      </c>
      <c r="I99" s="68">
        <f>INDEX([1]角色基础!$AC$16:$CJ$45,MATCH($AA99,[1]角色基础!$J$16:$J$45,0),MATCH(I$2,[1]角色基础!$AC$12:$AF$12,0)+4*(INT(SUBSTITUTE(RIGHT($C99,2),"+",""))-1))</f>
        <v>938</v>
      </c>
      <c r="J99" s="68">
        <f>INDEX([1]角色基础!$AC$16:$CJ$45,MATCH($AA99,[1]角色基础!$J$16:$J$45,0),MATCH(J$2,[1]角色基础!$AC$12:$AF$12,0)+4*(INT(SUBSTITUTE(RIGHT($C99,2),"+",""))-1))</f>
        <v>38</v>
      </c>
      <c r="K99" s="68">
        <f>INDEX([1]角色基础!$AC$16:$CJ$45,MATCH($AA99,[1]角色基础!$J$16:$J$45,0),MATCH(K$2,[1]角色基础!$AC$12:$AF$12,0)+4*(INT(SUBSTITUTE(RIGHT($C99,2),"+",""))-1))</f>
        <v>20</v>
      </c>
      <c r="L99" s="68">
        <f>INDEX([1]角色基础!$AC$16:$CJ$45,MATCH($AA99,[1]角色基础!$J$16:$J$45,0),MATCH(L$2,[1]角色基础!$AC$12:$AF$12,0)+4*(INT(SUBSTITUTE(RIGHT($C99,2),"+",""))-1))</f>
        <v>20</v>
      </c>
      <c r="M99" s="66">
        <v>0</v>
      </c>
      <c r="N99" s="66">
        <v>0</v>
      </c>
      <c r="O99" s="66">
        <v>0</v>
      </c>
      <c r="P99" s="66">
        <v>0</v>
      </c>
      <c r="Q99" s="66">
        <v>6</v>
      </c>
      <c r="R99" s="69">
        <v>0</v>
      </c>
      <c r="S99" s="69">
        <v>3000</v>
      </c>
      <c r="T99" s="69">
        <v>120</v>
      </c>
      <c r="U99" s="69">
        <v>60</v>
      </c>
      <c r="V99" s="69">
        <v>60</v>
      </c>
      <c r="W99" s="70">
        <v>0</v>
      </c>
      <c r="X99" s="70">
        <v>0</v>
      </c>
      <c r="Y99" s="70">
        <v>0</v>
      </c>
      <c r="Z99" s="70">
        <v>0</v>
      </c>
      <c r="AA99" s="71" t="s">
        <v>169</v>
      </c>
    </row>
    <row r="100" spans="1:27" s="71" customFormat="1">
      <c r="A100" s="66">
        <v>4307</v>
      </c>
      <c r="B100" s="66" t="s">
        <v>46</v>
      </c>
      <c r="C100" s="66" t="s">
        <v>39</v>
      </c>
      <c r="D100" s="66">
        <v>10065</v>
      </c>
      <c r="E100" s="66">
        <v>500000</v>
      </c>
      <c r="F100" s="66" t="s">
        <v>107</v>
      </c>
      <c r="G100" s="66">
        <v>2</v>
      </c>
      <c r="H100" s="67">
        <v>0</v>
      </c>
      <c r="I100" s="68">
        <f>INDEX([1]角色基础!$AC$16:$CJ$45,MATCH($AA100,[1]角色基础!$J$16:$J$45,0),MATCH(I$2,[1]角色基础!$AC$12:$AF$12,0)+4*(INT(SUBSTITUTE(RIGHT($C100,2),"+",""))-1))</f>
        <v>1094</v>
      </c>
      <c r="J100" s="68">
        <f>INDEX([1]角色基础!$AC$16:$CJ$45,MATCH($AA100,[1]角色基础!$J$16:$J$45,0),MATCH(J$2,[1]角色基础!$AC$12:$AF$12,0)+4*(INT(SUBSTITUTE(RIGHT($C100,2),"+",""))-1))</f>
        <v>44</v>
      </c>
      <c r="K100" s="68">
        <f>INDEX([1]角色基础!$AC$16:$CJ$45,MATCH($AA100,[1]角色基础!$J$16:$J$45,0),MATCH(K$2,[1]角色基础!$AC$12:$AF$12,0)+4*(INT(SUBSTITUTE(RIGHT($C100,2),"+",""))-1))</f>
        <v>23</v>
      </c>
      <c r="L100" s="68">
        <f>INDEX([1]角色基础!$AC$16:$CJ$45,MATCH($AA100,[1]角色基础!$J$16:$J$45,0),MATCH(L$2,[1]角色基础!$AC$12:$AF$12,0)+4*(INT(SUBSTITUTE(RIGHT($C100,2),"+",""))-1))</f>
        <v>23</v>
      </c>
      <c r="M100" s="66">
        <v>0</v>
      </c>
      <c r="N100" s="66">
        <v>0</v>
      </c>
      <c r="O100" s="66">
        <v>0</v>
      </c>
      <c r="P100" s="66">
        <v>0</v>
      </c>
      <c r="Q100" s="66">
        <v>7</v>
      </c>
      <c r="R100" s="69">
        <v>0</v>
      </c>
      <c r="S100" s="69">
        <v>3000</v>
      </c>
      <c r="T100" s="69">
        <v>120</v>
      </c>
      <c r="U100" s="69">
        <v>60</v>
      </c>
      <c r="V100" s="69">
        <v>60</v>
      </c>
      <c r="W100" s="70">
        <v>0</v>
      </c>
      <c r="X100" s="70">
        <v>0</v>
      </c>
      <c r="Y100" s="70">
        <v>0</v>
      </c>
      <c r="Z100" s="70">
        <v>0</v>
      </c>
      <c r="AA100" s="71" t="s">
        <v>169</v>
      </c>
    </row>
    <row r="101" spans="1:27" s="71" customFormat="1">
      <c r="A101" s="66">
        <v>4308</v>
      </c>
      <c r="B101" s="66" t="s">
        <v>47</v>
      </c>
      <c r="C101" s="66" t="s">
        <v>40</v>
      </c>
      <c r="D101" s="66">
        <v>10075</v>
      </c>
      <c r="E101" s="66">
        <v>800000</v>
      </c>
      <c r="F101" s="66" t="s">
        <v>108</v>
      </c>
      <c r="G101" s="66">
        <v>4</v>
      </c>
      <c r="H101" s="67">
        <v>0</v>
      </c>
      <c r="I101" s="68">
        <f>INDEX([1]角色基础!$AC$16:$CJ$45,MATCH($AA101,[1]角色基础!$J$16:$J$45,0),MATCH(I$2,[1]角色基础!$AC$12:$AF$12,0)+4*(INT(SUBSTITUTE(RIGHT($C101,2),"+",""))-1))</f>
        <v>1250</v>
      </c>
      <c r="J101" s="68">
        <f>INDEX([1]角色基础!$AC$16:$CJ$45,MATCH($AA101,[1]角色基础!$J$16:$J$45,0),MATCH(J$2,[1]角色基础!$AC$12:$AF$12,0)+4*(INT(SUBSTITUTE(RIGHT($C101,2),"+",""))-1))</f>
        <v>50</v>
      </c>
      <c r="K101" s="68">
        <f>INDEX([1]角色基础!$AC$16:$CJ$45,MATCH($AA101,[1]角色基础!$J$16:$J$45,0),MATCH(K$2,[1]角色基础!$AC$12:$AF$12,0)+4*(INT(SUBSTITUTE(RIGHT($C101,2),"+",""))-1))</f>
        <v>26</v>
      </c>
      <c r="L101" s="68">
        <f>INDEX([1]角色基础!$AC$16:$CJ$45,MATCH($AA101,[1]角色基础!$J$16:$J$45,0),MATCH(L$2,[1]角色基础!$AC$12:$AF$12,0)+4*(INT(SUBSTITUTE(RIGHT($C101,2),"+",""))-1))</f>
        <v>26</v>
      </c>
      <c r="M101" s="66">
        <v>0</v>
      </c>
      <c r="N101" s="66">
        <v>0</v>
      </c>
      <c r="O101" s="66">
        <v>0</v>
      </c>
      <c r="P101" s="66">
        <v>0</v>
      </c>
      <c r="Q101" s="66">
        <v>8</v>
      </c>
      <c r="R101" s="69">
        <v>0</v>
      </c>
      <c r="S101" s="69">
        <v>3000</v>
      </c>
      <c r="T101" s="69">
        <v>120</v>
      </c>
      <c r="U101" s="69">
        <v>60</v>
      </c>
      <c r="V101" s="69">
        <v>60</v>
      </c>
      <c r="W101" s="70">
        <v>0</v>
      </c>
      <c r="X101" s="70">
        <v>0</v>
      </c>
      <c r="Y101" s="70">
        <v>0</v>
      </c>
      <c r="Z101" s="70">
        <v>0</v>
      </c>
      <c r="AA101" s="71" t="s">
        <v>169</v>
      </c>
    </row>
    <row r="102" spans="1:27" s="71" customFormat="1">
      <c r="A102" s="66">
        <v>4309</v>
      </c>
      <c r="B102" s="66" t="s">
        <v>69</v>
      </c>
      <c r="C102" s="66" t="s">
        <v>32</v>
      </c>
      <c r="D102" s="66">
        <v>10085</v>
      </c>
      <c r="E102" s="66">
        <v>1200000</v>
      </c>
      <c r="F102" s="66" t="s">
        <v>109</v>
      </c>
      <c r="G102" s="66">
        <v>6</v>
      </c>
      <c r="H102" s="67">
        <v>0</v>
      </c>
      <c r="I102" s="68">
        <f>INDEX([1]角色基础!$AC$16:$CJ$45,MATCH($AA102,[1]角色基础!$J$16:$J$45,0),MATCH(I$2,[1]角色基础!$AC$12:$AF$12,0)+4*(INT(SUBSTITUTE(RIGHT($C102,2),"+",""))-1))</f>
        <v>1406</v>
      </c>
      <c r="J102" s="68">
        <f>INDEX([1]角色基础!$AC$16:$CJ$45,MATCH($AA102,[1]角色基础!$J$16:$J$45,0),MATCH(J$2,[1]角色基础!$AC$12:$AF$12,0)+4*(INT(SUBSTITUTE(RIGHT($C102,2),"+",""))-1))</f>
        <v>56</v>
      </c>
      <c r="K102" s="68">
        <f>INDEX([1]角色基础!$AC$16:$CJ$45,MATCH($AA102,[1]角色基础!$J$16:$J$45,0),MATCH(K$2,[1]角色基础!$AC$12:$AF$12,0)+4*(INT(SUBSTITUTE(RIGHT($C102,2),"+",""))-1))</f>
        <v>29</v>
      </c>
      <c r="L102" s="68">
        <f>INDEX([1]角色基础!$AC$16:$CJ$45,MATCH($AA102,[1]角色基础!$J$16:$J$45,0),MATCH(L$2,[1]角色基础!$AC$12:$AF$12,0)+4*(INT(SUBSTITUTE(RIGHT($C102,2),"+",""))-1))</f>
        <v>29</v>
      </c>
      <c r="M102" s="66">
        <v>0</v>
      </c>
      <c r="N102" s="66">
        <v>0</v>
      </c>
      <c r="O102" s="66">
        <v>0</v>
      </c>
      <c r="P102" s="66">
        <v>0</v>
      </c>
      <c r="Q102" s="66">
        <v>9</v>
      </c>
      <c r="R102" s="69">
        <v>0</v>
      </c>
      <c r="S102" s="69">
        <v>3000</v>
      </c>
      <c r="T102" s="69">
        <v>120</v>
      </c>
      <c r="U102" s="69">
        <v>60</v>
      </c>
      <c r="V102" s="69">
        <v>60</v>
      </c>
      <c r="W102" s="70">
        <v>0</v>
      </c>
      <c r="X102" s="70">
        <v>0</v>
      </c>
      <c r="Y102" s="70">
        <v>0</v>
      </c>
      <c r="Z102" s="70">
        <v>0</v>
      </c>
      <c r="AA102" s="71" t="s">
        <v>169</v>
      </c>
    </row>
    <row r="103" spans="1:27" s="71" customFormat="1">
      <c r="A103" s="66">
        <v>4310</v>
      </c>
      <c r="B103" s="66" t="s">
        <v>71</v>
      </c>
      <c r="C103" s="66" t="s">
        <v>31</v>
      </c>
      <c r="D103" s="66">
        <v>10095</v>
      </c>
      <c r="E103" s="66">
        <v>1600000</v>
      </c>
      <c r="F103" s="66" t="s">
        <v>110</v>
      </c>
      <c r="G103" s="66">
        <v>8</v>
      </c>
      <c r="H103" s="67">
        <v>0</v>
      </c>
      <c r="I103" s="68">
        <f>INDEX([1]角色基础!$AC$16:$CJ$45,MATCH($AA103,[1]角色基础!$J$16:$J$45,0),MATCH(I$2,[1]角色基础!$AC$12:$AF$12,0)+4*(INT(SUBSTITUTE(RIGHT($C103,2),"+",""))-1))</f>
        <v>1563</v>
      </c>
      <c r="J103" s="68">
        <f>INDEX([1]角色基础!$AC$16:$CJ$45,MATCH($AA103,[1]角色基础!$J$16:$J$45,0),MATCH(J$2,[1]角色基础!$AC$12:$AF$12,0)+4*(INT(SUBSTITUTE(RIGHT($C103,2),"+",""))-1))</f>
        <v>63</v>
      </c>
      <c r="K103" s="68">
        <f>INDEX([1]角色基础!$AC$16:$CJ$45,MATCH($AA103,[1]角色基础!$J$16:$J$45,0),MATCH(K$2,[1]角色基础!$AC$12:$AF$12,0)+4*(INT(SUBSTITUTE(RIGHT($C103,2),"+",""))-1))</f>
        <v>33</v>
      </c>
      <c r="L103" s="68">
        <f>INDEX([1]角色基础!$AC$16:$CJ$45,MATCH($AA103,[1]角色基础!$J$16:$J$45,0),MATCH(L$2,[1]角色基础!$AC$12:$AF$12,0)+4*(INT(SUBSTITUTE(RIGHT($C103,2),"+",""))-1))</f>
        <v>33</v>
      </c>
      <c r="M103" s="66">
        <v>0</v>
      </c>
      <c r="N103" s="66">
        <v>0</v>
      </c>
      <c r="O103" s="66">
        <v>0</v>
      </c>
      <c r="P103" s="66">
        <v>0</v>
      </c>
      <c r="Q103" s="66">
        <v>10</v>
      </c>
      <c r="R103" s="69">
        <v>0</v>
      </c>
      <c r="S103" s="69">
        <v>3000</v>
      </c>
      <c r="T103" s="69">
        <v>120</v>
      </c>
      <c r="U103" s="69">
        <v>60</v>
      </c>
      <c r="V103" s="69">
        <v>60</v>
      </c>
      <c r="W103" s="70">
        <v>0</v>
      </c>
      <c r="X103" s="70">
        <v>0</v>
      </c>
      <c r="Y103" s="70">
        <v>0</v>
      </c>
      <c r="Z103" s="70">
        <v>0</v>
      </c>
      <c r="AA103" s="71" t="s">
        <v>169</v>
      </c>
    </row>
    <row r="104" spans="1:27" s="71" customFormat="1">
      <c r="A104" s="66">
        <v>4311</v>
      </c>
      <c r="B104" s="66" t="s">
        <v>73</v>
      </c>
      <c r="C104" s="66" t="s">
        <v>74</v>
      </c>
      <c r="D104" s="66">
        <v>10105</v>
      </c>
      <c r="E104" s="66">
        <v>2000000</v>
      </c>
      <c r="F104" s="66" t="s">
        <v>90</v>
      </c>
      <c r="G104" s="66">
        <v>10</v>
      </c>
      <c r="H104" s="67">
        <v>0</v>
      </c>
      <c r="I104" s="68">
        <f>INDEX([1]角色基础!$AC$16:$CJ$45,MATCH($AA104,[1]角色基础!$J$16:$J$45,0),MATCH(I$2,[1]角色基础!$AC$12:$AF$12,0)+4*(INT(SUBSTITUTE(RIGHT($C104,2),"+",""))-1))</f>
        <v>1719</v>
      </c>
      <c r="J104" s="68">
        <f>INDEX([1]角色基础!$AC$16:$CJ$45,MATCH($AA104,[1]角色基础!$J$16:$J$45,0),MATCH(J$2,[1]角色基础!$AC$12:$AF$12,0)+4*(INT(SUBSTITUTE(RIGHT($C104,2),"+",""))-1))</f>
        <v>69</v>
      </c>
      <c r="K104" s="68">
        <f>INDEX([1]角色基础!$AC$16:$CJ$45,MATCH($AA104,[1]角色基础!$J$16:$J$45,0),MATCH(K$2,[1]角色基础!$AC$12:$AF$12,0)+4*(INT(SUBSTITUTE(RIGHT($C104,2),"+",""))-1))</f>
        <v>36</v>
      </c>
      <c r="L104" s="68">
        <f>INDEX([1]角色基础!$AC$16:$CJ$45,MATCH($AA104,[1]角色基础!$J$16:$J$45,0),MATCH(L$2,[1]角色基础!$AC$12:$AF$12,0)+4*(INT(SUBSTITUTE(RIGHT($C104,2),"+",""))-1))</f>
        <v>36</v>
      </c>
      <c r="M104" s="66">
        <v>0</v>
      </c>
      <c r="N104" s="66">
        <v>0</v>
      </c>
      <c r="O104" s="66">
        <v>0</v>
      </c>
      <c r="P104" s="66">
        <v>0</v>
      </c>
      <c r="Q104" s="66">
        <v>11</v>
      </c>
      <c r="R104" s="69">
        <v>0</v>
      </c>
      <c r="S104" s="69">
        <v>3000</v>
      </c>
      <c r="T104" s="69">
        <v>120</v>
      </c>
      <c r="U104" s="69">
        <v>60</v>
      </c>
      <c r="V104" s="69">
        <v>60</v>
      </c>
      <c r="W104" s="70">
        <v>0</v>
      </c>
      <c r="X104" s="70">
        <v>0</v>
      </c>
      <c r="Y104" s="70">
        <v>0</v>
      </c>
      <c r="Z104" s="70">
        <v>0</v>
      </c>
      <c r="AA104" s="71" t="s">
        <v>169</v>
      </c>
    </row>
    <row r="105" spans="1:27" s="71" customFormat="1">
      <c r="A105" s="66">
        <v>4312</v>
      </c>
      <c r="B105" s="66" t="s">
        <v>75</v>
      </c>
      <c r="C105" s="66" t="s">
        <v>76</v>
      </c>
      <c r="D105" s="66">
        <v>10115</v>
      </c>
      <c r="E105" s="66">
        <v>2500000</v>
      </c>
      <c r="F105" s="66" t="s">
        <v>111</v>
      </c>
      <c r="G105" s="66">
        <v>12</v>
      </c>
      <c r="H105" s="67">
        <v>0</v>
      </c>
      <c r="I105" s="68">
        <f>INDEX([1]角色基础!$AC$16:$CJ$45,MATCH($AA105,[1]角色基础!$J$16:$J$45,0),MATCH(I$2,[1]角色基础!$AC$12:$AF$12,0)+4*(INT(SUBSTITUTE(RIGHT($C105,2),"+",""))-1))</f>
        <v>1875</v>
      </c>
      <c r="J105" s="68">
        <f>INDEX([1]角色基础!$AC$16:$CJ$45,MATCH($AA105,[1]角色基础!$J$16:$J$45,0),MATCH(J$2,[1]角色基础!$AC$12:$AF$12,0)+4*(INT(SUBSTITUTE(RIGHT($C105,2),"+",""))-1))</f>
        <v>75</v>
      </c>
      <c r="K105" s="68">
        <f>INDEX([1]角色基础!$AC$16:$CJ$45,MATCH($AA105,[1]角色基础!$J$16:$J$45,0),MATCH(K$2,[1]角色基础!$AC$12:$AF$12,0)+4*(INT(SUBSTITUTE(RIGHT($C105,2),"+",""))-1))</f>
        <v>39</v>
      </c>
      <c r="L105" s="68">
        <f>INDEX([1]角色基础!$AC$16:$CJ$45,MATCH($AA105,[1]角色基础!$J$16:$J$45,0),MATCH(L$2,[1]角色基础!$AC$12:$AF$12,0)+4*(INT(SUBSTITUTE(RIGHT($C105,2),"+",""))-1))</f>
        <v>39</v>
      </c>
      <c r="M105" s="66">
        <v>0</v>
      </c>
      <c r="N105" s="66">
        <v>0</v>
      </c>
      <c r="O105" s="66">
        <v>0</v>
      </c>
      <c r="P105" s="66">
        <v>0</v>
      </c>
      <c r="Q105" s="66">
        <v>12</v>
      </c>
      <c r="R105" s="69">
        <v>0</v>
      </c>
      <c r="S105" s="69">
        <v>3000</v>
      </c>
      <c r="T105" s="69">
        <v>120</v>
      </c>
      <c r="U105" s="69">
        <v>60</v>
      </c>
      <c r="V105" s="69">
        <v>60</v>
      </c>
      <c r="W105" s="70">
        <v>0</v>
      </c>
      <c r="X105" s="70">
        <v>0</v>
      </c>
      <c r="Y105" s="70">
        <v>0</v>
      </c>
      <c r="Z105" s="70">
        <v>0</v>
      </c>
      <c r="AA105" s="71" t="s">
        <v>169</v>
      </c>
    </row>
    <row r="106" spans="1:27" s="71" customFormat="1">
      <c r="A106" s="66">
        <v>4313</v>
      </c>
      <c r="B106" s="66" t="s">
        <v>182</v>
      </c>
      <c r="C106" s="66" t="s">
        <v>183</v>
      </c>
      <c r="D106" s="66">
        <v>10125</v>
      </c>
      <c r="E106" s="66">
        <v>3000000</v>
      </c>
      <c r="F106" s="66" t="s">
        <v>114</v>
      </c>
      <c r="G106" s="66">
        <v>14</v>
      </c>
      <c r="H106" s="67">
        <v>0</v>
      </c>
      <c r="I106" s="68">
        <f>INDEX([1]角色基础!$AC$16:$CJ$45,MATCH($AA106,[1]角色基础!$J$16:$J$45,0),MATCH(I$2,[1]角色基础!$AC$12:$AF$12,0)+4*(INT(SUBSTITUTE(RIGHT($C106,2),"+",""))-1))</f>
        <v>2031</v>
      </c>
      <c r="J106" s="68">
        <f>INDEX([1]角色基础!$AC$16:$CJ$45,MATCH($AA106,[1]角色基础!$J$16:$J$45,0),MATCH(J$2,[1]角色基础!$AC$12:$AF$12,0)+4*(INT(SUBSTITUTE(RIGHT($C106,2),"+",""))-1))</f>
        <v>81</v>
      </c>
      <c r="K106" s="68">
        <f>INDEX([1]角色基础!$AC$16:$CJ$45,MATCH($AA106,[1]角色基础!$J$16:$J$45,0),MATCH(K$2,[1]角色基础!$AC$12:$AF$12,0)+4*(INT(SUBSTITUTE(RIGHT($C106,2),"+",""))-1))</f>
        <v>42</v>
      </c>
      <c r="L106" s="68">
        <f>INDEX([1]角色基础!$AC$16:$CJ$45,MATCH($AA106,[1]角色基础!$J$16:$J$45,0),MATCH(L$2,[1]角色基础!$AC$12:$AF$12,0)+4*(INT(SUBSTITUTE(RIGHT($C106,2),"+",""))-1))</f>
        <v>42</v>
      </c>
      <c r="M106" s="66">
        <v>0</v>
      </c>
      <c r="N106" s="66">
        <v>0</v>
      </c>
      <c r="O106" s="66">
        <v>0</v>
      </c>
      <c r="P106" s="66">
        <v>0</v>
      </c>
      <c r="Q106" s="66">
        <v>13</v>
      </c>
      <c r="R106" s="69">
        <v>0</v>
      </c>
      <c r="S106" s="69">
        <v>3000</v>
      </c>
      <c r="T106" s="69">
        <v>120</v>
      </c>
      <c r="U106" s="69">
        <v>60</v>
      </c>
      <c r="V106" s="69">
        <v>60</v>
      </c>
      <c r="W106" s="70">
        <v>0</v>
      </c>
      <c r="X106" s="70">
        <v>0</v>
      </c>
      <c r="Y106" s="70">
        <v>0</v>
      </c>
      <c r="Z106" s="70">
        <v>0</v>
      </c>
      <c r="AA106" s="71" t="s">
        <v>169</v>
      </c>
    </row>
    <row r="107" spans="1:27" s="71" customFormat="1">
      <c r="A107" s="66">
        <v>4314</v>
      </c>
      <c r="B107" s="66" t="s">
        <v>184</v>
      </c>
      <c r="C107" s="66" t="s">
        <v>185</v>
      </c>
      <c r="D107" s="66">
        <v>10135</v>
      </c>
      <c r="E107" s="66">
        <v>4000000</v>
      </c>
      <c r="F107" s="66" t="s">
        <v>197</v>
      </c>
      <c r="G107" s="66">
        <v>16</v>
      </c>
      <c r="H107" s="67">
        <v>0</v>
      </c>
      <c r="I107" s="68">
        <f>INDEX([1]角色基础!$AC$16:$CJ$45,MATCH($AA107,[1]角色基础!$J$16:$J$45,0),MATCH(I$2,[1]角色基础!$AC$12:$AF$12,0)+4*(INT(SUBSTITUTE(RIGHT($C107,2),"+",""))-1))</f>
        <v>2188</v>
      </c>
      <c r="J107" s="68">
        <f>INDEX([1]角色基础!$AC$16:$CJ$45,MATCH($AA107,[1]角色基础!$J$16:$J$45,0),MATCH(J$2,[1]角色基础!$AC$12:$AF$12,0)+4*(INT(SUBSTITUTE(RIGHT($C107,2),"+",""))-1))</f>
        <v>88</v>
      </c>
      <c r="K107" s="68">
        <f>INDEX([1]角色基础!$AC$16:$CJ$45,MATCH($AA107,[1]角色基础!$J$16:$J$45,0),MATCH(K$2,[1]角色基础!$AC$12:$AF$12,0)+4*(INT(SUBSTITUTE(RIGHT($C107,2),"+",""))-1))</f>
        <v>46</v>
      </c>
      <c r="L107" s="68">
        <f>INDEX([1]角色基础!$AC$16:$CJ$45,MATCH($AA107,[1]角色基础!$J$16:$J$45,0),MATCH(L$2,[1]角色基础!$AC$12:$AF$12,0)+4*(INT(SUBSTITUTE(RIGHT($C107,2),"+",""))-1))</f>
        <v>46</v>
      </c>
      <c r="M107" s="66">
        <v>0</v>
      </c>
      <c r="N107" s="66">
        <v>0</v>
      </c>
      <c r="O107" s="66">
        <v>0</v>
      </c>
      <c r="P107" s="66">
        <v>0</v>
      </c>
      <c r="Q107" s="66">
        <v>14</v>
      </c>
      <c r="R107" s="69">
        <v>0</v>
      </c>
      <c r="S107" s="69">
        <v>3000</v>
      </c>
      <c r="T107" s="69">
        <v>120</v>
      </c>
      <c r="U107" s="69">
        <v>60</v>
      </c>
      <c r="V107" s="69">
        <v>60</v>
      </c>
      <c r="W107" s="70">
        <v>0</v>
      </c>
      <c r="X107" s="70">
        <v>0</v>
      </c>
      <c r="Y107" s="70">
        <v>0</v>
      </c>
      <c r="Z107" s="70">
        <v>0</v>
      </c>
      <c r="AA107" s="71" t="s">
        <v>169</v>
      </c>
    </row>
    <row r="108" spans="1:27" s="71" customFormat="1">
      <c r="A108" s="66">
        <v>4315</v>
      </c>
      <c r="B108" s="66" t="s">
        <v>186</v>
      </c>
      <c r="C108" s="66" t="s">
        <v>187</v>
      </c>
      <c r="D108" s="66">
        <v>10145</v>
      </c>
      <c r="E108" s="66">
        <v>5000000</v>
      </c>
      <c r="F108" s="66" t="s">
        <v>195</v>
      </c>
      <c r="G108" s="66">
        <v>20</v>
      </c>
      <c r="H108" s="67">
        <v>0</v>
      </c>
      <c r="I108" s="68">
        <f>INDEX([1]角色基础!$AC$16:$CJ$45,MATCH($AA108,[1]角色基础!$J$16:$J$45,0),MATCH(I$2,[1]角色基础!$AC$12:$AF$12,0)+4*(INT(SUBSTITUTE(RIGHT($C108,2),"+",""))-1))</f>
        <v>2344</v>
      </c>
      <c r="J108" s="68">
        <f>INDEX([1]角色基础!$AC$16:$CJ$45,MATCH($AA108,[1]角色基础!$J$16:$J$45,0),MATCH(J$2,[1]角色基础!$AC$12:$AF$12,0)+4*(INT(SUBSTITUTE(RIGHT($C108,2),"+",""))-1))</f>
        <v>94</v>
      </c>
      <c r="K108" s="68">
        <f>INDEX([1]角色基础!$AC$16:$CJ$45,MATCH($AA108,[1]角色基础!$J$16:$J$45,0),MATCH(K$2,[1]角色基础!$AC$12:$AF$12,0)+4*(INT(SUBSTITUTE(RIGHT($C108,2),"+",""))-1))</f>
        <v>49</v>
      </c>
      <c r="L108" s="68">
        <f>INDEX([1]角色基础!$AC$16:$CJ$45,MATCH($AA108,[1]角色基础!$J$16:$J$45,0),MATCH(L$2,[1]角色基础!$AC$12:$AF$12,0)+4*(INT(SUBSTITUTE(RIGHT($C108,2),"+",""))-1))</f>
        <v>49</v>
      </c>
      <c r="M108" s="66">
        <v>0</v>
      </c>
      <c r="N108" s="66">
        <v>0</v>
      </c>
      <c r="O108" s="66">
        <v>0</v>
      </c>
      <c r="P108" s="66">
        <v>0</v>
      </c>
      <c r="Q108" s="66">
        <v>15</v>
      </c>
      <c r="R108" s="69">
        <v>0</v>
      </c>
      <c r="S108" s="69">
        <v>3000</v>
      </c>
      <c r="T108" s="69">
        <v>120</v>
      </c>
      <c r="U108" s="69">
        <v>60</v>
      </c>
      <c r="V108" s="69">
        <v>60</v>
      </c>
      <c r="W108" s="70">
        <v>0</v>
      </c>
      <c r="X108" s="70">
        <v>0</v>
      </c>
      <c r="Y108" s="70">
        <v>0</v>
      </c>
      <c r="Z108" s="70">
        <v>0</v>
      </c>
      <c r="AA108" s="71" t="s">
        <v>169</v>
      </c>
    </row>
    <row r="109" spans="1:27" s="90" customFormat="1">
      <c r="A109" s="85">
        <v>4401</v>
      </c>
      <c r="B109" s="85" t="s">
        <v>121</v>
      </c>
      <c r="C109" s="85" t="s">
        <v>33</v>
      </c>
      <c r="D109" s="85">
        <v>10001</v>
      </c>
      <c r="E109" s="85">
        <v>5000</v>
      </c>
      <c r="F109" s="85" t="s">
        <v>101</v>
      </c>
      <c r="G109" s="85">
        <v>0</v>
      </c>
      <c r="H109" s="86">
        <v>0</v>
      </c>
      <c r="I109" s="87">
        <f>INDEX([1]角色基础!$AC$16:$CJ$45,MATCH($AA109,[1]角色基础!$J$16:$J$45,0),MATCH(I$2,[1]角色基础!$AC$12:$AF$12,0)+4*(INT(SUBSTITUTE(RIGHT($C109,2),"+",""))-1))</f>
        <v>156</v>
      </c>
      <c r="J109" s="87">
        <f>INDEX([1]角色基础!$AC$16:$CJ$45,MATCH($AA109,[1]角色基础!$J$16:$J$45,0),MATCH(J$2,[1]角色基础!$AC$12:$AF$12,0)+4*(INT(SUBSTITUTE(RIGHT($C109,2),"+",""))-1))</f>
        <v>6</v>
      </c>
      <c r="K109" s="87">
        <f>INDEX([1]角色基础!$AC$16:$CJ$45,MATCH($AA109,[1]角色基础!$J$16:$J$45,0),MATCH(K$2,[1]角色基础!$AC$12:$AF$12,0)+4*(INT(SUBSTITUTE(RIGHT($C109,2),"+",""))-1))</f>
        <v>3</v>
      </c>
      <c r="L109" s="87">
        <f>INDEX([1]角色基础!$AC$16:$CJ$45,MATCH($AA109,[1]角色基础!$J$16:$J$45,0),MATCH(L$2,[1]角色基础!$AC$12:$AF$12,0)+4*(INT(SUBSTITUTE(RIGHT($C109,2),"+",""))-1))</f>
        <v>3</v>
      </c>
      <c r="M109" s="85">
        <v>0</v>
      </c>
      <c r="N109" s="85">
        <v>0</v>
      </c>
      <c r="O109" s="85">
        <v>0</v>
      </c>
      <c r="P109" s="85">
        <v>0</v>
      </c>
      <c r="Q109" s="85">
        <v>1</v>
      </c>
      <c r="R109" s="88">
        <v>0</v>
      </c>
      <c r="S109" s="88">
        <v>3000</v>
      </c>
      <c r="T109" s="88">
        <v>120</v>
      </c>
      <c r="U109" s="88">
        <v>60</v>
      </c>
      <c r="V109" s="88">
        <v>60</v>
      </c>
      <c r="W109" s="89">
        <v>0</v>
      </c>
      <c r="X109" s="89">
        <v>0</v>
      </c>
      <c r="Y109" s="89">
        <v>0</v>
      </c>
      <c r="Z109" s="89">
        <v>0</v>
      </c>
      <c r="AA109" s="90" t="s">
        <v>168</v>
      </c>
    </row>
    <row r="110" spans="1:27" s="90" customFormat="1">
      <c r="A110" s="85">
        <v>4402</v>
      </c>
      <c r="B110" s="85" t="s">
        <v>41</v>
      </c>
      <c r="C110" s="85" t="s">
        <v>34</v>
      </c>
      <c r="D110" s="85">
        <v>10015</v>
      </c>
      <c r="E110" s="85">
        <v>20000</v>
      </c>
      <c r="F110" s="85" t="s">
        <v>102</v>
      </c>
      <c r="G110" s="85">
        <v>0</v>
      </c>
      <c r="H110" s="86">
        <v>0</v>
      </c>
      <c r="I110" s="87">
        <f>INDEX([1]角色基础!$AC$16:$CJ$45,MATCH($AA110,[1]角色基础!$J$16:$J$45,0),MATCH(I$2,[1]角色基础!$AC$12:$AF$12,0)+4*(INT(SUBSTITUTE(RIGHT($C110,2),"+",""))-1))</f>
        <v>313</v>
      </c>
      <c r="J110" s="87">
        <f>INDEX([1]角色基础!$AC$16:$CJ$45,MATCH($AA110,[1]角色基础!$J$16:$J$45,0),MATCH(J$2,[1]角色基础!$AC$12:$AF$12,0)+4*(INT(SUBSTITUTE(RIGHT($C110,2),"+",""))-1))</f>
        <v>13</v>
      </c>
      <c r="K110" s="87">
        <f>INDEX([1]角色基础!$AC$16:$CJ$45,MATCH($AA110,[1]角色基础!$J$16:$J$45,0),MATCH(K$2,[1]角色基础!$AC$12:$AF$12,0)+4*(INT(SUBSTITUTE(RIGHT($C110,2),"+",""))-1))</f>
        <v>7</v>
      </c>
      <c r="L110" s="87">
        <f>INDEX([1]角色基础!$AC$16:$CJ$45,MATCH($AA110,[1]角色基础!$J$16:$J$45,0),MATCH(L$2,[1]角色基础!$AC$12:$AF$12,0)+4*(INT(SUBSTITUTE(RIGHT($C110,2),"+",""))-1))</f>
        <v>7</v>
      </c>
      <c r="M110" s="85">
        <v>0</v>
      </c>
      <c r="N110" s="85">
        <v>0</v>
      </c>
      <c r="O110" s="85">
        <v>0</v>
      </c>
      <c r="P110" s="85">
        <v>0</v>
      </c>
      <c r="Q110" s="85">
        <v>2</v>
      </c>
      <c r="R110" s="88">
        <v>0</v>
      </c>
      <c r="S110" s="88">
        <v>3000</v>
      </c>
      <c r="T110" s="88">
        <v>120</v>
      </c>
      <c r="U110" s="88">
        <v>60</v>
      </c>
      <c r="V110" s="88">
        <v>60</v>
      </c>
      <c r="W110" s="89">
        <v>0</v>
      </c>
      <c r="X110" s="89">
        <v>0</v>
      </c>
      <c r="Y110" s="89">
        <v>0</v>
      </c>
      <c r="Z110" s="89">
        <v>0</v>
      </c>
      <c r="AA110" s="90" t="s">
        <v>168</v>
      </c>
    </row>
    <row r="111" spans="1:27" s="90" customFormat="1">
      <c r="A111" s="85">
        <v>4403</v>
      </c>
      <c r="B111" s="85" t="s">
        <v>42</v>
      </c>
      <c r="C111" s="85" t="s">
        <v>35</v>
      </c>
      <c r="D111" s="85">
        <v>10025</v>
      </c>
      <c r="E111" s="85">
        <v>50000</v>
      </c>
      <c r="F111" s="85" t="s">
        <v>103</v>
      </c>
      <c r="G111" s="85">
        <v>0</v>
      </c>
      <c r="H111" s="86">
        <v>0</v>
      </c>
      <c r="I111" s="87">
        <f>INDEX([1]角色基础!$AC$16:$CJ$45,MATCH($AA111,[1]角色基础!$J$16:$J$45,0),MATCH(I$2,[1]角色基础!$AC$12:$AF$12,0)+4*(INT(SUBSTITUTE(RIGHT($C111,2),"+",""))-1))</f>
        <v>469</v>
      </c>
      <c r="J111" s="87">
        <f>INDEX([1]角色基础!$AC$16:$CJ$45,MATCH($AA111,[1]角色基础!$J$16:$J$45,0),MATCH(J$2,[1]角色基础!$AC$12:$AF$12,0)+4*(INT(SUBSTITUTE(RIGHT($C111,2),"+",""))-1))</f>
        <v>19</v>
      </c>
      <c r="K111" s="87">
        <f>INDEX([1]角色基础!$AC$16:$CJ$45,MATCH($AA111,[1]角色基础!$J$16:$J$45,0),MATCH(K$2,[1]角色基础!$AC$12:$AF$12,0)+4*(INT(SUBSTITUTE(RIGHT($C111,2),"+",""))-1))</f>
        <v>10</v>
      </c>
      <c r="L111" s="87">
        <f>INDEX([1]角色基础!$AC$16:$CJ$45,MATCH($AA111,[1]角色基础!$J$16:$J$45,0),MATCH(L$2,[1]角色基础!$AC$12:$AF$12,0)+4*(INT(SUBSTITUTE(RIGHT($C111,2),"+",""))-1))</f>
        <v>10</v>
      </c>
      <c r="M111" s="85">
        <v>0</v>
      </c>
      <c r="N111" s="85">
        <v>0</v>
      </c>
      <c r="O111" s="85">
        <v>0</v>
      </c>
      <c r="P111" s="85">
        <v>0</v>
      </c>
      <c r="Q111" s="85">
        <v>3</v>
      </c>
      <c r="R111" s="88">
        <v>0</v>
      </c>
      <c r="S111" s="88">
        <v>3000</v>
      </c>
      <c r="T111" s="88">
        <v>120</v>
      </c>
      <c r="U111" s="88">
        <v>60</v>
      </c>
      <c r="V111" s="88">
        <v>60</v>
      </c>
      <c r="W111" s="89">
        <v>0</v>
      </c>
      <c r="X111" s="89">
        <v>0</v>
      </c>
      <c r="Y111" s="89">
        <v>0</v>
      </c>
      <c r="Z111" s="89">
        <v>0</v>
      </c>
      <c r="AA111" s="90" t="s">
        <v>168</v>
      </c>
    </row>
    <row r="112" spans="1:27" s="90" customFormat="1">
      <c r="A112" s="85">
        <v>4404</v>
      </c>
      <c r="B112" s="85" t="s">
        <v>43</v>
      </c>
      <c r="C112" s="85" t="s">
        <v>36</v>
      </c>
      <c r="D112" s="85">
        <v>10035</v>
      </c>
      <c r="E112" s="85">
        <v>100000</v>
      </c>
      <c r="F112" s="85" t="s">
        <v>104</v>
      </c>
      <c r="G112" s="85">
        <v>1</v>
      </c>
      <c r="H112" s="86">
        <v>0</v>
      </c>
      <c r="I112" s="87">
        <f>INDEX([1]角色基础!$AC$16:$CJ$45,MATCH($AA112,[1]角色基础!$J$16:$J$45,0),MATCH(I$2,[1]角色基础!$AC$12:$AF$12,0)+4*(INT(SUBSTITUTE(RIGHT($C112,2),"+",""))-1))</f>
        <v>625</v>
      </c>
      <c r="J112" s="87">
        <f>INDEX([1]角色基础!$AC$16:$CJ$45,MATCH($AA112,[1]角色基础!$J$16:$J$45,0),MATCH(J$2,[1]角色基础!$AC$12:$AF$12,0)+4*(INT(SUBSTITUTE(RIGHT($C112,2),"+",""))-1))</f>
        <v>25</v>
      </c>
      <c r="K112" s="87">
        <f>INDEX([1]角色基础!$AC$16:$CJ$45,MATCH($AA112,[1]角色基础!$J$16:$J$45,0),MATCH(K$2,[1]角色基础!$AC$12:$AF$12,0)+4*(INT(SUBSTITUTE(RIGHT($C112,2),"+",""))-1))</f>
        <v>13</v>
      </c>
      <c r="L112" s="87">
        <f>INDEX([1]角色基础!$AC$16:$CJ$45,MATCH($AA112,[1]角色基础!$J$16:$J$45,0),MATCH(L$2,[1]角色基础!$AC$12:$AF$12,0)+4*(INT(SUBSTITUTE(RIGHT($C112,2),"+",""))-1))</f>
        <v>13</v>
      </c>
      <c r="M112" s="85">
        <v>0</v>
      </c>
      <c r="N112" s="85">
        <v>0</v>
      </c>
      <c r="O112" s="85">
        <v>0</v>
      </c>
      <c r="P112" s="85">
        <v>0</v>
      </c>
      <c r="Q112" s="85">
        <v>4</v>
      </c>
      <c r="R112" s="88">
        <v>0</v>
      </c>
      <c r="S112" s="88">
        <v>3000</v>
      </c>
      <c r="T112" s="88">
        <v>120</v>
      </c>
      <c r="U112" s="88">
        <v>60</v>
      </c>
      <c r="V112" s="88">
        <v>60</v>
      </c>
      <c r="W112" s="89">
        <v>0</v>
      </c>
      <c r="X112" s="89">
        <v>0</v>
      </c>
      <c r="Y112" s="89">
        <v>0</v>
      </c>
      <c r="Z112" s="89">
        <v>0</v>
      </c>
      <c r="AA112" s="90" t="s">
        <v>168</v>
      </c>
    </row>
    <row r="113" spans="1:27" s="90" customFormat="1">
      <c r="A113" s="85">
        <v>4405</v>
      </c>
      <c r="B113" s="85" t="s">
        <v>44</v>
      </c>
      <c r="C113" s="85" t="s">
        <v>37</v>
      </c>
      <c r="D113" s="85">
        <v>10045</v>
      </c>
      <c r="E113" s="85">
        <v>200000</v>
      </c>
      <c r="F113" s="85" t="s">
        <v>105</v>
      </c>
      <c r="G113" s="85">
        <v>1</v>
      </c>
      <c r="H113" s="86">
        <v>0</v>
      </c>
      <c r="I113" s="87">
        <f>INDEX([1]角色基础!$AC$16:$CJ$45,MATCH($AA113,[1]角色基础!$J$16:$J$45,0),MATCH(I$2,[1]角色基础!$AC$12:$AF$12,0)+4*(INT(SUBSTITUTE(RIGHT($C113,2),"+",""))-1))</f>
        <v>781</v>
      </c>
      <c r="J113" s="87">
        <f>INDEX([1]角色基础!$AC$16:$CJ$45,MATCH($AA113,[1]角色基础!$J$16:$J$45,0),MATCH(J$2,[1]角色基础!$AC$12:$AF$12,0)+4*(INT(SUBSTITUTE(RIGHT($C113,2),"+",""))-1))</f>
        <v>31</v>
      </c>
      <c r="K113" s="87">
        <f>INDEX([1]角色基础!$AC$16:$CJ$45,MATCH($AA113,[1]角色基础!$J$16:$J$45,0),MATCH(K$2,[1]角色基础!$AC$12:$AF$12,0)+4*(INT(SUBSTITUTE(RIGHT($C113,2),"+",""))-1))</f>
        <v>16</v>
      </c>
      <c r="L113" s="87">
        <f>INDEX([1]角色基础!$AC$16:$CJ$45,MATCH($AA113,[1]角色基础!$J$16:$J$45,0),MATCH(L$2,[1]角色基础!$AC$12:$AF$12,0)+4*(INT(SUBSTITUTE(RIGHT($C113,2),"+",""))-1))</f>
        <v>16</v>
      </c>
      <c r="M113" s="85">
        <v>0</v>
      </c>
      <c r="N113" s="85">
        <v>0</v>
      </c>
      <c r="O113" s="85">
        <v>0</v>
      </c>
      <c r="P113" s="85">
        <v>0</v>
      </c>
      <c r="Q113" s="85">
        <v>5</v>
      </c>
      <c r="R113" s="88">
        <v>0</v>
      </c>
      <c r="S113" s="88">
        <v>3000</v>
      </c>
      <c r="T113" s="88">
        <v>120</v>
      </c>
      <c r="U113" s="88">
        <v>60</v>
      </c>
      <c r="V113" s="88">
        <v>60</v>
      </c>
      <c r="W113" s="89">
        <v>0</v>
      </c>
      <c r="X113" s="89">
        <v>0</v>
      </c>
      <c r="Y113" s="89">
        <v>0</v>
      </c>
      <c r="Z113" s="89">
        <v>0</v>
      </c>
      <c r="AA113" s="90" t="s">
        <v>168</v>
      </c>
    </row>
    <row r="114" spans="1:27" s="90" customFormat="1">
      <c r="A114" s="85">
        <v>4406</v>
      </c>
      <c r="B114" s="85" t="s">
        <v>45</v>
      </c>
      <c r="C114" s="85" t="s">
        <v>38</v>
      </c>
      <c r="D114" s="85">
        <v>10055</v>
      </c>
      <c r="E114" s="85">
        <v>300000</v>
      </c>
      <c r="F114" s="85" t="s">
        <v>106</v>
      </c>
      <c r="G114" s="85">
        <v>2</v>
      </c>
      <c r="H114" s="86">
        <v>0</v>
      </c>
      <c r="I114" s="87">
        <f>INDEX([1]角色基础!$AC$16:$CJ$45,MATCH($AA114,[1]角色基础!$J$16:$J$45,0),MATCH(I$2,[1]角色基础!$AC$12:$AF$12,0)+4*(INT(SUBSTITUTE(RIGHT($C114,2),"+",""))-1))</f>
        <v>938</v>
      </c>
      <c r="J114" s="87">
        <f>INDEX([1]角色基础!$AC$16:$CJ$45,MATCH($AA114,[1]角色基础!$J$16:$J$45,0),MATCH(J$2,[1]角色基础!$AC$12:$AF$12,0)+4*(INT(SUBSTITUTE(RIGHT($C114,2),"+",""))-1))</f>
        <v>38</v>
      </c>
      <c r="K114" s="87">
        <f>INDEX([1]角色基础!$AC$16:$CJ$45,MATCH($AA114,[1]角色基础!$J$16:$J$45,0),MATCH(K$2,[1]角色基础!$AC$12:$AF$12,0)+4*(INT(SUBSTITUTE(RIGHT($C114,2),"+",""))-1))</f>
        <v>20</v>
      </c>
      <c r="L114" s="87">
        <f>INDEX([1]角色基础!$AC$16:$CJ$45,MATCH($AA114,[1]角色基础!$J$16:$J$45,0),MATCH(L$2,[1]角色基础!$AC$12:$AF$12,0)+4*(INT(SUBSTITUTE(RIGHT($C114,2),"+",""))-1))</f>
        <v>20</v>
      </c>
      <c r="M114" s="85">
        <v>0</v>
      </c>
      <c r="N114" s="85">
        <v>0</v>
      </c>
      <c r="O114" s="85">
        <v>0</v>
      </c>
      <c r="P114" s="85">
        <v>0</v>
      </c>
      <c r="Q114" s="85">
        <v>6</v>
      </c>
      <c r="R114" s="88">
        <v>0</v>
      </c>
      <c r="S114" s="88">
        <v>3000</v>
      </c>
      <c r="T114" s="88">
        <v>120</v>
      </c>
      <c r="U114" s="88">
        <v>60</v>
      </c>
      <c r="V114" s="88">
        <v>60</v>
      </c>
      <c r="W114" s="89">
        <v>0</v>
      </c>
      <c r="X114" s="89">
        <v>0</v>
      </c>
      <c r="Y114" s="89">
        <v>0</v>
      </c>
      <c r="Z114" s="89">
        <v>0</v>
      </c>
      <c r="AA114" s="90" t="s">
        <v>168</v>
      </c>
    </row>
    <row r="115" spans="1:27" s="90" customFormat="1">
      <c r="A115" s="85">
        <v>4407</v>
      </c>
      <c r="B115" s="85" t="s">
        <v>46</v>
      </c>
      <c r="C115" s="85" t="s">
        <v>39</v>
      </c>
      <c r="D115" s="85">
        <v>10065</v>
      </c>
      <c r="E115" s="85">
        <v>500000</v>
      </c>
      <c r="F115" s="85" t="s">
        <v>107</v>
      </c>
      <c r="G115" s="85">
        <v>2</v>
      </c>
      <c r="H115" s="86">
        <v>0</v>
      </c>
      <c r="I115" s="87">
        <f>INDEX([1]角色基础!$AC$16:$CJ$45,MATCH($AA115,[1]角色基础!$J$16:$J$45,0),MATCH(I$2,[1]角色基础!$AC$12:$AF$12,0)+4*(INT(SUBSTITUTE(RIGHT($C115,2),"+",""))-1))</f>
        <v>1094</v>
      </c>
      <c r="J115" s="87">
        <f>INDEX([1]角色基础!$AC$16:$CJ$45,MATCH($AA115,[1]角色基础!$J$16:$J$45,0),MATCH(J$2,[1]角色基础!$AC$12:$AF$12,0)+4*(INT(SUBSTITUTE(RIGHT($C115,2),"+",""))-1))</f>
        <v>44</v>
      </c>
      <c r="K115" s="87">
        <f>INDEX([1]角色基础!$AC$16:$CJ$45,MATCH($AA115,[1]角色基础!$J$16:$J$45,0),MATCH(K$2,[1]角色基础!$AC$12:$AF$12,0)+4*(INT(SUBSTITUTE(RIGHT($C115,2),"+",""))-1))</f>
        <v>23</v>
      </c>
      <c r="L115" s="87">
        <f>INDEX([1]角色基础!$AC$16:$CJ$45,MATCH($AA115,[1]角色基础!$J$16:$J$45,0),MATCH(L$2,[1]角色基础!$AC$12:$AF$12,0)+4*(INT(SUBSTITUTE(RIGHT($C115,2),"+",""))-1))</f>
        <v>23</v>
      </c>
      <c r="M115" s="85">
        <v>0</v>
      </c>
      <c r="N115" s="85">
        <v>0</v>
      </c>
      <c r="O115" s="85">
        <v>0</v>
      </c>
      <c r="P115" s="85">
        <v>0</v>
      </c>
      <c r="Q115" s="85">
        <v>7</v>
      </c>
      <c r="R115" s="88">
        <v>0</v>
      </c>
      <c r="S115" s="88">
        <v>3000</v>
      </c>
      <c r="T115" s="88">
        <v>120</v>
      </c>
      <c r="U115" s="88">
        <v>60</v>
      </c>
      <c r="V115" s="88">
        <v>60</v>
      </c>
      <c r="W115" s="89">
        <v>0</v>
      </c>
      <c r="X115" s="89">
        <v>0</v>
      </c>
      <c r="Y115" s="89">
        <v>0</v>
      </c>
      <c r="Z115" s="89">
        <v>0</v>
      </c>
      <c r="AA115" s="90" t="s">
        <v>168</v>
      </c>
    </row>
    <row r="116" spans="1:27" s="90" customFormat="1">
      <c r="A116" s="85">
        <v>4408</v>
      </c>
      <c r="B116" s="85" t="s">
        <v>47</v>
      </c>
      <c r="C116" s="85" t="s">
        <v>40</v>
      </c>
      <c r="D116" s="85">
        <v>10075</v>
      </c>
      <c r="E116" s="85">
        <v>800000</v>
      </c>
      <c r="F116" s="85" t="s">
        <v>108</v>
      </c>
      <c r="G116" s="85">
        <v>4</v>
      </c>
      <c r="H116" s="86">
        <v>0</v>
      </c>
      <c r="I116" s="87">
        <f>INDEX([1]角色基础!$AC$16:$CJ$45,MATCH($AA116,[1]角色基础!$J$16:$J$45,0),MATCH(I$2,[1]角色基础!$AC$12:$AF$12,0)+4*(INT(SUBSTITUTE(RIGHT($C116,2),"+",""))-1))</f>
        <v>1250</v>
      </c>
      <c r="J116" s="87">
        <f>INDEX([1]角色基础!$AC$16:$CJ$45,MATCH($AA116,[1]角色基础!$J$16:$J$45,0),MATCH(J$2,[1]角色基础!$AC$12:$AF$12,0)+4*(INT(SUBSTITUTE(RIGHT($C116,2),"+",""))-1))</f>
        <v>50</v>
      </c>
      <c r="K116" s="87">
        <f>INDEX([1]角色基础!$AC$16:$CJ$45,MATCH($AA116,[1]角色基础!$J$16:$J$45,0),MATCH(K$2,[1]角色基础!$AC$12:$AF$12,0)+4*(INT(SUBSTITUTE(RIGHT($C116,2),"+",""))-1))</f>
        <v>26</v>
      </c>
      <c r="L116" s="87">
        <f>INDEX([1]角色基础!$AC$16:$CJ$45,MATCH($AA116,[1]角色基础!$J$16:$J$45,0),MATCH(L$2,[1]角色基础!$AC$12:$AF$12,0)+4*(INT(SUBSTITUTE(RIGHT($C116,2),"+",""))-1))</f>
        <v>26</v>
      </c>
      <c r="M116" s="85">
        <v>0</v>
      </c>
      <c r="N116" s="85">
        <v>0</v>
      </c>
      <c r="O116" s="85">
        <v>0</v>
      </c>
      <c r="P116" s="85">
        <v>0</v>
      </c>
      <c r="Q116" s="85">
        <v>8</v>
      </c>
      <c r="R116" s="88">
        <v>0</v>
      </c>
      <c r="S116" s="88">
        <v>3000</v>
      </c>
      <c r="T116" s="88">
        <v>120</v>
      </c>
      <c r="U116" s="88">
        <v>60</v>
      </c>
      <c r="V116" s="88">
        <v>60</v>
      </c>
      <c r="W116" s="89">
        <v>0</v>
      </c>
      <c r="X116" s="89">
        <v>0</v>
      </c>
      <c r="Y116" s="89">
        <v>0</v>
      </c>
      <c r="Z116" s="89">
        <v>0</v>
      </c>
      <c r="AA116" s="90" t="s">
        <v>168</v>
      </c>
    </row>
    <row r="117" spans="1:27" s="90" customFormat="1">
      <c r="A117" s="85">
        <v>4409</v>
      </c>
      <c r="B117" s="85" t="s">
        <v>69</v>
      </c>
      <c r="C117" s="85" t="s">
        <v>32</v>
      </c>
      <c r="D117" s="85">
        <v>10085</v>
      </c>
      <c r="E117" s="85">
        <v>1200000</v>
      </c>
      <c r="F117" s="85" t="s">
        <v>109</v>
      </c>
      <c r="G117" s="85">
        <v>6</v>
      </c>
      <c r="H117" s="86">
        <v>0</v>
      </c>
      <c r="I117" s="87">
        <f>INDEX([1]角色基础!$AC$16:$CJ$45,MATCH($AA117,[1]角色基础!$J$16:$J$45,0),MATCH(I$2,[1]角色基础!$AC$12:$AF$12,0)+4*(INT(SUBSTITUTE(RIGHT($C117,2),"+",""))-1))</f>
        <v>1406</v>
      </c>
      <c r="J117" s="87">
        <f>INDEX([1]角色基础!$AC$16:$CJ$45,MATCH($AA117,[1]角色基础!$J$16:$J$45,0),MATCH(J$2,[1]角色基础!$AC$12:$AF$12,0)+4*(INT(SUBSTITUTE(RIGHT($C117,2),"+",""))-1))</f>
        <v>56</v>
      </c>
      <c r="K117" s="87">
        <f>INDEX([1]角色基础!$AC$16:$CJ$45,MATCH($AA117,[1]角色基础!$J$16:$J$45,0),MATCH(K$2,[1]角色基础!$AC$12:$AF$12,0)+4*(INT(SUBSTITUTE(RIGHT($C117,2),"+",""))-1))</f>
        <v>29</v>
      </c>
      <c r="L117" s="87">
        <f>INDEX([1]角色基础!$AC$16:$CJ$45,MATCH($AA117,[1]角色基础!$J$16:$J$45,0),MATCH(L$2,[1]角色基础!$AC$12:$AF$12,0)+4*(INT(SUBSTITUTE(RIGHT($C117,2),"+",""))-1))</f>
        <v>29</v>
      </c>
      <c r="M117" s="85">
        <v>0</v>
      </c>
      <c r="N117" s="85">
        <v>0</v>
      </c>
      <c r="O117" s="85">
        <v>0</v>
      </c>
      <c r="P117" s="85">
        <v>0</v>
      </c>
      <c r="Q117" s="85">
        <v>9</v>
      </c>
      <c r="R117" s="88">
        <v>0</v>
      </c>
      <c r="S117" s="88">
        <v>3000</v>
      </c>
      <c r="T117" s="88">
        <v>120</v>
      </c>
      <c r="U117" s="88">
        <v>60</v>
      </c>
      <c r="V117" s="88">
        <v>60</v>
      </c>
      <c r="W117" s="89">
        <v>0</v>
      </c>
      <c r="X117" s="89">
        <v>0</v>
      </c>
      <c r="Y117" s="89">
        <v>0</v>
      </c>
      <c r="Z117" s="89">
        <v>0</v>
      </c>
      <c r="AA117" s="90" t="s">
        <v>168</v>
      </c>
    </row>
    <row r="118" spans="1:27" s="90" customFormat="1">
      <c r="A118" s="85">
        <v>4410</v>
      </c>
      <c r="B118" s="85" t="s">
        <v>71</v>
      </c>
      <c r="C118" s="85" t="s">
        <v>31</v>
      </c>
      <c r="D118" s="85">
        <v>10095</v>
      </c>
      <c r="E118" s="85">
        <v>1600000</v>
      </c>
      <c r="F118" s="85" t="s">
        <v>110</v>
      </c>
      <c r="G118" s="85">
        <v>8</v>
      </c>
      <c r="H118" s="86">
        <v>0</v>
      </c>
      <c r="I118" s="87">
        <f>INDEX([1]角色基础!$AC$16:$CJ$45,MATCH($AA118,[1]角色基础!$J$16:$J$45,0),MATCH(I$2,[1]角色基础!$AC$12:$AF$12,0)+4*(INT(SUBSTITUTE(RIGHT($C118,2),"+",""))-1))</f>
        <v>1563</v>
      </c>
      <c r="J118" s="87">
        <f>INDEX([1]角色基础!$AC$16:$CJ$45,MATCH($AA118,[1]角色基础!$J$16:$J$45,0),MATCH(J$2,[1]角色基础!$AC$12:$AF$12,0)+4*(INT(SUBSTITUTE(RIGHT($C118,2),"+",""))-1))</f>
        <v>63</v>
      </c>
      <c r="K118" s="87">
        <f>INDEX([1]角色基础!$AC$16:$CJ$45,MATCH($AA118,[1]角色基础!$J$16:$J$45,0),MATCH(K$2,[1]角色基础!$AC$12:$AF$12,0)+4*(INT(SUBSTITUTE(RIGHT($C118,2),"+",""))-1))</f>
        <v>33</v>
      </c>
      <c r="L118" s="87">
        <f>INDEX([1]角色基础!$AC$16:$CJ$45,MATCH($AA118,[1]角色基础!$J$16:$J$45,0),MATCH(L$2,[1]角色基础!$AC$12:$AF$12,0)+4*(INT(SUBSTITUTE(RIGHT($C118,2),"+",""))-1))</f>
        <v>33</v>
      </c>
      <c r="M118" s="85">
        <v>0</v>
      </c>
      <c r="N118" s="85">
        <v>0</v>
      </c>
      <c r="O118" s="85">
        <v>0</v>
      </c>
      <c r="P118" s="85">
        <v>0</v>
      </c>
      <c r="Q118" s="85">
        <v>10</v>
      </c>
      <c r="R118" s="88">
        <v>0</v>
      </c>
      <c r="S118" s="88">
        <v>3000</v>
      </c>
      <c r="T118" s="88">
        <v>120</v>
      </c>
      <c r="U118" s="88">
        <v>60</v>
      </c>
      <c r="V118" s="88">
        <v>60</v>
      </c>
      <c r="W118" s="89">
        <v>0</v>
      </c>
      <c r="X118" s="89">
        <v>0</v>
      </c>
      <c r="Y118" s="89">
        <v>0</v>
      </c>
      <c r="Z118" s="89">
        <v>0</v>
      </c>
      <c r="AA118" s="90" t="s">
        <v>168</v>
      </c>
    </row>
    <row r="119" spans="1:27" s="90" customFormat="1">
      <c r="A119" s="85">
        <v>4411</v>
      </c>
      <c r="B119" s="85" t="s">
        <v>73</v>
      </c>
      <c r="C119" s="85" t="s">
        <v>74</v>
      </c>
      <c r="D119" s="85">
        <v>10105</v>
      </c>
      <c r="E119" s="85">
        <v>2000000</v>
      </c>
      <c r="F119" s="85" t="s">
        <v>90</v>
      </c>
      <c r="G119" s="85">
        <v>10</v>
      </c>
      <c r="H119" s="86">
        <v>0</v>
      </c>
      <c r="I119" s="87">
        <f>INDEX([1]角色基础!$AC$16:$CJ$45,MATCH($AA119,[1]角色基础!$J$16:$J$45,0),MATCH(I$2,[1]角色基础!$AC$12:$AF$12,0)+4*(INT(SUBSTITUTE(RIGHT($C119,2),"+",""))-1))</f>
        <v>1719</v>
      </c>
      <c r="J119" s="87">
        <f>INDEX([1]角色基础!$AC$16:$CJ$45,MATCH($AA119,[1]角色基础!$J$16:$J$45,0),MATCH(J$2,[1]角色基础!$AC$12:$AF$12,0)+4*(INT(SUBSTITUTE(RIGHT($C119,2),"+",""))-1))</f>
        <v>69</v>
      </c>
      <c r="K119" s="87">
        <f>INDEX([1]角色基础!$AC$16:$CJ$45,MATCH($AA119,[1]角色基础!$J$16:$J$45,0),MATCH(K$2,[1]角色基础!$AC$12:$AF$12,0)+4*(INT(SUBSTITUTE(RIGHT($C119,2),"+",""))-1))</f>
        <v>36</v>
      </c>
      <c r="L119" s="87">
        <f>INDEX([1]角色基础!$AC$16:$CJ$45,MATCH($AA119,[1]角色基础!$J$16:$J$45,0),MATCH(L$2,[1]角色基础!$AC$12:$AF$12,0)+4*(INT(SUBSTITUTE(RIGHT($C119,2),"+",""))-1))</f>
        <v>36</v>
      </c>
      <c r="M119" s="85">
        <v>0</v>
      </c>
      <c r="N119" s="85">
        <v>0</v>
      </c>
      <c r="O119" s="85">
        <v>0</v>
      </c>
      <c r="P119" s="85">
        <v>0</v>
      </c>
      <c r="Q119" s="85">
        <v>11</v>
      </c>
      <c r="R119" s="88">
        <v>0</v>
      </c>
      <c r="S119" s="88">
        <v>3000</v>
      </c>
      <c r="T119" s="88">
        <v>120</v>
      </c>
      <c r="U119" s="88">
        <v>60</v>
      </c>
      <c r="V119" s="88">
        <v>60</v>
      </c>
      <c r="W119" s="89">
        <v>0</v>
      </c>
      <c r="X119" s="89">
        <v>0</v>
      </c>
      <c r="Y119" s="89">
        <v>0</v>
      </c>
      <c r="Z119" s="89">
        <v>0</v>
      </c>
      <c r="AA119" s="90" t="s">
        <v>168</v>
      </c>
    </row>
    <row r="120" spans="1:27" s="90" customFormat="1">
      <c r="A120" s="85">
        <v>4412</v>
      </c>
      <c r="B120" s="85" t="s">
        <v>75</v>
      </c>
      <c r="C120" s="85" t="s">
        <v>76</v>
      </c>
      <c r="D120" s="85">
        <v>10115</v>
      </c>
      <c r="E120" s="85">
        <v>2500000</v>
      </c>
      <c r="F120" s="85" t="s">
        <v>111</v>
      </c>
      <c r="G120" s="85">
        <v>12</v>
      </c>
      <c r="H120" s="86">
        <v>0</v>
      </c>
      <c r="I120" s="87">
        <f>INDEX([1]角色基础!$AC$16:$CJ$45,MATCH($AA120,[1]角色基础!$J$16:$J$45,0),MATCH(I$2,[1]角色基础!$AC$12:$AF$12,0)+4*(INT(SUBSTITUTE(RIGHT($C120,2),"+",""))-1))</f>
        <v>1875</v>
      </c>
      <c r="J120" s="87">
        <f>INDEX([1]角色基础!$AC$16:$CJ$45,MATCH($AA120,[1]角色基础!$J$16:$J$45,0),MATCH(J$2,[1]角色基础!$AC$12:$AF$12,0)+4*(INT(SUBSTITUTE(RIGHT($C120,2),"+",""))-1))</f>
        <v>75</v>
      </c>
      <c r="K120" s="87">
        <f>INDEX([1]角色基础!$AC$16:$CJ$45,MATCH($AA120,[1]角色基础!$J$16:$J$45,0),MATCH(K$2,[1]角色基础!$AC$12:$AF$12,0)+4*(INT(SUBSTITUTE(RIGHT($C120,2),"+",""))-1))</f>
        <v>39</v>
      </c>
      <c r="L120" s="87">
        <f>INDEX([1]角色基础!$AC$16:$CJ$45,MATCH($AA120,[1]角色基础!$J$16:$J$45,0),MATCH(L$2,[1]角色基础!$AC$12:$AF$12,0)+4*(INT(SUBSTITUTE(RIGHT($C120,2),"+",""))-1))</f>
        <v>39</v>
      </c>
      <c r="M120" s="85">
        <v>0</v>
      </c>
      <c r="N120" s="85">
        <v>0</v>
      </c>
      <c r="O120" s="85">
        <v>0</v>
      </c>
      <c r="P120" s="85">
        <v>0</v>
      </c>
      <c r="Q120" s="85">
        <v>12</v>
      </c>
      <c r="R120" s="88">
        <v>0</v>
      </c>
      <c r="S120" s="88">
        <v>3000</v>
      </c>
      <c r="T120" s="88">
        <v>120</v>
      </c>
      <c r="U120" s="88">
        <v>60</v>
      </c>
      <c r="V120" s="88">
        <v>60</v>
      </c>
      <c r="W120" s="89">
        <v>0</v>
      </c>
      <c r="X120" s="89">
        <v>0</v>
      </c>
      <c r="Y120" s="89">
        <v>0</v>
      </c>
      <c r="Z120" s="89">
        <v>0</v>
      </c>
      <c r="AA120" s="90" t="s">
        <v>168</v>
      </c>
    </row>
    <row r="121" spans="1:27" s="90" customFormat="1">
      <c r="A121" s="85">
        <v>4413</v>
      </c>
      <c r="B121" s="85" t="s">
        <v>182</v>
      </c>
      <c r="C121" s="85" t="s">
        <v>183</v>
      </c>
      <c r="D121" s="85">
        <v>10125</v>
      </c>
      <c r="E121" s="85">
        <v>3000000</v>
      </c>
      <c r="F121" s="85" t="s">
        <v>114</v>
      </c>
      <c r="G121" s="85">
        <v>14</v>
      </c>
      <c r="H121" s="86">
        <v>0</v>
      </c>
      <c r="I121" s="87">
        <f>INDEX([1]角色基础!$AC$16:$CJ$45,MATCH($AA121,[1]角色基础!$J$16:$J$45,0),MATCH(I$2,[1]角色基础!$AC$12:$AF$12,0)+4*(INT(SUBSTITUTE(RIGHT($C121,2),"+",""))-1))</f>
        <v>2031</v>
      </c>
      <c r="J121" s="87">
        <f>INDEX([1]角色基础!$AC$16:$CJ$45,MATCH($AA121,[1]角色基础!$J$16:$J$45,0),MATCH(J$2,[1]角色基础!$AC$12:$AF$12,0)+4*(INT(SUBSTITUTE(RIGHT($C121,2),"+",""))-1))</f>
        <v>81</v>
      </c>
      <c r="K121" s="87">
        <f>INDEX([1]角色基础!$AC$16:$CJ$45,MATCH($AA121,[1]角色基础!$J$16:$J$45,0),MATCH(K$2,[1]角色基础!$AC$12:$AF$12,0)+4*(INT(SUBSTITUTE(RIGHT($C121,2),"+",""))-1))</f>
        <v>42</v>
      </c>
      <c r="L121" s="87">
        <f>INDEX([1]角色基础!$AC$16:$CJ$45,MATCH($AA121,[1]角色基础!$J$16:$J$45,0),MATCH(L$2,[1]角色基础!$AC$12:$AF$12,0)+4*(INT(SUBSTITUTE(RIGHT($C121,2),"+",""))-1))</f>
        <v>42</v>
      </c>
      <c r="M121" s="85">
        <v>0</v>
      </c>
      <c r="N121" s="85">
        <v>0</v>
      </c>
      <c r="O121" s="85">
        <v>0</v>
      </c>
      <c r="P121" s="85">
        <v>0</v>
      </c>
      <c r="Q121" s="85">
        <v>13</v>
      </c>
      <c r="R121" s="88">
        <v>0</v>
      </c>
      <c r="S121" s="88">
        <v>3000</v>
      </c>
      <c r="T121" s="88">
        <v>120</v>
      </c>
      <c r="U121" s="88">
        <v>60</v>
      </c>
      <c r="V121" s="88">
        <v>60</v>
      </c>
      <c r="W121" s="89">
        <v>0</v>
      </c>
      <c r="X121" s="89">
        <v>0</v>
      </c>
      <c r="Y121" s="89">
        <v>0</v>
      </c>
      <c r="Z121" s="89">
        <v>0</v>
      </c>
      <c r="AA121" s="90" t="s">
        <v>168</v>
      </c>
    </row>
    <row r="122" spans="1:27" s="90" customFormat="1">
      <c r="A122" s="85">
        <v>4414</v>
      </c>
      <c r="B122" s="85" t="s">
        <v>184</v>
      </c>
      <c r="C122" s="85" t="s">
        <v>185</v>
      </c>
      <c r="D122" s="85">
        <v>10135</v>
      </c>
      <c r="E122" s="85">
        <v>4000000</v>
      </c>
      <c r="F122" s="85" t="s">
        <v>197</v>
      </c>
      <c r="G122" s="85">
        <v>16</v>
      </c>
      <c r="H122" s="86">
        <v>0</v>
      </c>
      <c r="I122" s="87">
        <f>INDEX([1]角色基础!$AC$16:$CJ$45,MATCH($AA122,[1]角色基础!$J$16:$J$45,0),MATCH(I$2,[1]角色基础!$AC$12:$AF$12,0)+4*(INT(SUBSTITUTE(RIGHT($C122,2),"+",""))-1))</f>
        <v>2188</v>
      </c>
      <c r="J122" s="87">
        <f>INDEX([1]角色基础!$AC$16:$CJ$45,MATCH($AA122,[1]角色基础!$J$16:$J$45,0),MATCH(J$2,[1]角色基础!$AC$12:$AF$12,0)+4*(INT(SUBSTITUTE(RIGHT($C122,2),"+",""))-1))</f>
        <v>88</v>
      </c>
      <c r="K122" s="87">
        <f>INDEX([1]角色基础!$AC$16:$CJ$45,MATCH($AA122,[1]角色基础!$J$16:$J$45,0),MATCH(K$2,[1]角色基础!$AC$12:$AF$12,0)+4*(INT(SUBSTITUTE(RIGHT($C122,2),"+",""))-1))</f>
        <v>46</v>
      </c>
      <c r="L122" s="87">
        <f>INDEX([1]角色基础!$AC$16:$CJ$45,MATCH($AA122,[1]角色基础!$J$16:$J$45,0),MATCH(L$2,[1]角色基础!$AC$12:$AF$12,0)+4*(INT(SUBSTITUTE(RIGHT($C122,2),"+",""))-1))</f>
        <v>46</v>
      </c>
      <c r="M122" s="85">
        <v>0</v>
      </c>
      <c r="N122" s="85">
        <v>0</v>
      </c>
      <c r="O122" s="85">
        <v>0</v>
      </c>
      <c r="P122" s="85">
        <v>0</v>
      </c>
      <c r="Q122" s="85">
        <v>14</v>
      </c>
      <c r="R122" s="88">
        <v>0</v>
      </c>
      <c r="S122" s="88">
        <v>3000</v>
      </c>
      <c r="T122" s="88">
        <v>120</v>
      </c>
      <c r="U122" s="88">
        <v>60</v>
      </c>
      <c r="V122" s="88">
        <v>60</v>
      </c>
      <c r="W122" s="89">
        <v>0</v>
      </c>
      <c r="X122" s="89">
        <v>0</v>
      </c>
      <c r="Y122" s="89">
        <v>0</v>
      </c>
      <c r="Z122" s="89">
        <v>0</v>
      </c>
      <c r="AA122" s="90" t="s">
        <v>168</v>
      </c>
    </row>
    <row r="123" spans="1:27" s="90" customFormat="1">
      <c r="A123" s="85">
        <v>4415</v>
      </c>
      <c r="B123" s="85" t="s">
        <v>186</v>
      </c>
      <c r="C123" s="85" t="s">
        <v>187</v>
      </c>
      <c r="D123" s="85">
        <v>10145</v>
      </c>
      <c r="E123" s="85">
        <v>5000000</v>
      </c>
      <c r="F123" s="85" t="s">
        <v>195</v>
      </c>
      <c r="G123" s="85">
        <v>20</v>
      </c>
      <c r="H123" s="86">
        <v>0</v>
      </c>
      <c r="I123" s="87">
        <f>INDEX([1]角色基础!$AC$16:$CJ$45,MATCH($AA123,[1]角色基础!$J$16:$J$45,0),MATCH(I$2,[1]角色基础!$AC$12:$AF$12,0)+4*(INT(SUBSTITUTE(RIGHT($C123,2),"+",""))-1))</f>
        <v>2344</v>
      </c>
      <c r="J123" s="87">
        <f>INDEX([1]角色基础!$AC$16:$CJ$45,MATCH($AA123,[1]角色基础!$J$16:$J$45,0),MATCH(J$2,[1]角色基础!$AC$12:$AF$12,0)+4*(INT(SUBSTITUTE(RIGHT($C123,2),"+",""))-1))</f>
        <v>94</v>
      </c>
      <c r="K123" s="87">
        <f>INDEX([1]角色基础!$AC$16:$CJ$45,MATCH($AA123,[1]角色基础!$J$16:$J$45,0),MATCH(K$2,[1]角色基础!$AC$12:$AF$12,0)+4*(INT(SUBSTITUTE(RIGHT($C123,2),"+",""))-1))</f>
        <v>49</v>
      </c>
      <c r="L123" s="87">
        <f>INDEX([1]角色基础!$AC$16:$CJ$45,MATCH($AA123,[1]角色基础!$J$16:$J$45,0),MATCH(L$2,[1]角色基础!$AC$12:$AF$12,0)+4*(INT(SUBSTITUTE(RIGHT($C123,2),"+",""))-1))</f>
        <v>49</v>
      </c>
      <c r="M123" s="85">
        <v>0</v>
      </c>
      <c r="N123" s="85">
        <v>0</v>
      </c>
      <c r="O123" s="85">
        <v>0</v>
      </c>
      <c r="P123" s="85">
        <v>0</v>
      </c>
      <c r="Q123" s="85">
        <v>15</v>
      </c>
      <c r="R123" s="88">
        <v>0</v>
      </c>
      <c r="S123" s="88">
        <v>3000</v>
      </c>
      <c r="T123" s="88">
        <v>120</v>
      </c>
      <c r="U123" s="88">
        <v>60</v>
      </c>
      <c r="V123" s="88">
        <v>60</v>
      </c>
      <c r="W123" s="89">
        <v>0</v>
      </c>
      <c r="X123" s="89">
        <v>0</v>
      </c>
      <c r="Y123" s="89">
        <v>0</v>
      </c>
      <c r="Z123" s="89">
        <v>0</v>
      </c>
      <c r="AA123" s="90" t="s">
        <v>168</v>
      </c>
    </row>
    <row r="124" spans="1:27" s="71" customFormat="1">
      <c r="A124" s="66">
        <v>4501</v>
      </c>
      <c r="B124" s="66" t="s">
        <v>121</v>
      </c>
      <c r="C124" s="66" t="s">
        <v>33</v>
      </c>
      <c r="D124" s="66">
        <v>10001</v>
      </c>
      <c r="E124" s="66">
        <v>5000</v>
      </c>
      <c r="F124" s="66" t="s">
        <v>101</v>
      </c>
      <c r="G124" s="66">
        <v>0</v>
      </c>
      <c r="H124" s="67">
        <v>0</v>
      </c>
      <c r="I124" s="68">
        <f>INDEX([1]角色基础!$AC$16:$CJ$45,MATCH($AA124,[1]角色基础!$J$16:$J$45,0),MATCH(I$2,[1]角色基础!$AC$12:$AF$12,0)+4*(INT(SUBSTITUTE(RIGHT($C124,2),"+",""))-1))</f>
        <v>156</v>
      </c>
      <c r="J124" s="68">
        <f>INDEX([1]角色基础!$AC$16:$CJ$45,MATCH($AA124,[1]角色基础!$J$16:$J$45,0),MATCH(J$2,[1]角色基础!$AC$12:$AF$12,0)+4*(INT(SUBSTITUTE(RIGHT($C124,2),"+",""))-1))</f>
        <v>6</v>
      </c>
      <c r="K124" s="68">
        <f>INDEX([1]角色基础!$AC$16:$CJ$45,MATCH($AA124,[1]角色基础!$J$16:$J$45,0),MATCH(K$2,[1]角色基础!$AC$12:$AF$12,0)+4*(INT(SUBSTITUTE(RIGHT($C124,2),"+",""))-1))</f>
        <v>3</v>
      </c>
      <c r="L124" s="68">
        <f>INDEX([1]角色基础!$AC$16:$CJ$45,MATCH($AA124,[1]角色基础!$J$16:$J$45,0),MATCH(L$2,[1]角色基础!$AC$12:$AF$12,0)+4*(INT(SUBSTITUTE(RIGHT($C124,2),"+",""))-1))</f>
        <v>3</v>
      </c>
      <c r="M124" s="66">
        <v>0</v>
      </c>
      <c r="N124" s="66">
        <v>0</v>
      </c>
      <c r="O124" s="66">
        <v>0</v>
      </c>
      <c r="P124" s="66">
        <v>0</v>
      </c>
      <c r="Q124" s="66">
        <v>1</v>
      </c>
      <c r="R124" s="69">
        <v>0</v>
      </c>
      <c r="S124" s="69">
        <v>3000</v>
      </c>
      <c r="T124" s="69">
        <v>120</v>
      </c>
      <c r="U124" s="69">
        <v>60</v>
      </c>
      <c r="V124" s="69">
        <v>60</v>
      </c>
      <c r="W124" s="70">
        <v>0</v>
      </c>
      <c r="X124" s="70">
        <v>0</v>
      </c>
      <c r="Y124" s="70">
        <v>0</v>
      </c>
      <c r="Z124" s="70">
        <v>0</v>
      </c>
      <c r="AA124" s="71" t="s">
        <v>170</v>
      </c>
    </row>
    <row r="125" spans="1:27" s="71" customFormat="1">
      <c r="A125" s="66">
        <v>4502</v>
      </c>
      <c r="B125" s="66" t="s">
        <v>41</v>
      </c>
      <c r="C125" s="66" t="s">
        <v>34</v>
      </c>
      <c r="D125" s="66">
        <v>10015</v>
      </c>
      <c r="E125" s="66">
        <v>20000</v>
      </c>
      <c r="F125" s="66" t="s">
        <v>102</v>
      </c>
      <c r="G125" s="66">
        <v>0</v>
      </c>
      <c r="H125" s="67">
        <v>0</v>
      </c>
      <c r="I125" s="68">
        <f>INDEX([1]角色基础!$AC$16:$CJ$45,MATCH($AA125,[1]角色基础!$J$16:$J$45,0),MATCH(I$2,[1]角色基础!$AC$12:$AF$12,0)+4*(INT(SUBSTITUTE(RIGHT($C125,2),"+",""))-1))</f>
        <v>313</v>
      </c>
      <c r="J125" s="68">
        <f>INDEX([1]角色基础!$AC$16:$CJ$45,MATCH($AA125,[1]角色基础!$J$16:$J$45,0),MATCH(J$2,[1]角色基础!$AC$12:$AF$12,0)+4*(INT(SUBSTITUTE(RIGHT($C125,2),"+",""))-1))</f>
        <v>13</v>
      </c>
      <c r="K125" s="68">
        <f>INDEX([1]角色基础!$AC$16:$CJ$45,MATCH($AA125,[1]角色基础!$J$16:$J$45,0),MATCH(K$2,[1]角色基础!$AC$12:$AF$12,0)+4*(INT(SUBSTITUTE(RIGHT($C125,2),"+",""))-1))</f>
        <v>7</v>
      </c>
      <c r="L125" s="68">
        <f>INDEX([1]角色基础!$AC$16:$CJ$45,MATCH($AA125,[1]角色基础!$J$16:$J$45,0),MATCH(L$2,[1]角色基础!$AC$12:$AF$12,0)+4*(INT(SUBSTITUTE(RIGHT($C125,2),"+",""))-1))</f>
        <v>7</v>
      </c>
      <c r="M125" s="66">
        <v>0</v>
      </c>
      <c r="N125" s="66">
        <v>0</v>
      </c>
      <c r="O125" s="66">
        <v>0</v>
      </c>
      <c r="P125" s="66">
        <v>0</v>
      </c>
      <c r="Q125" s="66">
        <v>2</v>
      </c>
      <c r="R125" s="69">
        <v>0</v>
      </c>
      <c r="S125" s="69">
        <v>3000</v>
      </c>
      <c r="T125" s="69">
        <v>120</v>
      </c>
      <c r="U125" s="69">
        <v>60</v>
      </c>
      <c r="V125" s="69">
        <v>60</v>
      </c>
      <c r="W125" s="70">
        <v>0</v>
      </c>
      <c r="X125" s="70">
        <v>0</v>
      </c>
      <c r="Y125" s="70">
        <v>0</v>
      </c>
      <c r="Z125" s="70">
        <v>0</v>
      </c>
      <c r="AA125" s="71" t="s">
        <v>170</v>
      </c>
    </row>
    <row r="126" spans="1:27" s="71" customFormat="1">
      <c r="A126" s="66">
        <v>4503</v>
      </c>
      <c r="B126" s="66" t="s">
        <v>42</v>
      </c>
      <c r="C126" s="66" t="s">
        <v>35</v>
      </c>
      <c r="D126" s="66">
        <v>10025</v>
      </c>
      <c r="E126" s="66">
        <v>50000</v>
      </c>
      <c r="F126" s="66" t="s">
        <v>103</v>
      </c>
      <c r="G126" s="66">
        <v>0</v>
      </c>
      <c r="H126" s="67">
        <v>0</v>
      </c>
      <c r="I126" s="68">
        <f>INDEX([1]角色基础!$AC$16:$CJ$45,MATCH($AA126,[1]角色基础!$J$16:$J$45,0),MATCH(I$2,[1]角色基础!$AC$12:$AF$12,0)+4*(INT(SUBSTITUTE(RIGHT($C126,2),"+",""))-1))</f>
        <v>469</v>
      </c>
      <c r="J126" s="68">
        <f>INDEX([1]角色基础!$AC$16:$CJ$45,MATCH($AA126,[1]角色基础!$J$16:$J$45,0),MATCH(J$2,[1]角色基础!$AC$12:$AF$12,0)+4*(INT(SUBSTITUTE(RIGHT($C126,2),"+",""))-1))</f>
        <v>19</v>
      </c>
      <c r="K126" s="68">
        <f>INDEX([1]角色基础!$AC$16:$CJ$45,MATCH($AA126,[1]角色基础!$J$16:$J$45,0),MATCH(K$2,[1]角色基础!$AC$12:$AF$12,0)+4*(INT(SUBSTITUTE(RIGHT($C126,2),"+",""))-1))</f>
        <v>10</v>
      </c>
      <c r="L126" s="68">
        <f>INDEX([1]角色基础!$AC$16:$CJ$45,MATCH($AA126,[1]角色基础!$J$16:$J$45,0),MATCH(L$2,[1]角色基础!$AC$12:$AF$12,0)+4*(INT(SUBSTITUTE(RIGHT($C126,2),"+",""))-1))</f>
        <v>10</v>
      </c>
      <c r="M126" s="66">
        <v>0</v>
      </c>
      <c r="N126" s="66">
        <v>0</v>
      </c>
      <c r="O126" s="66">
        <v>0</v>
      </c>
      <c r="P126" s="66">
        <v>0</v>
      </c>
      <c r="Q126" s="66">
        <v>3</v>
      </c>
      <c r="R126" s="69">
        <v>0</v>
      </c>
      <c r="S126" s="69">
        <v>3000</v>
      </c>
      <c r="T126" s="69">
        <v>120</v>
      </c>
      <c r="U126" s="69">
        <v>60</v>
      </c>
      <c r="V126" s="69">
        <v>60</v>
      </c>
      <c r="W126" s="70">
        <v>0</v>
      </c>
      <c r="X126" s="70">
        <v>0</v>
      </c>
      <c r="Y126" s="70">
        <v>0</v>
      </c>
      <c r="Z126" s="70">
        <v>0</v>
      </c>
      <c r="AA126" s="71" t="s">
        <v>170</v>
      </c>
    </row>
    <row r="127" spans="1:27" s="71" customFormat="1">
      <c r="A127" s="66">
        <v>4504</v>
      </c>
      <c r="B127" s="66" t="s">
        <v>43</v>
      </c>
      <c r="C127" s="66" t="s">
        <v>36</v>
      </c>
      <c r="D127" s="66">
        <v>10035</v>
      </c>
      <c r="E127" s="66">
        <v>100000</v>
      </c>
      <c r="F127" s="66" t="s">
        <v>104</v>
      </c>
      <c r="G127" s="66">
        <v>1</v>
      </c>
      <c r="H127" s="67">
        <v>0</v>
      </c>
      <c r="I127" s="68">
        <f>INDEX([1]角色基础!$AC$16:$CJ$45,MATCH($AA127,[1]角色基础!$J$16:$J$45,0),MATCH(I$2,[1]角色基础!$AC$12:$AF$12,0)+4*(INT(SUBSTITUTE(RIGHT($C127,2),"+",""))-1))</f>
        <v>625</v>
      </c>
      <c r="J127" s="68">
        <f>INDEX([1]角色基础!$AC$16:$CJ$45,MATCH($AA127,[1]角色基础!$J$16:$J$45,0),MATCH(J$2,[1]角色基础!$AC$12:$AF$12,0)+4*(INT(SUBSTITUTE(RIGHT($C127,2),"+",""))-1))</f>
        <v>25</v>
      </c>
      <c r="K127" s="68">
        <f>INDEX([1]角色基础!$AC$16:$CJ$45,MATCH($AA127,[1]角色基础!$J$16:$J$45,0),MATCH(K$2,[1]角色基础!$AC$12:$AF$12,0)+4*(INT(SUBSTITUTE(RIGHT($C127,2),"+",""))-1))</f>
        <v>13</v>
      </c>
      <c r="L127" s="68">
        <f>INDEX([1]角色基础!$AC$16:$CJ$45,MATCH($AA127,[1]角色基础!$J$16:$J$45,0),MATCH(L$2,[1]角色基础!$AC$12:$AF$12,0)+4*(INT(SUBSTITUTE(RIGHT($C127,2),"+",""))-1))</f>
        <v>13</v>
      </c>
      <c r="M127" s="66">
        <v>0</v>
      </c>
      <c r="N127" s="66">
        <v>0</v>
      </c>
      <c r="O127" s="66">
        <v>0</v>
      </c>
      <c r="P127" s="66">
        <v>0</v>
      </c>
      <c r="Q127" s="66">
        <v>4</v>
      </c>
      <c r="R127" s="69">
        <v>0</v>
      </c>
      <c r="S127" s="69">
        <v>3000</v>
      </c>
      <c r="T127" s="69">
        <v>120</v>
      </c>
      <c r="U127" s="69">
        <v>60</v>
      </c>
      <c r="V127" s="69">
        <v>60</v>
      </c>
      <c r="W127" s="70">
        <v>0</v>
      </c>
      <c r="X127" s="70">
        <v>0</v>
      </c>
      <c r="Y127" s="70">
        <v>0</v>
      </c>
      <c r="Z127" s="70">
        <v>0</v>
      </c>
      <c r="AA127" s="71" t="s">
        <v>170</v>
      </c>
    </row>
    <row r="128" spans="1:27" s="71" customFormat="1">
      <c r="A128" s="66">
        <v>4505</v>
      </c>
      <c r="B128" s="66" t="s">
        <v>44</v>
      </c>
      <c r="C128" s="66" t="s">
        <v>37</v>
      </c>
      <c r="D128" s="66">
        <v>10045</v>
      </c>
      <c r="E128" s="66">
        <v>200000</v>
      </c>
      <c r="F128" s="66" t="s">
        <v>105</v>
      </c>
      <c r="G128" s="66">
        <v>1</v>
      </c>
      <c r="H128" s="67">
        <v>0</v>
      </c>
      <c r="I128" s="68">
        <f>INDEX([1]角色基础!$AC$16:$CJ$45,MATCH($AA128,[1]角色基础!$J$16:$J$45,0),MATCH(I$2,[1]角色基础!$AC$12:$AF$12,0)+4*(INT(SUBSTITUTE(RIGHT($C128,2),"+",""))-1))</f>
        <v>781</v>
      </c>
      <c r="J128" s="68">
        <f>INDEX([1]角色基础!$AC$16:$CJ$45,MATCH($AA128,[1]角色基础!$J$16:$J$45,0),MATCH(J$2,[1]角色基础!$AC$12:$AF$12,0)+4*(INT(SUBSTITUTE(RIGHT($C128,2),"+",""))-1))</f>
        <v>31</v>
      </c>
      <c r="K128" s="68">
        <f>INDEX([1]角色基础!$AC$16:$CJ$45,MATCH($AA128,[1]角色基础!$J$16:$J$45,0),MATCH(K$2,[1]角色基础!$AC$12:$AF$12,0)+4*(INT(SUBSTITUTE(RIGHT($C128,2),"+",""))-1))</f>
        <v>16</v>
      </c>
      <c r="L128" s="68">
        <f>INDEX([1]角色基础!$AC$16:$CJ$45,MATCH($AA128,[1]角色基础!$J$16:$J$45,0),MATCH(L$2,[1]角色基础!$AC$12:$AF$12,0)+4*(INT(SUBSTITUTE(RIGHT($C128,2),"+",""))-1))</f>
        <v>16</v>
      </c>
      <c r="M128" s="66">
        <v>0</v>
      </c>
      <c r="N128" s="66">
        <v>0</v>
      </c>
      <c r="O128" s="66">
        <v>0</v>
      </c>
      <c r="P128" s="66">
        <v>0</v>
      </c>
      <c r="Q128" s="66">
        <v>5</v>
      </c>
      <c r="R128" s="69">
        <v>0</v>
      </c>
      <c r="S128" s="69">
        <v>3000</v>
      </c>
      <c r="T128" s="69">
        <v>120</v>
      </c>
      <c r="U128" s="69">
        <v>60</v>
      </c>
      <c r="V128" s="69">
        <v>60</v>
      </c>
      <c r="W128" s="70">
        <v>0</v>
      </c>
      <c r="X128" s="70">
        <v>0</v>
      </c>
      <c r="Y128" s="70">
        <v>0</v>
      </c>
      <c r="Z128" s="70">
        <v>0</v>
      </c>
      <c r="AA128" s="71" t="s">
        <v>170</v>
      </c>
    </row>
    <row r="129" spans="1:27" s="71" customFormat="1">
      <c r="A129" s="66">
        <v>4506</v>
      </c>
      <c r="B129" s="66" t="s">
        <v>45</v>
      </c>
      <c r="C129" s="66" t="s">
        <v>38</v>
      </c>
      <c r="D129" s="66">
        <v>10055</v>
      </c>
      <c r="E129" s="66">
        <v>300000</v>
      </c>
      <c r="F129" s="66" t="s">
        <v>106</v>
      </c>
      <c r="G129" s="66">
        <v>2</v>
      </c>
      <c r="H129" s="67">
        <v>0</v>
      </c>
      <c r="I129" s="68">
        <f>INDEX([1]角色基础!$AC$16:$CJ$45,MATCH($AA129,[1]角色基础!$J$16:$J$45,0),MATCH(I$2,[1]角色基础!$AC$12:$AF$12,0)+4*(INT(SUBSTITUTE(RIGHT($C129,2),"+",""))-1))</f>
        <v>938</v>
      </c>
      <c r="J129" s="68">
        <f>INDEX([1]角色基础!$AC$16:$CJ$45,MATCH($AA129,[1]角色基础!$J$16:$J$45,0),MATCH(J$2,[1]角色基础!$AC$12:$AF$12,0)+4*(INT(SUBSTITUTE(RIGHT($C129,2),"+",""))-1))</f>
        <v>38</v>
      </c>
      <c r="K129" s="68">
        <f>INDEX([1]角色基础!$AC$16:$CJ$45,MATCH($AA129,[1]角色基础!$J$16:$J$45,0),MATCH(K$2,[1]角色基础!$AC$12:$AF$12,0)+4*(INT(SUBSTITUTE(RIGHT($C129,2),"+",""))-1))</f>
        <v>20</v>
      </c>
      <c r="L129" s="68">
        <f>INDEX([1]角色基础!$AC$16:$CJ$45,MATCH($AA129,[1]角色基础!$J$16:$J$45,0),MATCH(L$2,[1]角色基础!$AC$12:$AF$12,0)+4*(INT(SUBSTITUTE(RIGHT($C129,2),"+",""))-1))</f>
        <v>20</v>
      </c>
      <c r="M129" s="66">
        <v>0</v>
      </c>
      <c r="N129" s="66">
        <v>0</v>
      </c>
      <c r="O129" s="66">
        <v>0</v>
      </c>
      <c r="P129" s="66">
        <v>0</v>
      </c>
      <c r="Q129" s="66">
        <v>6</v>
      </c>
      <c r="R129" s="69">
        <v>0</v>
      </c>
      <c r="S129" s="69">
        <v>3000</v>
      </c>
      <c r="T129" s="69">
        <v>120</v>
      </c>
      <c r="U129" s="69">
        <v>60</v>
      </c>
      <c r="V129" s="69">
        <v>60</v>
      </c>
      <c r="W129" s="70">
        <v>0</v>
      </c>
      <c r="X129" s="70">
        <v>0</v>
      </c>
      <c r="Y129" s="70">
        <v>0</v>
      </c>
      <c r="Z129" s="70">
        <v>0</v>
      </c>
      <c r="AA129" s="71" t="s">
        <v>170</v>
      </c>
    </row>
    <row r="130" spans="1:27" s="71" customFormat="1">
      <c r="A130" s="66">
        <v>4507</v>
      </c>
      <c r="B130" s="66" t="s">
        <v>46</v>
      </c>
      <c r="C130" s="66" t="s">
        <v>39</v>
      </c>
      <c r="D130" s="66">
        <v>10065</v>
      </c>
      <c r="E130" s="66">
        <v>500000</v>
      </c>
      <c r="F130" s="66" t="s">
        <v>107</v>
      </c>
      <c r="G130" s="66">
        <v>2</v>
      </c>
      <c r="H130" s="67">
        <v>0</v>
      </c>
      <c r="I130" s="68">
        <f>INDEX([1]角色基础!$AC$16:$CJ$45,MATCH($AA130,[1]角色基础!$J$16:$J$45,0),MATCH(I$2,[1]角色基础!$AC$12:$AF$12,0)+4*(INT(SUBSTITUTE(RIGHT($C130,2),"+",""))-1))</f>
        <v>1094</v>
      </c>
      <c r="J130" s="68">
        <f>INDEX([1]角色基础!$AC$16:$CJ$45,MATCH($AA130,[1]角色基础!$J$16:$J$45,0),MATCH(J$2,[1]角色基础!$AC$12:$AF$12,0)+4*(INT(SUBSTITUTE(RIGHT($C130,2),"+",""))-1))</f>
        <v>44</v>
      </c>
      <c r="K130" s="68">
        <f>INDEX([1]角色基础!$AC$16:$CJ$45,MATCH($AA130,[1]角色基础!$J$16:$J$45,0),MATCH(K$2,[1]角色基础!$AC$12:$AF$12,0)+4*(INT(SUBSTITUTE(RIGHT($C130,2),"+",""))-1))</f>
        <v>23</v>
      </c>
      <c r="L130" s="68">
        <f>INDEX([1]角色基础!$AC$16:$CJ$45,MATCH($AA130,[1]角色基础!$J$16:$J$45,0),MATCH(L$2,[1]角色基础!$AC$12:$AF$12,0)+4*(INT(SUBSTITUTE(RIGHT($C130,2),"+",""))-1))</f>
        <v>23</v>
      </c>
      <c r="M130" s="66">
        <v>0</v>
      </c>
      <c r="N130" s="66">
        <v>0</v>
      </c>
      <c r="O130" s="66">
        <v>0</v>
      </c>
      <c r="P130" s="66">
        <v>0</v>
      </c>
      <c r="Q130" s="66">
        <v>7</v>
      </c>
      <c r="R130" s="69">
        <v>0</v>
      </c>
      <c r="S130" s="69">
        <v>3000</v>
      </c>
      <c r="T130" s="69">
        <v>120</v>
      </c>
      <c r="U130" s="69">
        <v>60</v>
      </c>
      <c r="V130" s="69">
        <v>60</v>
      </c>
      <c r="W130" s="70">
        <v>0</v>
      </c>
      <c r="X130" s="70">
        <v>0</v>
      </c>
      <c r="Y130" s="70">
        <v>0</v>
      </c>
      <c r="Z130" s="70">
        <v>0</v>
      </c>
      <c r="AA130" s="71" t="s">
        <v>170</v>
      </c>
    </row>
    <row r="131" spans="1:27" s="71" customFormat="1">
      <c r="A131" s="66">
        <v>4508</v>
      </c>
      <c r="B131" s="66" t="s">
        <v>47</v>
      </c>
      <c r="C131" s="66" t="s">
        <v>40</v>
      </c>
      <c r="D131" s="66">
        <v>10075</v>
      </c>
      <c r="E131" s="66">
        <v>800000</v>
      </c>
      <c r="F131" s="66" t="s">
        <v>108</v>
      </c>
      <c r="G131" s="66">
        <v>4</v>
      </c>
      <c r="H131" s="67">
        <v>0</v>
      </c>
      <c r="I131" s="68">
        <f>INDEX([1]角色基础!$AC$16:$CJ$45,MATCH($AA131,[1]角色基础!$J$16:$J$45,0),MATCH(I$2,[1]角色基础!$AC$12:$AF$12,0)+4*(INT(SUBSTITUTE(RIGHT($C131,2),"+",""))-1))</f>
        <v>1250</v>
      </c>
      <c r="J131" s="68">
        <f>INDEX([1]角色基础!$AC$16:$CJ$45,MATCH($AA131,[1]角色基础!$J$16:$J$45,0),MATCH(J$2,[1]角色基础!$AC$12:$AF$12,0)+4*(INT(SUBSTITUTE(RIGHT($C131,2),"+",""))-1))</f>
        <v>50</v>
      </c>
      <c r="K131" s="68">
        <f>INDEX([1]角色基础!$AC$16:$CJ$45,MATCH($AA131,[1]角色基础!$J$16:$J$45,0),MATCH(K$2,[1]角色基础!$AC$12:$AF$12,0)+4*(INT(SUBSTITUTE(RIGHT($C131,2),"+",""))-1))</f>
        <v>26</v>
      </c>
      <c r="L131" s="68">
        <f>INDEX([1]角色基础!$AC$16:$CJ$45,MATCH($AA131,[1]角色基础!$J$16:$J$45,0),MATCH(L$2,[1]角色基础!$AC$12:$AF$12,0)+4*(INT(SUBSTITUTE(RIGHT($C131,2),"+",""))-1))</f>
        <v>26</v>
      </c>
      <c r="M131" s="66">
        <v>0</v>
      </c>
      <c r="N131" s="66">
        <v>0</v>
      </c>
      <c r="O131" s="66">
        <v>0</v>
      </c>
      <c r="P131" s="66">
        <v>0</v>
      </c>
      <c r="Q131" s="66">
        <v>8</v>
      </c>
      <c r="R131" s="69">
        <v>0</v>
      </c>
      <c r="S131" s="69">
        <v>3000</v>
      </c>
      <c r="T131" s="69">
        <v>120</v>
      </c>
      <c r="U131" s="69">
        <v>60</v>
      </c>
      <c r="V131" s="69">
        <v>60</v>
      </c>
      <c r="W131" s="70">
        <v>0</v>
      </c>
      <c r="X131" s="70">
        <v>0</v>
      </c>
      <c r="Y131" s="70">
        <v>0</v>
      </c>
      <c r="Z131" s="70">
        <v>0</v>
      </c>
      <c r="AA131" s="71" t="s">
        <v>170</v>
      </c>
    </row>
    <row r="132" spans="1:27" s="71" customFormat="1">
      <c r="A132" s="66">
        <v>4509</v>
      </c>
      <c r="B132" s="66" t="s">
        <v>69</v>
      </c>
      <c r="C132" s="66" t="s">
        <v>32</v>
      </c>
      <c r="D132" s="66">
        <v>10085</v>
      </c>
      <c r="E132" s="66">
        <v>1200000</v>
      </c>
      <c r="F132" s="66" t="s">
        <v>109</v>
      </c>
      <c r="G132" s="66">
        <v>6</v>
      </c>
      <c r="H132" s="67">
        <v>0</v>
      </c>
      <c r="I132" s="68">
        <f>INDEX([1]角色基础!$AC$16:$CJ$45,MATCH($AA132,[1]角色基础!$J$16:$J$45,0),MATCH(I$2,[1]角色基础!$AC$12:$AF$12,0)+4*(INT(SUBSTITUTE(RIGHT($C132,2),"+",""))-1))</f>
        <v>1406</v>
      </c>
      <c r="J132" s="68">
        <f>INDEX([1]角色基础!$AC$16:$CJ$45,MATCH($AA132,[1]角色基础!$J$16:$J$45,0),MATCH(J$2,[1]角色基础!$AC$12:$AF$12,0)+4*(INT(SUBSTITUTE(RIGHT($C132,2),"+",""))-1))</f>
        <v>56</v>
      </c>
      <c r="K132" s="68">
        <f>INDEX([1]角色基础!$AC$16:$CJ$45,MATCH($AA132,[1]角色基础!$J$16:$J$45,0),MATCH(K$2,[1]角色基础!$AC$12:$AF$12,0)+4*(INT(SUBSTITUTE(RIGHT($C132,2),"+",""))-1))</f>
        <v>29</v>
      </c>
      <c r="L132" s="68">
        <f>INDEX([1]角色基础!$AC$16:$CJ$45,MATCH($AA132,[1]角色基础!$J$16:$J$45,0),MATCH(L$2,[1]角色基础!$AC$12:$AF$12,0)+4*(INT(SUBSTITUTE(RIGHT($C132,2),"+",""))-1))</f>
        <v>29</v>
      </c>
      <c r="M132" s="66">
        <v>0</v>
      </c>
      <c r="N132" s="66">
        <v>0</v>
      </c>
      <c r="O132" s="66">
        <v>0</v>
      </c>
      <c r="P132" s="66">
        <v>0</v>
      </c>
      <c r="Q132" s="66">
        <v>9</v>
      </c>
      <c r="R132" s="69">
        <v>0</v>
      </c>
      <c r="S132" s="69">
        <v>3000</v>
      </c>
      <c r="T132" s="69">
        <v>120</v>
      </c>
      <c r="U132" s="69">
        <v>60</v>
      </c>
      <c r="V132" s="69">
        <v>60</v>
      </c>
      <c r="W132" s="70">
        <v>0</v>
      </c>
      <c r="X132" s="70">
        <v>0</v>
      </c>
      <c r="Y132" s="70">
        <v>0</v>
      </c>
      <c r="Z132" s="70">
        <v>0</v>
      </c>
      <c r="AA132" s="71" t="s">
        <v>170</v>
      </c>
    </row>
    <row r="133" spans="1:27" s="71" customFormat="1">
      <c r="A133" s="66">
        <v>4510</v>
      </c>
      <c r="B133" s="66" t="s">
        <v>71</v>
      </c>
      <c r="C133" s="66" t="s">
        <v>31</v>
      </c>
      <c r="D133" s="66">
        <v>10095</v>
      </c>
      <c r="E133" s="66">
        <v>1600000</v>
      </c>
      <c r="F133" s="66" t="s">
        <v>110</v>
      </c>
      <c r="G133" s="66">
        <v>8</v>
      </c>
      <c r="H133" s="67">
        <v>0</v>
      </c>
      <c r="I133" s="68">
        <f>INDEX([1]角色基础!$AC$16:$CJ$45,MATCH($AA133,[1]角色基础!$J$16:$J$45,0),MATCH(I$2,[1]角色基础!$AC$12:$AF$12,0)+4*(INT(SUBSTITUTE(RIGHT($C133,2),"+",""))-1))</f>
        <v>1563</v>
      </c>
      <c r="J133" s="68">
        <f>INDEX([1]角色基础!$AC$16:$CJ$45,MATCH($AA133,[1]角色基础!$J$16:$J$45,0),MATCH(J$2,[1]角色基础!$AC$12:$AF$12,0)+4*(INT(SUBSTITUTE(RIGHT($C133,2),"+",""))-1))</f>
        <v>63</v>
      </c>
      <c r="K133" s="68">
        <f>INDEX([1]角色基础!$AC$16:$CJ$45,MATCH($AA133,[1]角色基础!$J$16:$J$45,0),MATCH(K$2,[1]角色基础!$AC$12:$AF$12,0)+4*(INT(SUBSTITUTE(RIGHT($C133,2),"+",""))-1))</f>
        <v>33</v>
      </c>
      <c r="L133" s="68">
        <f>INDEX([1]角色基础!$AC$16:$CJ$45,MATCH($AA133,[1]角色基础!$J$16:$J$45,0),MATCH(L$2,[1]角色基础!$AC$12:$AF$12,0)+4*(INT(SUBSTITUTE(RIGHT($C133,2),"+",""))-1))</f>
        <v>33</v>
      </c>
      <c r="M133" s="66">
        <v>0</v>
      </c>
      <c r="N133" s="66">
        <v>0</v>
      </c>
      <c r="O133" s="66">
        <v>0</v>
      </c>
      <c r="P133" s="66">
        <v>0</v>
      </c>
      <c r="Q133" s="66">
        <v>10</v>
      </c>
      <c r="R133" s="69">
        <v>0</v>
      </c>
      <c r="S133" s="69">
        <v>3000</v>
      </c>
      <c r="T133" s="69">
        <v>120</v>
      </c>
      <c r="U133" s="69">
        <v>60</v>
      </c>
      <c r="V133" s="69">
        <v>60</v>
      </c>
      <c r="W133" s="70">
        <v>0</v>
      </c>
      <c r="X133" s="70">
        <v>0</v>
      </c>
      <c r="Y133" s="70">
        <v>0</v>
      </c>
      <c r="Z133" s="70">
        <v>0</v>
      </c>
      <c r="AA133" s="71" t="s">
        <v>170</v>
      </c>
    </row>
    <row r="134" spans="1:27" s="71" customFormat="1">
      <c r="A134" s="66">
        <v>4511</v>
      </c>
      <c r="B134" s="66" t="s">
        <v>73</v>
      </c>
      <c r="C134" s="66" t="s">
        <v>74</v>
      </c>
      <c r="D134" s="66">
        <v>10105</v>
      </c>
      <c r="E134" s="66">
        <v>2000000</v>
      </c>
      <c r="F134" s="66" t="s">
        <v>90</v>
      </c>
      <c r="G134" s="66">
        <v>10</v>
      </c>
      <c r="H134" s="67">
        <v>0</v>
      </c>
      <c r="I134" s="68">
        <f>INDEX([1]角色基础!$AC$16:$CJ$45,MATCH($AA134,[1]角色基础!$J$16:$J$45,0),MATCH(I$2,[1]角色基础!$AC$12:$AF$12,0)+4*(INT(SUBSTITUTE(RIGHT($C134,2),"+",""))-1))</f>
        <v>1719</v>
      </c>
      <c r="J134" s="68">
        <f>INDEX([1]角色基础!$AC$16:$CJ$45,MATCH($AA134,[1]角色基础!$J$16:$J$45,0),MATCH(J$2,[1]角色基础!$AC$12:$AF$12,0)+4*(INT(SUBSTITUTE(RIGHT($C134,2),"+",""))-1))</f>
        <v>69</v>
      </c>
      <c r="K134" s="68">
        <f>INDEX([1]角色基础!$AC$16:$CJ$45,MATCH($AA134,[1]角色基础!$J$16:$J$45,0),MATCH(K$2,[1]角色基础!$AC$12:$AF$12,0)+4*(INT(SUBSTITUTE(RIGHT($C134,2),"+",""))-1))</f>
        <v>36</v>
      </c>
      <c r="L134" s="68">
        <f>INDEX([1]角色基础!$AC$16:$CJ$45,MATCH($AA134,[1]角色基础!$J$16:$J$45,0),MATCH(L$2,[1]角色基础!$AC$12:$AF$12,0)+4*(INT(SUBSTITUTE(RIGHT($C134,2),"+",""))-1))</f>
        <v>36</v>
      </c>
      <c r="M134" s="66">
        <v>0</v>
      </c>
      <c r="N134" s="66">
        <v>0</v>
      </c>
      <c r="O134" s="66">
        <v>0</v>
      </c>
      <c r="P134" s="66">
        <v>0</v>
      </c>
      <c r="Q134" s="66">
        <v>11</v>
      </c>
      <c r="R134" s="69">
        <v>0</v>
      </c>
      <c r="S134" s="69">
        <v>3000</v>
      </c>
      <c r="T134" s="69">
        <v>120</v>
      </c>
      <c r="U134" s="69">
        <v>60</v>
      </c>
      <c r="V134" s="69">
        <v>60</v>
      </c>
      <c r="W134" s="70">
        <v>0</v>
      </c>
      <c r="X134" s="70">
        <v>0</v>
      </c>
      <c r="Y134" s="70">
        <v>0</v>
      </c>
      <c r="Z134" s="70">
        <v>0</v>
      </c>
      <c r="AA134" s="71" t="s">
        <v>170</v>
      </c>
    </row>
    <row r="135" spans="1:27" s="71" customFormat="1">
      <c r="A135" s="66">
        <v>4512</v>
      </c>
      <c r="B135" s="66" t="s">
        <v>75</v>
      </c>
      <c r="C135" s="66" t="s">
        <v>76</v>
      </c>
      <c r="D135" s="66">
        <v>10115</v>
      </c>
      <c r="E135" s="66">
        <v>2500000</v>
      </c>
      <c r="F135" s="66" t="s">
        <v>111</v>
      </c>
      <c r="G135" s="66">
        <v>12</v>
      </c>
      <c r="H135" s="67">
        <v>0</v>
      </c>
      <c r="I135" s="68">
        <f>INDEX([1]角色基础!$AC$16:$CJ$45,MATCH($AA135,[1]角色基础!$J$16:$J$45,0),MATCH(I$2,[1]角色基础!$AC$12:$AF$12,0)+4*(INT(SUBSTITUTE(RIGHT($C135,2),"+",""))-1))</f>
        <v>1875</v>
      </c>
      <c r="J135" s="68">
        <f>INDEX([1]角色基础!$AC$16:$CJ$45,MATCH($AA135,[1]角色基础!$J$16:$J$45,0),MATCH(J$2,[1]角色基础!$AC$12:$AF$12,0)+4*(INT(SUBSTITUTE(RIGHT($C135,2),"+",""))-1))</f>
        <v>75</v>
      </c>
      <c r="K135" s="68">
        <f>INDEX([1]角色基础!$AC$16:$CJ$45,MATCH($AA135,[1]角色基础!$J$16:$J$45,0),MATCH(K$2,[1]角色基础!$AC$12:$AF$12,0)+4*(INT(SUBSTITUTE(RIGHT($C135,2),"+",""))-1))</f>
        <v>39</v>
      </c>
      <c r="L135" s="68">
        <f>INDEX([1]角色基础!$AC$16:$CJ$45,MATCH($AA135,[1]角色基础!$J$16:$J$45,0),MATCH(L$2,[1]角色基础!$AC$12:$AF$12,0)+4*(INT(SUBSTITUTE(RIGHT($C135,2),"+",""))-1))</f>
        <v>39</v>
      </c>
      <c r="M135" s="66">
        <v>0</v>
      </c>
      <c r="N135" s="66">
        <v>0</v>
      </c>
      <c r="O135" s="66">
        <v>0</v>
      </c>
      <c r="P135" s="66">
        <v>0</v>
      </c>
      <c r="Q135" s="66">
        <v>12</v>
      </c>
      <c r="R135" s="69">
        <v>0</v>
      </c>
      <c r="S135" s="69">
        <v>3000</v>
      </c>
      <c r="T135" s="69">
        <v>120</v>
      </c>
      <c r="U135" s="69">
        <v>60</v>
      </c>
      <c r="V135" s="69">
        <v>60</v>
      </c>
      <c r="W135" s="70">
        <v>0</v>
      </c>
      <c r="X135" s="70">
        <v>0</v>
      </c>
      <c r="Y135" s="70">
        <v>0</v>
      </c>
      <c r="Z135" s="70">
        <v>0</v>
      </c>
      <c r="AA135" s="71" t="s">
        <v>170</v>
      </c>
    </row>
    <row r="136" spans="1:27" s="71" customFormat="1">
      <c r="A136" s="66">
        <v>4513</v>
      </c>
      <c r="B136" s="66" t="s">
        <v>182</v>
      </c>
      <c r="C136" s="66" t="s">
        <v>183</v>
      </c>
      <c r="D136" s="66">
        <v>10125</v>
      </c>
      <c r="E136" s="66">
        <v>3000000</v>
      </c>
      <c r="F136" s="66" t="s">
        <v>114</v>
      </c>
      <c r="G136" s="66">
        <v>14</v>
      </c>
      <c r="H136" s="67">
        <v>0</v>
      </c>
      <c r="I136" s="68">
        <f>INDEX([1]角色基础!$AC$16:$CJ$45,MATCH($AA136,[1]角色基础!$J$16:$J$45,0),MATCH(I$2,[1]角色基础!$AC$12:$AF$12,0)+4*(INT(SUBSTITUTE(RIGHT($C136,2),"+",""))-1))</f>
        <v>2031</v>
      </c>
      <c r="J136" s="68">
        <f>INDEX([1]角色基础!$AC$16:$CJ$45,MATCH($AA136,[1]角色基础!$J$16:$J$45,0),MATCH(J$2,[1]角色基础!$AC$12:$AF$12,0)+4*(INT(SUBSTITUTE(RIGHT($C136,2),"+",""))-1))</f>
        <v>81</v>
      </c>
      <c r="K136" s="68">
        <f>INDEX([1]角色基础!$AC$16:$CJ$45,MATCH($AA136,[1]角色基础!$J$16:$J$45,0),MATCH(K$2,[1]角色基础!$AC$12:$AF$12,0)+4*(INT(SUBSTITUTE(RIGHT($C136,2),"+",""))-1))</f>
        <v>42</v>
      </c>
      <c r="L136" s="68">
        <f>INDEX([1]角色基础!$AC$16:$CJ$45,MATCH($AA136,[1]角色基础!$J$16:$J$45,0),MATCH(L$2,[1]角色基础!$AC$12:$AF$12,0)+4*(INT(SUBSTITUTE(RIGHT($C136,2),"+",""))-1))</f>
        <v>42</v>
      </c>
      <c r="M136" s="66">
        <v>0</v>
      </c>
      <c r="N136" s="66">
        <v>0</v>
      </c>
      <c r="O136" s="66">
        <v>0</v>
      </c>
      <c r="P136" s="66">
        <v>0</v>
      </c>
      <c r="Q136" s="66">
        <v>13</v>
      </c>
      <c r="R136" s="69">
        <v>0</v>
      </c>
      <c r="S136" s="69">
        <v>3000</v>
      </c>
      <c r="T136" s="69">
        <v>120</v>
      </c>
      <c r="U136" s="69">
        <v>60</v>
      </c>
      <c r="V136" s="69">
        <v>60</v>
      </c>
      <c r="W136" s="70">
        <v>0</v>
      </c>
      <c r="X136" s="70">
        <v>0</v>
      </c>
      <c r="Y136" s="70">
        <v>0</v>
      </c>
      <c r="Z136" s="70">
        <v>0</v>
      </c>
      <c r="AA136" s="71" t="s">
        <v>170</v>
      </c>
    </row>
    <row r="137" spans="1:27" s="71" customFormat="1">
      <c r="A137" s="66">
        <v>4514</v>
      </c>
      <c r="B137" s="66" t="s">
        <v>184</v>
      </c>
      <c r="C137" s="66" t="s">
        <v>185</v>
      </c>
      <c r="D137" s="66">
        <v>10135</v>
      </c>
      <c r="E137" s="66">
        <v>4000000</v>
      </c>
      <c r="F137" s="66" t="s">
        <v>197</v>
      </c>
      <c r="G137" s="66">
        <v>16</v>
      </c>
      <c r="H137" s="67">
        <v>0</v>
      </c>
      <c r="I137" s="68">
        <f>INDEX([1]角色基础!$AC$16:$CJ$45,MATCH($AA137,[1]角色基础!$J$16:$J$45,0),MATCH(I$2,[1]角色基础!$AC$12:$AF$12,0)+4*(INT(SUBSTITUTE(RIGHT($C137,2),"+",""))-1))</f>
        <v>2188</v>
      </c>
      <c r="J137" s="68">
        <f>INDEX([1]角色基础!$AC$16:$CJ$45,MATCH($AA137,[1]角色基础!$J$16:$J$45,0),MATCH(J$2,[1]角色基础!$AC$12:$AF$12,0)+4*(INT(SUBSTITUTE(RIGHT($C137,2),"+",""))-1))</f>
        <v>88</v>
      </c>
      <c r="K137" s="68">
        <f>INDEX([1]角色基础!$AC$16:$CJ$45,MATCH($AA137,[1]角色基础!$J$16:$J$45,0),MATCH(K$2,[1]角色基础!$AC$12:$AF$12,0)+4*(INT(SUBSTITUTE(RIGHT($C137,2),"+",""))-1))</f>
        <v>46</v>
      </c>
      <c r="L137" s="68">
        <f>INDEX([1]角色基础!$AC$16:$CJ$45,MATCH($AA137,[1]角色基础!$J$16:$J$45,0),MATCH(L$2,[1]角色基础!$AC$12:$AF$12,0)+4*(INT(SUBSTITUTE(RIGHT($C137,2),"+",""))-1))</f>
        <v>46</v>
      </c>
      <c r="M137" s="66">
        <v>0</v>
      </c>
      <c r="N137" s="66">
        <v>0</v>
      </c>
      <c r="O137" s="66">
        <v>0</v>
      </c>
      <c r="P137" s="66">
        <v>0</v>
      </c>
      <c r="Q137" s="66">
        <v>14</v>
      </c>
      <c r="R137" s="69">
        <v>0</v>
      </c>
      <c r="S137" s="69">
        <v>3000</v>
      </c>
      <c r="T137" s="69">
        <v>120</v>
      </c>
      <c r="U137" s="69">
        <v>60</v>
      </c>
      <c r="V137" s="69">
        <v>60</v>
      </c>
      <c r="W137" s="70">
        <v>0</v>
      </c>
      <c r="X137" s="70">
        <v>0</v>
      </c>
      <c r="Y137" s="70">
        <v>0</v>
      </c>
      <c r="Z137" s="70">
        <v>0</v>
      </c>
      <c r="AA137" s="71" t="s">
        <v>170</v>
      </c>
    </row>
    <row r="138" spans="1:27" s="71" customFormat="1">
      <c r="A138" s="66">
        <v>4515</v>
      </c>
      <c r="B138" s="66" t="s">
        <v>186</v>
      </c>
      <c r="C138" s="66" t="s">
        <v>187</v>
      </c>
      <c r="D138" s="66">
        <v>10145</v>
      </c>
      <c r="E138" s="66">
        <v>5000000</v>
      </c>
      <c r="F138" s="66" t="s">
        <v>195</v>
      </c>
      <c r="G138" s="66">
        <v>20</v>
      </c>
      <c r="H138" s="67">
        <v>0</v>
      </c>
      <c r="I138" s="68">
        <f>INDEX([1]角色基础!$AC$16:$CJ$45,MATCH($AA138,[1]角色基础!$J$16:$J$45,0),MATCH(I$2,[1]角色基础!$AC$12:$AF$12,0)+4*(INT(SUBSTITUTE(RIGHT($C138,2),"+",""))-1))</f>
        <v>2344</v>
      </c>
      <c r="J138" s="68">
        <f>INDEX([1]角色基础!$AC$16:$CJ$45,MATCH($AA138,[1]角色基础!$J$16:$J$45,0),MATCH(J$2,[1]角色基础!$AC$12:$AF$12,0)+4*(INT(SUBSTITUTE(RIGHT($C138,2),"+",""))-1))</f>
        <v>94</v>
      </c>
      <c r="K138" s="68">
        <f>INDEX([1]角色基础!$AC$16:$CJ$45,MATCH($AA138,[1]角色基础!$J$16:$J$45,0),MATCH(K$2,[1]角色基础!$AC$12:$AF$12,0)+4*(INT(SUBSTITUTE(RIGHT($C138,2),"+",""))-1))</f>
        <v>49</v>
      </c>
      <c r="L138" s="68">
        <f>INDEX([1]角色基础!$AC$16:$CJ$45,MATCH($AA138,[1]角色基础!$J$16:$J$45,0),MATCH(L$2,[1]角色基础!$AC$12:$AF$12,0)+4*(INT(SUBSTITUTE(RIGHT($C138,2),"+",""))-1))</f>
        <v>49</v>
      </c>
      <c r="M138" s="66">
        <v>0</v>
      </c>
      <c r="N138" s="66">
        <v>0</v>
      </c>
      <c r="O138" s="66">
        <v>0</v>
      </c>
      <c r="P138" s="66">
        <v>0</v>
      </c>
      <c r="Q138" s="66">
        <v>15</v>
      </c>
      <c r="R138" s="69">
        <v>0</v>
      </c>
      <c r="S138" s="69">
        <v>3000</v>
      </c>
      <c r="T138" s="69">
        <v>120</v>
      </c>
      <c r="U138" s="69">
        <v>60</v>
      </c>
      <c r="V138" s="69">
        <v>60</v>
      </c>
      <c r="W138" s="70">
        <v>0</v>
      </c>
      <c r="X138" s="70">
        <v>0</v>
      </c>
      <c r="Y138" s="70">
        <v>0</v>
      </c>
      <c r="Z138" s="70">
        <v>0</v>
      </c>
      <c r="AA138" s="71" t="s">
        <v>170</v>
      </c>
    </row>
    <row r="139" spans="1:27" s="77" customFormat="1">
      <c r="A139" s="72">
        <v>5101</v>
      </c>
      <c r="B139" s="72" t="s">
        <v>121</v>
      </c>
      <c r="C139" s="72" t="s">
        <v>33</v>
      </c>
      <c r="D139" s="72">
        <v>10001</v>
      </c>
      <c r="E139" s="72">
        <v>6000</v>
      </c>
      <c r="F139" s="72" t="s">
        <v>112</v>
      </c>
      <c r="G139" s="72">
        <v>0</v>
      </c>
      <c r="H139" s="73">
        <v>0</v>
      </c>
      <c r="I139" s="74">
        <f>INDEX([1]角色基础!$AC$16:$CJ$45,MATCH($AA139,[1]角色基础!$J$16:$J$45,0),MATCH(I$2,[1]角色基础!$AC$12:$AF$12,0)+4*(INT(SUBSTITUTE(RIGHT($C139,2),"+",""))-1))</f>
        <v>188</v>
      </c>
      <c r="J139" s="74">
        <f>INDEX([1]角色基础!$AC$16:$CJ$45,MATCH($AA139,[1]角色基础!$J$16:$J$45,0),MATCH(J$2,[1]角色基础!$AC$12:$AF$12,0)+4*(INT(SUBSTITUTE(RIGHT($C139,2),"+",""))-1))</f>
        <v>8</v>
      </c>
      <c r="K139" s="74">
        <f>INDEX([1]角色基础!$AC$16:$CJ$45,MATCH($AA139,[1]角色基础!$J$16:$J$45,0),MATCH(K$2,[1]角色基础!$AC$12:$AF$12,0)+4*(INT(SUBSTITUTE(RIGHT($C139,2),"+",""))-1))</f>
        <v>4</v>
      </c>
      <c r="L139" s="74">
        <f>INDEX([1]角色基础!$AC$16:$CJ$45,MATCH($AA139,[1]角色基础!$J$16:$J$45,0),MATCH(L$2,[1]角色基础!$AC$12:$AF$12,0)+4*(INT(SUBSTITUTE(RIGHT($C139,2),"+",""))-1))</f>
        <v>4</v>
      </c>
      <c r="M139" s="72">
        <v>0</v>
      </c>
      <c r="N139" s="72">
        <v>0</v>
      </c>
      <c r="O139" s="72">
        <v>0</v>
      </c>
      <c r="P139" s="72">
        <v>0</v>
      </c>
      <c r="Q139" s="72">
        <v>1</v>
      </c>
      <c r="R139" s="75">
        <v>0</v>
      </c>
      <c r="S139" s="75">
        <v>3750</v>
      </c>
      <c r="T139" s="75">
        <v>150</v>
      </c>
      <c r="U139" s="75">
        <v>75</v>
      </c>
      <c r="V139" s="75">
        <v>75</v>
      </c>
      <c r="W139" s="76">
        <v>0</v>
      </c>
      <c r="X139" s="76">
        <v>0</v>
      </c>
      <c r="Y139" s="76">
        <v>0</v>
      </c>
      <c r="Z139" s="76">
        <v>0</v>
      </c>
      <c r="AA139" s="77" t="s">
        <v>176</v>
      </c>
    </row>
    <row r="140" spans="1:27" s="77" customFormat="1">
      <c r="A140" s="72">
        <v>5102</v>
      </c>
      <c r="B140" s="72" t="s">
        <v>41</v>
      </c>
      <c r="C140" s="72" t="s">
        <v>34</v>
      </c>
      <c r="D140" s="72">
        <v>10015</v>
      </c>
      <c r="E140" s="72">
        <v>24000</v>
      </c>
      <c r="F140" s="72" t="s">
        <v>113</v>
      </c>
      <c r="G140" s="72">
        <v>0</v>
      </c>
      <c r="H140" s="73">
        <v>0</v>
      </c>
      <c r="I140" s="74">
        <f>INDEX([1]角色基础!$AC$16:$CJ$45,MATCH($AA140,[1]角色基础!$J$16:$J$45,0),MATCH(I$2,[1]角色基础!$AC$12:$AF$12,0)+4*(INT(SUBSTITUTE(RIGHT($C140,2),"+",""))-1))</f>
        <v>375</v>
      </c>
      <c r="J140" s="74">
        <f>INDEX([1]角色基础!$AC$16:$CJ$45,MATCH($AA140,[1]角色基础!$J$16:$J$45,0),MATCH(J$2,[1]角色基础!$AC$12:$AF$12,0)+4*(INT(SUBSTITUTE(RIGHT($C140,2),"+",""))-1))</f>
        <v>15</v>
      </c>
      <c r="K140" s="74">
        <f>INDEX([1]角色基础!$AC$16:$CJ$45,MATCH($AA140,[1]角色基础!$J$16:$J$45,0),MATCH(K$2,[1]角色基础!$AC$12:$AF$12,0)+4*(INT(SUBSTITUTE(RIGHT($C140,2),"+",""))-1))</f>
        <v>8</v>
      </c>
      <c r="L140" s="74">
        <f>INDEX([1]角色基础!$AC$16:$CJ$45,MATCH($AA140,[1]角色基础!$J$16:$J$45,0),MATCH(L$2,[1]角色基础!$AC$12:$AF$12,0)+4*(INT(SUBSTITUTE(RIGHT($C140,2),"+",""))-1))</f>
        <v>8</v>
      </c>
      <c r="M140" s="72">
        <v>0</v>
      </c>
      <c r="N140" s="72">
        <v>0</v>
      </c>
      <c r="O140" s="72">
        <v>0</v>
      </c>
      <c r="P140" s="72">
        <v>0</v>
      </c>
      <c r="Q140" s="72">
        <v>2</v>
      </c>
      <c r="R140" s="75">
        <v>0</v>
      </c>
      <c r="S140" s="75">
        <v>3750</v>
      </c>
      <c r="T140" s="75">
        <v>150</v>
      </c>
      <c r="U140" s="75">
        <v>75</v>
      </c>
      <c r="V140" s="75">
        <v>75</v>
      </c>
      <c r="W140" s="76">
        <v>0</v>
      </c>
      <c r="X140" s="76">
        <v>0</v>
      </c>
      <c r="Y140" s="76">
        <v>0</v>
      </c>
      <c r="Z140" s="76">
        <v>0</v>
      </c>
      <c r="AA140" s="77" t="s">
        <v>176</v>
      </c>
    </row>
    <row r="141" spans="1:27" s="77" customFormat="1">
      <c r="A141" s="72">
        <v>5103</v>
      </c>
      <c r="B141" s="72" t="s">
        <v>42</v>
      </c>
      <c r="C141" s="72" t="s">
        <v>35</v>
      </c>
      <c r="D141" s="72">
        <v>10025</v>
      </c>
      <c r="E141" s="72">
        <v>60000</v>
      </c>
      <c r="F141" s="72" t="s">
        <v>29</v>
      </c>
      <c r="G141" s="72">
        <v>0</v>
      </c>
      <c r="H141" s="73">
        <v>0</v>
      </c>
      <c r="I141" s="74">
        <f>INDEX([1]角色基础!$AC$16:$CJ$45,MATCH($AA141,[1]角色基础!$J$16:$J$45,0),MATCH(I$2,[1]角色基础!$AC$12:$AF$12,0)+4*(INT(SUBSTITUTE(RIGHT($C141,2),"+",""))-1))</f>
        <v>563</v>
      </c>
      <c r="J141" s="74">
        <f>INDEX([1]角色基础!$AC$16:$CJ$45,MATCH($AA141,[1]角色基础!$J$16:$J$45,0),MATCH(J$2,[1]角色基础!$AC$12:$AF$12,0)+4*(INT(SUBSTITUTE(RIGHT($C141,2),"+",""))-1))</f>
        <v>23</v>
      </c>
      <c r="K141" s="74">
        <f>INDEX([1]角色基础!$AC$16:$CJ$45,MATCH($AA141,[1]角色基础!$J$16:$J$45,0),MATCH(K$2,[1]角色基础!$AC$12:$AF$12,0)+4*(INT(SUBSTITUTE(RIGHT($C141,2),"+",""))-1))</f>
        <v>11</v>
      </c>
      <c r="L141" s="74">
        <f>INDEX([1]角色基础!$AC$16:$CJ$45,MATCH($AA141,[1]角色基础!$J$16:$J$45,0),MATCH(L$2,[1]角色基础!$AC$12:$AF$12,0)+4*(INT(SUBSTITUTE(RIGHT($C141,2),"+",""))-1))</f>
        <v>11</v>
      </c>
      <c r="M141" s="72">
        <v>0</v>
      </c>
      <c r="N141" s="72">
        <v>0</v>
      </c>
      <c r="O141" s="72">
        <v>0</v>
      </c>
      <c r="P141" s="72">
        <v>0</v>
      </c>
      <c r="Q141" s="72">
        <v>3</v>
      </c>
      <c r="R141" s="75">
        <v>0</v>
      </c>
      <c r="S141" s="75">
        <v>3750</v>
      </c>
      <c r="T141" s="75">
        <v>150</v>
      </c>
      <c r="U141" s="75">
        <v>75</v>
      </c>
      <c r="V141" s="75">
        <v>75</v>
      </c>
      <c r="W141" s="76">
        <v>0</v>
      </c>
      <c r="X141" s="76">
        <v>0</v>
      </c>
      <c r="Y141" s="76">
        <v>0</v>
      </c>
      <c r="Z141" s="76">
        <v>0</v>
      </c>
      <c r="AA141" s="77" t="s">
        <v>176</v>
      </c>
    </row>
    <row r="142" spans="1:27" s="77" customFormat="1">
      <c r="A142" s="72">
        <v>5104</v>
      </c>
      <c r="B142" s="72" t="s">
        <v>43</v>
      </c>
      <c r="C142" s="72" t="s">
        <v>36</v>
      </c>
      <c r="D142" s="72">
        <v>10035</v>
      </c>
      <c r="E142" s="72">
        <v>120000</v>
      </c>
      <c r="F142" s="72" t="s">
        <v>84</v>
      </c>
      <c r="G142" s="72">
        <v>1</v>
      </c>
      <c r="H142" s="73">
        <v>0</v>
      </c>
      <c r="I142" s="74">
        <f>INDEX([1]角色基础!$AC$16:$CJ$45,MATCH($AA142,[1]角色基础!$J$16:$J$45,0),MATCH(I$2,[1]角色基础!$AC$12:$AF$12,0)+4*(INT(SUBSTITUTE(RIGHT($C142,2),"+",""))-1))</f>
        <v>750</v>
      </c>
      <c r="J142" s="74">
        <f>INDEX([1]角色基础!$AC$16:$CJ$45,MATCH($AA142,[1]角色基础!$J$16:$J$45,0),MATCH(J$2,[1]角色基础!$AC$12:$AF$12,0)+4*(INT(SUBSTITUTE(RIGHT($C142,2),"+",""))-1))</f>
        <v>30</v>
      </c>
      <c r="K142" s="74">
        <f>INDEX([1]角色基础!$AC$16:$CJ$45,MATCH($AA142,[1]角色基础!$J$16:$J$45,0),MATCH(K$2,[1]角色基础!$AC$12:$AF$12,0)+4*(INT(SUBSTITUTE(RIGHT($C142,2),"+",""))-1))</f>
        <v>15</v>
      </c>
      <c r="L142" s="74">
        <f>INDEX([1]角色基础!$AC$16:$CJ$45,MATCH($AA142,[1]角色基础!$J$16:$J$45,0),MATCH(L$2,[1]角色基础!$AC$12:$AF$12,0)+4*(INT(SUBSTITUTE(RIGHT($C142,2),"+",""))-1))</f>
        <v>15</v>
      </c>
      <c r="M142" s="72">
        <v>0</v>
      </c>
      <c r="N142" s="72">
        <v>0</v>
      </c>
      <c r="O142" s="72">
        <v>0</v>
      </c>
      <c r="P142" s="72">
        <v>0</v>
      </c>
      <c r="Q142" s="72">
        <v>4</v>
      </c>
      <c r="R142" s="75">
        <v>0</v>
      </c>
      <c r="S142" s="75">
        <v>3750</v>
      </c>
      <c r="T142" s="75">
        <v>150</v>
      </c>
      <c r="U142" s="75">
        <v>75</v>
      </c>
      <c r="V142" s="75">
        <v>75</v>
      </c>
      <c r="W142" s="76">
        <v>0</v>
      </c>
      <c r="X142" s="76">
        <v>0</v>
      </c>
      <c r="Y142" s="76">
        <v>0</v>
      </c>
      <c r="Z142" s="76">
        <v>0</v>
      </c>
      <c r="AA142" s="77" t="s">
        <v>176</v>
      </c>
    </row>
    <row r="143" spans="1:27" s="77" customFormat="1">
      <c r="A143" s="72">
        <v>5105</v>
      </c>
      <c r="B143" s="72" t="s">
        <v>44</v>
      </c>
      <c r="C143" s="72" t="s">
        <v>37</v>
      </c>
      <c r="D143" s="72">
        <v>10045</v>
      </c>
      <c r="E143" s="72">
        <v>240000</v>
      </c>
      <c r="F143" s="72" t="s">
        <v>85</v>
      </c>
      <c r="G143" s="72">
        <v>1</v>
      </c>
      <c r="H143" s="73">
        <v>0</v>
      </c>
      <c r="I143" s="74">
        <f>INDEX([1]角色基础!$AC$16:$CJ$45,MATCH($AA143,[1]角色基础!$J$16:$J$45,0),MATCH(I$2,[1]角色基础!$AC$12:$AF$12,0)+4*(INT(SUBSTITUTE(RIGHT($C143,2),"+",""))-1))</f>
        <v>938</v>
      </c>
      <c r="J143" s="74">
        <f>INDEX([1]角色基础!$AC$16:$CJ$45,MATCH($AA143,[1]角色基础!$J$16:$J$45,0),MATCH(J$2,[1]角色基础!$AC$12:$AF$12,0)+4*(INT(SUBSTITUTE(RIGHT($C143,2),"+",""))-1))</f>
        <v>38</v>
      </c>
      <c r="K143" s="74">
        <f>INDEX([1]角色基础!$AC$16:$CJ$45,MATCH($AA143,[1]角色基础!$J$16:$J$45,0),MATCH(K$2,[1]角色基础!$AC$12:$AF$12,0)+4*(INT(SUBSTITUTE(RIGHT($C143,2),"+",""))-1))</f>
        <v>19</v>
      </c>
      <c r="L143" s="74">
        <f>INDEX([1]角色基础!$AC$16:$CJ$45,MATCH($AA143,[1]角色基础!$J$16:$J$45,0),MATCH(L$2,[1]角色基础!$AC$12:$AF$12,0)+4*(INT(SUBSTITUTE(RIGHT($C143,2),"+",""))-1))</f>
        <v>19</v>
      </c>
      <c r="M143" s="72">
        <v>0</v>
      </c>
      <c r="N143" s="72">
        <v>0</v>
      </c>
      <c r="O143" s="72">
        <v>0</v>
      </c>
      <c r="P143" s="72">
        <v>0</v>
      </c>
      <c r="Q143" s="72">
        <v>5</v>
      </c>
      <c r="R143" s="75">
        <v>0</v>
      </c>
      <c r="S143" s="75">
        <v>3750</v>
      </c>
      <c r="T143" s="75">
        <v>150</v>
      </c>
      <c r="U143" s="75">
        <v>75</v>
      </c>
      <c r="V143" s="75">
        <v>75</v>
      </c>
      <c r="W143" s="76">
        <v>0</v>
      </c>
      <c r="X143" s="76">
        <v>0</v>
      </c>
      <c r="Y143" s="76">
        <v>0</v>
      </c>
      <c r="Z143" s="76">
        <v>0</v>
      </c>
      <c r="AA143" s="77" t="s">
        <v>176</v>
      </c>
    </row>
    <row r="144" spans="1:27" s="77" customFormat="1">
      <c r="A144" s="72">
        <v>5106</v>
      </c>
      <c r="B144" s="72" t="s">
        <v>45</v>
      </c>
      <c r="C144" s="72" t="s">
        <v>38</v>
      </c>
      <c r="D144" s="72">
        <v>10055</v>
      </c>
      <c r="E144" s="72">
        <v>360000</v>
      </c>
      <c r="F144" s="72" t="s">
        <v>86</v>
      </c>
      <c r="G144" s="72">
        <v>2</v>
      </c>
      <c r="H144" s="73">
        <v>0</v>
      </c>
      <c r="I144" s="74">
        <f>INDEX([1]角色基础!$AC$16:$CJ$45,MATCH($AA144,[1]角色基础!$J$16:$J$45,0),MATCH(I$2,[1]角色基础!$AC$12:$AF$12,0)+4*(INT(SUBSTITUTE(RIGHT($C144,2),"+",""))-1))</f>
        <v>1125</v>
      </c>
      <c r="J144" s="74">
        <f>INDEX([1]角色基础!$AC$16:$CJ$45,MATCH($AA144,[1]角色基础!$J$16:$J$45,0),MATCH(J$2,[1]角色基础!$AC$12:$AF$12,0)+4*(INT(SUBSTITUTE(RIGHT($C144,2),"+",""))-1))</f>
        <v>45</v>
      </c>
      <c r="K144" s="74">
        <f>INDEX([1]角色基础!$AC$16:$CJ$45,MATCH($AA144,[1]角色基础!$J$16:$J$45,0),MATCH(K$2,[1]角色基础!$AC$12:$AF$12,0)+4*(INT(SUBSTITUTE(RIGHT($C144,2),"+",""))-1))</f>
        <v>23</v>
      </c>
      <c r="L144" s="74">
        <f>INDEX([1]角色基础!$AC$16:$CJ$45,MATCH($AA144,[1]角色基础!$J$16:$J$45,0),MATCH(L$2,[1]角色基础!$AC$12:$AF$12,0)+4*(INT(SUBSTITUTE(RIGHT($C144,2),"+",""))-1))</f>
        <v>23</v>
      </c>
      <c r="M144" s="72">
        <v>0</v>
      </c>
      <c r="N144" s="72">
        <v>0</v>
      </c>
      <c r="O144" s="72">
        <v>0</v>
      </c>
      <c r="P144" s="72">
        <v>0</v>
      </c>
      <c r="Q144" s="72">
        <v>6</v>
      </c>
      <c r="R144" s="75">
        <v>0</v>
      </c>
      <c r="S144" s="75">
        <v>3750</v>
      </c>
      <c r="T144" s="75">
        <v>150</v>
      </c>
      <c r="U144" s="75">
        <v>75</v>
      </c>
      <c r="V144" s="75">
        <v>75</v>
      </c>
      <c r="W144" s="76">
        <v>0</v>
      </c>
      <c r="X144" s="76">
        <v>0</v>
      </c>
      <c r="Y144" s="76">
        <v>0</v>
      </c>
      <c r="Z144" s="76">
        <v>0</v>
      </c>
      <c r="AA144" s="77" t="s">
        <v>176</v>
      </c>
    </row>
    <row r="145" spans="1:27" s="77" customFormat="1">
      <c r="A145" s="72">
        <v>5107</v>
      </c>
      <c r="B145" s="72" t="s">
        <v>46</v>
      </c>
      <c r="C145" s="72" t="s">
        <v>39</v>
      </c>
      <c r="D145" s="72">
        <v>10065</v>
      </c>
      <c r="E145" s="72">
        <v>600000</v>
      </c>
      <c r="F145" s="72" t="s">
        <v>87</v>
      </c>
      <c r="G145" s="72">
        <v>2</v>
      </c>
      <c r="H145" s="73">
        <v>0</v>
      </c>
      <c r="I145" s="74">
        <f>INDEX([1]角色基础!$AC$16:$CJ$45,MATCH($AA145,[1]角色基础!$J$16:$J$45,0),MATCH(I$2,[1]角色基础!$AC$12:$AF$12,0)+4*(INT(SUBSTITUTE(RIGHT($C145,2),"+",""))-1))</f>
        <v>1313</v>
      </c>
      <c r="J145" s="74">
        <f>INDEX([1]角色基础!$AC$16:$CJ$45,MATCH($AA145,[1]角色基础!$J$16:$J$45,0),MATCH(J$2,[1]角色基础!$AC$12:$AF$12,0)+4*(INT(SUBSTITUTE(RIGHT($C145,2),"+",""))-1))</f>
        <v>53</v>
      </c>
      <c r="K145" s="74">
        <f>INDEX([1]角色基础!$AC$16:$CJ$45,MATCH($AA145,[1]角色基础!$J$16:$J$45,0),MATCH(K$2,[1]角色基础!$AC$12:$AF$12,0)+4*(INT(SUBSTITUTE(RIGHT($C145,2),"+",""))-1))</f>
        <v>26</v>
      </c>
      <c r="L145" s="74">
        <f>INDEX([1]角色基础!$AC$16:$CJ$45,MATCH($AA145,[1]角色基础!$J$16:$J$45,0),MATCH(L$2,[1]角色基础!$AC$12:$AF$12,0)+4*(INT(SUBSTITUTE(RIGHT($C145,2),"+",""))-1))</f>
        <v>26</v>
      </c>
      <c r="M145" s="72">
        <v>0</v>
      </c>
      <c r="N145" s="72">
        <v>0</v>
      </c>
      <c r="O145" s="72">
        <v>0</v>
      </c>
      <c r="P145" s="72">
        <v>0</v>
      </c>
      <c r="Q145" s="72">
        <v>7</v>
      </c>
      <c r="R145" s="75">
        <v>0</v>
      </c>
      <c r="S145" s="75">
        <v>3750</v>
      </c>
      <c r="T145" s="75">
        <v>150</v>
      </c>
      <c r="U145" s="75">
        <v>75</v>
      </c>
      <c r="V145" s="75">
        <v>75</v>
      </c>
      <c r="W145" s="76">
        <v>0</v>
      </c>
      <c r="X145" s="76">
        <v>0</v>
      </c>
      <c r="Y145" s="76">
        <v>0</v>
      </c>
      <c r="Z145" s="76">
        <v>0</v>
      </c>
      <c r="AA145" s="77" t="s">
        <v>176</v>
      </c>
    </row>
    <row r="146" spans="1:27" s="77" customFormat="1">
      <c r="A146" s="72">
        <v>5108</v>
      </c>
      <c r="B146" s="72" t="s">
        <v>47</v>
      </c>
      <c r="C146" s="72" t="s">
        <v>40</v>
      </c>
      <c r="D146" s="72">
        <v>10075</v>
      </c>
      <c r="E146" s="72">
        <v>1000000</v>
      </c>
      <c r="F146" s="72" t="s">
        <v>88</v>
      </c>
      <c r="G146" s="72">
        <v>4</v>
      </c>
      <c r="H146" s="73">
        <v>0</v>
      </c>
      <c r="I146" s="74">
        <f>INDEX([1]角色基础!$AC$16:$CJ$45,MATCH($AA146,[1]角色基础!$J$16:$J$45,0),MATCH(I$2,[1]角色基础!$AC$12:$AF$12,0)+4*(INT(SUBSTITUTE(RIGHT($C146,2),"+",""))-1))</f>
        <v>1500</v>
      </c>
      <c r="J146" s="74">
        <f>INDEX([1]角色基础!$AC$16:$CJ$45,MATCH($AA146,[1]角色基础!$J$16:$J$45,0),MATCH(J$2,[1]角色基础!$AC$12:$AF$12,0)+4*(INT(SUBSTITUTE(RIGHT($C146,2),"+",""))-1))</f>
        <v>60</v>
      </c>
      <c r="K146" s="74">
        <f>INDEX([1]角色基础!$AC$16:$CJ$45,MATCH($AA146,[1]角色基础!$J$16:$J$45,0),MATCH(K$2,[1]角色基础!$AC$12:$AF$12,0)+4*(INT(SUBSTITUTE(RIGHT($C146,2),"+",""))-1))</f>
        <v>30</v>
      </c>
      <c r="L146" s="74">
        <f>INDEX([1]角色基础!$AC$16:$CJ$45,MATCH($AA146,[1]角色基础!$J$16:$J$45,0),MATCH(L$2,[1]角色基础!$AC$12:$AF$12,0)+4*(INT(SUBSTITUTE(RIGHT($C146,2),"+",""))-1))</f>
        <v>30</v>
      </c>
      <c r="M146" s="72">
        <v>0</v>
      </c>
      <c r="N146" s="72">
        <v>0</v>
      </c>
      <c r="O146" s="72">
        <v>0</v>
      </c>
      <c r="P146" s="72">
        <v>0</v>
      </c>
      <c r="Q146" s="72">
        <v>8</v>
      </c>
      <c r="R146" s="75">
        <v>0</v>
      </c>
      <c r="S146" s="75">
        <v>3750</v>
      </c>
      <c r="T146" s="75">
        <v>150</v>
      </c>
      <c r="U146" s="75">
        <v>75</v>
      </c>
      <c r="V146" s="75">
        <v>75</v>
      </c>
      <c r="W146" s="76">
        <v>0</v>
      </c>
      <c r="X146" s="76">
        <v>0</v>
      </c>
      <c r="Y146" s="76">
        <v>0</v>
      </c>
      <c r="Z146" s="76">
        <v>0</v>
      </c>
      <c r="AA146" s="77" t="s">
        <v>176</v>
      </c>
    </row>
    <row r="147" spans="1:27" s="77" customFormat="1">
      <c r="A147" s="72">
        <v>5109</v>
      </c>
      <c r="B147" s="72" t="s">
        <v>69</v>
      </c>
      <c r="C147" s="72" t="s">
        <v>32</v>
      </c>
      <c r="D147" s="72">
        <v>10085</v>
      </c>
      <c r="E147" s="72">
        <v>1500000</v>
      </c>
      <c r="F147" s="72" t="s">
        <v>89</v>
      </c>
      <c r="G147" s="72">
        <v>6</v>
      </c>
      <c r="H147" s="73">
        <v>0</v>
      </c>
      <c r="I147" s="74">
        <f>INDEX([1]角色基础!$AC$16:$CJ$45,MATCH($AA147,[1]角色基础!$J$16:$J$45,0),MATCH(I$2,[1]角色基础!$AC$12:$AF$12,0)+4*(INT(SUBSTITUTE(RIGHT($C147,2),"+",""))-1))</f>
        <v>1688</v>
      </c>
      <c r="J147" s="74">
        <f>INDEX([1]角色基础!$AC$16:$CJ$45,MATCH($AA147,[1]角色基础!$J$16:$J$45,0),MATCH(J$2,[1]角色基础!$AC$12:$AF$12,0)+4*(INT(SUBSTITUTE(RIGHT($C147,2),"+",""))-1))</f>
        <v>68</v>
      </c>
      <c r="K147" s="74">
        <f>INDEX([1]角色基础!$AC$16:$CJ$45,MATCH($AA147,[1]角色基础!$J$16:$J$45,0),MATCH(K$2,[1]角色基础!$AC$12:$AF$12,0)+4*(INT(SUBSTITUTE(RIGHT($C147,2),"+",""))-1))</f>
        <v>34</v>
      </c>
      <c r="L147" s="74">
        <f>INDEX([1]角色基础!$AC$16:$CJ$45,MATCH($AA147,[1]角色基础!$J$16:$J$45,0),MATCH(L$2,[1]角色基础!$AC$12:$AF$12,0)+4*(INT(SUBSTITUTE(RIGHT($C147,2),"+",""))-1))</f>
        <v>34</v>
      </c>
      <c r="M147" s="72">
        <v>0</v>
      </c>
      <c r="N147" s="72">
        <v>0</v>
      </c>
      <c r="O147" s="72">
        <v>0</v>
      </c>
      <c r="P147" s="72">
        <v>0</v>
      </c>
      <c r="Q147" s="72">
        <v>9</v>
      </c>
      <c r="R147" s="75">
        <v>0</v>
      </c>
      <c r="S147" s="75">
        <v>3750</v>
      </c>
      <c r="T147" s="75">
        <v>150</v>
      </c>
      <c r="U147" s="75">
        <v>75</v>
      </c>
      <c r="V147" s="75">
        <v>75</v>
      </c>
      <c r="W147" s="76">
        <v>0</v>
      </c>
      <c r="X147" s="76">
        <v>0</v>
      </c>
      <c r="Y147" s="76">
        <v>0</v>
      </c>
      <c r="Z147" s="76">
        <v>0</v>
      </c>
      <c r="AA147" s="77" t="s">
        <v>176</v>
      </c>
    </row>
    <row r="148" spans="1:27" s="77" customFormat="1">
      <c r="A148" s="72">
        <v>5110</v>
      </c>
      <c r="B148" s="72" t="s">
        <v>71</v>
      </c>
      <c r="C148" s="72" t="s">
        <v>31</v>
      </c>
      <c r="D148" s="72">
        <v>10095</v>
      </c>
      <c r="E148" s="72">
        <v>2000000</v>
      </c>
      <c r="F148" s="72" t="s">
        <v>90</v>
      </c>
      <c r="G148" s="72">
        <v>8</v>
      </c>
      <c r="H148" s="73">
        <v>0</v>
      </c>
      <c r="I148" s="74">
        <f>INDEX([1]角色基础!$AC$16:$CJ$45,MATCH($AA148,[1]角色基础!$J$16:$J$45,0),MATCH(I$2,[1]角色基础!$AC$12:$AF$12,0)+4*(INT(SUBSTITUTE(RIGHT($C148,2),"+",""))-1))</f>
        <v>1875</v>
      </c>
      <c r="J148" s="74">
        <f>INDEX([1]角色基础!$AC$16:$CJ$45,MATCH($AA148,[1]角色基础!$J$16:$J$45,0),MATCH(J$2,[1]角色基础!$AC$12:$AF$12,0)+4*(INT(SUBSTITUTE(RIGHT($C148,2),"+",""))-1))</f>
        <v>75</v>
      </c>
      <c r="K148" s="74">
        <f>INDEX([1]角色基础!$AC$16:$CJ$45,MATCH($AA148,[1]角色基础!$J$16:$J$45,0),MATCH(K$2,[1]角色基础!$AC$12:$AF$12,0)+4*(INT(SUBSTITUTE(RIGHT($C148,2),"+",""))-1))</f>
        <v>38</v>
      </c>
      <c r="L148" s="74">
        <f>INDEX([1]角色基础!$AC$16:$CJ$45,MATCH($AA148,[1]角色基础!$J$16:$J$45,0),MATCH(L$2,[1]角色基础!$AC$12:$AF$12,0)+4*(INT(SUBSTITUTE(RIGHT($C148,2),"+",""))-1))</f>
        <v>38</v>
      </c>
      <c r="M148" s="72">
        <v>0</v>
      </c>
      <c r="N148" s="72">
        <v>0</v>
      </c>
      <c r="O148" s="72">
        <v>0</v>
      </c>
      <c r="P148" s="72">
        <v>0</v>
      </c>
      <c r="Q148" s="72">
        <v>10</v>
      </c>
      <c r="R148" s="75">
        <v>0</v>
      </c>
      <c r="S148" s="75">
        <v>3750</v>
      </c>
      <c r="T148" s="75">
        <v>150</v>
      </c>
      <c r="U148" s="75">
        <v>75</v>
      </c>
      <c r="V148" s="75">
        <v>75</v>
      </c>
      <c r="W148" s="76">
        <v>0</v>
      </c>
      <c r="X148" s="76">
        <v>0</v>
      </c>
      <c r="Y148" s="76">
        <v>0</v>
      </c>
      <c r="Z148" s="76">
        <v>0</v>
      </c>
      <c r="AA148" s="77" t="s">
        <v>176</v>
      </c>
    </row>
    <row r="149" spans="1:27" s="77" customFormat="1">
      <c r="A149" s="72">
        <v>5111</v>
      </c>
      <c r="B149" s="72" t="s">
        <v>73</v>
      </c>
      <c r="C149" s="72" t="s">
        <v>74</v>
      </c>
      <c r="D149" s="72">
        <v>10105</v>
      </c>
      <c r="E149" s="72">
        <v>2400000</v>
      </c>
      <c r="F149" s="72" t="s">
        <v>91</v>
      </c>
      <c r="G149" s="72">
        <v>10</v>
      </c>
      <c r="H149" s="73">
        <v>0</v>
      </c>
      <c r="I149" s="74">
        <f>INDEX([1]角色基础!$AC$16:$CJ$45,MATCH($AA149,[1]角色基础!$J$16:$J$45,0),MATCH(I$2,[1]角色基础!$AC$12:$AF$12,0)+4*(INT(SUBSTITUTE(RIGHT($C149,2),"+",""))-1))</f>
        <v>2063</v>
      </c>
      <c r="J149" s="74">
        <f>INDEX([1]角色基础!$AC$16:$CJ$45,MATCH($AA149,[1]角色基础!$J$16:$J$45,0),MATCH(J$2,[1]角色基础!$AC$12:$AF$12,0)+4*(INT(SUBSTITUTE(RIGHT($C149,2),"+",""))-1))</f>
        <v>83</v>
      </c>
      <c r="K149" s="74">
        <f>INDEX([1]角色基础!$AC$16:$CJ$45,MATCH($AA149,[1]角色基础!$J$16:$J$45,0),MATCH(K$2,[1]角色基础!$AC$12:$AF$12,0)+4*(INT(SUBSTITUTE(RIGHT($C149,2),"+",""))-1))</f>
        <v>41</v>
      </c>
      <c r="L149" s="74">
        <f>INDEX([1]角色基础!$AC$16:$CJ$45,MATCH($AA149,[1]角色基础!$J$16:$J$45,0),MATCH(L$2,[1]角色基础!$AC$12:$AF$12,0)+4*(INT(SUBSTITUTE(RIGHT($C149,2),"+",""))-1))</f>
        <v>41</v>
      </c>
      <c r="M149" s="72">
        <v>0</v>
      </c>
      <c r="N149" s="72">
        <v>0</v>
      </c>
      <c r="O149" s="72">
        <v>0</v>
      </c>
      <c r="P149" s="72">
        <v>0</v>
      </c>
      <c r="Q149" s="72">
        <v>11</v>
      </c>
      <c r="R149" s="75">
        <v>0</v>
      </c>
      <c r="S149" s="75">
        <v>3750</v>
      </c>
      <c r="T149" s="75">
        <v>150</v>
      </c>
      <c r="U149" s="75">
        <v>75</v>
      </c>
      <c r="V149" s="75">
        <v>75</v>
      </c>
      <c r="W149" s="76">
        <v>0</v>
      </c>
      <c r="X149" s="76">
        <v>0</v>
      </c>
      <c r="Y149" s="76">
        <v>0</v>
      </c>
      <c r="Z149" s="76">
        <v>0</v>
      </c>
      <c r="AA149" s="77" t="s">
        <v>176</v>
      </c>
    </row>
    <row r="150" spans="1:27" s="77" customFormat="1">
      <c r="A150" s="72">
        <v>5112</v>
      </c>
      <c r="B150" s="72" t="s">
        <v>75</v>
      </c>
      <c r="C150" s="72" t="s">
        <v>76</v>
      </c>
      <c r="D150" s="72">
        <v>10115</v>
      </c>
      <c r="E150" s="72">
        <v>3000000</v>
      </c>
      <c r="F150" s="72" t="s">
        <v>114</v>
      </c>
      <c r="G150" s="72">
        <v>12</v>
      </c>
      <c r="H150" s="73">
        <v>0</v>
      </c>
      <c r="I150" s="74">
        <f>INDEX([1]角色基础!$AC$16:$CJ$45,MATCH($AA150,[1]角色基础!$J$16:$J$45,0),MATCH(I$2,[1]角色基础!$AC$12:$AF$12,0)+4*(INT(SUBSTITUTE(RIGHT($C150,2),"+",""))-1))</f>
        <v>2250</v>
      </c>
      <c r="J150" s="74">
        <f>INDEX([1]角色基础!$AC$16:$CJ$45,MATCH($AA150,[1]角色基础!$J$16:$J$45,0),MATCH(J$2,[1]角色基础!$AC$12:$AF$12,0)+4*(INT(SUBSTITUTE(RIGHT($C150,2),"+",""))-1))</f>
        <v>90</v>
      </c>
      <c r="K150" s="74">
        <f>INDEX([1]角色基础!$AC$16:$CJ$45,MATCH($AA150,[1]角色基础!$J$16:$J$45,0),MATCH(K$2,[1]角色基础!$AC$12:$AF$12,0)+4*(INT(SUBSTITUTE(RIGHT($C150,2),"+",""))-1))</f>
        <v>45</v>
      </c>
      <c r="L150" s="74">
        <f>INDEX([1]角色基础!$AC$16:$CJ$45,MATCH($AA150,[1]角色基础!$J$16:$J$45,0),MATCH(L$2,[1]角色基础!$AC$12:$AF$12,0)+4*(INT(SUBSTITUTE(RIGHT($C150,2),"+",""))-1))</f>
        <v>45</v>
      </c>
      <c r="M150" s="72">
        <v>0</v>
      </c>
      <c r="N150" s="72">
        <v>0</v>
      </c>
      <c r="O150" s="72">
        <v>0</v>
      </c>
      <c r="P150" s="72">
        <v>0</v>
      </c>
      <c r="Q150" s="72">
        <v>12</v>
      </c>
      <c r="R150" s="75">
        <v>0</v>
      </c>
      <c r="S150" s="75">
        <v>3750</v>
      </c>
      <c r="T150" s="75">
        <v>150</v>
      </c>
      <c r="U150" s="75">
        <v>75</v>
      </c>
      <c r="V150" s="75">
        <v>75</v>
      </c>
      <c r="W150" s="76">
        <v>0</v>
      </c>
      <c r="X150" s="76">
        <v>0</v>
      </c>
      <c r="Y150" s="76">
        <v>0</v>
      </c>
      <c r="Z150" s="76">
        <v>0</v>
      </c>
      <c r="AA150" s="77" t="s">
        <v>176</v>
      </c>
    </row>
    <row r="151" spans="1:27" s="77" customFormat="1">
      <c r="A151" s="72">
        <v>5113</v>
      </c>
      <c r="B151" s="72" t="s">
        <v>182</v>
      </c>
      <c r="C151" s="72" t="s">
        <v>183</v>
      </c>
      <c r="D151" s="72">
        <v>10125</v>
      </c>
      <c r="E151" s="72">
        <v>3600000</v>
      </c>
      <c r="F151" s="72" t="s">
        <v>199</v>
      </c>
      <c r="G151" s="72">
        <v>14</v>
      </c>
      <c r="H151" s="73">
        <v>0</v>
      </c>
      <c r="I151" s="74">
        <f>INDEX([1]角色基础!$AC$16:$CJ$45,MATCH($AA151,[1]角色基础!$J$16:$J$45,0),MATCH(I$2,[1]角色基础!$AC$12:$AF$12,0)+4*(INT(SUBSTITUTE(RIGHT($C151,2),"+",""))-1))</f>
        <v>2438</v>
      </c>
      <c r="J151" s="74">
        <f>INDEX([1]角色基础!$AC$16:$CJ$45,MATCH($AA151,[1]角色基础!$J$16:$J$45,0),MATCH(J$2,[1]角色基础!$AC$12:$AF$12,0)+4*(INT(SUBSTITUTE(RIGHT($C151,2),"+",""))-1))</f>
        <v>98</v>
      </c>
      <c r="K151" s="74">
        <f>INDEX([1]角色基础!$AC$16:$CJ$45,MATCH($AA151,[1]角色基础!$J$16:$J$45,0),MATCH(K$2,[1]角色基础!$AC$12:$AF$12,0)+4*(INT(SUBSTITUTE(RIGHT($C151,2),"+",""))-1))</f>
        <v>49</v>
      </c>
      <c r="L151" s="74">
        <f>INDEX([1]角色基础!$AC$16:$CJ$45,MATCH($AA151,[1]角色基础!$J$16:$J$45,0),MATCH(L$2,[1]角色基础!$AC$12:$AF$12,0)+4*(INT(SUBSTITUTE(RIGHT($C151,2),"+",""))-1))</f>
        <v>49</v>
      </c>
      <c r="M151" s="72">
        <v>0</v>
      </c>
      <c r="N151" s="72">
        <v>0</v>
      </c>
      <c r="O151" s="72">
        <v>0</v>
      </c>
      <c r="P151" s="72">
        <v>0</v>
      </c>
      <c r="Q151" s="72">
        <v>13</v>
      </c>
      <c r="R151" s="75">
        <v>0</v>
      </c>
      <c r="S151" s="75">
        <v>3750</v>
      </c>
      <c r="T151" s="75">
        <v>150</v>
      </c>
      <c r="U151" s="75">
        <v>75</v>
      </c>
      <c r="V151" s="75">
        <v>75</v>
      </c>
      <c r="W151" s="76">
        <v>0</v>
      </c>
      <c r="X151" s="76">
        <v>0</v>
      </c>
      <c r="Y151" s="76">
        <v>0</v>
      </c>
      <c r="Z151" s="76">
        <v>0</v>
      </c>
      <c r="AA151" s="77" t="s">
        <v>176</v>
      </c>
    </row>
    <row r="152" spans="1:27" s="77" customFormat="1">
      <c r="A152" s="72">
        <v>5114</v>
      </c>
      <c r="B152" s="72" t="s">
        <v>184</v>
      </c>
      <c r="C152" s="72" t="s">
        <v>185</v>
      </c>
      <c r="D152" s="72">
        <v>10135</v>
      </c>
      <c r="E152" s="72">
        <v>4800000</v>
      </c>
      <c r="F152" s="72" t="s">
        <v>191</v>
      </c>
      <c r="G152" s="72">
        <v>16</v>
      </c>
      <c r="H152" s="73">
        <v>0</v>
      </c>
      <c r="I152" s="74">
        <f>INDEX([1]角色基础!$AC$16:$CJ$45,MATCH($AA152,[1]角色基础!$J$16:$J$45,0),MATCH(I$2,[1]角色基础!$AC$12:$AF$12,0)+4*(INT(SUBSTITUTE(RIGHT($C152,2),"+",""))-1))</f>
        <v>2625</v>
      </c>
      <c r="J152" s="74">
        <f>INDEX([1]角色基础!$AC$16:$CJ$45,MATCH($AA152,[1]角色基础!$J$16:$J$45,0),MATCH(J$2,[1]角色基础!$AC$12:$AF$12,0)+4*(INT(SUBSTITUTE(RIGHT($C152,2),"+",""))-1))</f>
        <v>105</v>
      </c>
      <c r="K152" s="74">
        <f>INDEX([1]角色基础!$AC$16:$CJ$45,MATCH($AA152,[1]角色基础!$J$16:$J$45,0),MATCH(K$2,[1]角色基础!$AC$12:$AF$12,0)+4*(INT(SUBSTITUTE(RIGHT($C152,2),"+",""))-1))</f>
        <v>53</v>
      </c>
      <c r="L152" s="74">
        <f>INDEX([1]角色基础!$AC$16:$CJ$45,MATCH($AA152,[1]角色基础!$J$16:$J$45,0),MATCH(L$2,[1]角色基础!$AC$12:$AF$12,0)+4*(INT(SUBSTITUTE(RIGHT($C152,2),"+",""))-1))</f>
        <v>53</v>
      </c>
      <c r="M152" s="72">
        <v>0</v>
      </c>
      <c r="N152" s="72">
        <v>0</v>
      </c>
      <c r="O152" s="72">
        <v>0</v>
      </c>
      <c r="P152" s="72">
        <v>0</v>
      </c>
      <c r="Q152" s="72">
        <v>14</v>
      </c>
      <c r="R152" s="75">
        <v>0</v>
      </c>
      <c r="S152" s="75">
        <v>3750</v>
      </c>
      <c r="T152" s="75">
        <v>150</v>
      </c>
      <c r="U152" s="75">
        <v>75</v>
      </c>
      <c r="V152" s="75">
        <v>75</v>
      </c>
      <c r="W152" s="76">
        <v>0</v>
      </c>
      <c r="X152" s="76">
        <v>0</v>
      </c>
      <c r="Y152" s="76">
        <v>0</v>
      </c>
      <c r="Z152" s="76">
        <v>0</v>
      </c>
      <c r="AA152" s="77" t="s">
        <v>176</v>
      </c>
    </row>
    <row r="153" spans="1:27" s="77" customFormat="1">
      <c r="A153" s="72">
        <v>5115</v>
      </c>
      <c r="B153" s="72" t="s">
        <v>186</v>
      </c>
      <c r="C153" s="72" t="s">
        <v>187</v>
      </c>
      <c r="D153" s="72">
        <v>10145</v>
      </c>
      <c r="E153" s="72">
        <v>6000000</v>
      </c>
      <c r="F153" s="72" t="s">
        <v>193</v>
      </c>
      <c r="G153" s="72">
        <v>20</v>
      </c>
      <c r="H153" s="73">
        <v>0</v>
      </c>
      <c r="I153" s="74">
        <f>INDEX([1]角色基础!$AC$16:$CJ$45,MATCH($AA153,[1]角色基础!$J$16:$J$45,0),MATCH(I$2,[1]角色基础!$AC$12:$AF$12,0)+4*(INT(SUBSTITUTE(RIGHT($C153,2),"+",""))-1))</f>
        <v>2813</v>
      </c>
      <c r="J153" s="74">
        <f>INDEX([1]角色基础!$AC$16:$CJ$45,MATCH($AA153,[1]角色基础!$J$16:$J$45,0),MATCH(J$2,[1]角色基础!$AC$12:$AF$12,0)+4*(INT(SUBSTITUTE(RIGHT($C153,2),"+",""))-1))</f>
        <v>113</v>
      </c>
      <c r="K153" s="74">
        <f>INDEX([1]角色基础!$AC$16:$CJ$45,MATCH($AA153,[1]角色基础!$J$16:$J$45,0),MATCH(K$2,[1]角色基础!$AC$12:$AF$12,0)+4*(INT(SUBSTITUTE(RIGHT($C153,2),"+",""))-1))</f>
        <v>56</v>
      </c>
      <c r="L153" s="74">
        <f>INDEX([1]角色基础!$AC$16:$CJ$45,MATCH($AA153,[1]角色基础!$J$16:$J$45,0),MATCH(L$2,[1]角色基础!$AC$12:$AF$12,0)+4*(INT(SUBSTITUTE(RIGHT($C153,2),"+",""))-1))</f>
        <v>56</v>
      </c>
      <c r="M153" s="72">
        <v>0</v>
      </c>
      <c r="N153" s="72">
        <v>0</v>
      </c>
      <c r="O153" s="72">
        <v>0</v>
      </c>
      <c r="P153" s="72">
        <v>0</v>
      </c>
      <c r="Q153" s="72">
        <v>15</v>
      </c>
      <c r="R153" s="75">
        <v>0</v>
      </c>
      <c r="S153" s="75">
        <v>3750</v>
      </c>
      <c r="T153" s="75">
        <v>150</v>
      </c>
      <c r="U153" s="75">
        <v>75</v>
      </c>
      <c r="V153" s="75">
        <v>75</v>
      </c>
      <c r="W153" s="76">
        <v>0</v>
      </c>
      <c r="X153" s="76">
        <v>0</v>
      </c>
      <c r="Y153" s="76">
        <v>0</v>
      </c>
      <c r="Z153" s="76">
        <v>0</v>
      </c>
      <c r="AA153" s="77" t="s">
        <v>176</v>
      </c>
    </row>
    <row r="154" spans="1:27" s="92" customFormat="1">
      <c r="A154" s="2">
        <v>5201</v>
      </c>
      <c r="B154" s="2" t="s">
        <v>121</v>
      </c>
      <c r="C154" s="2" t="s">
        <v>33</v>
      </c>
      <c r="D154" s="2">
        <v>10001</v>
      </c>
      <c r="E154" s="2">
        <v>6000</v>
      </c>
      <c r="F154" s="2" t="s">
        <v>112</v>
      </c>
      <c r="G154" s="2">
        <v>0</v>
      </c>
      <c r="H154" s="43">
        <v>0</v>
      </c>
      <c r="I154" s="3">
        <f>INDEX([1]角色基础!$AC$16:$CJ$45,MATCH($AA154,[1]角色基础!$J$16:$J$45,0),MATCH(I$2,[1]角色基础!$AC$12:$AF$12,0)+4*(INT(SUBSTITUTE(RIGHT($C154,2),"+",""))-1))</f>
        <v>188</v>
      </c>
      <c r="J154" s="3">
        <f>INDEX([1]角色基础!$AC$16:$CJ$45,MATCH($AA154,[1]角色基础!$J$16:$J$45,0),MATCH(J$2,[1]角色基础!$AC$12:$AF$12,0)+4*(INT(SUBSTITUTE(RIGHT($C154,2),"+",""))-1))</f>
        <v>8</v>
      </c>
      <c r="K154" s="3">
        <f>INDEX([1]角色基础!$AC$16:$CJ$45,MATCH($AA154,[1]角色基础!$J$16:$J$45,0),MATCH(K$2,[1]角色基础!$AC$12:$AF$12,0)+4*(INT(SUBSTITUTE(RIGHT($C154,2),"+",""))-1))</f>
        <v>4</v>
      </c>
      <c r="L154" s="3">
        <f>INDEX([1]角色基础!$AC$16:$CJ$45,MATCH($AA154,[1]角色基础!$J$16:$J$45,0),MATCH(L$2,[1]角色基础!$AC$12:$AF$12,0)+4*(INT(SUBSTITUTE(RIGHT($C154,2),"+",""))-1))</f>
        <v>4</v>
      </c>
      <c r="M154" s="2">
        <v>0</v>
      </c>
      <c r="N154" s="2">
        <v>0</v>
      </c>
      <c r="O154" s="2">
        <v>0</v>
      </c>
      <c r="P154" s="2">
        <v>0</v>
      </c>
      <c r="Q154" s="2">
        <v>1</v>
      </c>
      <c r="R154" s="18">
        <v>0</v>
      </c>
      <c r="S154" s="18">
        <v>3750</v>
      </c>
      <c r="T154" s="18">
        <v>150</v>
      </c>
      <c r="U154" s="18">
        <v>75</v>
      </c>
      <c r="V154" s="18">
        <v>75</v>
      </c>
      <c r="W154" s="91">
        <v>0</v>
      </c>
      <c r="X154" s="91">
        <v>0</v>
      </c>
      <c r="Y154" s="91">
        <v>0</v>
      </c>
      <c r="Z154" s="91">
        <v>0</v>
      </c>
      <c r="AA154" s="92" t="s">
        <v>175</v>
      </c>
    </row>
    <row r="155" spans="1:27" s="92" customFormat="1">
      <c r="A155" s="2">
        <v>5202</v>
      </c>
      <c r="B155" s="2" t="s">
        <v>41</v>
      </c>
      <c r="C155" s="2" t="s">
        <v>34</v>
      </c>
      <c r="D155" s="2">
        <v>10015</v>
      </c>
      <c r="E155" s="2">
        <v>24000</v>
      </c>
      <c r="F155" s="2" t="s">
        <v>113</v>
      </c>
      <c r="G155" s="2">
        <v>0</v>
      </c>
      <c r="H155" s="43">
        <v>0</v>
      </c>
      <c r="I155" s="3">
        <f>INDEX([1]角色基础!$AC$16:$CJ$45,MATCH($AA155,[1]角色基础!$J$16:$J$45,0),MATCH(I$2,[1]角色基础!$AC$12:$AF$12,0)+4*(INT(SUBSTITUTE(RIGHT($C155,2),"+",""))-1))</f>
        <v>375</v>
      </c>
      <c r="J155" s="3">
        <f>INDEX([1]角色基础!$AC$16:$CJ$45,MATCH($AA155,[1]角色基础!$J$16:$J$45,0),MATCH(J$2,[1]角色基础!$AC$12:$AF$12,0)+4*(INT(SUBSTITUTE(RIGHT($C155,2),"+",""))-1))</f>
        <v>15</v>
      </c>
      <c r="K155" s="3">
        <f>INDEX([1]角色基础!$AC$16:$CJ$45,MATCH($AA155,[1]角色基础!$J$16:$J$45,0),MATCH(K$2,[1]角色基础!$AC$12:$AF$12,0)+4*(INT(SUBSTITUTE(RIGHT($C155,2),"+",""))-1))</f>
        <v>8</v>
      </c>
      <c r="L155" s="3">
        <f>INDEX([1]角色基础!$AC$16:$CJ$45,MATCH($AA155,[1]角色基础!$J$16:$J$45,0),MATCH(L$2,[1]角色基础!$AC$12:$AF$12,0)+4*(INT(SUBSTITUTE(RIGHT($C155,2),"+",""))-1))</f>
        <v>8</v>
      </c>
      <c r="M155" s="2">
        <v>0</v>
      </c>
      <c r="N155" s="2">
        <v>0</v>
      </c>
      <c r="O155" s="2">
        <v>0</v>
      </c>
      <c r="P155" s="2">
        <v>0</v>
      </c>
      <c r="Q155" s="2">
        <v>2</v>
      </c>
      <c r="R155" s="18">
        <v>0</v>
      </c>
      <c r="S155" s="18">
        <v>3750</v>
      </c>
      <c r="T155" s="18">
        <v>150</v>
      </c>
      <c r="U155" s="18">
        <v>75</v>
      </c>
      <c r="V155" s="18">
        <v>75</v>
      </c>
      <c r="W155" s="91">
        <v>0</v>
      </c>
      <c r="X155" s="91">
        <v>0</v>
      </c>
      <c r="Y155" s="91">
        <v>0</v>
      </c>
      <c r="Z155" s="91">
        <v>0</v>
      </c>
      <c r="AA155" s="92" t="s">
        <v>175</v>
      </c>
    </row>
    <row r="156" spans="1:27" s="92" customFormat="1">
      <c r="A156" s="2">
        <v>5203</v>
      </c>
      <c r="B156" s="2" t="s">
        <v>42</v>
      </c>
      <c r="C156" s="2" t="s">
        <v>35</v>
      </c>
      <c r="D156" s="2">
        <v>10025</v>
      </c>
      <c r="E156" s="2">
        <v>60000</v>
      </c>
      <c r="F156" s="2" t="s">
        <v>29</v>
      </c>
      <c r="G156" s="2">
        <v>0</v>
      </c>
      <c r="H156" s="43">
        <v>0</v>
      </c>
      <c r="I156" s="3">
        <f>INDEX([1]角色基础!$AC$16:$CJ$45,MATCH($AA156,[1]角色基础!$J$16:$J$45,0),MATCH(I$2,[1]角色基础!$AC$12:$AF$12,0)+4*(INT(SUBSTITUTE(RIGHT($C156,2),"+",""))-1))</f>
        <v>563</v>
      </c>
      <c r="J156" s="3">
        <f>INDEX([1]角色基础!$AC$16:$CJ$45,MATCH($AA156,[1]角色基础!$J$16:$J$45,0),MATCH(J$2,[1]角色基础!$AC$12:$AF$12,0)+4*(INT(SUBSTITUTE(RIGHT($C156,2),"+",""))-1))</f>
        <v>23</v>
      </c>
      <c r="K156" s="3">
        <f>INDEX([1]角色基础!$AC$16:$CJ$45,MATCH($AA156,[1]角色基础!$J$16:$J$45,0),MATCH(K$2,[1]角色基础!$AC$12:$AF$12,0)+4*(INT(SUBSTITUTE(RIGHT($C156,2),"+",""))-1))</f>
        <v>11</v>
      </c>
      <c r="L156" s="3">
        <f>INDEX([1]角色基础!$AC$16:$CJ$45,MATCH($AA156,[1]角色基础!$J$16:$J$45,0),MATCH(L$2,[1]角色基础!$AC$12:$AF$12,0)+4*(INT(SUBSTITUTE(RIGHT($C156,2),"+",""))-1))</f>
        <v>11</v>
      </c>
      <c r="M156" s="2">
        <v>0</v>
      </c>
      <c r="N156" s="2">
        <v>0</v>
      </c>
      <c r="O156" s="2">
        <v>0</v>
      </c>
      <c r="P156" s="2">
        <v>0</v>
      </c>
      <c r="Q156" s="2">
        <v>3</v>
      </c>
      <c r="R156" s="18">
        <v>0</v>
      </c>
      <c r="S156" s="18">
        <v>3750</v>
      </c>
      <c r="T156" s="18">
        <v>150</v>
      </c>
      <c r="U156" s="18">
        <v>75</v>
      </c>
      <c r="V156" s="18">
        <v>75</v>
      </c>
      <c r="W156" s="91">
        <v>0</v>
      </c>
      <c r="X156" s="91">
        <v>0</v>
      </c>
      <c r="Y156" s="91">
        <v>0</v>
      </c>
      <c r="Z156" s="91">
        <v>0</v>
      </c>
      <c r="AA156" s="92" t="s">
        <v>175</v>
      </c>
    </row>
    <row r="157" spans="1:27" s="92" customFormat="1">
      <c r="A157" s="2">
        <v>5204</v>
      </c>
      <c r="B157" s="2" t="s">
        <v>43</v>
      </c>
      <c r="C157" s="2" t="s">
        <v>36</v>
      </c>
      <c r="D157" s="2">
        <v>10035</v>
      </c>
      <c r="E157" s="2">
        <v>120000</v>
      </c>
      <c r="F157" s="2" t="s">
        <v>84</v>
      </c>
      <c r="G157" s="2">
        <v>1</v>
      </c>
      <c r="H157" s="43">
        <v>0</v>
      </c>
      <c r="I157" s="3">
        <f>INDEX([1]角色基础!$AC$16:$CJ$45,MATCH($AA157,[1]角色基础!$J$16:$J$45,0),MATCH(I$2,[1]角色基础!$AC$12:$AF$12,0)+4*(INT(SUBSTITUTE(RIGHT($C157,2),"+",""))-1))</f>
        <v>750</v>
      </c>
      <c r="J157" s="3">
        <f>INDEX([1]角色基础!$AC$16:$CJ$45,MATCH($AA157,[1]角色基础!$J$16:$J$45,0),MATCH(J$2,[1]角色基础!$AC$12:$AF$12,0)+4*(INT(SUBSTITUTE(RIGHT($C157,2),"+",""))-1))</f>
        <v>30</v>
      </c>
      <c r="K157" s="3">
        <f>INDEX([1]角色基础!$AC$16:$CJ$45,MATCH($AA157,[1]角色基础!$J$16:$J$45,0),MATCH(K$2,[1]角色基础!$AC$12:$AF$12,0)+4*(INT(SUBSTITUTE(RIGHT($C157,2),"+",""))-1))</f>
        <v>15</v>
      </c>
      <c r="L157" s="3">
        <f>INDEX([1]角色基础!$AC$16:$CJ$45,MATCH($AA157,[1]角色基础!$J$16:$J$45,0),MATCH(L$2,[1]角色基础!$AC$12:$AF$12,0)+4*(INT(SUBSTITUTE(RIGHT($C157,2),"+",""))-1))</f>
        <v>15</v>
      </c>
      <c r="M157" s="2">
        <v>0</v>
      </c>
      <c r="N157" s="2">
        <v>0</v>
      </c>
      <c r="O157" s="2">
        <v>0</v>
      </c>
      <c r="P157" s="2">
        <v>0</v>
      </c>
      <c r="Q157" s="2">
        <v>4</v>
      </c>
      <c r="R157" s="18">
        <v>0</v>
      </c>
      <c r="S157" s="18">
        <v>3750</v>
      </c>
      <c r="T157" s="18">
        <v>150</v>
      </c>
      <c r="U157" s="18">
        <v>75</v>
      </c>
      <c r="V157" s="18">
        <v>75</v>
      </c>
      <c r="W157" s="91">
        <v>0</v>
      </c>
      <c r="X157" s="91">
        <v>0</v>
      </c>
      <c r="Y157" s="91">
        <v>0</v>
      </c>
      <c r="Z157" s="91">
        <v>0</v>
      </c>
      <c r="AA157" s="92" t="s">
        <v>175</v>
      </c>
    </row>
    <row r="158" spans="1:27" s="92" customFormat="1">
      <c r="A158" s="2">
        <v>5205</v>
      </c>
      <c r="B158" s="2" t="s">
        <v>44</v>
      </c>
      <c r="C158" s="2" t="s">
        <v>37</v>
      </c>
      <c r="D158" s="2">
        <v>10045</v>
      </c>
      <c r="E158" s="2">
        <v>240000</v>
      </c>
      <c r="F158" s="2" t="s">
        <v>85</v>
      </c>
      <c r="G158" s="2">
        <v>1</v>
      </c>
      <c r="H158" s="43">
        <v>0</v>
      </c>
      <c r="I158" s="3">
        <f>INDEX([1]角色基础!$AC$16:$CJ$45,MATCH($AA158,[1]角色基础!$J$16:$J$45,0),MATCH(I$2,[1]角色基础!$AC$12:$AF$12,0)+4*(INT(SUBSTITUTE(RIGHT($C158,2),"+",""))-1))</f>
        <v>938</v>
      </c>
      <c r="J158" s="3">
        <f>INDEX([1]角色基础!$AC$16:$CJ$45,MATCH($AA158,[1]角色基础!$J$16:$J$45,0),MATCH(J$2,[1]角色基础!$AC$12:$AF$12,0)+4*(INT(SUBSTITUTE(RIGHT($C158,2),"+",""))-1))</f>
        <v>38</v>
      </c>
      <c r="K158" s="3">
        <f>INDEX([1]角色基础!$AC$16:$CJ$45,MATCH($AA158,[1]角色基础!$J$16:$J$45,0),MATCH(K$2,[1]角色基础!$AC$12:$AF$12,0)+4*(INT(SUBSTITUTE(RIGHT($C158,2),"+",""))-1))</f>
        <v>19</v>
      </c>
      <c r="L158" s="3">
        <f>INDEX([1]角色基础!$AC$16:$CJ$45,MATCH($AA158,[1]角色基础!$J$16:$J$45,0),MATCH(L$2,[1]角色基础!$AC$12:$AF$12,0)+4*(INT(SUBSTITUTE(RIGHT($C158,2),"+",""))-1))</f>
        <v>19</v>
      </c>
      <c r="M158" s="2">
        <v>0</v>
      </c>
      <c r="N158" s="2">
        <v>0</v>
      </c>
      <c r="O158" s="2">
        <v>0</v>
      </c>
      <c r="P158" s="2">
        <v>0</v>
      </c>
      <c r="Q158" s="2">
        <v>5</v>
      </c>
      <c r="R158" s="18">
        <v>0</v>
      </c>
      <c r="S158" s="18">
        <v>3750</v>
      </c>
      <c r="T158" s="18">
        <v>150</v>
      </c>
      <c r="U158" s="18">
        <v>75</v>
      </c>
      <c r="V158" s="18">
        <v>75</v>
      </c>
      <c r="W158" s="91">
        <v>0</v>
      </c>
      <c r="X158" s="91">
        <v>0</v>
      </c>
      <c r="Y158" s="91">
        <v>0</v>
      </c>
      <c r="Z158" s="91">
        <v>0</v>
      </c>
      <c r="AA158" s="92" t="s">
        <v>175</v>
      </c>
    </row>
    <row r="159" spans="1:27" s="92" customFormat="1">
      <c r="A159" s="2">
        <v>5206</v>
      </c>
      <c r="B159" s="2" t="s">
        <v>45</v>
      </c>
      <c r="C159" s="2" t="s">
        <v>38</v>
      </c>
      <c r="D159" s="2">
        <v>10055</v>
      </c>
      <c r="E159" s="2">
        <v>360000</v>
      </c>
      <c r="F159" s="2" t="s">
        <v>86</v>
      </c>
      <c r="G159" s="2">
        <v>2</v>
      </c>
      <c r="H159" s="43">
        <v>0</v>
      </c>
      <c r="I159" s="3">
        <f>INDEX([1]角色基础!$AC$16:$CJ$45,MATCH($AA159,[1]角色基础!$J$16:$J$45,0),MATCH(I$2,[1]角色基础!$AC$12:$AF$12,0)+4*(INT(SUBSTITUTE(RIGHT($C159,2),"+",""))-1))</f>
        <v>1125</v>
      </c>
      <c r="J159" s="3">
        <f>INDEX([1]角色基础!$AC$16:$CJ$45,MATCH($AA159,[1]角色基础!$J$16:$J$45,0),MATCH(J$2,[1]角色基础!$AC$12:$AF$12,0)+4*(INT(SUBSTITUTE(RIGHT($C159,2),"+",""))-1))</f>
        <v>45</v>
      </c>
      <c r="K159" s="3">
        <f>INDEX([1]角色基础!$AC$16:$CJ$45,MATCH($AA159,[1]角色基础!$J$16:$J$45,0),MATCH(K$2,[1]角色基础!$AC$12:$AF$12,0)+4*(INT(SUBSTITUTE(RIGHT($C159,2),"+",""))-1))</f>
        <v>23</v>
      </c>
      <c r="L159" s="3">
        <f>INDEX([1]角色基础!$AC$16:$CJ$45,MATCH($AA159,[1]角色基础!$J$16:$J$45,0),MATCH(L$2,[1]角色基础!$AC$12:$AF$12,0)+4*(INT(SUBSTITUTE(RIGHT($C159,2),"+",""))-1))</f>
        <v>23</v>
      </c>
      <c r="M159" s="2">
        <v>0</v>
      </c>
      <c r="N159" s="2">
        <v>0</v>
      </c>
      <c r="O159" s="2">
        <v>0</v>
      </c>
      <c r="P159" s="2">
        <v>0</v>
      </c>
      <c r="Q159" s="2">
        <v>6</v>
      </c>
      <c r="R159" s="18">
        <v>0</v>
      </c>
      <c r="S159" s="18">
        <v>3750</v>
      </c>
      <c r="T159" s="18">
        <v>150</v>
      </c>
      <c r="U159" s="18">
        <v>75</v>
      </c>
      <c r="V159" s="18">
        <v>75</v>
      </c>
      <c r="W159" s="91">
        <v>0</v>
      </c>
      <c r="X159" s="91">
        <v>0</v>
      </c>
      <c r="Y159" s="91">
        <v>0</v>
      </c>
      <c r="Z159" s="91">
        <v>0</v>
      </c>
      <c r="AA159" s="92" t="s">
        <v>175</v>
      </c>
    </row>
    <row r="160" spans="1:27" s="92" customFormat="1">
      <c r="A160" s="2">
        <v>5207</v>
      </c>
      <c r="B160" s="2" t="s">
        <v>46</v>
      </c>
      <c r="C160" s="2" t="s">
        <v>39</v>
      </c>
      <c r="D160" s="2">
        <v>10065</v>
      </c>
      <c r="E160" s="2">
        <v>600000</v>
      </c>
      <c r="F160" s="2" t="s">
        <v>87</v>
      </c>
      <c r="G160" s="2">
        <v>2</v>
      </c>
      <c r="H160" s="43">
        <v>0</v>
      </c>
      <c r="I160" s="3">
        <f>INDEX([1]角色基础!$AC$16:$CJ$45,MATCH($AA160,[1]角色基础!$J$16:$J$45,0),MATCH(I$2,[1]角色基础!$AC$12:$AF$12,0)+4*(INT(SUBSTITUTE(RIGHT($C160,2),"+",""))-1))</f>
        <v>1313</v>
      </c>
      <c r="J160" s="3">
        <f>INDEX([1]角色基础!$AC$16:$CJ$45,MATCH($AA160,[1]角色基础!$J$16:$J$45,0),MATCH(J$2,[1]角色基础!$AC$12:$AF$12,0)+4*(INT(SUBSTITUTE(RIGHT($C160,2),"+",""))-1))</f>
        <v>53</v>
      </c>
      <c r="K160" s="3">
        <f>INDEX([1]角色基础!$AC$16:$CJ$45,MATCH($AA160,[1]角色基础!$J$16:$J$45,0),MATCH(K$2,[1]角色基础!$AC$12:$AF$12,0)+4*(INT(SUBSTITUTE(RIGHT($C160,2),"+",""))-1))</f>
        <v>26</v>
      </c>
      <c r="L160" s="3">
        <f>INDEX([1]角色基础!$AC$16:$CJ$45,MATCH($AA160,[1]角色基础!$J$16:$J$45,0),MATCH(L$2,[1]角色基础!$AC$12:$AF$12,0)+4*(INT(SUBSTITUTE(RIGHT($C160,2),"+",""))-1))</f>
        <v>26</v>
      </c>
      <c r="M160" s="2">
        <v>0</v>
      </c>
      <c r="N160" s="2">
        <v>0</v>
      </c>
      <c r="O160" s="2">
        <v>0</v>
      </c>
      <c r="P160" s="2">
        <v>0</v>
      </c>
      <c r="Q160" s="2">
        <v>7</v>
      </c>
      <c r="R160" s="18">
        <v>0</v>
      </c>
      <c r="S160" s="18">
        <v>3750</v>
      </c>
      <c r="T160" s="18">
        <v>150</v>
      </c>
      <c r="U160" s="18">
        <v>75</v>
      </c>
      <c r="V160" s="18">
        <v>75</v>
      </c>
      <c r="W160" s="91">
        <v>0</v>
      </c>
      <c r="X160" s="91">
        <v>0</v>
      </c>
      <c r="Y160" s="91">
        <v>0</v>
      </c>
      <c r="Z160" s="91">
        <v>0</v>
      </c>
      <c r="AA160" s="92" t="s">
        <v>175</v>
      </c>
    </row>
    <row r="161" spans="1:27" s="92" customFormat="1">
      <c r="A161" s="2">
        <v>5208</v>
      </c>
      <c r="B161" s="2" t="s">
        <v>47</v>
      </c>
      <c r="C161" s="2" t="s">
        <v>40</v>
      </c>
      <c r="D161" s="2">
        <v>10075</v>
      </c>
      <c r="E161" s="2">
        <v>1000000</v>
      </c>
      <c r="F161" s="2" t="s">
        <v>88</v>
      </c>
      <c r="G161" s="2">
        <v>4</v>
      </c>
      <c r="H161" s="43">
        <v>0</v>
      </c>
      <c r="I161" s="3">
        <f>INDEX([1]角色基础!$AC$16:$CJ$45,MATCH($AA161,[1]角色基础!$J$16:$J$45,0),MATCH(I$2,[1]角色基础!$AC$12:$AF$12,0)+4*(INT(SUBSTITUTE(RIGHT($C161,2),"+",""))-1))</f>
        <v>1500</v>
      </c>
      <c r="J161" s="3">
        <f>INDEX([1]角色基础!$AC$16:$CJ$45,MATCH($AA161,[1]角色基础!$J$16:$J$45,0),MATCH(J$2,[1]角色基础!$AC$12:$AF$12,0)+4*(INT(SUBSTITUTE(RIGHT($C161,2),"+",""))-1))</f>
        <v>60</v>
      </c>
      <c r="K161" s="3">
        <f>INDEX([1]角色基础!$AC$16:$CJ$45,MATCH($AA161,[1]角色基础!$J$16:$J$45,0),MATCH(K$2,[1]角色基础!$AC$12:$AF$12,0)+4*(INT(SUBSTITUTE(RIGHT($C161,2),"+",""))-1))</f>
        <v>30</v>
      </c>
      <c r="L161" s="3">
        <f>INDEX([1]角色基础!$AC$16:$CJ$45,MATCH($AA161,[1]角色基础!$J$16:$J$45,0),MATCH(L$2,[1]角色基础!$AC$12:$AF$12,0)+4*(INT(SUBSTITUTE(RIGHT($C161,2),"+",""))-1))</f>
        <v>30</v>
      </c>
      <c r="M161" s="2">
        <v>0</v>
      </c>
      <c r="N161" s="2">
        <v>0</v>
      </c>
      <c r="O161" s="2">
        <v>0</v>
      </c>
      <c r="P161" s="2">
        <v>0</v>
      </c>
      <c r="Q161" s="2">
        <v>8</v>
      </c>
      <c r="R161" s="18">
        <v>0</v>
      </c>
      <c r="S161" s="18">
        <v>3750</v>
      </c>
      <c r="T161" s="18">
        <v>150</v>
      </c>
      <c r="U161" s="18">
        <v>75</v>
      </c>
      <c r="V161" s="18">
        <v>75</v>
      </c>
      <c r="W161" s="91">
        <v>0</v>
      </c>
      <c r="X161" s="91">
        <v>0</v>
      </c>
      <c r="Y161" s="91">
        <v>0</v>
      </c>
      <c r="Z161" s="91">
        <v>0</v>
      </c>
      <c r="AA161" s="92" t="s">
        <v>175</v>
      </c>
    </row>
    <row r="162" spans="1:27" s="92" customFormat="1">
      <c r="A162" s="2">
        <v>5209</v>
      </c>
      <c r="B162" s="2" t="s">
        <v>69</v>
      </c>
      <c r="C162" s="2" t="s">
        <v>32</v>
      </c>
      <c r="D162" s="2">
        <v>10085</v>
      </c>
      <c r="E162" s="2">
        <v>1500000</v>
      </c>
      <c r="F162" s="2" t="s">
        <v>89</v>
      </c>
      <c r="G162" s="2">
        <v>6</v>
      </c>
      <c r="H162" s="43">
        <v>0</v>
      </c>
      <c r="I162" s="3">
        <f>INDEX([1]角色基础!$AC$16:$CJ$45,MATCH($AA162,[1]角色基础!$J$16:$J$45,0),MATCH(I$2,[1]角色基础!$AC$12:$AF$12,0)+4*(INT(SUBSTITUTE(RIGHT($C162,2),"+",""))-1))</f>
        <v>1688</v>
      </c>
      <c r="J162" s="3">
        <f>INDEX([1]角色基础!$AC$16:$CJ$45,MATCH($AA162,[1]角色基础!$J$16:$J$45,0),MATCH(J$2,[1]角色基础!$AC$12:$AF$12,0)+4*(INT(SUBSTITUTE(RIGHT($C162,2),"+",""))-1))</f>
        <v>68</v>
      </c>
      <c r="K162" s="3">
        <f>INDEX([1]角色基础!$AC$16:$CJ$45,MATCH($AA162,[1]角色基础!$J$16:$J$45,0),MATCH(K$2,[1]角色基础!$AC$12:$AF$12,0)+4*(INT(SUBSTITUTE(RIGHT($C162,2),"+",""))-1))</f>
        <v>34</v>
      </c>
      <c r="L162" s="3">
        <f>INDEX([1]角色基础!$AC$16:$CJ$45,MATCH($AA162,[1]角色基础!$J$16:$J$45,0),MATCH(L$2,[1]角色基础!$AC$12:$AF$12,0)+4*(INT(SUBSTITUTE(RIGHT($C162,2),"+",""))-1))</f>
        <v>34</v>
      </c>
      <c r="M162" s="2">
        <v>0</v>
      </c>
      <c r="N162" s="2">
        <v>0</v>
      </c>
      <c r="O162" s="2">
        <v>0</v>
      </c>
      <c r="P162" s="2">
        <v>0</v>
      </c>
      <c r="Q162" s="2">
        <v>9</v>
      </c>
      <c r="R162" s="18">
        <v>0</v>
      </c>
      <c r="S162" s="18">
        <v>3750</v>
      </c>
      <c r="T162" s="18">
        <v>150</v>
      </c>
      <c r="U162" s="18">
        <v>75</v>
      </c>
      <c r="V162" s="18">
        <v>75</v>
      </c>
      <c r="W162" s="91">
        <v>0</v>
      </c>
      <c r="X162" s="91">
        <v>0</v>
      </c>
      <c r="Y162" s="91">
        <v>0</v>
      </c>
      <c r="Z162" s="91">
        <v>0</v>
      </c>
      <c r="AA162" s="92" t="s">
        <v>175</v>
      </c>
    </row>
    <row r="163" spans="1:27" s="92" customFormat="1">
      <c r="A163" s="2">
        <v>5210</v>
      </c>
      <c r="B163" s="2" t="s">
        <v>71</v>
      </c>
      <c r="C163" s="2" t="s">
        <v>31</v>
      </c>
      <c r="D163" s="2">
        <v>10095</v>
      </c>
      <c r="E163" s="2">
        <v>2000000</v>
      </c>
      <c r="F163" s="2" t="s">
        <v>90</v>
      </c>
      <c r="G163" s="2">
        <v>8</v>
      </c>
      <c r="H163" s="43">
        <v>0</v>
      </c>
      <c r="I163" s="3">
        <f>INDEX([1]角色基础!$AC$16:$CJ$45,MATCH($AA163,[1]角色基础!$J$16:$J$45,0),MATCH(I$2,[1]角色基础!$AC$12:$AF$12,0)+4*(INT(SUBSTITUTE(RIGHT($C163,2),"+",""))-1))</f>
        <v>1875</v>
      </c>
      <c r="J163" s="3">
        <f>INDEX([1]角色基础!$AC$16:$CJ$45,MATCH($AA163,[1]角色基础!$J$16:$J$45,0),MATCH(J$2,[1]角色基础!$AC$12:$AF$12,0)+4*(INT(SUBSTITUTE(RIGHT($C163,2),"+",""))-1))</f>
        <v>75</v>
      </c>
      <c r="K163" s="3">
        <f>INDEX([1]角色基础!$AC$16:$CJ$45,MATCH($AA163,[1]角色基础!$J$16:$J$45,0),MATCH(K$2,[1]角色基础!$AC$12:$AF$12,0)+4*(INT(SUBSTITUTE(RIGHT($C163,2),"+",""))-1))</f>
        <v>38</v>
      </c>
      <c r="L163" s="3">
        <f>INDEX([1]角色基础!$AC$16:$CJ$45,MATCH($AA163,[1]角色基础!$J$16:$J$45,0),MATCH(L$2,[1]角色基础!$AC$12:$AF$12,0)+4*(INT(SUBSTITUTE(RIGHT($C163,2),"+",""))-1))</f>
        <v>38</v>
      </c>
      <c r="M163" s="2">
        <v>0</v>
      </c>
      <c r="N163" s="2">
        <v>0</v>
      </c>
      <c r="O163" s="2">
        <v>0</v>
      </c>
      <c r="P163" s="2">
        <v>0</v>
      </c>
      <c r="Q163" s="2">
        <v>10</v>
      </c>
      <c r="R163" s="18">
        <v>0</v>
      </c>
      <c r="S163" s="18">
        <v>3750</v>
      </c>
      <c r="T163" s="18">
        <v>150</v>
      </c>
      <c r="U163" s="18">
        <v>75</v>
      </c>
      <c r="V163" s="18">
        <v>75</v>
      </c>
      <c r="W163" s="91">
        <v>0</v>
      </c>
      <c r="X163" s="91">
        <v>0</v>
      </c>
      <c r="Y163" s="91">
        <v>0</v>
      </c>
      <c r="Z163" s="91">
        <v>0</v>
      </c>
      <c r="AA163" s="92" t="s">
        <v>175</v>
      </c>
    </row>
    <row r="164" spans="1:27" s="92" customFormat="1">
      <c r="A164" s="2">
        <v>5211</v>
      </c>
      <c r="B164" s="2" t="s">
        <v>73</v>
      </c>
      <c r="C164" s="2" t="s">
        <v>74</v>
      </c>
      <c r="D164" s="2">
        <v>10105</v>
      </c>
      <c r="E164" s="2">
        <v>2400000</v>
      </c>
      <c r="F164" s="2" t="s">
        <v>91</v>
      </c>
      <c r="G164" s="2">
        <v>10</v>
      </c>
      <c r="H164" s="43">
        <v>0</v>
      </c>
      <c r="I164" s="3">
        <f>INDEX([1]角色基础!$AC$16:$CJ$45,MATCH($AA164,[1]角色基础!$J$16:$J$45,0),MATCH(I$2,[1]角色基础!$AC$12:$AF$12,0)+4*(INT(SUBSTITUTE(RIGHT($C164,2),"+",""))-1))</f>
        <v>2063</v>
      </c>
      <c r="J164" s="3">
        <f>INDEX([1]角色基础!$AC$16:$CJ$45,MATCH($AA164,[1]角色基础!$J$16:$J$45,0),MATCH(J$2,[1]角色基础!$AC$12:$AF$12,0)+4*(INT(SUBSTITUTE(RIGHT($C164,2),"+",""))-1))</f>
        <v>83</v>
      </c>
      <c r="K164" s="3">
        <f>INDEX([1]角色基础!$AC$16:$CJ$45,MATCH($AA164,[1]角色基础!$J$16:$J$45,0),MATCH(K$2,[1]角色基础!$AC$12:$AF$12,0)+4*(INT(SUBSTITUTE(RIGHT($C164,2),"+",""))-1))</f>
        <v>41</v>
      </c>
      <c r="L164" s="3">
        <f>INDEX([1]角色基础!$AC$16:$CJ$45,MATCH($AA164,[1]角色基础!$J$16:$J$45,0),MATCH(L$2,[1]角色基础!$AC$12:$AF$12,0)+4*(INT(SUBSTITUTE(RIGHT($C164,2),"+",""))-1))</f>
        <v>41</v>
      </c>
      <c r="M164" s="2">
        <v>0</v>
      </c>
      <c r="N164" s="2">
        <v>0</v>
      </c>
      <c r="O164" s="2">
        <v>0</v>
      </c>
      <c r="P164" s="2">
        <v>0</v>
      </c>
      <c r="Q164" s="2">
        <v>11</v>
      </c>
      <c r="R164" s="18">
        <v>0</v>
      </c>
      <c r="S164" s="18">
        <v>3750</v>
      </c>
      <c r="T164" s="18">
        <v>150</v>
      </c>
      <c r="U164" s="18">
        <v>75</v>
      </c>
      <c r="V164" s="18">
        <v>75</v>
      </c>
      <c r="W164" s="91">
        <v>0</v>
      </c>
      <c r="X164" s="91">
        <v>0</v>
      </c>
      <c r="Y164" s="91">
        <v>0</v>
      </c>
      <c r="Z164" s="91">
        <v>0</v>
      </c>
      <c r="AA164" s="92" t="s">
        <v>175</v>
      </c>
    </row>
    <row r="165" spans="1:27" s="92" customFormat="1">
      <c r="A165" s="2">
        <v>5212</v>
      </c>
      <c r="B165" s="2" t="s">
        <v>75</v>
      </c>
      <c r="C165" s="2" t="s">
        <v>76</v>
      </c>
      <c r="D165" s="2">
        <v>10115</v>
      </c>
      <c r="E165" s="2">
        <v>3000000</v>
      </c>
      <c r="F165" s="2" t="s">
        <v>114</v>
      </c>
      <c r="G165" s="2">
        <v>12</v>
      </c>
      <c r="H165" s="43">
        <v>0</v>
      </c>
      <c r="I165" s="3">
        <f>INDEX([1]角色基础!$AC$16:$CJ$45,MATCH($AA165,[1]角色基础!$J$16:$J$45,0),MATCH(I$2,[1]角色基础!$AC$12:$AF$12,0)+4*(INT(SUBSTITUTE(RIGHT($C165,2),"+",""))-1))</f>
        <v>2250</v>
      </c>
      <c r="J165" s="3">
        <f>INDEX([1]角色基础!$AC$16:$CJ$45,MATCH($AA165,[1]角色基础!$J$16:$J$45,0),MATCH(J$2,[1]角色基础!$AC$12:$AF$12,0)+4*(INT(SUBSTITUTE(RIGHT($C165,2),"+",""))-1))</f>
        <v>90</v>
      </c>
      <c r="K165" s="3">
        <f>INDEX([1]角色基础!$AC$16:$CJ$45,MATCH($AA165,[1]角色基础!$J$16:$J$45,0),MATCH(K$2,[1]角色基础!$AC$12:$AF$12,0)+4*(INT(SUBSTITUTE(RIGHT($C165,2),"+",""))-1))</f>
        <v>45</v>
      </c>
      <c r="L165" s="3">
        <f>INDEX([1]角色基础!$AC$16:$CJ$45,MATCH($AA165,[1]角色基础!$J$16:$J$45,0),MATCH(L$2,[1]角色基础!$AC$12:$AF$12,0)+4*(INT(SUBSTITUTE(RIGHT($C165,2),"+",""))-1))</f>
        <v>45</v>
      </c>
      <c r="M165" s="2">
        <v>0</v>
      </c>
      <c r="N165" s="2">
        <v>0</v>
      </c>
      <c r="O165" s="2">
        <v>0</v>
      </c>
      <c r="P165" s="2">
        <v>0</v>
      </c>
      <c r="Q165" s="2">
        <v>12</v>
      </c>
      <c r="R165" s="18">
        <v>0</v>
      </c>
      <c r="S165" s="18">
        <v>3750</v>
      </c>
      <c r="T165" s="18">
        <v>150</v>
      </c>
      <c r="U165" s="18">
        <v>75</v>
      </c>
      <c r="V165" s="18">
        <v>75</v>
      </c>
      <c r="W165" s="91">
        <v>0</v>
      </c>
      <c r="X165" s="91">
        <v>0</v>
      </c>
      <c r="Y165" s="91">
        <v>0</v>
      </c>
      <c r="Z165" s="91">
        <v>0</v>
      </c>
      <c r="AA165" s="92" t="s">
        <v>175</v>
      </c>
    </row>
    <row r="166" spans="1:27" s="92" customFormat="1">
      <c r="A166" s="2">
        <v>5213</v>
      </c>
      <c r="B166" s="2" t="s">
        <v>182</v>
      </c>
      <c r="C166" s="2" t="s">
        <v>183</v>
      </c>
      <c r="D166" s="2">
        <v>10125</v>
      </c>
      <c r="E166" s="2">
        <v>3600000</v>
      </c>
      <c r="F166" s="2" t="s">
        <v>188</v>
      </c>
      <c r="G166" s="2">
        <v>14</v>
      </c>
      <c r="H166" s="43">
        <v>0</v>
      </c>
      <c r="I166" s="3">
        <f>INDEX([1]角色基础!$AC$16:$CJ$45,MATCH($AA166,[1]角色基础!$J$16:$J$45,0),MATCH(I$2,[1]角色基础!$AC$12:$AF$12,0)+4*(INT(SUBSTITUTE(RIGHT($C166,2),"+",""))-1))</f>
        <v>2438</v>
      </c>
      <c r="J166" s="3">
        <f>INDEX([1]角色基础!$AC$16:$CJ$45,MATCH($AA166,[1]角色基础!$J$16:$J$45,0),MATCH(J$2,[1]角色基础!$AC$12:$AF$12,0)+4*(INT(SUBSTITUTE(RIGHT($C166,2),"+",""))-1))</f>
        <v>98</v>
      </c>
      <c r="K166" s="3">
        <f>INDEX([1]角色基础!$AC$16:$CJ$45,MATCH($AA166,[1]角色基础!$J$16:$J$45,0),MATCH(K$2,[1]角色基础!$AC$12:$AF$12,0)+4*(INT(SUBSTITUTE(RIGHT($C166,2),"+",""))-1))</f>
        <v>49</v>
      </c>
      <c r="L166" s="3">
        <f>INDEX([1]角色基础!$AC$16:$CJ$45,MATCH($AA166,[1]角色基础!$J$16:$J$45,0),MATCH(L$2,[1]角色基础!$AC$12:$AF$12,0)+4*(INT(SUBSTITUTE(RIGHT($C166,2),"+",""))-1))</f>
        <v>49</v>
      </c>
      <c r="M166" s="2">
        <v>0</v>
      </c>
      <c r="N166" s="2">
        <v>0</v>
      </c>
      <c r="O166" s="2">
        <v>0</v>
      </c>
      <c r="P166" s="2">
        <v>0</v>
      </c>
      <c r="Q166" s="2">
        <v>13</v>
      </c>
      <c r="R166" s="18">
        <v>0</v>
      </c>
      <c r="S166" s="18">
        <v>3750</v>
      </c>
      <c r="T166" s="18">
        <v>150</v>
      </c>
      <c r="U166" s="18">
        <v>75</v>
      </c>
      <c r="V166" s="18">
        <v>75</v>
      </c>
      <c r="W166" s="91">
        <v>0</v>
      </c>
      <c r="X166" s="91">
        <v>0</v>
      </c>
      <c r="Y166" s="91">
        <v>0</v>
      </c>
      <c r="Z166" s="91">
        <v>0</v>
      </c>
      <c r="AA166" s="92" t="s">
        <v>175</v>
      </c>
    </row>
    <row r="167" spans="1:27" s="92" customFormat="1">
      <c r="A167" s="2">
        <v>5214</v>
      </c>
      <c r="B167" s="2" t="s">
        <v>184</v>
      </c>
      <c r="C167" s="2" t="s">
        <v>185</v>
      </c>
      <c r="D167" s="2">
        <v>10135</v>
      </c>
      <c r="E167" s="2">
        <v>4800000</v>
      </c>
      <c r="F167" s="2" t="s">
        <v>190</v>
      </c>
      <c r="G167" s="2">
        <v>16</v>
      </c>
      <c r="H167" s="43">
        <v>0</v>
      </c>
      <c r="I167" s="3">
        <f>INDEX([1]角色基础!$AC$16:$CJ$45,MATCH($AA167,[1]角色基础!$J$16:$J$45,0),MATCH(I$2,[1]角色基础!$AC$12:$AF$12,0)+4*(INT(SUBSTITUTE(RIGHT($C167,2),"+",""))-1))</f>
        <v>2625</v>
      </c>
      <c r="J167" s="3">
        <f>INDEX([1]角色基础!$AC$16:$CJ$45,MATCH($AA167,[1]角色基础!$J$16:$J$45,0),MATCH(J$2,[1]角色基础!$AC$12:$AF$12,0)+4*(INT(SUBSTITUTE(RIGHT($C167,2),"+",""))-1))</f>
        <v>105</v>
      </c>
      <c r="K167" s="3">
        <f>INDEX([1]角色基础!$AC$16:$CJ$45,MATCH($AA167,[1]角色基础!$J$16:$J$45,0),MATCH(K$2,[1]角色基础!$AC$12:$AF$12,0)+4*(INT(SUBSTITUTE(RIGHT($C167,2),"+",""))-1))</f>
        <v>53</v>
      </c>
      <c r="L167" s="3">
        <f>INDEX([1]角色基础!$AC$16:$CJ$45,MATCH($AA167,[1]角色基础!$J$16:$J$45,0),MATCH(L$2,[1]角色基础!$AC$12:$AF$12,0)+4*(INT(SUBSTITUTE(RIGHT($C167,2),"+",""))-1))</f>
        <v>53</v>
      </c>
      <c r="M167" s="2">
        <v>0</v>
      </c>
      <c r="N167" s="2">
        <v>0</v>
      </c>
      <c r="O167" s="2">
        <v>0</v>
      </c>
      <c r="P167" s="2">
        <v>0</v>
      </c>
      <c r="Q167" s="2">
        <v>14</v>
      </c>
      <c r="R167" s="18">
        <v>0</v>
      </c>
      <c r="S167" s="18">
        <v>3750</v>
      </c>
      <c r="T167" s="18">
        <v>150</v>
      </c>
      <c r="U167" s="18">
        <v>75</v>
      </c>
      <c r="V167" s="18">
        <v>75</v>
      </c>
      <c r="W167" s="91">
        <v>0</v>
      </c>
      <c r="X167" s="91">
        <v>0</v>
      </c>
      <c r="Y167" s="91">
        <v>0</v>
      </c>
      <c r="Z167" s="91">
        <v>0</v>
      </c>
      <c r="AA167" s="92" t="s">
        <v>175</v>
      </c>
    </row>
    <row r="168" spans="1:27" s="92" customFormat="1">
      <c r="A168" s="2">
        <v>5215</v>
      </c>
      <c r="B168" s="2" t="s">
        <v>186</v>
      </c>
      <c r="C168" s="2" t="s">
        <v>187</v>
      </c>
      <c r="D168" s="2">
        <v>10145</v>
      </c>
      <c r="E168" s="2">
        <v>6000000</v>
      </c>
      <c r="F168" s="2" t="s">
        <v>192</v>
      </c>
      <c r="G168" s="2">
        <v>20</v>
      </c>
      <c r="H168" s="43">
        <v>0</v>
      </c>
      <c r="I168" s="3">
        <f>INDEX([1]角色基础!$AC$16:$CJ$45,MATCH($AA168,[1]角色基础!$J$16:$J$45,0),MATCH(I$2,[1]角色基础!$AC$12:$AF$12,0)+4*(INT(SUBSTITUTE(RIGHT($C168,2),"+",""))-1))</f>
        <v>2813</v>
      </c>
      <c r="J168" s="3">
        <f>INDEX([1]角色基础!$AC$16:$CJ$45,MATCH($AA168,[1]角色基础!$J$16:$J$45,0),MATCH(J$2,[1]角色基础!$AC$12:$AF$12,0)+4*(INT(SUBSTITUTE(RIGHT($C168,2),"+",""))-1))</f>
        <v>113</v>
      </c>
      <c r="K168" s="3">
        <f>INDEX([1]角色基础!$AC$16:$CJ$45,MATCH($AA168,[1]角色基础!$J$16:$J$45,0),MATCH(K$2,[1]角色基础!$AC$12:$AF$12,0)+4*(INT(SUBSTITUTE(RIGHT($C168,2),"+",""))-1))</f>
        <v>56</v>
      </c>
      <c r="L168" s="3">
        <f>INDEX([1]角色基础!$AC$16:$CJ$45,MATCH($AA168,[1]角色基础!$J$16:$J$45,0),MATCH(L$2,[1]角色基础!$AC$12:$AF$12,0)+4*(INT(SUBSTITUTE(RIGHT($C168,2),"+",""))-1))</f>
        <v>56</v>
      </c>
      <c r="M168" s="2">
        <v>0</v>
      </c>
      <c r="N168" s="2">
        <v>0</v>
      </c>
      <c r="O168" s="2">
        <v>0</v>
      </c>
      <c r="P168" s="2">
        <v>0</v>
      </c>
      <c r="Q168" s="2">
        <v>15</v>
      </c>
      <c r="R168" s="18">
        <v>0</v>
      </c>
      <c r="S168" s="18">
        <v>3750</v>
      </c>
      <c r="T168" s="18">
        <v>150</v>
      </c>
      <c r="U168" s="18">
        <v>75</v>
      </c>
      <c r="V168" s="18">
        <v>75</v>
      </c>
      <c r="W168" s="91">
        <v>0</v>
      </c>
      <c r="X168" s="91">
        <v>0</v>
      </c>
      <c r="Y168" s="91">
        <v>0</v>
      </c>
      <c r="Z168" s="91">
        <v>0</v>
      </c>
      <c r="AA168" s="92" t="s">
        <v>175</v>
      </c>
    </row>
    <row r="169" spans="1:27" s="77" customFormat="1">
      <c r="A169" s="72">
        <v>5301</v>
      </c>
      <c r="B169" s="72" t="s">
        <v>121</v>
      </c>
      <c r="C169" s="72" t="s">
        <v>33</v>
      </c>
      <c r="D169" s="72">
        <v>10001</v>
      </c>
      <c r="E169" s="72">
        <v>6000</v>
      </c>
      <c r="F169" s="72" t="s">
        <v>112</v>
      </c>
      <c r="G169" s="72">
        <v>0</v>
      </c>
      <c r="H169" s="73">
        <v>0</v>
      </c>
      <c r="I169" s="74">
        <f>INDEX([1]角色基础!$AC$16:$CJ$45,MATCH($AA169,[1]角色基础!$J$16:$J$45,0),MATCH(I$2,[1]角色基础!$AC$12:$AF$12,0)+4*(INT(SUBSTITUTE(RIGHT($C169,2),"+",""))-1))</f>
        <v>188</v>
      </c>
      <c r="J169" s="74">
        <f>INDEX([1]角色基础!$AC$16:$CJ$45,MATCH($AA169,[1]角色基础!$J$16:$J$45,0),MATCH(J$2,[1]角色基础!$AC$12:$AF$12,0)+4*(INT(SUBSTITUTE(RIGHT($C169,2),"+",""))-1))</f>
        <v>8</v>
      </c>
      <c r="K169" s="74">
        <f>INDEX([1]角色基础!$AC$16:$CJ$45,MATCH($AA169,[1]角色基础!$J$16:$J$45,0),MATCH(K$2,[1]角色基础!$AC$12:$AF$12,0)+4*(INT(SUBSTITUTE(RIGHT($C169,2),"+",""))-1))</f>
        <v>4</v>
      </c>
      <c r="L169" s="74">
        <f>INDEX([1]角色基础!$AC$16:$CJ$45,MATCH($AA169,[1]角色基础!$J$16:$J$45,0),MATCH(L$2,[1]角色基础!$AC$12:$AF$12,0)+4*(INT(SUBSTITUTE(RIGHT($C169,2),"+",""))-1))</f>
        <v>4</v>
      </c>
      <c r="M169" s="72">
        <v>0</v>
      </c>
      <c r="N169" s="72">
        <v>0</v>
      </c>
      <c r="O169" s="72">
        <v>0</v>
      </c>
      <c r="P169" s="72">
        <v>0</v>
      </c>
      <c r="Q169" s="72">
        <v>1</v>
      </c>
      <c r="R169" s="75">
        <v>0</v>
      </c>
      <c r="S169" s="75">
        <v>3750</v>
      </c>
      <c r="T169" s="75">
        <v>150</v>
      </c>
      <c r="U169" s="75">
        <v>75</v>
      </c>
      <c r="V169" s="75">
        <v>75</v>
      </c>
      <c r="W169" s="76">
        <v>0</v>
      </c>
      <c r="X169" s="76">
        <v>0</v>
      </c>
      <c r="Y169" s="76">
        <v>0</v>
      </c>
      <c r="Z169" s="76">
        <v>0</v>
      </c>
      <c r="AA169" s="77" t="s">
        <v>173</v>
      </c>
    </row>
    <row r="170" spans="1:27" s="77" customFormat="1">
      <c r="A170" s="72">
        <v>5302</v>
      </c>
      <c r="B170" s="72" t="s">
        <v>41</v>
      </c>
      <c r="C170" s="72" t="s">
        <v>34</v>
      </c>
      <c r="D170" s="72">
        <v>10015</v>
      </c>
      <c r="E170" s="72">
        <v>24000</v>
      </c>
      <c r="F170" s="72" t="s">
        <v>113</v>
      </c>
      <c r="G170" s="72">
        <v>0</v>
      </c>
      <c r="H170" s="73">
        <v>0</v>
      </c>
      <c r="I170" s="74">
        <f>INDEX([1]角色基础!$AC$16:$CJ$45,MATCH($AA170,[1]角色基础!$J$16:$J$45,0),MATCH(I$2,[1]角色基础!$AC$12:$AF$12,0)+4*(INT(SUBSTITUTE(RIGHT($C170,2),"+",""))-1))</f>
        <v>375</v>
      </c>
      <c r="J170" s="74">
        <f>INDEX([1]角色基础!$AC$16:$CJ$45,MATCH($AA170,[1]角色基础!$J$16:$J$45,0),MATCH(J$2,[1]角色基础!$AC$12:$AF$12,0)+4*(INT(SUBSTITUTE(RIGHT($C170,2),"+",""))-1))</f>
        <v>15</v>
      </c>
      <c r="K170" s="74">
        <f>INDEX([1]角色基础!$AC$16:$CJ$45,MATCH($AA170,[1]角色基础!$J$16:$J$45,0),MATCH(K$2,[1]角色基础!$AC$12:$AF$12,0)+4*(INT(SUBSTITUTE(RIGHT($C170,2),"+",""))-1))</f>
        <v>8</v>
      </c>
      <c r="L170" s="74">
        <f>INDEX([1]角色基础!$AC$16:$CJ$45,MATCH($AA170,[1]角色基础!$J$16:$J$45,0),MATCH(L$2,[1]角色基础!$AC$12:$AF$12,0)+4*(INT(SUBSTITUTE(RIGHT($C170,2),"+",""))-1))</f>
        <v>8</v>
      </c>
      <c r="M170" s="72">
        <v>0</v>
      </c>
      <c r="N170" s="72">
        <v>0</v>
      </c>
      <c r="O170" s="72">
        <v>0</v>
      </c>
      <c r="P170" s="72">
        <v>0</v>
      </c>
      <c r="Q170" s="72">
        <v>2</v>
      </c>
      <c r="R170" s="75">
        <v>0</v>
      </c>
      <c r="S170" s="75">
        <v>3750</v>
      </c>
      <c r="T170" s="75">
        <v>150</v>
      </c>
      <c r="U170" s="75">
        <v>75</v>
      </c>
      <c r="V170" s="75">
        <v>75</v>
      </c>
      <c r="W170" s="76">
        <v>0</v>
      </c>
      <c r="X170" s="76">
        <v>0</v>
      </c>
      <c r="Y170" s="76">
        <v>0</v>
      </c>
      <c r="Z170" s="76">
        <v>0</v>
      </c>
      <c r="AA170" s="77" t="s">
        <v>173</v>
      </c>
    </row>
    <row r="171" spans="1:27" s="77" customFormat="1">
      <c r="A171" s="72">
        <v>5303</v>
      </c>
      <c r="B171" s="72" t="s">
        <v>42</v>
      </c>
      <c r="C171" s="72" t="s">
        <v>35</v>
      </c>
      <c r="D171" s="72">
        <v>10025</v>
      </c>
      <c r="E171" s="72">
        <v>60000</v>
      </c>
      <c r="F171" s="72" t="s">
        <v>29</v>
      </c>
      <c r="G171" s="72">
        <v>0</v>
      </c>
      <c r="H171" s="73">
        <v>0</v>
      </c>
      <c r="I171" s="74">
        <f>INDEX([1]角色基础!$AC$16:$CJ$45,MATCH($AA171,[1]角色基础!$J$16:$J$45,0),MATCH(I$2,[1]角色基础!$AC$12:$AF$12,0)+4*(INT(SUBSTITUTE(RIGHT($C171,2),"+",""))-1))</f>
        <v>563</v>
      </c>
      <c r="J171" s="74">
        <f>INDEX([1]角色基础!$AC$16:$CJ$45,MATCH($AA171,[1]角色基础!$J$16:$J$45,0),MATCH(J$2,[1]角色基础!$AC$12:$AF$12,0)+4*(INT(SUBSTITUTE(RIGHT($C171,2),"+",""))-1))</f>
        <v>23</v>
      </c>
      <c r="K171" s="74">
        <f>INDEX([1]角色基础!$AC$16:$CJ$45,MATCH($AA171,[1]角色基础!$J$16:$J$45,0),MATCH(K$2,[1]角色基础!$AC$12:$AF$12,0)+4*(INT(SUBSTITUTE(RIGHT($C171,2),"+",""))-1))</f>
        <v>11</v>
      </c>
      <c r="L171" s="74">
        <f>INDEX([1]角色基础!$AC$16:$CJ$45,MATCH($AA171,[1]角色基础!$J$16:$J$45,0),MATCH(L$2,[1]角色基础!$AC$12:$AF$12,0)+4*(INT(SUBSTITUTE(RIGHT($C171,2),"+",""))-1))</f>
        <v>11</v>
      </c>
      <c r="M171" s="72">
        <v>0</v>
      </c>
      <c r="N171" s="72">
        <v>0</v>
      </c>
      <c r="O171" s="72">
        <v>0</v>
      </c>
      <c r="P171" s="72">
        <v>0</v>
      </c>
      <c r="Q171" s="72">
        <v>3</v>
      </c>
      <c r="R171" s="75">
        <v>0</v>
      </c>
      <c r="S171" s="75">
        <v>3750</v>
      </c>
      <c r="T171" s="75">
        <v>150</v>
      </c>
      <c r="U171" s="75">
        <v>75</v>
      </c>
      <c r="V171" s="75">
        <v>75</v>
      </c>
      <c r="W171" s="76">
        <v>0</v>
      </c>
      <c r="X171" s="76">
        <v>0</v>
      </c>
      <c r="Y171" s="76">
        <v>0</v>
      </c>
      <c r="Z171" s="76">
        <v>0</v>
      </c>
      <c r="AA171" s="77" t="s">
        <v>173</v>
      </c>
    </row>
    <row r="172" spans="1:27" s="77" customFormat="1">
      <c r="A172" s="72">
        <v>5304</v>
      </c>
      <c r="B172" s="72" t="s">
        <v>43</v>
      </c>
      <c r="C172" s="72" t="s">
        <v>36</v>
      </c>
      <c r="D172" s="72">
        <v>10035</v>
      </c>
      <c r="E172" s="72">
        <v>120000</v>
      </c>
      <c r="F172" s="72" t="s">
        <v>84</v>
      </c>
      <c r="G172" s="72">
        <v>1</v>
      </c>
      <c r="H172" s="73">
        <v>0</v>
      </c>
      <c r="I172" s="74">
        <f>INDEX([1]角色基础!$AC$16:$CJ$45,MATCH($AA172,[1]角色基础!$J$16:$J$45,0),MATCH(I$2,[1]角色基础!$AC$12:$AF$12,0)+4*(INT(SUBSTITUTE(RIGHT($C172,2),"+",""))-1))</f>
        <v>750</v>
      </c>
      <c r="J172" s="74">
        <f>INDEX([1]角色基础!$AC$16:$CJ$45,MATCH($AA172,[1]角色基础!$J$16:$J$45,0),MATCH(J$2,[1]角色基础!$AC$12:$AF$12,0)+4*(INT(SUBSTITUTE(RIGHT($C172,2),"+",""))-1))</f>
        <v>30</v>
      </c>
      <c r="K172" s="74">
        <f>INDEX([1]角色基础!$AC$16:$CJ$45,MATCH($AA172,[1]角色基础!$J$16:$J$45,0),MATCH(K$2,[1]角色基础!$AC$12:$AF$12,0)+4*(INT(SUBSTITUTE(RIGHT($C172,2),"+",""))-1))</f>
        <v>15</v>
      </c>
      <c r="L172" s="74">
        <f>INDEX([1]角色基础!$AC$16:$CJ$45,MATCH($AA172,[1]角色基础!$J$16:$J$45,0),MATCH(L$2,[1]角色基础!$AC$12:$AF$12,0)+4*(INT(SUBSTITUTE(RIGHT($C172,2),"+",""))-1))</f>
        <v>15</v>
      </c>
      <c r="M172" s="72">
        <v>0</v>
      </c>
      <c r="N172" s="72">
        <v>0</v>
      </c>
      <c r="O172" s="72">
        <v>0</v>
      </c>
      <c r="P172" s="72">
        <v>0</v>
      </c>
      <c r="Q172" s="72">
        <v>4</v>
      </c>
      <c r="R172" s="75">
        <v>0</v>
      </c>
      <c r="S172" s="75">
        <v>3750</v>
      </c>
      <c r="T172" s="75">
        <v>150</v>
      </c>
      <c r="U172" s="75">
        <v>75</v>
      </c>
      <c r="V172" s="75">
        <v>75</v>
      </c>
      <c r="W172" s="76">
        <v>0</v>
      </c>
      <c r="X172" s="76">
        <v>0</v>
      </c>
      <c r="Y172" s="76">
        <v>0</v>
      </c>
      <c r="Z172" s="76">
        <v>0</v>
      </c>
      <c r="AA172" s="77" t="s">
        <v>173</v>
      </c>
    </row>
    <row r="173" spans="1:27" s="77" customFormat="1">
      <c r="A173" s="72">
        <v>5305</v>
      </c>
      <c r="B173" s="72" t="s">
        <v>44</v>
      </c>
      <c r="C173" s="72" t="s">
        <v>37</v>
      </c>
      <c r="D173" s="72">
        <v>10045</v>
      </c>
      <c r="E173" s="72">
        <v>240000</v>
      </c>
      <c r="F173" s="72" t="s">
        <v>85</v>
      </c>
      <c r="G173" s="72">
        <v>1</v>
      </c>
      <c r="H173" s="73">
        <v>0</v>
      </c>
      <c r="I173" s="74">
        <f>INDEX([1]角色基础!$AC$16:$CJ$45,MATCH($AA173,[1]角色基础!$J$16:$J$45,0),MATCH(I$2,[1]角色基础!$AC$12:$AF$12,0)+4*(INT(SUBSTITUTE(RIGHT($C173,2),"+",""))-1))</f>
        <v>938</v>
      </c>
      <c r="J173" s="74">
        <f>INDEX([1]角色基础!$AC$16:$CJ$45,MATCH($AA173,[1]角色基础!$J$16:$J$45,0),MATCH(J$2,[1]角色基础!$AC$12:$AF$12,0)+4*(INT(SUBSTITUTE(RIGHT($C173,2),"+",""))-1))</f>
        <v>38</v>
      </c>
      <c r="K173" s="74">
        <f>INDEX([1]角色基础!$AC$16:$CJ$45,MATCH($AA173,[1]角色基础!$J$16:$J$45,0),MATCH(K$2,[1]角色基础!$AC$12:$AF$12,0)+4*(INT(SUBSTITUTE(RIGHT($C173,2),"+",""))-1))</f>
        <v>19</v>
      </c>
      <c r="L173" s="74">
        <f>INDEX([1]角色基础!$AC$16:$CJ$45,MATCH($AA173,[1]角色基础!$J$16:$J$45,0),MATCH(L$2,[1]角色基础!$AC$12:$AF$12,0)+4*(INT(SUBSTITUTE(RIGHT($C173,2),"+",""))-1))</f>
        <v>19</v>
      </c>
      <c r="M173" s="72">
        <v>0</v>
      </c>
      <c r="N173" s="72">
        <v>0</v>
      </c>
      <c r="O173" s="72">
        <v>0</v>
      </c>
      <c r="P173" s="72">
        <v>0</v>
      </c>
      <c r="Q173" s="72">
        <v>5</v>
      </c>
      <c r="R173" s="75">
        <v>0</v>
      </c>
      <c r="S173" s="75">
        <v>3750</v>
      </c>
      <c r="T173" s="75">
        <v>150</v>
      </c>
      <c r="U173" s="75">
        <v>75</v>
      </c>
      <c r="V173" s="75">
        <v>75</v>
      </c>
      <c r="W173" s="76">
        <v>0</v>
      </c>
      <c r="X173" s="76">
        <v>0</v>
      </c>
      <c r="Y173" s="76">
        <v>0</v>
      </c>
      <c r="Z173" s="76">
        <v>0</v>
      </c>
      <c r="AA173" s="77" t="s">
        <v>173</v>
      </c>
    </row>
    <row r="174" spans="1:27" s="77" customFormat="1">
      <c r="A174" s="72">
        <v>5306</v>
      </c>
      <c r="B174" s="72" t="s">
        <v>45</v>
      </c>
      <c r="C174" s="72" t="s">
        <v>38</v>
      </c>
      <c r="D174" s="72">
        <v>10055</v>
      </c>
      <c r="E174" s="72">
        <v>360000</v>
      </c>
      <c r="F174" s="72" t="s">
        <v>86</v>
      </c>
      <c r="G174" s="72">
        <v>2</v>
      </c>
      <c r="H174" s="73">
        <v>0</v>
      </c>
      <c r="I174" s="74">
        <f>INDEX([1]角色基础!$AC$16:$CJ$45,MATCH($AA174,[1]角色基础!$J$16:$J$45,0),MATCH(I$2,[1]角色基础!$AC$12:$AF$12,0)+4*(INT(SUBSTITUTE(RIGHT($C174,2),"+",""))-1))</f>
        <v>1125</v>
      </c>
      <c r="J174" s="74">
        <f>INDEX([1]角色基础!$AC$16:$CJ$45,MATCH($AA174,[1]角色基础!$J$16:$J$45,0),MATCH(J$2,[1]角色基础!$AC$12:$AF$12,0)+4*(INT(SUBSTITUTE(RIGHT($C174,2),"+",""))-1))</f>
        <v>45</v>
      </c>
      <c r="K174" s="74">
        <f>INDEX([1]角色基础!$AC$16:$CJ$45,MATCH($AA174,[1]角色基础!$J$16:$J$45,0),MATCH(K$2,[1]角色基础!$AC$12:$AF$12,0)+4*(INT(SUBSTITUTE(RIGHT($C174,2),"+",""))-1))</f>
        <v>23</v>
      </c>
      <c r="L174" s="74">
        <f>INDEX([1]角色基础!$AC$16:$CJ$45,MATCH($AA174,[1]角色基础!$J$16:$J$45,0),MATCH(L$2,[1]角色基础!$AC$12:$AF$12,0)+4*(INT(SUBSTITUTE(RIGHT($C174,2),"+",""))-1))</f>
        <v>23</v>
      </c>
      <c r="M174" s="72">
        <v>0</v>
      </c>
      <c r="N174" s="72">
        <v>0</v>
      </c>
      <c r="O174" s="72">
        <v>0</v>
      </c>
      <c r="P174" s="72">
        <v>0</v>
      </c>
      <c r="Q174" s="72">
        <v>6</v>
      </c>
      <c r="R174" s="75">
        <v>0</v>
      </c>
      <c r="S174" s="75">
        <v>3750</v>
      </c>
      <c r="T174" s="75">
        <v>150</v>
      </c>
      <c r="U174" s="75">
        <v>75</v>
      </c>
      <c r="V174" s="75">
        <v>75</v>
      </c>
      <c r="W174" s="76">
        <v>0</v>
      </c>
      <c r="X174" s="76">
        <v>0</v>
      </c>
      <c r="Y174" s="76">
        <v>0</v>
      </c>
      <c r="Z174" s="76">
        <v>0</v>
      </c>
      <c r="AA174" s="77" t="s">
        <v>173</v>
      </c>
    </row>
    <row r="175" spans="1:27" s="77" customFormat="1">
      <c r="A175" s="72">
        <v>5307</v>
      </c>
      <c r="B175" s="72" t="s">
        <v>46</v>
      </c>
      <c r="C175" s="72" t="s">
        <v>39</v>
      </c>
      <c r="D175" s="72">
        <v>10065</v>
      </c>
      <c r="E175" s="72">
        <v>600000</v>
      </c>
      <c r="F175" s="72" t="s">
        <v>87</v>
      </c>
      <c r="G175" s="72">
        <v>2</v>
      </c>
      <c r="H175" s="73">
        <v>0</v>
      </c>
      <c r="I175" s="74">
        <f>INDEX([1]角色基础!$AC$16:$CJ$45,MATCH($AA175,[1]角色基础!$J$16:$J$45,0),MATCH(I$2,[1]角色基础!$AC$12:$AF$12,0)+4*(INT(SUBSTITUTE(RIGHT($C175,2),"+",""))-1))</f>
        <v>1313</v>
      </c>
      <c r="J175" s="74">
        <f>INDEX([1]角色基础!$AC$16:$CJ$45,MATCH($AA175,[1]角色基础!$J$16:$J$45,0),MATCH(J$2,[1]角色基础!$AC$12:$AF$12,0)+4*(INT(SUBSTITUTE(RIGHT($C175,2),"+",""))-1))</f>
        <v>53</v>
      </c>
      <c r="K175" s="74">
        <f>INDEX([1]角色基础!$AC$16:$CJ$45,MATCH($AA175,[1]角色基础!$J$16:$J$45,0),MATCH(K$2,[1]角色基础!$AC$12:$AF$12,0)+4*(INT(SUBSTITUTE(RIGHT($C175,2),"+",""))-1))</f>
        <v>26</v>
      </c>
      <c r="L175" s="74">
        <f>INDEX([1]角色基础!$AC$16:$CJ$45,MATCH($AA175,[1]角色基础!$J$16:$J$45,0),MATCH(L$2,[1]角色基础!$AC$12:$AF$12,0)+4*(INT(SUBSTITUTE(RIGHT($C175,2),"+",""))-1))</f>
        <v>26</v>
      </c>
      <c r="M175" s="72">
        <v>0</v>
      </c>
      <c r="N175" s="72">
        <v>0</v>
      </c>
      <c r="O175" s="72">
        <v>0</v>
      </c>
      <c r="P175" s="72">
        <v>0</v>
      </c>
      <c r="Q175" s="72">
        <v>7</v>
      </c>
      <c r="R175" s="75">
        <v>0</v>
      </c>
      <c r="S175" s="75">
        <v>3750</v>
      </c>
      <c r="T175" s="75">
        <v>150</v>
      </c>
      <c r="U175" s="75">
        <v>75</v>
      </c>
      <c r="V175" s="75">
        <v>75</v>
      </c>
      <c r="W175" s="76">
        <v>0</v>
      </c>
      <c r="X175" s="76">
        <v>0</v>
      </c>
      <c r="Y175" s="76">
        <v>0</v>
      </c>
      <c r="Z175" s="76">
        <v>0</v>
      </c>
      <c r="AA175" s="77" t="s">
        <v>173</v>
      </c>
    </row>
    <row r="176" spans="1:27" s="77" customFormat="1">
      <c r="A176" s="72">
        <v>5308</v>
      </c>
      <c r="B176" s="72" t="s">
        <v>47</v>
      </c>
      <c r="C176" s="72" t="s">
        <v>40</v>
      </c>
      <c r="D176" s="72">
        <v>10075</v>
      </c>
      <c r="E176" s="72">
        <v>1000000</v>
      </c>
      <c r="F176" s="72" t="s">
        <v>88</v>
      </c>
      <c r="G176" s="72">
        <v>4</v>
      </c>
      <c r="H176" s="73">
        <v>0</v>
      </c>
      <c r="I176" s="74">
        <f>INDEX([1]角色基础!$AC$16:$CJ$45,MATCH($AA176,[1]角色基础!$J$16:$J$45,0),MATCH(I$2,[1]角色基础!$AC$12:$AF$12,0)+4*(INT(SUBSTITUTE(RIGHT($C176,2),"+",""))-1))</f>
        <v>1500</v>
      </c>
      <c r="J176" s="74">
        <f>INDEX([1]角色基础!$AC$16:$CJ$45,MATCH($AA176,[1]角色基础!$J$16:$J$45,0),MATCH(J$2,[1]角色基础!$AC$12:$AF$12,0)+4*(INT(SUBSTITUTE(RIGHT($C176,2),"+",""))-1))</f>
        <v>60</v>
      </c>
      <c r="K176" s="74">
        <f>INDEX([1]角色基础!$AC$16:$CJ$45,MATCH($AA176,[1]角色基础!$J$16:$J$45,0),MATCH(K$2,[1]角色基础!$AC$12:$AF$12,0)+4*(INT(SUBSTITUTE(RIGHT($C176,2),"+",""))-1))</f>
        <v>30</v>
      </c>
      <c r="L176" s="74">
        <f>INDEX([1]角色基础!$AC$16:$CJ$45,MATCH($AA176,[1]角色基础!$J$16:$J$45,0),MATCH(L$2,[1]角色基础!$AC$12:$AF$12,0)+4*(INT(SUBSTITUTE(RIGHT($C176,2),"+",""))-1))</f>
        <v>30</v>
      </c>
      <c r="M176" s="72">
        <v>0</v>
      </c>
      <c r="N176" s="72">
        <v>0</v>
      </c>
      <c r="O176" s="72">
        <v>0</v>
      </c>
      <c r="P176" s="72">
        <v>0</v>
      </c>
      <c r="Q176" s="72">
        <v>8</v>
      </c>
      <c r="R176" s="75">
        <v>0</v>
      </c>
      <c r="S176" s="75">
        <v>3750</v>
      </c>
      <c r="T176" s="75">
        <v>150</v>
      </c>
      <c r="U176" s="75">
        <v>75</v>
      </c>
      <c r="V176" s="75">
        <v>75</v>
      </c>
      <c r="W176" s="76">
        <v>0</v>
      </c>
      <c r="X176" s="76">
        <v>0</v>
      </c>
      <c r="Y176" s="76">
        <v>0</v>
      </c>
      <c r="Z176" s="76">
        <v>0</v>
      </c>
      <c r="AA176" s="77" t="s">
        <v>173</v>
      </c>
    </row>
    <row r="177" spans="1:27" s="77" customFormat="1">
      <c r="A177" s="72">
        <v>5309</v>
      </c>
      <c r="B177" s="72" t="s">
        <v>69</v>
      </c>
      <c r="C177" s="72" t="s">
        <v>32</v>
      </c>
      <c r="D177" s="72">
        <v>10085</v>
      </c>
      <c r="E177" s="72">
        <v>1500000</v>
      </c>
      <c r="F177" s="72" t="s">
        <v>89</v>
      </c>
      <c r="G177" s="72">
        <v>6</v>
      </c>
      <c r="H177" s="73">
        <v>0</v>
      </c>
      <c r="I177" s="74">
        <f>INDEX([1]角色基础!$AC$16:$CJ$45,MATCH($AA177,[1]角色基础!$J$16:$J$45,0),MATCH(I$2,[1]角色基础!$AC$12:$AF$12,0)+4*(INT(SUBSTITUTE(RIGHT($C177,2),"+",""))-1))</f>
        <v>1688</v>
      </c>
      <c r="J177" s="74">
        <f>INDEX([1]角色基础!$AC$16:$CJ$45,MATCH($AA177,[1]角色基础!$J$16:$J$45,0),MATCH(J$2,[1]角色基础!$AC$12:$AF$12,0)+4*(INT(SUBSTITUTE(RIGHT($C177,2),"+",""))-1))</f>
        <v>68</v>
      </c>
      <c r="K177" s="74">
        <f>INDEX([1]角色基础!$AC$16:$CJ$45,MATCH($AA177,[1]角色基础!$J$16:$J$45,0),MATCH(K$2,[1]角色基础!$AC$12:$AF$12,0)+4*(INT(SUBSTITUTE(RIGHT($C177,2),"+",""))-1))</f>
        <v>34</v>
      </c>
      <c r="L177" s="74">
        <f>INDEX([1]角色基础!$AC$16:$CJ$45,MATCH($AA177,[1]角色基础!$J$16:$J$45,0),MATCH(L$2,[1]角色基础!$AC$12:$AF$12,0)+4*(INT(SUBSTITUTE(RIGHT($C177,2),"+",""))-1))</f>
        <v>34</v>
      </c>
      <c r="M177" s="72">
        <v>0</v>
      </c>
      <c r="N177" s="72">
        <v>0</v>
      </c>
      <c r="O177" s="72">
        <v>0</v>
      </c>
      <c r="P177" s="72">
        <v>0</v>
      </c>
      <c r="Q177" s="72">
        <v>9</v>
      </c>
      <c r="R177" s="75">
        <v>0</v>
      </c>
      <c r="S177" s="75">
        <v>3750</v>
      </c>
      <c r="T177" s="75">
        <v>150</v>
      </c>
      <c r="U177" s="75">
        <v>75</v>
      </c>
      <c r="V177" s="75">
        <v>75</v>
      </c>
      <c r="W177" s="76">
        <v>0</v>
      </c>
      <c r="X177" s="76">
        <v>0</v>
      </c>
      <c r="Y177" s="76">
        <v>0</v>
      </c>
      <c r="Z177" s="76">
        <v>0</v>
      </c>
      <c r="AA177" s="77" t="s">
        <v>173</v>
      </c>
    </row>
    <row r="178" spans="1:27" s="77" customFormat="1">
      <c r="A178" s="72">
        <v>5310</v>
      </c>
      <c r="B178" s="72" t="s">
        <v>71</v>
      </c>
      <c r="C178" s="72" t="s">
        <v>31</v>
      </c>
      <c r="D178" s="72">
        <v>10095</v>
      </c>
      <c r="E178" s="72">
        <v>2000000</v>
      </c>
      <c r="F178" s="72" t="s">
        <v>90</v>
      </c>
      <c r="G178" s="72">
        <v>8</v>
      </c>
      <c r="H178" s="73">
        <v>0</v>
      </c>
      <c r="I178" s="74">
        <f>INDEX([1]角色基础!$AC$16:$CJ$45,MATCH($AA178,[1]角色基础!$J$16:$J$45,0),MATCH(I$2,[1]角色基础!$AC$12:$AF$12,0)+4*(INT(SUBSTITUTE(RIGHT($C178,2),"+",""))-1))</f>
        <v>1875</v>
      </c>
      <c r="J178" s="74">
        <f>INDEX([1]角色基础!$AC$16:$CJ$45,MATCH($AA178,[1]角色基础!$J$16:$J$45,0),MATCH(J$2,[1]角色基础!$AC$12:$AF$12,0)+4*(INT(SUBSTITUTE(RIGHT($C178,2),"+",""))-1))</f>
        <v>75</v>
      </c>
      <c r="K178" s="74">
        <f>INDEX([1]角色基础!$AC$16:$CJ$45,MATCH($AA178,[1]角色基础!$J$16:$J$45,0),MATCH(K$2,[1]角色基础!$AC$12:$AF$12,0)+4*(INT(SUBSTITUTE(RIGHT($C178,2),"+",""))-1))</f>
        <v>38</v>
      </c>
      <c r="L178" s="74">
        <f>INDEX([1]角色基础!$AC$16:$CJ$45,MATCH($AA178,[1]角色基础!$J$16:$J$45,0),MATCH(L$2,[1]角色基础!$AC$12:$AF$12,0)+4*(INT(SUBSTITUTE(RIGHT($C178,2),"+",""))-1))</f>
        <v>38</v>
      </c>
      <c r="M178" s="72">
        <v>0</v>
      </c>
      <c r="N178" s="72">
        <v>0</v>
      </c>
      <c r="O178" s="72">
        <v>0</v>
      </c>
      <c r="P178" s="72">
        <v>0</v>
      </c>
      <c r="Q178" s="72">
        <v>10</v>
      </c>
      <c r="R178" s="75">
        <v>0</v>
      </c>
      <c r="S178" s="75">
        <v>3750</v>
      </c>
      <c r="T178" s="75">
        <v>150</v>
      </c>
      <c r="U178" s="75">
        <v>75</v>
      </c>
      <c r="V178" s="75">
        <v>75</v>
      </c>
      <c r="W178" s="76">
        <v>0</v>
      </c>
      <c r="X178" s="76">
        <v>0</v>
      </c>
      <c r="Y178" s="76">
        <v>0</v>
      </c>
      <c r="Z178" s="76">
        <v>0</v>
      </c>
      <c r="AA178" s="77" t="s">
        <v>173</v>
      </c>
    </row>
    <row r="179" spans="1:27" s="77" customFormat="1">
      <c r="A179" s="72">
        <v>5311</v>
      </c>
      <c r="B179" s="72" t="s">
        <v>73</v>
      </c>
      <c r="C179" s="72" t="s">
        <v>74</v>
      </c>
      <c r="D179" s="72">
        <v>10105</v>
      </c>
      <c r="E179" s="72">
        <v>2400000</v>
      </c>
      <c r="F179" s="72" t="s">
        <v>91</v>
      </c>
      <c r="G179" s="72">
        <v>10</v>
      </c>
      <c r="H179" s="73">
        <v>0</v>
      </c>
      <c r="I179" s="74">
        <f>INDEX([1]角色基础!$AC$16:$CJ$45,MATCH($AA179,[1]角色基础!$J$16:$J$45,0),MATCH(I$2,[1]角色基础!$AC$12:$AF$12,0)+4*(INT(SUBSTITUTE(RIGHT($C179,2),"+",""))-1))</f>
        <v>2063</v>
      </c>
      <c r="J179" s="74">
        <f>INDEX([1]角色基础!$AC$16:$CJ$45,MATCH($AA179,[1]角色基础!$J$16:$J$45,0),MATCH(J$2,[1]角色基础!$AC$12:$AF$12,0)+4*(INT(SUBSTITUTE(RIGHT($C179,2),"+",""))-1))</f>
        <v>83</v>
      </c>
      <c r="K179" s="74">
        <f>INDEX([1]角色基础!$AC$16:$CJ$45,MATCH($AA179,[1]角色基础!$J$16:$J$45,0),MATCH(K$2,[1]角色基础!$AC$12:$AF$12,0)+4*(INT(SUBSTITUTE(RIGHT($C179,2),"+",""))-1))</f>
        <v>41</v>
      </c>
      <c r="L179" s="74">
        <f>INDEX([1]角色基础!$AC$16:$CJ$45,MATCH($AA179,[1]角色基础!$J$16:$J$45,0),MATCH(L$2,[1]角色基础!$AC$12:$AF$12,0)+4*(INT(SUBSTITUTE(RIGHT($C179,2),"+",""))-1))</f>
        <v>41</v>
      </c>
      <c r="M179" s="72">
        <v>0</v>
      </c>
      <c r="N179" s="72">
        <v>0</v>
      </c>
      <c r="O179" s="72">
        <v>0</v>
      </c>
      <c r="P179" s="72">
        <v>0</v>
      </c>
      <c r="Q179" s="72">
        <v>11</v>
      </c>
      <c r="R179" s="75">
        <v>0</v>
      </c>
      <c r="S179" s="75">
        <v>3750</v>
      </c>
      <c r="T179" s="75">
        <v>150</v>
      </c>
      <c r="U179" s="75">
        <v>75</v>
      </c>
      <c r="V179" s="75">
        <v>75</v>
      </c>
      <c r="W179" s="76">
        <v>0</v>
      </c>
      <c r="X179" s="76">
        <v>0</v>
      </c>
      <c r="Y179" s="76">
        <v>0</v>
      </c>
      <c r="Z179" s="76">
        <v>0</v>
      </c>
      <c r="AA179" s="77" t="s">
        <v>173</v>
      </c>
    </row>
    <row r="180" spans="1:27" s="77" customFormat="1">
      <c r="A180" s="72">
        <v>5312</v>
      </c>
      <c r="B180" s="72" t="s">
        <v>75</v>
      </c>
      <c r="C180" s="72" t="s">
        <v>76</v>
      </c>
      <c r="D180" s="72">
        <v>10115</v>
      </c>
      <c r="E180" s="72">
        <v>3000000</v>
      </c>
      <c r="F180" s="72" t="s">
        <v>114</v>
      </c>
      <c r="G180" s="72">
        <v>12</v>
      </c>
      <c r="H180" s="73">
        <v>0</v>
      </c>
      <c r="I180" s="74">
        <f>INDEX([1]角色基础!$AC$16:$CJ$45,MATCH($AA180,[1]角色基础!$J$16:$J$45,0),MATCH(I$2,[1]角色基础!$AC$12:$AF$12,0)+4*(INT(SUBSTITUTE(RIGHT($C180,2),"+",""))-1))</f>
        <v>2250</v>
      </c>
      <c r="J180" s="74">
        <f>INDEX([1]角色基础!$AC$16:$CJ$45,MATCH($AA180,[1]角色基础!$J$16:$J$45,0),MATCH(J$2,[1]角色基础!$AC$12:$AF$12,0)+4*(INT(SUBSTITUTE(RIGHT($C180,2),"+",""))-1))</f>
        <v>90</v>
      </c>
      <c r="K180" s="74">
        <f>INDEX([1]角色基础!$AC$16:$CJ$45,MATCH($AA180,[1]角色基础!$J$16:$J$45,0),MATCH(K$2,[1]角色基础!$AC$12:$AF$12,0)+4*(INT(SUBSTITUTE(RIGHT($C180,2),"+",""))-1))</f>
        <v>45</v>
      </c>
      <c r="L180" s="74">
        <f>INDEX([1]角色基础!$AC$16:$CJ$45,MATCH($AA180,[1]角色基础!$J$16:$J$45,0),MATCH(L$2,[1]角色基础!$AC$12:$AF$12,0)+4*(INT(SUBSTITUTE(RIGHT($C180,2),"+",""))-1))</f>
        <v>45</v>
      </c>
      <c r="M180" s="72">
        <v>0</v>
      </c>
      <c r="N180" s="72">
        <v>0</v>
      </c>
      <c r="O180" s="72">
        <v>0</v>
      </c>
      <c r="P180" s="72">
        <v>0</v>
      </c>
      <c r="Q180" s="72">
        <v>12</v>
      </c>
      <c r="R180" s="75">
        <v>0</v>
      </c>
      <c r="S180" s="75">
        <v>3750</v>
      </c>
      <c r="T180" s="75">
        <v>150</v>
      </c>
      <c r="U180" s="75">
        <v>75</v>
      </c>
      <c r="V180" s="75">
        <v>75</v>
      </c>
      <c r="W180" s="76">
        <v>0</v>
      </c>
      <c r="X180" s="76">
        <v>0</v>
      </c>
      <c r="Y180" s="76">
        <v>0</v>
      </c>
      <c r="Z180" s="76">
        <v>0</v>
      </c>
      <c r="AA180" s="77" t="s">
        <v>173</v>
      </c>
    </row>
    <row r="181" spans="1:27" s="77" customFormat="1">
      <c r="A181" s="72">
        <v>5313</v>
      </c>
      <c r="B181" s="72" t="s">
        <v>182</v>
      </c>
      <c r="C181" s="72" t="s">
        <v>183</v>
      </c>
      <c r="D181" s="72">
        <v>10125</v>
      </c>
      <c r="E181" s="72">
        <v>3600000</v>
      </c>
      <c r="F181" s="72" t="s">
        <v>188</v>
      </c>
      <c r="G181" s="72">
        <v>14</v>
      </c>
      <c r="H181" s="73">
        <v>0</v>
      </c>
      <c r="I181" s="74">
        <f>INDEX([1]角色基础!$AC$16:$CJ$45,MATCH($AA181,[1]角色基础!$J$16:$J$45,0),MATCH(I$2,[1]角色基础!$AC$12:$AF$12,0)+4*(INT(SUBSTITUTE(RIGHT($C181,2),"+",""))-1))</f>
        <v>2438</v>
      </c>
      <c r="J181" s="74">
        <f>INDEX([1]角色基础!$AC$16:$CJ$45,MATCH($AA181,[1]角色基础!$J$16:$J$45,0),MATCH(J$2,[1]角色基础!$AC$12:$AF$12,0)+4*(INT(SUBSTITUTE(RIGHT($C181,2),"+",""))-1))</f>
        <v>98</v>
      </c>
      <c r="K181" s="74">
        <f>INDEX([1]角色基础!$AC$16:$CJ$45,MATCH($AA181,[1]角色基础!$J$16:$J$45,0),MATCH(K$2,[1]角色基础!$AC$12:$AF$12,0)+4*(INT(SUBSTITUTE(RIGHT($C181,2),"+",""))-1))</f>
        <v>49</v>
      </c>
      <c r="L181" s="74">
        <f>INDEX([1]角色基础!$AC$16:$CJ$45,MATCH($AA181,[1]角色基础!$J$16:$J$45,0),MATCH(L$2,[1]角色基础!$AC$12:$AF$12,0)+4*(INT(SUBSTITUTE(RIGHT($C181,2),"+",""))-1))</f>
        <v>49</v>
      </c>
      <c r="M181" s="72">
        <v>0</v>
      </c>
      <c r="N181" s="72">
        <v>0</v>
      </c>
      <c r="O181" s="72">
        <v>0</v>
      </c>
      <c r="P181" s="72">
        <v>0</v>
      </c>
      <c r="Q181" s="72">
        <v>13</v>
      </c>
      <c r="R181" s="75">
        <v>0</v>
      </c>
      <c r="S181" s="75">
        <v>3750</v>
      </c>
      <c r="T181" s="75">
        <v>150</v>
      </c>
      <c r="U181" s="75">
        <v>75</v>
      </c>
      <c r="V181" s="75">
        <v>75</v>
      </c>
      <c r="W181" s="76">
        <v>0</v>
      </c>
      <c r="X181" s="76">
        <v>0</v>
      </c>
      <c r="Y181" s="76">
        <v>0</v>
      </c>
      <c r="Z181" s="76">
        <v>0</v>
      </c>
      <c r="AA181" s="77" t="s">
        <v>173</v>
      </c>
    </row>
    <row r="182" spans="1:27" s="77" customFormat="1">
      <c r="A182" s="72">
        <v>5314</v>
      </c>
      <c r="B182" s="72" t="s">
        <v>184</v>
      </c>
      <c r="C182" s="72" t="s">
        <v>185</v>
      </c>
      <c r="D182" s="72">
        <v>10135</v>
      </c>
      <c r="E182" s="72">
        <v>4800000</v>
      </c>
      <c r="F182" s="72" t="s">
        <v>190</v>
      </c>
      <c r="G182" s="72">
        <v>16</v>
      </c>
      <c r="H182" s="73">
        <v>0</v>
      </c>
      <c r="I182" s="74">
        <f>INDEX([1]角色基础!$AC$16:$CJ$45,MATCH($AA182,[1]角色基础!$J$16:$J$45,0),MATCH(I$2,[1]角色基础!$AC$12:$AF$12,0)+4*(INT(SUBSTITUTE(RIGHT($C182,2),"+",""))-1))</f>
        <v>2625</v>
      </c>
      <c r="J182" s="74">
        <f>INDEX([1]角色基础!$AC$16:$CJ$45,MATCH($AA182,[1]角色基础!$J$16:$J$45,0),MATCH(J$2,[1]角色基础!$AC$12:$AF$12,0)+4*(INT(SUBSTITUTE(RIGHT($C182,2),"+",""))-1))</f>
        <v>105</v>
      </c>
      <c r="K182" s="74">
        <f>INDEX([1]角色基础!$AC$16:$CJ$45,MATCH($AA182,[1]角色基础!$J$16:$J$45,0),MATCH(K$2,[1]角色基础!$AC$12:$AF$12,0)+4*(INT(SUBSTITUTE(RIGHT($C182,2),"+",""))-1))</f>
        <v>53</v>
      </c>
      <c r="L182" s="74">
        <f>INDEX([1]角色基础!$AC$16:$CJ$45,MATCH($AA182,[1]角色基础!$J$16:$J$45,0),MATCH(L$2,[1]角色基础!$AC$12:$AF$12,0)+4*(INT(SUBSTITUTE(RIGHT($C182,2),"+",""))-1))</f>
        <v>53</v>
      </c>
      <c r="M182" s="72">
        <v>0</v>
      </c>
      <c r="N182" s="72">
        <v>0</v>
      </c>
      <c r="O182" s="72">
        <v>0</v>
      </c>
      <c r="P182" s="72">
        <v>0</v>
      </c>
      <c r="Q182" s="72">
        <v>14</v>
      </c>
      <c r="R182" s="75">
        <v>0</v>
      </c>
      <c r="S182" s="75">
        <v>3750</v>
      </c>
      <c r="T182" s="75">
        <v>150</v>
      </c>
      <c r="U182" s="75">
        <v>75</v>
      </c>
      <c r="V182" s="75">
        <v>75</v>
      </c>
      <c r="W182" s="76">
        <v>0</v>
      </c>
      <c r="X182" s="76">
        <v>0</v>
      </c>
      <c r="Y182" s="76">
        <v>0</v>
      </c>
      <c r="Z182" s="76">
        <v>0</v>
      </c>
      <c r="AA182" s="77" t="s">
        <v>173</v>
      </c>
    </row>
    <row r="183" spans="1:27" s="77" customFormat="1">
      <c r="A183" s="72">
        <v>5315</v>
      </c>
      <c r="B183" s="72" t="s">
        <v>186</v>
      </c>
      <c r="C183" s="72" t="s">
        <v>187</v>
      </c>
      <c r="D183" s="72">
        <v>10145</v>
      </c>
      <c r="E183" s="72">
        <v>6000000</v>
      </c>
      <c r="F183" s="72" t="s">
        <v>192</v>
      </c>
      <c r="G183" s="72">
        <v>20</v>
      </c>
      <c r="H183" s="73">
        <v>0</v>
      </c>
      <c r="I183" s="74">
        <f>INDEX([1]角色基础!$AC$16:$CJ$45,MATCH($AA183,[1]角色基础!$J$16:$J$45,0),MATCH(I$2,[1]角色基础!$AC$12:$AF$12,0)+4*(INT(SUBSTITUTE(RIGHT($C183,2),"+",""))-1))</f>
        <v>2813</v>
      </c>
      <c r="J183" s="74">
        <f>INDEX([1]角色基础!$AC$16:$CJ$45,MATCH($AA183,[1]角色基础!$J$16:$J$45,0),MATCH(J$2,[1]角色基础!$AC$12:$AF$12,0)+4*(INT(SUBSTITUTE(RIGHT($C183,2),"+",""))-1))</f>
        <v>113</v>
      </c>
      <c r="K183" s="74">
        <f>INDEX([1]角色基础!$AC$16:$CJ$45,MATCH($AA183,[1]角色基础!$J$16:$J$45,0),MATCH(K$2,[1]角色基础!$AC$12:$AF$12,0)+4*(INT(SUBSTITUTE(RIGHT($C183,2),"+",""))-1))</f>
        <v>56</v>
      </c>
      <c r="L183" s="74">
        <f>INDEX([1]角色基础!$AC$16:$CJ$45,MATCH($AA183,[1]角色基础!$J$16:$J$45,0),MATCH(L$2,[1]角色基础!$AC$12:$AF$12,0)+4*(INT(SUBSTITUTE(RIGHT($C183,2),"+",""))-1))</f>
        <v>56</v>
      </c>
      <c r="M183" s="72">
        <v>0</v>
      </c>
      <c r="N183" s="72">
        <v>0</v>
      </c>
      <c r="O183" s="72">
        <v>0</v>
      </c>
      <c r="P183" s="72">
        <v>0</v>
      </c>
      <c r="Q183" s="72">
        <v>15</v>
      </c>
      <c r="R183" s="75">
        <v>0</v>
      </c>
      <c r="S183" s="75">
        <v>3750</v>
      </c>
      <c r="T183" s="75">
        <v>150</v>
      </c>
      <c r="U183" s="75">
        <v>75</v>
      </c>
      <c r="V183" s="75">
        <v>75</v>
      </c>
      <c r="W183" s="76">
        <v>0</v>
      </c>
      <c r="X183" s="76">
        <v>0</v>
      </c>
      <c r="Y183" s="76">
        <v>0</v>
      </c>
      <c r="Z183" s="76">
        <v>0</v>
      </c>
      <c r="AA183" s="77" t="s">
        <v>173</v>
      </c>
    </row>
    <row r="184" spans="1:27" s="92" customFormat="1">
      <c r="A184" s="2">
        <v>5401</v>
      </c>
      <c r="B184" s="2" t="s">
        <v>121</v>
      </c>
      <c r="C184" s="2" t="s">
        <v>33</v>
      </c>
      <c r="D184" s="2">
        <v>10001</v>
      </c>
      <c r="E184" s="2">
        <v>6000</v>
      </c>
      <c r="F184" s="2" t="s">
        <v>112</v>
      </c>
      <c r="G184" s="2">
        <v>0</v>
      </c>
      <c r="H184" s="43">
        <v>0</v>
      </c>
      <c r="I184" s="3">
        <f>INDEX([1]角色基础!$AC$16:$CJ$45,MATCH($AA184,[1]角色基础!$J$16:$J$45,0),MATCH(I$2,[1]角色基础!$AC$12:$AF$12,0)+4*(INT(SUBSTITUTE(RIGHT($C184,2),"+",""))-1))</f>
        <v>188</v>
      </c>
      <c r="J184" s="3">
        <f>INDEX([1]角色基础!$AC$16:$CJ$45,MATCH($AA184,[1]角色基础!$J$16:$J$45,0),MATCH(J$2,[1]角色基础!$AC$12:$AF$12,0)+4*(INT(SUBSTITUTE(RIGHT($C184,2),"+",""))-1))</f>
        <v>8</v>
      </c>
      <c r="K184" s="3">
        <f>INDEX([1]角色基础!$AC$16:$CJ$45,MATCH($AA184,[1]角色基础!$J$16:$J$45,0),MATCH(K$2,[1]角色基础!$AC$12:$AF$12,0)+4*(INT(SUBSTITUTE(RIGHT($C184,2),"+",""))-1))</f>
        <v>4</v>
      </c>
      <c r="L184" s="3">
        <f>INDEX([1]角色基础!$AC$16:$CJ$45,MATCH($AA184,[1]角色基础!$J$16:$J$45,0),MATCH(L$2,[1]角色基础!$AC$12:$AF$12,0)+4*(INT(SUBSTITUTE(RIGHT($C184,2),"+",""))-1))</f>
        <v>4</v>
      </c>
      <c r="M184" s="2">
        <v>0</v>
      </c>
      <c r="N184" s="2">
        <v>0</v>
      </c>
      <c r="O184" s="2">
        <v>0</v>
      </c>
      <c r="P184" s="2">
        <v>0</v>
      </c>
      <c r="Q184" s="2">
        <v>1</v>
      </c>
      <c r="R184" s="18">
        <v>0</v>
      </c>
      <c r="S184" s="18">
        <v>3750</v>
      </c>
      <c r="T184" s="18">
        <v>150</v>
      </c>
      <c r="U184" s="18">
        <v>75</v>
      </c>
      <c r="V184" s="18">
        <v>75</v>
      </c>
      <c r="W184" s="91">
        <v>0</v>
      </c>
      <c r="X184" s="91">
        <v>0</v>
      </c>
      <c r="Y184" s="91">
        <v>0</v>
      </c>
      <c r="Z184" s="91">
        <v>0</v>
      </c>
      <c r="AA184" s="92" t="s">
        <v>172</v>
      </c>
    </row>
    <row r="185" spans="1:27" s="92" customFormat="1">
      <c r="A185" s="2">
        <v>5402</v>
      </c>
      <c r="B185" s="2" t="s">
        <v>41</v>
      </c>
      <c r="C185" s="2" t="s">
        <v>34</v>
      </c>
      <c r="D185" s="2">
        <v>10015</v>
      </c>
      <c r="E185" s="2">
        <v>24000</v>
      </c>
      <c r="F185" s="2" t="s">
        <v>113</v>
      </c>
      <c r="G185" s="2">
        <v>0</v>
      </c>
      <c r="H185" s="43">
        <v>0</v>
      </c>
      <c r="I185" s="3">
        <f>INDEX([1]角色基础!$AC$16:$CJ$45,MATCH($AA185,[1]角色基础!$J$16:$J$45,0),MATCH(I$2,[1]角色基础!$AC$12:$AF$12,0)+4*(INT(SUBSTITUTE(RIGHT($C185,2),"+",""))-1))</f>
        <v>375</v>
      </c>
      <c r="J185" s="3">
        <f>INDEX([1]角色基础!$AC$16:$CJ$45,MATCH($AA185,[1]角色基础!$J$16:$J$45,0),MATCH(J$2,[1]角色基础!$AC$12:$AF$12,0)+4*(INT(SUBSTITUTE(RIGHT($C185,2),"+",""))-1))</f>
        <v>15</v>
      </c>
      <c r="K185" s="3">
        <f>INDEX([1]角色基础!$AC$16:$CJ$45,MATCH($AA185,[1]角色基础!$J$16:$J$45,0),MATCH(K$2,[1]角色基础!$AC$12:$AF$12,0)+4*(INT(SUBSTITUTE(RIGHT($C185,2),"+",""))-1))</f>
        <v>8</v>
      </c>
      <c r="L185" s="3">
        <f>INDEX([1]角色基础!$AC$16:$CJ$45,MATCH($AA185,[1]角色基础!$J$16:$J$45,0),MATCH(L$2,[1]角色基础!$AC$12:$AF$12,0)+4*(INT(SUBSTITUTE(RIGHT($C185,2),"+",""))-1))</f>
        <v>8</v>
      </c>
      <c r="M185" s="2">
        <v>0</v>
      </c>
      <c r="N185" s="2">
        <v>0</v>
      </c>
      <c r="O185" s="2">
        <v>0</v>
      </c>
      <c r="P185" s="2">
        <v>0</v>
      </c>
      <c r="Q185" s="2">
        <v>2</v>
      </c>
      <c r="R185" s="18">
        <v>0</v>
      </c>
      <c r="S185" s="18">
        <v>3750</v>
      </c>
      <c r="T185" s="18">
        <v>150</v>
      </c>
      <c r="U185" s="18">
        <v>75</v>
      </c>
      <c r="V185" s="18">
        <v>75</v>
      </c>
      <c r="W185" s="91">
        <v>0</v>
      </c>
      <c r="X185" s="91">
        <v>0</v>
      </c>
      <c r="Y185" s="91">
        <v>0</v>
      </c>
      <c r="Z185" s="91">
        <v>0</v>
      </c>
      <c r="AA185" s="92" t="s">
        <v>172</v>
      </c>
    </row>
    <row r="186" spans="1:27" s="92" customFormat="1">
      <c r="A186" s="2">
        <v>5403</v>
      </c>
      <c r="B186" s="2" t="s">
        <v>42</v>
      </c>
      <c r="C186" s="2" t="s">
        <v>35</v>
      </c>
      <c r="D186" s="2">
        <v>10025</v>
      </c>
      <c r="E186" s="2">
        <v>60000</v>
      </c>
      <c r="F186" s="2" t="s">
        <v>29</v>
      </c>
      <c r="G186" s="2">
        <v>0</v>
      </c>
      <c r="H186" s="43">
        <v>0</v>
      </c>
      <c r="I186" s="3">
        <f>INDEX([1]角色基础!$AC$16:$CJ$45,MATCH($AA186,[1]角色基础!$J$16:$J$45,0),MATCH(I$2,[1]角色基础!$AC$12:$AF$12,0)+4*(INT(SUBSTITUTE(RIGHT($C186,2),"+",""))-1))</f>
        <v>563</v>
      </c>
      <c r="J186" s="3">
        <f>INDEX([1]角色基础!$AC$16:$CJ$45,MATCH($AA186,[1]角色基础!$J$16:$J$45,0),MATCH(J$2,[1]角色基础!$AC$12:$AF$12,0)+4*(INT(SUBSTITUTE(RIGHT($C186,2),"+",""))-1))</f>
        <v>23</v>
      </c>
      <c r="K186" s="3">
        <f>INDEX([1]角色基础!$AC$16:$CJ$45,MATCH($AA186,[1]角色基础!$J$16:$J$45,0),MATCH(K$2,[1]角色基础!$AC$12:$AF$12,0)+4*(INT(SUBSTITUTE(RIGHT($C186,2),"+",""))-1))</f>
        <v>11</v>
      </c>
      <c r="L186" s="3">
        <f>INDEX([1]角色基础!$AC$16:$CJ$45,MATCH($AA186,[1]角色基础!$J$16:$J$45,0),MATCH(L$2,[1]角色基础!$AC$12:$AF$12,0)+4*(INT(SUBSTITUTE(RIGHT($C186,2),"+",""))-1))</f>
        <v>11</v>
      </c>
      <c r="M186" s="2">
        <v>0</v>
      </c>
      <c r="N186" s="2">
        <v>0</v>
      </c>
      <c r="O186" s="2">
        <v>0</v>
      </c>
      <c r="P186" s="2">
        <v>0</v>
      </c>
      <c r="Q186" s="2">
        <v>3</v>
      </c>
      <c r="R186" s="18">
        <v>0</v>
      </c>
      <c r="S186" s="18">
        <v>3750</v>
      </c>
      <c r="T186" s="18">
        <v>150</v>
      </c>
      <c r="U186" s="18">
        <v>75</v>
      </c>
      <c r="V186" s="18">
        <v>75</v>
      </c>
      <c r="W186" s="91">
        <v>0</v>
      </c>
      <c r="X186" s="91">
        <v>0</v>
      </c>
      <c r="Y186" s="91">
        <v>0</v>
      </c>
      <c r="Z186" s="91">
        <v>0</v>
      </c>
      <c r="AA186" s="92" t="s">
        <v>172</v>
      </c>
    </row>
    <row r="187" spans="1:27" s="92" customFormat="1">
      <c r="A187" s="2">
        <v>5404</v>
      </c>
      <c r="B187" s="2" t="s">
        <v>43</v>
      </c>
      <c r="C187" s="2" t="s">
        <v>36</v>
      </c>
      <c r="D187" s="2">
        <v>10035</v>
      </c>
      <c r="E187" s="2">
        <v>120000</v>
      </c>
      <c r="F187" s="2" t="s">
        <v>84</v>
      </c>
      <c r="G187" s="2">
        <v>1</v>
      </c>
      <c r="H187" s="43">
        <v>0</v>
      </c>
      <c r="I187" s="3">
        <f>INDEX([1]角色基础!$AC$16:$CJ$45,MATCH($AA187,[1]角色基础!$J$16:$J$45,0),MATCH(I$2,[1]角色基础!$AC$12:$AF$12,0)+4*(INT(SUBSTITUTE(RIGHT($C187,2),"+",""))-1))</f>
        <v>750</v>
      </c>
      <c r="J187" s="3">
        <f>INDEX([1]角色基础!$AC$16:$CJ$45,MATCH($AA187,[1]角色基础!$J$16:$J$45,0),MATCH(J$2,[1]角色基础!$AC$12:$AF$12,0)+4*(INT(SUBSTITUTE(RIGHT($C187,2),"+",""))-1))</f>
        <v>30</v>
      </c>
      <c r="K187" s="3">
        <f>INDEX([1]角色基础!$AC$16:$CJ$45,MATCH($AA187,[1]角色基础!$J$16:$J$45,0),MATCH(K$2,[1]角色基础!$AC$12:$AF$12,0)+4*(INT(SUBSTITUTE(RIGHT($C187,2),"+",""))-1))</f>
        <v>15</v>
      </c>
      <c r="L187" s="3">
        <f>INDEX([1]角色基础!$AC$16:$CJ$45,MATCH($AA187,[1]角色基础!$J$16:$J$45,0),MATCH(L$2,[1]角色基础!$AC$12:$AF$12,0)+4*(INT(SUBSTITUTE(RIGHT($C187,2),"+",""))-1))</f>
        <v>15</v>
      </c>
      <c r="M187" s="2">
        <v>0</v>
      </c>
      <c r="N187" s="2">
        <v>0</v>
      </c>
      <c r="O187" s="2">
        <v>0</v>
      </c>
      <c r="P187" s="2">
        <v>0</v>
      </c>
      <c r="Q187" s="2">
        <v>4</v>
      </c>
      <c r="R187" s="18">
        <v>0</v>
      </c>
      <c r="S187" s="18">
        <v>3750</v>
      </c>
      <c r="T187" s="18">
        <v>150</v>
      </c>
      <c r="U187" s="18">
        <v>75</v>
      </c>
      <c r="V187" s="18">
        <v>75</v>
      </c>
      <c r="W187" s="91">
        <v>0</v>
      </c>
      <c r="X187" s="91">
        <v>0</v>
      </c>
      <c r="Y187" s="91">
        <v>0</v>
      </c>
      <c r="Z187" s="91">
        <v>0</v>
      </c>
      <c r="AA187" s="92" t="s">
        <v>172</v>
      </c>
    </row>
    <row r="188" spans="1:27" s="92" customFormat="1">
      <c r="A188" s="2">
        <v>5405</v>
      </c>
      <c r="B188" s="2" t="s">
        <v>44</v>
      </c>
      <c r="C188" s="2" t="s">
        <v>37</v>
      </c>
      <c r="D188" s="2">
        <v>10045</v>
      </c>
      <c r="E188" s="2">
        <v>240000</v>
      </c>
      <c r="F188" s="2" t="s">
        <v>85</v>
      </c>
      <c r="G188" s="2">
        <v>1</v>
      </c>
      <c r="H188" s="43">
        <v>0</v>
      </c>
      <c r="I188" s="3">
        <f>INDEX([1]角色基础!$AC$16:$CJ$45,MATCH($AA188,[1]角色基础!$J$16:$J$45,0),MATCH(I$2,[1]角色基础!$AC$12:$AF$12,0)+4*(INT(SUBSTITUTE(RIGHT($C188,2),"+",""))-1))</f>
        <v>938</v>
      </c>
      <c r="J188" s="3">
        <f>INDEX([1]角色基础!$AC$16:$CJ$45,MATCH($AA188,[1]角色基础!$J$16:$J$45,0),MATCH(J$2,[1]角色基础!$AC$12:$AF$12,0)+4*(INT(SUBSTITUTE(RIGHT($C188,2),"+",""))-1))</f>
        <v>38</v>
      </c>
      <c r="K188" s="3">
        <f>INDEX([1]角色基础!$AC$16:$CJ$45,MATCH($AA188,[1]角色基础!$J$16:$J$45,0),MATCH(K$2,[1]角色基础!$AC$12:$AF$12,0)+4*(INT(SUBSTITUTE(RIGHT($C188,2),"+",""))-1))</f>
        <v>19</v>
      </c>
      <c r="L188" s="3">
        <f>INDEX([1]角色基础!$AC$16:$CJ$45,MATCH($AA188,[1]角色基础!$J$16:$J$45,0),MATCH(L$2,[1]角色基础!$AC$12:$AF$12,0)+4*(INT(SUBSTITUTE(RIGHT($C188,2),"+",""))-1))</f>
        <v>19</v>
      </c>
      <c r="M188" s="2">
        <v>0</v>
      </c>
      <c r="N188" s="2">
        <v>0</v>
      </c>
      <c r="O188" s="2">
        <v>0</v>
      </c>
      <c r="P188" s="2">
        <v>0</v>
      </c>
      <c r="Q188" s="2">
        <v>5</v>
      </c>
      <c r="R188" s="18">
        <v>0</v>
      </c>
      <c r="S188" s="18">
        <v>3750</v>
      </c>
      <c r="T188" s="18">
        <v>150</v>
      </c>
      <c r="U188" s="18">
        <v>75</v>
      </c>
      <c r="V188" s="18">
        <v>75</v>
      </c>
      <c r="W188" s="91">
        <v>0</v>
      </c>
      <c r="X188" s="91">
        <v>0</v>
      </c>
      <c r="Y188" s="91">
        <v>0</v>
      </c>
      <c r="Z188" s="91">
        <v>0</v>
      </c>
      <c r="AA188" s="92" t="s">
        <v>172</v>
      </c>
    </row>
    <row r="189" spans="1:27" s="92" customFormat="1">
      <c r="A189" s="2">
        <v>5406</v>
      </c>
      <c r="B189" s="2" t="s">
        <v>45</v>
      </c>
      <c r="C189" s="2" t="s">
        <v>38</v>
      </c>
      <c r="D189" s="2">
        <v>10055</v>
      </c>
      <c r="E189" s="2">
        <v>360000</v>
      </c>
      <c r="F189" s="2" t="s">
        <v>86</v>
      </c>
      <c r="G189" s="2">
        <v>2</v>
      </c>
      <c r="H189" s="43">
        <v>0</v>
      </c>
      <c r="I189" s="3">
        <f>INDEX([1]角色基础!$AC$16:$CJ$45,MATCH($AA189,[1]角色基础!$J$16:$J$45,0),MATCH(I$2,[1]角色基础!$AC$12:$AF$12,0)+4*(INT(SUBSTITUTE(RIGHT($C189,2),"+",""))-1))</f>
        <v>1125</v>
      </c>
      <c r="J189" s="3">
        <f>INDEX([1]角色基础!$AC$16:$CJ$45,MATCH($AA189,[1]角色基础!$J$16:$J$45,0),MATCH(J$2,[1]角色基础!$AC$12:$AF$12,0)+4*(INT(SUBSTITUTE(RIGHT($C189,2),"+",""))-1))</f>
        <v>45</v>
      </c>
      <c r="K189" s="3">
        <f>INDEX([1]角色基础!$AC$16:$CJ$45,MATCH($AA189,[1]角色基础!$J$16:$J$45,0),MATCH(K$2,[1]角色基础!$AC$12:$AF$12,0)+4*(INT(SUBSTITUTE(RIGHT($C189,2),"+",""))-1))</f>
        <v>23</v>
      </c>
      <c r="L189" s="3">
        <f>INDEX([1]角色基础!$AC$16:$CJ$45,MATCH($AA189,[1]角色基础!$J$16:$J$45,0),MATCH(L$2,[1]角色基础!$AC$12:$AF$12,0)+4*(INT(SUBSTITUTE(RIGHT($C189,2),"+",""))-1))</f>
        <v>23</v>
      </c>
      <c r="M189" s="2">
        <v>0</v>
      </c>
      <c r="N189" s="2">
        <v>0</v>
      </c>
      <c r="O189" s="2">
        <v>0</v>
      </c>
      <c r="P189" s="2">
        <v>0</v>
      </c>
      <c r="Q189" s="2">
        <v>6</v>
      </c>
      <c r="R189" s="18">
        <v>0</v>
      </c>
      <c r="S189" s="18">
        <v>3750</v>
      </c>
      <c r="T189" s="18">
        <v>150</v>
      </c>
      <c r="U189" s="18">
        <v>75</v>
      </c>
      <c r="V189" s="18">
        <v>75</v>
      </c>
      <c r="W189" s="91">
        <v>0</v>
      </c>
      <c r="X189" s="91">
        <v>0</v>
      </c>
      <c r="Y189" s="91">
        <v>0</v>
      </c>
      <c r="Z189" s="91">
        <v>0</v>
      </c>
      <c r="AA189" s="92" t="s">
        <v>172</v>
      </c>
    </row>
    <row r="190" spans="1:27" s="92" customFormat="1">
      <c r="A190" s="2">
        <v>5407</v>
      </c>
      <c r="B190" s="2" t="s">
        <v>46</v>
      </c>
      <c r="C190" s="2" t="s">
        <v>39</v>
      </c>
      <c r="D190" s="2">
        <v>10065</v>
      </c>
      <c r="E190" s="2">
        <v>600000</v>
      </c>
      <c r="F190" s="2" t="s">
        <v>87</v>
      </c>
      <c r="G190" s="2">
        <v>2</v>
      </c>
      <c r="H190" s="43">
        <v>0</v>
      </c>
      <c r="I190" s="3">
        <f>INDEX([1]角色基础!$AC$16:$CJ$45,MATCH($AA190,[1]角色基础!$J$16:$J$45,0),MATCH(I$2,[1]角色基础!$AC$12:$AF$12,0)+4*(INT(SUBSTITUTE(RIGHT($C190,2),"+",""))-1))</f>
        <v>1313</v>
      </c>
      <c r="J190" s="3">
        <f>INDEX([1]角色基础!$AC$16:$CJ$45,MATCH($AA190,[1]角色基础!$J$16:$J$45,0),MATCH(J$2,[1]角色基础!$AC$12:$AF$12,0)+4*(INT(SUBSTITUTE(RIGHT($C190,2),"+",""))-1))</f>
        <v>53</v>
      </c>
      <c r="K190" s="3">
        <f>INDEX([1]角色基础!$AC$16:$CJ$45,MATCH($AA190,[1]角色基础!$J$16:$J$45,0),MATCH(K$2,[1]角色基础!$AC$12:$AF$12,0)+4*(INT(SUBSTITUTE(RIGHT($C190,2),"+",""))-1))</f>
        <v>26</v>
      </c>
      <c r="L190" s="3">
        <f>INDEX([1]角色基础!$AC$16:$CJ$45,MATCH($AA190,[1]角色基础!$J$16:$J$45,0),MATCH(L$2,[1]角色基础!$AC$12:$AF$12,0)+4*(INT(SUBSTITUTE(RIGHT($C190,2),"+",""))-1))</f>
        <v>26</v>
      </c>
      <c r="M190" s="2">
        <v>0</v>
      </c>
      <c r="N190" s="2">
        <v>0</v>
      </c>
      <c r="O190" s="2">
        <v>0</v>
      </c>
      <c r="P190" s="2">
        <v>0</v>
      </c>
      <c r="Q190" s="2">
        <v>7</v>
      </c>
      <c r="R190" s="18">
        <v>0</v>
      </c>
      <c r="S190" s="18">
        <v>3750</v>
      </c>
      <c r="T190" s="18">
        <v>150</v>
      </c>
      <c r="U190" s="18">
        <v>75</v>
      </c>
      <c r="V190" s="18">
        <v>75</v>
      </c>
      <c r="W190" s="91">
        <v>0</v>
      </c>
      <c r="X190" s="91">
        <v>0</v>
      </c>
      <c r="Y190" s="91">
        <v>0</v>
      </c>
      <c r="Z190" s="91">
        <v>0</v>
      </c>
      <c r="AA190" s="92" t="s">
        <v>172</v>
      </c>
    </row>
    <row r="191" spans="1:27" s="92" customFormat="1">
      <c r="A191" s="2">
        <v>5408</v>
      </c>
      <c r="B191" s="2" t="s">
        <v>47</v>
      </c>
      <c r="C191" s="2" t="s">
        <v>40</v>
      </c>
      <c r="D191" s="2">
        <v>10075</v>
      </c>
      <c r="E191" s="2">
        <v>1000000</v>
      </c>
      <c r="F191" s="2" t="s">
        <v>88</v>
      </c>
      <c r="G191" s="2">
        <v>4</v>
      </c>
      <c r="H191" s="43">
        <v>0</v>
      </c>
      <c r="I191" s="3">
        <f>INDEX([1]角色基础!$AC$16:$CJ$45,MATCH($AA191,[1]角色基础!$J$16:$J$45,0),MATCH(I$2,[1]角色基础!$AC$12:$AF$12,0)+4*(INT(SUBSTITUTE(RIGHT($C191,2),"+",""))-1))</f>
        <v>1500</v>
      </c>
      <c r="J191" s="3">
        <f>INDEX([1]角色基础!$AC$16:$CJ$45,MATCH($AA191,[1]角色基础!$J$16:$J$45,0),MATCH(J$2,[1]角色基础!$AC$12:$AF$12,0)+4*(INT(SUBSTITUTE(RIGHT($C191,2),"+",""))-1))</f>
        <v>60</v>
      </c>
      <c r="K191" s="3">
        <f>INDEX([1]角色基础!$AC$16:$CJ$45,MATCH($AA191,[1]角色基础!$J$16:$J$45,0),MATCH(K$2,[1]角色基础!$AC$12:$AF$12,0)+4*(INT(SUBSTITUTE(RIGHT($C191,2),"+",""))-1))</f>
        <v>30</v>
      </c>
      <c r="L191" s="3">
        <f>INDEX([1]角色基础!$AC$16:$CJ$45,MATCH($AA191,[1]角色基础!$J$16:$J$45,0),MATCH(L$2,[1]角色基础!$AC$12:$AF$12,0)+4*(INT(SUBSTITUTE(RIGHT($C191,2),"+",""))-1))</f>
        <v>30</v>
      </c>
      <c r="M191" s="2">
        <v>0</v>
      </c>
      <c r="N191" s="2">
        <v>0</v>
      </c>
      <c r="O191" s="2">
        <v>0</v>
      </c>
      <c r="P191" s="2">
        <v>0</v>
      </c>
      <c r="Q191" s="2">
        <v>8</v>
      </c>
      <c r="R191" s="18">
        <v>0</v>
      </c>
      <c r="S191" s="18">
        <v>3750</v>
      </c>
      <c r="T191" s="18">
        <v>150</v>
      </c>
      <c r="U191" s="18">
        <v>75</v>
      </c>
      <c r="V191" s="18">
        <v>75</v>
      </c>
      <c r="W191" s="91">
        <v>0</v>
      </c>
      <c r="X191" s="91">
        <v>0</v>
      </c>
      <c r="Y191" s="91">
        <v>0</v>
      </c>
      <c r="Z191" s="91">
        <v>0</v>
      </c>
      <c r="AA191" s="92" t="s">
        <v>172</v>
      </c>
    </row>
    <row r="192" spans="1:27" s="92" customFormat="1">
      <c r="A192" s="2">
        <v>5409</v>
      </c>
      <c r="B192" s="2" t="s">
        <v>69</v>
      </c>
      <c r="C192" s="2" t="s">
        <v>32</v>
      </c>
      <c r="D192" s="2">
        <v>10085</v>
      </c>
      <c r="E192" s="2">
        <v>1500000</v>
      </c>
      <c r="F192" s="2" t="s">
        <v>89</v>
      </c>
      <c r="G192" s="2">
        <v>6</v>
      </c>
      <c r="H192" s="43">
        <v>0</v>
      </c>
      <c r="I192" s="3">
        <f>INDEX([1]角色基础!$AC$16:$CJ$45,MATCH($AA192,[1]角色基础!$J$16:$J$45,0),MATCH(I$2,[1]角色基础!$AC$12:$AF$12,0)+4*(INT(SUBSTITUTE(RIGHT($C192,2),"+",""))-1))</f>
        <v>1688</v>
      </c>
      <c r="J192" s="3">
        <f>INDEX([1]角色基础!$AC$16:$CJ$45,MATCH($AA192,[1]角色基础!$J$16:$J$45,0),MATCH(J$2,[1]角色基础!$AC$12:$AF$12,0)+4*(INT(SUBSTITUTE(RIGHT($C192,2),"+",""))-1))</f>
        <v>68</v>
      </c>
      <c r="K192" s="3">
        <f>INDEX([1]角色基础!$AC$16:$CJ$45,MATCH($AA192,[1]角色基础!$J$16:$J$45,0),MATCH(K$2,[1]角色基础!$AC$12:$AF$12,0)+4*(INT(SUBSTITUTE(RIGHT($C192,2),"+",""))-1))</f>
        <v>34</v>
      </c>
      <c r="L192" s="3">
        <f>INDEX([1]角色基础!$AC$16:$CJ$45,MATCH($AA192,[1]角色基础!$J$16:$J$45,0),MATCH(L$2,[1]角色基础!$AC$12:$AF$12,0)+4*(INT(SUBSTITUTE(RIGHT($C192,2),"+",""))-1))</f>
        <v>34</v>
      </c>
      <c r="M192" s="2">
        <v>0</v>
      </c>
      <c r="N192" s="2">
        <v>0</v>
      </c>
      <c r="O192" s="2">
        <v>0</v>
      </c>
      <c r="P192" s="2">
        <v>0</v>
      </c>
      <c r="Q192" s="2">
        <v>9</v>
      </c>
      <c r="R192" s="18">
        <v>0</v>
      </c>
      <c r="S192" s="18">
        <v>3750</v>
      </c>
      <c r="T192" s="18">
        <v>150</v>
      </c>
      <c r="U192" s="18">
        <v>75</v>
      </c>
      <c r="V192" s="18">
        <v>75</v>
      </c>
      <c r="W192" s="91">
        <v>0</v>
      </c>
      <c r="X192" s="91">
        <v>0</v>
      </c>
      <c r="Y192" s="91">
        <v>0</v>
      </c>
      <c r="Z192" s="91">
        <v>0</v>
      </c>
      <c r="AA192" s="92" t="s">
        <v>172</v>
      </c>
    </row>
    <row r="193" spans="1:27" s="92" customFormat="1">
      <c r="A193" s="2">
        <v>5410</v>
      </c>
      <c r="B193" s="2" t="s">
        <v>71</v>
      </c>
      <c r="C193" s="2" t="s">
        <v>31</v>
      </c>
      <c r="D193" s="2">
        <v>10095</v>
      </c>
      <c r="E193" s="2">
        <v>2000000</v>
      </c>
      <c r="F193" s="2" t="s">
        <v>90</v>
      </c>
      <c r="G193" s="2">
        <v>8</v>
      </c>
      <c r="H193" s="43">
        <v>0</v>
      </c>
      <c r="I193" s="3">
        <f>INDEX([1]角色基础!$AC$16:$CJ$45,MATCH($AA193,[1]角色基础!$J$16:$J$45,0),MATCH(I$2,[1]角色基础!$AC$12:$AF$12,0)+4*(INT(SUBSTITUTE(RIGHT($C193,2),"+",""))-1))</f>
        <v>1875</v>
      </c>
      <c r="J193" s="3">
        <f>INDEX([1]角色基础!$AC$16:$CJ$45,MATCH($AA193,[1]角色基础!$J$16:$J$45,0),MATCH(J$2,[1]角色基础!$AC$12:$AF$12,0)+4*(INT(SUBSTITUTE(RIGHT($C193,2),"+",""))-1))</f>
        <v>75</v>
      </c>
      <c r="K193" s="3">
        <f>INDEX([1]角色基础!$AC$16:$CJ$45,MATCH($AA193,[1]角色基础!$J$16:$J$45,0),MATCH(K$2,[1]角色基础!$AC$12:$AF$12,0)+4*(INT(SUBSTITUTE(RIGHT($C193,2),"+",""))-1))</f>
        <v>38</v>
      </c>
      <c r="L193" s="3">
        <f>INDEX([1]角色基础!$AC$16:$CJ$45,MATCH($AA193,[1]角色基础!$J$16:$J$45,0),MATCH(L$2,[1]角色基础!$AC$12:$AF$12,0)+4*(INT(SUBSTITUTE(RIGHT($C193,2),"+",""))-1))</f>
        <v>38</v>
      </c>
      <c r="M193" s="2">
        <v>0</v>
      </c>
      <c r="N193" s="2">
        <v>0</v>
      </c>
      <c r="O193" s="2">
        <v>0</v>
      </c>
      <c r="P193" s="2">
        <v>0</v>
      </c>
      <c r="Q193" s="2">
        <v>10</v>
      </c>
      <c r="R193" s="18">
        <v>0</v>
      </c>
      <c r="S193" s="18">
        <v>3750</v>
      </c>
      <c r="T193" s="18">
        <v>150</v>
      </c>
      <c r="U193" s="18">
        <v>75</v>
      </c>
      <c r="V193" s="18">
        <v>75</v>
      </c>
      <c r="W193" s="91">
        <v>0</v>
      </c>
      <c r="X193" s="91">
        <v>0</v>
      </c>
      <c r="Y193" s="91">
        <v>0</v>
      </c>
      <c r="Z193" s="91">
        <v>0</v>
      </c>
      <c r="AA193" s="92" t="s">
        <v>172</v>
      </c>
    </row>
    <row r="194" spans="1:27" s="92" customFormat="1">
      <c r="A194" s="2">
        <v>5411</v>
      </c>
      <c r="B194" s="2" t="s">
        <v>73</v>
      </c>
      <c r="C194" s="2" t="s">
        <v>74</v>
      </c>
      <c r="D194" s="2">
        <v>10105</v>
      </c>
      <c r="E194" s="2">
        <v>2400000</v>
      </c>
      <c r="F194" s="2" t="s">
        <v>91</v>
      </c>
      <c r="G194" s="2">
        <v>10</v>
      </c>
      <c r="H194" s="43">
        <v>0</v>
      </c>
      <c r="I194" s="3">
        <f>INDEX([1]角色基础!$AC$16:$CJ$45,MATCH($AA194,[1]角色基础!$J$16:$J$45,0),MATCH(I$2,[1]角色基础!$AC$12:$AF$12,0)+4*(INT(SUBSTITUTE(RIGHT($C194,2),"+",""))-1))</f>
        <v>2063</v>
      </c>
      <c r="J194" s="3">
        <f>INDEX([1]角色基础!$AC$16:$CJ$45,MATCH($AA194,[1]角色基础!$J$16:$J$45,0),MATCH(J$2,[1]角色基础!$AC$12:$AF$12,0)+4*(INT(SUBSTITUTE(RIGHT($C194,2),"+",""))-1))</f>
        <v>83</v>
      </c>
      <c r="K194" s="3">
        <f>INDEX([1]角色基础!$AC$16:$CJ$45,MATCH($AA194,[1]角色基础!$J$16:$J$45,0),MATCH(K$2,[1]角色基础!$AC$12:$AF$12,0)+4*(INT(SUBSTITUTE(RIGHT($C194,2),"+",""))-1))</f>
        <v>41</v>
      </c>
      <c r="L194" s="3">
        <f>INDEX([1]角色基础!$AC$16:$CJ$45,MATCH($AA194,[1]角色基础!$J$16:$J$45,0),MATCH(L$2,[1]角色基础!$AC$12:$AF$12,0)+4*(INT(SUBSTITUTE(RIGHT($C194,2),"+",""))-1))</f>
        <v>41</v>
      </c>
      <c r="M194" s="2">
        <v>0</v>
      </c>
      <c r="N194" s="2">
        <v>0</v>
      </c>
      <c r="O194" s="2">
        <v>0</v>
      </c>
      <c r="P194" s="2">
        <v>0</v>
      </c>
      <c r="Q194" s="2">
        <v>11</v>
      </c>
      <c r="R194" s="18">
        <v>0</v>
      </c>
      <c r="S194" s="18">
        <v>3750</v>
      </c>
      <c r="T194" s="18">
        <v>150</v>
      </c>
      <c r="U194" s="18">
        <v>75</v>
      </c>
      <c r="V194" s="18">
        <v>75</v>
      </c>
      <c r="W194" s="91">
        <v>0</v>
      </c>
      <c r="X194" s="91">
        <v>0</v>
      </c>
      <c r="Y194" s="91">
        <v>0</v>
      </c>
      <c r="Z194" s="91">
        <v>0</v>
      </c>
      <c r="AA194" s="92" t="s">
        <v>172</v>
      </c>
    </row>
    <row r="195" spans="1:27" s="92" customFormat="1">
      <c r="A195" s="2">
        <v>5412</v>
      </c>
      <c r="B195" s="2" t="s">
        <v>75</v>
      </c>
      <c r="C195" s="2" t="s">
        <v>76</v>
      </c>
      <c r="D195" s="2">
        <v>10115</v>
      </c>
      <c r="E195" s="2">
        <v>3000000</v>
      </c>
      <c r="F195" s="2" t="s">
        <v>114</v>
      </c>
      <c r="G195" s="2">
        <v>12</v>
      </c>
      <c r="H195" s="43">
        <v>0</v>
      </c>
      <c r="I195" s="3">
        <f>INDEX([1]角色基础!$AC$16:$CJ$45,MATCH($AA195,[1]角色基础!$J$16:$J$45,0),MATCH(I$2,[1]角色基础!$AC$12:$AF$12,0)+4*(INT(SUBSTITUTE(RIGHT($C195,2),"+",""))-1))</f>
        <v>2250</v>
      </c>
      <c r="J195" s="3">
        <f>INDEX([1]角色基础!$AC$16:$CJ$45,MATCH($AA195,[1]角色基础!$J$16:$J$45,0),MATCH(J$2,[1]角色基础!$AC$12:$AF$12,0)+4*(INT(SUBSTITUTE(RIGHT($C195,2),"+",""))-1))</f>
        <v>90</v>
      </c>
      <c r="K195" s="3">
        <f>INDEX([1]角色基础!$AC$16:$CJ$45,MATCH($AA195,[1]角色基础!$J$16:$J$45,0),MATCH(K$2,[1]角色基础!$AC$12:$AF$12,0)+4*(INT(SUBSTITUTE(RIGHT($C195,2),"+",""))-1))</f>
        <v>45</v>
      </c>
      <c r="L195" s="3">
        <f>INDEX([1]角色基础!$AC$16:$CJ$45,MATCH($AA195,[1]角色基础!$J$16:$J$45,0),MATCH(L$2,[1]角色基础!$AC$12:$AF$12,0)+4*(INT(SUBSTITUTE(RIGHT($C195,2),"+",""))-1))</f>
        <v>45</v>
      </c>
      <c r="M195" s="2">
        <v>0</v>
      </c>
      <c r="N195" s="2">
        <v>0</v>
      </c>
      <c r="O195" s="2">
        <v>0</v>
      </c>
      <c r="P195" s="2">
        <v>0</v>
      </c>
      <c r="Q195" s="2">
        <v>12</v>
      </c>
      <c r="R195" s="18">
        <v>0</v>
      </c>
      <c r="S195" s="18">
        <v>3750</v>
      </c>
      <c r="T195" s="18">
        <v>150</v>
      </c>
      <c r="U195" s="18">
        <v>75</v>
      </c>
      <c r="V195" s="18">
        <v>75</v>
      </c>
      <c r="W195" s="91">
        <v>0</v>
      </c>
      <c r="X195" s="91">
        <v>0</v>
      </c>
      <c r="Y195" s="91">
        <v>0</v>
      </c>
      <c r="Z195" s="91">
        <v>0</v>
      </c>
      <c r="AA195" s="92" t="s">
        <v>172</v>
      </c>
    </row>
    <row r="196" spans="1:27" s="92" customFormat="1">
      <c r="A196" s="2">
        <v>5413</v>
      </c>
      <c r="B196" s="2" t="s">
        <v>182</v>
      </c>
      <c r="C196" s="2" t="s">
        <v>183</v>
      </c>
      <c r="D196" s="2">
        <v>10125</v>
      </c>
      <c r="E196" s="2">
        <v>3600000</v>
      </c>
      <c r="F196" s="2" t="s">
        <v>188</v>
      </c>
      <c r="G196" s="2">
        <v>14</v>
      </c>
      <c r="H196" s="43">
        <v>0</v>
      </c>
      <c r="I196" s="3">
        <f>INDEX([1]角色基础!$AC$16:$CJ$45,MATCH($AA196,[1]角色基础!$J$16:$J$45,0),MATCH(I$2,[1]角色基础!$AC$12:$AF$12,0)+4*(INT(SUBSTITUTE(RIGHT($C196,2),"+",""))-1))</f>
        <v>2438</v>
      </c>
      <c r="J196" s="3">
        <f>INDEX([1]角色基础!$AC$16:$CJ$45,MATCH($AA196,[1]角色基础!$J$16:$J$45,0),MATCH(J$2,[1]角色基础!$AC$12:$AF$12,0)+4*(INT(SUBSTITUTE(RIGHT($C196,2),"+",""))-1))</f>
        <v>98</v>
      </c>
      <c r="K196" s="3">
        <f>INDEX([1]角色基础!$AC$16:$CJ$45,MATCH($AA196,[1]角色基础!$J$16:$J$45,0),MATCH(K$2,[1]角色基础!$AC$12:$AF$12,0)+4*(INT(SUBSTITUTE(RIGHT($C196,2),"+",""))-1))</f>
        <v>49</v>
      </c>
      <c r="L196" s="3">
        <f>INDEX([1]角色基础!$AC$16:$CJ$45,MATCH($AA196,[1]角色基础!$J$16:$J$45,0),MATCH(L$2,[1]角色基础!$AC$12:$AF$12,0)+4*(INT(SUBSTITUTE(RIGHT($C196,2),"+",""))-1))</f>
        <v>49</v>
      </c>
      <c r="M196" s="2">
        <v>0</v>
      </c>
      <c r="N196" s="2">
        <v>0</v>
      </c>
      <c r="O196" s="2">
        <v>0</v>
      </c>
      <c r="P196" s="2">
        <v>0</v>
      </c>
      <c r="Q196" s="2">
        <v>13</v>
      </c>
      <c r="R196" s="18">
        <v>0</v>
      </c>
      <c r="S196" s="18">
        <v>3750</v>
      </c>
      <c r="T196" s="18">
        <v>150</v>
      </c>
      <c r="U196" s="18">
        <v>75</v>
      </c>
      <c r="V196" s="18">
        <v>75</v>
      </c>
      <c r="W196" s="91">
        <v>0</v>
      </c>
      <c r="X196" s="91">
        <v>0</v>
      </c>
      <c r="Y196" s="91">
        <v>0</v>
      </c>
      <c r="Z196" s="91">
        <v>0</v>
      </c>
      <c r="AA196" s="92" t="s">
        <v>172</v>
      </c>
    </row>
    <row r="197" spans="1:27" s="92" customFormat="1">
      <c r="A197" s="2">
        <v>5414</v>
      </c>
      <c r="B197" s="2" t="s">
        <v>184</v>
      </c>
      <c r="C197" s="2" t="s">
        <v>185</v>
      </c>
      <c r="D197" s="2">
        <v>10135</v>
      </c>
      <c r="E197" s="2">
        <v>4800000</v>
      </c>
      <c r="F197" s="2" t="s">
        <v>190</v>
      </c>
      <c r="G197" s="2">
        <v>16</v>
      </c>
      <c r="H197" s="43">
        <v>0</v>
      </c>
      <c r="I197" s="3">
        <f>INDEX([1]角色基础!$AC$16:$CJ$45,MATCH($AA197,[1]角色基础!$J$16:$J$45,0),MATCH(I$2,[1]角色基础!$AC$12:$AF$12,0)+4*(INT(SUBSTITUTE(RIGHT($C197,2),"+",""))-1))</f>
        <v>2625</v>
      </c>
      <c r="J197" s="3">
        <f>INDEX([1]角色基础!$AC$16:$CJ$45,MATCH($AA197,[1]角色基础!$J$16:$J$45,0),MATCH(J$2,[1]角色基础!$AC$12:$AF$12,0)+4*(INT(SUBSTITUTE(RIGHT($C197,2),"+",""))-1))</f>
        <v>105</v>
      </c>
      <c r="K197" s="3">
        <f>INDEX([1]角色基础!$AC$16:$CJ$45,MATCH($AA197,[1]角色基础!$J$16:$J$45,0),MATCH(K$2,[1]角色基础!$AC$12:$AF$12,0)+4*(INT(SUBSTITUTE(RIGHT($C197,2),"+",""))-1))</f>
        <v>53</v>
      </c>
      <c r="L197" s="3">
        <f>INDEX([1]角色基础!$AC$16:$CJ$45,MATCH($AA197,[1]角色基础!$J$16:$J$45,0),MATCH(L$2,[1]角色基础!$AC$12:$AF$12,0)+4*(INT(SUBSTITUTE(RIGHT($C197,2),"+",""))-1))</f>
        <v>53</v>
      </c>
      <c r="M197" s="2">
        <v>0</v>
      </c>
      <c r="N197" s="2">
        <v>0</v>
      </c>
      <c r="O197" s="2">
        <v>0</v>
      </c>
      <c r="P197" s="2">
        <v>0</v>
      </c>
      <c r="Q197" s="2">
        <v>14</v>
      </c>
      <c r="R197" s="18">
        <v>0</v>
      </c>
      <c r="S197" s="18">
        <v>3750</v>
      </c>
      <c r="T197" s="18">
        <v>150</v>
      </c>
      <c r="U197" s="18">
        <v>75</v>
      </c>
      <c r="V197" s="18">
        <v>75</v>
      </c>
      <c r="W197" s="91">
        <v>0</v>
      </c>
      <c r="X197" s="91">
        <v>0</v>
      </c>
      <c r="Y197" s="91">
        <v>0</v>
      </c>
      <c r="Z197" s="91">
        <v>0</v>
      </c>
      <c r="AA197" s="92" t="s">
        <v>172</v>
      </c>
    </row>
    <row r="198" spans="1:27" s="92" customFormat="1">
      <c r="A198" s="2">
        <v>5415</v>
      </c>
      <c r="B198" s="2" t="s">
        <v>186</v>
      </c>
      <c r="C198" s="2" t="s">
        <v>187</v>
      </c>
      <c r="D198" s="2">
        <v>10145</v>
      </c>
      <c r="E198" s="2">
        <v>6000000</v>
      </c>
      <c r="F198" s="2" t="s">
        <v>192</v>
      </c>
      <c r="G198" s="2">
        <v>20</v>
      </c>
      <c r="H198" s="43">
        <v>0</v>
      </c>
      <c r="I198" s="3">
        <f>INDEX([1]角色基础!$AC$16:$CJ$45,MATCH($AA198,[1]角色基础!$J$16:$J$45,0),MATCH(I$2,[1]角色基础!$AC$12:$AF$12,0)+4*(INT(SUBSTITUTE(RIGHT($C198,2),"+",""))-1))</f>
        <v>2813</v>
      </c>
      <c r="J198" s="3">
        <f>INDEX([1]角色基础!$AC$16:$CJ$45,MATCH($AA198,[1]角色基础!$J$16:$J$45,0),MATCH(J$2,[1]角色基础!$AC$12:$AF$12,0)+4*(INT(SUBSTITUTE(RIGHT($C198,2),"+",""))-1))</f>
        <v>113</v>
      </c>
      <c r="K198" s="3">
        <f>INDEX([1]角色基础!$AC$16:$CJ$45,MATCH($AA198,[1]角色基础!$J$16:$J$45,0),MATCH(K$2,[1]角色基础!$AC$12:$AF$12,0)+4*(INT(SUBSTITUTE(RIGHT($C198,2),"+",""))-1))</f>
        <v>56</v>
      </c>
      <c r="L198" s="3">
        <f>INDEX([1]角色基础!$AC$16:$CJ$45,MATCH($AA198,[1]角色基础!$J$16:$J$45,0),MATCH(L$2,[1]角色基础!$AC$12:$AF$12,0)+4*(INT(SUBSTITUTE(RIGHT($C198,2),"+",""))-1))</f>
        <v>56</v>
      </c>
      <c r="M198" s="2">
        <v>0</v>
      </c>
      <c r="N198" s="2">
        <v>0</v>
      </c>
      <c r="O198" s="2">
        <v>0</v>
      </c>
      <c r="P198" s="2">
        <v>0</v>
      </c>
      <c r="Q198" s="2">
        <v>15</v>
      </c>
      <c r="R198" s="18">
        <v>0</v>
      </c>
      <c r="S198" s="18">
        <v>3750</v>
      </c>
      <c r="T198" s="18">
        <v>150</v>
      </c>
      <c r="U198" s="18">
        <v>75</v>
      </c>
      <c r="V198" s="18">
        <v>75</v>
      </c>
      <c r="W198" s="91">
        <v>0</v>
      </c>
      <c r="X198" s="91">
        <v>0</v>
      </c>
      <c r="Y198" s="91">
        <v>0</v>
      </c>
      <c r="Z198" s="91">
        <v>0</v>
      </c>
      <c r="AA198" s="92" t="s">
        <v>172</v>
      </c>
    </row>
    <row r="199" spans="1:27" s="77" customFormat="1">
      <c r="A199" s="72">
        <v>5501</v>
      </c>
      <c r="B199" s="72" t="s">
        <v>121</v>
      </c>
      <c r="C199" s="72" t="s">
        <v>33</v>
      </c>
      <c r="D199" s="72">
        <v>10001</v>
      </c>
      <c r="E199" s="72">
        <v>6000</v>
      </c>
      <c r="F199" s="72" t="s">
        <v>112</v>
      </c>
      <c r="G199" s="72">
        <v>0</v>
      </c>
      <c r="H199" s="73">
        <v>0</v>
      </c>
      <c r="I199" s="74">
        <f>INDEX([1]角色基础!$AC$16:$CJ$45,MATCH($AA199,[1]角色基础!$J$16:$J$45,0),MATCH(I$2,[1]角色基础!$AC$12:$AF$12,0)+4*(INT(SUBSTITUTE(RIGHT($C199,2),"+",""))-1))</f>
        <v>188</v>
      </c>
      <c r="J199" s="74">
        <f>INDEX([1]角色基础!$AC$16:$CJ$45,MATCH($AA199,[1]角色基础!$J$16:$J$45,0),MATCH(J$2,[1]角色基础!$AC$12:$AF$12,0)+4*(INT(SUBSTITUTE(RIGHT($C199,2),"+",""))-1))</f>
        <v>8</v>
      </c>
      <c r="K199" s="74">
        <f>INDEX([1]角色基础!$AC$16:$CJ$45,MATCH($AA199,[1]角色基础!$J$16:$J$45,0),MATCH(K$2,[1]角色基础!$AC$12:$AF$12,0)+4*(INT(SUBSTITUTE(RIGHT($C199,2),"+",""))-1))</f>
        <v>4</v>
      </c>
      <c r="L199" s="74">
        <f>INDEX([1]角色基础!$AC$16:$CJ$45,MATCH($AA199,[1]角色基础!$J$16:$J$45,0),MATCH(L$2,[1]角色基础!$AC$12:$AF$12,0)+4*(INT(SUBSTITUTE(RIGHT($C199,2),"+",""))-1))</f>
        <v>4</v>
      </c>
      <c r="M199" s="72">
        <v>0</v>
      </c>
      <c r="N199" s="72">
        <v>0</v>
      </c>
      <c r="O199" s="72">
        <v>0</v>
      </c>
      <c r="P199" s="72">
        <v>0</v>
      </c>
      <c r="Q199" s="72">
        <v>1</v>
      </c>
      <c r="R199" s="75">
        <v>0</v>
      </c>
      <c r="S199" s="75">
        <v>3750</v>
      </c>
      <c r="T199" s="75">
        <v>150</v>
      </c>
      <c r="U199" s="75">
        <v>75</v>
      </c>
      <c r="V199" s="75">
        <v>75</v>
      </c>
      <c r="W199" s="76">
        <v>0</v>
      </c>
      <c r="X199" s="76">
        <v>0</v>
      </c>
      <c r="Y199" s="76">
        <v>0</v>
      </c>
      <c r="Z199" s="76">
        <v>0</v>
      </c>
      <c r="AA199" s="77" t="s">
        <v>174</v>
      </c>
    </row>
    <row r="200" spans="1:27" s="77" customFormat="1">
      <c r="A200" s="72">
        <v>5502</v>
      </c>
      <c r="B200" s="72" t="s">
        <v>41</v>
      </c>
      <c r="C200" s="72" t="s">
        <v>34</v>
      </c>
      <c r="D200" s="72">
        <v>10015</v>
      </c>
      <c r="E200" s="72">
        <v>24000</v>
      </c>
      <c r="F200" s="72" t="s">
        <v>113</v>
      </c>
      <c r="G200" s="72">
        <v>0</v>
      </c>
      <c r="H200" s="73">
        <v>0</v>
      </c>
      <c r="I200" s="74">
        <f>INDEX([1]角色基础!$AC$16:$CJ$45,MATCH($AA200,[1]角色基础!$J$16:$J$45,0),MATCH(I$2,[1]角色基础!$AC$12:$AF$12,0)+4*(INT(SUBSTITUTE(RIGHT($C200,2),"+",""))-1))</f>
        <v>375</v>
      </c>
      <c r="J200" s="74">
        <f>INDEX([1]角色基础!$AC$16:$CJ$45,MATCH($AA200,[1]角色基础!$J$16:$J$45,0),MATCH(J$2,[1]角色基础!$AC$12:$AF$12,0)+4*(INT(SUBSTITUTE(RIGHT($C200,2),"+",""))-1))</f>
        <v>15</v>
      </c>
      <c r="K200" s="74">
        <f>INDEX([1]角色基础!$AC$16:$CJ$45,MATCH($AA200,[1]角色基础!$J$16:$J$45,0),MATCH(K$2,[1]角色基础!$AC$12:$AF$12,0)+4*(INT(SUBSTITUTE(RIGHT($C200,2),"+",""))-1))</f>
        <v>8</v>
      </c>
      <c r="L200" s="74">
        <f>INDEX([1]角色基础!$AC$16:$CJ$45,MATCH($AA200,[1]角色基础!$J$16:$J$45,0),MATCH(L$2,[1]角色基础!$AC$12:$AF$12,0)+4*(INT(SUBSTITUTE(RIGHT($C200,2),"+",""))-1))</f>
        <v>8</v>
      </c>
      <c r="M200" s="72">
        <v>0</v>
      </c>
      <c r="N200" s="72">
        <v>0</v>
      </c>
      <c r="O200" s="72">
        <v>0</v>
      </c>
      <c r="P200" s="72">
        <v>0</v>
      </c>
      <c r="Q200" s="72">
        <v>2</v>
      </c>
      <c r="R200" s="75">
        <v>0</v>
      </c>
      <c r="S200" s="75">
        <v>3750</v>
      </c>
      <c r="T200" s="75">
        <v>150</v>
      </c>
      <c r="U200" s="75">
        <v>75</v>
      </c>
      <c r="V200" s="75">
        <v>75</v>
      </c>
      <c r="W200" s="76">
        <v>0</v>
      </c>
      <c r="X200" s="76">
        <v>0</v>
      </c>
      <c r="Y200" s="76">
        <v>0</v>
      </c>
      <c r="Z200" s="76">
        <v>0</v>
      </c>
      <c r="AA200" s="77" t="s">
        <v>174</v>
      </c>
    </row>
    <row r="201" spans="1:27" s="77" customFormat="1">
      <c r="A201" s="72">
        <v>5503</v>
      </c>
      <c r="B201" s="72" t="s">
        <v>42</v>
      </c>
      <c r="C201" s="72" t="s">
        <v>35</v>
      </c>
      <c r="D201" s="72">
        <v>10025</v>
      </c>
      <c r="E201" s="72">
        <v>60000</v>
      </c>
      <c r="F201" s="72" t="s">
        <v>29</v>
      </c>
      <c r="G201" s="72">
        <v>0</v>
      </c>
      <c r="H201" s="73">
        <v>0</v>
      </c>
      <c r="I201" s="74">
        <f>INDEX([1]角色基础!$AC$16:$CJ$45,MATCH($AA201,[1]角色基础!$J$16:$J$45,0),MATCH(I$2,[1]角色基础!$AC$12:$AF$12,0)+4*(INT(SUBSTITUTE(RIGHT($C201,2),"+",""))-1))</f>
        <v>563</v>
      </c>
      <c r="J201" s="74">
        <f>INDEX([1]角色基础!$AC$16:$CJ$45,MATCH($AA201,[1]角色基础!$J$16:$J$45,0),MATCH(J$2,[1]角色基础!$AC$12:$AF$12,0)+4*(INT(SUBSTITUTE(RIGHT($C201,2),"+",""))-1))</f>
        <v>23</v>
      </c>
      <c r="K201" s="74">
        <f>INDEX([1]角色基础!$AC$16:$CJ$45,MATCH($AA201,[1]角色基础!$J$16:$J$45,0),MATCH(K$2,[1]角色基础!$AC$12:$AF$12,0)+4*(INT(SUBSTITUTE(RIGHT($C201,2),"+",""))-1))</f>
        <v>11</v>
      </c>
      <c r="L201" s="74">
        <f>INDEX([1]角色基础!$AC$16:$CJ$45,MATCH($AA201,[1]角色基础!$J$16:$J$45,0),MATCH(L$2,[1]角色基础!$AC$12:$AF$12,0)+4*(INT(SUBSTITUTE(RIGHT($C201,2),"+",""))-1))</f>
        <v>11</v>
      </c>
      <c r="M201" s="72">
        <v>0</v>
      </c>
      <c r="N201" s="72">
        <v>0</v>
      </c>
      <c r="O201" s="72">
        <v>0</v>
      </c>
      <c r="P201" s="72">
        <v>0</v>
      </c>
      <c r="Q201" s="72">
        <v>3</v>
      </c>
      <c r="R201" s="75">
        <v>0</v>
      </c>
      <c r="S201" s="75">
        <v>3750</v>
      </c>
      <c r="T201" s="75">
        <v>150</v>
      </c>
      <c r="U201" s="75">
        <v>75</v>
      </c>
      <c r="V201" s="75">
        <v>75</v>
      </c>
      <c r="W201" s="76">
        <v>0</v>
      </c>
      <c r="X201" s="76">
        <v>0</v>
      </c>
      <c r="Y201" s="76">
        <v>0</v>
      </c>
      <c r="Z201" s="76">
        <v>0</v>
      </c>
      <c r="AA201" s="77" t="s">
        <v>174</v>
      </c>
    </row>
    <row r="202" spans="1:27" s="77" customFormat="1">
      <c r="A202" s="72">
        <v>5504</v>
      </c>
      <c r="B202" s="72" t="s">
        <v>43</v>
      </c>
      <c r="C202" s="72" t="s">
        <v>36</v>
      </c>
      <c r="D202" s="72">
        <v>10035</v>
      </c>
      <c r="E202" s="72">
        <v>120000</v>
      </c>
      <c r="F202" s="72" t="s">
        <v>84</v>
      </c>
      <c r="G202" s="72">
        <v>1</v>
      </c>
      <c r="H202" s="73">
        <v>0</v>
      </c>
      <c r="I202" s="74">
        <f>INDEX([1]角色基础!$AC$16:$CJ$45,MATCH($AA202,[1]角色基础!$J$16:$J$45,0),MATCH(I$2,[1]角色基础!$AC$12:$AF$12,0)+4*(INT(SUBSTITUTE(RIGHT($C202,2),"+",""))-1))</f>
        <v>750</v>
      </c>
      <c r="J202" s="74">
        <f>INDEX([1]角色基础!$AC$16:$CJ$45,MATCH($AA202,[1]角色基础!$J$16:$J$45,0),MATCH(J$2,[1]角色基础!$AC$12:$AF$12,0)+4*(INT(SUBSTITUTE(RIGHT($C202,2),"+",""))-1))</f>
        <v>30</v>
      </c>
      <c r="K202" s="74">
        <f>INDEX([1]角色基础!$AC$16:$CJ$45,MATCH($AA202,[1]角色基础!$J$16:$J$45,0),MATCH(K$2,[1]角色基础!$AC$12:$AF$12,0)+4*(INT(SUBSTITUTE(RIGHT($C202,2),"+",""))-1))</f>
        <v>15</v>
      </c>
      <c r="L202" s="74">
        <f>INDEX([1]角色基础!$AC$16:$CJ$45,MATCH($AA202,[1]角色基础!$J$16:$J$45,0),MATCH(L$2,[1]角色基础!$AC$12:$AF$12,0)+4*(INT(SUBSTITUTE(RIGHT($C202,2),"+",""))-1))</f>
        <v>15</v>
      </c>
      <c r="M202" s="72">
        <v>0</v>
      </c>
      <c r="N202" s="72">
        <v>0</v>
      </c>
      <c r="O202" s="72">
        <v>0</v>
      </c>
      <c r="P202" s="72">
        <v>0</v>
      </c>
      <c r="Q202" s="72">
        <v>4</v>
      </c>
      <c r="R202" s="75">
        <v>0</v>
      </c>
      <c r="S202" s="75">
        <v>3750</v>
      </c>
      <c r="T202" s="75">
        <v>150</v>
      </c>
      <c r="U202" s="75">
        <v>75</v>
      </c>
      <c r="V202" s="75">
        <v>75</v>
      </c>
      <c r="W202" s="76">
        <v>0</v>
      </c>
      <c r="X202" s="76">
        <v>0</v>
      </c>
      <c r="Y202" s="76">
        <v>0</v>
      </c>
      <c r="Z202" s="76">
        <v>0</v>
      </c>
      <c r="AA202" s="77" t="s">
        <v>174</v>
      </c>
    </row>
    <row r="203" spans="1:27" s="77" customFormat="1">
      <c r="A203" s="72">
        <v>5505</v>
      </c>
      <c r="B203" s="72" t="s">
        <v>44</v>
      </c>
      <c r="C203" s="72" t="s">
        <v>37</v>
      </c>
      <c r="D203" s="72">
        <v>10045</v>
      </c>
      <c r="E203" s="72">
        <v>240000</v>
      </c>
      <c r="F203" s="72" t="s">
        <v>85</v>
      </c>
      <c r="G203" s="72">
        <v>1</v>
      </c>
      <c r="H203" s="73">
        <v>0</v>
      </c>
      <c r="I203" s="74">
        <f>INDEX([1]角色基础!$AC$16:$CJ$45,MATCH($AA203,[1]角色基础!$J$16:$J$45,0),MATCH(I$2,[1]角色基础!$AC$12:$AF$12,0)+4*(INT(SUBSTITUTE(RIGHT($C203,2),"+",""))-1))</f>
        <v>938</v>
      </c>
      <c r="J203" s="74">
        <f>INDEX([1]角色基础!$AC$16:$CJ$45,MATCH($AA203,[1]角色基础!$J$16:$J$45,0),MATCH(J$2,[1]角色基础!$AC$12:$AF$12,0)+4*(INT(SUBSTITUTE(RIGHT($C203,2),"+",""))-1))</f>
        <v>38</v>
      </c>
      <c r="K203" s="74">
        <f>INDEX([1]角色基础!$AC$16:$CJ$45,MATCH($AA203,[1]角色基础!$J$16:$J$45,0),MATCH(K$2,[1]角色基础!$AC$12:$AF$12,0)+4*(INT(SUBSTITUTE(RIGHT($C203,2),"+",""))-1))</f>
        <v>19</v>
      </c>
      <c r="L203" s="74">
        <f>INDEX([1]角色基础!$AC$16:$CJ$45,MATCH($AA203,[1]角色基础!$J$16:$J$45,0),MATCH(L$2,[1]角色基础!$AC$12:$AF$12,0)+4*(INT(SUBSTITUTE(RIGHT($C203,2),"+",""))-1))</f>
        <v>19</v>
      </c>
      <c r="M203" s="72">
        <v>0</v>
      </c>
      <c r="N203" s="72">
        <v>0</v>
      </c>
      <c r="O203" s="72">
        <v>0</v>
      </c>
      <c r="P203" s="72">
        <v>0</v>
      </c>
      <c r="Q203" s="72">
        <v>5</v>
      </c>
      <c r="R203" s="75">
        <v>0</v>
      </c>
      <c r="S203" s="75">
        <v>3750</v>
      </c>
      <c r="T203" s="75">
        <v>150</v>
      </c>
      <c r="U203" s="75">
        <v>75</v>
      </c>
      <c r="V203" s="75">
        <v>75</v>
      </c>
      <c r="W203" s="76">
        <v>0</v>
      </c>
      <c r="X203" s="76">
        <v>0</v>
      </c>
      <c r="Y203" s="76">
        <v>0</v>
      </c>
      <c r="Z203" s="76">
        <v>0</v>
      </c>
      <c r="AA203" s="77" t="s">
        <v>174</v>
      </c>
    </row>
    <row r="204" spans="1:27" s="77" customFormat="1">
      <c r="A204" s="72">
        <v>5506</v>
      </c>
      <c r="B204" s="72" t="s">
        <v>45</v>
      </c>
      <c r="C204" s="72" t="s">
        <v>38</v>
      </c>
      <c r="D204" s="72">
        <v>10055</v>
      </c>
      <c r="E204" s="72">
        <v>360000</v>
      </c>
      <c r="F204" s="72" t="s">
        <v>86</v>
      </c>
      <c r="G204" s="72">
        <v>2</v>
      </c>
      <c r="H204" s="73">
        <v>0</v>
      </c>
      <c r="I204" s="74">
        <f>INDEX([1]角色基础!$AC$16:$CJ$45,MATCH($AA204,[1]角色基础!$J$16:$J$45,0),MATCH(I$2,[1]角色基础!$AC$12:$AF$12,0)+4*(INT(SUBSTITUTE(RIGHT($C204,2),"+",""))-1))</f>
        <v>1125</v>
      </c>
      <c r="J204" s="74">
        <f>INDEX([1]角色基础!$AC$16:$CJ$45,MATCH($AA204,[1]角色基础!$J$16:$J$45,0),MATCH(J$2,[1]角色基础!$AC$12:$AF$12,0)+4*(INT(SUBSTITUTE(RIGHT($C204,2),"+",""))-1))</f>
        <v>45</v>
      </c>
      <c r="K204" s="74">
        <f>INDEX([1]角色基础!$AC$16:$CJ$45,MATCH($AA204,[1]角色基础!$J$16:$J$45,0),MATCH(K$2,[1]角色基础!$AC$12:$AF$12,0)+4*(INT(SUBSTITUTE(RIGHT($C204,2),"+",""))-1))</f>
        <v>23</v>
      </c>
      <c r="L204" s="74">
        <f>INDEX([1]角色基础!$AC$16:$CJ$45,MATCH($AA204,[1]角色基础!$J$16:$J$45,0),MATCH(L$2,[1]角色基础!$AC$12:$AF$12,0)+4*(INT(SUBSTITUTE(RIGHT($C204,2),"+",""))-1))</f>
        <v>23</v>
      </c>
      <c r="M204" s="72">
        <v>0</v>
      </c>
      <c r="N204" s="72">
        <v>0</v>
      </c>
      <c r="O204" s="72">
        <v>0</v>
      </c>
      <c r="P204" s="72">
        <v>0</v>
      </c>
      <c r="Q204" s="72">
        <v>6</v>
      </c>
      <c r="R204" s="75">
        <v>0</v>
      </c>
      <c r="S204" s="75">
        <v>3750</v>
      </c>
      <c r="T204" s="75">
        <v>150</v>
      </c>
      <c r="U204" s="75">
        <v>75</v>
      </c>
      <c r="V204" s="75">
        <v>75</v>
      </c>
      <c r="W204" s="76">
        <v>0</v>
      </c>
      <c r="X204" s="76">
        <v>0</v>
      </c>
      <c r="Y204" s="76">
        <v>0</v>
      </c>
      <c r="Z204" s="76">
        <v>0</v>
      </c>
      <c r="AA204" s="77" t="s">
        <v>174</v>
      </c>
    </row>
    <row r="205" spans="1:27" s="77" customFormat="1">
      <c r="A205" s="72">
        <v>5507</v>
      </c>
      <c r="B205" s="72" t="s">
        <v>46</v>
      </c>
      <c r="C205" s="72" t="s">
        <v>39</v>
      </c>
      <c r="D205" s="72">
        <v>10065</v>
      </c>
      <c r="E205" s="72">
        <v>600000</v>
      </c>
      <c r="F205" s="72" t="s">
        <v>87</v>
      </c>
      <c r="G205" s="72">
        <v>2</v>
      </c>
      <c r="H205" s="73">
        <v>0</v>
      </c>
      <c r="I205" s="74">
        <f>INDEX([1]角色基础!$AC$16:$CJ$45,MATCH($AA205,[1]角色基础!$J$16:$J$45,0),MATCH(I$2,[1]角色基础!$AC$12:$AF$12,0)+4*(INT(SUBSTITUTE(RIGHT($C205,2),"+",""))-1))</f>
        <v>1313</v>
      </c>
      <c r="J205" s="74">
        <f>INDEX([1]角色基础!$AC$16:$CJ$45,MATCH($AA205,[1]角色基础!$J$16:$J$45,0),MATCH(J$2,[1]角色基础!$AC$12:$AF$12,0)+4*(INT(SUBSTITUTE(RIGHT($C205,2),"+",""))-1))</f>
        <v>53</v>
      </c>
      <c r="K205" s="74">
        <f>INDEX([1]角色基础!$AC$16:$CJ$45,MATCH($AA205,[1]角色基础!$J$16:$J$45,0),MATCH(K$2,[1]角色基础!$AC$12:$AF$12,0)+4*(INT(SUBSTITUTE(RIGHT($C205,2),"+",""))-1))</f>
        <v>26</v>
      </c>
      <c r="L205" s="74">
        <f>INDEX([1]角色基础!$AC$16:$CJ$45,MATCH($AA205,[1]角色基础!$J$16:$J$45,0),MATCH(L$2,[1]角色基础!$AC$12:$AF$12,0)+4*(INT(SUBSTITUTE(RIGHT($C205,2),"+",""))-1))</f>
        <v>26</v>
      </c>
      <c r="M205" s="72">
        <v>0</v>
      </c>
      <c r="N205" s="72">
        <v>0</v>
      </c>
      <c r="O205" s="72">
        <v>0</v>
      </c>
      <c r="P205" s="72">
        <v>0</v>
      </c>
      <c r="Q205" s="72">
        <v>7</v>
      </c>
      <c r="R205" s="75">
        <v>0</v>
      </c>
      <c r="S205" s="75">
        <v>3750</v>
      </c>
      <c r="T205" s="75">
        <v>150</v>
      </c>
      <c r="U205" s="75">
        <v>75</v>
      </c>
      <c r="V205" s="75">
        <v>75</v>
      </c>
      <c r="W205" s="76">
        <v>0</v>
      </c>
      <c r="X205" s="76">
        <v>0</v>
      </c>
      <c r="Y205" s="76">
        <v>0</v>
      </c>
      <c r="Z205" s="76">
        <v>0</v>
      </c>
      <c r="AA205" s="77" t="s">
        <v>174</v>
      </c>
    </row>
    <row r="206" spans="1:27" s="77" customFormat="1">
      <c r="A206" s="72">
        <v>5508</v>
      </c>
      <c r="B206" s="72" t="s">
        <v>47</v>
      </c>
      <c r="C206" s="72" t="s">
        <v>40</v>
      </c>
      <c r="D206" s="72">
        <v>10075</v>
      </c>
      <c r="E206" s="72">
        <v>1000000</v>
      </c>
      <c r="F206" s="72" t="s">
        <v>88</v>
      </c>
      <c r="G206" s="72">
        <v>4</v>
      </c>
      <c r="H206" s="73">
        <v>0</v>
      </c>
      <c r="I206" s="74">
        <f>INDEX([1]角色基础!$AC$16:$CJ$45,MATCH($AA206,[1]角色基础!$J$16:$J$45,0),MATCH(I$2,[1]角色基础!$AC$12:$AF$12,0)+4*(INT(SUBSTITUTE(RIGHT($C206,2),"+",""))-1))</f>
        <v>1500</v>
      </c>
      <c r="J206" s="74">
        <f>INDEX([1]角色基础!$AC$16:$CJ$45,MATCH($AA206,[1]角色基础!$J$16:$J$45,0),MATCH(J$2,[1]角色基础!$AC$12:$AF$12,0)+4*(INT(SUBSTITUTE(RIGHT($C206,2),"+",""))-1))</f>
        <v>60</v>
      </c>
      <c r="K206" s="74">
        <f>INDEX([1]角色基础!$AC$16:$CJ$45,MATCH($AA206,[1]角色基础!$J$16:$J$45,0),MATCH(K$2,[1]角色基础!$AC$12:$AF$12,0)+4*(INT(SUBSTITUTE(RIGHT($C206,2),"+",""))-1))</f>
        <v>30</v>
      </c>
      <c r="L206" s="74">
        <f>INDEX([1]角色基础!$AC$16:$CJ$45,MATCH($AA206,[1]角色基础!$J$16:$J$45,0),MATCH(L$2,[1]角色基础!$AC$12:$AF$12,0)+4*(INT(SUBSTITUTE(RIGHT($C206,2),"+",""))-1))</f>
        <v>30</v>
      </c>
      <c r="M206" s="72">
        <v>0</v>
      </c>
      <c r="N206" s="72">
        <v>0</v>
      </c>
      <c r="O206" s="72">
        <v>0</v>
      </c>
      <c r="P206" s="72">
        <v>0</v>
      </c>
      <c r="Q206" s="72">
        <v>8</v>
      </c>
      <c r="R206" s="75">
        <v>0</v>
      </c>
      <c r="S206" s="75">
        <v>3750</v>
      </c>
      <c r="T206" s="75">
        <v>150</v>
      </c>
      <c r="U206" s="75">
        <v>75</v>
      </c>
      <c r="V206" s="75">
        <v>75</v>
      </c>
      <c r="W206" s="76">
        <v>0</v>
      </c>
      <c r="X206" s="76">
        <v>0</v>
      </c>
      <c r="Y206" s="76">
        <v>0</v>
      </c>
      <c r="Z206" s="76">
        <v>0</v>
      </c>
      <c r="AA206" s="77" t="s">
        <v>174</v>
      </c>
    </row>
    <row r="207" spans="1:27" s="77" customFormat="1">
      <c r="A207" s="72">
        <v>5509</v>
      </c>
      <c r="B207" s="72" t="s">
        <v>69</v>
      </c>
      <c r="C207" s="72" t="s">
        <v>32</v>
      </c>
      <c r="D207" s="72">
        <v>10085</v>
      </c>
      <c r="E207" s="72">
        <v>1500000</v>
      </c>
      <c r="F207" s="72" t="s">
        <v>89</v>
      </c>
      <c r="G207" s="72">
        <v>6</v>
      </c>
      <c r="H207" s="73">
        <v>0</v>
      </c>
      <c r="I207" s="74">
        <f>INDEX([1]角色基础!$AC$16:$CJ$45,MATCH($AA207,[1]角色基础!$J$16:$J$45,0),MATCH(I$2,[1]角色基础!$AC$12:$AF$12,0)+4*(INT(SUBSTITUTE(RIGHT($C207,2),"+",""))-1))</f>
        <v>1688</v>
      </c>
      <c r="J207" s="74">
        <f>INDEX([1]角色基础!$AC$16:$CJ$45,MATCH($AA207,[1]角色基础!$J$16:$J$45,0),MATCH(J$2,[1]角色基础!$AC$12:$AF$12,0)+4*(INT(SUBSTITUTE(RIGHT($C207,2),"+",""))-1))</f>
        <v>68</v>
      </c>
      <c r="K207" s="74">
        <f>INDEX([1]角色基础!$AC$16:$CJ$45,MATCH($AA207,[1]角色基础!$J$16:$J$45,0),MATCH(K$2,[1]角色基础!$AC$12:$AF$12,0)+4*(INT(SUBSTITUTE(RIGHT($C207,2),"+",""))-1))</f>
        <v>34</v>
      </c>
      <c r="L207" s="74">
        <f>INDEX([1]角色基础!$AC$16:$CJ$45,MATCH($AA207,[1]角色基础!$J$16:$J$45,0),MATCH(L$2,[1]角色基础!$AC$12:$AF$12,0)+4*(INT(SUBSTITUTE(RIGHT($C207,2),"+",""))-1))</f>
        <v>34</v>
      </c>
      <c r="M207" s="72">
        <v>0</v>
      </c>
      <c r="N207" s="72">
        <v>0</v>
      </c>
      <c r="O207" s="72">
        <v>0</v>
      </c>
      <c r="P207" s="72">
        <v>0</v>
      </c>
      <c r="Q207" s="72">
        <v>9</v>
      </c>
      <c r="R207" s="75">
        <v>0</v>
      </c>
      <c r="S207" s="75">
        <v>3750</v>
      </c>
      <c r="T207" s="75">
        <v>150</v>
      </c>
      <c r="U207" s="75">
        <v>75</v>
      </c>
      <c r="V207" s="75">
        <v>75</v>
      </c>
      <c r="W207" s="76">
        <v>0</v>
      </c>
      <c r="X207" s="76">
        <v>0</v>
      </c>
      <c r="Y207" s="76">
        <v>0</v>
      </c>
      <c r="Z207" s="76">
        <v>0</v>
      </c>
      <c r="AA207" s="77" t="s">
        <v>174</v>
      </c>
    </row>
    <row r="208" spans="1:27" s="77" customFormat="1">
      <c r="A208" s="72">
        <v>5510</v>
      </c>
      <c r="B208" s="72" t="s">
        <v>71</v>
      </c>
      <c r="C208" s="72" t="s">
        <v>31</v>
      </c>
      <c r="D208" s="72">
        <v>10095</v>
      </c>
      <c r="E208" s="72">
        <v>2000000</v>
      </c>
      <c r="F208" s="72" t="s">
        <v>90</v>
      </c>
      <c r="G208" s="72">
        <v>8</v>
      </c>
      <c r="H208" s="73">
        <v>0</v>
      </c>
      <c r="I208" s="74">
        <f>INDEX([1]角色基础!$AC$16:$CJ$45,MATCH($AA208,[1]角色基础!$J$16:$J$45,0),MATCH(I$2,[1]角色基础!$AC$12:$AF$12,0)+4*(INT(SUBSTITUTE(RIGHT($C208,2),"+",""))-1))</f>
        <v>1875</v>
      </c>
      <c r="J208" s="74">
        <f>INDEX([1]角色基础!$AC$16:$CJ$45,MATCH($AA208,[1]角色基础!$J$16:$J$45,0),MATCH(J$2,[1]角色基础!$AC$12:$AF$12,0)+4*(INT(SUBSTITUTE(RIGHT($C208,2),"+",""))-1))</f>
        <v>75</v>
      </c>
      <c r="K208" s="74">
        <f>INDEX([1]角色基础!$AC$16:$CJ$45,MATCH($AA208,[1]角色基础!$J$16:$J$45,0),MATCH(K$2,[1]角色基础!$AC$12:$AF$12,0)+4*(INT(SUBSTITUTE(RIGHT($C208,2),"+",""))-1))</f>
        <v>38</v>
      </c>
      <c r="L208" s="74">
        <f>INDEX([1]角色基础!$AC$16:$CJ$45,MATCH($AA208,[1]角色基础!$J$16:$J$45,0),MATCH(L$2,[1]角色基础!$AC$12:$AF$12,0)+4*(INT(SUBSTITUTE(RIGHT($C208,2),"+",""))-1))</f>
        <v>38</v>
      </c>
      <c r="M208" s="72">
        <v>0</v>
      </c>
      <c r="N208" s="72">
        <v>0</v>
      </c>
      <c r="O208" s="72">
        <v>0</v>
      </c>
      <c r="P208" s="72">
        <v>0</v>
      </c>
      <c r="Q208" s="72">
        <v>10</v>
      </c>
      <c r="R208" s="75">
        <v>0</v>
      </c>
      <c r="S208" s="75">
        <v>3750</v>
      </c>
      <c r="T208" s="75">
        <v>150</v>
      </c>
      <c r="U208" s="75">
        <v>75</v>
      </c>
      <c r="V208" s="75">
        <v>75</v>
      </c>
      <c r="W208" s="76">
        <v>0</v>
      </c>
      <c r="X208" s="76">
        <v>0</v>
      </c>
      <c r="Y208" s="76">
        <v>0</v>
      </c>
      <c r="Z208" s="76">
        <v>0</v>
      </c>
      <c r="AA208" s="77" t="s">
        <v>174</v>
      </c>
    </row>
    <row r="209" spans="1:27" s="77" customFormat="1">
      <c r="A209" s="72">
        <v>5511</v>
      </c>
      <c r="B209" s="72" t="s">
        <v>73</v>
      </c>
      <c r="C209" s="72" t="s">
        <v>74</v>
      </c>
      <c r="D209" s="72">
        <v>10105</v>
      </c>
      <c r="E209" s="72">
        <v>2400000</v>
      </c>
      <c r="F209" s="72" t="s">
        <v>91</v>
      </c>
      <c r="G209" s="72">
        <v>10</v>
      </c>
      <c r="H209" s="73">
        <v>0</v>
      </c>
      <c r="I209" s="74">
        <f>INDEX([1]角色基础!$AC$16:$CJ$45,MATCH($AA209,[1]角色基础!$J$16:$J$45,0),MATCH(I$2,[1]角色基础!$AC$12:$AF$12,0)+4*(INT(SUBSTITUTE(RIGHT($C209,2),"+",""))-1))</f>
        <v>2063</v>
      </c>
      <c r="J209" s="74">
        <f>INDEX([1]角色基础!$AC$16:$CJ$45,MATCH($AA209,[1]角色基础!$J$16:$J$45,0),MATCH(J$2,[1]角色基础!$AC$12:$AF$12,0)+4*(INT(SUBSTITUTE(RIGHT($C209,2),"+",""))-1))</f>
        <v>83</v>
      </c>
      <c r="K209" s="74">
        <f>INDEX([1]角色基础!$AC$16:$CJ$45,MATCH($AA209,[1]角色基础!$J$16:$J$45,0),MATCH(K$2,[1]角色基础!$AC$12:$AF$12,0)+4*(INT(SUBSTITUTE(RIGHT($C209,2),"+",""))-1))</f>
        <v>41</v>
      </c>
      <c r="L209" s="74">
        <f>INDEX([1]角色基础!$AC$16:$CJ$45,MATCH($AA209,[1]角色基础!$J$16:$J$45,0),MATCH(L$2,[1]角色基础!$AC$12:$AF$12,0)+4*(INT(SUBSTITUTE(RIGHT($C209,2),"+",""))-1))</f>
        <v>41</v>
      </c>
      <c r="M209" s="72">
        <v>0</v>
      </c>
      <c r="N209" s="72">
        <v>0</v>
      </c>
      <c r="O209" s="72">
        <v>0</v>
      </c>
      <c r="P209" s="72">
        <v>0</v>
      </c>
      <c r="Q209" s="72">
        <v>11</v>
      </c>
      <c r="R209" s="75">
        <v>0</v>
      </c>
      <c r="S209" s="75">
        <v>3750</v>
      </c>
      <c r="T209" s="75">
        <v>150</v>
      </c>
      <c r="U209" s="75">
        <v>75</v>
      </c>
      <c r="V209" s="75">
        <v>75</v>
      </c>
      <c r="W209" s="76">
        <v>0</v>
      </c>
      <c r="X209" s="76">
        <v>0</v>
      </c>
      <c r="Y209" s="76">
        <v>0</v>
      </c>
      <c r="Z209" s="76">
        <v>0</v>
      </c>
      <c r="AA209" s="77" t="s">
        <v>174</v>
      </c>
    </row>
    <row r="210" spans="1:27" s="77" customFormat="1">
      <c r="A210" s="72">
        <v>5512</v>
      </c>
      <c r="B210" s="72" t="s">
        <v>75</v>
      </c>
      <c r="C210" s="72" t="s">
        <v>76</v>
      </c>
      <c r="D210" s="72">
        <v>10115</v>
      </c>
      <c r="E210" s="72">
        <v>3000000</v>
      </c>
      <c r="F210" s="72" t="s">
        <v>114</v>
      </c>
      <c r="G210" s="72">
        <v>12</v>
      </c>
      <c r="H210" s="73">
        <v>0</v>
      </c>
      <c r="I210" s="74">
        <f>INDEX([1]角色基础!$AC$16:$CJ$45,MATCH($AA210,[1]角色基础!$J$16:$J$45,0),MATCH(I$2,[1]角色基础!$AC$12:$AF$12,0)+4*(INT(SUBSTITUTE(RIGHT($C210,2),"+",""))-1))</f>
        <v>2250</v>
      </c>
      <c r="J210" s="74">
        <f>INDEX([1]角色基础!$AC$16:$CJ$45,MATCH($AA210,[1]角色基础!$J$16:$J$45,0),MATCH(J$2,[1]角色基础!$AC$12:$AF$12,0)+4*(INT(SUBSTITUTE(RIGHT($C210,2),"+",""))-1))</f>
        <v>90</v>
      </c>
      <c r="K210" s="74">
        <f>INDEX([1]角色基础!$AC$16:$CJ$45,MATCH($AA210,[1]角色基础!$J$16:$J$45,0),MATCH(K$2,[1]角色基础!$AC$12:$AF$12,0)+4*(INT(SUBSTITUTE(RIGHT($C210,2),"+",""))-1))</f>
        <v>45</v>
      </c>
      <c r="L210" s="74">
        <f>INDEX([1]角色基础!$AC$16:$CJ$45,MATCH($AA210,[1]角色基础!$J$16:$J$45,0),MATCH(L$2,[1]角色基础!$AC$12:$AF$12,0)+4*(INT(SUBSTITUTE(RIGHT($C210,2),"+",""))-1))</f>
        <v>45</v>
      </c>
      <c r="M210" s="72">
        <v>0</v>
      </c>
      <c r="N210" s="72">
        <v>0</v>
      </c>
      <c r="O210" s="72">
        <v>0</v>
      </c>
      <c r="P210" s="72">
        <v>0</v>
      </c>
      <c r="Q210" s="72">
        <v>12</v>
      </c>
      <c r="R210" s="75">
        <v>0</v>
      </c>
      <c r="S210" s="75">
        <v>3750</v>
      </c>
      <c r="T210" s="75">
        <v>150</v>
      </c>
      <c r="U210" s="75">
        <v>75</v>
      </c>
      <c r="V210" s="75">
        <v>75</v>
      </c>
      <c r="W210" s="76">
        <v>0</v>
      </c>
      <c r="X210" s="76">
        <v>0</v>
      </c>
      <c r="Y210" s="76">
        <v>0</v>
      </c>
      <c r="Z210" s="76">
        <v>0</v>
      </c>
      <c r="AA210" s="77" t="s">
        <v>174</v>
      </c>
    </row>
    <row r="211" spans="1:27" s="77" customFormat="1">
      <c r="A211" s="72">
        <v>5513</v>
      </c>
      <c r="B211" s="72" t="s">
        <v>182</v>
      </c>
      <c r="C211" s="72" t="s">
        <v>183</v>
      </c>
      <c r="D211" s="72">
        <v>10125</v>
      </c>
      <c r="E211" s="72">
        <v>3600000</v>
      </c>
      <c r="F211" s="72" t="s">
        <v>188</v>
      </c>
      <c r="G211" s="72">
        <v>14</v>
      </c>
      <c r="H211" s="73">
        <v>0</v>
      </c>
      <c r="I211" s="74">
        <f>INDEX([1]角色基础!$AC$16:$CJ$45,MATCH($AA211,[1]角色基础!$J$16:$J$45,0),MATCH(I$2,[1]角色基础!$AC$12:$AF$12,0)+4*(INT(SUBSTITUTE(RIGHT($C211,2),"+",""))-1))</f>
        <v>2438</v>
      </c>
      <c r="J211" s="74">
        <f>INDEX([1]角色基础!$AC$16:$CJ$45,MATCH($AA211,[1]角色基础!$J$16:$J$45,0),MATCH(J$2,[1]角色基础!$AC$12:$AF$12,0)+4*(INT(SUBSTITUTE(RIGHT($C211,2),"+",""))-1))</f>
        <v>98</v>
      </c>
      <c r="K211" s="74">
        <f>INDEX([1]角色基础!$AC$16:$CJ$45,MATCH($AA211,[1]角色基础!$J$16:$J$45,0),MATCH(K$2,[1]角色基础!$AC$12:$AF$12,0)+4*(INT(SUBSTITUTE(RIGHT($C211,2),"+",""))-1))</f>
        <v>49</v>
      </c>
      <c r="L211" s="74">
        <f>INDEX([1]角色基础!$AC$16:$CJ$45,MATCH($AA211,[1]角色基础!$J$16:$J$45,0),MATCH(L$2,[1]角色基础!$AC$12:$AF$12,0)+4*(INT(SUBSTITUTE(RIGHT($C211,2),"+",""))-1))</f>
        <v>49</v>
      </c>
      <c r="M211" s="72">
        <v>0</v>
      </c>
      <c r="N211" s="72">
        <v>0</v>
      </c>
      <c r="O211" s="72">
        <v>0</v>
      </c>
      <c r="P211" s="72">
        <v>0</v>
      </c>
      <c r="Q211" s="72">
        <v>13</v>
      </c>
      <c r="R211" s="75">
        <v>0</v>
      </c>
      <c r="S211" s="75">
        <v>3750</v>
      </c>
      <c r="T211" s="75">
        <v>150</v>
      </c>
      <c r="U211" s="75">
        <v>75</v>
      </c>
      <c r="V211" s="75">
        <v>75</v>
      </c>
      <c r="W211" s="76">
        <v>0</v>
      </c>
      <c r="X211" s="76">
        <v>0</v>
      </c>
      <c r="Y211" s="76">
        <v>0</v>
      </c>
      <c r="Z211" s="76">
        <v>0</v>
      </c>
      <c r="AA211" s="77" t="s">
        <v>174</v>
      </c>
    </row>
    <row r="212" spans="1:27" s="77" customFormat="1">
      <c r="A212" s="72">
        <v>5514</v>
      </c>
      <c r="B212" s="72" t="s">
        <v>184</v>
      </c>
      <c r="C212" s="72" t="s">
        <v>185</v>
      </c>
      <c r="D212" s="72">
        <v>10135</v>
      </c>
      <c r="E212" s="72">
        <v>4800000</v>
      </c>
      <c r="F212" s="72" t="s">
        <v>190</v>
      </c>
      <c r="G212" s="72">
        <v>16</v>
      </c>
      <c r="H212" s="73">
        <v>0</v>
      </c>
      <c r="I212" s="74">
        <f>INDEX([1]角色基础!$AC$16:$CJ$45,MATCH($AA212,[1]角色基础!$J$16:$J$45,0),MATCH(I$2,[1]角色基础!$AC$12:$AF$12,0)+4*(INT(SUBSTITUTE(RIGHT($C212,2),"+",""))-1))</f>
        <v>2625</v>
      </c>
      <c r="J212" s="74">
        <f>INDEX([1]角色基础!$AC$16:$CJ$45,MATCH($AA212,[1]角色基础!$J$16:$J$45,0),MATCH(J$2,[1]角色基础!$AC$12:$AF$12,0)+4*(INT(SUBSTITUTE(RIGHT($C212,2),"+",""))-1))</f>
        <v>105</v>
      </c>
      <c r="K212" s="74">
        <f>INDEX([1]角色基础!$AC$16:$CJ$45,MATCH($AA212,[1]角色基础!$J$16:$J$45,0),MATCH(K$2,[1]角色基础!$AC$12:$AF$12,0)+4*(INT(SUBSTITUTE(RIGHT($C212,2),"+",""))-1))</f>
        <v>53</v>
      </c>
      <c r="L212" s="74">
        <f>INDEX([1]角色基础!$AC$16:$CJ$45,MATCH($AA212,[1]角色基础!$J$16:$J$45,0),MATCH(L$2,[1]角色基础!$AC$12:$AF$12,0)+4*(INT(SUBSTITUTE(RIGHT($C212,2),"+",""))-1))</f>
        <v>53</v>
      </c>
      <c r="M212" s="72">
        <v>0</v>
      </c>
      <c r="N212" s="72">
        <v>0</v>
      </c>
      <c r="O212" s="72">
        <v>0</v>
      </c>
      <c r="P212" s="72">
        <v>0</v>
      </c>
      <c r="Q212" s="72">
        <v>14</v>
      </c>
      <c r="R212" s="75">
        <v>0</v>
      </c>
      <c r="S212" s="75">
        <v>3750</v>
      </c>
      <c r="T212" s="75">
        <v>150</v>
      </c>
      <c r="U212" s="75">
        <v>75</v>
      </c>
      <c r="V212" s="75">
        <v>75</v>
      </c>
      <c r="W212" s="76">
        <v>0</v>
      </c>
      <c r="X212" s="76">
        <v>0</v>
      </c>
      <c r="Y212" s="76">
        <v>0</v>
      </c>
      <c r="Z212" s="76">
        <v>0</v>
      </c>
      <c r="AA212" s="77" t="s">
        <v>174</v>
      </c>
    </row>
    <row r="213" spans="1:27" s="77" customFormat="1">
      <c r="A213" s="72">
        <v>5515</v>
      </c>
      <c r="B213" s="72" t="s">
        <v>186</v>
      </c>
      <c r="C213" s="72" t="s">
        <v>187</v>
      </c>
      <c r="D213" s="72">
        <v>10145</v>
      </c>
      <c r="E213" s="72">
        <v>6000000</v>
      </c>
      <c r="F213" s="72" t="s">
        <v>192</v>
      </c>
      <c r="G213" s="72">
        <v>20</v>
      </c>
      <c r="H213" s="73">
        <v>0</v>
      </c>
      <c r="I213" s="74">
        <f>INDEX([1]角色基础!$AC$16:$CJ$45,MATCH($AA213,[1]角色基础!$J$16:$J$45,0),MATCH(I$2,[1]角色基础!$AC$12:$AF$12,0)+4*(INT(SUBSTITUTE(RIGHT($C213,2),"+",""))-1))</f>
        <v>2813</v>
      </c>
      <c r="J213" s="74">
        <f>INDEX([1]角色基础!$AC$16:$CJ$45,MATCH($AA213,[1]角色基础!$J$16:$J$45,0),MATCH(J$2,[1]角色基础!$AC$12:$AF$12,0)+4*(INT(SUBSTITUTE(RIGHT($C213,2),"+",""))-1))</f>
        <v>113</v>
      </c>
      <c r="K213" s="74">
        <f>INDEX([1]角色基础!$AC$16:$CJ$45,MATCH($AA213,[1]角色基础!$J$16:$J$45,0),MATCH(K$2,[1]角色基础!$AC$12:$AF$12,0)+4*(INT(SUBSTITUTE(RIGHT($C213,2),"+",""))-1))</f>
        <v>56</v>
      </c>
      <c r="L213" s="74">
        <f>INDEX([1]角色基础!$AC$16:$CJ$45,MATCH($AA213,[1]角色基础!$J$16:$J$45,0),MATCH(L$2,[1]角色基础!$AC$12:$AF$12,0)+4*(INT(SUBSTITUTE(RIGHT($C213,2),"+",""))-1))</f>
        <v>56</v>
      </c>
      <c r="M213" s="72">
        <v>0</v>
      </c>
      <c r="N213" s="72">
        <v>0</v>
      </c>
      <c r="O213" s="72">
        <v>0</v>
      </c>
      <c r="P213" s="72">
        <v>0</v>
      </c>
      <c r="Q213" s="72">
        <v>15</v>
      </c>
      <c r="R213" s="75">
        <v>0</v>
      </c>
      <c r="S213" s="75">
        <v>3750</v>
      </c>
      <c r="T213" s="75">
        <v>150</v>
      </c>
      <c r="U213" s="75">
        <v>75</v>
      </c>
      <c r="V213" s="75">
        <v>75</v>
      </c>
      <c r="W213" s="76">
        <v>0</v>
      </c>
      <c r="X213" s="76">
        <v>0</v>
      </c>
      <c r="Y213" s="76">
        <v>0</v>
      </c>
      <c r="Z213" s="76">
        <v>0</v>
      </c>
      <c r="AA213" s="77" t="s">
        <v>174</v>
      </c>
    </row>
    <row r="214" spans="1:27" s="83" customFormat="1">
      <c r="A214" s="78">
        <v>6101</v>
      </c>
      <c r="B214" s="78" t="s">
        <v>121</v>
      </c>
      <c r="C214" s="78" t="s">
        <v>33</v>
      </c>
      <c r="D214" s="78">
        <v>10001</v>
      </c>
      <c r="E214" s="78">
        <v>8000</v>
      </c>
      <c r="F214" s="78" t="s">
        <v>153</v>
      </c>
      <c r="G214" s="78">
        <v>0</v>
      </c>
      <c r="H214" s="79">
        <v>0</v>
      </c>
      <c r="I214" s="80">
        <f>INDEX([1]角色基础!$AC$16:$CJ$45,MATCH($AA214,[1]角色基础!$J$16:$J$45,0),MATCH(I$2,[1]角色基础!$AC$12:$AF$12,0)+4*(INT(SUBSTITUTE(RIGHT($C214,2),"+",""))-1))</f>
        <v>375</v>
      </c>
      <c r="J214" s="80">
        <f>INDEX([1]角色基础!$AC$16:$CJ$45,MATCH($AA214,[1]角色基础!$J$16:$J$45,0),MATCH(J$2,[1]角色基础!$AC$12:$AF$12,0)+4*(INT(SUBSTITUTE(RIGHT($C214,2),"+",""))-1))</f>
        <v>15</v>
      </c>
      <c r="K214" s="80">
        <f>INDEX([1]角色基础!$AC$16:$CJ$45,MATCH($AA214,[1]角色基础!$J$16:$J$45,0),MATCH(K$2,[1]角色基础!$AC$12:$AF$12,0)+4*(INT(SUBSTITUTE(RIGHT($C214,2),"+",""))-1))</f>
        <v>8</v>
      </c>
      <c r="L214" s="80">
        <f>INDEX([1]角色基础!$AC$16:$CJ$45,MATCH($AA214,[1]角色基础!$J$16:$J$45,0),MATCH(L$2,[1]角色基础!$AC$12:$AF$12,0)+4*(INT(SUBSTITUTE(RIGHT($C214,2),"+",""))-1))</f>
        <v>8</v>
      </c>
      <c r="M214" s="78">
        <v>0</v>
      </c>
      <c r="N214" s="78">
        <v>0</v>
      </c>
      <c r="O214" s="78">
        <v>0</v>
      </c>
      <c r="P214" s="78">
        <v>0</v>
      </c>
      <c r="Q214" s="78">
        <v>1</v>
      </c>
      <c r="R214" s="81">
        <v>0</v>
      </c>
      <c r="S214" s="81">
        <v>6000</v>
      </c>
      <c r="T214" s="81">
        <v>240</v>
      </c>
      <c r="U214" s="81">
        <v>120</v>
      </c>
      <c r="V214" s="81">
        <v>120</v>
      </c>
      <c r="W214" s="82">
        <v>0</v>
      </c>
      <c r="X214" s="82">
        <v>0</v>
      </c>
      <c r="Y214" s="82">
        <v>0</v>
      </c>
      <c r="Z214" s="82">
        <v>0</v>
      </c>
      <c r="AA214" s="83" t="s">
        <v>177</v>
      </c>
    </row>
    <row r="215" spans="1:27" s="83" customFormat="1">
      <c r="A215" s="78">
        <v>6102</v>
      </c>
      <c r="B215" s="78" t="s">
        <v>41</v>
      </c>
      <c r="C215" s="78" t="s">
        <v>34</v>
      </c>
      <c r="D215" s="78">
        <v>10015</v>
      </c>
      <c r="E215" s="78">
        <v>28000</v>
      </c>
      <c r="F215" s="78" t="s">
        <v>154</v>
      </c>
      <c r="G215" s="78">
        <v>0</v>
      </c>
      <c r="H215" s="79">
        <v>0</v>
      </c>
      <c r="I215" s="80">
        <f>INDEX([1]角色基础!$AC$16:$CJ$45,MATCH($AA215,[1]角色基础!$J$16:$J$45,0),MATCH(I$2,[1]角色基础!$AC$12:$AF$12,0)+4*(INT(SUBSTITUTE(RIGHT($C215,2),"+",""))-1))</f>
        <v>750</v>
      </c>
      <c r="J215" s="80">
        <f>INDEX([1]角色基础!$AC$16:$CJ$45,MATCH($AA215,[1]角色基础!$J$16:$J$45,0),MATCH(J$2,[1]角色基础!$AC$12:$AF$12,0)+4*(INT(SUBSTITUTE(RIGHT($C215,2),"+",""))-1))</f>
        <v>30</v>
      </c>
      <c r="K215" s="80">
        <f>INDEX([1]角色基础!$AC$16:$CJ$45,MATCH($AA215,[1]角色基础!$J$16:$J$45,0),MATCH(K$2,[1]角色基础!$AC$12:$AF$12,0)+4*(INT(SUBSTITUTE(RIGHT($C215,2),"+",""))-1))</f>
        <v>15</v>
      </c>
      <c r="L215" s="80">
        <f>INDEX([1]角色基础!$AC$16:$CJ$45,MATCH($AA215,[1]角色基础!$J$16:$J$45,0),MATCH(L$2,[1]角色基础!$AC$12:$AF$12,0)+4*(INT(SUBSTITUTE(RIGHT($C215,2),"+",""))-1))</f>
        <v>15</v>
      </c>
      <c r="M215" s="78">
        <v>0</v>
      </c>
      <c r="N215" s="78">
        <v>0</v>
      </c>
      <c r="O215" s="78">
        <v>0</v>
      </c>
      <c r="P215" s="78">
        <v>0</v>
      </c>
      <c r="Q215" s="78">
        <v>2</v>
      </c>
      <c r="R215" s="81">
        <v>0</v>
      </c>
      <c r="S215" s="81">
        <v>6000</v>
      </c>
      <c r="T215" s="81">
        <v>240</v>
      </c>
      <c r="U215" s="81">
        <v>120</v>
      </c>
      <c r="V215" s="81">
        <v>120</v>
      </c>
      <c r="W215" s="82">
        <v>0</v>
      </c>
      <c r="X215" s="82">
        <v>0</v>
      </c>
      <c r="Y215" s="82">
        <v>0</v>
      </c>
      <c r="Z215" s="82">
        <v>0</v>
      </c>
      <c r="AA215" s="83" t="s">
        <v>177</v>
      </c>
    </row>
    <row r="216" spans="1:27" s="83" customFormat="1">
      <c r="A216" s="78">
        <v>6103</v>
      </c>
      <c r="B216" s="78" t="s">
        <v>42</v>
      </c>
      <c r="C216" s="78" t="s">
        <v>35</v>
      </c>
      <c r="D216" s="78">
        <v>10025</v>
      </c>
      <c r="E216" s="78">
        <v>70000</v>
      </c>
      <c r="F216" s="78" t="s">
        <v>155</v>
      </c>
      <c r="G216" s="78">
        <v>0</v>
      </c>
      <c r="H216" s="79">
        <v>0</v>
      </c>
      <c r="I216" s="80">
        <f>INDEX([1]角色基础!$AC$16:$CJ$45,MATCH($AA216,[1]角色基础!$J$16:$J$45,0),MATCH(I$2,[1]角色基础!$AC$12:$AF$12,0)+4*(INT(SUBSTITUTE(RIGHT($C216,2),"+",""))-1))</f>
        <v>1125</v>
      </c>
      <c r="J216" s="80">
        <f>INDEX([1]角色基础!$AC$16:$CJ$45,MATCH($AA216,[1]角色基础!$J$16:$J$45,0),MATCH(J$2,[1]角色基础!$AC$12:$AF$12,0)+4*(INT(SUBSTITUTE(RIGHT($C216,2),"+",""))-1))</f>
        <v>45</v>
      </c>
      <c r="K216" s="80">
        <f>INDEX([1]角色基础!$AC$16:$CJ$45,MATCH($AA216,[1]角色基础!$J$16:$J$45,0),MATCH(K$2,[1]角色基础!$AC$12:$AF$12,0)+4*(INT(SUBSTITUTE(RIGHT($C216,2),"+",""))-1))</f>
        <v>23</v>
      </c>
      <c r="L216" s="80">
        <f>INDEX([1]角色基础!$AC$16:$CJ$45,MATCH($AA216,[1]角色基础!$J$16:$J$45,0),MATCH(L$2,[1]角色基础!$AC$12:$AF$12,0)+4*(INT(SUBSTITUTE(RIGHT($C216,2),"+",""))-1))</f>
        <v>23</v>
      </c>
      <c r="M216" s="78">
        <v>0</v>
      </c>
      <c r="N216" s="78">
        <v>0</v>
      </c>
      <c r="O216" s="78">
        <v>0</v>
      </c>
      <c r="P216" s="78">
        <v>0</v>
      </c>
      <c r="Q216" s="78">
        <v>3</v>
      </c>
      <c r="R216" s="81">
        <v>0</v>
      </c>
      <c r="S216" s="81">
        <v>6000</v>
      </c>
      <c r="T216" s="81">
        <v>240</v>
      </c>
      <c r="U216" s="81">
        <v>120</v>
      </c>
      <c r="V216" s="81">
        <v>120</v>
      </c>
      <c r="W216" s="82">
        <v>0</v>
      </c>
      <c r="X216" s="82">
        <v>0</v>
      </c>
      <c r="Y216" s="82">
        <v>0</v>
      </c>
      <c r="Z216" s="82">
        <v>0</v>
      </c>
      <c r="AA216" s="83" t="s">
        <v>177</v>
      </c>
    </row>
    <row r="217" spans="1:27" s="83" customFormat="1">
      <c r="A217" s="78">
        <v>6104</v>
      </c>
      <c r="B217" s="78" t="s">
        <v>43</v>
      </c>
      <c r="C217" s="78" t="s">
        <v>36</v>
      </c>
      <c r="D217" s="78">
        <v>10035</v>
      </c>
      <c r="E217" s="78">
        <v>140000</v>
      </c>
      <c r="F217" s="78" t="s">
        <v>156</v>
      </c>
      <c r="G217" s="78">
        <v>1</v>
      </c>
      <c r="H217" s="79">
        <v>0</v>
      </c>
      <c r="I217" s="80">
        <f>INDEX([1]角色基础!$AC$16:$CJ$45,MATCH($AA217,[1]角色基础!$J$16:$J$45,0),MATCH(I$2,[1]角色基础!$AC$12:$AF$12,0)+4*(INT(SUBSTITUTE(RIGHT($C217,2),"+",""))-1))</f>
        <v>1500</v>
      </c>
      <c r="J217" s="80">
        <f>INDEX([1]角色基础!$AC$16:$CJ$45,MATCH($AA217,[1]角色基础!$J$16:$J$45,0),MATCH(J$2,[1]角色基础!$AC$12:$AF$12,0)+4*(INT(SUBSTITUTE(RIGHT($C217,2),"+",""))-1))</f>
        <v>60</v>
      </c>
      <c r="K217" s="80">
        <f>INDEX([1]角色基础!$AC$16:$CJ$45,MATCH($AA217,[1]角色基础!$J$16:$J$45,0),MATCH(K$2,[1]角色基础!$AC$12:$AF$12,0)+4*(INT(SUBSTITUTE(RIGHT($C217,2),"+",""))-1))</f>
        <v>30</v>
      </c>
      <c r="L217" s="80">
        <f>INDEX([1]角色基础!$AC$16:$CJ$45,MATCH($AA217,[1]角色基础!$J$16:$J$45,0),MATCH(L$2,[1]角色基础!$AC$12:$AF$12,0)+4*(INT(SUBSTITUTE(RIGHT($C217,2),"+",""))-1))</f>
        <v>30</v>
      </c>
      <c r="M217" s="78">
        <v>0</v>
      </c>
      <c r="N217" s="78">
        <v>0</v>
      </c>
      <c r="O217" s="78">
        <v>0</v>
      </c>
      <c r="P217" s="78">
        <v>0</v>
      </c>
      <c r="Q217" s="78">
        <v>4</v>
      </c>
      <c r="R217" s="81">
        <v>0</v>
      </c>
      <c r="S217" s="81">
        <v>6000</v>
      </c>
      <c r="T217" s="81">
        <v>240</v>
      </c>
      <c r="U217" s="81">
        <v>120</v>
      </c>
      <c r="V217" s="81">
        <v>120</v>
      </c>
      <c r="W217" s="82">
        <v>0</v>
      </c>
      <c r="X217" s="82">
        <v>0</v>
      </c>
      <c r="Y217" s="82">
        <v>0</v>
      </c>
      <c r="Z217" s="82">
        <v>0</v>
      </c>
      <c r="AA217" s="83" t="s">
        <v>177</v>
      </c>
    </row>
    <row r="218" spans="1:27" s="83" customFormat="1">
      <c r="A218" s="78">
        <v>6105</v>
      </c>
      <c r="B218" s="78" t="s">
        <v>44</v>
      </c>
      <c r="C218" s="78" t="s">
        <v>37</v>
      </c>
      <c r="D218" s="78">
        <v>10045</v>
      </c>
      <c r="E218" s="78">
        <v>280000</v>
      </c>
      <c r="F218" s="78" t="s">
        <v>157</v>
      </c>
      <c r="G218" s="78">
        <v>1</v>
      </c>
      <c r="H218" s="79">
        <v>0</v>
      </c>
      <c r="I218" s="80">
        <f>INDEX([1]角色基础!$AC$16:$CJ$45,MATCH($AA218,[1]角色基础!$J$16:$J$45,0),MATCH(I$2,[1]角色基础!$AC$12:$AF$12,0)+4*(INT(SUBSTITUTE(RIGHT($C218,2),"+",""))-1))</f>
        <v>1875</v>
      </c>
      <c r="J218" s="80">
        <f>INDEX([1]角色基础!$AC$16:$CJ$45,MATCH($AA218,[1]角色基础!$J$16:$J$45,0),MATCH(J$2,[1]角色基础!$AC$12:$AF$12,0)+4*(INT(SUBSTITUTE(RIGHT($C218,2),"+",""))-1))</f>
        <v>75</v>
      </c>
      <c r="K218" s="80">
        <f>INDEX([1]角色基础!$AC$16:$CJ$45,MATCH($AA218,[1]角色基础!$J$16:$J$45,0),MATCH(K$2,[1]角色基础!$AC$12:$AF$12,0)+4*(INT(SUBSTITUTE(RIGHT($C218,2),"+",""))-1))</f>
        <v>38</v>
      </c>
      <c r="L218" s="80">
        <f>INDEX([1]角色基础!$AC$16:$CJ$45,MATCH($AA218,[1]角色基础!$J$16:$J$45,0),MATCH(L$2,[1]角色基础!$AC$12:$AF$12,0)+4*(INT(SUBSTITUTE(RIGHT($C218,2),"+",""))-1))</f>
        <v>38</v>
      </c>
      <c r="M218" s="78">
        <v>0</v>
      </c>
      <c r="N218" s="78">
        <v>0</v>
      </c>
      <c r="O218" s="78">
        <v>0</v>
      </c>
      <c r="P218" s="78">
        <v>0</v>
      </c>
      <c r="Q218" s="78">
        <v>5</v>
      </c>
      <c r="R218" s="81">
        <v>0</v>
      </c>
      <c r="S218" s="81">
        <v>6000</v>
      </c>
      <c r="T218" s="81">
        <v>240</v>
      </c>
      <c r="U218" s="81">
        <v>120</v>
      </c>
      <c r="V218" s="81">
        <v>120</v>
      </c>
      <c r="W218" s="82">
        <v>0</v>
      </c>
      <c r="X218" s="82">
        <v>0</v>
      </c>
      <c r="Y218" s="82">
        <v>0</v>
      </c>
      <c r="Z218" s="82">
        <v>0</v>
      </c>
      <c r="AA218" s="83" t="s">
        <v>177</v>
      </c>
    </row>
    <row r="219" spans="1:27" s="83" customFormat="1">
      <c r="A219" s="78">
        <v>6106</v>
      </c>
      <c r="B219" s="78" t="s">
        <v>45</v>
      </c>
      <c r="C219" s="78" t="s">
        <v>38</v>
      </c>
      <c r="D219" s="78">
        <v>10055</v>
      </c>
      <c r="E219" s="78">
        <v>420000</v>
      </c>
      <c r="F219" s="78" t="s">
        <v>158</v>
      </c>
      <c r="G219" s="78">
        <v>2</v>
      </c>
      <c r="H219" s="79">
        <v>0</v>
      </c>
      <c r="I219" s="80">
        <f>INDEX([1]角色基础!$AC$16:$CJ$45,MATCH($AA219,[1]角色基础!$J$16:$J$45,0),MATCH(I$2,[1]角色基础!$AC$12:$AF$12,0)+4*(INT(SUBSTITUTE(RIGHT($C219,2),"+",""))-1))</f>
        <v>2250</v>
      </c>
      <c r="J219" s="80">
        <f>INDEX([1]角色基础!$AC$16:$CJ$45,MATCH($AA219,[1]角色基础!$J$16:$J$45,0),MATCH(J$2,[1]角色基础!$AC$12:$AF$12,0)+4*(INT(SUBSTITUTE(RIGHT($C219,2),"+",""))-1))</f>
        <v>90</v>
      </c>
      <c r="K219" s="80">
        <f>INDEX([1]角色基础!$AC$16:$CJ$45,MATCH($AA219,[1]角色基础!$J$16:$J$45,0),MATCH(K$2,[1]角色基础!$AC$12:$AF$12,0)+4*(INT(SUBSTITUTE(RIGHT($C219,2),"+",""))-1))</f>
        <v>45</v>
      </c>
      <c r="L219" s="80">
        <f>INDEX([1]角色基础!$AC$16:$CJ$45,MATCH($AA219,[1]角色基础!$J$16:$J$45,0),MATCH(L$2,[1]角色基础!$AC$12:$AF$12,0)+4*(INT(SUBSTITUTE(RIGHT($C219,2),"+",""))-1))</f>
        <v>45</v>
      </c>
      <c r="M219" s="78">
        <v>0</v>
      </c>
      <c r="N219" s="78">
        <v>0</v>
      </c>
      <c r="O219" s="78">
        <v>0</v>
      </c>
      <c r="P219" s="78">
        <v>0</v>
      </c>
      <c r="Q219" s="78">
        <v>6</v>
      </c>
      <c r="R219" s="81">
        <v>0</v>
      </c>
      <c r="S219" s="81">
        <v>6000</v>
      </c>
      <c r="T219" s="81">
        <v>240</v>
      </c>
      <c r="U219" s="81">
        <v>120</v>
      </c>
      <c r="V219" s="81">
        <v>120</v>
      </c>
      <c r="W219" s="82">
        <v>0</v>
      </c>
      <c r="X219" s="82">
        <v>0</v>
      </c>
      <c r="Y219" s="82">
        <v>0</v>
      </c>
      <c r="Z219" s="82">
        <v>0</v>
      </c>
      <c r="AA219" s="83" t="s">
        <v>177</v>
      </c>
    </row>
    <row r="220" spans="1:27" s="83" customFormat="1">
      <c r="A220" s="78">
        <v>6107</v>
      </c>
      <c r="B220" s="78" t="s">
        <v>46</v>
      </c>
      <c r="C220" s="78" t="s">
        <v>39</v>
      </c>
      <c r="D220" s="78">
        <v>10065</v>
      </c>
      <c r="E220" s="78">
        <v>700000</v>
      </c>
      <c r="F220" s="78" t="s">
        <v>159</v>
      </c>
      <c r="G220" s="78">
        <v>2</v>
      </c>
      <c r="H220" s="79">
        <v>0</v>
      </c>
      <c r="I220" s="80">
        <f>INDEX([1]角色基础!$AC$16:$CJ$45,MATCH($AA220,[1]角色基础!$J$16:$J$45,0),MATCH(I$2,[1]角色基础!$AC$12:$AF$12,0)+4*(INT(SUBSTITUTE(RIGHT($C220,2),"+",""))-1))</f>
        <v>2625</v>
      </c>
      <c r="J220" s="80">
        <f>INDEX([1]角色基础!$AC$16:$CJ$45,MATCH($AA220,[1]角色基础!$J$16:$J$45,0),MATCH(J$2,[1]角色基础!$AC$12:$AF$12,0)+4*(INT(SUBSTITUTE(RIGHT($C220,2),"+",""))-1))</f>
        <v>105</v>
      </c>
      <c r="K220" s="80">
        <f>INDEX([1]角色基础!$AC$16:$CJ$45,MATCH($AA220,[1]角色基础!$J$16:$J$45,0),MATCH(K$2,[1]角色基础!$AC$12:$AF$12,0)+4*(INT(SUBSTITUTE(RIGHT($C220,2),"+",""))-1))</f>
        <v>53</v>
      </c>
      <c r="L220" s="80">
        <f>INDEX([1]角色基础!$AC$16:$CJ$45,MATCH($AA220,[1]角色基础!$J$16:$J$45,0),MATCH(L$2,[1]角色基础!$AC$12:$AF$12,0)+4*(INT(SUBSTITUTE(RIGHT($C220,2),"+",""))-1))</f>
        <v>53</v>
      </c>
      <c r="M220" s="78">
        <v>0</v>
      </c>
      <c r="N220" s="78">
        <v>0</v>
      </c>
      <c r="O220" s="78">
        <v>0</v>
      </c>
      <c r="P220" s="78">
        <v>0</v>
      </c>
      <c r="Q220" s="78">
        <v>7</v>
      </c>
      <c r="R220" s="81">
        <v>0</v>
      </c>
      <c r="S220" s="81">
        <v>6000</v>
      </c>
      <c r="T220" s="81">
        <v>240</v>
      </c>
      <c r="U220" s="81">
        <v>120</v>
      </c>
      <c r="V220" s="81">
        <v>120</v>
      </c>
      <c r="W220" s="82">
        <v>0</v>
      </c>
      <c r="X220" s="82">
        <v>0</v>
      </c>
      <c r="Y220" s="82">
        <v>0</v>
      </c>
      <c r="Z220" s="82">
        <v>0</v>
      </c>
      <c r="AA220" s="83" t="s">
        <v>177</v>
      </c>
    </row>
    <row r="221" spans="1:27" s="83" customFormat="1">
      <c r="A221" s="78">
        <v>6108</v>
      </c>
      <c r="B221" s="78" t="s">
        <v>47</v>
      </c>
      <c r="C221" s="78" t="s">
        <v>40</v>
      </c>
      <c r="D221" s="78">
        <v>10075</v>
      </c>
      <c r="E221" s="78">
        <v>1200000</v>
      </c>
      <c r="F221" s="78" t="s">
        <v>109</v>
      </c>
      <c r="G221" s="78">
        <v>4</v>
      </c>
      <c r="H221" s="79">
        <v>0</v>
      </c>
      <c r="I221" s="80">
        <f>INDEX([1]角色基础!$AC$16:$CJ$45,MATCH($AA221,[1]角色基础!$J$16:$J$45,0),MATCH(I$2,[1]角色基础!$AC$12:$AF$12,0)+4*(INT(SUBSTITUTE(RIGHT($C221,2),"+",""))-1))</f>
        <v>3000</v>
      </c>
      <c r="J221" s="80">
        <f>INDEX([1]角色基础!$AC$16:$CJ$45,MATCH($AA221,[1]角色基础!$J$16:$J$45,0),MATCH(J$2,[1]角色基础!$AC$12:$AF$12,0)+4*(INT(SUBSTITUTE(RIGHT($C221,2),"+",""))-1))</f>
        <v>120</v>
      </c>
      <c r="K221" s="80">
        <f>INDEX([1]角色基础!$AC$16:$CJ$45,MATCH($AA221,[1]角色基础!$J$16:$J$45,0),MATCH(K$2,[1]角色基础!$AC$12:$AF$12,0)+4*(INT(SUBSTITUTE(RIGHT($C221,2),"+",""))-1))</f>
        <v>60</v>
      </c>
      <c r="L221" s="80">
        <f>INDEX([1]角色基础!$AC$16:$CJ$45,MATCH($AA221,[1]角色基础!$J$16:$J$45,0),MATCH(L$2,[1]角色基础!$AC$12:$AF$12,0)+4*(INT(SUBSTITUTE(RIGHT($C221,2),"+",""))-1))</f>
        <v>60</v>
      </c>
      <c r="M221" s="78">
        <v>0</v>
      </c>
      <c r="N221" s="78">
        <v>0</v>
      </c>
      <c r="O221" s="78">
        <v>0</v>
      </c>
      <c r="P221" s="78">
        <v>0</v>
      </c>
      <c r="Q221" s="78">
        <v>8</v>
      </c>
      <c r="R221" s="81">
        <v>0</v>
      </c>
      <c r="S221" s="81">
        <v>6000</v>
      </c>
      <c r="T221" s="81">
        <v>240</v>
      </c>
      <c r="U221" s="81">
        <v>120</v>
      </c>
      <c r="V221" s="81">
        <v>120</v>
      </c>
      <c r="W221" s="82">
        <v>0</v>
      </c>
      <c r="X221" s="82">
        <v>0</v>
      </c>
      <c r="Y221" s="82">
        <v>0</v>
      </c>
      <c r="Z221" s="82">
        <v>0</v>
      </c>
      <c r="AA221" s="83" t="s">
        <v>177</v>
      </c>
    </row>
    <row r="222" spans="1:27" s="83" customFormat="1">
      <c r="A222" s="78">
        <v>6109</v>
      </c>
      <c r="B222" s="78" t="s">
        <v>69</v>
      </c>
      <c r="C222" s="78" t="s">
        <v>32</v>
      </c>
      <c r="D222" s="78">
        <v>10085</v>
      </c>
      <c r="E222" s="78">
        <v>1700000</v>
      </c>
      <c r="F222" s="78" t="s">
        <v>160</v>
      </c>
      <c r="G222" s="78">
        <v>6</v>
      </c>
      <c r="H222" s="79">
        <v>0</v>
      </c>
      <c r="I222" s="80">
        <f>INDEX([1]角色基础!$AC$16:$CJ$45,MATCH($AA222,[1]角色基础!$J$16:$J$45,0),MATCH(I$2,[1]角色基础!$AC$12:$AF$12,0)+4*(INT(SUBSTITUTE(RIGHT($C222,2),"+",""))-1))</f>
        <v>3375</v>
      </c>
      <c r="J222" s="80">
        <f>INDEX([1]角色基础!$AC$16:$CJ$45,MATCH($AA222,[1]角色基础!$J$16:$J$45,0),MATCH(J$2,[1]角色基础!$AC$12:$AF$12,0)+4*(INT(SUBSTITUTE(RIGHT($C222,2),"+",""))-1))</f>
        <v>135</v>
      </c>
      <c r="K222" s="80">
        <f>INDEX([1]角色基础!$AC$16:$CJ$45,MATCH($AA222,[1]角色基础!$J$16:$J$45,0),MATCH(K$2,[1]角色基础!$AC$12:$AF$12,0)+4*(INT(SUBSTITUTE(RIGHT($C222,2),"+",""))-1))</f>
        <v>68</v>
      </c>
      <c r="L222" s="80">
        <f>INDEX([1]角色基础!$AC$16:$CJ$45,MATCH($AA222,[1]角色基础!$J$16:$J$45,0),MATCH(L$2,[1]角色基础!$AC$12:$AF$12,0)+4*(INT(SUBSTITUTE(RIGHT($C222,2),"+",""))-1))</f>
        <v>68</v>
      </c>
      <c r="M222" s="78">
        <v>0</v>
      </c>
      <c r="N222" s="78">
        <v>0</v>
      </c>
      <c r="O222" s="78">
        <v>0</v>
      </c>
      <c r="P222" s="78">
        <v>0</v>
      </c>
      <c r="Q222" s="78">
        <v>9</v>
      </c>
      <c r="R222" s="81">
        <v>0</v>
      </c>
      <c r="S222" s="81">
        <v>6000</v>
      </c>
      <c r="T222" s="81">
        <v>240</v>
      </c>
      <c r="U222" s="81">
        <v>120</v>
      </c>
      <c r="V222" s="81">
        <v>120</v>
      </c>
      <c r="W222" s="82">
        <v>0</v>
      </c>
      <c r="X222" s="82">
        <v>0</v>
      </c>
      <c r="Y222" s="82">
        <v>0</v>
      </c>
      <c r="Z222" s="82">
        <v>0</v>
      </c>
      <c r="AA222" s="83" t="s">
        <v>177</v>
      </c>
    </row>
    <row r="223" spans="1:27" s="83" customFormat="1" ht="18" customHeight="1">
      <c r="A223" s="78">
        <v>6110</v>
      </c>
      <c r="B223" s="78" t="s">
        <v>71</v>
      </c>
      <c r="C223" s="78" t="s">
        <v>31</v>
      </c>
      <c r="D223" s="78">
        <v>10095</v>
      </c>
      <c r="E223" s="78">
        <v>2200000</v>
      </c>
      <c r="F223" s="78" t="s">
        <v>161</v>
      </c>
      <c r="G223" s="78">
        <v>8</v>
      </c>
      <c r="H223" s="79">
        <v>0</v>
      </c>
      <c r="I223" s="80">
        <f>INDEX([1]角色基础!$AC$16:$CJ$45,MATCH($AA223,[1]角色基础!$J$16:$J$45,0),MATCH(I$2,[1]角色基础!$AC$12:$AF$12,0)+4*(INT(SUBSTITUTE(RIGHT($C223,2),"+",""))-1))</f>
        <v>3750</v>
      </c>
      <c r="J223" s="80">
        <f>INDEX([1]角色基础!$AC$16:$CJ$45,MATCH($AA223,[1]角色基础!$J$16:$J$45,0),MATCH(J$2,[1]角色基础!$AC$12:$AF$12,0)+4*(INT(SUBSTITUTE(RIGHT($C223,2),"+",""))-1))</f>
        <v>150</v>
      </c>
      <c r="K223" s="80">
        <f>INDEX([1]角色基础!$AC$16:$CJ$45,MATCH($AA223,[1]角色基础!$J$16:$J$45,0),MATCH(K$2,[1]角色基础!$AC$12:$AF$12,0)+4*(INT(SUBSTITUTE(RIGHT($C223,2),"+",""))-1))</f>
        <v>75</v>
      </c>
      <c r="L223" s="80">
        <f>INDEX([1]角色基础!$AC$16:$CJ$45,MATCH($AA223,[1]角色基础!$J$16:$J$45,0),MATCH(L$2,[1]角色基础!$AC$12:$AF$12,0)+4*(INT(SUBSTITUTE(RIGHT($C223,2),"+",""))-1))</f>
        <v>75</v>
      </c>
      <c r="M223" s="78">
        <v>0</v>
      </c>
      <c r="N223" s="78">
        <v>0</v>
      </c>
      <c r="O223" s="78">
        <v>0</v>
      </c>
      <c r="P223" s="78">
        <v>0</v>
      </c>
      <c r="Q223" s="78">
        <v>10</v>
      </c>
      <c r="R223" s="81">
        <v>0</v>
      </c>
      <c r="S223" s="81">
        <v>6000</v>
      </c>
      <c r="T223" s="81">
        <v>240</v>
      </c>
      <c r="U223" s="81">
        <v>120</v>
      </c>
      <c r="V223" s="81">
        <v>120</v>
      </c>
      <c r="W223" s="82">
        <v>0</v>
      </c>
      <c r="X223" s="82">
        <v>0</v>
      </c>
      <c r="Y223" s="82">
        <v>0</v>
      </c>
      <c r="Z223" s="82">
        <v>0</v>
      </c>
      <c r="AA223" s="83" t="s">
        <v>177</v>
      </c>
    </row>
    <row r="224" spans="1:27" s="83" customFormat="1" ht="18" customHeight="1">
      <c r="A224" s="78">
        <v>6111</v>
      </c>
      <c r="B224" s="78" t="s">
        <v>73</v>
      </c>
      <c r="C224" s="78" t="s">
        <v>74</v>
      </c>
      <c r="D224" s="78">
        <v>10105</v>
      </c>
      <c r="E224" s="78">
        <v>2800000</v>
      </c>
      <c r="F224" s="78" t="s">
        <v>162</v>
      </c>
      <c r="G224" s="78">
        <v>10</v>
      </c>
      <c r="H224" s="79">
        <v>0</v>
      </c>
      <c r="I224" s="80">
        <f>INDEX([1]角色基础!$AC$16:$CJ$45,MATCH($AA224,[1]角色基础!$J$16:$J$45,0),MATCH(I$2,[1]角色基础!$AC$12:$AF$12,0)+4*(INT(SUBSTITUTE(RIGHT($C224,2),"+",""))-1))</f>
        <v>4125</v>
      </c>
      <c r="J224" s="80">
        <f>INDEX([1]角色基础!$AC$16:$CJ$45,MATCH($AA224,[1]角色基础!$J$16:$J$45,0),MATCH(J$2,[1]角色基础!$AC$12:$AF$12,0)+4*(INT(SUBSTITUTE(RIGHT($C224,2),"+",""))-1))</f>
        <v>165</v>
      </c>
      <c r="K224" s="80">
        <f>INDEX([1]角色基础!$AC$16:$CJ$45,MATCH($AA224,[1]角色基础!$J$16:$J$45,0),MATCH(K$2,[1]角色基础!$AC$12:$AF$12,0)+4*(INT(SUBSTITUTE(RIGHT($C224,2),"+",""))-1))</f>
        <v>83</v>
      </c>
      <c r="L224" s="80">
        <f>INDEX([1]角色基础!$AC$16:$CJ$45,MATCH($AA224,[1]角色基础!$J$16:$J$45,0),MATCH(L$2,[1]角色基础!$AC$12:$AF$12,0)+4*(INT(SUBSTITUTE(RIGHT($C224,2),"+",""))-1))</f>
        <v>83</v>
      </c>
      <c r="M224" s="78">
        <v>0</v>
      </c>
      <c r="N224" s="78">
        <v>0</v>
      </c>
      <c r="O224" s="78">
        <v>0</v>
      </c>
      <c r="P224" s="78">
        <v>0</v>
      </c>
      <c r="Q224" s="78">
        <v>11</v>
      </c>
      <c r="R224" s="81">
        <v>0</v>
      </c>
      <c r="S224" s="81">
        <v>6000</v>
      </c>
      <c r="T224" s="81">
        <v>240</v>
      </c>
      <c r="U224" s="81">
        <v>120</v>
      </c>
      <c r="V224" s="81">
        <v>120</v>
      </c>
      <c r="W224" s="82">
        <v>0</v>
      </c>
      <c r="X224" s="82">
        <v>0</v>
      </c>
      <c r="Y224" s="82">
        <v>0</v>
      </c>
      <c r="Z224" s="82">
        <v>0</v>
      </c>
      <c r="AA224" s="83" t="s">
        <v>177</v>
      </c>
    </row>
    <row r="225" spans="1:27" s="83" customFormat="1" ht="18" customHeight="1">
      <c r="A225" s="78">
        <v>6112</v>
      </c>
      <c r="B225" s="78" t="s">
        <v>75</v>
      </c>
      <c r="C225" s="78" t="s">
        <v>76</v>
      </c>
      <c r="D225" s="78">
        <v>10115</v>
      </c>
      <c r="E225" s="78">
        <v>3500000</v>
      </c>
      <c r="F225" s="78" t="s">
        <v>163</v>
      </c>
      <c r="G225" s="78">
        <v>12</v>
      </c>
      <c r="H225" s="79">
        <v>0</v>
      </c>
      <c r="I225" s="80">
        <f>INDEX([1]角色基础!$AC$16:$CJ$45,MATCH($AA225,[1]角色基础!$J$16:$J$45,0),MATCH(I$2,[1]角色基础!$AC$12:$AF$12,0)+4*(INT(SUBSTITUTE(RIGHT($C225,2),"+",""))-1))</f>
        <v>4500</v>
      </c>
      <c r="J225" s="80">
        <f>INDEX([1]角色基础!$AC$16:$CJ$45,MATCH($AA225,[1]角色基础!$J$16:$J$45,0),MATCH(J$2,[1]角色基础!$AC$12:$AF$12,0)+4*(INT(SUBSTITUTE(RIGHT($C225,2),"+",""))-1))</f>
        <v>180</v>
      </c>
      <c r="K225" s="80">
        <f>INDEX([1]角色基础!$AC$16:$CJ$45,MATCH($AA225,[1]角色基础!$J$16:$J$45,0),MATCH(K$2,[1]角色基础!$AC$12:$AF$12,0)+4*(INT(SUBSTITUTE(RIGHT($C225,2),"+",""))-1))</f>
        <v>90</v>
      </c>
      <c r="L225" s="80">
        <f>INDEX([1]角色基础!$AC$16:$CJ$45,MATCH($AA225,[1]角色基础!$J$16:$J$45,0),MATCH(L$2,[1]角色基础!$AC$12:$AF$12,0)+4*(INT(SUBSTITUTE(RIGHT($C225,2),"+",""))-1))</f>
        <v>90</v>
      </c>
      <c r="M225" s="78">
        <v>0</v>
      </c>
      <c r="N225" s="78">
        <v>0</v>
      </c>
      <c r="O225" s="78">
        <v>0</v>
      </c>
      <c r="P225" s="78">
        <v>0</v>
      </c>
      <c r="Q225" s="78">
        <v>12</v>
      </c>
      <c r="R225" s="81">
        <v>0</v>
      </c>
      <c r="S225" s="81">
        <v>6000</v>
      </c>
      <c r="T225" s="81">
        <v>240</v>
      </c>
      <c r="U225" s="81">
        <v>120</v>
      </c>
      <c r="V225" s="81">
        <v>120</v>
      </c>
      <c r="W225" s="82">
        <v>0</v>
      </c>
      <c r="X225" s="82">
        <v>0</v>
      </c>
      <c r="Y225" s="82">
        <v>0</v>
      </c>
      <c r="Z225" s="82">
        <v>0</v>
      </c>
      <c r="AA225" s="83" t="s">
        <v>177</v>
      </c>
    </row>
    <row r="226" spans="1:27" s="83" customFormat="1" ht="18" customHeight="1">
      <c r="A226" s="78">
        <v>6113</v>
      </c>
      <c r="B226" s="78" t="s">
        <v>182</v>
      </c>
      <c r="C226" s="78" t="s">
        <v>183</v>
      </c>
      <c r="D226" s="78">
        <v>10125</v>
      </c>
      <c r="E226" s="78">
        <v>4200000</v>
      </c>
      <c r="F226" s="78" t="s">
        <v>201</v>
      </c>
      <c r="G226" s="78">
        <v>14</v>
      </c>
      <c r="H226" s="79">
        <v>0</v>
      </c>
      <c r="I226" s="80">
        <f>INDEX([1]角色基础!$AC$16:$CJ$45,MATCH($AA226,[1]角色基础!$J$16:$J$45,0),MATCH(I$2,[1]角色基础!$AC$12:$AF$12,0)+4*(INT(SUBSTITUTE(RIGHT($C226,2),"+",""))-1))</f>
        <v>4875</v>
      </c>
      <c r="J226" s="80">
        <f>INDEX([1]角色基础!$AC$16:$CJ$45,MATCH($AA226,[1]角色基础!$J$16:$J$45,0),MATCH(J$2,[1]角色基础!$AC$12:$AF$12,0)+4*(INT(SUBSTITUTE(RIGHT($C226,2),"+",""))-1))</f>
        <v>195</v>
      </c>
      <c r="K226" s="80">
        <f>INDEX([1]角色基础!$AC$16:$CJ$45,MATCH($AA226,[1]角色基础!$J$16:$J$45,0),MATCH(K$2,[1]角色基础!$AC$12:$AF$12,0)+4*(INT(SUBSTITUTE(RIGHT($C226,2),"+",""))-1))</f>
        <v>98</v>
      </c>
      <c r="L226" s="80">
        <f>INDEX([1]角色基础!$AC$16:$CJ$45,MATCH($AA226,[1]角色基础!$J$16:$J$45,0),MATCH(L$2,[1]角色基础!$AC$12:$AF$12,0)+4*(INT(SUBSTITUTE(RIGHT($C226,2),"+",""))-1))</f>
        <v>98</v>
      </c>
      <c r="M226" s="78">
        <v>0</v>
      </c>
      <c r="N226" s="78">
        <v>0</v>
      </c>
      <c r="O226" s="78">
        <v>0</v>
      </c>
      <c r="P226" s="78">
        <v>0</v>
      </c>
      <c r="Q226" s="78">
        <v>13</v>
      </c>
      <c r="R226" s="81">
        <v>0</v>
      </c>
      <c r="S226" s="81">
        <v>6000</v>
      </c>
      <c r="T226" s="81">
        <v>240</v>
      </c>
      <c r="U226" s="81">
        <v>120</v>
      </c>
      <c r="V226" s="81">
        <v>120</v>
      </c>
      <c r="W226" s="82">
        <v>0</v>
      </c>
      <c r="X226" s="82">
        <v>0</v>
      </c>
      <c r="Y226" s="82">
        <v>0</v>
      </c>
      <c r="Z226" s="82">
        <v>0</v>
      </c>
      <c r="AA226" s="83" t="s">
        <v>177</v>
      </c>
    </row>
    <row r="227" spans="1:27" s="83" customFormat="1" ht="18" customHeight="1">
      <c r="A227" s="78">
        <v>6114</v>
      </c>
      <c r="B227" s="78" t="s">
        <v>184</v>
      </c>
      <c r="C227" s="78" t="s">
        <v>185</v>
      </c>
      <c r="D227" s="78">
        <v>10135</v>
      </c>
      <c r="E227" s="78">
        <v>5600000</v>
      </c>
      <c r="F227" s="78" t="s">
        <v>203</v>
      </c>
      <c r="G227" s="78">
        <v>16</v>
      </c>
      <c r="H227" s="79">
        <v>0</v>
      </c>
      <c r="I227" s="80">
        <f>INDEX([1]角色基础!$AC$16:$CJ$45,MATCH($AA227,[1]角色基础!$J$16:$J$45,0),MATCH(I$2,[1]角色基础!$AC$12:$AF$12,0)+4*(INT(SUBSTITUTE(RIGHT($C227,2),"+",""))-1))</f>
        <v>5250</v>
      </c>
      <c r="J227" s="80">
        <f>INDEX([1]角色基础!$AC$16:$CJ$45,MATCH($AA227,[1]角色基础!$J$16:$J$45,0),MATCH(J$2,[1]角色基础!$AC$12:$AF$12,0)+4*(INT(SUBSTITUTE(RIGHT($C227,2),"+",""))-1))</f>
        <v>210</v>
      </c>
      <c r="K227" s="80">
        <f>INDEX([1]角色基础!$AC$16:$CJ$45,MATCH($AA227,[1]角色基础!$J$16:$J$45,0),MATCH(K$2,[1]角色基础!$AC$12:$AF$12,0)+4*(INT(SUBSTITUTE(RIGHT($C227,2),"+",""))-1))</f>
        <v>105</v>
      </c>
      <c r="L227" s="80">
        <f>INDEX([1]角色基础!$AC$16:$CJ$45,MATCH($AA227,[1]角色基础!$J$16:$J$45,0),MATCH(L$2,[1]角色基础!$AC$12:$AF$12,0)+4*(INT(SUBSTITUTE(RIGHT($C227,2),"+",""))-1))</f>
        <v>105</v>
      </c>
      <c r="M227" s="78">
        <v>0</v>
      </c>
      <c r="N227" s="78">
        <v>0</v>
      </c>
      <c r="O227" s="78">
        <v>0</v>
      </c>
      <c r="P227" s="78">
        <v>0</v>
      </c>
      <c r="Q227" s="78">
        <v>14</v>
      </c>
      <c r="R227" s="81">
        <v>0</v>
      </c>
      <c r="S227" s="81">
        <v>6000</v>
      </c>
      <c r="T227" s="81">
        <v>240</v>
      </c>
      <c r="U227" s="81">
        <v>120</v>
      </c>
      <c r="V227" s="81">
        <v>120</v>
      </c>
      <c r="W227" s="82">
        <v>0</v>
      </c>
      <c r="X227" s="82">
        <v>0</v>
      </c>
      <c r="Y227" s="82">
        <v>0</v>
      </c>
      <c r="Z227" s="82">
        <v>0</v>
      </c>
      <c r="AA227" s="83" t="s">
        <v>177</v>
      </c>
    </row>
    <row r="228" spans="1:27" s="83" customFormat="1" ht="18" customHeight="1">
      <c r="A228" s="78">
        <v>6115</v>
      </c>
      <c r="B228" s="78" t="s">
        <v>186</v>
      </c>
      <c r="C228" s="78" t="s">
        <v>187</v>
      </c>
      <c r="D228" s="78">
        <v>10145</v>
      </c>
      <c r="E228" s="78">
        <v>7000000</v>
      </c>
      <c r="F228" s="78" t="s">
        <v>205</v>
      </c>
      <c r="G228" s="78">
        <v>20</v>
      </c>
      <c r="H228" s="79">
        <v>0</v>
      </c>
      <c r="I228" s="80">
        <f>INDEX([1]角色基础!$AC$16:$CJ$45,MATCH($AA228,[1]角色基础!$J$16:$J$45,0),MATCH(I$2,[1]角色基础!$AC$12:$AF$12,0)+4*(INT(SUBSTITUTE(RIGHT($C228,2),"+",""))-1))</f>
        <v>5625</v>
      </c>
      <c r="J228" s="80">
        <f>INDEX([1]角色基础!$AC$16:$CJ$45,MATCH($AA228,[1]角色基础!$J$16:$J$45,0),MATCH(J$2,[1]角色基础!$AC$12:$AF$12,0)+4*(INT(SUBSTITUTE(RIGHT($C228,2),"+",""))-1))</f>
        <v>225</v>
      </c>
      <c r="K228" s="80">
        <f>INDEX([1]角色基础!$AC$16:$CJ$45,MATCH($AA228,[1]角色基础!$J$16:$J$45,0),MATCH(K$2,[1]角色基础!$AC$12:$AF$12,0)+4*(INT(SUBSTITUTE(RIGHT($C228,2),"+",""))-1))</f>
        <v>113</v>
      </c>
      <c r="L228" s="80">
        <f>INDEX([1]角色基础!$AC$16:$CJ$45,MATCH($AA228,[1]角色基础!$J$16:$J$45,0),MATCH(L$2,[1]角色基础!$AC$12:$AF$12,0)+4*(INT(SUBSTITUTE(RIGHT($C228,2),"+",""))-1))</f>
        <v>113</v>
      </c>
      <c r="M228" s="78">
        <v>0</v>
      </c>
      <c r="N228" s="78">
        <v>0</v>
      </c>
      <c r="O228" s="78">
        <v>0</v>
      </c>
      <c r="P228" s="78">
        <v>0</v>
      </c>
      <c r="Q228" s="78">
        <v>15</v>
      </c>
      <c r="R228" s="81">
        <v>0</v>
      </c>
      <c r="S228" s="81">
        <v>6000</v>
      </c>
      <c r="T228" s="81">
        <v>240</v>
      </c>
      <c r="U228" s="81">
        <v>120</v>
      </c>
      <c r="V228" s="81">
        <v>120</v>
      </c>
      <c r="W228" s="82">
        <v>0</v>
      </c>
      <c r="X228" s="82">
        <v>0</v>
      </c>
      <c r="Y228" s="82">
        <v>0</v>
      </c>
      <c r="Z228" s="82">
        <v>0</v>
      </c>
      <c r="AA228" s="83" t="s">
        <v>177</v>
      </c>
    </row>
    <row r="229" spans="1:27" s="98" customFormat="1">
      <c r="A229" s="93">
        <v>6201</v>
      </c>
      <c r="B229" s="93" t="s">
        <v>121</v>
      </c>
      <c r="C229" s="93" t="s">
        <v>33</v>
      </c>
      <c r="D229" s="93">
        <v>10001</v>
      </c>
      <c r="E229" s="93">
        <v>8000</v>
      </c>
      <c r="F229" s="93" t="s">
        <v>153</v>
      </c>
      <c r="G229" s="93">
        <v>0</v>
      </c>
      <c r="H229" s="94">
        <v>0</v>
      </c>
      <c r="I229" s="95">
        <f>INDEX([1]角色基础!$AC$16:$CJ$45,MATCH($AA229,[1]角色基础!$J$16:$J$45,0),MATCH(I$2,[1]角色基础!$AC$12:$AF$12,0)+4*(INT(SUBSTITUTE(RIGHT($C229,2),"+",""))-1))</f>
        <v>375</v>
      </c>
      <c r="J229" s="95">
        <f>INDEX([1]角色基础!$AC$16:$CJ$45,MATCH($AA229,[1]角色基础!$J$16:$J$45,0),MATCH(J$2,[1]角色基础!$AC$12:$AF$12,0)+4*(INT(SUBSTITUTE(RIGHT($C229,2),"+",""))-1))</f>
        <v>15</v>
      </c>
      <c r="K229" s="95">
        <f>INDEX([1]角色基础!$AC$16:$CJ$45,MATCH($AA229,[1]角色基础!$J$16:$J$45,0),MATCH(K$2,[1]角色基础!$AC$12:$AF$12,0)+4*(INT(SUBSTITUTE(RIGHT($C229,2),"+",""))-1))</f>
        <v>8</v>
      </c>
      <c r="L229" s="95">
        <f>INDEX([1]角色基础!$AC$16:$CJ$45,MATCH($AA229,[1]角色基础!$J$16:$J$45,0),MATCH(L$2,[1]角色基础!$AC$12:$AF$12,0)+4*(INT(SUBSTITUTE(RIGHT($C229,2),"+",""))-1))</f>
        <v>8</v>
      </c>
      <c r="M229" s="93">
        <v>0</v>
      </c>
      <c r="N229" s="93">
        <v>0</v>
      </c>
      <c r="O229" s="93">
        <v>0</v>
      </c>
      <c r="P229" s="93">
        <v>0</v>
      </c>
      <c r="Q229" s="93">
        <v>1</v>
      </c>
      <c r="R229" s="96">
        <v>0</v>
      </c>
      <c r="S229" s="96">
        <v>6000</v>
      </c>
      <c r="T229" s="96">
        <v>240</v>
      </c>
      <c r="U229" s="96">
        <v>120</v>
      </c>
      <c r="V229" s="96">
        <v>120</v>
      </c>
      <c r="W229" s="97">
        <v>0</v>
      </c>
      <c r="X229" s="97">
        <v>0</v>
      </c>
      <c r="Y229" s="97">
        <v>0</v>
      </c>
      <c r="Z229" s="97">
        <v>0</v>
      </c>
      <c r="AA229" s="98" t="s">
        <v>178</v>
      </c>
    </row>
    <row r="230" spans="1:27" s="98" customFormat="1">
      <c r="A230" s="93">
        <v>6202</v>
      </c>
      <c r="B230" s="93" t="s">
        <v>41</v>
      </c>
      <c r="C230" s="93" t="s">
        <v>34</v>
      </c>
      <c r="D230" s="93">
        <v>10015</v>
      </c>
      <c r="E230" s="93">
        <v>28000</v>
      </c>
      <c r="F230" s="93" t="s">
        <v>154</v>
      </c>
      <c r="G230" s="93">
        <v>0</v>
      </c>
      <c r="H230" s="94">
        <v>0</v>
      </c>
      <c r="I230" s="95">
        <f>INDEX([1]角色基础!$AC$16:$CJ$45,MATCH($AA230,[1]角色基础!$J$16:$J$45,0),MATCH(I$2,[1]角色基础!$AC$12:$AF$12,0)+4*(INT(SUBSTITUTE(RIGHT($C230,2),"+",""))-1))</f>
        <v>750</v>
      </c>
      <c r="J230" s="95">
        <f>INDEX([1]角色基础!$AC$16:$CJ$45,MATCH($AA230,[1]角色基础!$J$16:$J$45,0),MATCH(J$2,[1]角色基础!$AC$12:$AF$12,0)+4*(INT(SUBSTITUTE(RIGHT($C230,2),"+",""))-1))</f>
        <v>30</v>
      </c>
      <c r="K230" s="95">
        <f>INDEX([1]角色基础!$AC$16:$CJ$45,MATCH($AA230,[1]角色基础!$J$16:$J$45,0),MATCH(K$2,[1]角色基础!$AC$12:$AF$12,0)+4*(INT(SUBSTITUTE(RIGHT($C230,2),"+",""))-1))</f>
        <v>15</v>
      </c>
      <c r="L230" s="95">
        <f>INDEX([1]角色基础!$AC$16:$CJ$45,MATCH($AA230,[1]角色基础!$J$16:$J$45,0),MATCH(L$2,[1]角色基础!$AC$12:$AF$12,0)+4*(INT(SUBSTITUTE(RIGHT($C230,2),"+",""))-1))</f>
        <v>15</v>
      </c>
      <c r="M230" s="93">
        <v>0</v>
      </c>
      <c r="N230" s="93">
        <v>0</v>
      </c>
      <c r="O230" s="93">
        <v>0</v>
      </c>
      <c r="P230" s="93">
        <v>0</v>
      </c>
      <c r="Q230" s="93">
        <v>2</v>
      </c>
      <c r="R230" s="96">
        <v>0</v>
      </c>
      <c r="S230" s="96">
        <v>6000</v>
      </c>
      <c r="T230" s="96">
        <v>240</v>
      </c>
      <c r="U230" s="96">
        <v>120</v>
      </c>
      <c r="V230" s="96">
        <v>120</v>
      </c>
      <c r="W230" s="97">
        <v>0</v>
      </c>
      <c r="X230" s="97">
        <v>0</v>
      </c>
      <c r="Y230" s="97">
        <v>0</v>
      </c>
      <c r="Z230" s="97">
        <v>0</v>
      </c>
      <c r="AA230" s="98" t="s">
        <v>178</v>
      </c>
    </row>
    <row r="231" spans="1:27" s="98" customFormat="1">
      <c r="A231" s="93">
        <v>6203</v>
      </c>
      <c r="B231" s="93" t="s">
        <v>42</v>
      </c>
      <c r="C231" s="93" t="s">
        <v>35</v>
      </c>
      <c r="D231" s="93">
        <v>10025</v>
      </c>
      <c r="E231" s="93">
        <v>70000</v>
      </c>
      <c r="F231" s="93" t="s">
        <v>155</v>
      </c>
      <c r="G231" s="93">
        <v>0</v>
      </c>
      <c r="H231" s="94">
        <v>0</v>
      </c>
      <c r="I231" s="95">
        <f>INDEX([1]角色基础!$AC$16:$CJ$45,MATCH($AA231,[1]角色基础!$J$16:$J$45,0),MATCH(I$2,[1]角色基础!$AC$12:$AF$12,0)+4*(INT(SUBSTITUTE(RIGHT($C231,2),"+",""))-1))</f>
        <v>1125</v>
      </c>
      <c r="J231" s="95">
        <f>INDEX([1]角色基础!$AC$16:$CJ$45,MATCH($AA231,[1]角色基础!$J$16:$J$45,0),MATCH(J$2,[1]角色基础!$AC$12:$AF$12,0)+4*(INT(SUBSTITUTE(RIGHT($C231,2),"+",""))-1))</f>
        <v>45</v>
      </c>
      <c r="K231" s="95">
        <f>INDEX([1]角色基础!$AC$16:$CJ$45,MATCH($AA231,[1]角色基础!$J$16:$J$45,0),MATCH(K$2,[1]角色基础!$AC$12:$AF$12,0)+4*(INT(SUBSTITUTE(RIGHT($C231,2),"+",""))-1))</f>
        <v>23</v>
      </c>
      <c r="L231" s="95">
        <f>INDEX([1]角色基础!$AC$16:$CJ$45,MATCH($AA231,[1]角色基础!$J$16:$J$45,0),MATCH(L$2,[1]角色基础!$AC$12:$AF$12,0)+4*(INT(SUBSTITUTE(RIGHT($C231,2),"+",""))-1))</f>
        <v>23</v>
      </c>
      <c r="M231" s="93">
        <v>0</v>
      </c>
      <c r="N231" s="93">
        <v>0</v>
      </c>
      <c r="O231" s="93">
        <v>0</v>
      </c>
      <c r="P231" s="93">
        <v>0</v>
      </c>
      <c r="Q231" s="93">
        <v>3</v>
      </c>
      <c r="R231" s="96">
        <v>0</v>
      </c>
      <c r="S231" s="96">
        <v>6000</v>
      </c>
      <c r="T231" s="96">
        <v>240</v>
      </c>
      <c r="U231" s="96">
        <v>120</v>
      </c>
      <c r="V231" s="96">
        <v>120</v>
      </c>
      <c r="W231" s="97">
        <v>0</v>
      </c>
      <c r="X231" s="97">
        <v>0</v>
      </c>
      <c r="Y231" s="97">
        <v>0</v>
      </c>
      <c r="Z231" s="97">
        <v>0</v>
      </c>
      <c r="AA231" s="98" t="s">
        <v>178</v>
      </c>
    </row>
    <row r="232" spans="1:27" s="98" customFormat="1">
      <c r="A232" s="93">
        <v>6204</v>
      </c>
      <c r="B232" s="93" t="s">
        <v>43</v>
      </c>
      <c r="C232" s="93" t="s">
        <v>36</v>
      </c>
      <c r="D232" s="93">
        <v>10035</v>
      </c>
      <c r="E232" s="93">
        <v>140000</v>
      </c>
      <c r="F232" s="93" t="s">
        <v>156</v>
      </c>
      <c r="G232" s="93">
        <v>1</v>
      </c>
      <c r="H232" s="94">
        <v>0</v>
      </c>
      <c r="I232" s="95">
        <f>INDEX([1]角色基础!$AC$16:$CJ$45,MATCH($AA232,[1]角色基础!$J$16:$J$45,0),MATCH(I$2,[1]角色基础!$AC$12:$AF$12,0)+4*(INT(SUBSTITUTE(RIGHT($C232,2),"+",""))-1))</f>
        <v>1500</v>
      </c>
      <c r="J232" s="95">
        <f>INDEX([1]角色基础!$AC$16:$CJ$45,MATCH($AA232,[1]角色基础!$J$16:$J$45,0),MATCH(J$2,[1]角色基础!$AC$12:$AF$12,0)+4*(INT(SUBSTITUTE(RIGHT($C232,2),"+",""))-1))</f>
        <v>60</v>
      </c>
      <c r="K232" s="95">
        <f>INDEX([1]角色基础!$AC$16:$CJ$45,MATCH($AA232,[1]角色基础!$J$16:$J$45,0),MATCH(K$2,[1]角色基础!$AC$12:$AF$12,0)+4*(INT(SUBSTITUTE(RIGHT($C232,2),"+",""))-1))</f>
        <v>30</v>
      </c>
      <c r="L232" s="95">
        <f>INDEX([1]角色基础!$AC$16:$CJ$45,MATCH($AA232,[1]角色基础!$J$16:$J$45,0),MATCH(L$2,[1]角色基础!$AC$12:$AF$12,0)+4*(INT(SUBSTITUTE(RIGHT($C232,2),"+",""))-1))</f>
        <v>30</v>
      </c>
      <c r="M232" s="93">
        <v>0</v>
      </c>
      <c r="N232" s="93">
        <v>0</v>
      </c>
      <c r="O232" s="93">
        <v>0</v>
      </c>
      <c r="P232" s="93">
        <v>0</v>
      </c>
      <c r="Q232" s="93">
        <v>4</v>
      </c>
      <c r="R232" s="96">
        <v>0</v>
      </c>
      <c r="S232" s="96">
        <v>6000</v>
      </c>
      <c r="T232" s="96">
        <v>240</v>
      </c>
      <c r="U232" s="96">
        <v>120</v>
      </c>
      <c r="V232" s="96">
        <v>120</v>
      </c>
      <c r="W232" s="97">
        <v>0</v>
      </c>
      <c r="X232" s="97">
        <v>0</v>
      </c>
      <c r="Y232" s="97">
        <v>0</v>
      </c>
      <c r="Z232" s="97">
        <v>0</v>
      </c>
      <c r="AA232" s="98" t="s">
        <v>178</v>
      </c>
    </row>
    <row r="233" spans="1:27" s="98" customFormat="1">
      <c r="A233" s="93">
        <v>6205</v>
      </c>
      <c r="B233" s="93" t="s">
        <v>44</v>
      </c>
      <c r="C233" s="93" t="s">
        <v>37</v>
      </c>
      <c r="D233" s="93">
        <v>10045</v>
      </c>
      <c r="E233" s="93">
        <v>280000</v>
      </c>
      <c r="F233" s="93" t="s">
        <v>157</v>
      </c>
      <c r="G233" s="93">
        <v>1</v>
      </c>
      <c r="H233" s="94">
        <v>0</v>
      </c>
      <c r="I233" s="95">
        <f>INDEX([1]角色基础!$AC$16:$CJ$45,MATCH($AA233,[1]角色基础!$J$16:$J$45,0),MATCH(I$2,[1]角色基础!$AC$12:$AF$12,0)+4*(INT(SUBSTITUTE(RIGHT($C233,2),"+",""))-1))</f>
        <v>1875</v>
      </c>
      <c r="J233" s="95">
        <f>INDEX([1]角色基础!$AC$16:$CJ$45,MATCH($AA233,[1]角色基础!$J$16:$J$45,0),MATCH(J$2,[1]角色基础!$AC$12:$AF$12,0)+4*(INT(SUBSTITUTE(RIGHT($C233,2),"+",""))-1))</f>
        <v>75</v>
      </c>
      <c r="K233" s="95">
        <f>INDEX([1]角色基础!$AC$16:$CJ$45,MATCH($AA233,[1]角色基础!$J$16:$J$45,0),MATCH(K$2,[1]角色基础!$AC$12:$AF$12,0)+4*(INT(SUBSTITUTE(RIGHT($C233,2),"+",""))-1))</f>
        <v>38</v>
      </c>
      <c r="L233" s="95">
        <f>INDEX([1]角色基础!$AC$16:$CJ$45,MATCH($AA233,[1]角色基础!$J$16:$J$45,0),MATCH(L$2,[1]角色基础!$AC$12:$AF$12,0)+4*(INT(SUBSTITUTE(RIGHT($C233,2),"+",""))-1))</f>
        <v>38</v>
      </c>
      <c r="M233" s="93">
        <v>0</v>
      </c>
      <c r="N233" s="93">
        <v>0</v>
      </c>
      <c r="O233" s="93">
        <v>0</v>
      </c>
      <c r="P233" s="93">
        <v>0</v>
      </c>
      <c r="Q233" s="93">
        <v>5</v>
      </c>
      <c r="R233" s="96">
        <v>0</v>
      </c>
      <c r="S233" s="96">
        <v>6000</v>
      </c>
      <c r="T233" s="96">
        <v>240</v>
      </c>
      <c r="U233" s="96">
        <v>120</v>
      </c>
      <c r="V233" s="96">
        <v>120</v>
      </c>
      <c r="W233" s="97">
        <v>0</v>
      </c>
      <c r="X233" s="97">
        <v>0</v>
      </c>
      <c r="Y233" s="97">
        <v>0</v>
      </c>
      <c r="Z233" s="97">
        <v>0</v>
      </c>
      <c r="AA233" s="98" t="s">
        <v>178</v>
      </c>
    </row>
    <row r="234" spans="1:27" s="98" customFormat="1">
      <c r="A234" s="93">
        <v>6206</v>
      </c>
      <c r="B234" s="93" t="s">
        <v>45</v>
      </c>
      <c r="C234" s="93" t="s">
        <v>38</v>
      </c>
      <c r="D234" s="93">
        <v>10055</v>
      </c>
      <c r="E234" s="93">
        <v>420000</v>
      </c>
      <c r="F234" s="93" t="s">
        <v>158</v>
      </c>
      <c r="G234" s="93">
        <v>2</v>
      </c>
      <c r="H234" s="94">
        <v>0</v>
      </c>
      <c r="I234" s="95">
        <f>INDEX([1]角色基础!$AC$16:$CJ$45,MATCH($AA234,[1]角色基础!$J$16:$J$45,0),MATCH(I$2,[1]角色基础!$AC$12:$AF$12,0)+4*(INT(SUBSTITUTE(RIGHT($C234,2),"+",""))-1))</f>
        <v>2250</v>
      </c>
      <c r="J234" s="95">
        <f>INDEX([1]角色基础!$AC$16:$CJ$45,MATCH($AA234,[1]角色基础!$J$16:$J$45,0),MATCH(J$2,[1]角色基础!$AC$12:$AF$12,0)+4*(INT(SUBSTITUTE(RIGHT($C234,2),"+",""))-1))</f>
        <v>90</v>
      </c>
      <c r="K234" s="95">
        <f>INDEX([1]角色基础!$AC$16:$CJ$45,MATCH($AA234,[1]角色基础!$J$16:$J$45,0),MATCH(K$2,[1]角色基础!$AC$12:$AF$12,0)+4*(INT(SUBSTITUTE(RIGHT($C234,2),"+",""))-1))</f>
        <v>45</v>
      </c>
      <c r="L234" s="95">
        <f>INDEX([1]角色基础!$AC$16:$CJ$45,MATCH($AA234,[1]角色基础!$J$16:$J$45,0),MATCH(L$2,[1]角色基础!$AC$12:$AF$12,0)+4*(INT(SUBSTITUTE(RIGHT($C234,2),"+",""))-1))</f>
        <v>45</v>
      </c>
      <c r="M234" s="93">
        <v>0</v>
      </c>
      <c r="N234" s="93">
        <v>0</v>
      </c>
      <c r="O234" s="93">
        <v>0</v>
      </c>
      <c r="P234" s="93">
        <v>0</v>
      </c>
      <c r="Q234" s="93">
        <v>6</v>
      </c>
      <c r="R234" s="96">
        <v>0</v>
      </c>
      <c r="S234" s="96">
        <v>6000</v>
      </c>
      <c r="T234" s="96">
        <v>240</v>
      </c>
      <c r="U234" s="96">
        <v>120</v>
      </c>
      <c r="V234" s="96">
        <v>120</v>
      </c>
      <c r="W234" s="97">
        <v>0</v>
      </c>
      <c r="X234" s="97">
        <v>0</v>
      </c>
      <c r="Y234" s="97">
        <v>0</v>
      </c>
      <c r="Z234" s="97">
        <v>0</v>
      </c>
      <c r="AA234" s="98" t="s">
        <v>178</v>
      </c>
    </row>
    <row r="235" spans="1:27" s="98" customFormat="1">
      <c r="A235" s="93">
        <v>6207</v>
      </c>
      <c r="B235" s="93" t="s">
        <v>46</v>
      </c>
      <c r="C235" s="93" t="s">
        <v>39</v>
      </c>
      <c r="D235" s="93">
        <v>10065</v>
      </c>
      <c r="E235" s="93">
        <v>700000</v>
      </c>
      <c r="F235" s="93" t="s">
        <v>159</v>
      </c>
      <c r="G235" s="93">
        <v>2</v>
      </c>
      <c r="H235" s="94">
        <v>0</v>
      </c>
      <c r="I235" s="95">
        <f>INDEX([1]角色基础!$AC$16:$CJ$45,MATCH($AA235,[1]角色基础!$J$16:$J$45,0),MATCH(I$2,[1]角色基础!$AC$12:$AF$12,0)+4*(INT(SUBSTITUTE(RIGHT($C235,2),"+",""))-1))</f>
        <v>2625</v>
      </c>
      <c r="J235" s="95">
        <f>INDEX([1]角色基础!$AC$16:$CJ$45,MATCH($AA235,[1]角色基础!$J$16:$J$45,0),MATCH(J$2,[1]角色基础!$AC$12:$AF$12,0)+4*(INT(SUBSTITUTE(RIGHT($C235,2),"+",""))-1))</f>
        <v>105</v>
      </c>
      <c r="K235" s="95">
        <f>INDEX([1]角色基础!$AC$16:$CJ$45,MATCH($AA235,[1]角色基础!$J$16:$J$45,0),MATCH(K$2,[1]角色基础!$AC$12:$AF$12,0)+4*(INT(SUBSTITUTE(RIGHT($C235,2),"+",""))-1))</f>
        <v>53</v>
      </c>
      <c r="L235" s="95">
        <f>INDEX([1]角色基础!$AC$16:$CJ$45,MATCH($AA235,[1]角色基础!$J$16:$J$45,0),MATCH(L$2,[1]角色基础!$AC$12:$AF$12,0)+4*(INT(SUBSTITUTE(RIGHT($C235,2),"+",""))-1))</f>
        <v>53</v>
      </c>
      <c r="M235" s="93">
        <v>0</v>
      </c>
      <c r="N235" s="93">
        <v>0</v>
      </c>
      <c r="O235" s="93">
        <v>0</v>
      </c>
      <c r="P235" s="93">
        <v>0</v>
      </c>
      <c r="Q235" s="93">
        <v>7</v>
      </c>
      <c r="R235" s="96">
        <v>0</v>
      </c>
      <c r="S235" s="96">
        <v>6000</v>
      </c>
      <c r="T235" s="96">
        <v>240</v>
      </c>
      <c r="U235" s="96">
        <v>120</v>
      </c>
      <c r="V235" s="96">
        <v>120</v>
      </c>
      <c r="W235" s="97">
        <v>0</v>
      </c>
      <c r="X235" s="97">
        <v>0</v>
      </c>
      <c r="Y235" s="97">
        <v>0</v>
      </c>
      <c r="Z235" s="97">
        <v>0</v>
      </c>
      <c r="AA235" s="98" t="s">
        <v>178</v>
      </c>
    </row>
    <row r="236" spans="1:27" s="98" customFormat="1">
      <c r="A236" s="93">
        <v>6208</v>
      </c>
      <c r="B236" s="93" t="s">
        <v>47</v>
      </c>
      <c r="C236" s="93" t="s">
        <v>40</v>
      </c>
      <c r="D236" s="93">
        <v>10075</v>
      </c>
      <c r="E236" s="93">
        <v>1200000</v>
      </c>
      <c r="F236" s="93" t="s">
        <v>109</v>
      </c>
      <c r="G236" s="93">
        <v>4</v>
      </c>
      <c r="H236" s="94">
        <v>0</v>
      </c>
      <c r="I236" s="95">
        <f>INDEX([1]角色基础!$AC$16:$CJ$45,MATCH($AA236,[1]角色基础!$J$16:$J$45,0),MATCH(I$2,[1]角色基础!$AC$12:$AF$12,0)+4*(INT(SUBSTITUTE(RIGHT($C236,2),"+",""))-1))</f>
        <v>3000</v>
      </c>
      <c r="J236" s="95">
        <f>INDEX([1]角色基础!$AC$16:$CJ$45,MATCH($AA236,[1]角色基础!$J$16:$J$45,0),MATCH(J$2,[1]角色基础!$AC$12:$AF$12,0)+4*(INT(SUBSTITUTE(RIGHT($C236,2),"+",""))-1))</f>
        <v>120</v>
      </c>
      <c r="K236" s="95">
        <f>INDEX([1]角色基础!$AC$16:$CJ$45,MATCH($AA236,[1]角色基础!$J$16:$J$45,0),MATCH(K$2,[1]角色基础!$AC$12:$AF$12,0)+4*(INT(SUBSTITUTE(RIGHT($C236,2),"+",""))-1))</f>
        <v>60</v>
      </c>
      <c r="L236" s="95">
        <f>INDEX([1]角色基础!$AC$16:$CJ$45,MATCH($AA236,[1]角色基础!$J$16:$J$45,0),MATCH(L$2,[1]角色基础!$AC$12:$AF$12,0)+4*(INT(SUBSTITUTE(RIGHT($C236,2),"+",""))-1))</f>
        <v>60</v>
      </c>
      <c r="M236" s="93">
        <v>0</v>
      </c>
      <c r="N236" s="93">
        <v>0</v>
      </c>
      <c r="O236" s="93">
        <v>0</v>
      </c>
      <c r="P236" s="93">
        <v>0</v>
      </c>
      <c r="Q236" s="93">
        <v>8</v>
      </c>
      <c r="R236" s="96">
        <v>0</v>
      </c>
      <c r="S236" s="96">
        <v>6000</v>
      </c>
      <c r="T236" s="96">
        <v>240</v>
      </c>
      <c r="U236" s="96">
        <v>120</v>
      </c>
      <c r="V236" s="96">
        <v>120</v>
      </c>
      <c r="W236" s="97">
        <v>0</v>
      </c>
      <c r="X236" s="97">
        <v>0</v>
      </c>
      <c r="Y236" s="97">
        <v>0</v>
      </c>
      <c r="Z236" s="97">
        <v>0</v>
      </c>
      <c r="AA236" s="98" t="s">
        <v>178</v>
      </c>
    </row>
    <row r="237" spans="1:27" s="98" customFormat="1">
      <c r="A237" s="93">
        <v>6209</v>
      </c>
      <c r="B237" s="93" t="s">
        <v>69</v>
      </c>
      <c r="C237" s="93" t="s">
        <v>32</v>
      </c>
      <c r="D237" s="93">
        <v>10085</v>
      </c>
      <c r="E237" s="93">
        <v>1700000</v>
      </c>
      <c r="F237" s="93" t="s">
        <v>160</v>
      </c>
      <c r="G237" s="93">
        <v>6</v>
      </c>
      <c r="H237" s="94">
        <v>0</v>
      </c>
      <c r="I237" s="95">
        <f>INDEX([1]角色基础!$AC$16:$CJ$45,MATCH($AA237,[1]角色基础!$J$16:$J$45,0),MATCH(I$2,[1]角色基础!$AC$12:$AF$12,0)+4*(INT(SUBSTITUTE(RIGHT($C237,2),"+",""))-1))</f>
        <v>3375</v>
      </c>
      <c r="J237" s="95">
        <f>INDEX([1]角色基础!$AC$16:$CJ$45,MATCH($AA237,[1]角色基础!$J$16:$J$45,0),MATCH(J$2,[1]角色基础!$AC$12:$AF$12,0)+4*(INT(SUBSTITUTE(RIGHT($C237,2),"+",""))-1))</f>
        <v>135</v>
      </c>
      <c r="K237" s="95">
        <f>INDEX([1]角色基础!$AC$16:$CJ$45,MATCH($AA237,[1]角色基础!$J$16:$J$45,0),MATCH(K$2,[1]角色基础!$AC$12:$AF$12,0)+4*(INT(SUBSTITUTE(RIGHT($C237,2),"+",""))-1))</f>
        <v>68</v>
      </c>
      <c r="L237" s="95">
        <f>INDEX([1]角色基础!$AC$16:$CJ$45,MATCH($AA237,[1]角色基础!$J$16:$J$45,0),MATCH(L$2,[1]角色基础!$AC$12:$AF$12,0)+4*(INT(SUBSTITUTE(RIGHT($C237,2),"+",""))-1))</f>
        <v>68</v>
      </c>
      <c r="M237" s="93">
        <v>0</v>
      </c>
      <c r="N237" s="93">
        <v>0</v>
      </c>
      <c r="O237" s="93">
        <v>0</v>
      </c>
      <c r="P237" s="93">
        <v>0</v>
      </c>
      <c r="Q237" s="93">
        <v>9</v>
      </c>
      <c r="R237" s="96">
        <v>0</v>
      </c>
      <c r="S237" s="96">
        <v>6000</v>
      </c>
      <c r="T237" s="96">
        <v>240</v>
      </c>
      <c r="U237" s="96">
        <v>120</v>
      </c>
      <c r="V237" s="96">
        <v>120</v>
      </c>
      <c r="W237" s="97">
        <v>0</v>
      </c>
      <c r="X237" s="97">
        <v>0</v>
      </c>
      <c r="Y237" s="97">
        <v>0</v>
      </c>
      <c r="Z237" s="97">
        <v>0</v>
      </c>
      <c r="AA237" s="98" t="s">
        <v>178</v>
      </c>
    </row>
    <row r="238" spans="1:27" s="98" customFormat="1">
      <c r="A238" s="93">
        <v>6210</v>
      </c>
      <c r="B238" s="93" t="s">
        <v>71</v>
      </c>
      <c r="C238" s="93" t="s">
        <v>31</v>
      </c>
      <c r="D238" s="93">
        <v>10095</v>
      </c>
      <c r="E238" s="93">
        <v>2200000</v>
      </c>
      <c r="F238" s="93" t="s">
        <v>161</v>
      </c>
      <c r="G238" s="93">
        <v>8</v>
      </c>
      <c r="H238" s="94">
        <v>0</v>
      </c>
      <c r="I238" s="95">
        <f>INDEX([1]角色基础!$AC$16:$CJ$45,MATCH($AA238,[1]角色基础!$J$16:$J$45,0),MATCH(I$2,[1]角色基础!$AC$12:$AF$12,0)+4*(INT(SUBSTITUTE(RIGHT($C238,2),"+",""))-1))</f>
        <v>3750</v>
      </c>
      <c r="J238" s="95">
        <f>INDEX([1]角色基础!$AC$16:$CJ$45,MATCH($AA238,[1]角色基础!$J$16:$J$45,0),MATCH(J$2,[1]角色基础!$AC$12:$AF$12,0)+4*(INT(SUBSTITUTE(RIGHT($C238,2),"+",""))-1))</f>
        <v>150</v>
      </c>
      <c r="K238" s="95">
        <f>INDEX([1]角色基础!$AC$16:$CJ$45,MATCH($AA238,[1]角色基础!$J$16:$J$45,0),MATCH(K$2,[1]角色基础!$AC$12:$AF$12,0)+4*(INT(SUBSTITUTE(RIGHT($C238,2),"+",""))-1))</f>
        <v>75</v>
      </c>
      <c r="L238" s="95">
        <f>INDEX([1]角色基础!$AC$16:$CJ$45,MATCH($AA238,[1]角色基础!$J$16:$J$45,0),MATCH(L$2,[1]角色基础!$AC$12:$AF$12,0)+4*(INT(SUBSTITUTE(RIGHT($C238,2),"+",""))-1))</f>
        <v>75</v>
      </c>
      <c r="M238" s="93">
        <v>0</v>
      </c>
      <c r="N238" s="93">
        <v>0</v>
      </c>
      <c r="O238" s="93">
        <v>0</v>
      </c>
      <c r="P238" s="93">
        <v>0</v>
      </c>
      <c r="Q238" s="93">
        <v>10</v>
      </c>
      <c r="R238" s="96">
        <v>0</v>
      </c>
      <c r="S238" s="96">
        <v>6000</v>
      </c>
      <c r="T238" s="96">
        <v>240</v>
      </c>
      <c r="U238" s="96">
        <v>120</v>
      </c>
      <c r="V238" s="96">
        <v>120</v>
      </c>
      <c r="W238" s="97">
        <v>0</v>
      </c>
      <c r="X238" s="97">
        <v>0</v>
      </c>
      <c r="Y238" s="97">
        <v>0</v>
      </c>
      <c r="Z238" s="97">
        <v>0</v>
      </c>
      <c r="AA238" s="98" t="s">
        <v>178</v>
      </c>
    </row>
    <row r="239" spans="1:27" s="98" customFormat="1">
      <c r="A239" s="93">
        <v>6211</v>
      </c>
      <c r="B239" s="93" t="s">
        <v>73</v>
      </c>
      <c r="C239" s="93" t="s">
        <v>74</v>
      </c>
      <c r="D239" s="93">
        <v>10105</v>
      </c>
      <c r="E239" s="93">
        <v>2800000</v>
      </c>
      <c r="F239" s="93" t="s">
        <v>162</v>
      </c>
      <c r="G239" s="93">
        <v>10</v>
      </c>
      <c r="H239" s="94">
        <v>0</v>
      </c>
      <c r="I239" s="95">
        <f>INDEX([1]角色基础!$AC$16:$CJ$45,MATCH($AA239,[1]角色基础!$J$16:$J$45,0),MATCH(I$2,[1]角色基础!$AC$12:$AF$12,0)+4*(INT(SUBSTITUTE(RIGHT($C239,2),"+",""))-1))</f>
        <v>4125</v>
      </c>
      <c r="J239" s="95">
        <f>INDEX([1]角色基础!$AC$16:$CJ$45,MATCH($AA239,[1]角色基础!$J$16:$J$45,0),MATCH(J$2,[1]角色基础!$AC$12:$AF$12,0)+4*(INT(SUBSTITUTE(RIGHT($C239,2),"+",""))-1))</f>
        <v>165</v>
      </c>
      <c r="K239" s="95">
        <f>INDEX([1]角色基础!$AC$16:$CJ$45,MATCH($AA239,[1]角色基础!$J$16:$J$45,0),MATCH(K$2,[1]角色基础!$AC$12:$AF$12,0)+4*(INT(SUBSTITUTE(RIGHT($C239,2),"+",""))-1))</f>
        <v>83</v>
      </c>
      <c r="L239" s="95">
        <f>INDEX([1]角色基础!$AC$16:$CJ$45,MATCH($AA239,[1]角色基础!$J$16:$J$45,0),MATCH(L$2,[1]角色基础!$AC$12:$AF$12,0)+4*(INT(SUBSTITUTE(RIGHT($C239,2),"+",""))-1))</f>
        <v>83</v>
      </c>
      <c r="M239" s="93">
        <v>0</v>
      </c>
      <c r="N239" s="93">
        <v>0</v>
      </c>
      <c r="O239" s="93">
        <v>0</v>
      </c>
      <c r="P239" s="93">
        <v>0</v>
      </c>
      <c r="Q239" s="93">
        <v>11</v>
      </c>
      <c r="R239" s="96">
        <v>0</v>
      </c>
      <c r="S239" s="96">
        <v>6000</v>
      </c>
      <c r="T239" s="96">
        <v>240</v>
      </c>
      <c r="U239" s="96">
        <v>120</v>
      </c>
      <c r="V239" s="96">
        <v>120</v>
      </c>
      <c r="W239" s="97">
        <v>0</v>
      </c>
      <c r="X239" s="97">
        <v>0</v>
      </c>
      <c r="Y239" s="97">
        <v>0</v>
      </c>
      <c r="Z239" s="97">
        <v>0</v>
      </c>
      <c r="AA239" s="98" t="s">
        <v>178</v>
      </c>
    </row>
    <row r="240" spans="1:27" s="98" customFormat="1">
      <c r="A240" s="93">
        <v>6212</v>
      </c>
      <c r="B240" s="93" t="s">
        <v>75</v>
      </c>
      <c r="C240" s="93" t="s">
        <v>76</v>
      </c>
      <c r="D240" s="93">
        <v>10115</v>
      </c>
      <c r="E240" s="93">
        <v>3500000</v>
      </c>
      <c r="F240" s="93" t="s">
        <v>163</v>
      </c>
      <c r="G240" s="93">
        <v>12</v>
      </c>
      <c r="H240" s="94">
        <v>0</v>
      </c>
      <c r="I240" s="95">
        <f>INDEX([1]角色基础!$AC$16:$CJ$45,MATCH($AA240,[1]角色基础!$J$16:$J$45,0),MATCH(I$2,[1]角色基础!$AC$12:$AF$12,0)+4*(INT(SUBSTITUTE(RIGHT($C240,2),"+",""))-1))</f>
        <v>4500</v>
      </c>
      <c r="J240" s="95">
        <f>INDEX([1]角色基础!$AC$16:$CJ$45,MATCH($AA240,[1]角色基础!$J$16:$J$45,0),MATCH(J$2,[1]角色基础!$AC$12:$AF$12,0)+4*(INT(SUBSTITUTE(RIGHT($C240,2),"+",""))-1))</f>
        <v>180</v>
      </c>
      <c r="K240" s="95">
        <f>INDEX([1]角色基础!$AC$16:$CJ$45,MATCH($AA240,[1]角色基础!$J$16:$J$45,0),MATCH(K$2,[1]角色基础!$AC$12:$AF$12,0)+4*(INT(SUBSTITUTE(RIGHT($C240,2),"+",""))-1))</f>
        <v>90</v>
      </c>
      <c r="L240" s="95">
        <f>INDEX([1]角色基础!$AC$16:$CJ$45,MATCH($AA240,[1]角色基础!$J$16:$J$45,0),MATCH(L$2,[1]角色基础!$AC$12:$AF$12,0)+4*(INT(SUBSTITUTE(RIGHT($C240,2),"+",""))-1))</f>
        <v>90</v>
      </c>
      <c r="M240" s="93">
        <v>0</v>
      </c>
      <c r="N240" s="93">
        <v>0</v>
      </c>
      <c r="O240" s="93">
        <v>0</v>
      </c>
      <c r="P240" s="93">
        <v>0</v>
      </c>
      <c r="Q240" s="93">
        <v>12</v>
      </c>
      <c r="R240" s="96">
        <v>0</v>
      </c>
      <c r="S240" s="96">
        <v>6000</v>
      </c>
      <c r="T240" s="96">
        <v>240</v>
      </c>
      <c r="U240" s="96">
        <v>120</v>
      </c>
      <c r="V240" s="96">
        <v>120</v>
      </c>
      <c r="W240" s="97">
        <v>0</v>
      </c>
      <c r="X240" s="97">
        <v>0</v>
      </c>
      <c r="Y240" s="97">
        <v>0</v>
      </c>
      <c r="Z240" s="97">
        <v>0</v>
      </c>
      <c r="AA240" s="98" t="s">
        <v>178</v>
      </c>
    </row>
    <row r="241" spans="1:27" s="98" customFormat="1">
      <c r="A241" s="93">
        <v>6213</v>
      </c>
      <c r="B241" s="93" t="s">
        <v>182</v>
      </c>
      <c r="C241" s="93" t="s">
        <v>183</v>
      </c>
      <c r="D241" s="93">
        <v>10125</v>
      </c>
      <c r="E241" s="93">
        <v>4200000</v>
      </c>
      <c r="F241" s="93" t="s">
        <v>200</v>
      </c>
      <c r="G241" s="93">
        <v>14</v>
      </c>
      <c r="H241" s="94">
        <v>0</v>
      </c>
      <c r="I241" s="95">
        <f>INDEX([1]角色基础!$AC$16:$CJ$45,MATCH($AA241,[1]角色基础!$J$16:$J$45,0),MATCH(I$2,[1]角色基础!$AC$12:$AF$12,0)+4*(INT(SUBSTITUTE(RIGHT($C241,2),"+",""))-1))</f>
        <v>4875</v>
      </c>
      <c r="J241" s="95">
        <f>INDEX([1]角色基础!$AC$16:$CJ$45,MATCH($AA241,[1]角色基础!$J$16:$J$45,0),MATCH(J$2,[1]角色基础!$AC$12:$AF$12,0)+4*(INT(SUBSTITUTE(RIGHT($C241,2),"+",""))-1))</f>
        <v>195</v>
      </c>
      <c r="K241" s="95">
        <f>INDEX([1]角色基础!$AC$16:$CJ$45,MATCH($AA241,[1]角色基础!$J$16:$J$45,0),MATCH(K$2,[1]角色基础!$AC$12:$AF$12,0)+4*(INT(SUBSTITUTE(RIGHT($C241,2),"+",""))-1))</f>
        <v>98</v>
      </c>
      <c r="L241" s="95">
        <f>INDEX([1]角色基础!$AC$16:$CJ$45,MATCH($AA241,[1]角色基础!$J$16:$J$45,0),MATCH(L$2,[1]角色基础!$AC$12:$AF$12,0)+4*(INT(SUBSTITUTE(RIGHT($C241,2),"+",""))-1))</f>
        <v>98</v>
      </c>
      <c r="M241" s="93">
        <v>0</v>
      </c>
      <c r="N241" s="93">
        <v>0</v>
      </c>
      <c r="O241" s="93">
        <v>0</v>
      </c>
      <c r="P241" s="93">
        <v>0</v>
      </c>
      <c r="Q241" s="93">
        <v>13</v>
      </c>
      <c r="R241" s="96">
        <v>0</v>
      </c>
      <c r="S241" s="96">
        <v>6000</v>
      </c>
      <c r="T241" s="96">
        <v>240</v>
      </c>
      <c r="U241" s="96">
        <v>120</v>
      </c>
      <c r="V241" s="96">
        <v>120</v>
      </c>
      <c r="W241" s="97">
        <v>0</v>
      </c>
      <c r="X241" s="97">
        <v>0</v>
      </c>
      <c r="Y241" s="97">
        <v>0</v>
      </c>
      <c r="Z241" s="97">
        <v>0</v>
      </c>
      <c r="AA241" s="98" t="s">
        <v>178</v>
      </c>
    </row>
    <row r="242" spans="1:27" s="98" customFormat="1">
      <c r="A242" s="93">
        <v>6214</v>
      </c>
      <c r="B242" s="93" t="s">
        <v>184</v>
      </c>
      <c r="C242" s="93" t="s">
        <v>185</v>
      </c>
      <c r="D242" s="93">
        <v>10135</v>
      </c>
      <c r="E242" s="93">
        <v>5600000</v>
      </c>
      <c r="F242" s="93" t="s">
        <v>202</v>
      </c>
      <c r="G242" s="93">
        <v>16</v>
      </c>
      <c r="H242" s="94">
        <v>0</v>
      </c>
      <c r="I242" s="95">
        <f>INDEX([1]角色基础!$AC$16:$CJ$45,MATCH($AA242,[1]角色基础!$J$16:$J$45,0),MATCH(I$2,[1]角色基础!$AC$12:$AF$12,0)+4*(INT(SUBSTITUTE(RIGHT($C242,2),"+",""))-1))</f>
        <v>5250</v>
      </c>
      <c r="J242" s="95">
        <f>INDEX([1]角色基础!$AC$16:$CJ$45,MATCH($AA242,[1]角色基础!$J$16:$J$45,0),MATCH(J$2,[1]角色基础!$AC$12:$AF$12,0)+4*(INT(SUBSTITUTE(RIGHT($C242,2),"+",""))-1))</f>
        <v>210</v>
      </c>
      <c r="K242" s="95">
        <f>INDEX([1]角色基础!$AC$16:$CJ$45,MATCH($AA242,[1]角色基础!$J$16:$J$45,0),MATCH(K$2,[1]角色基础!$AC$12:$AF$12,0)+4*(INT(SUBSTITUTE(RIGHT($C242,2),"+",""))-1))</f>
        <v>105</v>
      </c>
      <c r="L242" s="95">
        <f>INDEX([1]角色基础!$AC$16:$CJ$45,MATCH($AA242,[1]角色基础!$J$16:$J$45,0),MATCH(L$2,[1]角色基础!$AC$12:$AF$12,0)+4*(INT(SUBSTITUTE(RIGHT($C242,2),"+",""))-1))</f>
        <v>105</v>
      </c>
      <c r="M242" s="93">
        <v>0</v>
      </c>
      <c r="N242" s="93">
        <v>0</v>
      </c>
      <c r="O242" s="93">
        <v>0</v>
      </c>
      <c r="P242" s="93">
        <v>0</v>
      </c>
      <c r="Q242" s="93">
        <v>14</v>
      </c>
      <c r="R242" s="96">
        <v>0</v>
      </c>
      <c r="S242" s="96">
        <v>6000</v>
      </c>
      <c r="T242" s="96">
        <v>240</v>
      </c>
      <c r="U242" s="96">
        <v>120</v>
      </c>
      <c r="V242" s="96">
        <v>120</v>
      </c>
      <c r="W242" s="97">
        <v>0</v>
      </c>
      <c r="X242" s="97">
        <v>0</v>
      </c>
      <c r="Y242" s="97">
        <v>0</v>
      </c>
      <c r="Z242" s="97">
        <v>0</v>
      </c>
      <c r="AA242" s="98" t="s">
        <v>178</v>
      </c>
    </row>
    <row r="243" spans="1:27" s="98" customFormat="1">
      <c r="A243" s="93">
        <v>6215</v>
      </c>
      <c r="B243" s="93" t="s">
        <v>186</v>
      </c>
      <c r="C243" s="93" t="s">
        <v>187</v>
      </c>
      <c r="D243" s="93">
        <v>10145</v>
      </c>
      <c r="E243" s="93">
        <v>7000000</v>
      </c>
      <c r="F243" s="93" t="s">
        <v>204</v>
      </c>
      <c r="G243" s="93">
        <v>20</v>
      </c>
      <c r="H243" s="94">
        <v>0</v>
      </c>
      <c r="I243" s="95">
        <f>INDEX([1]角色基础!$AC$16:$CJ$45,MATCH($AA243,[1]角色基础!$J$16:$J$45,0),MATCH(I$2,[1]角色基础!$AC$12:$AF$12,0)+4*(INT(SUBSTITUTE(RIGHT($C243,2),"+",""))-1))</f>
        <v>5625</v>
      </c>
      <c r="J243" s="95">
        <f>INDEX([1]角色基础!$AC$16:$CJ$45,MATCH($AA243,[1]角色基础!$J$16:$J$45,0),MATCH(J$2,[1]角色基础!$AC$12:$AF$12,0)+4*(INT(SUBSTITUTE(RIGHT($C243,2),"+",""))-1))</f>
        <v>225</v>
      </c>
      <c r="K243" s="95">
        <f>INDEX([1]角色基础!$AC$16:$CJ$45,MATCH($AA243,[1]角色基础!$J$16:$J$45,0),MATCH(K$2,[1]角色基础!$AC$12:$AF$12,0)+4*(INT(SUBSTITUTE(RIGHT($C243,2),"+",""))-1))</f>
        <v>113</v>
      </c>
      <c r="L243" s="95">
        <f>INDEX([1]角色基础!$AC$16:$CJ$45,MATCH($AA243,[1]角色基础!$J$16:$J$45,0),MATCH(L$2,[1]角色基础!$AC$12:$AF$12,0)+4*(INT(SUBSTITUTE(RIGHT($C243,2),"+",""))-1))</f>
        <v>113</v>
      </c>
      <c r="M243" s="93">
        <v>0</v>
      </c>
      <c r="N243" s="93">
        <v>0</v>
      </c>
      <c r="O243" s="93">
        <v>0</v>
      </c>
      <c r="P243" s="93">
        <v>0</v>
      </c>
      <c r="Q243" s="93">
        <v>15</v>
      </c>
      <c r="R243" s="96">
        <v>0</v>
      </c>
      <c r="S243" s="96">
        <v>6000</v>
      </c>
      <c r="T243" s="96">
        <v>240</v>
      </c>
      <c r="U243" s="96">
        <v>120</v>
      </c>
      <c r="V243" s="96">
        <v>120</v>
      </c>
      <c r="W243" s="97">
        <v>0</v>
      </c>
      <c r="X243" s="97">
        <v>0</v>
      </c>
      <c r="Y243" s="97">
        <v>0</v>
      </c>
      <c r="Z243" s="97">
        <v>0</v>
      </c>
      <c r="AA243" s="98" t="s">
        <v>178</v>
      </c>
    </row>
    <row r="244" spans="1:27" s="83" customFormat="1">
      <c r="A244" s="78">
        <v>6301</v>
      </c>
      <c r="B244" s="78" t="s">
        <v>121</v>
      </c>
      <c r="C244" s="78" t="s">
        <v>33</v>
      </c>
      <c r="D244" s="78">
        <v>10001</v>
      </c>
      <c r="E244" s="78">
        <v>8000</v>
      </c>
      <c r="F244" s="78" t="s">
        <v>153</v>
      </c>
      <c r="G244" s="78">
        <v>0</v>
      </c>
      <c r="H244" s="79">
        <v>0</v>
      </c>
      <c r="I244" s="80">
        <f>INDEX([1]角色基础!$AC$16:$CJ$45,MATCH($AA244,[1]角色基础!$J$16:$J$45,0),MATCH(I$2,[1]角色基础!$AC$12:$AF$12,0)+4*(INT(SUBSTITUTE(RIGHT($C244,2),"+",""))-1))</f>
        <v>375</v>
      </c>
      <c r="J244" s="80">
        <f>INDEX([1]角色基础!$AC$16:$CJ$45,MATCH($AA244,[1]角色基础!$J$16:$J$45,0),MATCH(J$2,[1]角色基础!$AC$12:$AF$12,0)+4*(INT(SUBSTITUTE(RIGHT($C244,2),"+",""))-1))</f>
        <v>15</v>
      </c>
      <c r="K244" s="80">
        <f>INDEX([1]角色基础!$AC$16:$CJ$45,MATCH($AA244,[1]角色基础!$J$16:$J$45,0),MATCH(K$2,[1]角色基础!$AC$12:$AF$12,0)+4*(INT(SUBSTITUTE(RIGHT($C244,2),"+",""))-1))</f>
        <v>8</v>
      </c>
      <c r="L244" s="80">
        <f>INDEX([1]角色基础!$AC$16:$CJ$45,MATCH($AA244,[1]角色基础!$J$16:$J$45,0),MATCH(L$2,[1]角色基础!$AC$12:$AF$12,0)+4*(INT(SUBSTITUTE(RIGHT($C244,2),"+",""))-1))</f>
        <v>8</v>
      </c>
      <c r="M244" s="78">
        <v>0</v>
      </c>
      <c r="N244" s="78">
        <v>0</v>
      </c>
      <c r="O244" s="78">
        <v>0</v>
      </c>
      <c r="P244" s="78">
        <v>0</v>
      </c>
      <c r="Q244" s="78">
        <v>1</v>
      </c>
      <c r="R244" s="81">
        <v>0</v>
      </c>
      <c r="S244" s="81">
        <v>6000</v>
      </c>
      <c r="T244" s="81">
        <v>240</v>
      </c>
      <c r="U244" s="81">
        <v>120</v>
      </c>
      <c r="V244" s="81">
        <v>120</v>
      </c>
      <c r="W244" s="82">
        <v>0</v>
      </c>
      <c r="X244" s="82">
        <v>0</v>
      </c>
      <c r="Y244" s="82">
        <v>0</v>
      </c>
      <c r="Z244" s="82">
        <v>0</v>
      </c>
      <c r="AA244" s="83" t="s">
        <v>179</v>
      </c>
    </row>
    <row r="245" spans="1:27" s="83" customFormat="1">
      <c r="A245" s="78">
        <v>6302</v>
      </c>
      <c r="B245" s="78" t="s">
        <v>41</v>
      </c>
      <c r="C245" s="78" t="s">
        <v>34</v>
      </c>
      <c r="D245" s="78">
        <v>10015</v>
      </c>
      <c r="E245" s="78">
        <v>28000</v>
      </c>
      <c r="F245" s="78" t="s">
        <v>154</v>
      </c>
      <c r="G245" s="78">
        <v>0</v>
      </c>
      <c r="H245" s="79">
        <v>0</v>
      </c>
      <c r="I245" s="80">
        <f>INDEX([1]角色基础!$AC$16:$CJ$45,MATCH($AA245,[1]角色基础!$J$16:$J$45,0),MATCH(I$2,[1]角色基础!$AC$12:$AF$12,0)+4*(INT(SUBSTITUTE(RIGHT($C245,2),"+",""))-1))</f>
        <v>750</v>
      </c>
      <c r="J245" s="80">
        <f>INDEX([1]角色基础!$AC$16:$CJ$45,MATCH($AA245,[1]角色基础!$J$16:$J$45,0),MATCH(J$2,[1]角色基础!$AC$12:$AF$12,0)+4*(INT(SUBSTITUTE(RIGHT($C245,2),"+",""))-1))</f>
        <v>30</v>
      </c>
      <c r="K245" s="80">
        <f>INDEX([1]角色基础!$AC$16:$CJ$45,MATCH($AA245,[1]角色基础!$J$16:$J$45,0),MATCH(K$2,[1]角色基础!$AC$12:$AF$12,0)+4*(INT(SUBSTITUTE(RIGHT($C245,2),"+",""))-1))</f>
        <v>15</v>
      </c>
      <c r="L245" s="80">
        <f>INDEX([1]角色基础!$AC$16:$CJ$45,MATCH($AA245,[1]角色基础!$J$16:$J$45,0),MATCH(L$2,[1]角色基础!$AC$12:$AF$12,0)+4*(INT(SUBSTITUTE(RIGHT($C245,2),"+",""))-1))</f>
        <v>15</v>
      </c>
      <c r="M245" s="78">
        <v>0</v>
      </c>
      <c r="N245" s="78">
        <v>0</v>
      </c>
      <c r="O245" s="78">
        <v>0</v>
      </c>
      <c r="P245" s="78">
        <v>0</v>
      </c>
      <c r="Q245" s="78">
        <v>2</v>
      </c>
      <c r="R245" s="81">
        <v>0</v>
      </c>
      <c r="S245" s="81">
        <v>6000</v>
      </c>
      <c r="T245" s="81">
        <v>240</v>
      </c>
      <c r="U245" s="81">
        <v>120</v>
      </c>
      <c r="V245" s="81">
        <v>120</v>
      </c>
      <c r="W245" s="82">
        <v>0</v>
      </c>
      <c r="X245" s="82">
        <v>0</v>
      </c>
      <c r="Y245" s="82">
        <v>0</v>
      </c>
      <c r="Z245" s="82">
        <v>0</v>
      </c>
      <c r="AA245" s="83" t="s">
        <v>179</v>
      </c>
    </row>
    <row r="246" spans="1:27" s="83" customFormat="1">
      <c r="A246" s="78">
        <v>6303</v>
      </c>
      <c r="B246" s="78" t="s">
        <v>42</v>
      </c>
      <c r="C246" s="78" t="s">
        <v>35</v>
      </c>
      <c r="D246" s="78">
        <v>10025</v>
      </c>
      <c r="E246" s="78">
        <v>70000</v>
      </c>
      <c r="F246" s="78" t="s">
        <v>155</v>
      </c>
      <c r="G246" s="78">
        <v>0</v>
      </c>
      <c r="H246" s="79">
        <v>0</v>
      </c>
      <c r="I246" s="80">
        <f>INDEX([1]角色基础!$AC$16:$CJ$45,MATCH($AA246,[1]角色基础!$J$16:$J$45,0),MATCH(I$2,[1]角色基础!$AC$12:$AF$12,0)+4*(INT(SUBSTITUTE(RIGHT($C246,2),"+",""))-1))</f>
        <v>1125</v>
      </c>
      <c r="J246" s="80">
        <f>INDEX([1]角色基础!$AC$16:$CJ$45,MATCH($AA246,[1]角色基础!$J$16:$J$45,0),MATCH(J$2,[1]角色基础!$AC$12:$AF$12,0)+4*(INT(SUBSTITUTE(RIGHT($C246,2),"+",""))-1))</f>
        <v>45</v>
      </c>
      <c r="K246" s="80">
        <f>INDEX([1]角色基础!$AC$16:$CJ$45,MATCH($AA246,[1]角色基础!$J$16:$J$45,0),MATCH(K$2,[1]角色基础!$AC$12:$AF$12,0)+4*(INT(SUBSTITUTE(RIGHT($C246,2),"+",""))-1))</f>
        <v>23</v>
      </c>
      <c r="L246" s="80">
        <f>INDEX([1]角色基础!$AC$16:$CJ$45,MATCH($AA246,[1]角色基础!$J$16:$J$45,0),MATCH(L$2,[1]角色基础!$AC$12:$AF$12,0)+4*(INT(SUBSTITUTE(RIGHT($C246,2),"+",""))-1))</f>
        <v>23</v>
      </c>
      <c r="M246" s="78">
        <v>0</v>
      </c>
      <c r="N246" s="78">
        <v>0</v>
      </c>
      <c r="O246" s="78">
        <v>0</v>
      </c>
      <c r="P246" s="78">
        <v>0</v>
      </c>
      <c r="Q246" s="78">
        <v>3</v>
      </c>
      <c r="R246" s="81">
        <v>0</v>
      </c>
      <c r="S246" s="81">
        <v>6000</v>
      </c>
      <c r="T246" s="81">
        <v>240</v>
      </c>
      <c r="U246" s="81">
        <v>120</v>
      </c>
      <c r="V246" s="81">
        <v>120</v>
      </c>
      <c r="W246" s="82">
        <v>0</v>
      </c>
      <c r="X246" s="82">
        <v>0</v>
      </c>
      <c r="Y246" s="82">
        <v>0</v>
      </c>
      <c r="Z246" s="82">
        <v>0</v>
      </c>
      <c r="AA246" s="83" t="s">
        <v>179</v>
      </c>
    </row>
    <row r="247" spans="1:27" s="83" customFormat="1">
      <c r="A247" s="78">
        <v>6304</v>
      </c>
      <c r="B247" s="78" t="s">
        <v>43</v>
      </c>
      <c r="C247" s="78" t="s">
        <v>36</v>
      </c>
      <c r="D247" s="78">
        <v>10035</v>
      </c>
      <c r="E247" s="78">
        <v>140000</v>
      </c>
      <c r="F247" s="78" t="s">
        <v>156</v>
      </c>
      <c r="G247" s="78">
        <v>1</v>
      </c>
      <c r="H247" s="79">
        <v>0</v>
      </c>
      <c r="I247" s="80">
        <f>INDEX([1]角色基础!$AC$16:$CJ$45,MATCH($AA247,[1]角色基础!$J$16:$J$45,0),MATCH(I$2,[1]角色基础!$AC$12:$AF$12,0)+4*(INT(SUBSTITUTE(RIGHT($C247,2),"+",""))-1))</f>
        <v>1500</v>
      </c>
      <c r="J247" s="80">
        <f>INDEX([1]角色基础!$AC$16:$CJ$45,MATCH($AA247,[1]角色基础!$J$16:$J$45,0),MATCH(J$2,[1]角色基础!$AC$12:$AF$12,0)+4*(INT(SUBSTITUTE(RIGHT($C247,2),"+",""))-1))</f>
        <v>60</v>
      </c>
      <c r="K247" s="80">
        <f>INDEX([1]角色基础!$AC$16:$CJ$45,MATCH($AA247,[1]角色基础!$J$16:$J$45,0),MATCH(K$2,[1]角色基础!$AC$12:$AF$12,0)+4*(INT(SUBSTITUTE(RIGHT($C247,2),"+",""))-1))</f>
        <v>30</v>
      </c>
      <c r="L247" s="80">
        <f>INDEX([1]角色基础!$AC$16:$CJ$45,MATCH($AA247,[1]角色基础!$J$16:$J$45,0),MATCH(L$2,[1]角色基础!$AC$12:$AF$12,0)+4*(INT(SUBSTITUTE(RIGHT($C247,2),"+",""))-1))</f>
        <v>30</v>
      </c>
      <c r="M247" s="78">
        <v>0</v>
      </c>
      <c r="N247" s="78">
        <v>0</v>
      </c>
      <c r="O247" s="78">
        <v>0</v>
      </c>
      <c r="P247" s="78">
        <v>0</v>
      </c>
      <c r="Q247" s="78">
        <v>4</v>
      </c>
      <c r="R247" s="81">
        <v>0</v>
      </c>
      <c r="S247" s="81">
        <v>6000</v>
      </c>
      <c r="T247" s="81">
        <v>240</v>
      </c>
      <c r="U247" s="81">
        <v>120</v>
      </c>
      <c r="V247" s="81">
        <v>120</v>
      </c>
      <c r="W247" s="82">
        <v>0</v>
      </c>
      <c r="X247" s="82">
        <v>0</v>
      </c>
      <c r="Y247" s="82">
        <v>0</v>
      </c>
      <c r="Z247" s="82">
        <v>0</v>
      </c>
      <c r="AA247" s="83" t="s">
        <v>179</v>
      </c>
    </row>
    <row r="248" spans="1:27" s="83" customFormat="1">
      <c r="A248" s="78">
        <v>6305</v>
      </c>
      <c r="B248" s="78" t="s">
        <v>44</v>
      </c>
      <c r="C248" s="78" t="s">
        <v>37</v>
      </c>
      <c r="D248" s="78">
        <v>10045</v>
      </c>
      <c r="E248" s="78">
        <v>280000</v>
      </c>
      <c r="F248" s="78" t="s">
        <v>157</v>
      </c>
      <c r="G248" s="78">
        <v>1</v>
      </c>
      <c r="H248" s="79">
        <v>0</v>
      </c>
      <c r="I248" s="80">
        <f>INDEX([1]角色基础!$AC$16:$CJ$45,MATCH($AA248,[1]角色基础!$J$16:$J$45,0),MATCH(I$2,[1]角色基础!$AC$12:$AF$12,0)+4*(INT(SUBSTITUTE(RIGHT($C248,2),"+",""))-1))</f>
        <v>1875</v>
      </c>
      <c r="J248" s="80">
        <f>INDEX([1]角色基础!$AC$16:$CJ$45,MATCH($AA248,[1]角色基础!$J$16:$J$45,0),MATCH(J$2,[1]角色基础!$AC$12:$AF$12,0)+4*(INT(SUBSTITUTE(RIGHT($C248,2),"+",""))-1))</f>
        <v>75</v>
      </c>
      <c r="K248" s="80">
        <f>INDEX([1]角色基础!$AC$16:$CJ$45,MATCH($AA248,[1]角色基础!$J$16:$J$45,0),MATCH(K$2,[1]角色基础!$AC$12:$AF$12,0)+4*(INT(SUBSTITUTE(RIGHT($C248,2),"+",""))-1))</f>
        <v>38</v>
      </c>
      <c r="L248" s="80">
        <f>INDEX([1]角色基础!$AC$16:$CJ$45,MATCH($AA248,[1]角色基础!$J$16:$J$45,0),MATCH(L$2,[1]角色基础!$AC$12:$AF$12,0)+4*(INT(SUBSTITUTE(RIGHT($C248,2),"+",""))-1))</f>
        <v>38</v>
      </c>
      <c r="M248" s="78">
        <v>0</v>
      </c>
      <c r="N248" s="78">
        <v>0</v>
      </c>
      <c r="O248" s="78">
        <v>0</v>
      </c>
      <c r="P248" s="78">
        <v>0</v>
      </c>
      <c r="Q248" s="78">
        <v>5</v>
      </c>
      <c r="R248" s="81">
        <v>0</v>
      </c>
      <c r="S248" s="81">
        <v>6000</v>
      </c>
      <c r="T248" s="81">
        <v>240</v>
      </c>
      <c r="U248" s="81">
        <v>120</v>
      </c>
      <c r="V248" s="81">
        <v>120</v>
      </c>
      <c r="W248" s="82">
        <v>0</v>
      </c>
      <c r="X248" s="82">
        <v>0</v>
      </c>
      <c r="Y248" s="82">
        <v>0</v>
      </c>
      <c r="Z248" s="82">
        <v>0</v>
      </c>
      <c r="AA248" s="83" t="s">
        <v>179</v>
      </c>
    </row>
    <row r="249" spans="1:27" s="83" customFormat="1">
      <c r="A249" s="78">
        <v>6306</v>
      </c>
      <c r="B249" s="78" t="s">
        <v>45</v>
      </c>
      <c r="C249" s="78" t="s">
        <v>38</v>
      </c>
      <c r="D249" s="78">
        <v>10055</v>
      </c>
      <c r="E249" s="78">
        <v>420000</v>
      </c>
      <c r="F249" s="78" t="s">
        <v>158</v>
      </c>
      <c r="G249" s="78">
        <v>2</v>
      </c>
      <c r="H249" s="79">
        <v>0</v>
      </c>
      <c r="I249" s="80">
        <f>INDEX([1]角色基础!$AC$16:$CJ$45,MATCH($AA249,[1]角色基础!$J$16:$J$45,0),MATCH(I$2,[1]角色基础!$AC$12:$AF$12,0)+4*(INT(SUBSTITUTE(RIGHT($C249,2),"+",""))-1))</f>
        <v>2250</v>
      </c>
      <c r="J249" s="80">
        <f>INDEX([1]角色基础!$AC$16:$CJ$45,MATCH($AA249,[1]角色基础!$J$16:$J$45,0),MATCH(J$2,[1]角色基础!$AC$12:$AF$12,0)+4*(INT(SUBSTITUTE(RIGHT($C249,2),"+",""))-1))</f>
        <v>90</v>
      </c>
      <c r="K249" s="80">
        <f>INDEX([1]角色基础!$AC$16:$CJ$45,MATCH($AA249,[1]角色基础!$J$16:$J$45,0),MATCH(K$2,[1]角色基础!$AC$12:$AF$12,0)+4*(INT(SUBSTITUTE(RIGHT($C249,2),"+",""))-1))</f>
        <v>45</v>
      </c>
      <c r="L249" s="80">
        <f>INDEX([1]角色基础!$AC$16:$CJ$45,MATCH($AA249,[1]角色基础!$J$16:$J$45,0),MATCH(L$2,[1]角色基础!$AC$12:$AF$12,0)+4*(INT(SUBSTITUTE(RIGHT($C249,2),"+",""))-1))</f>
        <v>45</v>
      </c>
      <c r="M249" s="78">
        <v>0</v>
      </c>
      <c r="N249" s="78">
        <v>0</v>
      </c>
      <c r="O249" s="78">
        <v>0</v>
      </c>
      <c r="P249" s="78">
        <v>0</v>
      </c>
      <c r="Q249" s="78">
        <v>6</v>
      </c>
      <c r="R249" s="81">
        <v>0</v>
      </c>
      <c r="S249" s="81">
        <v>6000</v>
      </c>
      <c r="T249" s="81">
        <v>240</v>
      </c>
      <c r="U249" s="81">
        <v>120</v>
      </c>
      <c r="V249" s="81">
        <v>120</v>
      </c>
      <c r="W249" s="82">
        <v>0</v>
      </c>
      <c r="X249" s="82">
        <v>0</v>
      </c>
      <c r="Y249" s="82">
        <v>0</v>
      </c>
      <c r="Z249" s="82">
        <v>0</v>
      </c>
      <c r="AA249" s="83" t="s">
        <v>179</v>
      </c>
    </row>
    <row r="250" spans="1:27" s="83" customFormat="1">
      <c r="A250" s="78">
        <v>6307</v>
      </c>
      <c r="B250" s="78" t="s">
        <v>46</v>
      </c>
      <c r="C250" s="78" t="s">
        <v>39</v>
      </c>
      <c r="D250" s="78">
        <v>10065</v>
      </c>
      <c r="E250" s="78">
        <v>700000</v>
      </c>
      <c r="F250" s="78" t="s">
        <v>159</v>
      </c>
      <c r="G250" s="78">
        <v>2</v>
      </c>
      <c r="H250" s="79">
        <v>0</v>
      </c>
      <c r="I250" s="80">
        <f>INDEX([1]角色基础!$AC$16:$CJ$45,MATCH($AA250,[1]角色基础!$J$16:$J$45,0),MATCH(I$2,[1]角色基础!$AC$12:$AF$12,0)+4*(INT(SUBSTITUTE(RIGHT($C250,2),"+",""))-1))</f>
        <v>2625</v>
      </c>
      <c r="J250" s="80">
        <f>INDEX([1]角色基础!$AC$16:$CJ$45,MATCH($AA250,[1]角色基础!$J$16:$J$45,0),MATCH(J$2,[1]角色基础!$AC$12:$AF$12,0)+4*(INT(SUBSTITUTE(RIGHT($C250,2),"+",""))-1))</f>
        <v>105</v>
      </c>
      <c r="K250" s="80">
        <f>INDEX([1]角色基础!$AC$16:$CJ$45,MATCH($AA250,[1]角色基础!$J$16:$J$45,0),MATCH(K$2,[1]角色基础!$AC$12:$AF$12,0)+4*(INT(SUBSTITUTE(RIGHT($C250,2),"+",""))-1))</f>
        <v>53</v>
      </c>
      <c r="L250" s="80">
        <f>INDEX([1]角色基础!$AC$16:$CJ$45,MATCH($AA250,[1]角色基础!$J$16:$J$45,0),MATCH(L$2,[1]角色基础!$AC$12:$AF$12,0)+4*(INT(SUBSTITUTE(RIGHT($C250,2),"+",""))-1))</f>
        <v>53</v>
      </c>
      <c r="M250" s="78">
        <v>0</v>
      </c>
      <c r="N250" s="78">
        <v>0</v>
      </c>
      <c r="O250" s="78">
        <v>0</v>
      </c>
      <c r="P250" s="78">
        <v>0</v>
      </c>
      <c r="Q250" s="78">
        <v>7</v>
      </c>
      <c r="R250" s="81">
        <v>0</v>
      </c>
      <c r="S250" s="81">
        <v>6000</v>
      </c>
      <c r="T250" s="81">
        <v>240</v>
      </c>
      <c r="U250" s="81">
        <v>120</v>
      </c>
      <c r="V250" s="81">
        <v>120</v>
      </c>
      <c r="W250" s="82">
        <v>0</v>
      </c>
      <c r="X250" s="82">
        <v>0</v>
      </c>
      <c r="Y250" s="82">
        <v>0</v>
      </c>
      <c r="Z250" s="82">
        <v>0</v>
      </c>
      <c r="AA250" s="83" t="s">
        <v>179</v>
      </c>
    </row>
    <row r="251" spans="1:27" s="83" customFormat="1">
      <c r="A251" s="78">
        <v>6308</v>
      </c>
      <c r="B251" s="78" t="s">
        <v>47</v>
      </c>
      <c r="C251" s="78" t="s">
        <v>40</v>
      </c>
      <c r="D251" s="78">
        <v>10075</v>
      </c>
      <c r="E251" s="78">
        <v>1200000</v>
      </c>
      <c r="F251" s="78" t="s">
        <v>109</v>
      </c>
      <c r="G251" s="78">
        <v>4</v>
      </c>
      <c r="H251" s="79">
        <v>0</v>
      </c>
      <c r="I251" s="80">
        <f>INDEX([1]角色基础!$AC$16:$CJ$45,MATCH($AA251,[1]角色基础!$J$16:$J$45,0),MATCH(I$2,[1]角色基础!$AC$12:$AF$12,0)+4*(INT(SUBSTITUTE(RIGHT($C251,2),"+",""))-1))</f>
        <v>3000</v>
      </c>
      <c r="J251" s="80">
        <f>INDEX([1]角色基础!$AC$16:$CJ$45,MATCH($AA251,[1]角色基础!$J$16:$J$45,0),MATCH(J$2,[1]角色基础!$AC$12:$AF$12,0)+4*(INT(SUBSTITUTE(RIGHT($C251,2),"+",""))-1))</f>
        <v>120</v>
      </c>
      <c r="K251" s="80">
        <f>INDEX([1]角色基础!$AC$16:$CJ$45,MATCH($AA251,[1]角色基础!$J$16:$J$45,0),MATCH(K$2,[1]角色基础!$AC$12:$AF$12,0)+4*(INT(SUBSTITUTE(RIGHT($C251,2),"+",""))-1))</f>
        <v>60</v>
      </c>
      <c r="L251" s="80">
        <f>INDEX([1]角色基础!$AC$16:$CJ$45,MATCH($AA251,[1]角色基础!$J$16:$J$45,0),MATCH(L$2,[1]角色基础!$AC$12:$AF$12,0)+4*(INT(SUBSTITUTE(RIGHT($C251,2),"+",""))-1))</f>
        <v>60</v>
      </c>
      <c r="M251" s="78">
        <v>0</v>
      </c>
      <c r="N251" s="78">
        <v>0</v>
      </c>
      <c r="O251" s="78">
        <v>0</v>
      </c>
      <c r="P251" s="78">
        <v>0</v>
      </c>
      <c r="Q251" s="78">
        <v>8</v>
      </c>
      <c r="R251" s="81">
        <v>0</v>
      </c>
      <c r="S251" s="81">
        <v>6000</v>
      </c>
      <c r="T251" s="81">
        <v>240</v>
      </c>
      <c r="U251" s="81">
        <v>120</v>
      </c>
      <c r="V251" s="81">
        <v>120</v>
      </c>
      <c r="W251" s="82">
        <v>0</v>
      </c>
      <c r="X251" s="82">
        <v>0</v>
      </c>
      <c r="Y251" s="82">
        <v>0</v>
      </c>
      <c r="Z251" s="82">
        <v>0</v>
      </c>
      <c r="AA251" s="83" t="s">
        <v>179</v>
      </c>
    </row>
    <row r="252" spans="1:27" s="83" customFormat="1">
      <c r="A252" s="78">
        <v>6309</v>
      </c>
      <c r="B252" s="78" t="s">
        <v>69</v>
      </c>
      <c r="C252" s="78" t="s">
        <v>32</v>
      </c>
      <c r="D252" s="78">
        <v>10085</v>
      </c>
      <c r="E252" s="78">
        <v>1700000</v>
      </c>
      <c r="F252" s="78" t="s">
        <v>160</v>
      </c>
      <c r="G252" s="78">
        <v>6</v>
      </c>
      <c r="H252" s="79">
        <v>0</v>
      </c>
      <c r="I252" s="80">
        <f>INDEX([1]角色基础!$AC$16:$CJ$45,MATCH($AA252,[1]角色基础!$J$16:$J$45,0),MATCH(I$2,[1]角色基础!$AC$12:$AF$12,0)+4*(INT(SUBSTITUTE(RIGHT($C252,2),"+",""))-1))</f>
        <v>3375</v>
      </c>
      <c r="J252" s="80">
        <f>INDEX([1]角色基础!$AC$16:$CJ$45,MATCH($AA252,[1]角色基础!$J$16:$J$45,0),MATCH(J$2,[1]角色基础!$AC$12:$AF$12,0)+4*(INT(SUBSTITUTE(RIGHT($C252,2),"+",""))-1))</f>
        <v>135</v>
      </c>
      <c r="K252" s="80">
        <f>INDEX([1]角色基础!$AC$16:$CJ$45,MATCH($AA252,[1]角色基础!$J$16:$J$45,0),MATCH(K$2,[1]角色基础!$AC$12:$AF$12,0)+4*(INT(SUBSTITUTE(RIGHT($C252,2),"+",""))-1))</f>
        <v>68</v>
      </c>
      <c r="L252" s="80">
        <f>INDEX([1]角色基础!$AC$16:$CJ$45,MATCH($AA252,[1]角色基础!$J$16:$J$45,0),MATCH(L$2,[1]角色基础!$AC$12:$AF$12,0)+4*(INT(SUBSTITUTE(RIGHT($C252,2),"+",""))-1))</f>
        <v>68</v>
      </c>
      <c r="M252" s="78">
        <v>0</v>
      </c>
      <c r="N252" s="78">
        <v>0</v>
      </c>
      <c r="O252" s="78">
        <v>0</v>
      </c>
      <c r="P252" s="78">
        <v>0</v>
      </c>
      <c r="Q252" s="78">
        <v>9</v>
      </c>
      <c r="R252" s="81">
        <v>0</v>
      </c>
      <c r="S252" s="81">
        <v>6000</v>
      </c>
      <c r="T252" s="81">
        <v>240</v>
      </c>
      <c r="U252" s="81">
        <v>120</v>
      </c>
      <c r="V252" s="81">
        <v>120</v>
      </c>
      <c r="W252" s="82">
        <v>0</v>
      </c>
      <c r="X252" s="82">
        <v>0</v>
      </c>
      <c r="Y252" s="82">
        <v>0</v>
      </c>
      <c r="Z252" s="82">
        <v>0</v>
      </c>
      <c r="AA252" s="83" t="s">
        <v>179</v>
      </c>
    </row>
    <row r="253" spans="1:27" s="83" customFormat="1">
      <c r="A253" s="78">
        <v>6310</v>
      </c>
      <c r="B253" s="78" t="s">
        <v>71</v>
      </c>
      <c r="C253" s="78" t="s">
        <v>31</v>
      </c>
      <c r="D253" s="78">
        <v>10095</v>
      </c>
      <c r="E253" s="78">
        <v>2200000</v>
      </c>
      <c r="F253" s="78" t="s">
        <v>161</v>
      </c>
      <c r="G253" s="78">
        <v>8</v>
      </c>
      <c r="H253" s="79">
        <v>0</v>
      </c>
      <c r="I253" s="80">
        <f>INDEX([1]角色基础!$AC$16:$CJ$45,MATCH($AA253,[1]角色基础!$J$16:$J$45,0),MATCH(I$2,[1]角色基础!$AC$12:$AF$12,0)+4*(INT(SUBSTITUTE(RIGHT($C253,2),"+",""))-1))</f>
        <v>3750</v>
      </c>
      <c r="J253" s="80">
        <f>INDEX([1]角色基础!$AC$16:$CJ$45,MATCH($AA253,[1]角色基础!$J$16:$J$45,0),MATCH(J$2,[1]角色基础!$AC$12:$AF$12,0)+4*(INT(SUBSTITUTE(RIGHT($C253,2),"+",""))-1))</f>
        <v>150</v>
      </c>
      <c r="K253" s="80">
        <f>INDEX([1]角色基础!$AC$16:$CJ$45,MATCH($AA253,[1]角色基础!$J$16:$J$45,0),MATCH(K$2,[1]角色基础!$AC$12:$AF$12,0)+4*(INT(SUBSTITUTE(RIGHT($C253,2),"+",""))-1))</f>
        <v>75</v>
      </c>
      <c r="L253" s="80">
        <f>INDEX([1]角色基础!$AC$16:$CJ$45,MATCH($AA253,[1]角色基础!$J$16:$J$45,0),MATCH(L$2,[1]角色基础!$AC$12:$AF$12,0)+4*(INT(SUBSTITUTE(RIGHT($C253,2),"+",""))-1))</f>
        <v>75</v>
      </c>
      <c r="M253" s="78">
        <v>0</v>
      </c>
      <c r="N253" s="78">
        <v>0</v>
      </c>
      <c r="O253" s="78">
        <v>0</v>
      </c>
      <c r="P253" s="78">
        <v>0</v>
      </c>
      <c r="Q253" s="78">
        <v>10</v>
      </c>
      <c r="R253" s="81">
        <v>0</v>
      </c>
      <c r="S253" s="81">
        <v>6000</v>
      </c>
      <c r="T253" s="81">
        <v>240</v>
      </c>
      <c r="U253" s="81">
        <v>120</v>
      </c>
      <c r="V253" s="81">
        <v>120</v>
      </c>
      <c r="W253" s="82">
        <v>0</v>
      </c>
      <c r="X253" s="82">
        <v>0</v>
      </c>
      <c r="Y253" s="82">
        <v>0</v>
      </c>
      <c r="Z253" s="82">
        <v>0</v>
      </c>
      <c r="AA253" s="83" t="s">
        <v>179</v>
      </c>
    </row>
    <row r="254" spans="1:27" s="83" customFormat="1">
      <c r="A254" s="78">
        <v>6311</v>
      </c>
      <c r="B254" s="78" t="s">
        <v>73</v>
      </c>
      <c r="C254" s="78" t="s">
        <v>74</v>
      </c>
      <c r="D254" s="78">
        <v>10105</v>
      </c>
      <c r="E254" s="78">
        <v>2800000</v>
      </c>
      <c r="F254" s="78" t="s">
        <v>162</v>
      </c>
      <c r="G254" s="78">
        <v>10</v>
      </c>
      <c r="H254" s="79">
        <v>0</v>
      </c>
      <c r="I254" s="80">
        <f>INDEX([1]角色基础!$AC$16:$CJ$45,MATCH($AA254,[1]角色基础!$J$16:$J$45,0),MATCH(I$2,[1]角色基础!$AC$12:$AF$12,0)+4*(INT(SUBSTITUTE(RIGHT($C254,2),"+",""))-1))</f>
        <v>4125</v>
      </c>
      <c r="J254" s="80">
        <f>INDEX([1]角色基础!$AC$16:$CJ$45,MATCH($AA254,[1]角色基础!$J$16:$J$45,0),MATCH(J$2,[1]角色基础!$AC$12:$AF$12,0)+4*(INT(SUBSTITUTE(RIGHT($C254,2),"+",""))-1))</f>
        <v>165</v>
      </c>
      <c r="K254" s="80">
        <f>INDEX([1]角色基础!$AC$16:$CJ$45,MATCH($AA254,[1]角色基础!$J$16:$J$45,0),MATCH(K$2,[1]角色基础!$AC$12:$AF$12,0)+4*(INT(SUBSTITUTE(RIGHT($C254,2),"+",""))-1))</f>
        <v>83</v>
      </c>
      <c r="L254" s="80">
        <f>INDEX([1]角色基础!$AC$16:$CJ$45,MATCH($AA254,[1]角色基础!$J$16:$J$45,0),MATCH(L$2,[1]角色基础!$AC$12:$AF$12,0)+4*(INT(SUBSTITUTE(RIGHT($C254,2),"+",""))-1))</f>
        <v>83</v>
      </c>
      <c r="M254" s="78">
        <v>0</v>
      </c>
      <c r="N254" s="78">
        <v>0</v>
      </c>
      <c r="O254" s="78">
        <v>0</v>
      </c>
      <c r="P254" s="78">
        <v>0</v>
      </c>
      <c r="Q254" s="78">
        <v>11</v>
      </c>
      <c r="R254" s="81">
        <v>0</v>
      </c>
      <c r="S254" s="81">
        <v>6000</v>
      </c>
      <c r="T254" s="81">
        <v>240</v>
      </c>
      <c r="U254" s="81">
        <v>120</v>
      </c>
      <c r="V254" s="81">
        <v>120</v>
      </c>
      <c r="W254" s="82">
        <v>0</v>
      </c>
      <c r="X254" s="82">
        <v>0</v>
      </c>
      <c r="Y254" s="82">
        <v>0</v>
      </c>
      <c r="Z254" s="82">
        <v>0</v>
      </c>
      <c r="AA254" s="83" t="s">
        <v>179</v>
      </c>
    </row>
    <row r="255" spans="1:27" s="83" customFormat="1">
      <c r="A255" s="78">
        <v>6312</v>
      </c>
      <c r="B255" s="78" t="s">
        <v>75</v>
      </c>
      <c r="C255" s="78" t="s">
        <v>76</v>
      </c>
      <c r="D255" s="78">
        <v>10115</v>
      </c>
      <c r="E255" s="78">
        <v>3500000</v>
      </c>
      <c r="F255" s="78" t="s">
        <v>163</v>
      </c>
      <c r="G255" s="78">
        <v>12</v>
      </c>
      <c r="H255" s="79">
        <v>0</v>
      </c>
      <c r="I255" s="80">
        <f>INDEX([1]角色基础!$AC$16:$CJ$45,MATCH($AA255,[1]角色基础!$J$16:$J$45,0),MATCH(I$2,[1]角色基础!$AC$12:$AF$12,0)+4*(INT(SUBSTITUTE(RIGHT($C255,2),"+",""))-1))</f>
        <v>4500</v>
      </c>
      <c r="J255" s="80">
        <f>INDEX([1]角色基础!$AC$16:$CJ$45,MATCH($AA255,[1]角色基础!$J$16:$J$45,0),MATCH(J$2,[1]角色基础!$AC$12:$AF$12,0)+4*(INT(SUBSTITUTE(RIGHT($C255,2),"+",""))-1))</f>
        <v>180</v>
      </c>
      <c r="K255" s="80">
        <f>INDEX([1]角色基础!$AC$16:$CJ$45,MATCH($AA255,[1]角色基础!$J$16:$J$45,0),MATCH(K$2,[1]角色基础!$AC$12:$AF$12,0)+4*(INT(SUBSTITUTE(RIGHT($C255,2),"+",""))-1))</f>
        <v>90</v>
      </c>
      <c r="L255" s="80">
        <f>INDEX([1]角色基础!$AC$16:$CJ$45,MATCH($AA255,[1]角色基础!$J$16:$J$45,0),MATCH(L$2,[1]角色基础!$AC$12:$AF$12,0)+4*(INT(SUBSTITUTE(RIGHT($C255,2),"+",""))-1))</f>
        <v>90</v>
      </c>
      <c r="M255" s="78">
        <v>0</v>
      </c>
      <c r="N255" s="78">
        <v>0</v>
      </c>
      <c r="O255" s="78">
        <v>0</v>
      </c>
      <c r="P255" s="78">
        <v>0</v>
      </c>
      <c r="Q255" s="78">
        <v>12</v>
      </c>
      <c r="R255" s="81">
        <v>0</v>
      </c>
      <c r="S255" s="81">
        <v>6000</v>
      </c>
      <c r="T255" s="81">
        <v>240</v>
      </c>
      <c r="U255" s="81">
        <v>120</v>
      </c>
      <c r="V255" s="81">
        <v>120</v>
      </c>
      <c r="W255" s="82">
        <v>0</v>
      </c>
      <c r="X255" s="82">
        <v>0</v>
      </c>
      <c r="Y255" s="82">
        <v>0</v>
      </c>
      <c r="Z255" s="82">
        <v>0</v>
      </c>
      <c r="AA255" s="83" t="s">
        <v>179</v>
      </c>
    </row>
    <row r="256" spans="1:27" s="83" customFormat="1">
      <c r="A256" s="78">
        <v>6313</v>
      </c>
      <c r="B256" s="78" t="s">
        <v>182</v>
      </c>
      <c r="C256" s="78" t="s">
        <v>183</v>
      </c>
      <c r="D256" s="78">
        <v>10125</v>
      </c>
      <c r="E256" s="78">
        <v>4200000</v>
      </c>
      <c r="F256" s="78" t="s">
        <v>200</v>
      </c>
      <c r="G256" s="78">
        <v>14</v>
      </c>
      <c r="H256" s="79">
        <v>0</v>
      </c>
      <c r="I256" s="80">
        <f>INDEX([1]角色基础!$AC$16:$CJ$45,MATCH($AA256,[1]角色基础!$J$16:$J$45,0),MATCH(I$2,[1]角色基础!$AC$12:$AF$12,0)+4*(INT(SUBSTITUTE(RIGHT($C256,2),"+",""))-1))</f>
        <v>4875</v>
      </c>
      <c r="J256" s="80">
        <f>INDEX([1]角色基础!$AC$16:$CJ$45,MATCH($AA256,[1]角色基础!$J$16:$J$45,0),MATCH(J$2,[1]角色基础!$AC$12:$AF$12,0)+4*(INT(SUBSTITUTE(RIGHT($C256,2),"+",""))-1))</f>
        <v>195</v>
      </c>
      <c r="K256" s="80">
        <f>INDEX([1]角色基础!$AC$16:$CJ$45,MATCH($AA256,[1]角色基础!$J$16:$J$45,0),MATCH(K$2,[1]角色基础!$AC$12:$AF$12,0)+4*(INT(SUBSTITUTE(RIGHT($C256,2),"+",""))-1))</f>
        <v>98</v>
      </c>
      <c r="L256" s="80">
        <f>INDEX([1]角色基础!$AC$16:$CJ$45,MATCH($AA256,[1]角色基础!$J$16:$J$45,0),MATCH(L$2,[1]角色基础!$AC$12:$AF$12,0)+4*(INT(SUBSTITUTE(RIGHT($C256,2),"+",""))-1))</f>
        <v>98</v>
      </c>
      <c r="M256" s="78">
        <v>0</v>
      </c>
      <c r="N256" s="78">
        <v>0</v>
      </c>
      <c r="O256" s="78">
        <v>0</v>
      </c>
      <c r="P256" s="78">
        <v>0</v>
      </c>
      <c r="Q256" s="78">
        <v>13</v>
      </c>
      <c r="R256" s="81">
        <v>0</v>
      </c>
      <c r="S256" s="81">
        <v>6000</v>
      </c>
      <c r="T256" s="81">
        <v>240</v>
      </c>
      <c r="U256" s="81">
        <v>120</v>
      </c>
      <c r="V256" s="81">
        <v>120</v>
      </c>
      <c r="W256" s="82">
        <v>0</v>
      </c>
      <c r="X256" s="82">
        <v>0</v>
      </c>
      <c r="Y256" s="82">
        <v>0</v>
      </c>
      <c r="Z256" s="82">
        <v>0</v>
      </c>
      <c r="AA256" s="83" t="s">
        <v>179</v>
      </c>
    </row>
    <row r="257" spans="1:27" s="83" customFormat="1">
      <c r="A257" s="78">
        <v>6314</v>
      </c>
      <c r="B257" s="78" t="s">
        <v>184</v>
      </c>
      <c r="C257" s="78" t="s">
        <v>185</v>
      </c>
      <c r="D257" s="78">
        <v>10135</v>
      </c>
      <c r="E257" s="78">
        <v>5600000</v>
      </c>
      <c r="F257" s="78" t="s">
        <v>202</v>
      </c>
      <c r="G257" s="78">
        <v>16</v>
      </c>
      <c r="H257" s="79">
        <v>0</v>
      </c>
      <c r="I257" s="80">
        <f>INDEX([1]角色基础!$AC$16:$CJ$45,MATCH($AA257,[1]角色基础!$J$16:$J$45,0),MATCH(I$2,[1]角色基础!$AC$12:$AF$12,0)+4*(INT(SUBSTITUTE(RIGHT($C257,2),"+",""))-1))</f>
        <v>5250</v>
      </c>
      <c r="J257" s="80">
        <f>INDEX([1]角色基础!$AC$16:$CJ$45,MATCH($AA257,[1]角色基础!$J$16:$J$45,0),MATCH(J$2,[1]角色基础!$AC$12:$AF$12,0)+4*(INT(SUBSTITUTE(RIGHT($C257,2),"+",""))-1))</f>
        <v>210</v>
      </c>
      <c r="K257" s="80">
        <f>INDEX([1]角色基础!$AC$16:$CJ$45,MATCH($AA257,[1]角色基础!$J$16:$J$45,0),MATCH(K$2,[1]角色基础!$AC$12:$AF$12,0)+4*(INT(SUBSTITUTE(RIGHT($C257,2),"+",""))-1))</f>
        <v>105</v>
      </c>
      <c r="L257" s="80">
        <f>INDEX([1]角色基础!$AC$16:$CJ$45,MATCH($AA257,[1]角色基础!$J$16:$J$45,0),MATCH(L$2,[1]角色基础!$AC$12:$AF$12,0)+4*(INT(SUBSTITUTE(RIGHT($C257,2),"+",""))-1))</f>
        <v>105</v>
      </c>
      <c r="M257" s="78">
        <v>0</v>
      </c>
      <c r="N257" s="78">
        <v>0</v>
      </c>
      <c r="O257" s="78">
        <v>0</v>
      </c>
      <c r="P257" s="78">
        <v>0</v>
      </c>
      <c r="Q257" s="78">
        <v>14</v>
      </c>
      <c r="R257" s="81">
        <v>0</v>
      </c>
      <c r="S257" s="81">
        <v>6000</v>
      </c>
      <c r="T257" s="81">
        <v>240</v>
      </c>
      <c r="U257" s="81">
        <v>120</v>
      </c>
      <c r="V257" s="81">
        <v>120</v>
      </c>
      <c r="W257" s="82">
        <v>0</v>
      </c>
      <c r="X257" s="82">
        <v>0</v>
      </c>
      <c r="Y257" s="82">
        <v>0</v>
      </c>
      <c r="Z257" s="82">
        <v>0</v>
      </c>
      <c r="AA257" s="83" t="s">
        <v>179</v>
      </c>
    </row>
    <row r="258" spans="1:27" s="83" customFormat="1">
      <c r="A258" s="78">
        <v>6315</v>
      </c>
      <c r="B258" s="78" t="s">
        <v>186</v>
      </c>
      <c r="C258" s="78" t="s">
        <v>187</v>
      </c>
      <c r="D258" s="78">
        <v>10145</v>
      </c>
      <c r="E258" s="78">
        <v>7000000</v>
      </c>
      <c r="F258" s="78" t="s">
        <v>204</v>
      </c>
      <c r="G258" s="78">
        <v>20</v>
      </c>
      <c r="H258" s="79">
        <v>0</v>
      </c>
      <c r="I258" s="80">
        <f>INDEX([1]角色基础!$AC$16:$CJ$45,MATCH($AA258,[1]角色基础!$J$16:$J$45,0),MATCH(I$2,[1]角色基础!$AC$12:$AF$12,0)+4*(INT(SUBSTITUTE(RIGHT($C258,2),"+",""))-1))</f>
        <v>5625</v>
      </c>
      <c r="J258" s="80">
        <f>INDEX([1]角色基础!$AC$16:$CJ$45,MATCH($AA258,[1]角色基础!$J$16:$J$45,0),MATCH(J$2,[1]角色基础!$AC$12:$AF$12,0)+4*(INT(SUBSTITUTE(RIGHT($C258,2),"+",""))-1))</f>
        <v>225</v>
      </c>
      <c r="K258" s="80">
        <f>INDEX([1]角色基础!$AC$16:$CJ$45,MATCH($AA258,[1]角色基础!$J$16:$J$45,0),MATCH(K$2,[1]角色基础!$AC$12:$AF$12,0)+4*(INT(SUBSTITUTE(RIGHT($C258,2),"+",""))-1))</f>
        <v>113</v>
      </c>
      <c r="L258" s="80">
        <f>INDEX([1]角色基础!$AC$16:$CJ$45,MATCH($AA258,[1]角色基础!$J$16:$J$45,0),MATCH(L$2,[1]角色基础!$AC$12:$AF$12,0)+4*(INT(SUBSTITUTE(RIGHT($C258,2),"+",""))-1))</f>
        <v>113</v>
      </c>
      <c r="M258" s="78">
        <v>0</v>
      </c>
      <c r="N258" s="78">
        <v>0</v>
      </c>
      <c r="O258" s="78">
        <v>0</v>
      </c>
      <c r="P258" s="78">
        <v>0</v>
      </c>
      <c r="Q258" s="78">
        <v>15</v>
      </c>
      <c r="R258" s="81">
        <v>0</v>
      </c>
      <c r="S258" s="81">
        <v>6000</v>
      </c>
      <c r="T258" s="81">
        <v>240</v>
      </c>
      <c r="U258" s="81">
        <v>120</v>
      </c>
      <c r="V258" s="81">
        <v>120</v>
      </c>
      <c r="W258" s="82">
        <v>0</v>
      </c>
      <c r="X258" s="82">
        <v>0</v>
      </c>
      <c r="Y258" s="82">
        <v>0</v>
      </c>
      <c r="Z258" s="82">
        <v>0</v>
      </c>
      <c r="AA258" s="83" t="s">
        <v>179</v>
      </c>
    </row>
    <row r="259" spans="1:27" s="98" customFormat="1">
      <c r="A259" s="93">
        <v>6401</v>
      </c>
      <c r="B259" s="93" t="s">
        <v>121</v>
      </c>
      <c r="C259" s="93" t="s">
        <v>33</v>
      </c>
      <c r="D259" s="93">
        <v>10001</v>
      </c>
      <c r="E259" s="93">
        <v>8000</v>
      </c>
      <c r="F259" s="93" t="s">
        <v>153</v>
      </c>
      <c r="G259" s="93">
        <v>0</v>
      </c>
      <c r="H259" s="94">
        <v>0</v>
      </c>
      <c r="I259" s="95">
        <f>INDEX([1]角色基础!$AC$16:$CJ$45,MATCH($AA259,[1]角色基础!$J$16:$J$45,0),MATCH(I$2,[1]角色基础!$AC$12:$AF$12,0)+4*(INT(SUBSTITUTE(RIGHT($C259,2),"+",""))-1))</f>
        <v>375</v>
      </c>
      <c r="J259" s="95">
        <f>INDEX([1]角色基础!$AC$16:$CJ$45,MATCH($AA259,[1]角色基础!$J$16:$J$45,0),MATCH(J$2,[1]角色基础!$AC$12:$AF$12,0)+4*(INT(SUBSTITUTE(RIGHT($C259,2),"+",""))-1))</f>
        <v>15</v>
      </c>
      <c r="K259" s="95">
        <f>INDEX([1]角色基础!$AC$16:$CJ$45,MATCH($AA259,[1]角色基础!$J$16:$J$45,0),MATCH(K$2,[1]角色基础!$AC$12:$AF$12,0)+4*(INT(SUBSTITUTE(RIGHT($C259,2),"+",""))-1))</f>
        <v>8</v>
      </c>
      <c r="L259" s="95">
        <f>INDEX([1]角色基础!$AC$16:$CJ$45,MATCH($AA259,[1]角色基础!$J$16:$J$45,0),MATCH(L$2,[1]角色基础!$AC$12:$AF$12,0)+4*(INT(SUBSTITUTE(RIGHT($C259,2),"+",""))-1))</f>
        <v>8</v>
      </c>
      <c r="M259" s="93">
        <v>0</v>
      </c>
      <c r="N259" s="93">
        <v>0</v>
      </c>
      <c r="O259" s="93">
        <v>0</v>
      </c>
      <c r="P259" s="93">
        <v>0</v>
      </c>
      <c r="Q259" s="93">
        <v>1</v>
      </c>
      <c r="R259" s="96">
        <v>0</v>
      </c>
      <c r="S259" s="96">
        <v>6000</v>
      </c>
      <c r="T259" s="96">
        <v>240</v>
      </c>
      <c r="U259" s="96">
        <v>120</v>
      </c>
      <c r="V259" s="96">
        <v>120</v>
      </c>
      <c r="W259" s="97">
        <v>0</v>
      </c>
      <c r="X259" s="97">
        <v>0</v>
      </c>
      <c r="Y259" s="97">
        <v>0</v>
      </c>
      <c r="Z259" s="97">
        <v>0</v>
      </c>
      <c r="AA259" s="98" t="s">
        <v>180</v>
      </c>
    </row>
    <row r="260" spans="1:27" s="98" customFormat="1">
      <c r="A260" s="93">
        <v>6402</v>
      </c>
      <c r="B260" s="93" t="s">
        <v>41</v>
      </c>
      <c r="C260" s="93" t="s">
        <v>34</v>
      </c>
      <c r="D260" s="93">
        <v>10015</v>
      </c>
      <c r="E260" s="93">
        <v>28000</v>
      </c>
      <c r="F260" s="93" t="s">
        <v>154</v>
      </c>
      <c r="G260" s="93">
        <v>0</v>
      </c>
      <c r="H260" s="94">
        <v>0</v>
      </c>
      <c r="I260" s="95">
        <f>INDEX([1]角色基础!$AC$16:$CJ$45,MATCH($AA260,[1]角色基础!$J$16:$J$45,0),MATCH(I$2,[1]角色基础!$AC$12:$AF$12,0)+4*(INT(SUBSTITUTE(RIGHT($C260,2),"+",""))-1))</f>
        <v>750</v>
      </c>
      <c r="J260" s="95">
        <f>INDEX([1]角色基础!$AC$16:$CJ$45,MATCH($AA260,[1]角色基础!$J$16:$J$45,0),MATCH(J$2,[1]角色基础!$AC$12:$AF$12,0)+4*(INT(SUBSTITUTE(RIGHT($C260,2),"+",""))-1))</f>
        <v>30</v>
      </c>
      <c r="K260" s="95">
        <f>INDEX([1]角色基础!$AC$16:$CJ$45,MATCH($AA260,[1]角色基础!$J$16:$J$45,0),MATCH(K$2,[1]角色基础!$AC$12:$AF$12,0)+4*(INT(SUBSTITUTE(RIGHT($C260,2),"+",""))-1))</f>
        <v>15</v>
      </c>
      <c r="L260" s="95">
        <f>INDEX([1]角色基础!$AC$16:$CJ$45,MATCH($AA260,[1]角色基础!$J$16:$J$45,0),MATCH(L$2,[1]角色基础!$AC$12:$AF$12,0)+4*(INT(SUBSTITUTE(RIGHT($C260,2),"+",""))-1))</f>
        <v>15</v>
      </c>
      <c r="M260" s="93">
        <v>0</v>
      </c>
      <c r="N260" s="93">
        <v>0</v>
      </c>
      <c r="O260" s="93">
        <v>0</v>
      </c>
      <c r="P260" s="93">
        <v>0</v>
      </c>
      <c r="Q260" s="93">
        <v>2</v>
      </c>
      <c r="R260" s="96">
        <v>0</v>
      </c>
      <c r="S260" s="96">
        <v>6000</v>
      </c>
      <c r="T260" s="96">
        <v>240</v>
      </c>
      <c r="U260" s="96">
        <v>120</v>
      </c>
      <c r="V260" s="96">
        <v>120</v>
      </c>
      <c r="W260" s="97">
        <v>0</v>
      </c>
      <c r="X260" s="97">
        <v>0</v>
      </c>
      <c r="Y260" s="97">
        <v>0</v>
      </c>
      <c r="Z260" s="97">
        <v>0</v>
      </c>
      <c r="AA260" s="98" t="s">
        <v>180</v>
      </c>
    </row>
    <row r="261" spans="1:27" s="98" customFormat="1">
      <c r="A261" s="93">
        <v>6403</v>
      </c>
      <c r="B261" s="93" t="s">
        <v>42</v>
      </c>
      <c r="C261" s="93" t="s">
        <v>35</v>
      </c>
      <c r="D261" s="93">
        <v>10025</v>
      </c>
      <c r="E261" s="93">
        <v>70000</v>
      </c>
      <c r="F261" s="93" t="s">
        <v>155</v>
      </c>
      <c r="G261" s="93">
        <v>0</v>
      </c>
      <c r="H261" s="94">
        <v>0</v>
      </c>
      <c r="I261" s="95">
        <f>INDEX([1]角色基础!$AC$16:$CJ$45,MATCH($AA261,[1]角色基础!$J$16:$J$45,0),MATCH(I$2,[1]角色基础!$AC$12:$AF$12,0)+4*(INT(SUBSTITUTE(RIGHT($C261,2),"+",""))-1))</f>
        <v>1125</v>
      </c>
      <c r="J261" s="95">
        <f>INDEX([1]角色基础!$AC$16:$CJ$45,MATCH($AA261,[1]角色基础!$J$16:$J$45,0),MATCH(J$2,[1]角色基础!$AC$12:$AF$12,0)+4*(INT(SUBSTITUTE(RIGHT($C261,2),"+",""))-1))</f>
        <v>45</v>
      </c>
      <c r="K261" s="95">
        <f>INDEX([1]角色基础!$AC$16:$CJ$45,MATCH($AA261,[1]角色基础!$J$16:$J$45,0),MATCH(K$2,[1]角色基础!$AC$12:$AF$12,0)+4*(INT(SUBSTITUTE(RIGHT($C261,2),"+",""))-1))</f>
        <v>23</v>
      </c>
      <c r="L261" s="95">
        <f>INDEX([1]角色基础!$AC$16:$CJ$45,MATCH($AA261,[1]角色基础!$J$16:$J$45,0),MATCH(L$2,[1]角色基础!$AC$12:$AF$12,0)+4*(INT(SUBSTITUTE(RIGHT($C261,2),"+",""))-1))</f>
        <v>23</v>
      </c>
      <c r="M261" s="93">
        <v>0</v>
      </c>
      <c r="N261" s="93">
        <v>0</v>
      </c>
      <c r="O261" s="93">
        <v>0</v>
      </c>
      <c r="P261" s="93">
        <v>0</v>
      </c>
      <c r="Q261" s="93">
        <v>3</v>
      </c>
      <c r="R261" s="96">
        <v>0</v>
      </c>
      <c r="S261" s="96">
        <v>6000</v>
      </c>
      <c r="T261" s="96">
        <v>240</v>
      </c>
      <c r="U261" s="96">
        <v>120</v>
      </c>
      <c r="V261" s="96">
        <v>120</v>
      </c>
      <c r="W261" s="97">
        <v>0</v>
      </c>
      <c r="X261" s="97">
        <v>0</v>
      </c>
      <c r="Y261" s="97">
        <v>0</v>
      </c>
      <c r="Z261" s="97">
        <v>0</v>
      </c>
      <c r="AA261" s="98" t="s">
        <v>180</v>
      </c>
    </row>
    <row r="262" spans="1:27" s="98" customFormat="1">
      <c r="A262" s="93">
        <v>6404</v>
      </c>
      <c r="B262" s="93" t="s">
        <v>43</v>
      </c>
      <c r="C262" s="93" t="s">
        <v>36</v>
      </c>
      <c r="D262" s="93">
        <v>10035</v>
      </c>
      <c r="E262" s="93">
        <v>140000</v>
      </c>
      <c r="F262" s="93" t="s">
        <v>156</v>
      </c>
      <c r="G262" s="93">
        <v>1</v>
      </c>
      <c r="H262" s="94">
        <v>0</v>
      </c>
      <c r="I262" s="95">
        <f>INDEX([1]角色基础!$AC$16:$CJ$45,MATCH($AA262,[1]角色基础!$J$16:$J$45,0),MATCH(I$2,[1]角色基础!$AC$12:$AF$12,0)+4*(INT(SUBSTITUTE(RIGHT($C262,2),"+",""))-1))</f>
        <v>1500</v>
      </c>
      <c r="J262" s="95">
        <f>INDEX([1]角色基础!$AC$16:$CJ$45,MATCH($AA262,[1]角色基础!$J$16:$J$45,0),MATCH(J$2,[1]角色基础!$AC$12:$AF$12,0)+4*(INT(SUBSTITUTE(RIGHT($C262,2),"+",""))-1))</f>
        <v>60</v>
      </c>
      <c r="K262" s="95">
        <f>INDEX([1]角色基础!$AC$16:$CJ$45,MATCH($AA262,[1]角色基础!$J$16:$J$45,0),MATCH(K$2,[1]角色基础!$AC$12:$AF$12,0)+4*(INT(SUBSTITUTE(RIGHT($C262,2),"+",""))-1))</f>
        <v>30</v>
      </c>
      <c r="L262" s="95">
        <f>INDEX([1]角色基础!$AC$16:$CJ$45,MATCH($AA262,[1]角色基础!$J$16:$J$45,0),MATCH(L$2,[1]角色基础!$AC$12:$AF$12,0)+4*(INT(SUBSTITUTE(RIGHT($C262,2),"+",""))-1))</f>
        <v>30</v>
      </c>
      <c r="M262" s="93">
        <v>0</v>
      </c>
      <c r="N262" s="93">
        <v>0</v>
      </c>
      <c r="O262" s="93">
        <v>0</v>
      </c>
      <c r="P262" s="93">
        <v>0</v>
      </c>
      <c r="Q262" s="93">
        <v>4</v>
      </c>
      <c r="R262" s="96">
        <v>0</v>
      </c>
      <c r="S262" s="96">
        <v>6000</v>
      </c>
      <c r="T262" s="96">
        <v>240</v>
      </c>
      <c r="U262" s="96">
        <v>120</v>
      </c>
      <c r="V262" s="96">
        <v>120</v>
      </c>
      <c r="W262" s="97">
        <v>0</v>
      </c>
      <c r="X262" s="97">
        <v>0</v>
      </c>
      <c r="Y262" s="97">
        <v>0</v>
      </c>
      <c r="Z262" s="97">
        <v>0</v>
      </c>
      <c r="AA262" s="98" t="s">
        <v>180</v>
      </c>
    </row>
    <row r="263" spans="1:27" s="98" customFormat="1">
      <c r="A263" s="93">
        <v>6405</v>
      </c>
      <c r="B263" s="93" t="s">
        <v>44</v>
      </c>
      <c r="C263" s="93" t="s">
        <v>37</v>
      </c>
      <c r="D263" s="93">
        <v>10045</v>
      </c>
      <c r="E263" s="93">
        <v>280000</v>
      </c>
      <c r="F263" s="93" t="s">
        <v>157</v>
      </c>
      <c r="G263" s="93">
        <v>1</v>
      </c>
      <c r="H263" s="94">
        <v>0</v>
      </c>
      <c r="I263" s="95">
        <f>INDEX([1]角色基础!$AC$16:$CJ$45,MATCH($AA263,[1]角色基础!$J$16:$J$45,0),MATCH(I$2,[1]角色基础!$AC$12:$AF$12,0)+4*(INT(SUBSTITUTE(RIGHT($C263,2),"+",""))-1))</f>
        <v>1875</v>
      </c>
      <c r="J263" s="95">
        <f>INDEX([1]角色基础!$AC$16:$CJ$45,MATCH($AA263,[1]角色基础!$J$16:$J$45,0),MATCH(J$2,[1]角色基础!$AC$12:$AF$12,0)+4*(INT(SUBSTITUTE(RIGHT($C263,2),"+",""))-1))</f>
        <v>75</v>
      </c>
      <c r="K263" s="95">
        <f>INDEX([1]角色基础!$AC$16:$CJ$45,MATCH($AA263,[1]角色基础!$J$16:$J$45,0),MATCH(K$2,[1]角色基础!$AC$12:$AF$12,0)+4*(INT(SUBSTITUTE(RIGHT($C263,2),"+",""))-1))</f>
        <v>38</v>
      </c>
      <c r="L263" s="95">
        <f>INDEX([1]角色基础!$AC$16:$CJ$45,MATCH($AA263,[1]角色基础!$J$16:$J$45,0),MATCH(L$2,[1]角色基础!$AC$12:$AF$12,0)+4*(INT(SUBSTITUTE(RIGHT($C263,2),"+",""))-1))</f>
        <v>38</v>
      </c>
      <c r="M263" s="93">
        <v>0</v>
      </c>
      <c r="N263" s="93">
        <v>0</v>
      </c>
      <c r="O263" s="93">
        <v>0</v>
      </c>
      <c r="P263" s="93">
        <v>0</v>
      </c>
      <c r="Q263" s="93">
        <v>5</v>
      </c>
      <c r="R263" s="96">
        <v>0</v>
      </c>
      <c r="S263" s="96">
        <v>6000</v>
      </c>
      <c r="T263" s="96">
        <v>240</v>
      </c>
      <c r="U263" s="96">
        <v>120</v>
      </c>
      <c r="V263" s="96">
        <v>120</v>
      </c>
      <c r="W263" s="97">
        <v>0</v>
      </c>
      <c r="X263" s="97">
        <v>0</v>
      </c>
      <c r="Y263" s="97">
        <v>0</v>
      </c>
      <c r="Z263" s="97">
        <v>0</v>
      </c>
      <c r="AA263" s="98" t="s">
        <v>180</v>
      </c>
    </row>
    <row r="264" spans="1:27" s="98" customFormat="1">
      <c r="A264" s="93">
        <v>6406</v>
      </c>
      <c r="B264" s="93" t="s">
        <v>45</v>
      </c>
      <c r="C264" s="93" t="s">
        <v>38</v>
      </c>
      <c r="D264" s="93">
        <v>10055</v>
      </c>
      <c r="E264" s="93">
        <v>420000</v>
      </c>
      <c r="F264" s="93" t="s">
        <v>158</v>
      </c>
      <c r="G264" s="93">
        <v>2</v>
      </c>
      <c r="H264" s="94">
        <v>0</v>
      </c>
      <c r="I264" s="95">
        <f>INDEX([1]角色基础!$AC$16:$CJ$45,MATCH($AA264,[1]角色基础!$J$16:$J$45,0),MATCH(I$2,[1]角色基础!$AC$12:$AF$12,0)+4*(INT(SUBSTITUTE(RIGHT($C264,2),"+",""))-1))</f>
        <v>2250</v>
      </c>
      <c r="J264" s="95">
        <f>INDEX([1]角色基础!$AC$16:$CJ$45,MATCH($AA264,[1]角色基础!$J$16:$J$45,0),MATCH(J$2,[1]角色基础!$AC$12:$AF$12,0)+4*(INT(SUBSTITUTE(RIGHT($C264,2),"+",""))-1))</f>
        <v>90</v>
      </c>
      <c r="K264" s="95">
        <f>INDEX([1]角色基础!$AC$16:$CJ$45,MATCH($AA264,[1]角色基础!$J$16:$J$45,0),MATCH(K$2,[1]角色基础!$AC$12:$AF$12,0)+4*(INT(SUBSTITUTE(RIGHT($C264,2),"+",""))-1))</f>
        <v>45</v>
      </c>
      <c r="L264" s="95">
        <f>INDEX([1]角色基础!$AC$16:$CJ$45,MATCH($AA264,[1]角色基础!$J$16:$J$45,0),MATCH(L$2,[1]角色基础!$AC$12:$AF$12,0)+4*(INT(SUBSTITUTE(RIGHT($C264,2),"+",""))-1))</f>
        <v>45</v>
      </c>
      <c r="M264" s="93">
        <v>0</v>
      </c>
      <c r="N264" s="93">
        <v>0</v>
      </c>
      <c r="O264" s="93">
        <v>0</v>
      </c>
      <c r="P264" s="93">
        <v>0</v>
      </c>
      <c r="Q264" s="93">
        <v>6</v>
      </c>
      <c r="R264" s="96">
        <v>0</v>
      </c>
      <c r="S264" s="96">
        <v>6000</v>
      </c>
      <c r="T264" s="96">
        <v>240</v>
      </c>
      <c r="U264" s="96">
        <v>120</v>
      </c>
      <c r="V264" s="96">
        <v>120</v>
      </c>
      <c r="W264" s="97">
        <v>0</v>
      </c>
      <c r="X264" s="97">
        <v>0</v>
      </c>
      <c r="Y264" s="97">
        <v>0</v>
      </c>
      <c r="Z264" s="97">
        <v>0</v>
      </c>
      <c r="AA264" s="98" t="s">
        <v>180</v>
      </c>
    </row>
    <row r="265" spans="1:27" s="98" customFormat="1">
      <c r="A265" s="93">
        <v>6407</v>
      </c>
      <c r="B265" s="93" t="s">
        <v>46</v>
      </c>
      <c r="C265" s="93" t="s">
        <v>39</v>
      </c>
      <c r="D265" s="93">
        <v>10065</v>
      </c>
      <c r="E265" s="93">
        <v>700000</v>
      </c>
      <c r="F265" s="93" t="s">
        <v>159</v>
      </c>
      <c r="G265" s="93">
        <v>2</v>
      </c>
      <c r="H265" s="94">
        <v>0</v>
      </c>
      <c r="I265" s="95">
        <f>INDEX([1]角色基础!$AC$16:$CJ$45,MATCH($AA265,[1]角色基础!$J$16:$J$45,0),MATCH(I$2,[1]角色基础!$AC$12:$AF$12,0)+4*(INT(SUBSTITUTE(RIGHT($C265,2),"+",""))-1))</f>
        <v>2625</v>
      </c>
      <c r="J265" s="95">
        <f>INDEX([1]角色基础!$AC$16:$CJ$45,MATCH($AA265,[1]角色基础!$J$16:$J$45,0),MATCH(J$2,[1]角色基础!$AC$12:$AF$12,0)+4*(INT(SUBSTITUTE(RIGHT($C265,2),"+",""))-1))</f>
        <v>105</v>
      </c>
      <c r="K265" s="95">
        <f>INDEX([1]角色基础!$AC$16:$CJ$45,MATCH($AA265,[1]角色基础!$J$16:$J$45,0),MATCH(K$2,[1]角色基础!$AC$12:$AF$12,0)+4*(INT(SUBSTITUTE(RIGHT($C265,2),"+",""))-1))</f>
        <v>53</v>
      </c>
      <c r="L265" s="95">
        <f>INDEX([1]角色基础!$AC$16:$CJ$45,MATCH($AA265,[1]角色基础!$J$16:$J$45,0),MATCH(L$2,[1]角色基础!$AC$12:$AF$12,0)+4*(INT(SUBSTITUTE(RIGHT($C265,2),"+",""))-1))</f>
        <v>53</v>
      </c>
      <c r="M265" s="93">
        <v>0</v>
      </c>
      <c r="N265" s="93">
        <v>0</v>
      </c>
      <c r="O265" s="93">
        <v>0</v>
      </c>
      <c r="P265" s="93">
        <v>0</v>
      </c>
      <c r="Q265" s="93">
        <v>7</v>
      </c>
      <c r="R265" s="96">
        <v>0</v>
      </c>
      <c r="S265" s="96">
        <v>6000</v>
      </c>
      <c r="T265" s="96">
        <v>240</v>
      </c>
      <c r="U265" s="96">
        <v>120</v>
      </c>
      <c r="V265" s="96">
        <v>120</v>
      </c>
      <c r="W265" s="97">
        <v>0</v>
      </c>
      <c r="X265" s="97">
        <v>0</v>
      </c>
      <c r="Y265" s="97">
        <v>0</v>
      </c>
      <c r="Z265" s="97">
        <v>0</v>
      </c>
      <c r="AA265" s="98" t="s">
        <v>180</v>
      </c>
    </row>
    <row r="266" spans="1:27" s="98" customFormat="1">
      <c r="A266" s="93">
        <v>6408</v>
      </c>
      <c r="B266" s="93" t="s">
        <v>47</v>
      </c>
      <c r="C266" s="93" t="s">
        <v>40</v>
      </c>
      <c r="D266" s="93">
        <v>10075</v>
      </c>
      <c r="E266" s="93">
        <v>1200000</v>
      </c>
      <c r="F266" s="93" t="s">
        <v>109</v>
      </c>
      <c r="G266" s="93">
        <v>4</v>
      </c>
      <c r="H266" s="94">
        <v>0</v>
      </c>
      <c r="I266" s="95">
        <f>INDEX([1]角色基础!$AC$16:$CJ$45,MATCH($AA266,[1]角色基础!$J$16:$J$45,0),MATCH(I$2,[1]角色基础!$AC$12:$AF$12,0)+4*(INT(SUBSTITUTE(RIGHT($C266,2),"+",""))-1))</f>
        <v>3000</v>
      </c>
      <c r="J266" s="95">
        <f>INDEX([1]角色基础!$AC$16:$CJ$45,MATCH($AA266,[1]角色基础!$J$16:$J$45,0),MATCH(J$2,[1]角色基础!$AC$12:$AF$12,0)+4*(INT(SUBSTITUTE(RIGHT($C266,2),"+",""))-1))</f>
        <v>120</v>
      </c>
      <c r="K266" s="95">
        <f>INDEX([1]角色基础!$AC$16:$CJ$45,MATCH($AA266,[1]角色基础!$J$16:$J$45,0),MATCH(K$2,[1]角色基础!$AC$12:$AF$12,0)+4*(INT(SUBSTITUTE(RIGHT($C266,2),"+",""))-1))</f>
        <v>60</v>
      </c>
      <c r="L266" s="95">
        <f>INDEX([1]角色基础!$AC$16:$CJ$45,MATCH($AA266,[1]角色基础!$J$16:$J$45,0),MATCH(L$2,[1]角色基础!$AC$12:$AF$12,0)+4*(INT(SUBSTITUTE(RIGHT($C266,2),"+",""))-1))</f>
        <v>60</v>
      </c>
      <c r="M266" s="93">
        <v>0</v>
      </c>
      <c r="N266" s="93">
        <v>0</v>
      </c>
      <c r="O266" s="93">
        <v>0</v>
      </c>
      <c r="P266" s="93">
        <v>0</v>
      </c>
      <c r="Q266" s="93">
        <v>8</v>
      </c>
      <c r="R266" s="96">
        <v>0</v>
      </c>
      <c r="S266" s="96">
        <v>6000</v>
      </c>
      <c r="T266" s="96">
        <v>240</v>
      </c>
      <c r="U266" s="96">
        <v>120</v>
      </c>
      <c r="V266" s="96">
        <v>120</v>
      </c>
      <c r="W266" s="97">
        <v>0</v>
      </c>
      <c r="X266" s="97">
        <v>0</v>
      </c>
      <c r="Y266" s="97">
        <v>0</v>
      </c>
      <c r="Z266" s="97">
        <v>0</v>
      </c>
      <c r="AA266" s="98" t="s">
        <v>180</v>
      </c>
    </row>
    <row r="267" spans="1:27" s="98" customFormat="1">
      <c r="A267" s="93">
        <v>6409</v>
      </c>
      <c r="B267" s="93" t="s">
        <v>69</v>
      </c>
      <c r="C267" s="93" t="s">
        <v>32</v>
      </c>
      <c r="D267" s="93">
        <v>10085</v>
      </c>
      <c r="E267" s="93">
        <v>1700000</v>
      </c>
      <c r="F267" s="93" t="s">
        <v>160</v>
      </c>
      <c r="G267" s="93">
        <v>6</v>
      </c>
      <c r="H267" s="94">
        <v>0</v>
      </c>
      <c r="I267" s="95">
        <f>INDEX([1]角色基础!$AC$16:$CJ$45,MATCH($AA267,[1]角色基础!$J$16:$J$45,0),MATCH(I$2,[1]角色基础!$AC$12:$AF$12,0)+4*(INT(SUBSTITUTE(RIGHT($C267,2),"+",""))-1))</f>
        <v>3375</v>
      </c>
      <c r="J267" s="95">
        <f>INDEX([1]角色基础!$AC$16:$CJ$45,MATCH($AA267,[1]角色基础!$J$16:$J$45,0),MATCH(J$2,[1]角色基础!$AC$12:$AF$12,0)+4*(INT(SUBSTITUTE(RIGHT($C267,2),"+",""))-1))</f>
        <v>135</v>
      </c>
      <c r="K267" s="95">
        <f>INDEX([1]角色基础!$AC$16:$CJ$45,MATCH($AA267,[1]角色基础!$J$16:$J$45,0),MATCH(K$2,[1]角色基础!$AC$12:$AF$12,0)+4*(INT(SUBSTITUTE(RIGHT($C267,2),"+",""))-1))</f>
        <v>68</v>
      </c>
      <c r="L267" s="95">
        <f>INDEX([1]角色基础!$AC$16:$CJ$45,MATCH($AA267,[1]角色基础!$J$16:$J$45,0),MATCH(L$2,[1]角色基础!$AC$12:$AF$12,0)+4*(INT(SUBSTITUTE(RIGHT($C267,2),"+",""))-1))</f>
        <v>68</v>
      </c>
      <c r="M267" s="93">
        <v>0</v>
      </c>
      <c r="N267" s="93">
        <v>0</v>
      </c>
      <c r="O267" s="93">
        <v>0</v>
      </c>
      <c r="P267" s="93">
        <v>0</v>
      </c>
      <c r="Q267" s="93">
        <v>9</v>
      </c>
      <c r="R267" s="96">
        <v>0</v>
      </c>
      <c r="S267" s="96">
        <v>6000</v>
      </c>
      <c r="T267" s="96">
        <v>240</v>
      </c>
      <c r="U267" s="96">
        <v>120</v>
      </c>
      <c r="V267" s="96">
        <v>120</v>
      </c>
      <c r="W267" s="97">
        <v>0</v>
      </c>
      <c r="X267" s="97">
        <v>0</v>
      </c>
      <c r="Y267" s="97">
        <v>0</v>
      </c>
      <c r="Z267" s="97">
        <v>0</v>
      </c>
      <c r="AA267" s="98" t="s">
        <v>180</v>
      </c>
    </row>
    <row r="268" spans="1:27" s="98" customFormat="1">
      <c r="A268" s="93">
        <v>6410</v>
      </c>
      <c r="B268" s="93" t="s">
        <v>71</v>
      </c>
      <c r="C268" s="93" t="s">
        <v>31</v>
      </c>
      <c r="D268" s="93">
        <v>10095</v>
      </c>
      <c r="E268" s="93">
        <v>2200000</v>
      </c>
      <c r="F268" s="93" t="s">
        <v>161</v>
      </c>
      <c r="G268" s="93">
        <v>8</v>
      </c>
      <c r="H268" s="94">
        <v>0</v>
      </c>
      <c r="I268" s="95">
        <f>INDEX([1]角色基础!$AC$16:$CJ$45,MATCH($AA268,[1]角色基础!$J$16:$J$45,0),MATCH(I$2,[1]角色基础!$AC$12:$AF$12,0)+4*(INT(SUBSTITUTE(RIGHT($C268,2),"+",""))-1))</f>
        <v>3750</v>
      </c>
      <c r="J268" s="95">
        <f>INDEX([1]角色基础!$AC$16:$CJ$45,MATCH($AA268,[1]角色基础!$J$16:$J$45,0),MATCH(J$2,[1]角色基础!$AC$12:$AF$12,0)+4*(INT(SUBSTITUTE(RIGHT($C268,2),"+",""))-1))</f>
        <v>150</v>
      </c>
      <c r="K268" s="95">
        <f>INDEX([1]角色基础!$AC$16:$CJ$45,MATCH($AA268,[1]角色基础!$J$16:$J$45,0),MATCH(K$2,[1]角色基础!$AC$12:$AF$12,0)+4*(INT(SUBSTITUTE(RIGHT($C268,2),"+",""))-1))</f>
        <v>75</v>
      </c>
      <c r="L268" s="95">
        <f>INDEX([1]角色基础!$AC$16:$CJ$45,MATCH($AA268,[1]角色基础!$J$16:$J$45,0),MATCH(L$2,[1]角色基础!$AC$12:$AF$12,0)+4*(INT(SUBSTITUTE(RIGHT($C268,2),"+",""))-1))</f>
        <v>75</v>
      </c>
      <c r="M268" s="93">
        <v>0</v>
      </c>
      <c r="N268" s="93">
        <v>0</v>
      </c>
      <c r="O268" s="93">
        <v>0</v>
      </c>
      <c r="P268" s="93">
        <v>0</v>
      </c>
      <c r="Q268" s="93">
        <v>10</v>
      </c>
      <c r="R268" s="96">
        <v>0</v>
      </c>
      <c r="S268" s="96">
        <v>6000</v>
      </c>
      <c r="T268" s="96">
        <v>240</v>
      </c>
      <c r="U268" s="96">
        <v>120</v>
      </c>
      <c r="V268" s="96">
        <v>120</v>
      </c>
      <c r="W268" s="97">
        <v>0</v>
      </c>
      <c r="X268" s="97">
        <v>0</v>
      </c>
      <c r="Y268" s="97">
        <v>0</v>
      </c>
      <c r="Z268" s="97">
        <v>0</v>
      </c>
      <c r="AA268" s="98" t="s">
        <v>180</v>
      </c>
    </row>
    <row r="269" spans="1:27" s="98" customFormat="1">
      <c r="A269" s="93">
        <v>6411</v>
      </c>
      <c r="B269" s="93" t="s">
        <v>73</v>
      </c>
      <c r="C269" s="93" t="s">
        <v>74</v>
      </c>
      <c r="D269" s="93">
        <v>10105</v>
      </c>
      <c r="E269" s="93">
        <v>2800000</v>
      </c>
      <c r="F269" s="93" t="s">
        <v>162</v>
      </c>
      <c r="G269" s="93">
        <v>10</v>
      </c>
      <c r="H269" s="94">
        <v>0</v>
      </c>
      <c r="I269" s="95">
        <f>INDEX([1]角色基础!$AC$16:$CJ$45,MATCH($AA269,[1]角色基础!$J$16:$J$45,0),MATCH(I$2,[1]角色基础!$AC$12:$AF$12,0)+4*(INT(SUBSTITUTE(RIGHT($C269,2),"+",""))-1))</f>
        <v>4125</v>
      </c>
      <c r="J269" s="95">
        <f>INDEX([1]角色基础!$AC$16:$CJ$45,MATCH($AA269,[1]角色基础!$J$16:$J$45,0),MATCH(J$2,[1]角色基础!$AC$12:$AF$12,0)+4*(INT(SUBSTITUTE(RIGHT($C269,2),"+",""))-1))</f>
        <v>165</v>
      </c>
      <c r="K269" s="95">
        <f>INDEX([1]角色基础!$AC$16:$CJ$45,MATCH($AA269,[1]角色基础!$J$16:$J$45,0),MATCH(K$2,[1]角色基础!$AC$12:$AF$12,0)+4*(INT(SUBSTITUTE(RIGHT($C269,2),"+",""))-1))</f>
        <v>83</v>
      </c>
      <c r="L269" s="95">
        <f>INDEX([1]角色基础!$AC$16:$CJ$45,MATCH($AA269,[1]角色基础!$J$16:$J$45,0),MATCH(L$2,[1]角色基础!$AC$12:$AF$12,0)+4*(INT(SUBSTITUTE(RIGHT($C269,2),"+",""))-1))</f>
        <v>83</v>
      </c>
      <c r="M269" s="93">
        <v>0</v>
      </c>
      <c r="N269" s="93">
        <v>0</v>
      </c>
      <c r="O269" s="93">
        <v>0</v>
      </c>
      <c r="P269" s="93">
        <v>0</v>
      </c>
      <c r="Q269" s="93">
        <v>11</v>
      </c>
      <c r="R269" s="96">
        <v>0</v>
      </c>
      <c r="S269" s="96">
        <v>6000</v>
      </c>
      <c r="T269" s="96">
        <v>240</v>
      </c>
      <c r="U269" s="96">
        <v>120</v>
      </c>
      <c r="V269" s="96">
        <v>120</v>
      </c>
      <c r="W269" s="97">
        <v>0</v>
      </c>
      <c r="X269" s="97">
        <v>0</v>
      </c>
      <c r="Y269" s="97">
        <v>0</v>
      </c>
      <c r="Z269" s="97">
        <v>0</v>
      </c>
      <c r="AA269" s="98" t="s">
        <v>180</v>
      </c>
    </row>
    <row r="270" spans="1:27" s="98" customFormat="1">
      <c r="A270" s="93">
        <v>6412</v>
      </c>
      <c r="B270" s="93" t="s">
        <v>75</v>
      </c>
      <c r="C270" s="93" t="s">
        <v>76</v>
      </c>
      <c r="D270" s="93">
        <v>10115</v>
      </c>
      <c r="E270" s="93">
        <v>3500000</v>
      </c>
      <c r="F270" s="93" t="s">
        <v>163</v>
      </c>
      <c r="G270" s="93">
        <v>12</v>
      </c>
      <c r="H270" s="94">
        <v>0</v>
      </c>
      <c r="I270" s="95">
        <f>INDEX([1]角色基础!$AC$16:$CJ$45,MATCH($AA270,[1]角色基础!$J$16:$J$45,0),MATCH(I$2,[1]角色基础!$AC$12:$AF$12,0)+4*(INT(SUBSTITUTE(RIGHT($C270,2),"+",""))-1))</f>
        <v>4500</v>
      </c>
      <c r="J270" s="95">
        <f>INDEX([1]角色基础!$AC$16:$CJ$45,MATCH($AA270,[1]角色基础!$J$16:$J$45,0),MATCH(J$2,[1]角色基础!$AC$12:$AF$12,0)+4*(INT(SUBSTITUTE(RIGHT($C270,2),"+",""))-1))</f>
        <v>180</v>
      </c>
      <c r="K270" s="95">
        <f>INDEX([1]角色基础!$AC$16:$CJ$45,MATCH($AA270,[1]角色基础!$J$16:$J$45,0),MATCH(K$2,[1]角色基础!$AC$12:$AF$12,0)+4*(INT(SUBSTITUTE(RIGHT($C270,2),"+",""))-1))</f>
        <v>90</v>
      </c>
      <c r="L270" s="95">
        <f>INDEX([1]角色基础!$AC$16:$CJ$45,MATCH($AA270,[1]角色基础!$J$16:$J$45,0),MATCH(L$2,[1]角色基础!$AC$12:$AF$12,0)+4*(INT(SUBSTITUTE(RIGHT($C270,2),"+",""))-1))</f>
        <v>90</v>
      </c>
      <c r="M270" s="93">
        <v>0</v>
      </c>
      <c r="N270" s="93">
        <v>0</v>
      </c>
      <c r="O270" s="93">
        <v>0</v>
      </c>
      <c r="P270" s="93">
        <v>0</v>
      </c>
      <c r="Q270" s="93">
        <v>12</v>
      </c>
      <c r="R270" s="96">
        <v>0</v>
      </c>
      <c r="S270" s="96">
        <v>6000</v>
      </c>
      <c r="T270" s="96">
        <v>240</v>
      </c>
      <c r="U270" s="96">
        <v>120</v>
      </c>
      <c r="V270" s="96">
        <v>120</v>
      </c>
      <c r="W270" s="97">
        <v>0</v>
      </c>
      <c r="X270" s="97">
        <v>0</v>
      </c>
      <c r="Y270" s="97">
        <v>0</v>
      </c>
      <c r="Z270" s="97">
        <v>0</v>
      </c>
      <c r="AA270" s="98" t="s">
        <v>180</v>
      </c>
    </row>
    <row r="271" spans="1:27" s="98" customFormat="1">
      <c r="A271" s="93">
        <v>6413</v>
      </c>
      <c r="B271" s="93" t="s">
        <v>182</v>
      </c>
      <c r="C271" s="93" t="s">
        <v>183</v>
      </c>
      <c r="D271" s="93">
        <v>10125</v>
      </c>
      <c r="E271" s="93">
        <v>4200000</v>
      </c>
      <c r="F271" s="93" t="s">
        <v>200</v>
      </c>
      <c r="G271" s="93">
        <v>14</v>
      </c>
      <c r="H271" s="94">
        <v>0</v>
      </c>
      <c r="I271" s="95">
        <f>INDEX([1]角色基础!$AC$16:$CJ$45,MATCH($AA271,[1]角色基础!$J$16:$J$45,0),MATCH(I$2,[1]角色基础!$AC$12:$AF$12,0)+4*(INT(SUBSTITUTE(RIGHT($C271,2),"+",""))-1))</f>
        <v>4875</v>
      </c>
      <c r="J271" s="95">
        <f>INDEX([1]角色基础!$AC$16:$CJ$45,MATCH($AA271,[1]角色基础!$J$16:$J$45,0),MATCH(J$2,[1]角色基础!$AC$12:$AF$12,0)+4*(INT(SUBSTITUTE(RIGHT($C271,2),"+",""))-1))</f>
        <v>195</v>
      </c>
      <c r="K271" s="95">
        <f>INDEX([1]角色基础!$AC$16:$CJ$45,MATCH($AA271,[1]角色基础!$J$16:$J$45,0),MATCH(K$2,[1]角色基础!$AC$12:$AF$12,0)+4*(INT(SUBSTITUTE(RIGHT($C271,2),"+",""))-1))</f>
        <v>98</v>
      </c>
      <c r="L271" s="95">
        <f>INDEX([1]角色基础!$AC$16:$CJ$45,MATCH($AA271,[1]角色基础!$J$16:$J$45,0),MATCH(L$2,[1]角色基础!$AC$12:$AF$12,0)+4*(INT(SUBSTITUTE(RIGHT($C271,2),"+",""))-1))</f>
        <v>98</v>
      </c>
      <c r="M271" s="93">
        <v>0</v>
      </c>
      <c r="N271" s="93">
        <v>0</v>
      </c>
      <c r="O271" s="93">
        <v>0</v>
      </c>
      <c r="P271" s="93">
        <v>0</v>
      </c>
      <c r="Q271" s="93">
        <v>13</v>
      </c>
      <c r="R271" s="96">
        <v>0</v>
      </c>
      <c r="S271" s="96">
        <v>6000</v>
      </c>
      <c r="T271" s="96">
        <v>240</v>
      </c>
      <c r="U271" s="96">
        <v>120</v>
      </c>
      <c r="V271" s="96">
        <v>120</v>
      </c>
      <c r="W271" s="97">
        <v>0</v>
      </c>
      <c r="X271" s="97">
        <v>0</v>
      </c>
      <c r="Y271" s="97">
        <v>0</v>
      </c>
      <c r="Z271" s="97">
        <v>0</v>
      </c>
      <c r="AA271" s="98" t="s">
        <v>180</v>
      </c>
    </row>
    <row r="272" spans="1:27" s="98" customFormat="1">
      <c r="A272" s="93">
        <v>6414</v>
      </c>
      <c r="B272" s="93" t="s">
        <v>184</v>
      </c>
      <c r="C272" s="93" t="s">
        <v>185</v>
      </c>
      <c r="D272" s="93">
        <v>10135</v>
      </c>
      <c r="E272" s="93">
        <v>5600000</v>
      </c>
      <c r="F272" s="93" t="s">
        <v>202</v>
      </c>
      <c r="G272" s="93">
        <v>16</v>
      </c>
      <c r="H272" s="94">
        <v>0</v>
      </c>
      <c r="I272" s="95">
        <f>INDEX([1]角色基础!$AC$16:$CJ$45,MATCH($AA272,[1]角色基础!$J$16:$J$45,0),MATCH(I$2,[1]角色基础!$AC$12:$AF$12,0)+4*(INT(SUBSTITUTE(RIGHT($C272,2),"+",""))-1))</f>
        <v>5250</v>
      </c>
      <c r="J272" s="95">
        <f>INDEX([1]角色基础!$AC$16:$CJ$45,MATCH($AA272,[1]角色基础!$J$16:$J$45,0),MATCH(J$2,[1]角色基础!$AC$12:$AF$12,0)+4*(INT(SUBSTITUTE(RIGHT($C272,2),"+",""))-1))</f>
        <v>210</v>
      </c>
      <c r="K272" s="95">
        <f>INDEX([1]角色基础!$AC$16:$CJ$45,MATCH($AA272,[1]角色基础!$J$16:$J$45,0),MATCH(K$2,[1]角色基础!$AC$12:$AF$12,0)+4*(INT(SUBSTITUTE(RIGHT($C272,2),"+",""))-1))</f>
        <v>105</v>
      </c>
      <c r="L272" s="95">
        <f>INDEX([1]角色基础!$AC$16:$CJ$45,MATCH($AA272,[1]角色基础!$J$16:$J$45,0),MATCH(L$2,[1]角色基础!$AC$12:$AF$12,0)+4*(INT(SUBSTITUTE(RIGHT($C272,2),"+",""))-1))</f>
        <v>105</v>
      </c>
      <c r="M272" s="93">
        <v>0</v>
      </c>
      <c r="N272" s="93">
        <v>0</v>
      </c>
      <c r="O272" s="93">
        <v>0</v>
      </c>
      <c r="P272" s="93">
        <v>0</v>
      </c>
      <c r="Q272" s="93">
        <v>14</v>
      </c>
      <c r="R272" s="96">
        <v>0</v>
      </c>
      <c r="S272" s="96">
        <v>6000</v>
      </c>
      <c r="T272" s="96">
        <v>240</v>
      </c>
      <c r="U272" s="96">
        <v>120</v>
      </c>
      <c r="V272" s="96">
        <v>120</v>
      </c>
      <c r="W272" s="97">
        <v>0</v>
      </c>
      <c r="X272" s="97">
        <v>0</v>
      </c>
      <c r="Y272" s="97">
        <v>0</v>
      </c>
      <c r="Z272" s="97">
        <v>0</v>
      </c>
      <c r="AA272" s="98" t="s">
        <v>180</v>
      </c>
    </row>
    <row r="273" spans="1:27" s="98" customFormat="1">
      <c r="A273" s="93">
        <v>6415</v>
      </c>
      <c r="B273" s="93" t="s">
        <v>186</v>
      </c>
      <c r="C273" s="93" t="s">
        <v>187</v>
      </c>
      <c r="D273" s="93">
        <v>10145</v>
      </c>
      <c r="E273" s="93">
        <v>7000000</v>
      </c>
      <c r="F273" s="93" t="s">
        <v>204</v>
      </c>
      <c r="G273" s="93">
        <v>20</v>
      </c>
      <c r="H273" s="94">
        <v>0</v>
      </c>
      <c r="I273" s="95">
        <f>INDEX([1]角色基础!$AC$16:$CJ$45,MATCH($AA273,[1]角色基础!$J$16:$J$45,0),MATCH(I$2,[1]角色基础!$AC$12:$AF$12,0)+4*(INT(SUBSTITUTE(RIGHT($C273,2),"+",""))-1))</f>
        <v>5625</v>
      </c>
      <c r="J273" s="95">
        <f>INDEX([1]角色基础!$AC$16:$CJ$45,MATCH($AA273,[1]角色基础!$J$16:$J$45,0),MATCH(J$2,[1]角色基础!$AC$12:$AF$12,0)+4*(INT(SUBSTITUTE(RIGHT($C273,2),"+",""))-1))</f>
        <v>225</v>
      </c>
      <c r="K273" s="95">
        <f>INDEX([1]角色基础!$AC$16:$CJ$45,MATCH($AA273,[1]角色基础!$J$16:$J$45,0),MATCH(K$2,[1]角色基础!$AC$12:$AF$12,0)+4*(INT(SUBSTITUTE(RIGHT($C273,2),"+",""))-1))</f>
        <v>113</v>
      </c>
      <c r="L273" s="95">
        <f>INDEX([1]角色基础!$AC$16:$CJ$45,MATCH($AA273,[1]角色基础!$J$16:$J$45,0),MATCH(L$2,[1]角色基础!$AC$12:$AF$12,0)+4*(INT(SUBSTITUTE(RIGHT($C273,2),"+",""))-1))</f>
        <v>113</v>
      </c>
      <c r="M273" s="93">
        <v>0</v>
      </c>
      <c r="N273" s="93">
        <v>0</v>
      </c>
      <c r="O273" s="93">
        <v>0</v>
      </c>
      <c r="P273" s="93">
        <v>0</v>
      </c>
      <c r="Q273" s="93">
        <v>15</v>
      </c>
      <c r="R273" s="96">
        <v>0</v>
      </c>
      <c r="S273" s="96">
        <v>6000</v>
      </c>
      <c r="T273" s="96">
        <v>240</v>
      </c>
      <c r="U273" s="96">
        <v>120</v>
      </c>
      <c r="V273" s="96">
        <v>120</v>
      </c>
      <c r="W273" s="97">
        <v>0</v>
      </c>
      <c r="X273" s="97">
        <v>0</v>
      </c>
      <c r="Y273" s="97">
        <v>0</v>
      </c>
      <c r="Z273" s="97">
        <v>0</v>
      </c>
      <c r="AA273" s="98" t="s">
        <v>180</v>
      </c>
    </row>
    <row r="274" spans="1:27" s="83" customFormat="1">
      <c r="A274" s="78">
        <v>6501</v>
      </c>
      <c r="B274" s="78" t="s">
        <v>121</v>
      </c>
      <c r="C274" s="78" t="s">
        <v>33</v>
      </c>
      <c r="D274" s="78">
        <v>10001</v>
      </c>
      <c r="E274" s="78">
        <v>8000</v>
      </c>
      <c r="F274" s="78" t="s">
        <v>153</v>
      </c>
      <c r="G274" s="78">
        <v>0</v>
      </c>
      <c r="H274" s="79">
        <v>0</v>
      </c>
      <c r="I274" s="80">
        <f>INDEX([1]角色基础!$AC$16:$CJ$45,MATCH($AA274,[1]角色基础!$J$16:$J$45,0),MATCH(I$2,[1]角色基础!$AC$12:$AF$12,0)+4*(INT(SUBSTITUTE(RIGHT($C274,2),"+",""))-1))</f>
        <v>375</v>
      </c>
      <c r="J274" s="80">
        <f>INDEX([1]角色基础!$AC$16:$CJ$45,MATCH($AA274,[1]角色基础!$J$16:$J$45,0),MATCH(J$2,[1]角色基础!$AC$12:$AF$12,0)+4*(INT(SUBSTITUTE(RIGHT($C274,2),"+",""))-1))</f>
        <v>15</v>
      </c>
      <c r="K274" s="80">
        <f>INDEX([1]角色基础!$AC$16:$CJ$45,MATCH($AA274,[1]角色基础!$J$16:$J$45,0),MATCH(K$2,[1]角色基础!$AC$12:$AF$12,0)+4*(INT(SUBSTITUTE(RIGHT($C274,2),"+",""))-1))</f>
        <v>8</v>
      </c>
      <c r="L274" s="80">
        <f>INDEX([1]角色基础!$AC$16:$CJ$45,MATCH($AA274,[1]角色基础!$J$16:$J$45,0),MATCH(L$2,[1]角色基础!$AC$12:$AF$12,0)+4*(INT(SUBSTITUTE(RIGHT($C274,2),"+",""))-1))</f>
        <v>8</v>
      </c>
      <c r="M274" s="78">
        <v>0</v>
      </c>
      <c r="N274" s="78">
        <v>0</v>
      </c>
      <c r="O274" s="78">
        <v>0</v>
      </c>
      <c r="P274" s="78">
        <v>0</v>
      </c>
      <c r="Q274" s="78">
        <v>1</v>
      </c>
      <c r="R274" s="81">
        <v>0</v>
      </c>
      <c r="S274" s="81">
        <v>6000</v>
      </c>
      <c r="T274" s="81">
        <v>240</v>
      </c>
      <c r="U274" s="81">
        <v>120</v>
      </c>
      <c r="V274" s="81">
        <v>120</v>
      </c>
      <c r="W274" s="82">
        <v>0</v>
      </c>
      <c r="X274" s="82">
        <v>0</v>
      </c>
      <c r="Y274" s="82">
        <v>0</v>
      </c>
      <c r="Z274" s="82">
        <v>0</v>
      </c>
      <c r="AA274" s="83" t="s">
        <v>181</v>
      </c>
    </row>
    <row r="275" spans="1:27" s="83" customFormat="1">
      <c r="A275" s="78">
        <v>6502</v>
      </c>
      <c r="B275" s="78" t="s">
        <v>41</v>
      </c>
      <c r="C275" s="78" t="s">
        <v>34</v>
      </c>
      <c r="D275" s="78">
        <v>10015</v>
      </c>
      <c r="E275" s="78">
        <v>28000</v>
      </c>
      <c r="F275" s="78" t="s">
        <v>154</v>
      </c>
      <c r="G275" s="78">
        <v>0</v>
      </c>
      <c r="H275" s="79">
        <v>0</v>
      </c>
      <c r="I275" s="80">
        <f>INDEX([1]角色基础!$AC$16:$CJ$45,MATCH($AA275,[1]角色基础!$J$16:$J$45,0),MATCH(I$2,[1]角色基础!$AC$12:$AF$12,0)+4*(INT(SUBSTITUTE(RIGHT($C275,2),"+",""))-1))</f>
        <v>750</v>
      </c>
      <c r="J275" s="80">
        <f>INDEX([1]角色基础!$AC$16:$CJ$45,MATCH($AA275,[1]角色基础!$J$16:$J$45,0),MATCH(J$2,[1]角色基础!$AC$12:$AF$12,0)+4*(INT(SUBSTITUTE(RIGHT($C275,2),"+",""))-1))</f>
        <v>30</v>
      </c>
      <c r="K275" s="80">
        <f>INDEX([1]角色基础!$AC$16:$CJ$45,MATCH($AA275,[1]角色基础!$J$16:$J$45,0),MATCH(K$2,[1]角色基础!$AC$12:$AF$12,0)+4*(INT(SUBSTITUTE(RIGHT($C275,2),"+",""))-1))</f>
        <v>15</v>
      </c>
      <c r="L275" s="80">
        <f>INDEX([1]角色基础!$AC$16:$CJ$45,MATCH($AA275,[1]角色基础!$J$16:$J$45,0),MATCH(L$2,[1]角色基础!$AC$12:$AF$12,0)+4*(INT(SUBSTITUTE(RIGHT($C275,2),"+",""))-1))</f>
        <v>15</v>
      </c>
      <c r="M275" s="78">
        <v>0</v>
      </c>
      <c r="N275" s="78">
        <v>0</v>
      </c>
      <c r="O275" s="78">
        <v>0</v>
      </c>
      <c r="P275" s="78">
        <v>0</v>
      </c>
      <c r="Q275" s="78">
        <v>2</v>
      </c>
      <c r="R275" s="81">
        <v>0</v>
      </c>
      <c r="S275" s="81">
        <v>6000</v>
      </c>
      <c r="T275" s="81">
        <v>240</v>
      </c>
      <c r="U275" s="81">
        <v>120</v>
      </c>
      <c r="V275" s="81">
        <v>120</v>
      </c>
      <c r="W275" s="82">
        <v>0</v>
      </c>
      <c r="X275" s="82">
        <v>0</v>
      </c>
      <c r="Y275" s="82">
        <v>0</v>
      </c>
      <c r="Z275" s="82">
        <v>0</v>
      </c>
      <c r="AA275" s="83" t="s">
        <v>181</v>
      </c>
    </row>
    <row r="276" spans="1:27" s="83" customFormat="1">
      <c r="A276" s="78">
        <v>6503</v>
      </c>
      <c r="B276" s="78" t="s">
        <v>42</v>
      </c>
      <c r="C276" s="78" t="s">
        <v>35</v>
      </c>
      <c r="D276" s="78">
        <v>10025</v>
      </c>
      <c r="E276" s="78">
        <v>70000</v>
      </c>
      <c r="F276" s="78" t="s">
        <v>155</v>
      </c>
      <c r="G276" s="78">
        <v>0</v>
      </c>
      <c r="H276" s="79">
        <v>0</v>
      </c>
      <c r="I276" s="80">
        <f>INDEX([1]角色基础!$AC$16:$CJ$45,MATCH($AA276,[1]角色基础!$J$16:$J$45,0),MATCH(I$2,[1]角色基础!$AC$12:$AF$12,0)+4*(INT(SUBSTITUTE(RIGHT($C276,2),"+",""))-1))</f>
        <v>1125</v>
      </c>
      <c r="J276" s="80">
        <f>INDEX([1]角色基础!$AC$16:$CJ$45,MATCH($AA276,[1]角色基础!$J$16:$J$45,0),MATCH(J$2,[1]角色基础!$AC$12:$AF$12,0)+4*(INT(SUBSTITUTE(RIGHT($C276,2),"+",""))-1))</f>
        <v>45</v>
      </c>
      <c r="K276" s="80">
        <f>INDEX([1]角色基础!$AC$16:$CJ$45,MATCH($AA276,[1]角色基础!$J$16:$J$45,0),MATCH(K$2,[1]角色基础!$AC$12:$AF$12,0)+4*(INT(SUBSTITUTE(RIGHT($C276,2),"+",""))-1))</f>
        <v>23</v>
      </c>
      <c r="L276" s="80">
        <f>INDEX([1]角色基础!$AC$16:$CJ$45,MATCH($AA276,[1]角色基础!$J$16:$J$45,0),MATCH(L$2,[1]角色基础!$AC$12:$AF$12,0)+4*(INT(SUBSTITUTE(RIGHT($C276,2),"+",""))-1))</f>
        <v>23</v>
      </c>
      <c r="M276" s="78">
        <v>0</v>
      </c>
      <c r="N276" s="78">
        <v>0</v>
      </c>
      <c r="O276" s="78">
        <v>0</v>
      </c>
      <c r="P276" s="78">
        <v>0</v>
      </c>
      <c r="Q276" s="78">
        <v>3</v>
      </c>
      <c r="R276" s="81">
        <v>0</v>
      </c>
      <c r="S276" s="81">
        <v>6000</v>
      </c>
      <c r="T276" s="81">
        <v>240</v>
      </c>
      <c r="U276" s="81">
        <v>120</v>
      </c>
      <c r="V276" s="81">
        <v>120</v>
      </c>
      <c r="W276" s="82">
        <v>0</v>
      </c>
      <c r="X276" s="82">
        <v>0</v>
      </c>
      <c r="Y276" s="82">
        <v>0</v>
      </c>
      <c r="Z276" s="82">
        <v>0</v>
      </c>
      <c r="AA276" s="83" t="s">
        <v>181</v>
      </c>
    </row>
    <row r="277" spans="1:27" s="83" customFormat="1">
      <c r="A277" s="78">
        <v>6504</v>
      </c>
      <c r="B277" s="78" t="s">
        <v>43</v>
      </c>
      <c r="C277" s="78" t="s">
        <v>36</v>
      </c>
      <c r="D277" s="78">
        <v>10035</v>
      </c>
      <c r="E277" s="78">
        <v>140000</v>
      </c>
      <c r="F277" s="78" t="s">
        <v>156</v>
      </c>
      <c r="G277" s="78">
        <v>1</v>
      </c>
      <c r="H277" s="79">
        <v>0</v>
      </c>
      <c r="I277" s="80">
        <f>INDEX([1]角色基础!$AC$16:$CJ$45,MATCH($AA277,[1]角色基础!$J$16:$J$45,0),MATCH(I$2,[1]角色基础!$AC$12:$AF$12,0)+4*(INT(SUBSTITUTE(RIGHT($C277,2),"+",""))-1))</f>
        <v>1500</v>
      </c>
      <c r="J277" s="80">
        <f>INDEX([1]角色基础!$AC$16:$CJ$45,MATCH($AA277,[1]角色基础!$J$16:$J$45,0),MATCH(J$2,[1]角色基础!$AC$12:$AF$12,0)+4*(INT(SUBSTITUTE(RIGHT($C277,2),"+",""))-1))</f>
        <v>60</v>
      </c>
      <c r="K277" s="80">
        <f>INDEX([1]角色基础!$AC$16:$CJ$45,MATCH($AA277,[1]角色基础!$J$16:$J$45,0),MATCH(K$2,[1]角色基础!$AC$12:$AF$12,0)+4*(INT(SUBSTITUTE(RIGHT($C277,2),"+",""))-1))</f>
        <v>30</v>
      </c>
      <c r="L277" s="80">
        <f>INDEX([1]角色基础!$AC$16:$CJ$45,MATCH($AA277,[1]角色基础!$J$16:$J$45,0),MATCH(L$2,[1]角色基础!$AC$12:$AF$12,0)+4*(INT(SUBSTITUTE(RIGHT($C277,2),"+",""))-1))</f>
        <v>30</v>
      </c>
      <c r="M277" s="78">
        <v>0</v>
      </c>
      <c r="N277" s="78">
        <v>0</v>
      </c>
      <c r="O277" s="78">
        <v>0</v>
      </c>
      <c r="P277" s="78">
        <v>0</v>
      </c>
      <c r="Q277" s="78">
        <v>4</v>
      </c>
      <c r="R277" s="81">
        <v>0</v>
      </c>
      <c r="S277" s="81">
        <v>6000</v>
      </c>
      <c r="T277" s="81">
        <v>240</v>
      </c>
      <c r="U277" s="81">
        <v>120</v>
      </c>
      <c r="V277" s="81">
        <v>120</v>
      </c>
      <c r="W277" s="82">
        <v>0</v>
      </c>
      <c r="X277" s="82">
        <v>0</v>
      </c>
      <c r="Y277" s="82">
        <v>0</v>
      </c>
      <c r="Z277" s="82">
        <v>0</v>
      </c>
      <c r="AA277" s="83" t="s">
        <v>181</v>
      </c>
    </row>
    <row r="278" spans="1:27" s="83" customFormat="1">
      <c r="A278" s="78">
        <v>6505</v>
      </c>
      <c r="B278" s="78" t="s">
        <v>44</v>
      </c>
      <c r="C278" s="78" t="s">
        <v>37</v>
      </c>
      <c r="D278" s="78">
        <v>10045</v>
      </c>
      <c r="E278" s="78">
        <v>280000</v>
      </c>
      <c r="F278" s="78" t="s">
        <v>157</v>
      </c>
      <c r="G278" s="78">
        <v>1</v>
      </c>
      <c r="H278" s="79">
        <v>0</v>
      </c>
      <c r="I278" s="80">
        <f>INDEX([1]角色基础!$AC$16:$CJ$45,MATCH($AA278,[1]角色基础!$J$16:$J$45,0),MATCH(I$2,[1]角色基础!$AC$12:$AF$12,0)+4*(INT(SUBSTITUTE(RIGHT($C278,2),"+",""))-1))</f>
        <v>1875</v>
      </c>
      <c r="J278" s="80">
        <f>INDEX([1]角色基础!$AC$16:$CJ$45,MATCH($AA278,[1]角色基础!$J$16:$J$45,0),MATCH(J$2,[1]角色基础!$AC$12:$AF$12,0)+4*(INT(SUBSTITUTE(RIGHT($C278,2),"+",""))-1))</f>
        <v>75</v>
      </c>
      <c r="K278" s="80">
        <f>INDEX([1]角色基础!$AC$16:$CJ$45,MATCH($AA278,[1]角色基础!$J$16:$J$45,0),MATCH(K$2,[1]角色基础!$AC$12:$AF$12,0)+4*(INT(SUBSTITUTE(RIGHT($C278,2),"+",""))-1))</f>
        <v>38</v>
      </c>
      <c r="L278" s="80">
        <f>INDEX([1]角色基础!$AC$16:$CJ$45,MATCH($AA278,[1]角色基础!$J$16:$J$45,0),MATCH(L$2,[1]角色基础!$AC$12:$AF$12,0)+4*(INT(SUBSTITUTE(RIGHT($C278,2),"+",""))-1))</f>
        <v>38</v>
      </c>
      <c r="M278" s="78">
        <v>0</v>
      </c>
      <c r="N278" s="78">
        <v>0</v>
      </c>
      <c r="O278" s="78">
        <v>0</v>
      </c>
      <c r="P278" s="78">
        <v>0</v>
      </c>
      <c r="Q278" s="78">
        <v>5</v>
      </c>
      <c r="R278" s="81">
        <v>0</v>
      </c>
      <c r="S278" s="81">
        <v>6000</v>
      </c>
      <c r="T278" s="81">
        <v>240</v>
      </c>
      <c r="U278" s="81">
        <v>120</v>
      </c>
      <c r="V278" s="81">
        <v>120</v>
      </c>
      <c r="W278" s="82">
        <v>0</v>
      </c>
      <c r="X278" s="82">
        <v>0</v>
      </c>
      <c r="Y278" s="82">
        <v>0</v>
      </c>
      <c r="Z278" s="82">
        <v>0</v>
      </c>
      <c r="AA278" s="83" t="s">
        <v>181</v>
      </c>
    </row>
    <row r="279" spans="1:27" s="83" customFormat="1">
      <c r="A279" s="78">
        <v>6506</v>
      </c>
      <c r="B279" s="78" t="s">
        <v>45</v>
      </c>
      <c r="C279" s="78" t="s">
        <v>38</v>
      </c>
      <c r="D279" s="78">
        <v>10055</v>
      </c>
      <c r="E279" s="78">
        <v>420000</v>
      </c>
      <c r="F279" s="78" t="s">
        <v>158</v>
      </c>
      <c r="G279" s="78">
        <v>2</v>
      </c>
      <c r="H279" s="79">
        <v>0</v>
      </c>
      <c r="I279" s="80">
        <f>INDEX([1]角色基础!$AC$16:$CJ$45,MATCH($AA279,[1]角色基础!$J$16:$J$45,0),MATCH(I$2,[1]角色基础!$AC$12:$AF$12,0)+4*(INT(SUBSTITUTE(RIGHT($C279,2),"+",""))-1))</f>
        <v>2250</v>
      </c>
      <c r="J279" s="80">
        <f>INDEX([1]角色基础!$AC$16:$CJ$45,MATCH($AA279,[1]角色基础!$J$16:$J$45,0),MATCH(J$2,[1]角色基础!$AC$12:$AF$12,0)+4*(INT(SUBSTITUTE(RIGHT($C279,2),"+",""))-1))</f>
        <v>90</v>
      </c>
      <c r="K279" s="80">
        <f>INDEX([1]角色基础!$AC$16:$CJ$45,MATCH($AA279,[1]角色基础!$J$16:$J$45,0),MATCH(K$2,[1]角色基础!$AC$12:$AF$12,0)+4*(INT(SUBSTITUTE(RIGHT($C279,2),"+",""))-1))</f>
        <v>45</v>
      </c>
      <c r="L279" s="80">
        <f>INDEX([1]角色基础!$AC$16:$CJ$45,MATCH($AA279,[1]角色基础!$J$16:$J$45,0),MATCH(L$2,[1]角色基础!$AC$12:$AF$12,0)+4*(INT(SUBSTITUTE(RIGHT($C279,2),"+",""))-1))</f>
        <v>45</v>
      </c>
      <c r="M279" s="78">
        <v>0</v>
      </c>
      <c r="N279" s="78">
        <v>0</v>
      </c>
      <c r="O279" s="78">
        <v>0</v>
      </c>
      <c r="P279" s="78">
        <v>0</v>
      </c>
      <c r="Q279" s="78">
        <v>6</v>
      </c>
      <c r="R279" s="81">
        <v>0</v>
      </c>
      <c r="S279" s="81">
        <v>6000</v>
      </c>
      <c r="T279" s="81">
        <v>240</v>
      </c>
      <c r="U279" s="81">
        <v>120</v>
      </c>
      <c r="V279" s="81">
        <v>120</v>
      </c>
      <c r="W279" s="82">
        <v>0</v>
      </c>
      <c r="X279" s="82">
        <v>0</v>
      </c>
      <c r="Y279" s="82">
        <v>0</v>
      </c>
      <c r="Z279" s="82">
        <v>0</v>
      </c>
      <c r="AA279" s="83" t="s">
        <v>181</v>
      </c>
    </row>
    <row r="280" spans="1:27" s="83" customFormat="1">
      <c r="A280" s="78">
        <v>6507</v>
      </c>
      <c r="B280" s="78" t="s">
        <v>46</v>
      </c>
      <c r="C280" s="78" t="s">
        <v>39</v>
      </c>
      <c r="D280" s="78">
        <v>10065</v>
      </c>
      <c r="E280" s="78">
        <v>700000</v>
      </c>
      <c r="F280" s="78" t="s">
        <v>159</v>
      </c>
      <c r="G280" s="78">
        <v>2</v>
      </c>
      <c r="H280" s="79">
        <v>0</v>
      </c>
      <c r="I280" s="80">
        <f>INDEX([1]角色基础!$AC$16:$CJ$45,MATCH($AA280,[1]角色基础!$J$16:$J$45,0),MATCH(I$2,[1]角色基础!$AC$12:$AF$12,0)+4*(INT(SUBSTITUTE(RIGHT($C280,2),"+",""))-1))</f>
        <v>2625</v>
      </c>
      <c r="J280" s="80">
        <f>INDEX([1]角色基础!$AC$16:$CJ$45,MATCH($AA280,[1]角色基础!$J$16:$J$45,0),MATCH(J$2,[1]角色基础!$AC$12:$AF$12,0)+4*(INT(SUBSTITUTE(RIGHT($C280,2),"+",""))-1))</f>
        <v>105</v>
      </c>
      <c r="K280" s="80">
        <f>INDEX([1]角色基础!$AC$16:$CJ$45,MATCH($AA280,[1]角色基础!$J$16:$J$45,0),MATCH(K$2,[1]角色基础!$AC$12:$AF$12,0)+4*(INT(SUBSTITUTE(RIGHT($C280,2),"+",""))-1))</f>
        <v>53</v>
      </c>
      <c r="L280" s="80">
        <f>INDEX([1]角色基础!$AC$16:$CJ$45,MATCH($AA280,[1]角色基础!$J$16:$J$45,0),MATCH(L$2,[1]角色基础!$AC$12:$AF$12,0)+4*(INT(SUBSTITUTE(RIGHT($C280,2),"+",""))-1))</f>
        <v>53</v>
      </c>
      <c r="M280" s="78">
        <v>0</v>
      </c>
      <c r="N280" s="78">
        <v>0</v>
      </c>
      <c r="O280" s="78">
        <v>0</v>
      </c>
      <c r="P280" s="78">
        <v>0</v>
      </c>
      <c r="Q280" s="78">
        <v>7</v>
      </c>
      <c r="R280" s="81">
        <v>0</v>
      </c>
      <c r="S280" s="81">
        <v>6000</v>
      </c>
      <c r="T280" s="81">
        <v>240</v>
      </c>
      <c r="U280" s="81">
        <v>120</v>
      </c>
      <c r="V280" s="81">
        <v>120</v>
      </c>
      <c r="W280" s="82">
        <v>0</v>
      </c>
      <c r="X280" s="82">
        <v>0</v>
      </c>
      <c r="Y280" s="82">
        <v>0</v>
      </c>
      <c r="Z280" s="82">
        <v>0</v>
      </c>
      <c r="AA280" s="83" t="s">
        <v>181</v>
      </c>
    </row>
    <row r="281" spans="1:27" s="83" customFormat="1">
      <c r="A281" s="78">
        <v>6508</v>
      </c>
      <c r="B281" s="78" t="s">
        <v>47</v>
      </c>
      <c r="C281" s="78" t="s">
        <v>40</v>
      </c>
      <c r="D281" s="78">
        <v>10075</v>
      </c>
      <c r="E281" s="78">
        <v>1200000</v>
      </c>
      <c r="F281" s="78" t="s">
        <v>109</v>
      </c>
      <c r="G281" s="78">
        <v>4</v>
      </c>
      <c r="H281" s="79">
        <v>0</v>
      </c>
      <c r="I281" s="80">
        <f>INDEX([1]角色基础!$AC$16:$CJ$45,MATCH($AA281,[1]角色基础!$J$16:$J$45,0),MATCH(I$2,[1]角色基础!$AC$12:$AF$12,0)+4*(INT(SUBSTITUTE(RIGHT($C281,2),"+",""))-1))</f>
        <v>3000</v>
      </c>
      <c r="J281" s="80">
        <f>INDEX([1]角色基础!$AC$16:$CJ$45,MATCH($AA281,[1]角色基础!$J$16:$J$45,0),MATCH(J$2,[1]角色基础!$AC$12:$AF$12,0)+4*(INT(SUBSTITUTE(RIGHT($C281,2),"+",""))-1))</f>
        <v>120</v>
      </c>
      <c r="K281" s="80">
        <f>INDEX([1]角色基础!$AC$16:$CJ$45,MATCH($AA281,[1]角色基础!$J$16:$J$45,0),MATCH(K$2,[1]角色基础!$AC$12:$AF$12,0)+4*(INT(SUBSTITUTE(RIGHT($C281,2),"+",""))-1))</f>
        <v>60</v>
      </c>
      <c r="L281" s="80">
        <f>INDEX([1]角色基础!$AC$16:$CJ$45,MATCH($AA281,[1]角色基础!$J$16:$J$45,0),MATCH(L$2,[1]角色基础!$AC$12:$AF$12,0)+4*(INT(SUBSTITUTE(RIGHT($C281,2),"+",""))-1))</f>
        <v>60</v>
      </c>
      <c r="M281" s="78">
        <v>0</v>
      </c>
      <c r="N281" s="78">
        <v>0</v>
      </c>
      <c r="O281" s="78">
        <v>0</v>
      </c>
      <c r="P281" s="78">
        <v>0</v>
      </c>
      <c r="Q281" s="78">
        <v>8</v>
      </c>
      <c r="R281" s="81">
        <v>0</v>
      </c>
      <c r="S281" s="81">
        <v>6000</v>
      </c>
      <c r="T281" s="81">
        <v>240</v>
      </c>
      <c r="U281" s="81">
        <v>120</v>
      </c>
      <c r="V281" s="81">
        <v>120</v>
      </c>
      <c r="W281" s="82">
        <v>0</v>
      </c>
      <c r="X281" s="82">
        <v>0</v>
      </c>
      <c r="Y281" s="82">
        <v>0</v>
      </c>
      <c r="Z281" s="82">
        <v>0</v>
      </c>
      <c r="AA281" s="83" t="s">
        <v>181</v>
      </c>
    </row>
    <row r="282" spans="1:27" s="83" customFormat="1">
      <c r="A282" s="78">
        <v>6509</v>
      </c>
      <c r="B282" s="78" t="s">
        <v>69</v>
      </c>
      <c r="C282" s="78" t="s">
        <v>32</v>
      </c>
      <c r="D282" s="78">
        <v>10085</v>
      </c>
      <c r="E282" s="78">
        <v>1700000</v>
      </c>
      <c r="F282" s="78" t="s">
        <v>160</v>
      </c>
      <c r="G282" s="78">
        <v>6</v>
      </c>
      <c r="H282" s="79">
        <v>0</v>
      </c>
      <c r="I282" s="80">
        <f>INDEX([1]角色基础!$AC$16:$CJ$45,MATCH($AA282,[1]角色基础!$J$16:$J$45,0),MATCH(I$2,[1]角色基础!$AC$12:$AF$12,0)+4*(INT(SUBSTITUTE(RIGHT($C282,2),"+",""))-1))</f>
        <v>3375</v>
      </c>
      <c r="J282" s="80">
        <f>INDEX([1]角色基础!$AC$16:$CJ$45,MATCH($AA282,[1]角色基础!$J$16:$J$45,0),MATCH(J$2,[1]角色基础!$AC$12:$AF$12,0)+4*(INT(SUBSTITUTE(RIGHT($C282,2),"+",""))-1))</f>
        <v>135</v>
      </c>
      <c r="K282" s="80">
        <f>INDEX([1]角色基础!$AC$16:$CJ$45,MATCH($AA282,[1]角色基础!$J$16:$J$45,0),MATCH(K$2,[1]角色基础!$AC$12:$AF$12,0)+4*(INT(SUBSTITUTE(RIGHT($C282,2),"+",""))-1))</f>
        <v>68</v>
      </c>
      <c r="L282" s="80">
        <f>INDEX([1]角色基础!$AC$16:$CJ$45,MATCH($AA282,[1]角色基础!$J$16:$J$45,0),MATCH(L$2,[1]角色基础!$AC$12:$AF$12,0)+4*(INT(SUBSTITUTE(RIGHT($C282,2),"+",""))-1))</f>
        <v>68</v>
      </c>
      <c r="M282" s="78">
        <v>0</v>
      </c>
      <c r="N282" s="78">
        <v>0</v>
      </c>
      <c r="O282" s="78">
        <v>0</v>
      </c>
      <c r="P282" s="78">
        <v>0</v>
      </c>
      <c r="Q282" s="78">
        <v>9</v>
      </c>
      <c r="R282" s="81">
        <v>0</v>
      </c>
      <c r="S282" s="81">
        <v>6000</v>
      </c>
      <c r="T282" s="81">
        <v>240</v>
      </c>
      <c r="U282" s="81">
        <v>120</v>
      </c>
      <c r="V282" s="81">
        <v>120</v>
      </c>
      <c r="W282" s="82">
        <v>0</v>
      </c>
      <c r="X282" s="82">
        <v>0</v>
      </c>
      <c r="Y282" s="82">
        <v>0</v>
      </c>
      <c r="Z282" s="82">
        <v>0</v>
      </c>
      <c r="AA282" s="83" t="s">
        <v>181</v>
      </c>
    </row>
    <row r="283" spans="1:27" s="83" customFormat="1">
      <c r="A283" s="78">
        <v>6510</v>
      </c>
      <c r="B283" s="78" t="s">
        <v>71</v>
      </c>
      <c r="C283" s="78" t="s">
        <v>31</v>
      </c>
      <c r="D283" s="78">
        <v>10095</v>
      </c>
      <c r="E283" s="78">
        <v>2200000</v>
      </c>
      <c r="F283" s="78" t="s">
        <v>161</v>
      </c>
      <c r="G283" s="78">
        <v>8</v>
      </c>
      <c r="H283" s="79">
        <v>0</v>
      </c>
      <c r="I283" s="80">
        <f>INDEX([1]角色基础!$AC$16:$CJ$45,MATCH($AA283,[1]角色基础!$J$16:$J$45,0),MATCH(I$2,[1]角色基础!$AC$12:$AF$12,0)+4*(INT(SUBSTITUTE(RIGHT($C283,2),"+",""))-1))</f>
        <v>3750</v>
      </c>
      <c r="J283" s="80">
        <f>INDEX([1]角色基础!$AC$16:$CJ$45,MATCH($AA283,[1]角色基础!$J$16:$J$45,0),MATCH(J$2,[1]角色基础!$AC$12:$AF$12,0)+4*(INT(SUBSTITUTE(RIGHT($C283,2),"+",""))-1))</f>
        <v>150</v>
      </c>
      <c r="K283" s="80">
        <f>INDEX([1]角色基础!$AC$16:$CJ$45,MATCH($AA283,[1]角色基础!$J$16:$J$45,0),MATCH(K$2,[1]角色基础!$AC$12:$AF$12,0)+4*(INT(SUBSTITUTE(RIGHT($C283,2),"+",""))-1))</f>
        <v>75</v>
      </c>
      <c r="L283" s="80">
        <f>INDEX([1]角色基础!$AC$16:$CJ$45,MATCH($AA283,[1]角色基础!$J$16:$J$45,0),MATCH(L$2,[1]角色基础!$AC$12:$AF$12,0)+4*(INT(SUBSTITUTE(RIGHT($C283,2),"+",""))-1))</f>
        <v>75</v>
      </c>
      <c r="M283" s="78">
        <v>0</v>
      </c>
      <c r="N283" s="78">
        <v>0</v>
      </c>
      <c r="O283" s="78">
        <v>0</v>
      </c>
      <c r="P283" s="78">
        <v>0</v>
      </c>
      <c r="Q283" s="78">
        <v>10</v>
      </c>
      <c r="R283" s="81">
        <v>0</v>
      </c>
      <c r="S283" s="81">
        <v>6000</v>
      </c>
      <c r="T283" s="81">
        <v>240</v>
      </c>
      <c r="U283" s="81">
        <v>120</v>
      </c>
      <c r="V283" s="81">
        <v>120</v>
      </c>
      <c r="W283" s="82">
        <v>0</v>
      </c>
      <c r="X283" s="82">
        <v>0</v>
      </c>
      <c r="Y283" s="82">
        <v>0</v>
      </c>
      <c r="Z283" s="82">
        <v>0</v>
      </c>
      <c r="AA283" s="83" t="s">
        <v>181</v>
      </c>
    </row>
    <row r="284" spans="1:27" s="83" customFormat="1">
      <c r="A284" s="78">
        <v>6511</v>
      </c>
      <c r="B284" s="78" t="s">
        <v>73</v>
      </c>
      <c r="C284" s="78" t="s">
        <v>74</v>
      </c>
      <c r="D284" s="78">
        <v>10105</v>
      </c>
      <c r="E284" s="78">
        <v>2800000</v>
      </c>
      <c r="F284" s="78" t="s">
        <v>162</v>
      </c>
      <c r="G284" s="78">
        <v>10</v>
      </c>
      <c r="H284" s="79">
        <v>0</v>
      </c>
      <c r="I284" s="80">
        <f>INDEX([1]角色基础!$AC$16:$CJ$45,MATCH($AA284,[1]角色基础!$J$16:$J$45,0),MATCH(I$2,[1]角色基础!$AC$12:$AF$12,0)+4*(INT(SUBSTITUTE(RIGHT($C284,2),"+",""))-1))</f>
        <v>4125</v>
      </c>
      <c r="J284" s="80">
        <f>INDEX([1]角色基础!$AC$16:$CJ$45,MATCH($AA284,[1]角色基础!$J$16:$J$45,0),MATCH(J$2,[1]角色基础!$AC$12:$AF$12,0)+4*(INT(SUBSTITUTE(RIGHT($C284,2),"+",""))-1))</f>
        <v>165</v>
      </c>
      <c r="K284" s="80">
        <f>INDEX([1]角色基础!$AC$16:$CJ$45,MATCH($AA284,[1]角色基础!$J$16:$J$45,0),MATCH(K$2,[1]角色基础!$AC$12:$AF$12,0)+4*(INT(SUBSTITUTE(RIGHT($C284,2),"+",""))-1))</f>
        <v>83</v>
      </c>
      <c r="L284" s="80">
        <f>INDEX([1]角色基础!$AC$16:$CJ$45,MATCH($AA284,[1]角色基础!$J$16:$J$45,0),MATCH(L$2,[1]角色基础!$AC$12:$AF$12,0)+4*(INT(SUBSTITUTE(RIGHT($C284,2),"+",""))-1))</f>
        <v>83</v>
      </c>
      <c r="M284" s="78">
        <v>0</v>
      </c>
      <c r="N284" s="78">
        <v>0</v>
      </c>
      <c r="O284" s="78">
        <v>0</v>
      </c>
      <c r="P284" s="78">
        <v>0</v>
      </c>
      <c r="Q284" s="78">
        <v>11</v>
      </c>
      <c r="R284" s="81">
        <v>0</v>
      </c>
      <c r="S284" s="81">
        <v>6000</v>
      </c>
      <c r="T284" s="81">
        <v>240</v>
      </c>
      <c r="U284" s="81">
        <v>120</v>
      </c>
      <c r="V284" s="81">
        <v>120</v>
      </c>
      <c r="W284" s="82">
        <v>0</v>
      </c>
      <c r="X284" s="82">
        <v>0</v>
      </c>
      <c r="Y284" s="82">
        <v>0</v>
      </c>
      <c r="Z284" s="82">
        <v>0</v>
      </c>
      <c r="AA284" s="83" t="s">
        <v>181</v>
      </c>
    </row>
    <row r="285" spans="1:27" s="83" customFormat="1">
      <c r="A285" s="78">
        <v>6512</v>
      </c>
      <c r="B285" s="78" t="s">
        <v>75</v>
      </c>
      <c r="C285" s="78" t="s">
        <v>76</v>
      </c>
      <c r="D285" s="78">
        <v>10115</v>
      </c>
      <c r="E285" s="78">
        <v>3500000</v>
      </c>
      <c r="F285" s="78" t="s">
        <v>163</v>
      </c>
      <c r="G285" s="78">
        <v>12</v>
      </c>
      <c r="H285" s="79">
        <v>0</v>
      </c>
      <c r="I285" s="80">
        <f>INDEX([1]角色基础!$AC$16:$CJ$45,MATCH($AA285,[1]角色基础!$J$16:$J$45,0),MATCH(I$2,[1]角色基础!$AC$12:$AF$12,0)+4*(INT(SUBSTITUTE(RIGHT($C285,2),"+",""))-1))</f>
        <v>4500</v>
      </c>
      <c r="J285" s="80">
        <f>INDEX([1]角色基础!$AC$16:$CJ$45,MATCH($AA285,[1]角色基础!$J$16:$J$45,0),MATCH(J$2,[1]角色基础!$AC$12:$AF$12,0)+4*(INT(SUBSTITUTE(RIGHT($C285,2),"+",""))-1))</f>
        <v>180</v>
      </c>
      <c r="K285" s="80">
        <f>INDEX([1]角色基础!$AC$16:$CJ$45,MATCH($AA285,[1]角色基础!$J$16:$J$45,0),MATCH(K$2,[1]角色基础!$AC$12:$AF$12,0)+4*(INT(SUBSTITUTE(RIGHT($C285,2),"+",""))-1))</f>
        <v>90</v>
      </c>
      <c r="L285" s="80">
        <f>INDEX([1]角色基础!$AC$16:$CJ$45,MATCH($AA285,[1]角色基础!$J$16:$J$45,0),MATCH(L$2,[1]角色基础!$AC$12:$AF$12,0)+4*(INT(SUBSTITUTE(RIGHT($C285,2),"+",""))-1))</f>
        <v>90</v>
      </c>
      <c r="M285" s="78">
        <v>0</v>
      </c>
      <c r="N285" s="78">
        <v>0</v>
      </c>
      <c r="O285" s="78">
        <v>0</v>
      </c>
      <c r="P285" s="78">
        <v>0</v>
      </c>
      <c r="Q285" s="78">
        <v>12</v>
      </c>
      <c r="R285" s="81">
        <v>0</v>
      </c>
      <c r="S285" s="81">
        <v>6000</v>
      </c>
      <c r="T285" s="81">
        <v>240</v>
      </c>
      <c r="U285" s="81">
        <v>120</v>
      </c>
      <c r="V285" s="81">
        <v>120</v>
      </c>
      <c r="W285" s="82">
        <v>0</v>
      </c>
      <c r="X285" s="82">
        <v>0</v>
      </c>
      <c r="Y285" s="82">
        <v>0</v>
      </c>
      <c r="Z285" s="82">
        <v>0</v>
      </c>
      <c r="AA285" s="83" t="s">
        <v>181</v>
      </c>
    </row>
    <row r="286" spans="1:27" s="83" customFormat="1">
      <c r="A286" s="78">
        <v>6513</v>
      </c>
      <c r="B286" s="78" t="s">
        <v>182</v>
      </c>
      <c r="C286" s="78" t="s">
        <v>183</v>
      </c>
      <c r="D286" s="78">
        <v>10125</v>
      </c>
      <c r="E286" s="78">
        <v>4200000</v>
      </c>
      <c r="F286" s="78" t="s">
        <v>200</v>
      </c>
      <c r="G286" s="78">
        <v>14</v>
      </c>
      <c r="H286" s="79">
        <v>0</v>
      </c>
      <c r="I286" s="80">
        <f>INDEX([1]角色基础!$AC$16:$CJ$45,MATCH($AA286,[1]角色基础!$J$16:$J$45,0),MATCH(I$2,[1]角色基础!$AC$12:$AF$12,0)+4*(INT(SUBSTITUTE(RIGHT($C286,2),"+",""))-1))</f>
        <v>4875</v>
      </c>
      <c r="J286" s="80">
        <f>INDEX([1]角色基础!$AC$16:$CJ$45,MATCH($AA286,[1]角色基础!$J$16:$J$45,0),MATCH(J$2,[1]角色基础!$AC$12:$AF$12,0)+4*(INT(SUBSTITUTE(RIGHT($C286,2),"+",""))-1))</f>
        <v>195</v>
      </c>
      <c r="K286" s="80">
        <f>INDEX([1]角色基础!$AC$16:$CJ$45,MATCH($AA286,[1]角色基础!$J$16:$J$45,0),MATCH(K$2,[1]角色基础!$AC$12:$AF$12,0)+4*(INT(SUBSTITUTE(RIGHT($C286,2),"+",""))-1))</f>
        <v>98</v>
      </c>
      <c r="L286" s="80">
        <f>INDEX([1]角色基础!$AC$16:$CJ$45,MATCH($AA286,[1]角色基础!$J$16:$J$45,0),MATCH(L$2,[1]角色基础!$AC$12:$AF$12,0)+4*(INT(SUBSTITUTE(RIGHT($C286,2),"+",""))-1))</f>
        <v>98</v>
      </c>
      <c r="M286" s="78">
        <v>0</v>
      </c>
      <c r="N286" s="78">
        <v>0</v>
      </c>
      <c r="O286" s="78">
        <v>0</v>
      </c>
      <c r="P286" s="78">
        <v>0</v>
      </c>
      <c r="Q286" s="78">
        <v>13</v>
      </c>
      <c r="R286" s="81">
        <v>0</v>
      </c>
      <c r="S286" s="81">
        <v>6000</v>
      </c>
      <c r="T286" s="81">
        <v>240</v>
      </c>
      <c r="U286" s="81">
        <v>120</v>
      </c>
      <c r="V286" s="81">
        <v>120</v>
      </c>
      <c r="W286" s="82">
        <v>0</v>
      </c>
      <c r="X286" s="82">
        <v>0</v>
      </c>
      <c r="Y286" s="82">
        <v>0</v>
      </c>
      <c r="Z286" s="82">
        <v>0</v>
      </c>
      <c r="AA286" s="83" t="s">
        <v>181</v>
      </c>
    </row>
    <row r="287" spans="1:27" s="83" customFormat="1">
      <c r="A287" s="78">
        <v>6514</v>
      </c>
      <c r="B287" s="78" t="s">
        <v>184</v>
      </c>
      <c r="C287" s="78" t="s">
        <v>185</v>
      </c>
      <c r="D287" s="78">
        <v>10135</v>
      </c>
      <c r="E287" s="78">
        <v>5600000</v>
      </c>
      <c r="F287" s="78" t="s">
        <v>202</v>
      </c>
      <c r="G287" s="78">
        <v>16</v>
      </c>
      <c r="H287" s="79">
        <v>0</v>
      </c>
      <c r="I287" s="80">
        <f>INDEX([1]角色基础!$AC$16:$CJ$45,MATCH($AA287,[1]角色基础!$J$16:$J$45,0),MATCH(I$2,[1]角色基础!$AC$12:$AF$12,0)+4*(INT(SUBSTITUTE(RIGHT($C287,2),"+",""))-1))</f>
        <v>5250</v>
      </c>
      <c r="J287" s="80">
        <f>INDEX([1]角色基础!$AC$16:$CJ$45,MATCH($AA287,[1]角色基础!$J$16:$J$45,0),MATCH(J$2,[1]角色基础!$AC$12:$AF$12,0)+4*(INT(SUBSTITUTE(RIGHT($C287,2),"+",""))-1))</f>
        <v>210</v>
      </c>
      <c r="K287" s="80">
        <f>INDEX([1]角色基础!$AC$16:$CJ$45,MATCH($AA287,[1]角色基础!$J$16:$J$45,0),MATCH(K$2,[1]角色基础!$AC$12:$AF$12,0)+4*(INT(SUBSTITUTE(RIGHT($C287,2),"+",""))-1))</f>
        <v>105</v>
      </c>
      <c r="L287" s="80">
        <f>INDEX([1]角色基础!$AC$16:$CJ$45,MATCH($AA287,[1]角色基础!$J$16:$J$45,0),MATCH(L$2,[1]角色基础!$AC$12:$AF$12,0)+4*(INT(SUBSTITUTE(RIGHT($C287,2),"+",""))-1))</f>
        <v>105</v>
      </c>
      <c r="M287" s="78">
        <v>0</v>
      </c>
      <c r="N287" s="78">
        <v>0</v>
      </c>
      <c r="O287" s="78">
        <v>0</v>
      </c>
      <c r="P287" s="78">
        <v>0</v>
      </c>
      <c r="Q287" s="78">
        <v>14</v>
      </c>
      <c r="R287" s="81">
        <v>0</v>
      </c>
      <c r="S287" s="81">
        <v>6000</v>
      </c>
      <c r="T287" s="81">
        <v>240</v>
      </c>
      <c r="U287" s="81">
        <v>120</v>
      </c>
      <c r="V287" s="81">
        <v>120</v>
      </c>
      <c r="W287" s="82">
        <v>0</v>
      </c>
      <c r="X287" s="82">
        <v>0</v>
      </c>
      <c r="Y287" s="82">
        <v>0</v>
      </c>
      <c r="Z287" s="82">
        <v>0</v>
      </c>
      <c r="AA287" s="83" t="s">
        <v>181</v>
      </c>
    </row>
    <row r="288" spans="1:27" s="83" customFormat="1">
      <c r="A288" s="78">
        <v>6515</v>
      </c>
      <c r="B288" s="78" t="s">
        <v>186</v>
      </c>
      <c r="C288" s="78" t="s">
        <v>187</v>
      </c>
      <c r="D288" s="78">
        <v>10145</v>
      </c>
      <c r="E288" s="78">
        <v>7000000</v>
      </c>
      <c r="F288" s="78" t="s">
        <v>204</v>
      </c>
      <c r="G288" s="78">
        <v>20</v>
      </c>
      <c r="H288" s="79">
        <v>0</v>
      </c>
      <c r="I288" s="80">
        <f>INDEX([1]角色基础!$AC$16:$CJ$45,MATCH($AA288,[1]角色基础!$J$16:$J$45,0),MATCH(I$2,[1]角色基础!$AC$12:$AF$12,0)+4*(INT(SUBSTITUTE(RIGHT($C288,2),"+",""))-1))</f>
        <v>5625</v>
      </c>
      <c r="J288" s="80">
        <f>INDEX([1]角色基础!$AC$16:$CJ$45,MATCH($AA288,[1]角色基础!$J$16:$J$45,0),MATCH(J$2,[1]角色基础!$AC$12:$AF$12,0)+4*(INT(SUBSTITUTE(RIGHT($C288,2),"+",""))-1))</f>
        <v>225</v>
      </c>
      <c r="K288" s="80">
        <f>INDEX([1]角色基础!$AC$16:$CJ$45,MATCH($AA288,[1]角色基础!$J$16:$J$45,0),MATCH(K$2,[1]角色基础!$AC$12:$AF$12,0)+4*(INT(SUBSTITUTE(RIGHT($C288,2),"+",""))-1))</f>
        <v>113</v>
      </c>
      <c r="L288" s="80">
        <f>INDEX([1]角色基础!$AC$16:$CJ$45,MATCH($AA288,[1]角色基础!$J$16:$J$45,0),MATCH(L$2,[1]角色基础!$AC$12:$AF$12,0)+4*(INT(SUBSTITUTE(RIGHT($C288,2),"+",""))-1))</f>
        <v>113</v>
      </c>
      <c r="M288" s="78">
        <v>0</v>
      </c>
      <c r="N288" s="78">
        <v>0</v>
      </c>
      <c r="O288" s="78">
        <v>0</v>
      </c>
      <c r="P288" s="78">
        <v>0</v>
      </c>
      <c r="Q288" s="78">
        <v>15</v>
      </c>
      <c r="R288" s="81">
        <v>0</v>
      </c>
      <c r="S288" s="81">
        <v>6000</v>
      </c>
      <c r="T288" s="81">
        <v>240</v>
      </c>
      <c r="U288" s="81">
        <v>120</v>
      </c>
      <c r="V288" s="81">
        <v>120</v>
      </c>
      <c r="W288" s="82">
        <v>0</v>
      </c>
      <c r="X288" s="82">
        <v>0</v>
      </c>
      <c r="Y288" s="82">
        <v>0</v>
      </c>
      <c r="Z288" s="82">
        <v>0</v>
      </c>
      <c r="AA288" s="83" t="s">
        <v>181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Sheet7</vt:lpstr>
      <vt:lpstr>Sheet2</vt:lpstr>
      <vt:lpstr>Sheet3</vt:lpstr>
      <vt:lpstr>Sheet4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Administrator</cp:lastModifiedBy>
  <dcterms:created xsi:type="dcterms:W3CDTF">2006-09-16T00:00:00Z</dcterms:created>
  <dcterms:modified xsi:type="dcterms:W3CDTF">2018-03-10T11:51:50Z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