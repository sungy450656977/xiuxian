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225" windowWidth="14805" windowHeight="7890"/>
  </bookViews>
  <sheets>
    <sheet name="Sheet1" sheetId="6" r:id="rId1"/>
  </sheets>
  <functionGroups/>
  <definedNames>
    <definedName name="_xlnm._FilterDatabase" localSheetId="0" hidden="1">Sheet1!$A$1:$J$15</definedName>
  </definedNames>
  <calcPr calcId="124519"/>
</workbook>
</file>

<file path=xl/calcChain.xml><?xml version="1.0" encoding="utf-8"?>
<calcChain xmlns="http://schemas.openxmlformats.org/spreadsheetml/2006/main">
  <c r="U5" i="6"/>
  <c r="V5" s="1"/>
  <c r="U6"/>
  <c r="V6" s="1"/>
  <c r="U7"/>
  <c r="V7" s="1"/>
  <c r="U8"/>
  <c r="V8" s="1"/>
  <c r="U9"/>
  <c r="V9" s="1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19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3"/>
  <c r="V33" s="1"/>
  <c r="U34"/>
  <c r="V34" s="1"/>
  <c r="U35"/>
  <c r="V35" s="1"/>
  <c r="U36"/>
  <c r="V36" s="1"/>
  <c r="U37"/>
  <c r="V37" s="1"/>
  <c r="U38"/>
  <c r="V38" s="1"/>
  <c r="U39"/>
  <c r="V39" s="1"/>
  <c r="U40"/>
  <c r="V40" s="1"/>
  <c r="U41"/>
  <c r="V41" s="1"/>
  <c r="U42"/>
  <c r="V42" s="1"/>
  <c r="U43"/>
  <c r="V43" s="1"/>
  <c r="U44"/>
  <c r="V44" s="1"/>
  <c r="U45"/>
  <c r="V45" s="1"/>
  <c r="U46"/>
  <c r="V46" s="1"/>
  <c r="U47"/>
  <c r="V47" s="1"/>
  <c r="U48"/>
  <c r="V48" s="1"/>
  <c r="U49"/>
  <c r="V49" s="1"/>
  <c r="U50"/>
  <c r="V50" s="1"/>
  <c r="U51"/>
  <c r="V51" s="1"/>
  <c r="U52"/>
  <c r="V52" s="1"/>
  <c r="U53"/>
  <c r="V53" s="1"/>
  <c r="U54"/>
  <c r="V54" s="1"/>
  <c r="U55"/>
  <c r="V55" s="1"/>
  <c r="U56"/>
  <c r="V56" s="1"/>
  <c r="U57"/>
  <c r="V57" s="1"/>
  <c r="U58"/>
  <c r="V58" s="1"/>
  <c r="U59"/>
  <c r="V59" s="1"/>
  <c r="U60"/>
  <c r="V60" s="1"/>
  <c r="U61"/>
  <c r="V61" s="1"/>
  <c r="U62"/>
  <c r="V62" s="1"/>
  <c r="U63"/>
  <c r="V63" s="1"/>
  <c r="U64"/>
  <c r="V64" s="1"/>
  <c r="U65"/>
  <c r="V65" s="1"/>
  <c r="U66"/>
  <c r="V66" s="1"/>
  <c r="U67"/>
  <c r="V67" s="1"/>
  <c r="U68"/>
  <c r="V68" s="1"/>
  <c r="U69"/>
  <c r="V69" s="1"/>
  <c r="U70"/>
  <c r="V70" s="1"/>
  <c r="U71"/>
  <c r="V71" s="1"/>
  <c r="U72"/>
  <c r="V72" s="1"/>
  <c r="U73"/>
  <c r="V73" s="1"/>
  <c r="U74"/>
  <c r="V74" s="1"/>
  <c r="U75"/>
  <c r="V75" s="1"/>
  <c r="U76"/>
  <c r="V76" s="1"/>
  <c r="U77"/>
  <c r="V77" s="1"/>
  <c r="U78"/>
  <c r="V78" s="1"/>
  <c r="U79"/>
  <c r="V79" s="1"/>
  <c r="U80"/>
  <c r="V80" s="1"/>
  <c r="U81"/>
  <c r="V81" s="1"/>
  <c r="U82"/>
  <c r="V82" s="1"/>
  <c r="U83"/>
  <c r="V83" s="1"/>
  <c r="U84"/>
  <c r="V84" s="1"/>
  <c r="U85"/>
  <c r="V85" s="1"/>
  <c r="U86"/>
  <c r="V86" s="1"/>
  <c r="U87"/>
  <c r="V87" s="1"/>
  <c r="U88"/>
  <c r="V88" s="1"/>
  <c r="U89"/>
  <c r="V89" s="1"/>
  <c r="U90"/>
  <c r="V90" s="1"/>
  <c r="U91"/>
  <c r="V91" s="1"/>
  <c r="U92"/>
  <c r="V92" s="1"/>
  <c r="U93"/>
  <c r="V93" s="1"/>
  <c r="U94"/>
  <c r="V94" s="1"/>
  <c r="U95"/>
  <c r="V95" s="1"/>
  <c r="U96"/>
  <c r="V96" s="1"/>
  <c r="U97"/>
  <c r="V97" s="1"/>
  <c r="U98"/>
  <c r="V98" s="1"/>
  <c r="U99"/>
  <c r="V99" s="1"/>
  <c r="U100"/>
  <c r="V100" s="1"/>
  <c r="U101"/>
  <c r="V101" s="1"/>
  <c r="U102"/>
  <c r="V102" s="1"/>
  <c r="U103"/>
  <c r="V103" s="1"/>
  <c r="U104"/>
  <c r="V104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2"/>
  <c r="V112" s="1"/>
  <c r="U113"/>
  <c r="V113" s="1"/>
  <c r="U114"/>
  <c r="V114" s="1"/>
  <c r="U115"/>
  <c r="V115" s="1"/>
  <c r="U116"/>
  <c r="V116" s="1"/>
  <c r="U117"/>
  <c r="V117" s="1"/>
  <c r="U118"/>
  <c r="V118" s="1"/>
  <c r="U119"/>
  <c r="V119" s="1"/>
  <c r="U120"/>
  <c r="V120" s="1"/>
  <c r="U121"/>
  <c r="V121" s="1"/>
  <c r="U122"/>
  <c r="V122" s="1"/>
  <c r="U123"/>
  <c r="V123" s="1"/>
  <c r="U124"/>
  <c r="V124" s="1"/>
  <c r="U125"/>
  <c r="V125" s="1"/>
  <c r="U126"/>
  <c r="V126" s="1"/>
  <c r="U127"/>
  <c r="V127" s="1"/>
  <c r="U128"/>
  <c r="V128" s="1"/>
  <c r="U129"/>
  <c r="V129" s="1"/>
  <c r="U130"/>
  <c r="V130" s="1"/>
  <c r="U131"/>
  <c r="V131" s="1"/>
  <c r="U132"/>
  <c r="V132" s="1"/>
  <c r="U133"/>
  <c r="V133" s="1"/>
  <c r="U134"/>
  <c r="V134" s="1"/>
  <c r="U135"/>
  <c r="V135" s="1"/>
  <c r="U136"/>
  <c r="V136" s="1"/>
  <c r="U137"/>
  <c r="V137" s="1"/>
  <c r="U138"/>
  <c r="V138" s="1"/>
  <c r="U139"/>
  <c r="V139" s="1"/>
  <c r="U140"/>
  <c r="V140" s="1"/>
  <c r="U141"/>
  <c r="V141" s="1"/>
  <c r="U142"/>
  <c r="V142" s="1"/>
  <c r="U143"/>
  <c r="V143" s="1"/>
  <c r="U144"/>
  <c r="V144" s="1"/>
  <c r="U145"/>
  <c r="V145" s="1"/>
  <c r="U146"/>
  <c r="V146" s="1"/>
  <c r="U147"/>
  <c r="V147" s="1"/>
  <c r="U148"/>
  <c r="V148" s="1"/>
  <c r="U149"/>
  <c r="V149" s="1"/>
  <c r="U150"/>
  <c r="V150" s="1"/>
  <c r="U151"/>
  <c r="V151" s="1"/>
  <c r="U152"/>
  <c r="V152" s="1"/>
  <c r="U153"/>
  <c r="V153" s="1"/>
  <c r="U154"/>
  <c r="V154" s="1"/>
  <c r="U155"/>
  <c r="V155" s="1"/>
  <c r="U156"/>
  <c r="V156" s="1"/>
  <c r="U157"/>
  <c r="V157" s="1"/>
  <c r="U158"/>
  <c r="V158" s="1"/>
  <c r="U159"/>
  <c r="V159" s="1"/>
  <c r="U160"/>
  <c r="V160" s="1"/>
  <c r="U161"/>
  <c r="V161" s="1"/>
  <c r="U162"/>
  <c r="V162" s="1"/>
  <c r="U163"/>
  <c r="V163" s="1"/>
  <c r="U164"/>
  <c r="V164" s="1"/>
  <c r="U165"/>
  <c r="V165" s="1"/>
  <c r="U166"/>
  <c r="V166" s="1"/>
  <c r="U167"/>
  <c r="V167" s="1"/>
  <c r="U168"/>
  <c r="V168" s="1"/>
  <c r="U169"/>
  <c r="V169" s="1"/>
  <c r="U170"/>
  <c r="V170" s="1"/>
  <c r="U171"/>
  <c r="V171" s="1"/>
  <c r="U172"/>
  <c r="V172" s="1"/>
  <c r="U173"/>
  <c r="V173" s="1"/>
  <c r="U174"/>
  <c r="V174" s="1"/>
  <c r="U175"/>
  <c r="V175" s="1"/>
  <c r="U176"/>
  <c r="V176" s="1"/>
  <c r="U177"/>
  <c r="V177" s="1"/>
  <c r="U178"/>
  <c r="V178" s="1"/>
  <c r="U179"/>
  <c r="V179" s="1"/>
  <c r="U180"/>
  <c r="V180" s="1"/>
  <c r="U181"/>
  <c r="V181" s="1"/>
  <c r="U182"/>
  <c r="V182" s="1"/>
  <c r="U183"/>
  <c r="V183" s="1"/>
  <c r="U4"/>
  <c r="V4" s="1"/>
  <c r="B17" l="1"/>
  <c r="C17"/>
  <c r="B29"/>
  <c r="C29"/>
  <c r="B41"/>
  <c r="C41"/>
  <c r="B53"/>
  <c r="C53"/>
  <c r="B65"/>
  <c r="B18"/>
  <c r="C18"/>
  <c r="B30"/>
  <c r="C30"/>
  <c r="B42"/>
  <c r="C42"/>
  <c r="B54"/>
  <c r="C54"/>
  <c r="B66"/>
  <c r="C66"/>
  <c r="B78"/>
  <c r="C78"/>
  <c r="B90"/>
  <c r="C90"/>
  <c r="B102"/>
  <c r="C102"/>
  <c r="B114"/>
  <c r="C114"/>
  <c r="B126"/>
  <c r="C126"/>
  <c r="B138"/>
  <c r="C138"/>
  <c r="B150"/>
  <c r="C150"/>
  <c r="B162"/>
  <c r="C162"/>
  <c r="B19"/>
  <c r="C19"/>
  <c r="B31"/>
  <c r="C31"/>
  <c r="B43"/>
  <c r="C43"/>
  <c r="B55"/>
  <c r="C55"/>
  <c r="B67"/>
  <c r="B20"/>
  <c r="C20"/>
  <c r="B32"/>
  <c r="C32"/>
  <c r="B44"/>
  <c r="C44"/>
  <c r="B56"/>
  <c r="C56"/>
  <c r="B68"/>
  <c r="C68"/>
  <c r="B80"/>
  <c r="C80"/>
  <c r="B92"/>
  <c r="C92"/>
  <c r="B104"/>
  <c r="C104"/>
  <c r="B116"/>
  <c r="C116"/>
  <c r="B128"/>
  <c r="C128"/>
  <c r="B140"/>
  <c r="C140"/>
  <c r="B152"/>
  <c r="C152"/>
  <c r="B164"/>
  <c r="C164"/>
  <c r="B21"/>
  <c r="C21"/>
  <c r="B33"/>
  <c r="C33"/>
  <c r="B45"/>
  <c r="C45"/>
  <c r="B57"/>
  <c r="C57"/>
  <c r="B69"/>
  <c r="B22"/>
  <c r="C22"/>
  <c r="B34"/>
  <c r="C34"/>
  <c r="B46"/>
  <c r="C46"/>
  <c r="B58"/>
  <c r="C58"/>
  <c r="B70"/>
  <c r="C70"/>
  <c r="B82"/>
  <c r="C82"/>
  <c r="B94"/>
  <c r="C94"/>
  <c r="B106"/>
  <c r="C106"/>
  <c r="B118"/>
  <c r="C118"/>
  <c r="B130"/>
  <c r="C130"/>
  <c r="B142"/>
  <c r="C142"/>
  <c r="B154"/>
  <c r="C154"/>
  <c r="B166"/>
  <c r="C166"/>
  <c r="B23"/>
  <c r="C23"/>
  <c r="B35"/>
  <c r="C35"/>
  <c r="B47"/>
  <c r="C47"/>
  <c r="B59"/>
  <c r="B24"/>
  <c r="C24"/>
  <c r="B36"/>
  <c r="B25"/>
  <c r="C25"/>
  <c r="B37"/>
  <c r="C37"/>
  <c r="B49"/>
  <c r="C49"/>
  <c r="B61"/>
  <c r="B26"/>
  <c r="C26"/>
  <c r="B38"/>
  <c r="C38"/>
  <c r="B50"/>
  <c r="C50"/>
  <c r="B62"/>
  <c r="C62"/>
  <c r="B74"/>
  <c r="C74"/>
  <c r="B86"/>
  <c r="C86"/>
  <c r="B98"/>
  <c r="C98"/>
  <c r="B110"/>
  <c r="C110"/>
  <c r="B122"/>
  <c r="C122"/>
  <c r="B134"/>
  <c r="C134"/>
  <c r="B146"/>
  <c r="C146"/>
  <c r="B158"/>
  <c r="C158"/>
  <c r="B170"/>
  <c r="C170"/>
  <c r="B27"/>
  <c r="C27"/>
  <c r="B39"/>
  <c r="C39"/>
  <c r="B51"/>
  <c r="C51"/>
  <c r="B63"/>
  <c r="B28"/>
  <c r="C28"/>
  <c r="B40"/>
  <c r="C40"/>
  <c r="B52"/>
  <c r="C52"/>
  <c r="B64"/>
  <c r="C64"/>
  <c r="B76"/>
  <c r="C76"/>
  <c r="B88"/>
  <c r="C88"/>
  <c r="B100"/>
  <c r="C100"/>
  <c r="B112"/>
  <c r="C112"/>
  <c r="B124"/>
  <c r="C124"/>
  <c r="B136"/>
  <c r="C136"/>
  <c r="B148"/>
  <c r="C148"/>
  <c r="B160"/>
  <c r="C160"/>
  <c r="C36"/>
  <c r="B48"/>
  <c r="C48"/>
  <c r="B60"/>
  <c r="C60"/>
  <c r="B72"/>
  <c r="C72"/>
  <c r="B84"/>
  <c r="C84"/>
  <c r="B96"/>
  <c r="C96"/>
  <c r="B108"/>
  <c r="C108"/>
  <c r="B120"/>
  <c r="C120"/>
  <c r="B132"/>
  <c r="C132"/>
  <c r="B144"/>
  <c r="C144"/>
  <c r="B156"/>
  <c r="C156"/>
  <c r="B168"/>
  <c r="C168"/>
  <c r="C59"/>
  <c r="B71"/>
  <c r="C61"/>
  <c r="B73"/>
  <c r="C63"/>
  <c r="B75"/>
  <c r="C65"/>
  <c r="B77"/>
  <c r="C67"/>
  <c r="B79"/>
  <c r="C69"/>
  <c r="B81"/>
  <c r="C71"/>
  <c r="B83"/>
  <c r="C73"/>
  <c r="B85"/>
  <c r="C75"/>
  <c r="B87"/>
  <c r="C77"/>
  <c r="B89"/>
  <c r="C79"/>
  <c r="B91"/>
  <c r="C81"/>
  <c r="B93"/>
  <c r="C83"/>
  <c r="B95"/>
  <c r="C85"/>
  <c r="B97"/>
  <c r="C87"/>
  <c r="B99"/>
  <c r="C89"/>
  <c r="B101"/>
  <c r="C91"/>
  <c r="B103"/>
  <c r="C93"/>
  <c r="B105"/>
  <c r="C95"/>
  <c r="B107"/>
  <c r="C97"/>
  <c r="B109"/>
  <c r="C99"/>
  <c r="B111"/>
  <c r="C101"/>
  <c r="B113"/>
  <c r="C113"/>
  <c r="B125"/>
  <c r="C125"/>
  <c r="B137"/>
  <c r="C137"/>
  <c r="B149"/>
  <c r="C149"/>
  <c r="B161"/>
  <c r="C161"/>
  <c r="C103"/>
  <c r="B115"/>
  <c r="C105"/>
  <c r="B117"/>
  <c r="C107"/>
  <c r="B119"/>
  <c r="C109"/>
  <c r="B121"/>
  <c r="C111"/>
  <c r="B123"/>
  <c r="C115"/>
  <c r="B127"/>
  <c r="C127"/>
  <c r="B139"/>
  <c r="C139"/>
  <c r="B151"/>
  <c r="C151"/>
  <c r="B163"/>
  <c r="C163"/>
  <c r="C117"/>
  <c r="B129"/>
  <c r="C119"/>
  <c r="B131"/>
  <c r="C131"/>
  <c r="B143"/>
  <c r="C143"/>
  <c r="B155"/>
  <c r="C155"/>
  <c r="B167"/>
  <c r="C167"/>
  <c r="C121"/>
  <c r="B133"/>
  <c r="C123"/>
  <c r="B135"/>
  <c r="C135"/>
  <c r="B147"/>
  <c r="C147"/>
  <c r="B159"/>
  <c r="C159"/>
  <c r="B171"/>
  <c r="C171"/>
  <c r="C129"/>
  <c r="B141"/>
  <c r="C141"/>
  <c r="B153"/>
  <c r="C153"/>
  <c r="B165"/>
  <c r="C165"/>
  <c r="C133"/>
  <c r="B145"/>
  <c r="C145"/>
  <c r="B157"/>
  <c r="C157"/>
  <c r="B169"/>
  <c r="C169"/>
  <c r="C16"/>
  <c r="B16"/>
</calcChain>
</file>

<file path=xl/sharedStrings.xml><?xml version="1.0" encoding="utf-8"?>
<sst xmlns="http://schemas.openxmlformats.org/spreadsheetml/2006/main" count="862" uniqueCount="89">
  <si>
    <t>s</t>
    <phoneticPr fontId="5" type="noConversion"/>
  </si>
  <si>
    <t>reward_id</t>
    <phoneticPr fontId="5" type="noConversion"/>
  </si>
  <si>
    <t>s</t>
    <phoneticPr fontId="5" type="noConversion"/>
  </si>
  <si>
    <t>任务图标图标名称
（texture下）调用game_res里面资源</t>
  </si>
  <si>
    <t>任务的品质边框
1=绿
2=蓝
3=紫
4=橙</t>
  </si>
  <si>
    <t>任务名称
[字符串]</t>
    <phoneticPr fontId="5" type="noConversion"/>
  </si>
  <si>
    <t xml:space="preserve">任务内容描述
[字符串]
</t>
    <phoneticPr fontId="5" type="noConversion"/>
  </si>
  <si>
    <t>i</t>
    <phoneticPr fontId="5" type="noConversion"/>
  </si>
  <si>
    <r>
      <t>日常任务i</t>
    </r>
    <r>
      <rPr>
        <sz val="10"/>
        <color theme="1"/>
        <rFont val="微软雅黑"/>
        <family val="2"/>
        <charset val="134"/>
      </rPr>
      <t>d</t>
    </r>
    <phoneticPr fontId="5" type="noConversion"/>
  </si>
  <si>
    <t>id</t>
    <phoneticPr fontId="5" type="noConversion"/>
  </si>
  <si>
    <t>任务开放等级下限</t>
    <phoneticPr fontId="5" type="noConversion"/>
  </si>
  <si>
    <t>任务开放等级上限</t>
    <phoneticPr fontId="5" type="noConversion"/>
  </si>
  <si>
    <t>level_top</t>
    <phoneticPr fontId="5" type="noConversion"/>
  </si>
  <si>
    <t>排序
数值越小越靠上</t>
    <phoneticPr fontId="5" type="noConversion"/>
  </si>
  <si>
    <t>i</t>
    <phoneticPr fontId="5" type="noConversion"/>
  </si>
  <si>
    <t>前往的系统
[]-没有”前往“
填game_module的id</t>
    <phoneticPr fontId="5" type="noConversion"/>
  </si>
  <si>
    <t>s</t>
    <phoneticPr fontId="5" type="noConversion"/>
  </si>
  <si>
    <t>任务完成奖励[字符串数组]
调用game_reward里面的id</t>
    <phoneticPr fontId="5" type="noConversion"/>
  </si>
  <si>
    <t>level_lower</t>
    <phoneticPr fontId="5" type="noConversion"/>
  </si>
  <si>
    <r>
      <t>n</t>
    </r>
    <r>
      <rPr>
        <sz val="10"/>
        <color theme="1"/>
        <rFont val="微软雅黑"/>
        <family val="2"/>
        <charset val="134"/>
      </rPr>
      <t>ame</t>
    </r>
    <phoneticPr fontId="5" type="noConversion"/>
  </si>
  <si>
    <r>
      <t>d</t>
    </r>
    <r>
      <rPr>
        <sz val="10"/>
        <color theme="1"/>
        <rFont val="微软雅黑"/>
        <family val="2"/>
        <charset val="134"/>
      </rPr>
      <t>esc</t>
    </r>
    <phoneticPr fontId="5" type="noConversion"/>
  </si>
  <si>
    <t>icon</t>
    <phoneticPr fontId="5" type="noConversion"/>
  </si>
  <si>
    <t>task_icon_a</t>
    <phoneticPr fontId="5" type="noConversion"/>
  </si>
  <si>
    <r>
      <t>o</t>
    </r>
    <r>
      <rPr>
        <sz val="10"/>
        <color theme="1"/>
        <rFont val="微软雅黑"/>
        <family val="2"/>
        <charset val="134"/>
      </rPr>
      <t>rder</t>
    </r>
    <phoneticPr fontId="5" type="noConversion"/>
  </si>
  <si>
    <t>module_id</t>
    <phoneticPr fontId="5" type="noConversion"/>
  </si>
  <si>
    <t>积分奖励
直接填写任务完成后可获得的积分</t>
    <phoneticPr fontId="5" type="noConversion"/>
  </si>
  <si>
    <t>integral</t>
    <phoneticPr fontId="5" type="noConversion"/>
  </si>
  <si>
    <t>i</t>
    <phoneticPr fontId="5" type="noConversion"/>
  </si>
  <si>
    <t>a</t>
    <phoneticPr fontId="5" type="noConversion"/>
  </si>
  <si>
    <t>4,5</t>
  </si>
  <si>
    <t>20,5</t>
  </si>
  <si>
    <t>7,3</t>
  </si>
  <si>
    <t>8,5</t>
  </si>
  <si>
    <t>10,3</t>
  </si>
  <si>
    <t>11,1</t>
  </si>
  <si>
    <t>13,1002,5</t>
  </si>
  <si>
    <t>26,3</t>
  </si>
  <si>
    <t>parameter</t>
    <phoneticPr fontId="5" type="noConversion"/>
  </si>
  <si>
    <t>12</t>
    <phoneticPr fontId="5" type="noConversion"/>
  </si>
  <si>
    <r>
      <t>4</t>
    </r>
    <r>
      <rPr>
        <sz val="10"/>
        <color theme="1"/>
        <rFont val="微软雅黑"/>
        <family val="2"/>
        <charset val="134"/>
      </rPr>
      <t>7</t>
    </r>
    <phoneticPr fontId="5" type="noConversion"/>
  </si>
  <si>
    <t>30001</t>
    <phoneticPr fontId="5" type="noConversion"/>
  </si>
  <si>
    <t>14</t>
  </si>
  <si>
    <t>14</t>
    <phoneticPr fontId="5" type="noConversion"/>
  </si>
  <si>
    <t>46</t>
  </si>
  <si>
    <t>46</t>
    <phoneticPr fontId="5" type="noConversion"/>
  </si>
  <si>
    <t>10</t>
  </si>
  <si>
    <t>10</t>
    <phoneticPr fontId="5" type="noConversion"/>
  </si>
  <si>
    <t>12</t>
  </si>
  <si>
    <t>12</t>
    <phoneticPr fontId="5" type="noConversion"/>
  </si>
  <si>
    <t>15</t>
  </si>
  <si>
    <t>15</t>
    <phoneticPr fontId="5" type="noConversion"/>
  </si>
  <si>
    <t>44</t>
  </si>
  <si>
    <t>44</t>
    <phoneticPr fontId="5" type="noConversion"/>
  </si>
  <si>
    <t>47</t>
  </si>
  <si>
    <t>45</t>
  </si>
  <si>
    <t>45</t>
    <phoneticPr fontId="5" type="noConversion"/>
  </si>
  <si>
    <t>28</t>
  </si>
  <si>
    <t>28</t>
    <phoneticPr fontId="5" type="noConversion"/>
  </si>
  <si>
    <t>28,3</t>
  </si>
  <si>
    <t>13,1001,5</t>
  </si>
  <si>
    <t>57,1</t>
  </si>
  <si>
    <t>1,"&amp;",10</t>
  </si>
  <si>
    <t>1,"&amp;",10</t>
    <phoneticPr fontId="5" type="noConversion"/>
  </si>
  <si>
    <t>任务参数
1主线关卡|关卡ID或“&amp;”（任意关卡）|累计次数
2精英关卡|关卡ID或“&amp;”（任意关卡）|累计次数
3幻境关卡|关卡ID或“&amp;”（任意关卡）|累计次数
4竞技场挑战|累计完成次数
6完成法宝强化|累计强化次数
7完成法宝合成|累计合成次数
8完成装备强化|累计强化次数
9完成装备精炼|累计精炼次数
10普通抽奖|累计抽奖次数
11钻石抽奖|累计抽奖次数
12超级抽奖|累计完成次数
13购买道具|商品ID|累计购买次数
14主角等级|目标等级
15主线关卡总星数|目标星数
16精英关卡总星数|目标星数
17幻境关卡总星数|目标星数
18战斗力|目标战斗力数值
19vip等级|目标等级
20法宝抢夺|累计抢夺次数
21升级技能|累计升级次数
22累积登陆|累计登陆天数
23灵台斗法最高排名|目标名次
24上阵伙伴达到等级|伙伴数量|目标等级
25累计充值|目标充值数量
26大雁塔挑战次数|累计次数
27大雁塔最高层数|目标层数
28-完成法宝强化|累计强化消耗道具数量
29-单笔充值（29|单笔充值数目）
30-单次消耗资源（30|资源id|单次消耗数目）
31-累计消耗资源（31|资源id|累计消耗数目）
32-是否购买开服基金（32|0）
33-累计获得道具数量（33|道具id|数量）
34-距离开服天数领奖（34|距离开服天数）
35-是否购买月卡（35|0）
36-噩梦入侵开启至今累计伤害(36|至今累计伤害值)
37-噩梦入侵开启至今累计击杀怪物数量(37|至今累计击杀怪物数量)
38-装备强化最高达到等级|装备强化的最高等级
39-装备精炼最高达到等级|装备精炼的最高等级
40-法宝强化最高达到等级|法宝强化的最高等级
41-法宝精炼最高达到等级|法宝精炼的最高等级
42-通关夜探无底洞|无底洞关卡ID（42|关卡id）
43-夜探无底洞挑战次数|累计挑战次数（43|累计挑战次数）
44-斩妖夺宝挑战次数|累计挑战次数（44|累计挑战次数）
45-累计挑战梦魇次数-挑战次数（45|累计挑战梦魇次数）
46-所有上阵武将的洗炼突破等级达到（46|达到的洗炼突破等级）
47-所有上阵武将的神兵强化等级达到（47|神兵强化等级）
48-所有上阵武将的神兵精炼等级达到（48|神兵精炼等级）
49-伙伴商铺累计刷新次数（49|伙伴商铺累计刷新次数）
50-累计击杀斩妖夺宝怪物数量-胜利次数（50|累计击杀怪物数）
51-神兵强化最高达到等级（51|神兵强化的最高等级）
52-神兵精炼最高达到等级（52|装备精炼的最高等级)
53-伙伴洗炼最高突破等级（53|伙伴洗炼最高突破等级)
54-伙伴的最高等级（54|伙伴洗炼最高突破等级)
55-伙伴的最高进阶等级（55|伙伴洗炼最高突破等级)
56-累计洗炼武将次数（56|累计洗炼武将次数）
57-累计武将升级次数（57|累计武将升级次数）</t>
  </si>
  <si>
    <t>task_putong</t>
  </si>
  <si>
    <t>task_dayanta</t>
  </si>
  <si>
    <t>zhutian_hujia</t>
  </si>
  <si>
    <t>task_gaojijuxian</t>
  </si>
  <si>
    <t>task_putongjuxian</t>
  </si>
  <si>
    <t>task_huoban</t>
  </si>
  <si>
    <t>task_lingtai</t>
    <phoneticPr fontId="5" type="noConversion"/>
  </si>
  <si>
    <t>task_lingtai</t>
    <phoneticPr fontId="5" type="noConversion"/>
  </si>
  <si>
    <t>task_lingtai</t>
    <phoneticPr fontId="5" type="noConversion"/>
  </si>
  <si>
    <t>task_qiangduo</t>
    <phoneticPr fontId="5" type="noConversion"/>
  </si>
  <si>
    <t>zhutian_hujia</t>
    <phoneticPr fontId="5" type="noConversion"/>
  </si>
  <si>
    <t>[391D06FF]购买 [00821cff]5[-] 个精力之心</t>
  </si>
  <si>
    <t>[391D06FF]购买 [00821c]5[-] 个蟠桃</t>
  </si>
  <si>
    <t>[391D06FF]挑战 [00821c]10[-] 次主线副本</t>
  </si>
  <si>
    <t>[391D06FF]挑战 [00821c]5[-] 次灵台斗法</t>
  </si>
  <si>
    <t>[391D06FF]进行 [00821c]3[-] 次法宝合成</t>
  </si>
  <si>
    <t>[391D06FF]挑战 [00821c]3[-] 次大雁塔</t>
  </si>
  <si>
    <t>[391D06FF]装备强化 [00821c]5[-] 次</t>
  </si>
  <si>
    <t>[391D06FF]法宝强化 [00821c]3[-] 次</t>
  </si>
  <si>
    <t>[391D06FF]进行 [00821c]3[-] 次普通聚仙</t>
  </si>
  <si>
    <t>[391D06FF]进行 [00821c]1[-] 次顶级聚仙</t>
  </si>
  <si>
    <t>[391D06FF]伙伴升级 [00821c]1[-] 次</t>
  </si>
  <si>
    <t>[391D06FF]法宝抢夺 [00821c]5[-] 次</t>
  </si>
  <si>
    <t>[391D06FF]购买 [00821c]5[-] 个精力之心</t>
  </si>
  <si>
    <t>[391D06FF]挑战 [00821c]5[-] 次灵台斗法</t>
    <phoneticPr fontId="5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</si>
</sst>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1"/>
      <color theme="1"/>
      <name val="宋体"/>
      <family val="2"/>
      <scheme val="minor"/>
    </font>
    <font>
      <sz val="10"/>
      <color theme="0" tint="-0.499984740745262"/>
      <name val="微软雅黑"/>
      <family val="2"/>
      <charset val="134"/>
    </font>
    <font>
      <b/>
      <sz val="10"/>
      <color theme="0" tint="-0.499984740745262"/>
      <name val="微软雅黑"/>
      <family val="2"/>
      <charset val="134"/>
    </font>
    <font>
      <sz val="11"/>
      <color theme="0" tint="-0.499984740745262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 vertical="center"/>
    </xf>
    <xf numFmtId="49" fontId="0" fillId="0" borderId="0" xfId="0" applyNumberFormat="1"/>
    <xf numFmtId="0" fontId="3" fillId="2" borderId="1" xfId="0" applyFont="1" applyFill="1" applyBorder="1" applyAlignment="1">
      <alignment horizontal="left" vertical="top" wrapText="1"/>
    </xf>
    <xf numFmtId="0" fontId="2" fillId="3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center" vertical="center"/>
    </xf>
    <xf numFmtId="0" fontId="8" fillId="0" borderId="0" xfId="0" applyFont="1"/>
    <xf numFmtId="0" fontId="0" fillId="2" borderId="0" xfId="0" applyFill="1"/>
    <xf numFmtId="0" fontId="1" fillId="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49" fontId="1" fillId="2" borderId="1" xfId="0" applyNumberFormat="1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0" fontId="11" fillId="0" borderId="0" xfId="0" applyFont="1"/>
    <xf numFmtId="0" fontId="9" fillId="3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RowHeight="13.5"/>
  <cols>
    <col min="1" max="1" width="14" customWidth="1"/>
    <col min="2" max="3" width="15.125" style="13" bestFit="1" customWidth="1"/>
    <col min="4" max="5" width="36.25" bestFit="1" customWidth="1"/>
    <col min="6" max="6" width="17.875" bestFit="1" customWidth="1"/>
    <col min="7" max="8" width="15.125" bestFit="1" customWidth="1"/>
    <col min="9" max="9" width="61.625" style="13" bestFit="1" customWidth="1"/>
    <col min="10" max="10" width="17.5" style="8" bestFit="1" customWidth="1"/>
    <col min="11" max="11" width="15" style="8" bestFit="1" customWidth="1"/>
    <col min="12" max="12" width="14.25" style="8" bestFit="1" customWidth="1"/>
  </cols>
  <sheetData>
    <row r="1" spans="1:22" ht="112.5" customHeight="1">
      <c r="A1" s="15" t="s">
        <v>8</v>
      </c>
      <c r="B1" s="11" t="s">
        <v>10</v>
      </c>
      <c r="C1" s="11" t="s">
        <v>11</v>
      </c>
      <c r="D1" s="9" t="s">
        <v>5</v>
      </c>
      <c r="E1" s="15" t="s">
        <v>6</v>
      </c>
      <c r="F1" s="1" t="s">
        <v>3</v>
      </c>
      <c r="G1" s="6" t="s">
        <v>4</v>
      </c>
      <c r="H1" s="15" t="s">
        <v>13</v>
      </c>
      <c r="I1" s="11" t="s">
        <v>63</v>
      </c>
      <c r="J1" s="21" t="s">
        <v>17</v>
      </c>
      <c r="K1" s="21" t="s">
        <v>25</v>
      </c>
      <c r="L1" s="21" t="s">
        <v>15</v>
      </c>
    </row>
    <row r="2" spans="1:22" ht="16.5">
      <c r="A2" s="17" t="s">
        <v>9</v>
      </c>
      <c r="B2" s="12" t="s">
        <v>18</v>
      </c>
      <c r="C2" s="12" t="s">
        <v>12</v>
      </c>
      <c r="D2" s="17" t="s">
        <v>19</v>
      </c>
      <c r="E2" s="17" t="s">
        <v>20</v>
      </c>
      <c r="F2" s="17" t="s">
        <v>21</v>
      </c>
      <c r="G2" s="17" t="s">
        <v>22</v>
      </c>
      <c r="H2" s="17" t="s">
        <v>23</v>
      </c>
      <c r="I2" s="12" t="s">
        <v>37</v>
      </c>
      <c r="J2" s="4" t="s">
        <v>1</v>
      </c>
      <c r="K2" s="23" t="s">
        <v>26</v>
      </c>
      <c r="L2" s="23" t="s">
        <v>24</v>
      </c>
    </row>
    <row r="3" spans="1:22" ht="16.5">
      <c r="A3" s="2" t="s">
        <v>0</v>
      </c>
      <c r="B3" s="12" t="s">
        <v>2</v>
      </c>
      <c r="C3" s="12" t="s">
        <v>7</v>
      </c>
      <c r="D3" s="2" t="s">
        <v>0</v>
      </c>
      <c r="E3" s="2" t="s">
        <v>0</v>
      </c>
      <c r="F3" s="2" t="s">
        <v>0</v>
      </c>
      <c r="G3" s="2" t="s">
        <v>0</v>
      </c>
      <c r="H3" s="17" t="s">
        <v>14</v>
      </c>
      <c r="I3" s="12" t="s">
        <v>28</v>
      </c>
      <c r="J3" s="4" t="s">
        <v>0</v>
      </c>
      <c r="K3" s="23" t="s">
        <v>27</v>
      </c>
      <c r="L3" s="4" t="s">
        <v>16</v>
      </c>
    </row>
    <row r="4" spans="1:22" s="20" customFormat="1" ht="16.5">
      <c r="A4" s="3">
        <v>10001</v>
      </c>
      <c r="B4" s="16">
        <v>1</v>
      </c>
      <c r="C4" s="16">
        <v>29</v>
      </c>
      <c r="D4" s="22" t="s">
        <v>75</v>
      </c>
      <c r="E4" s="22" t="s">
        <v>75</v>
      </c>
      <c r="F4" s="3">
        <v>13</v>
      </c>
      <c r="G4" s="3">
        <v>3</v>
      </c>
      <c r="H4" s="3">
        <v>1</v>
      </c>
      <c r="I4" s="16" t="s">
        <v>35</v>
      </c>
      <c r="J4" s="24" t="s">
        <v>40</v>
      </c>
      <c r="K4" s="22">
        <v>10</v>
      </c>
      <c r="L4" s="24" t="s">
        <v>42</v>
      </c>
      <c r="U4" s="20" t="e">
        <f>INT(MID($D4,MIN(FIND({0,1,2,3,4,5,6,7,8,9},$D4&amp;"0123456789")),LEN($D4)*2-LENB($D4)))</f>
        <v>#VALUE!</v>
      </c>
      <c r="V4" s="20" t="str">
        <f>IF(ISERROR($U4),$D4,LEFT($D4,FIND($U4,$D4)-1)&amp;" [379340]"&amp;U4&amp;"[-] "&amp;IFERROR(RIGHT($D4,LEN($D4)-FIND($U4,$D4)-LEN($U4)+1),""))</f>
        <v>[391D06FF]购买 [00821cff]5[-] 个精力之心</v>
      </c>
    </row>
    <row r="5" spans="1:22" s="20" customFormat="1" ht="16.5">
      <c r="A5" s="3">
        <v>10002</v>
      </c>
      <c r="B5" s="16">
        <v>1</v>
      </c>
      <c r="C5" s="16">
        <v>29</v>
      </c>
      <c r="D5" s="3" t="s">
        <v>76</v>
      </c>
      <c r="E5" s="3" t="s">
        <v>76</v>
      </c>
      <c r="F5" s="7">
        <v>14000</v>
      </c>
      <c r="G5" s="3">
        <v>3</v>
      </c>
      <c r="H5" s="3">
        <v>2</v>
      </c>
      <c r="I5" s="16" t="s">
        <v>59</v>
      </c>
      <c r="J5" s="10">
        <v>30002</v>
      </c>
      <c r="K5" s="22">
        <v>10</v>
      </c>
      <c r="L5" s="10">
        <v>14</v>
      </c>
      <c r="U5" s="20" t="e">
        <f>INT(MID($D5,MIN(FIND({0,1,2,3,4,5,6,7,8,9},$D5&amp;"0123456789")),LEN($D5)*2-LENB($D5)))</f>
        <v>#VALUE!</v>
      </c>
      <c r="V5" s="20" t="str">
        <f t="shared" ref="V5:V68" si="0">IF(ISERROR($U5),$D5,LEFT($D5,FIND($U5,$D5)-1)&amp;" [379340]"&amp;U5&amp;"[-] "&amp;IFERROR(RIGHT($D5,LEN($D5)-FIND($U5,$D5)-LEN($U5)+1),""))</f>
        <v>[391D06FF]购买 [00821c]5[-] 个蟠桃</v>
      </c>
    </row>
    <row r="6" spans="1:22" s="20" customFormat="1" ht="16.5">
      <c r="A6" s="3">
        <v>10003</v>
      </c>
      <c r="B6" s="16">
        <v>1</v>
      </c>
      <c r="C6" s="16">
        <v>29</v>
      </c>
      <c r="D6" s="3" t="s">
        <v>77</v>
      </c>
      <c r="E6" s="3" t="s">
        <v>77</v>
      </c>
      <c r="F6" s="3" t="s">
        <v>64</v>
      </c>
      <c r="G6" s="3">
        <v>3</v>
      </c>
      <c r="H6" s="3">
        <v>3</v>
      </c>
      <c r="I6" s="16" t="s">
        <v>62</v>
      </c>
      <c r="J6" s="5">
        <v>30003</v>
      </c>
      <c r="K6" s="22">
        <v>10</v>
      </c>
      <c r="L6" s="24" t="s">
        <v>44</v>
      </c>
      <c r="U6" s="20" t="e">
        <f>INT(MID($D6,MIN(FIND({0,1,2,3,4,5,6,7,8,9},$D6&amp;"0123456789")),LEN($D6)*2-LENB($D6)))</f>
        <v>#VALUE!</v>
      </c>
      <c r="V6" s="20" t="str">
        <f t="shared" si="0"/>
        <v>[391D06FF]挑战 [00821c]10[-] 次主线副本</v>
      </c>
    </row>
    <row r="7" spans="1:22" s="20" customFormat="1" ht="16.5">
      <c r="A7" s="3">
        <v>10004</v>
      </c>
      <c r="B7" s="16">
        <v>1</v>
      </c>
      <c r="C7" s="16">
        <v>29</v>
      </c>
      <c r="D7" s="22" t="s">
        <v>88</v>
      </c>
      <c r="E7" s="3" t="s">
        <v>78</v>
      </c>
      <c r="F7" s="22" t="s">
        <v>70</v>
      </c>
      <c r="G7" s="3">
        <v>3</v>
      </c>
      <c r="H7" s="3">
        <v>4</v>
      </c>
      <c r="I7" s="16" t="s">
        <v>29</v>
      </c>
      <c r="J7" s="5">
        <v>30004</v>
      </c>
      <c r="K7" s="22">
        <v>10</v>
      </c>
      <c r="L7" s="24" t="s">
        <v>46</v>
      </c>
      <c r="U7" s="20" t="e">
        <f>INT(MID($D7,MIN(FIND({0,1,2,3,4,5,6,7,8,9},$D7&amp;"0123456789")),LEN($D7)*2-LENB($D7)))</f>
        <v>#VALUE!</v>
      </c>
      <c r="V7" s="20" t="str">
        <f t="shared" si="0"/>
        <v>[391D06FF]挑战 [00821c]5[-] 次灵台斗法</v>
      </c>
    </row>
    <row r="8" spans="1:22" s="20" customFormat="1" ht="16.5">
      <c r="A8" s="3">
        <v>10005</v>
      </c>
      <c r="B8" s="16">
        <v>1</v>
      </c>
      <c r="C8" s="16">
        <v>29</v>
      </c>
      <c r="D8" s="3" t="s">
        <v>79</v>
      </c>
      <c r="E8" s="3" t="s">
        <v>79</v>
      </c>
      <c r="F8" s="22">
        <v>3018</v>
      </c>
      <c r="G8" s="3">
        <v>3</v>
      </c>
      <c r="H8" s="3">
        <v>5</v>
      </c>
      <c r="I8" s="16" t="s">
        <v>31</v>
      </c>
      <c r="J8" s="5">
        <v>30005</v>
      </c>
      <c r="K8" s="22">
        <v>20</v>
      </c>
      <c r="L8" s="24" t="s">
        <v>48</v>
      </c>
      <c r="U8" s="20" t="e">
        <f>INT(MID($D8,MIN(FIND({0,1,2,3,4,5,6,7,8,9},$D8&amp;"0123456789")),LEN($D8)*2-LENB($D8)))</f>
        <v>#VALUE!</v>
      </c>
      <c r="V8" s="20" t="str">
        <f t="shared" si="0"/>
        <v>[391D06FF]进行 [00821c]3[-] 次法宝合成</v>
      </c>
    </row>
    <row r="9" spans="1:22" s="20" customFormat="1" ht="16.5">
      <c r="A9" s="3">
        <v>10006</v>
      </c>
      <c r="B9" s="16">
        <v>1</v>
      </c>
      <c r="C9" s="16">
        <v>29</v>
      </c>
      <c r="D9" s="3" t="s">
        <v>80</v>
      </c>
      <c r="E9" s="3" t="s">
        <v>80</v>
      </c>
      <c r="F9" s="3" t="s">
        <v>65</v>
      </c>
      <c r="G9" s="3">
        <v>3</v>
      </c>
      <c r="H9" s="3">
        <v>6</v>
      </c>
      <c r="I9" s="16" t="s">
        <v>36</v>
      </c>
      <c r="J9" s="5">
        <v>30006</v>
      </c>
      <c r="K9" s="22">
        <v>10</v>
      </c>
      <c r="L9" s="24" t="s">
        <v>50</v>
      </c>
      <c r="U9" s="20" t="e">
        <f>INT(MID($D9,MIN(FIND({0,1,2,3,4,5,6,7,8,9},$D9&amp;"0123456789")),LEN($D9)*2-LENB($D9)))</f>
        <v>#VALUE!</v>
      </c>
      <c r="V9" s="20" t="str">
        <f t="shared" si="0"/>
        <v>[391D06FF]挑战 [00821c]3[-] 次大雁塔</v>
      </c>
    </row>
    <row r="10" spans="1:22" s="20" customFormat="1" ht="16.5">
      <c r="A10" s="3">
        <v>10007</v>
      </c>
      <c r="B10" s="16">
        <v>1</v>
      </c>
      <c r="C10" s="16">
        <v>29</v>
      </c>
      <c r="D10" s="3" t="s">
        <v>81</v>
      </c>
      <c r="E10" s="3" t="s">
        <v>81</v>
      </c>
      <c r="F10" s="3" t="s">
        <v>66</v>
      </c>
      <c r="G10" s="3">
        <v>3</v>
      </c>
      <c r="H10" s="3">
        <v>7</v>
      </c>
      <c r="I10" s="16" t="s">
        <v>32</v>
      </c>
      <c r="J10" s="5">
        <v>30007</v>
      </c>
      <c r="K10" s="22">
        <v>10</v>
      </c>
      <c r="L10" s="24" t="s">
        <v>55</v>
      </c>
      <c r="U10" s="20" t="e">
        <f>INT(MID($D10,MIN(FIND({0,1,2,3,4,5,6,7,8,9},$D10&amp;"0123456789")),LEN($D10)*2-LENB($D10)))</f>
        <v>#VALUE!</v>
      </c>
      <c r="V10" s="20" t="str">
        <f t="shared" si="0"/>
        <v>[391D06FF]装备强化 [00821c]5[-] 次</v>
      </c>
    </row>
    <row r="11" spans="1:22" s="20" customFormat="1" ht="16.5">
      <c r="A11" s="3">
        <v>10008</v>
      </c>
      <c r="B11" s="16">
        <v>1</v>
      </c>
      <c r="C11" s="16">
        <v>29</v>
      </c>
      <c r="D11" s="3" t="s">
        <v>82</v>
      </c>
      <c r="E11" s="3" t="s">
        <v>82</v>
      </c>
      <c r="F11" s="3">
        <v>4503</v>
      </c>
      <c r="G11" s="3">
        <v>3</v>
      </c>
      <c r="H11" s="3">
        <v>8</v>
      </c>
      <c r="I11" s="16" t="s">
        <v>58</v>
      </c>
      <c r="J11" s="5">
        <v>30008</v>
      </c>
      <c r="K11" s="22">
        <v>20</v>
      </c>
      <c r="L11" s="24" t="s">
        <v>57</v>
      </c>
      <c r="U11" s="20" t="e">
        <f>INT(MID($D11,MIN(FIND({0,1,2,3,4,5,6,7,8,9},$D11&amp;"0123456789")),LEN($D11)*2-LENB($D11)))</f>
        <v>#VALUE!</v>
      </c>
      <c r="V11" s="20" t="str">
        <f t="shared" si="0"/>
        <v>[391D06FF]法宝强化 [00821c]3[-] 次</v>
      </c>
    </row>
    <row r="12" spans="1:22" s="20" customFormat="1" ht="16.5">
      <c r="A12" s="3">
        <v>10009</v>
      </c>
      <c r="B12" s="16">
        <v>1</v>
      </c>
      <c r="C12" s="16">
        <v>29</v>
      </c>
      <c r="D12" s="3" t="s">
        <v>83</v>
      </c>
      <c r="E12" s="3" t="s">
        <v>83</v>
      </c>
      <c r="F12" s="3" t="s">
        <v>68</v>
      </c>
      <c r="G12" s="3">
        <v>3</v>
      </c>
      <c r="H12" s="3">
        <v>9</v>
      </c>
      <c r="I12" s="16" t="s">
        <v>33</v>
      </c>
      <c r="J12" s="5">
        <v>30009</v>
      </c>
      <c r="K12" s="22">
        <v>10</v>
      </c>
      <c r="L12" s="24" t="s">
        <v>39</v>
      </c>
      <c r="U12" s="20" t="e">
        <f>INT(MID($D12,MIN(FIND({0,1,2,3,4,5,6,7,8,9},$D12&amp;"0123456789")),LEN($D12)*2-LENB($D12)))</f>
        <v>#VALUE!</v>
      </c>
      <c r="V12" s="20" t="str">
        <f t="shared" si="0"/>
        <v>[391D06FF]进行 [00821c]3[-] 次普通聚仙</v>
      </c>
    </row>
    <row r="13" spans="1:22" s="20" customFormat="1" ht="16.5">
      <c r="A13" s="3">
        <v>10010</v>
      </c>
      <c r="B13" s="16">
        <v>1</v>
      </c>
      <c r="C13" s="16">
        <v>29</v>
      </c>
      <c r="D13" s="3" t="s">
        <v>84</v>
      </c>
      <c r="E13" s="3" t="s">
        <v>84</v>
      </c>
      <c r="F13" s="3" t="s">
        <v>67</v>
      </c>
      <c r="G13" s="3">
        <v>3</v>
      </c>
      <c r="H13" s="3">
        <v>10</v>
      </c>
      <c r="I13" s="16" t="s">
        <v>34</v>
      </c>
      <c r="J13" s="5">
        <v>30010</v>
      </c>
      <c r="K13" s="22">
        <v>20</v>
      </c>
      <c r="L13" s="24" t="s">
        <v>39</v>
      </c>
      <c r="U13" s="20" t="e">
        <f>INT(MID($D13,MIN(FIND({0,1,2,3,4,5,6,7,8,9},$D13&amp;"0123456789")),LEN($D13)*2-LENB($D13)))</f>
        <v>#VALUE!</v>
      </c>
      <c r="V13" s="20" t="str">
        <f t="shared" si="0"/>
        <v>[391D06FF]进行 [00821c]1[-] 次顶级聚仙</v>
      </c>
    </row>
    <row r="14" spans="1:22" s="20" customFormat="1" ht="16.5">
      <c r="A14" s="3">
        <v>10011</v>
      </c>
      <c r="B14" s="16">
        <v>1</v>
      </c>
      <c r="C14" s="16">
        <v>29</v>
      </c>
      <c r="D14" s="3" t="s">
        <v>85</v>
      </c>
      <c r="E14" s="3" t="s">
        <v>85</v>
      </c>
      <c r="F14" s="3" t="s">
        <v>69</v>
      </c>
      <c r="G14" s="3">
        <v>3</v>
      </c>
      <c r="H14" s="3">
        <v>11</v>
      </c>
      <c r="I14" s="16" t="s">
        <v>60</v>
      </c>
      <c r="J14" s="5">
        <v>30011</v>
      </c>
      <c r="K14" s="22">
        <v>10</v>
      </c>
      <c r="L14" s="24" t="s">
        <v>52</v>
      </c>
      <c r="U14" s="20" t="e">
        <f>INT(MID($D14,MIN(FIND({0,1,2,3,4,5,6,7,8,9},$D14&amp;"0123456789")),LEN($D14)*2-LENB($D14)))</f>
        <v>#VALUE!</v>
      </c>
      <c r="V14" s="20" t="str">
        <f t="shared" si="0"/>
        <v>[391D06FF]伙伴升级 [00821c]1[-] 次</v>
      </c>
    </row>
    <row r="15" spans="1:22" s="20" customFormat="1" ht="16.5">
      <c r="A15" s="3">
        <v>10012</v>
      </c>
      <c r="B15" s="16">
        <v>1</v>
      </c>
      <c r="C15" s="16">
        <v>29</v>
      </c>
      <c r="D15" s="3" t="s">
        <v>86</v>
      </c>
      <c r="E15" s="3" t="s">
        <v>86</v>
      </c>
      <c r="F15" s="22" t="s">
        <v>73</v>
      </c>
      <c r="G15" s="3">
        <v>3</v>
      </c>
      <c r="H15" s="3">
        <v>12</v>
      </c>
      <c r="I15" s="16" t="s">
        <v>30</v>
      </c>
      <c r="J15" s="5">
        <v>30012</v>
      </c>
      <c r="K15" s="22">
        <v>10</v>
      </c>
      <c r="L15" s="24" t="s">
        <v>38</v>
      </c>
      <c r="U15" s="20" t="e">
        <f>INT(MID($D15,MIN(FIND({0,1,2,3,4,5,6,7,8,9},$D15&amp;"0123456789")),LEN($D15)*2-LENB($D15)))</f>
        <v>#VALUE!</v>
      </c>
      <c r="V15" s="20" t="str">
        <f t="shared" si="0"/>
        <v>[391D06FF]法宝抢夺 [00821c]5[-] 次</v>
      </c>
    </row>
    <row r="16" spans="1:22" s="14" customFormat="1" ht="16.5">
      <c r="A16" s="2">
        <v>10101</v>
      </c>
      <c r="B16" s="12">
        <f>C4+1</f>
        <v>30</v>
      </c>
      <c r="C16" s="12">
        <f>B16+9</f>
        <v>39</v>
      </c>
      <c r="D16" s="17" t="s">
        <v>87</v>
      </c>
      <c r="E16" s="17" t="s">
        <v>87</v>
      </c>
      <c r="F16" s="2">
        <v>13</v>
      </c>
      <c r="G16" s="2">
        <v>3</v>
      </c>
      <c r="H16" s="2">
        <v>13</v>
      </c>
      <c r="I16" s="12" t="s">
        <v>35</v>
      </c>
      <c r="J16" s="4">
        <v>30051</v>
      </c>
      <c r="K16" s="17">
        <v>10</v>
      </c>
      <c r="L16" s="23" t="s">
        <v>41</v>
      </c>
      <c r="U16" s="14" t="e">
        <f>INT(MID($D16,MIN(FIND({0,1,2,3,4,5,6,7,8,9},$D16&amp;"0123456789")),LEN($D16)*2-LENB($D16)))</f>
        <v>#VALUE!</v>
      </c>
      <c r="V16" s="14" t="str">
        <f t="shared" si="0"/>
        <v>[391D06FF]购买 [00821c]5[-] 个精力之心</v>
      </c>
    </row>
    <row r="17" spans="1:22" s="14" customFormat="1" ht="16.5">
      <c r="A17" s="2">
        <v>10102</v>
      </c>
      <c r="B17" s="12">
        <f t="shared" ref="B17:B80" si="1">C5+1</f>
        <v>30</v>
      </c>
      <c r="C17" s="12">
        <f t="shared" ref="C17:C80" si="2">B17+9</f>
        <v>39</v>
      </c>
      <c r="D17" s="2" t="s">
        <v>76</v>
      </c>
      <c r="E17" s="2" t="s">
        <v>76</v>
      </c>
      <c r="F17" s="18">
        <v>14000</v>
      </c>
      <c r="G17" s="2">
        <v>3</v>
      </c>
      <c r="H17" s="2">
        <v>14</v>
      </c>
      <c r="I17" s="12" t="s">
        <v>59</v>
      </c>
      <c r="J17" s="19">
        <v>30052</v>
      </c>
      <c r="K17" s="17">
        <v>10</v>
      </c>
      <c r="L17" s="19">
        <v>14</v>
      </c>
      <c r="U17" s="14" t="e">
        <f>INT(MID($D17,MIN(FIND({0,1,2,3,4,5,6,7,8,9},$D17&amp;"0123456789")),LEN($D17)*2-LENB($D17)))</f>
        <v>#VALUE!</v>
      </c>
      <c r="V17" s="14" t="str">
        <f t="shared" si="0"/>
        <v>[391D06FF]购买 [00821c]5[-] 个蟠桃</v>
      </c>
    </row>
    <row r="18" spans="1:22" s="14" customFormat="1" ht="16.5">
      <c r="A18" s="2">
        <v>10103</v>
      </c>
      <c r="B18" s="12">
        <f t="shared" si="1"/>
        <v>30</v>
      </c>
      <c r="C18" s="12">
        <f t="shared" si="2"/>
        <v>39</v>
      </c>
      <c r="D18" s="2" t="s">
        <v>77</v>
      </c>
      <c r="E18" s="2" t="s">
        <v>77</v>
      </c>
      <c r="F18" s="2" t="s">
        <v>64</v>
      </c>
      <c r="G18" s="2">
        <v>3</v>
      </c>
      <c r="H18" s="2">
        <v>15</v>
      </c>
      <c r="I18" s="12" t="s">
        <v>61</v>
      </c>
      <c r="J18" s="4">
        <v>30053</v>
      </c>
      <c r="K18" s="17">
        <v>10</v>
      </c>
      <c r="L18" s="23" t="s">
        <v>43</v>
      </c>
      <c r="U18" s="14" t="e">
        <f>INT(MID($D18,MIN(FIND({0,1,2,3,4,5,6,7,8,9},$D18&amp;"0123456789")),LEN($D18)*2-LENB($D18)))</f>
        <v>#VALUE!</v>
      </c>
      <c r="V18" s="14" t="str">
        <f t="shared" si="0"/>
        <v>[391D06FF]挑战 [00821c]10[-] 次主线副本</v>
      </c>
    </row>
    <row r="19" spans="1:22" s="14" customFormat="1" ht="16.5">
      <c r="A19" s="2">
        <v>10104</v>
      </c>
      <c r="B19" s="12">
        <f t="shared" si="1"/>
        <v>30</v>
      </c>
      <c r="C19" s="12">
        <f t="shared" si="2"/>
        <v>39</v>
      </c>
      <c r="D19" s="2" t="s">
        <v>78</v>
      </c>
      <c r="E19" s="2" t="s">
        <v>78</v>
      </c>
      <c r="F19" s="17" t="s">
        <v>70</v>
      </c>
      <c r="G19" s="2">
        <v>3</v>
      </c>
      <c r="H19" s="2">
        <v>16</v>
      </c>
      <c r="I19" s="12" t="s">
        <v>29</v>
      </c>
      <c r="J19" s="4">
        <v>30054</v>
      </c>
      <c r="K19" s="17">
        <v>10</v>
      </c>
      <c r="L19" s="23" t="s">
        <v>45</v>
      </c>
      <c r="U19" s="14" t="e">
        <f>INT(MID($D19,MIN(FIND({0,1,2,3,4,5,6,7,8,9},$D19&amp;"0123456789")),LEN($D19)*2-LENB($D19)))</f>
        <v>#VALUE!</v>
      </c>
      <c r="V19" s="14" t="str">
        <f t="shared" si="0"/>
        <v>[391D06FF]挑战 [00821c]5[-] 次灵台斗法</v>
      </c>
    </row>
    <row r="20" spans="1:22" s="14" customFormat="1" ht="16.5">
      <c r="A20" s="2">
        <v>10105</v>
      </c>
      <c r="B20" s="12">
        <f t="shared" si="1"/>
        <v>30</v>
      </c>
      <c r="C20" s="12">
        <f t="shared" si="2"/>
        <v>39</v>
      </c>
      <c r="D20" s="2" t="s">
        <v>79</v>
      </c>
      <c r="E20" s="2" t="s">
        <v>79</v>
      </c>
      <c r="F20" s="17">
        <v>3018</v>
      </c>
      <c r="G20" s="2">
        <v>3</v>
      </c>
      <c r="H20" s="2">
        <v>17</v>
      </c>
      <c r="I20" s="12" t="s">
        <v>31</v>
      </c>
      <c r="J20" s="4">
        <v>30055</v>
      </c>
      <c r="K20" s="17">
        <v>20</v>
      </c>
      <c r="L20" s="23" t="s">
        <v>47</v>
      </c>
      <c r="U20" s="14" t="e">
        <f>INT(MID($D20,MIN(FIND({0,1,2,3,4,5,6,7,8,9},$D20&amp;"0123456789")),LEN($D20)*2-LENB($D20)))</f>
        <v>#VALUE!</v>
      </c>
      <c r="V20" s="14" t="str">
        <f t="shared" si="0"/>
        <v>[391D06FF]进行 [00821c]3[-] 次法宝合成</v>
      </c>
    </row>
    <row r="21" spans="1:22" s="14" customFormat="1" ht="16.5">
      <c r="A21" s="2">
        <v>10106</v>
      </c>
      <c r="B21" s="12">
        <f t="shared" si="1"/>
        <v>30</v>
      </c>
      <c r="C21" s="12">
        <f t="shared" si="2"/>
        <v>39</v>
      </c>
      <c r="D21" s="2" t="s">
        <v>80</v>
      </c>
      <c r="E21" s="2" t="s">
        <v>80</v>
      </c>
      <c r="F21" s="2" t="s">
        <v>65</v>
      </c>
      <c r="G21" s="2">
        <v>3</v>
      </c>
      <c r="H21" s="2">
        <v>18</v>
      </c>
      <c r="I21" s="12" t="s">
        <v>36</v>
      </c>
      <c r="J21" s="4">
        <v>30056</v>
      </c>
      <c r="K21" s="17">
        <v>10</v>
      </c>
      <c r="L21" s="23" t="s">
        <v>49</v>
      </c>
      <c r="U21" s="14" t="e">
        <f>INT(MID($D21,MIN(FIND({0,1,2,3,4,5,6,7,8,9},$D21&amp;"0123456789")),LEN($D21)*2-LENB($D21)))</f>
        <v>#VALUE!</v>
      </c>
      <c r="V21" s="14" t="str">
        <f t="shared" si="0"/>
        <v>[391D06FF]挑战 [00821c]3[-] 次大雁塔</v>
      </c>
    </row>
    <row r="22" spans="1:22" s="14" customFormat="1" ht="16.5">
      <c r="A22" s="2">
        <v>10107</v>
      </c>
      <c r="B22" s="12">
        <f t="shared" si="1"/>
        <v>30</v>
      </c>
      <c r="C22" s="12">
        <f t="shared" si="2"/>
        <v>39</v>
      </c>
      <c r="D22" s="2" t="s">
        <v>81</v>
      </c>
      <c r="E22" s="2" t="s">
        <v>81</v>
      </c>
      <c r="F22" s="2" t="s">
        <v>66</v>
      </c>
      <c r="G22" s="2">
        <v>3</v>
      </c>
      <c r="H22" s="2">
        <v>19</v>
      </c>
      <c r="I22" s="12" t="s">
        <v>32</v>
      </c>
      <c r="J22" s="4">
        <v>30057</v>
      </c>
      <c r="K22" s="17">
        <v>10</v>
      </c>
      <c r="L22" s="23" t="s">
        <v>54</v>
      </c>
      <c r="U22" s="14" t="e">
        <f>INT(MID($D22,MIN(FIND({0,1,2,3,4,5,6,7,8,9},$D22&amp;"0123456789")),LEN($D22)*2-LENB($D22)))</f>
        <v>#VALUE!</v>
      </c>
      <c r="V22" s="14" t="str">
        <f t="shared" si="0"/>
        <v>[391D06FF]装备强化 [00821c]5[-] 次</v>
      </c>
    </row>
    <row r="23" spans="1:22" s="14" customFormat="1" ht="16.5">
      <c r="A23" s="2">
        <v>10108</v>
      </c>
      <c r="B23" s="12">
        <f t="shared" si="1"/>
        <v>30</v>
      </c>
      <c r="C23" s="12">
        <f t="shared" si="2"/>
        <v>39</v>
      </c>
      <c r="D23" s="2" t="s">
        <v>82</v>
      </c>
      <c r="E23" s="2" t="s">
        <v>82</v>
      </c>
      <c r="F23" s="2">
        <v>4503</v>
      </c>
      <c r="G23" s="2">
        <v>3</v>
      </c>
      <c r="H23" s="2">
        <v>20</v>
      </c>
      <c r="I23" s="12" t="s">
        <v>58</v>
      </c>
      <c r="J23" s="4">
        <v>30058</v>
      </c>
      <c r="K23" s="17">
        <v>20</v>
      </c>
      <c r="L23" s="23" t="s">
        <v>56</v>
      </c>
      <c r="U23" s="14" t="e">
        <f>INT(MID($D23,MIN(FIND({0,1,2,3,4,5,6,7,8,9},$D23&amp;"0123456789")),LEN($D23)*2-LENB($D23)))</f>
        <v>#VALUE!</v>
      </c>
      <c r="V23" s="14" t="str">
        <f t="shared" si="0"/>
        <v>[391D06FF]法宝强化 [00821c]3[-] 次</v>
      </c>
    </row>
    <row r="24" spans="1:22" s="14" customFormat="1" ht="16.5">
      <c r="A24" s="2">
        <v>10109</v>
      </c>
      <c r="B24" s="12">
        <f t="shared" si="1"/>
        <v>30</v>
      </c>
      <c r="C24" s="12">
        <f t="shared" si="2"/>
        <v>39</v>
      </c>
      <c r="D24" s="2" t="s">
        <v>83</v>
      </c>
      <c r="E24" s="2" t="s">
        <v>83</v>
      </c>
      <c r="F24" s="2" t="s">
        <v>68</v>
      </c>
      <c r="G24" s="2">
        <v>3</v>
      </c>
      <c r="H24" s="2">
        <v>21</v>
      </c>
      <c r="I24" s="12" t="s">
        <v>33</v>
      </c>
      <c r="J24" s="4">
        <v>30059</v>
      </c>
      <c r="K24" s="17">
        <v>10</v>
      </c>
      <c r="L24" s="23" t="s">
        <v>53</v>
      </c>
      <c r="U24" s="14" t="e">
        <f>INT(MID($D24,MIN(FIND({0,1,2,3,4,5,6,7,8,9},$D24&amp;"0123456789")),LEN($D24)*2-LENB($D24)))</f>
        <v>#VALUE!</v>
      </c>
      <c r="V24" s="14" t="str">
        <f t="shared" si="0"/>
        <v>[391D06FF]进行 [00821c]3[-] 次普通聚仙</v>
      </c>
    </row>
    <row r="25" spans="1:22" s="14" customFormat="1" ht="16.5">
      <c r="A25" s="2">
        <v>10110</v>
      </c>
      <c r="B25" s="12">
        <f t="shared" si="1"/>
        <v>30</v>
      </c>
      <c r="C25" s="12">
        <f t="shared" si="2"/>
        <v>39</v>
      </c>
      <c r="D25" s="2" t="s">
        <v>84</v>
      </c>
      <c r="E25" s="2" t="s">
        <v>84</v>
      </c>
      <c r="F25" s="2" t="s">
        <v>67</v>
      </c>
      <c r="G25" s="2">
        <v>3</v>
      </c>
      <c r="H25" s="2">
        <v>22</v>
      </c>
      <c r="I25" s="12" t="s">
        <v>34</v>
      </c>
      <c r="J25" s="4">
        <v>30060</v>
      </c>
      <c r="K25" s="17">
        <v>20</v>
      </c>
      <c r="L25" s="23" t="s">
        <v>53</v>
      </c>
      <c r="U25" s="14" t="e">
        <f>INT(MID($D25,MIN(FIND({0,1,2,3,4,5,6,7,8,9},$D25&amp;"0123456789")),LEN($D25)*2-LENB($D25)))</f>
        <v>#VALUE!</v>
      </c>
      <c r="V25" s="14" t="str">
        <f t="shared" si="0"/>
        <v>[391D06FF]进行 [00821c]1[-] 次顶级聚仙</v>
      </c>
    </row>
    <row r="26" spans="1:22" s="14" customFormat="1" ht="16.5">
      <c r="A26" s="2">
        <v>10111</v>
      </c>
      <c r="B26" s="12">
        <f t="shared" si="1"/>
        <v>30</v>
      </c>
      <c r="C26" s="12">
        <f t="shared" si="2"/>
        <v>39</v>
      </c>
      <c r="D26" s="2" t="s">
        <v>85</v>
      </c>
      <c r="E26" s="2" t="s">
        <v>85</v>
      </c>
      <c r="F26" s="2" t="s">
        <v>69</v>
      </c>
      <c r="G26" s="2">
        <v>3</v>
      </c>
      <c r="H26" s="2">
        <v>23</v>
      </c>
      <c r="I26" s="12" t="s">
        <v>60</v>
      </c>
      <c r="J26" s="4">
        <v>30061</v>
      </c>
      <c r="K26" s="17">
        <v>10</v>
      </c>
      <c r="L26" s="23" t="s">
        <v>51</v>
      </c>
      <c r="U26" s="14" t="e">
        <f>INT(MID($D26,MIN(FIND({0,1,2,3,4,5,6,7,8,9},$D26&amp;"0123456789")),LEN($D26)*2-LENB($D26)))</f>
        <v>#VALUE!</v>
      </c>
      <c r="V26" s="14" t="str">
        <f t="shared" si="0"/>
        <v>[391D06FF]伙伴升级 [00821c]1[-] 次</v>
      </c>
    </row>
    <row r="27" spans="1:22" s="14" customFormat="1" ht="16.5">
      <c r="A27" s="2">
        <v>10112</v>
      </c>
      <c r="B27" s="12">
        <f t="shared" si="1"/>
        <v>30</v>
      </c>
      <c r="C27" s="12">
        <f t="shared" si="2"/>
        <v>39</v>
      </c>
      <c r="D27" s="2" t="s">
        <v>86</v>
      </c>
      <c r="E27" s="2" t="s">
        <v>86</v>
      </c>
      <c r="F27" s="17" t="s">
        <v>73</v>
      </c>
      <c r="G27" s="2">
        <v>3</v>
      </c>
      <c r="H27" s="2">
        <v>24</v>
      </c>
      <c r="I27" s="12" t="s">
        <v>30</v>
      </c>
      <c r="J27" s="4">
        <v>30062</v>
      </c>
      <c r="K27" s="17">
        <v>10</v>
      </c>
      <c r="L27" s="23" t="s">
        <v>47</v>
      </c>
      <c r="U27" s="14" t="e">
        <f>INT(MID($D27,MIN(FIND({0,1,2,3,4,5,6,7,8,9},$D27&amp;"0123456789")),LEN($D27)*2-LENB($D27)))</f>
        <v>#VALUE!</v>
      </c>
      <c r="V27" s="14" t="str">
        <f t="shared" si="0"/>
        <v>[391D06FF]法宝抢夺 [00821c]5[-] 次</v>
      </c>
    </row>
    <row r="28" spans="1:22" s="20" customFormat="1" ht="16.5">
      <c r="A28" s="3">
        <v>10201</v>
      </c>
      <c r="B28" s="16">
        <f t="shared" si="1"/>
        <v>40</v>
      </c>
      <c r="C28" s="16">
        <f t="shared" si="2"/>
        <v>49</v>
      </c>
      <c r="D28" s="22" t="s">
        <v>87</v>
      </c>
      <c r="E28" s="22" t="s">
        <v>87</v>
      </c>
      <c r="F28" s="3">
        <v>13</v>
      </c>
      <c r="G28" s="3">
        <v>3</v>
      </c>
      <c r="H28" s="3">
        <v>25</v>
      </c>
      <c r="I28" s="16" t="s">
        <v>35</v>
      </c>
      <c r="J28" s="5">
        <v>30101</v>
      </c>
      <c r="K28" s="22">
        <v>10</v>
      </c>
      <c r="L28" s="24" t="s">
        <v>41</v>
      </c>
      <c r="U28" s="20" t="e">
        <f>INT(MID($D28,MIN(FIND({0,1,2,3,4,5,6,7,8,9},$D28&amp;"0123456789")),LEN($D28)*2-LENB($D28)))</f>
        <v>#VALUE!</v>
      </c>
      <c r="V28" s="20" t="str">
        <f t="shared" si="0"/>
        <v>[391D06FF]购买 [00821c]5[-] 个精力之心</v>
      </c>
    </row>
    <row r="29" spans="1:22" s="20" customFormat="1" ht="16.5">
      <c r="A29" s="3">
        <v>10202</v>
      </c>
      <c r="B29" s="16">
        <f t="shared" si="1"/>
        <v>40</v>
      </c>
      <c r="C29" s="16">
        <f t="shared" si="2"/>
        <v>49</v>
      </c>
      <c r="D29" s="3" t="s">
        <v>76</v>
      </c>
      <c r="E29" s="3" t="s">
        <v>76</v>
      </c>
      <c r="F29" s="7">
        <v>14000</v>
      </c>
      <c r="G29" s="3">
        <v>3</v>
      </c>
      <c r="H29" s="3">
        <v>26</v>
      </c>
      <c r="I29" s="16" t="s">
        <v>59</v>
      </c>
      <c r="J29" s="10">
        <v>30102</v>
      </c>
      <c r="K29" s="22">
        <v>10</v>
      </c>
      <c r="L29" s="10">
        <v>14</v>
      </c>
      <c r="U29" s="20" t="e">
        <f>INT(MID($D29,MIN(FIND({0,1,2,3,4,5,6,7,8,9},$D29&amp;"0123456789")),LEN($D29)*2-LENB($D29)))</f>
        <v>#VALUE!</v>
      </c>
      <c r="V29" s="20" t="str">
        <f t="shared" si="0"/>
        <v>[391D06FF]购买 [00821c]5[-] 个蟠桃</v>
      </c>
    </row>
    <row r="30" spans="1:22" s="20" customFormat="1" ht="16.5">
      <c r="A30" s="3">
        <v>10203</v>
      </c>
      <c r="B30" s="16">
        <f t="shared" si="1"/>
        <v>40</v>
      </c>
      <c r="C30" s="16">
        <f t="shared" si="2"/>
        <v>49</v>
      </c>
      <c r="D30" s="3" t="s">
        <v>77</v>
      </c>
      <c r="E30" s="3" t="s">
        <v>77</v>
      </c>
      <c r="F30" s="3" t="s">
        <v>64</v>
      </c>
      <c r="G30" s="3">
        <v>3</v>
      </c>
      <c r="H30" s="3">
        <v>27</v>
      </c>
      <c r="I30" s="16" t="s">
        <v>61</v>
      </c>
      <c r="J30" s="5">
        <v>30103</v>
      </c>
      <c r="K30" s="22">
        <v>10</v>
      </c>
      <c r="L30" s="24" t="s">
        <v>43</v>
      </c>
      <c r="U30" s="20" t="e">
        <f>INT(MID($D30,MIN(FIND({0,1,2,3,4,5,6,7,8,9},$D30&amp;"0123456789")),LEN($D30)*2-LENB($D30)))</f>
        <v>#VALUE!</v>
      </c>
      <c r="V30" s="20" t="str">
        <f t="shared" si="0"/>
        <v>[391D06FF]挑战 [00821c]10[-] 次主线副本</v>
      </c>
    </row>
    <row r="31" spans="1:22" s="20" customFormat="1" ht="16.5">
      <c r="A31" s="3">
        <v>10204</v>
      </c>
      <c r="B31" s="16">
        <f t="shared" si="1"/>
        <v>40</v>
      </c>
      <c r="C31" s="16">
        <f t="shared" si="2"/>
        <v>49</v>
      </c>
      <c r="D31" s="3" t="s">
        <v>78</v>
      </c>
      <c r="E31" s="3" t="s">
        <v>78</v>
      </c>
      <c r="F31" s="22" t="s">
        <v>71</v>
      </c>
      <c r="G31" s="3">
        <v>3</v>
      </c>
      <c r="H31" s="3">
        <v>28</v>
      </c>
      <c r="I31" s="16" t="s">
        <v>29</v>
      </c>
      <c r="J31" s="5">
        <v>30104</v>
      </c>
      <c r="K31" s="22">
        <v>10</v>
      </c>
      <c r="L31" s="24" t="s">
        <v>45</v>
      </c>
      <c r="U31" s="20" t="e">
        <f>INT(MID($D31,MIN(FIND({0,1,2,3,4,5,6,7,8,9},$D31&amp;"0123456789")),LEN($D31)*2-LENB($D31)))</f>
        <v>#VALUE!</v>
      </c>
      <c r="V31" s="20" t="str">
        <f t="shared" si="0"/>
        <v>[391D06FF]挑战 [00821c]5[-] 次灵台斗法</v>
      </c>
    </row>
    <row r="32" spans="1:22" s="20" customFormat="1" ht="16.5">
      <c r="A32" s="3">
        <v>10205</v>
      </c>
      <c r="B32" s="16">
        <f t="shared" si="1"/>
        <v>40</v>
      </c>
      <c r="C32" s="16">
        <f t="shared" si="2"/>
        <v>49</v>
      </c>
      <c r="D32" s="3" t="s">
        <v>79</v>
      </c>
      <c r="E32" s="3" t="s">
        <v>79</v>
      </c>
      <c r="F32" s="3">
        <v>3018</v>
      </c>
      <c r="G32" s="3">
        <v>3</v>
      </c>
      <c r="H32" s="3">
        <v>29</v>
      </c>
      <c r="I32" s="16" t="s">
        <v>31</v>
      </c>
      <c r="J32" s="5">
        <v>30105</v>
      </c>
      <c r="K32" s="22">
        <v>20</v>
      </c>
      <c r="L32" s="24" t="s">
        <v>47</v>
      </c>
      <c r="U32" s="20" t="e">
        <f>INT(MID($D32,MIN(FIND({0,1,2,3,4,5,6,7,8,9},$D32&amp;"0123456789")),LEN($D32)*2-LENB($D32)))</f>
        <v>#VALUE!</v>
      </c>
      <c r="V32" s="20" t="str">
        <f t="shared" si="0"/>
        <v>[391D06FF]进行 [00821c]3[-] 次法宝合成</v>
      </c>
    </row>
    <row r="33" spans="1:22" s="20" customFormat="1" ht="16.5">
      <c r="A33" s="3">
        <v>10206</v>
      </c>
      <c r="B33" s="16">
        <f t="shared" si="1"/>
        <v>40</v>
      </c>
      <c r="C33" s="16">
        <f t="shared" si="2"/>
        <v>49</v>
      </c>
      <c r="D33" s="3" t="s">
        <v>80</v>
      </c>
      <c r="E33" s="3" t="s">
        <v>80</v>
      </c>
      <c r="F33" s="3" t="s">
        <v>65</v>
      </c>
      <c r="G33" s="3">
        <v>3</v>
      </c>
      <c r="H33" s="3">
        <v>30</v>
      </c>
      <c r="I33" s="16" t="s">
        <v>36</v>
      </c>
      <c r="J33" s="5">
        <v>30106</v>
      </c>
      <c r="K33" s="22">
        <v>10</v>
      </c>
      <c r="L33" s="24" t="s">
        <v>49</v>
      </c>
      <c r="U33" s="20" t="e">
        <f>INT(MID($D33,MIN(FIND({0,1,2,3,4,5,6,7,8,9},$D33&amp;"0123456789")),LEN($D33)*2-LENB($D33)))</f>
        <v>#VALUE!</v>
      </c>
      <c r="V33" s="20" t="str">
        <f t="shared" si="0"/>
        <v>[391D06FF]挑战 [00821c]3[-] 次大雁塔</v>
      </c>
    </row>
    <row r="34" spans="1:22" s="20" customFormat="1" ht="16.5">
      <c r="A34" s="3">
        <v>10207</v>
      </c>
      <c r="B34" s="16">
        <f t="shared" si="1"/>
        <v>40</v>
      </c>
      <c r="C34" s="16">
        <f t="shared" si="2"/>
        <v>49</v>
      </c>
      <c r="D34" s="3" t="s">
        <v>81</v>
      </c>
      <c r="E34" s="3" t="s">
        <v>81</v>
      </c>
      <c r="F34" s="3" t="s">
        <v>66</v>
      </c>
      <c r="G34" s="3">
        <v>3</v>
      </c>
      <c r="H34" s="3">
        <v>31</v>
      </c>
      <c r="I34" s="16" t="s">
        <v>32</v>
      </c>
      <c r="J34" s="5">
        <v>30107</v>
      </c>
      <c r="K34" s="22">
        <v>10</v>
      </c>
      <c r="L34" s="24" t="s">
        <v>54</v>
      </c>
      <c r="U34" s="20" t="e">
        <f>INT(MID($D34,MIN(FIND({0,1,2,3,4,5,6,7,8,9},$D34&amp;"0123456789")),LEN($D34)*2-LENB($D34)))</f>
        <v>#VALUE!</v>
      </c>
      <c r="V34" s="20" t="str">
        <f t="shared" si="0"/>
        <v>[391D06FF]装备强化 [00821c]5[-] 次</v>
      </c>
    </row>
    <row r="35" spans="1:22" s="20" customFormat="1" ht="16.5">
      <c r="A35" s="3">
        <v>10208</v>
      </c>
      <c r="B35" s="16">
        <f t="shared" si="1"/>
        <v>40</v>
      </c>
      <c r="C35" s="16">
        <f t="shared" si="2"/>
        <v>49</v>
      </c>
      <c r="D35" s="3" t="s">
        <v>82</v>
      </c>
      <c r="E35" s="3" t="s">
        <v>82</v>
      </c>
      <c r="F35" s="3">
        <v>4503</v>
      </c>
      <c r="G35" s="3">
        <v>3</v>
      </c>
      <c r="H35" s="3">
        <v>32</v>
      </c>
      <c r="I35" s="16" t="s">
        <v>58</v>
      </c>
      <c r="J35" s="5">
        <v>30108</v>
      </c>
      <c r="K35" s="22">
        <v>20</v>
      </c>
      <c r="L35" s="24" t="s">
        <v>56</v>
      </c>
      <c r="U35" s="20" t="e">
        <f>INT(MID($D35,MIN(FIND({0,1,2,3,4,5,6,7,8,9},$D35&amp;"0123456789")),LEN($D35)*2-LENB($D35)))</f>
        <v>#VALUE!</v>
      </c>
      <c r="V35" s="20" t="str">
        <f t="shared" si="0"/>
        <v>[391D06FF]法宝强化 [00821c]3[-] 次</v>
      </c>
    </row>
    <row r="36" spans="1:22" s="20" customFormat="1" ht="16.5">
      <c r="A36" s="3">
        <v>10209</v>
      </c>
      <c r="B36" s="16">
        <f t="shared" si="1"/>
        <v>40</v>
      </c>
      <c r="C36" s="16">
        <f t="shared" si="2"/>
        <v>49</v>
      </c>
      <c r="D36" s="3" t="s">
        <v>83</v>
      </c>
      <c r="E36" s="3" t="s">
        <v>83</v>
      </c>
      <c r="F36" s="3" t="s">
        <v>68</v>
      </c>
      <c r="G36" s="3">
        <v>3</v>
      </c>
      <c r="H36" s="3">
        <v>33</v>
      </c>
      <c r="I36" s="16" t="s">
        <v>33</v>
      </c>
      <c r="J36" s="5">
        <v>30109</v>
      </c>
      <c r="K36" s="22">
        <v>10</v>
      </c>
      <c r="L36" s="24" t="s">
        <v>53</v>
      </c>
      <c r="U36" s="20" t="e">
        <f>INT(MID($D36,MIN(FIND({0,1,2,3,4,5,6,7,8,9},$D36&amp;"0123456789")),LEN($D36)*2-LENB($D36)))</f>
        <v>#VALUE!</v>
      </c>
      <c r="V36" s="20" t="str">
        <f t="shared" si="0"/>
        <v>[391D06FF]进行 [00821c]3[-] 次普通聚仙</v>
      </c>
    </row>
    <row r="37" spans="1:22" s="20" customFormat="1" ht="16.5">
      <c r="A37" s="3">
        <v>10210</v>
      </c>
      <c r="B37" s="16">
        <f t="shared" si="1"/>
        <v>40</v>
      </c>
      <c r="C37" s="16">
        <f t="shared" si="2"/>
        <v>49</v>
      </c>
      <c r="D37" s="3" t="s">
        <v>84</v>
      </c>
      <c r="E37" s="3" t="s">
        <v>84</v>
      </c>
      <c r="F37" s="3" t="s">
        <v>67</v>
      </c>
      <c r="G37" s="3">
        <v>3</v>
      </c>
      <c r="H37" s="3">
        <v>34</v>
      </c>
      <c r="I37" s="16" t="s">
        <v>34</v>
      </c>
      <c r="J37" s="5">
        <v>30110</v>
      </c>
      <c r="K37" s="22">
        <v>20</v>
      </c>
      <c r="L37" s="24" t="s">
        <v>53</v>
      </c>
      <c r="U37" s="20" t="e">
        <f>INT(MID($D37,MIN(FIND({0,1,2,3,4,5,6,7,8,9},$D37&amp;"0123456789")),LEN($D37)*2-LENB($D37)))</f>
        <v>#VALUE!</v>
      </c>
      <c r="V37" s="20" t="str">
        <f t="shared" si="0"/>
        <v>[391D06FF]进行 [00821c]1[-] 次顶级聚仙</v>
      </c>
    </row>
    <row r="38" spans="1:22" s="20" customFormat="1" ht="16.5">
      <c r="A38" s="3">
        <v>10211</v>
      </c>
      <c r="B38" s="16">
        <f t="shared" si="1"/>
        <v>40</v>
      </c>
      <c r="C38" s="16">
        <f t="shared" si="2"/>
        <v>49</v>
      </c>
      <c r="D38" s="3" t="s">
        <v>85</v>
      </c>
      <c r="E38" s="3" t="s">
        <v>85</v>
      </c>
      <c r="F38" s="3" t="s">
        <v>69</v>
      </c>
      <c r="G38" s="3">
        <v>3</v>
      </c>
      <c r="H38" s="3">
        <v>35</v>
      </c>
      <c r="I38" s="16" t="s">
        <v>60</v>
      </c>
      <c r="J38" s="5">
        <v>30111</v>
      </c>
      <c r="K38" s="22">
        <v>10</v>
      </c>
      <c r="L38" s="24" t="s">
        <v>51</v>
      </c>
      <c r="U38" s="20" t="e">
        <f>INT(MID($D38,MIN(FIND({0,1,2,3,4,5,6,7,8,9},$D38&amp;"0123456789")),LEN($D38)*2-LENB($D38)))</f>
        <v>#VALUE!</v>
      </c>
      <c r="V38" s="20" t="str">
        <f t="shared" si="0"/>
        <v>[391D06FF]伙伴升级 [00821c]1[-] 次</v>
      </c>
    </row>
    <row r="39" spans="1:22" s="20" customFormat="1" ht="16.5">
      <c r="A39" s="3">
        <v>10212</v>
      </c>
      <c r="B39" s="16">
        <f t="shared" si="1"/>
        <v>40</v>
      </c>
      <c r="C39" s="16">
        <f t="shared" si="2"/>
        <v>49</v>
      </c>
      <c r="D39" s="3" t="s">
        <v>86</v>
      </c>
      <c r="E39" s="3" t="s">
        <v>86</v>
      </c>
      <c r="F39" s="22" t="s">
        <v>73</v>
      </c>
      <c r="G39" s="3">
        <v>3</v>
      </c>
      <c r="H39" s="3">
        <v>36</v>
      </c>
      <c r="I39" s="16" t="s">
        <v>30</v>
      </c>
      <c r="J39" s="5">
        <v>30112</v>
      </c>
      <c r="K39" s="22">
        <v>10</v>
      </c>
      <c r="L39" s="24" t="s">
        <v>47</v>
      </c>
      <c r="U39" s="20" t="e">
        <f>INT(MID($D39,MIN(FIND({0,1,2,3,4,5,6,7,8,9},$D39&amp;"0123456789")),LEN($D39)*2-LENB($D39)))</f>
        <v>#VALUE!</v>
      </c>
      <c r="V39" s="20" t="str">
        <f t="shared" si="0"/>
        <v>[391D06FF]法宝抢夺 [00821c]5[-] 次</v>
      </c>
    </row>
    <row r="40" spans="1:22" s="14" customFormat="1" ht="16.5">
      <c r="A40" s="2">
        <v>10301</v>
      </c>
      <c r="B40" s="12">
        <f t="shared" si="1"/>
        <v>50</v>
      </c>
      <c r="C40" s="12">
        <f t="shared" si="2"/>
        <v>59</v>
      </c>
      <c r="D40" s="17" t="s">
        <v>87</v>
      </c>
      <c r="E40" s="17" t="s">
        <v>87</v>
      </c>
      <c r="F40" s="2">
        <v>13</v>
      </c>
      <c r="G40" s="2">
        <v>3</v>
      </c>
      <c r="H40" s="2">
        <v>37</v>
      </c>
      <c r="I40" s="12" t="s">
        <v>35</v>
      </c>
      <c r="J40" s="4">
        <v>30151</v>
      </c>
      <c r="K40" s="17">
        <v>10</v>
      </c>
      <c r="L40" s="23" t="s">
        <v>41</v>
      </c>
      <c r="U40" s="14" t="e">
        <f>INT(MID($D40,MIN(FIND({0,1,2,3,4,5,6,7,8,9},$D40&amp;"0123456789")),LEN($D40)*2-LENB($D40)))</f>
        <v>#VALUE!</v>
      </c>
      <c r="V40" s="14" t="str">
        <f t="shared" si="0"/>
        <v>[391D06FF]购买 [00821c]5[-] 个精力之心</v>
      </c>
    </row>
    <row r="41" spans="1:22" s="14" customFormat="1" ht="16.5">
      <c r="A41" s="2">
        <v>10302</v>
      </c>
      <c r="B41" s="12">
        <f t="shared" si="1"/>
        <v>50</v>
      </c>
      <c r="C41" s="12">
        <f t="shared" si="2"/>
        <v>59</v>
      </c>
      <c r="D41" s="2" t="s">
        <v>76</v>
      </c>
      <c r="E41" s="2" t="s">
        <v>76</v>
      </c>
      <c r="F41" s="18">
        <v>14000</v>
      </c>
      <c r="G41" s="2">
        <v>3</v>
      </c>
      <c r="H41" s="2">
        <v>38</v>
      </c>
      <c r="I41" s="12" t="s">
        <v>59</v>
      </c>
      <c r="J41" s="19">
        <v>30152</v>
      </c>
      <c r="K41" s="17">
        <v>10</v>
      </c>
      <c r="L41" s="19">
        <v>14</v>
      </c>
      <c r="U41" s="14" t="e">
        <f>INT(MID($D41,MIN(FIND({0,1,2,3,4,5,6,7,8,9},$D41&amp;"0123456789")),LEN($D41)*2-LENB($D41)))</f>
        <v>#VALUE!</v>
      </c>
      <c r="V41" s="14" t="str">
        <f t="shared" si="0"/>
        <v>[391D06FF]购买 [00821c]5[-] 个蟠桃</v>
      </c>
    </row>
    <row r="42" spans="1:22" s="14" customFormat="1" ht="16.5">
      <c r="A42" s="2">
        <v>10303</v>
      </c>
      <c r="B42" s="12">
        <f t="shared" si="1"/>
        <v>50</v>
      </c>
      <c r="C42" s="12">
        <f t="shared" si="2"/>
        <v>59</v>
      </c>
      <c r="D42" s="2" t="s">
        <v>77</v>
      </c>
      <c r="E42" s="2" t="s">
        <v>77</v>
      </c>
      <c r="F42" s="2" t="s">
        <v>64</v>
      </c>
      <c r="G42" s="2">
        <v>3</v>
      </c>
      <c r="H42" s="2">
        <v>39</v>
      </c>
      <c r="I42" s="12" t="s">
        <v>61</v>
      </c>
      <c r="J42" s="4">
        <v>30153</v>
      </c>
      <c r="K42" s="17">
        <v>10</v>
      </c>
      <c r="L42" s="23" t="s">
        <v>43</v>
      </c>
      <c r="U42" s="14" t="e">
        <f>INT(MID($D42,MIN(FIND({0,1,2,3,4,5,6,7,8,9},$D42&amp;"0123456789")),LEN($D42)*2-LENB($D42)))</f>
        <v>#VALUE!</v>
      </c>
      <c r="V42" s="14" t="str">
        <f t="shared" si="0"/>
        <v>[391D06FF]挑战 [00821c]10[-] 次主线副本</v>
      </c>
    </row>
    <row r="43" spans="1:22" s="14" customFormat="1" ht="16.5">
      <c r="A43" s="2">
        <v>10304</v>
      </c>
      <c r="B43" s="12">
        <f t="shared" si="1"/>
        <v>50</v>
      </c>
      <c r="C43" s="12">
        <f t="shared" si="2"/>
        <v>59</v>
      </c>
      <c r="D43" s="2" t="s">
        <v>78</v>
      </c>
      <c r="E43" s="2" t="s">
        <v>78</v>
      </c>
      <c r="F43" s="17" t="s">
        <v>70</v>
      </c>
      <c r="G43" s="2">
        <v>3</v>
      </c>
      <c r="H43" s="2">
        <v>40</v>
      </c>
      <c r="I43" s="12" t="s">
        <v>29</v>
      </c>
      <c r="J43" s="4">
        <v>30154</v>
      </c>
      <c r="K43" s="17">
        <v>10</v>
      </c>
      <c r="L43" s="23" t="s">
        <v>45</v>
      </c>
      <c r="U43" s="14" t="e">
        <f>INT(MID($D43,MIN(FIND({0,1,2,3,4,5,6,7,8,9},$D43&amp;"0123456789")),LEN($D43)*2-LENB($D43)))</f>
        <v>#VALUE!</v>
      </c>
      <c r="V43" s="14" t="str">
        <f t="shared" si="0"/>
        <v>[391D06FF]挑战 [00821c]5[-] 次灵台斗法</v>
      </c>
    </row>
    <row r="44" spans="1:22" s="14" customFormat="1" ht="16.5">
      <c r="A44" s="2">
        <v>10305</v>
      </c>
      <c r="B44" s="12">
        <f t="shared" si="1"/>
        <v>50</v>
      </c>
      <c r="C44" s="12">
        <f t="shared" si="2"/>
        <v>59</v>
      </c>
      <c r="D44" s="2" t="s">
        <v>79</v>
      </c>
      <c r="E44" s="2" t="s">
        <v>79</v>
      </c>
      <c r="F44" s="2">
        <v>3018</v>
      </c>
      <c r="G44" s="2">
        <v>3</v>
      </c>
      <c r="H44" s="2">
        <v>41</v>
      </c>
      <c r="I44" s="12" t="s">
        <v>31</v>
      </c>
      <c r="J44" s="4">
        <v>30155</v>
      </c>
      <c r="K44" s="17">
        <v>20</v>
      </c>
      <c r="L44" s="23" t="s">
        <v>47</v>
      </c>
      <c r="U44" s="14" t="e">
        <f>INT(MID($D44,MIN(FIND({0,1,2,3,4,5,6,7,8,9},$D44&amp;"0123456789")),LEN($D44)*2-LENB($D44)))</f>
        <v>#VALUE!</v>
      </c>
      <c r="V44" s="14" t="str">
        <f t="shared" si="0"/>
        <v>[391D06FF]进行 [00821c]3[-] 次法宝合成</v>
      </c>
    </row>
    <row r="45" spans="1:22" s="14" customFormat="1" ht="16.5">
      <c r="A45" s="2">
        <v>10306</v>
      </c>
      <c r="B45" s="12">
        <f t="shared" si="1"/>
        <v>50</v>
      </c>
      <c r="C45" s="12">
        <f t="shared" si="2"/>
        <v>59</v>
      </c>
      <c r="D45" s="2" t="s">
        <v>80</v>
      </c>
      <c r="E45" s="2" t="s">
        <v>80</v>
      </c>
      <c r="F45" s="2" t="s">
        <v>65</v>
      </c>
      <c r="G45" s="2">
        <v>3</v>
      </c>
      <c r="H45" s="2">
        <v>42</v>
      </c>
      <c r="I45" s="12" t="s">
        <v>36</v>
      </c>
      <c r="J45" s="4">
        <v>30156</v>
      </c>
      <c r="K45" s="17">
        <v>10</v>
      </c>
      <c r="L45" s="23" t="s">
        <v>49</v>
      </c>
      <c r="U45" s="14" t="e">
        <f>INT(MID($D45,MIN(FIND({0,1,2,3,4,5,6,7,8,9},$D45&amp;"0123456789")),LEN($D45)*2-LENB($D45)))</f>
        <v>#VALUE!</v>
      </c>
      <c r="V45" s="14" t="str">
        <f t="shared" si="0"/>
        <v>[391D06FF]挑战 [00821c]3[-] 次大雁塔</v>
      </c>
    </row>
    <row r="46" spans="1:22" s="14" customFormat="1" ht="16.5">
      <c r="A46" s="2">
        <v>10307</v>
      </c>
      <c r="B46" s="12">
        <f t="shared" si="1"/>
        <v>50</v>
      </c>
      <c r="C46" s="12">
        <f t="shared" si="2"/>
        <v>59</v>
      </c>
      <c r="D46" s="2" t="s">
        <v>81</v>
      </c>
      <c r="E46" s="2" t="s">
        <v>81</v>
      </c>
      <c r="F46" s="2" t="s">
        <v>66</v>
      </c>
      <c r="G46" s="2">
        <v>3</v>
      </c>
      <c r="H46" s="2">
        <v>43</v>
      </c>
      <c r="I46" s="12" t="s">
        <v>32</v>
      </c>
      <c r="J46" s="4">
        <v>30157</v>
      </c>
      <c r="K46" s="17">
        <v>10</v>
      </c>
      <c r="L46" s="23" t="s">
        <v>54</v>
      </c>
      <c r="U46" s="14" t="e">
        <f>INT(MID($D46,MIN(FIND({0,1,2,3,4,5,6,7,8,9},$D46&amp;"0123456789")),LEN($D46)*2-LENB($D46)))</f>
        <v>#VALUE!</v>
      </c>
      <c r="V46" s="14" t="str">
        <f t="shared" si="0"/>
        <v>[391D06FF]装备强化 [00821c]5[-] 次</v>
      </c>
    </row>
    <row r="47" spans="1:22" s="14" customFormat="1" ht="16.5">
      <c r="A47" s="2">
        <v>10308</v>
      </c>
      <c r="B47" s="12">
        <f t="shared" si="1"/>
        <v>50</v>
      </c>
      <c r="C47" s="12">
        <f t="shared" si="2"/>
        <v>59</v>
      </c>
      <c r="D47" s="2" t="s">
        <v>82</v>
      </c>
      <c r="E47" s="2" t="s">
        <v>82</v>
      </c>
      <c r="F47" s="2">
        <v>4503</v>
      </c>
      <c r="G47" s="2">
        <v>3</v>
      </c>
      <c r="H47" s="2">
        <v>44</v>
      </c>
      <c r="I47" s="12" t="s">
        <v>58</v>
      </c>
      <c r="J47" s="4">
        <v>30158</v>
      </c>
      <c r="K47" s="17">
        <v>20</v>
      </c>
      <c r="L47" s="23" t="s">
        <v>56</v>
      </c>
      <c r="U47" s="14" t="e">
        <f>INT(MID($D47,MIN(FIND({0,1,2,3,4,5,6,7,8,9},$D47&amp;"0123456789")),LEN($D47)*2-LENB($D47)))</f>
        <v>#VALUE!</v>
      </c>
      <c r="V47" s="14" t="str">
        <f t="shared" si="0"/>
        <v>[391D06FF]法宝强化 [00821c]3[-] 次</v>
      </c>
    </row>
    <row r="48" spans="1:22" s="14" customFormat="1" ht="16.5">
      <c r="A48" s="2">
        <v>10309</v>
      </c>
      <c r="B48" s="12">
        <f t="shared" si="1"/>
        <v>50</v>
      </c>
      <c r="C48" s="12">
        <f t="shared" si="2"/>
        <v>59</v>
      </c>
      <c r="D48" s="2" t="s">
        <v>83</v>
      </c>
      <c r="E48" s="2" t="s">
        <v>83</v>
      </c>
      <c r="F48" s="2" t="s">
        <v>68</v>
      </c>
      <c r="G48" s="2">
        <v>3</v>
      </c>
      <c r="H48" s="2">
        <v>45</v>
      </c>
      <c r="I48" s="12" t="s">
        <v>33</v>
      </c>
      <c r="J48" s="4">
        <v>30159</v>
      </c>
      <c r="K48" s="17">
        <v>10</v>
      </c>
      <c r="L48" s="23" t="s">
        <v>53</v>
      </c>
      <c r="U48" s="14" t="e">
        <f>INT(MID($D48,MIN(FIND({0,1,2,3,4,5,6,7,8,9},$D48&amp;"0123456789")),LEN($D48)*2-LENB($D48)))</f>
        <v>#VALUE!</v>
      </c>
      <c r="V48" s="14" t="str">
        <f t="shared" si="0"/>
        <v>[391D06FF]进行 [00821c]3[-] 次普通聚仙</v>
      </c>
    </row>
    <row r="49" spans="1:22" s="14" customFormat="1" ht="16.5">
      <c r="A49" s="2">
        <v>10310</v>
      </c>
      <c r="B49" s="12">
        <f t="shared" si="1"/>
        <v>50</v>
      </c>
      <c r="C49" s="12">
        <f t="shared" si="2"/>
        <v>59</v>
      </c>
      <c r="D49" s="2" t="s">
        <v>84</v>
      </c>
      <c r="E49" s="2" t="s">
        <v>84</v>
      </c>
      <c r="F49" s="2" t="s">
        <v>67</v>
      </c>
      <c r="G49" s="2">
        <v>3</v>
      </c>
      <c r="H49" s="2">
        <v>46</v>
      </c>
      <c r="I49" s="12" t="s">
        <v>34</v>
      </c>
      <c r="J49" s="4">
        <v>30160</v>
      </c>
      <c r="K49" s="17">
        <v>20</v>
      </c>
      <c r="L49" s="23" t="s">
        <v>53</v>
      </c>
      <c r="U49" s="14" t="e">
        <f>INT(MID($D49,MIN(FIND({0,1,2,3,4,5,6,7,8,9},$D49&amp;"0123456789")),LEN($D49)*2-LENB($D49)))</f>
        <v>#VALUE!</v>
      </c>
      <c r="V49" s="14" t="str">
        <f t="shared" si="0"/>
        <v>[391D06FF]进行 [00821c]1[-] 次顶级聚仙</v>
      </c>
    </row>
    <row r="50" spans="1:22" s="14" customFormat="1" ht="16.5">
      <c r="A50" s="2">
        <v>10311</v>
      </c>
      <c r="B50" s="12">
        <f t="shared" si="1"/>
        <v>50</v>
      </c>
      <c r="C50" s="12">
        <f t="shared" si="2"/>
        <v>59</v>
      </c>
      <c r="D50" s="2" t="s">
        <v>85</v>
      </c>
      <c r="E50" s="2" t="s">
        <v>85</v>
      </c>
      <c r="F50" s="2" t="s">
        <v>69</v>
      </c>
      <c r="G50" s="2">
        <v>3</v>
      </c>
      <c r="H50" s="2">
        <v>47</v>
      </c>
      <c r="I50" s="12" t="s">
        <v>60</v>
      </c>
      <c r="J50" s="4">
        <v>30161</v>
      </c>
      <c r="K50" s="17">
        <v>10</v>
      </c>
      <c r="L50" s="23" t="s">
        <v>51</v>
      </c>
      <c r="U50" s="14" t="e">
        <f>INT(MID($D50,MIN(FIND({0,1,2,3,4,5,6,7,8,9},$D50&amp;"0123456789")),LEN($D50)*2-LENB($D50)))</f>
        <v>#VALUE!</v>
      </c>
      <c r="V50" s="14" t="str">
        <f t="shared" si="0"/>
        <v>[391D06FF]伙伴升级 [00821c]1[-] 次</v>
      </c>
    </row>
    <row r="51" spans="1:22" s="14" customFormat="1" ht="16.5">
      <c r="A51" s="2">
        <v>10312</v>
      </c>
      <c r="B51" s="12">
        <f t="shared" si="1"/>
        <v>50</v>
      </c>
      <c r="C51" s="12">
        <f t="shared" si="2"/>
        <v>59</v>
      </c>
      <c r="D51" s="2" t="s">
        <v>86</v>
      </c>
      <c r="E51" s="2" t="s">
        <v>86</v>
      </c>
      <c r="F51" s="17" t="s">
        <v>73</v>
      </c>
      <c r="G51" s="2">
        <v>3</v>
      </c>
      <c r="H51" s="2">
        <v>48</v>
      </c>
      <c r="I51" s="12" t="s">
        <v>30</v>
      </c>
      <c r="J51" s="4">
        <v>30162</v>
      </c>
      <c r="K51" s="17">
        <v>10</v>
      </c>
      <c r="L51" s="23" t="s">
        <v>47</v>
      </c>
      <c r="U51" s="14" t="e">
        <f>INT(MID($D51,MIN(FIND({0,1,2,3,4,5,6,7,8,9},$D51&amp;"0123456789")),LEN($D51)*2-LENB($D51)))</f>
        <v>#VALUE!</v>
      </c>
      <c r="V51" s="14" t="str">
        <f t="shared" si="0"/>
        <v>[391D06FF]法宝抢夺 [00821c]5[-] 次</v>
      </c>
    </row>
    <row r="52" spans="1:22" s="20" customFormat="1" ht="16.5">
      <c r="A52" s="3">
        <v>10401</v>
      </c>
      <c r="B52" s="16">
        <f t="shared" si="1"/>
        <v>60</v>
      </c>
      <c r="C52" s="16">
        <f t="shared" si="2"/>
        <v>69</v>
      </c>
      <c r="D52" s="22" t="s">
        <v>87</v>
      </c>
      <c r="E52" s="22" t="s">
        <v>87</v>
      </c>
      <c r="F52" s="3">
        <v>13</v>
      </c>
      <c r="G52" s="3">
        <v>3</v>
      </c>
      <c r="H52" s="3">
        <v>49</v>
      </c>
      <c r="I52" s="16" t="s">
        <v>35</v>
      </c>
      <c r="J52" s="5">
        <v>30201</v>
      </c>
      <c r="K52" s="22">
        <v>10</v>
      </c>
      <c r="L52" s="24" t="s">
        <v>41</v>
      </c>
      <c r="U52" s="20" t="e">
        <f>INT(MID($D52,MIN(FIND({0,1,2,3,4,5,6,7,8,9},$D52&amp;"0123456789")),LEN($D52)*2-LENB($D52)))</f>
        <v>#VALUE!</v>
      </c>
      <c r="V52" s="20" t="str">
        <f t="shared" si="0"/>
        <v>[391D06FF]购买 [00821c]5[-] 个精力之心</v>
      </c>
    </row>
    <row r="53" spans="1:22" s="20" customFormat="1" ht="16.5">
      <c r="A53" s="3">
        <v>10402</v>
      </c>
      <c r="B53" s="16">
        <f t="shared" si="1"/>
        <v>60</v>
      </c>
      <c r="C53" s="16">
        <f t="shared" si="2"/>
        <v>69</v>
      </c>
      <c r="D53" s="3" t="s">
        <v>76</v>
      </c>
      <c r="E53" s="3" t="s">
        <v>76</v>
      </c>
      <c r="F53" s="7">
        <v>14000</v>
      </c>
      <c r="G53" s="3">
        <v>3</v>
      </c>
      <c r="H53" s="3">
        <v>50</v>
      </c>
      <c r="I53" s="16" t="s">
        <v>59</v>
      </c>
      <c r="J53" s="10">
        <v>30202</v>
      </c>
      <c r="K53" s="22">
        <v>10</v>
      </c>
      <c r="L53" s="10">
        <v>14</v>
      </c>
      <c r="U53" s="20" t="e">
        <f>INT(MID($D53,MIN(FIND({0,1,2,3,4,5,6,7,8,9},$D53&amp;"0123456789")),LEN($D53)*2-LENB($D53)))</f>
        <v>#VALUE!</v>
      </c>
      <c r="V53" s="20" t="str">
        <f t="shared" si="0"/>
        <v>[391D06FF]购买 [00821c]5[-] 个蟠桃</v>
      </c>
    </row>
    <row r="54" spans="1:22" s="20" customFormat="1" ht="16.5">
      <c r="A54" s="3">
        <v>10403</v>
      </c>
      <c r="B54" s="16">
        <f t="shared" si="1"/>
        <v>60</v>
      </c>
      <c r="C54" s="16">
        <f t="shared" si="2"/>
        <v>69</v>
      </c>
      <c r="D54" s="3" t="s">
        <v>77</v>
      </c>
      <c r="E54" s="3" t="s">
        <v>77</v>
      </c>
      <c r="F54" s="3" t="s">
        <v>64</v>
      </c>
      <c r="G54" s="3">
        <v>3</v>
      </c>
      <c r="H54" s="3">
        <v>51</v>
      </c>
      <c r="I54" s="16" t="s">
        <v>61</v>
      </c>
      <c r="J54" s="5">
        <v>30203</v>
      </c>
      <c r="K54" s="22">
        <v>10</v>
      </c>
      <c r="L54" s="24" t="s">
        <v>43</v>
      </c>
      <c r="U54" s="20" t="e">
        <f>INT(MID($D54,MIN(FIND({0,1,2,3,4,5,6,7,8,9},$D54&amp;"0123456789")),LEN($D54)*2-LENB($D54)))</f>
        <v>#VALUE!</v>
      </c>
      <c r="V54" s="20" t="str">
        <f t="shared" si="0"/>
        <v>[391D06FF]挑战 [00821c]10[-] 次主线副本</v>
      </c>
    </row>
    <row r="55" spans="1:22" s="20" customFormat="1" ht="16.5">
      <c r="A55" s="3">
        <v>10404</v>
      </c>
      <c r="B55" s="16">
        <f t="shared" si="1"/>
        <v>60</v>
      </c>
      <c r="C55" s="16">
        <f t="shared" si="2"/>
        <v>69</v>
      </c>
      <c r="D55" s="3" t="s">
        <v>78</v>
      </c>
      <c r="E55" s="3" t="s">
        <v>78</v>
      </c>
      <c r="F55" s="22" t="s">
        <v>70</v>
      </c>
      <c r="G55" s="3">
        <v>3</v>
      </c>
      <c r="H55" s="3">
        <v>52</v>
      </c>
      <c r="I55" s="16" t="s">
        <v>29</v>
      </c>
      <c r="J55" s="5">
        <v>30204</v>
      </c>
      <c r="K55" s="22">
        <v>10</v>
      </c>
      <c r="L55" s="24" t="s">
        <v>45</v>
      </c>
      <c r="U55" s="20" t="e">
        <f>INT(MID($D55,MIN(FIND({0,1,2,3,4,5,6,7,8,9},$D55&amp;"0123456789")),LEN($D55)*2-LENB($D55)))</f>
        <v>#VALUE!</v>
      </c>
      <c r="V55" s="20" t="str">
        <f t="shared" si="0"/>
        <v>[391D06FF]挑战 [00821c]5[-] 次灵台斗法</v>
      </c>
    </row>
    <row r="56" spans="1:22" s="20" customFormat="1" ht="16.5">
      <c r="A56" s="3">
        <v>10405</v>
      </c>
      <c r="B56" s="16">
        <f t="shared" si="1"/>
        <v>60</v>
      </c>
      <c r="C56" s="16">
        <f t="shared" si="2"/>
        <v>69</v>
      </c>
      <c r="D56" s="3" t="s">
        <v>79</v>
      </c>
      <c r="E56" s="3" t="s">
        <v>79</v>
      </c>
      <c r="F56" s="3">
        <v>3018</v>
      </c>
      <c r="G56" s="3">
        <v>3</v>
      </c>
      <c r="H56" s="3">
        <v>53</v>
      </c>
      <c r="I56" s="16" t="s">
        <v>31</v>
      </c>
      <c r="J56" s="5">
        <v>30205</v>
      </c>
      <c r="K56" s="22">
        <v>20</v>
      </c>
      <c r="L56" s="24" t="s">
        <v>47</v>
      </c>
      <c r="U56" s="20" t="e">
        <f>INT(MID($D56,MIN(FIND({0,1,2,3,4,5,6,7,8,9},$D56&amp;"0123456789")),LEN($D56)*2-LENB($D56)))</f>
        <v>#VALUE!</v>
      </c>
      <c r="V56" s="20" t="str">
        <f t="shared" si="0"/>
        <v>[391D06FF]进行 [00821c]3[-] 次法宝合成</v>
      </c>
    </row>
    <row r="57" spans="1:22" s="20" customFormat="1" ht="16.5">
      <c r="A57" s="3">
        <v>10406</v>
      </c>
      <c r="B57" s="16">
        <f t="shared" si="1"/>
        <v>60</v>
      </c>
      <c r="C57" s="16">
        <f t="shared" si="2"/>
        <v>69</v>
      </c>
      <c r="D57" s="3" t="s">
        <v>80</v>
      </c>
      <c r="E57" s="3" t="s">
        <v>80</v>
      </c>
      <c r="F57" s="3" t="s">
        <v>65</v>
      </c>
      <c r="G57" s="3">
        <v>3</v>
      </c>
      <c r="H57" s="3">
        <v>54</v>
      </c>
      <c r="I57" s="16" t="s">
        <v>36</v>
      </c>
      <c r="J57" s="5">
        <v>30206</v>
      </c>
      <c r="K57" s="22">
        <v>10</v>
      </c>
      <c r="L57" s="24" t="s">
        <v>49</v>
      </c>
      <c r="U57" s="20" t="e">
        <f>INT(MID($D57,MIN(FIND({0,1,2,3,4,5,6,7,8,9},$D57&amp;"0123456789")),LEN($D57)*2-LENB($D57)))</f>
        <v>#VALUE!</v>
      </c>
      <c r="V57" s="20" t="str">
        <f t="shared" si="0"/>
        <v>[391D06FF]挑战 [00821c]3[-] 次大雁塔</v>
      </c>
    </row>
    <row r="58" spans="1:22" s="20" customFormat="1" ht="16.5">
      <c r="A58" s="3">
        <v>10407</v>
      </c>
      <c r="B58" s="16">
        <f t="shared" si="1"/>
        <v>60</v>
      </c>
      <c r="C58" s="16">
        <f t="shared" si="2"/>
        <v>69</v>
      </c>
      <c r="D58" s="3" t="s">
        <v>81</v>
      </c>
      <c r="E58" s="3" t="s">
        <v>81</v>
      </c>
      <c r="F58" s="3" t="s">
        <v>66</v>
      </c>
      <c r="G58" s="3">
        <v>3</v>
      </c>
      <c r="H58" s="3">
        <v>55</v>
      </c>
      <c r="I58" s="16" t="s">
        <v>32</v>
      </c>
      <c r="J58" s="5">
        <v>30207</v>
      </c>
      <c r="K58" s="22">
        <v>10</v>
      </c>
      <c r="L58" s="24" t="s">
        <v>54</v>
      </c>
      <c r="U58" s="20" t="e">
        <f>INT(MID($D58,MIN(FIND({0,1,2,3,4,5,6,7,8,9},$D58&amp;"0123456789")),LEN($D58)*2-LENB($D58)))</f>
        <v>#VALUE!</v>
      </c>
      <c r="V58" s="20" t="str">
        <f t="shared" si="0"/>
        <v>[391D06FF]装备强化 [00821c]5[-] 次</v>
      </c>
    </row>
    <row r="59" spans="1:22" s="20" customFormat="1" ht="16.5">
      <c r="A59" s="3">
        <v>10408</v>
      </c>
      <c r="B59" s="16">
        <f t="shared" si="1"/>
        <v>60</v>
      </c>
      <c r="C59" s="16">
        <f t="shared" si="2"/>
        <v>69</v>
      </c>
      <c r="D59" s="3" t="s">
        <v>82</v>
      </c>
      <c r="E59" s="3" t="s">
        <v>82</v>
      </c>
      <c r="F59" s="3">
        <v>4503</v>
      </c>
      <c r="G59" s="3">
        <v>3</v>
      </c>
      <c r="H59" s="3">
        <v>56</v>
      </c>
      <c r="I59" s="16" t="s">
        <v>58</v>
      </c>
      <c r="J59" s="5">
        <v>30208</v>
      </c>
      <c r="K59" s="22">
        <v>20</v>
      </c>
      <c r="L59" s="24" t="s">
        <v>56</v>
      </c>
      <c r="U59" s="20" t="e">
        <f>INT(MID($D59,MIN(FIND({0,1,2,3,4,5,6,7,8,9},$D59&amp;"0123456789")),LEN($D59)*2-LENB($D59)))</f>
        <v>#VALUE!</v>
      </c>
      <c r="V59" s="20" t="str">
        <f t="shared" si="0"/>
        <v>[391D06FF]法宝强化 [00821c]3[-] 次</v>
      </c>
    </row>
    <row r="60" spans="1:22" s="20" customFormat="1" ht="16.5">
      <c r="A60" s="3">
        <v>10409</v>
      </c>
      <c r="B60" s="16">
        <f t="shared" si="1"/>
        <v>60</v>
      </c>
      <c r="C60" s="16">
        <f t="shared" si="2"/>
        <v>69</v>
      </c>
      <c r="D60" s="3" t="s">
        <v>83</v>
      </c>
      <c r="E60" s="3" t="s">
        <v>83</v>
      </c>
      <c r="F60" s="3" t="s">
        <v>68</v>
      </c>
      <c r="G60" s="3">
        <v>3</v>
      </c>
      <c r="H60" s="3">
        <v>57</v>
      </c>
      <c r="I60" s="16" t="s">
        <v>33</v>
      </c>
      <c r="J60" s="5">
        <v>30209</v>
      </c>
      <c r="K60" s="22">
        <v>10</v>
      </c>
      <c r="L60" s="24" t="s">
        <v>53</v>
      </c>
      <c r="U60" s="20" t="e">
        <f>INT(MID($D60,MIN(FIND({0,1,2,3,4,5,6,7,8,9},$D60&amp;"0123456789")),LEN($D60)*2-LENB($D60)))</f>
        <v>#VALUE!</v>
      </c>
      <c r="V60" s="20" t="str">
        <f t="shared" si="0"/>
        <v>[391D06FF]进行 [00821c]3[-] 次普通聚仙</v>
      </c>
    </row>
    <row r="61" spans="1:22" s="20" customFormat="1" ht="16.5">
      <c r="A61" s="3">
        <v>10410</v>
      </c>
      <c r="B61" s="16">
        <f t="shared" si="1"/>
        <v>60</v>
      </c>
      <c r="C61" s="16">
        <f t="shared" si="2"/>
        <v>69</v>
      </c>
      <c r="D61" s="3" t="s">
        <v>84</v>
      </c>
      <c r="E61" s="3" t="s">
        <v>84</v>
      </c>
      <c r="F61" s="3" t="s">
        <v>67</v>
      </c>
      <c r="G61" s="3">
        <v>3</v>
      </c>
      <c r="H61" s="3">
        <v>58</v>
      </c>
      <c r="I61" s="16" t="s">
        <v>34</v>
      </c>
      <c r="J61" s="5">
        <v>30210</v>
      </c>
      <c r="K61" s="22">
        <v>20</v>
      </c>
      <c r="L61" s="24" t="s">
        <v>53</v>
      </c>
      <c r="U61" s="20" t="e">
        <f>INT(MID($D61,MIN(FIND({0,1,2,3,4,5,6,7,8,9},$D61&amp;"0123456789")),LEN($D61)*2-LENB($D61)))</f>
        <v>#VALUE!</v>
      </c>
      <c r="V61" s="20" t="str">
        <f t="shared" si="0"/>
        <v>[391D06FF]进行 [00821c]1[-] 次顶级聚仙</v>
      </c>
    </row>
    <row r="62" spans="1:22" s="20" customFormat="1" ht="16.5">
      <c r="A62" s="3">
        <v>10411</v>
      </c>
      <c r="B62" s="16">
        <f t="shared" si="1"/>
        <v>60</v>
      </c>
      <c r="C62" s="16">
        <f t="shared" si="2"/>
        <v>69</v>
      </c>
      <c r="D62" s="3" t="s">
        <v>85</v>
      </c>
      <c r="E62" s="3" t="s">
        <v>85</v>
      </c>
      <c r="F62" s="3" t="s">
        <v>69</v>
      </c>
      <c r="G62" s="3">
        <v>3</v>
      </c>
      <c r="H62" s="3">
        <v>59</v>
      </c>
      <c r="I62" s="16" t="s">
        <v>60</v>
      </c>
      <c r="J62" s="5">
        <v>30211</v>
      </c>
      <c r="K62" s="22">
        <v>10</v>
      </c>
      <c r="L62" s="24" t="s">
        <v>51</v>
      </c>
      <c r="U62" s="20" t="e">
        <f>INT(MID($D62,MIN(FIND({0,1,2,3,4,5,6,7,8,9},$D62&amp;"0123456789")),LEN($D62)*2-LENB($D62)))</f>
        <v>#VALUE!</v>
      </c>
      <c r="V62" s="20" t="str">
        <f t="shared" si="0"/>
        <v>[391D06FF]伙伴升级 [00821c]1[-] 次</v>
      </c>
    </row>
    <row r="63" spans="1:22" s="20" customFormat="1" ht="16.5">
      <c r="A63" s="3">
        <v>10412</v>
      </c>
      <c r="B63" s="16">
        <f t="shared" si="1"/>
        <v>60</v>
      </c>
      <c r="C63" s="16">
        <f t="shared" si="2"/>
        <v>69</v>
      </c>
      <c r="D63" s="3" t="s">
        <v>86</v>
      </c>
      <c r="E63" s="3" t="s">
        <v>86</v>
      </c>
      <c r="F63" s="22" t="s">
        <v>73</v>
      </c>
      <c r="G63" s="3">
        <v>3</v>
      </c>
      <c r="H63" s="3">
        <v>60</v>
      </c>
      <c r="I63" s="16" t="s">
        <v>30</v>
      </c>
      <c r="J63" s="5">
        <v>30212</v>
      </c>
      <c r="K63" s="22">
        <v>10</v>
      </c>
      <c r="L63" s="24" t="s">
        <v>47</v>
      </c>
      <c r="U63" s="20" t="e">
        <f>INT(MID($D63,MIN(FIND({0,1,2,3,4,5,6,7,8,9},$D63&amp;"0123456789")),LEN($D63)*2-LENB($D63)))</f>
        <v>#VALUE!</v>
      </c>
      <c r="V63" s="20" t="str">
        <f t="shared" si="0"/>
        <v>[391D06FF]法宝抢夺 [00821c]5[-] 次</v>
      </c>
    </row>
    <row r="64" spans="1:22" s="14" customFormat="1" ht="16.5">
      <c r="A64" s="2">
        <v>10501</v>
      </c>
      <c r="B64" s="12">
        <f t="shared" si="1"/>
        <v>70</v>
      </c>
      <c r="C64" s="12">
        <f t="shared" si="2"/>
        <v>79</v>
      </c>
      <c r="D64" s="17" t="s">
        <v>87</v>
      </c>
      <c r="E64" s="17" t="s">
        <v>87</v>
      </c>
      <c r="F64" s="2">
        <v>13</v>
      </c>
      <c r="G64" s="2">
        <v>3</v>
      </c>
      <c r="H64" s="2">
        <v>61</v>
      </c>
      <c r="I64" s="12" t="s">
        <v>35</v>
      </c>
      <c r="J64" s="4">
        <v>30251</v>
      </c>
      <c r="K64" s="17">
        <v>10</v>
      </c>
      <c r="L64" s="23" t="s">
        <v>41</v>
      </c>
      <c r="U64" s="14" t="e">
        <f>INT(MID($D64,MIN(FIND({0,1,2,3,4,5,6,7,8,9},$D64&amp;"0123456789")),LEN($D64)*2-LENB($D64)))</f>
        <v>#VALUE!</v>
      </c>
      <c r="V64" s="14" t="str">
        <f t="shared" si="0"/>
        <v>[391D06FF]购买 [00821c]5[-] 个精力之心</v>
      </c>
    </row>
    <row r="65" spans="1:22" s="14" customFormat="1" ht="16.5">
      <c r="A65" s="2">
        <v>10502</v>
      </c>
      <c r="B65" s="12">
        <f t="shared" si="1"/>
        <v>70</v>
      </c>
      <c r="C65" s="12">
        <f t="shared" si="2"/>
        <v>79</v>
      </c>
      <c r="D65" s="2" t="s">
        <v>76</v>
      </c>
      <c r="E65" s="2" t="s">
        <v>76</v>
      </c>
      <c r="F65" s="18">
        <v>14000</v>
      </c>
      <c r="G65" s="2">
        <v>3</v>
      </c>
      <c r="H65" s="2">
        <v>62</v>
      </c>
      <c r="I65" s="12" t="s">
        <v>59</v>
      </c>
      <c r="J65" s="19">
        <v>30252</v>
      </c>
      <c r="K65" s="17">
        <v>10</v>
      </c>
      <c r="L65" s="19">
        <v>14</v>
      </c>
      <c r="U65" s="14" t="e">
        <f>INT(MID($D65,MIN(FIND({0,1,2,3,4,5,6,7,8,9},$D65&amp;"0123456789")),LEN($D65)*2-LENB($D65)))</f>
        <v>#VALUE!</v>
      </c>
      <c r="V65" s="14" t="str">
        <f t="shared" si="0"/>
        <v>[391D06FF]购买 [00821c]5[-] 个蟠桃</v>
      </c>
    </row>
    <row r="66" spans="1:22" s="14" customFormat="1" ht="16.5">
      <c r="A66" s="2">
        <v>10503</v>
      </c>
      <c r="B66" s="12">
        <f t="shared" si="1"/>
        <v>70</v>
      </c>
      <c r="C66" s="12">
        <f t="shared" si="2"/>
        <v>79</v>
      </c>
      <c r="D66" s="2" t="s">
        <v>77</v>
      </c>
      <c r="E66" s="2" t="s">
        <v>77</v>
      </c>
      <c r="F66" s="2" t="s">
        <v>64</v>
      </c>
      <c r="G66" s="2">
        <v>3</v>
      </c>
      <c r="H66" s="2">
        <v>63</v>
      </c>
      <c r="I66" s="12" t="s">
        <v>61</v>
      </c>
      <c r="J66" s="4">
        <v>30253</v>
      </c>
      <c r="K66" s="17">
        <v>10</v>
      </c>
      <c r="L66" s="23" t="s">
        <v>43</v>
      </c>
      <c r="U66" s="14" t="e">
        <f>INT(MID($D66,MIN(FIND({0,1,2,3,4,5,6,7,8,9},$D66&amp;"0123456789")),LEN($D66)*2-LENB($D66)))</f>
        <v>#VALUE!</v>
      </c>
      <c r="V66" s="14" t="str">
        <f t="shared" si="0"/>
        <v>[391D06FF]挑战 [00821c]10[-] 次主线副本</v>
      </c>
    </row>
    <row r="67" spans="1:22" s="14" customFormat="1" ht="16.5">
      <c r="A67" s="2">
        <v>10504</v>
      </c>
      <c r="B67" s="12">
        <f t="shared" si="1"/>
        <v>70</v>
      </c>
      <c r="C67" s="12">
        <f t="shared" si="2"/>
        <v>79</v>
      </c>
      <c r="D67" s="2" t="s">
        <v>78</v>
      </c>
      <c r="E67" s="2" t="s">
        <v>78</v>
      </c>
      <c r="F67" s="17" t="s">
        <v>70</v>
      </c>
      <c r="G67" s="2">
        <v>3</v>
      </c>
      <c r="H67" s="2">
        <v>64</v>
      </c>
      <c r="I67" s="12" t="s">
        <v>29</v>
      </c>
      <c r="J67" s="4">
        <v>30254</v>
      </c>
      <c r="K67" s="17">
        <v>10</v>
      </c>
      <c r="L67" s="23" t="s">
        <v>45</v>
      </c>
      <c r="U67" s="14" t="e">
        <f>INT(MID($D67,MIN(FIND({0,1,2,3,4,5,6,7,8,9},$D67&amp;"0123456789")),LEN($D67)*2-LENB($D67)))</f>
        <v>#VALUE!</v>
      </c>
      <c r="V67" s="14" t="str">
        <f t="shared" si="0"/>
        <v>[391D06FF]挑战 [00821c]5[-] 次灵台斗法</v>
      </c>
    </row>
    <row r="68" spans="1:22" s="14" customFormat="1" ht="16.5">
      <c r="A68" s="2">
        <v>10505</v>
      </c>
      <c r="B68" s="12">
        <f t="shared" si="1"/>
        <v>70</v>
      </c>
      <c r="C68" s="12">
        <f t="shared" si="2"/>
        <v>79</v>
      </c>
      <c r="D68" s="2" t="s">
        <v>79</v>
      </c>
      <c r="E68" s="2" t="s">
        <v>79</v>
      </c>
      <c r="F68" s="2">
        <v>3018</v>
      </c>
      <c r="G68" s="2">
        <v>3</v>
      </c>
      <c r="H68" s="2">
        <v>65</v>
      </c>
      <c r="I68" s="12" t="s">
        <v>31</v>
      </c>
      <c r="J68" s="4">
        <v>30255</v>
      </c>
      <c r="K68" s="17">
        <v>20</v>
      </c>
      <c r="L68" s="23" t="s">
        <v>47</v>
      </c>
      <c r="U68" s="14" t="e">
        <f>INT(MID($D68,MIN(FIND({0,1,2,3,4,5,6,7,8,9},$D68&amp;"0123456789")),LEN($D68)*2-LENB($D68)))</f>
        <v>#VALUE!</v>
      </c>
      <c r="V68" s="14" t="str">
        <f t="shared" si="0"/>
        <v>[391D06FF]进行 [00821c]3[-] 次法宝合成</v>
      </c>
    </row>
    <row r="69" spans="1:22" s="14" customFormat="1" ht="16.5">
      <c r="A69" s="2">
        <v>10506</v>
      </c>
      <c r="B69" s="12">
        <f t="shared" si="1"/>
        <v>70</v>
      </c>
      <c r="C69" s="12">
        <f t="shared" si="2"/>
        <v>79</v>
      </c>
      <c r="D69" s="2" t="s">
        <v>80</v>
      </c>
      <c r="E69" s="2" t="s">
        <v>80</v>
      </c>
      <c r="F69" s="2" t="s">
        <v>65</v>
      </c>
      <c r="G69" s="2">
        <v>3</v>
      </c>
      <c r="H69" s="2">
        <v>66</v>
      </c>
      <c r="I69" s="12" t="s">
        <v>36</v>
      </c>
      <c r="J69" s="4">
        <v>30256</v>
      </c>
      <c r="K69" s="17">
        <v>10</v>
      </c>
      <c r="L69" s="23" t="s">
        <v>49</v>
      </c>
      <c r="U69" s="14" t="e">
        <f>INT(MID($D69,MIN(FIND({0,1,2,3,4,5,6,7,8,9},$D69&amp;"0123456789")),LEN($D69)*2-LENB($D69)))</f>
        <v>#VALUE!</v>
      </c>
      <c r="V69" s="14" t="str">
        <f t="shared" ref="V69:V132" si="3">IF(ISERROR($U69),$D69,LEFT($D69,FIND($U69,$D69)-1)&amp;" [379340]"&amp;U69&amp;"[-] "&amp;IFERROR(RIGHT($D69,LEN($D69)-FIND($U69,$D69)-LEN($U69)+1),""))</f>
        <v>[391D06FF]挑战 [00821c]3[-] 次大雁塔</v>
      </c>
    </row>
    <row r="70" spans="1:22" s="14" customFormat="1" ht="16.5">
      <c r="A70" s="2">
        <v>10507</v>
      </c>
      <c r="B70" s="12">
        <f t="shared" si="1"/>
        <v>70</v>
      </c>
      <c r="C70" s="12">
        <f t="shared" si="2"/>
        <v>79</v>
      </c>
      <c r="D70" s="2" t="s">
        <v>81</v>
      </c>
      <c r="E70" s="2" t="s">
        <v>81</v>
      </c>
      <c r="F70" s="2" t="s">
        <v>66</v>
      </c>
      <c r="G70" s="2">
        <v>3</v>
      </c>
      <c r="H70" s="2">
        <v>67</v>
      </c>
      <c r="I70" s="12" t="s">
        <v>32</v>
      </c>
      <c r="J70" s="4">
        <v>30257</v>
      </c>
      <c r="K70" s="17">
        <v>10</v>
      </c>
      <c r="L70" s="23" t="s">
        <v>54</v>
      </c>
      <c r="U70" s="14" t="e">
        <f>INT(MID($D70,MIN(FIND({0,1,2,3,4,5,6,7,8,9},$D70&amp;"0123456789")),LEN($D70)*2-LENB($D70)))</f>
        <v>#VALUE!</v>
      </c>
      <c r="V70" s="14" t="str">
        <f t="shared" si="3"/>
        <v>[391D06FF]装备强化 [00821c]5[-] 次</v>
      </c>
    </row>
    <row r="71" spans="1:22" s="14" customFormat="1" ht="16.5">
      <c r="A71" s="2">
        <v>10508</v>
      </c>
      <c r="B71" s="12">
        <f t="shared" si="1"/>
        <v>70</v>
      </c>
      <c r="C71" s="12">
        <f t="shared" si="2"/>
        <v>79</v>
      </c>
      <c r="D71" s="2" t="s">
        <v>82</v>
      </c>
      <c r="E71" s="2" t="s">
        <v>82</v>
      </c>
      <c r="F71" s="2">
        <v>4503</v>
      </c>
      <c r="G71" s="2">
        <v>3</v>
      </c>
      <c r="H71" s="2">
        <v>68</v>
      </c>
      <c r="I71" s="12" t="s">
        <v>58</v>
      </c>
      <c r="J71" s="4">
        <v>30258</v>
      </c>
      <c r="K71" s="17">
        <v>20</v>
      </c>
      <c r="L71" s="23" t="s">
        <v>56</v>
      </c>
      <c r="U71" s="14" t="e">
        <f>INT(MID($D71,MIN(FIND({0,1,2,3,4,5,6,7,8,9},$D71&amp;"0123456789")),LEN($D71)*2-LENB($D71)))</f>
        <v>#VALUE!</v>
      </c>
      <c r="V71" s="14" t="str">
        <f t="shared" si="3"/>
        <v>[391D06FF]法宝强化 [00821c]3[-] 次</v>
      </c>
    </row>
    <row r="72" spans="1:22" s="14" customFormat="1" ht="16.5">
      <c r="A72" s="2">
        <v>10509</v>
      </c>
      <c r="B72" s="12">
        <f t="shared" si="1"/>
        <v>70</v>
      </c>
      <c r="C72" s="12">
        <f t="shared" si="2"/>
        <v>79</v>
      </c>
      <c r="D72" s="2" t="s">
        <v>83</v>
      </c>
      <c r="E72" s="2" t="s">
        <v>83</v>
      </c>
      <c r="F72" s="2" t="s">
        <v>68</v>
      </c>
      <c r="G72" s="2">
        <v>3</v>
      </c>
      <c r="H72" s="2">
        <v>69</v>
      </c>
      <c r="I72" s="12" t="s">
        <v>33</v>
      </c>
      <c r="J72" s="4">
        <v>30259</v>
      </c>
      <c r="K72" s="17">
        <v>10</v>
      </c>
      <c r="L72" s="23" t="s">
        <v>53</v>
      </c>
      <c r="U72" s="14" t="e">
        <f>INT(MID($D72,MIN(FIND({0,1,2,3,4,5,6,7,8,9},$D72&amp;"0123456789")),LEN($D72)*2-LENB($D72)))</f>
        <v>#VALUE!</v>
      </c>
      <c r="V72" s="14" t="str">
        <f t="shared" si="3"/>
        <v>[391D06FF]进行 [00821c]3[-] 次普通聚仙</v>
      </c>
    </row>
    <row r="73" spans="1:22" s="14" customFormat="1" ht="16.5">
      <c r="A73" s="2">
        <v>10510</v>
      </c>
      <c r="B73" s="12">
        <f t="shared" si="1"/>
        <v>70</v>
      </c>
      <c r="C73" s="12">
        <f t="shared" si="2"/>
        <v>79</v>
      </c>
      <c r="D73" s="2" t="s">
        <v>84</v>
      </c>
      <c r="E73" s="2" t="s">
        <v>84</v>
      </c>
      <c r="F73" s="2" t="s">
        <v>67</v>
      </c>
      <c r="G73" s="2">
        <v>3</v>
      </c>
      <c r="H73" s="2">
        <v>70</v>
      </c>
      <c r="I73" s="12" t="s">
        <v>34</v>
      </c>
      <c r="J73" s="4">
        <v>30260</v>
      </c>
      <c r="K73" s="17">
        <v>20</v>
      </c>
      <c r="L73" s="23" t="s">
        <v>53</v>
      </c>
      <c r="U73" s="14" t="e">
        <f>INT(MID($D73,MIN(FIND({0,1,2,3,4,5,6,7,8,9},$D73&amp;"0123456789")),LEN($D73)*2-LENB($D73)))</f>
        <v>#VALUE!</v>
      </c>
      <c r="V73" s="14" t="str">
        <f t="shared" si="3"/>
        <v>[391D06FF]进行 [00821c]1[-] 次顶级聚仙</v>
      </c>
    </row>
    <row r="74" spans="1:22" s="14" customFormat="1" ht="16.5">
      <c r="A74" s="2">
        <v>10511</v>
      </c>
      <c r="B74" s="12">
        <f t="shared" si="1"/>
        <v>70</v>
      </c>
      <c r="C74" s="12">
        <f t="shared" si="2"/>
        <v>79</v>
      </c>
      <c r="D74" s="2" t="s">
        <v>85</v>
      </c>
      <c r="E74" s="2" t="s">
        <v>85</v>
      </c>
      <c r="F74" s="2" t="s">
        <v>69</v>
      </c>
      <c r="G74" s="2">
        <v>3</v>
      </c>
      <c r="H74" s="2">
        <v>71</v>
      </c>
      <c r="I74" s="12" t="s">
        <v>60</v>
      </c>
      <c r="J74" s="4">
        <v>30261</v>
      </c>
      <c r="K74" s="17">
        <v>10</v>
      </c>
      <c r="L74" s="23" t="s">
        <v>51</v>
      </c>
      <c r="U74" s="14" t="e">
        <f>INT(MID($D74,MIN(FIND({0,1,2,3,4,5,6,7,8,9},$D74&amp;"0123456789")),LEN($D74)*2-LENB($D74)))</f>
        <v>#VALUE!</v>
      </c>
      <c r="V74" s="14" t="str">
        <f t="shared" si="3"/>
        <v>[391D06FF]伙伴升级 [00821c]1[-] 次</v>
      </c>
    </row>
    <row r="75" spans="1:22" s="14" customFormat="1" ht="16.5">
      <c r="A75" s="2">
        <v>10512</v>
      </c>
      <c r="B75" s="12">
        <f t="shared" si="1"/>
        <v>70</v>
      </c>
      <c r="C75" s="12">
        <f t="shared" si="2"/>
        <v>79</v>
      </c>
      <c r="D75" s="2" t="s">
        <v>86</v>
      </c>
      <c r="E75" s="2" t="s">
        <v>86</v>
      </c>
      <c r="F75" s="17" t="s">
        <v>73</v>
      </c>
      <c r="G75" s="2">
        <v>3</v>
      </c>
      <c r="H75" s="2">
        <v>72</v>
      </c>
      <c r="I75" s="12" t="s">
        <v>30</v>
      </c>
      <c r="J75" s="4">
        <v>30262</v>
      </c>
      <c r="K75" s="17">
        <v>10</v>
      </c>
      <c r="L75" s="23" t="s">
        <v>47</v>
      </c>
      <c r="U75" s="14" t="e">
        <f>INT(MID($D75,MIN(FIND({0,1,2,3,4,5,6,7,8,9},$D75&amp;"0123456789")),LEN($D75)*2-LENB($D75)))</f>
        <v>#VALUE!</v>
      </c>
      <c r="V75" s="14" t="str">
        <f t="shared" si="3"/>
        <v>[391D06FF]法宝抢夺 [00821c]5[-] 次</v>
      </c>
    </row>
    <row r="76" spans="1:22" s="20" customFormat="1" ht="16.5">
      <c r="A76" s="3">
        <v>10601</v>
      </c>
      <c r="B76" s="16">
        <f t="shared" si="1"/>
        <v>80</v>
      </c>
      <c r="C76" s="16">
        <f t="shared" si="2"/>
        <v>89</v>
      </c>
      <c r="D76" s="22" t="s">
        <v>87</v>
      </c>
      <c r="E76" s="22" t="s">
        <v>87</v>
      </c>
      <c r="F76" s="3">
        <v>13</v>
      </c>
      <c r="G76" s="3">
        <v>3</v>
      </c>
      <c r="H76" s="3">
        <v>73</v>
      </c>
      <c r="I76" s="16" t="s">
        <v>35</v>
      </c>
      <c r="J76" s="5">
        <v>30301</v>
      </c>
      <c r="K76" s="22">
        <v>10</v>
      </c>
      <c r="L76" s="24" t="s">
        <v>41</v>
      </c>
      <c r="U76" s="20" t="e">
        <f>INT(MID($D76,MIN(FIND({0,1,2,3,4,5,6,7,8,9},$D76&amp;"0123456789")),LEN($D76)*2-LENB($D76)))</f>
        <v>#VALUE!</v>
      </c>
      <c r="V76" s="20" t="str">
        <f t="shared" si="3"/>
        <v>[391D06FF]购买 [00821c]5[-] 个精力之心</v>
      </c>
    </row>
    <row r="77" spans="1:22" s="20" customFormat="1" ht="16.5">
      <c r="A77" s="3">
        <v>10602</v>
      </c>
      <c r="B77" s="16">
        <f t="shared" si="1"/>
        <v>80</v>
      </c>
      <c r="C77" s="16">
        <f t="shared" si="2"/>
        <v>89</v>
      </c>
      <c r="D77" s="3" t="s">
        <v>76</v>
      </c>
      <c r="E77" s="3" t="s">
        <v>76</v>
      </c>
      <c r="F77" s="7">
        <v>14000</v>
      </c>
      <c r="G77" s="3">
        <v>3</v>
      </c>
      <c r="H77" s="3">
        <v>74</v>
      </c>
      <c r="I77" s="16" t="s">
        <v>59</v>
      </c>
      <c r="J77" s="10">
        <v>30302</v>
      </c>
      <c r="K77" s="22">
        <v>10</v>
      </c>
      <c r="L77" s="10">
        <v>14</v>
      </c>
      <c r="U77" s="20" t="e">
        <f>INT(MID($D77,MIN(FIND({0,1,2,3,4,5,6,7,8,9},$D77&amp;"0123456789")),LEN($D77)*2-LENB($D77)))</f>
        <v>#VALUE!</v>
      </c>
      <c r="V77" s="20" t="str">
        <f t="shared" si="3"/>
        <v>[391D06FF]购买 [00821c]5[-] 个蟠桃</v>
      </c>
    </row>
    <row r="78" spans="1:22" s="20" customFormat="1" ht="16.5">
      <c r="A78" s="3">
        <v>10603</v>
      </c>
      <c r="B78" s="16">
        <f t="shared" si="1"/>
        <v>80</v>
      </c>
      <c r="C78" s="16">
        <f t="shared" si="2"/>
        <v>89</v>
      </c>
      <c r="D78" s="3" t="s">
        <v>77</v>
      </c>
      <c r="E78" s="3" t="s">
        <v>77</v>
      </c>
      <c r="F78" s="3" t="s">
        <v>64</v>
      </c>
      <c r="G78" s="3">
        <v>3</v>
      </c>
      <c r="H78" s="3">
        <v>75</v>
      </c>
      <c r="I78" s="16" t="s">
        <v>61</v>
      </c>
      <c r="J78" s="5">
        <v>30303</v>
      </c>
      <c r="K78" s="22">
        <v>10</v>
      </c>
      <c r="L78" s="24" t="s">
        <v>43</v>
      </c>
      <c r="U78" s="20" t="e">
        <f>INT(MID($D78,MIN(FIND({0,1,2,3,4,5,6,7,8,9},$D78&amp;"0123456789")),LEN($D78)*2-LENB($D78)))</f>
        <v>#VALUE!</v>
      </c>
      <c r="V78" s="20" t="str">
        <f t="shared" si="3"/>
        <v>[391D06FF]挑战 [00821c]10[-] 次主线副本</v>
      </c>
    </row>
    <row r="79" spans="1:22" s="20" customFormat="1" ht="16.5">
      <c r="A79" s="3">
        <v>10604</v>
      </c>
      <c r="B79" s="16">
        <f t="shared" si="1"/>
        <v>80</v>
      </c>
      <c r="C79" s="16">
        <f t="shared" si="2"/>
        <v>89</v>
      </c>
      <c r="D79" s="3" t="s">
        <v>78</v>
      </c>
      <c r="E79" s="3" t="s">
        <v>78</v>
      </c>
      <c r="F79" s="22" t="s">
        <v>70</v>
      </c>
      <c r="G79" s="3">
        <v>3</v>
      </c>
      <c r="H79" s="3">
        <v>76</v>
      </c>
      <c r="I79" s="16" t="s">
        <v>29</v>
      </c>
      <c r="J79" s="5">
        <v>30304</v>
      </c>
      <c r="K79" s="22">
        <v>10</v>
      </c>
      <c r="L79" s="24" t="s">
        <v>45</v>
      </c>
      <c r="U79" s="20" t="e">
        <f>INT(MID($D79,MIN(FIND({0,1,2,3,4,5,6,7,8,9},$D79&amp;"0123456789")),LEN($D79)*2-LENB($D79)))</f>
        <v>#VALUE!</v>
      </c>
      <c r="V79" s="20" t="str">
        <f t="shared" si="3"/>
        <v>[391D06FF]挑战 [00821c]5[-] 次灵台斗法</v>
      </c>
    </row>
    <row r="80" spans="1:22" s="20" customFormat="1" ht="16.5">
      <c r="A80" s="3">
        <v>10605</v>
      </c>
      <c r="B80" s="16">
        <f t="shared" si="1"/>
        <v>80</v>
      </c>
      <c r="C80" s="16">
        <f t="shared" si="2"/>
        <v>89</v>
      </c>
      <c r="D80" s="3" t="s">
        <v>79</v>
      </c>
      <c r="E80" s="3" t="s">
        <v>79</v>
      </c>
      <c r="F80" s="3">
        <v>3018</v>
      </c>
      <c r="G80" s="3">
        <v>3</v>
      </c>
      <c r="H80" s="3">
        <v>77</v>
      </c>
      <c r="I80" s="16" t="s">
        <v>31</v>
      </c>
      <c r="J80" s="5">
        <v>30305</v>
      </c>
      <c r="K80" s="22">
        <v>20</v>
      </c>
      <c r="L80" s="24" t="s">
        <v>47</v>
      </c>
      <c r="U80" s="20" t="e">
        <f>INT(MID($D80,MIN(FIND({0,1,2,3,4,5,6,7,8,9},$D80&amp;"0123456789")),LEN($D80)*2-LENB($D80)))</f>
        <v>#VALUE!</v>
      </c>
      <c r="V80" s="20" t="str">
        <f t="shared" si="3"/>
        <v>[391D06FF]进行 [00821c]3[-] 次法宝合成</v>
      </c>
    </row>
    <row r="81" spans="1:22" s="20" customFormat="1" ht="16.5">
      <c r="A81" s="3">
        <v>10606</v>
      </c>
      <c r="B81" s="16">
        <f t="shared" ref="B81:B144" si="4">C69+1</f>
        <v>80</v>
      </c>
      <c r="C81" s="16">
        <f t="shared" ref="C81:C144" si="5">B81+9</f>
        <v>89</v>
      </c>
      <c r="D81" s="3" t="s">
        <v>80</v>
      </c>
      <c r="E81" s="3" t="s">
        <v>80</v>
      </c>
      <c r="F81" s="3" t="s">
        <v>65</v>
      </c>
      <c r="G81" s="3">
        <v>3</v>
      </c>
      <c r="H81" s="3">
        <v>78</v>
      </c>
      <c r="I81" s="16" t="s">
        <v>36</v>
      </c>
      <c r="J81" s="5">
        <v>30306</v>
      </c>
      <c r="K81" s="22">
        <v>10</v>
      </c>
      <c r="L81" s="24" t="s">
        <v>49</v>
      </c>
      <c r="U81" s="20" t="e">
        <f>INT(MID($D81,MIN(FIND({0,1,2,3,4,5,6,7,8,9},$D81&amp;"0123456789")),LEN($D81)*2-LENB($D81)))</f>
        <v>#VALUE!</v>
      </c>
      <c r="V81" s="20" t="str">
        <f t="shared" si="3"/>
        <v>[391D06FF]挑战 [00821c]3[-] 次大雁塔</v>
      </c>
    </row>
    <row r="82" spans="1:22" s="20" customFormat="1" ht="16.5">
      <c r="A82" s="3">
        <v>10607</v>
      </c>
      <c r="B82" s="16">
        <f t="shared" si="4"/>
        <v>80</v>
      </c>
      <c r="C82" s="16">
        <f t="shared" si="5"/>
        <v>89</v>
      </c>
      <c r="D82" s="3" t="s">
        <v>81</v>
      </c>
      <c r="E82" s="3" t="s">
        <v>81</v>
      </c>
      <c r="F82" s="22" t="s">
        <v>74</v>
      </c>
      <c r="G82" s="3">
        <v>3</v>
      </c>
      <c r="H82" s="3">
        <v>79</v>
      </c>
      <c r="I82" s="16" t="s">
        <v>32</v>
      </c>
      <c r="J82" s="5">
        <v>30307</v>
      </c>
      <c r="K82" s="22">
        <v>10</v>
      </c>
      <c r="L82" s="24" t="s">
        <v>54</v>
      </c>
      <c r="U82" s="20" t="e">
        <f>INT(MID($D82,MIN(FIND({0,1,2,3,4,5,6,7,8,9},$D82&amp;"0123456789")),LEN($D82)*2-LENB($D82)))</f>
        <v>#VALUE!</v>
      </c>
      <c r="V82" s="20" t="str">
        <f t="shared" si="3"/>
        <v>[391D06FF]装备强化 [00821c]5[-] 次</v>
      </c>
    </row>
    <row r="83" spans="1:22" s="20" customFormat="1" ht="16.5">
      <c r="A83" s="3">
        <v>10608</v>
      </c>
      <c r="B83" s="16">
        <f t="shared" si="4"/>
        <v>80</v>
      </c>
      <c r="C83" s="16">
        <f t="shared" si="5"/>
        <v>89</v>
      </c>
      <c r="D83" s="3" t="s">
        <v>82</v>
      </c>
      <c r="E83" s="3" t="s">
        <v>82</v>
      </c>
      <c r="F83" s="3">
        <v>4503</v>
      </c>
      <c r="G83" s="3">
        <v>3</v>
      </c>
      <c r="H83" s="3">
        <v>80</v>
      </c>
      <c r="I83" s="16" t="s">
        <v>58</v>
      </c>
      <c r="J83" s="5">
        <v>30308</v>
      </c>
      <c r="K83" s="22">
        <v>20</v>
      </c>
      <c r="L83" s="24" t="s">
        <v>56</v>
      </c>
      <c r="U83" s="20" t="e">
        <f>INT(MID($D83,MIN(FIND({0,1,2,3,4,5,6,7,8,9},$D83&amp;"0123456789")),LEN($D83)*2-LENB($D83)))</f>
        <v>#VALUE!</v>
      </c>
      <c r="V83" s="20" t="str">
        <f t="shared" si="3"/>
        <v>[391D06FF]法宝强化 [00821c]3[-] 次</v>
      </c>
    </row>
    <row r="84" spans="1:22" s="20" customFormat="1" ht="16.5">
      <c r="A84" s="3">
        <v>10609</v>
      </c>
      <c r="B84" s="16">
        <f t="shared" si="4"/>
        <v>80</v>
      </c>
      <c r="C84" s="16">
        <f t="shared" si="5"/>
        <v>89</v>
      </c>
      <c r="D84" s="3" t="s">
        <v>83</v>
      </c>
      <c r="E84" s="3" t="s">
        <v>83</v>
      </c>
      <c r="F84" s="3" t="s">
        <v>68</v>
      </c>
      <c r="G84" s="3">
        <v>3</v>
      </c>
      <c r="H84" s="3">
        <v>81</v>
      </c>
      <c r="I84" s="16" t="s">
        <v>33</v>
      </c>
      <c r="J84" s="5">
        <v>30309</v>
      </c>
      <c r="K84" s="22">
        <v>10</v>
      </c>
      <c r="L84" s="24" t="s">
        <v>53</v>
      </c>
      <c r="U84" s="20" t="e">
        <f>INT(MID($D84,MIN(FIND({0,1,2,3,4,5,6,7,8,9},$D84&amp;"0123456789")),LEN($D84)*2-LENB($D84)))</f>
        <v>#VALUE!</v>
      </c>
      <c r="V84" s="20" t="str">
        <f t="shared" si="3"/>
        <v>[391D06FF]进行 [00821c]3[-] 次普通聚仙</v>
      </c>
    </row>
    <row r="85" spans="1:22" s="20" customFormat="1" ht="16.5">
      <c r="A85" s="3">
        <v>10610</v>
      </c>
      <c r="B85" s="16">
        <f t="shared" si="4"/>
        <v>80</v>
      </c>
      <c r="C85" s="16">
        <f t="shared" si="5"/>
        <v>89</v>
      </c>
      <c r="D85" s="3" t="s">
        <v>84</v>
      </c>
      <c r="E85" s="3" t="s">
        <v>84</v>
      </c>
      <c r="F85" s="3" t="s">
        <v>67</v>
      </c>
      <c r="G85" s="3">
        <v>3</v>
      </c>
      <c r="H85" s="3">
        <v>82</v>
      </c>
      <c r="I85" s="16" t="s">
        <v>34</v>
      </c>
      <c r="J85" s="5">
        <v>30310</v>
      </c>
      <c r="K85" s="22">
        <v>20</v>
      </c>
      <c r="L85" s="24" t="s">
        <v>53</v>
      </c>
      <c r="U85" s="20" t="e">
        <f>INT(MID($D85,MIN(FIND({0,1,2,3,4,5,6,7,8,9},$D85&amp;"0123456789")),LEN($D85)*2-LENB($D85)))</f>
        <v>#VALUE!</v>
      </c>
      <c r="V85" s="20" t="str">
        <f t="shared" si="3"/>
        <v>[391D06FF]进行 [00821c]1[-] 次顶级聚仙</v>
      </c>
    </row>
    <row r="86" spans="1:22" s="20" customFormat="1" ht="16.5">
      <c r="A86" s="3">
        <v>10611</v>
      </c>
      <c r="B86" s="16">
        <f t="shared" si="4"/>
        <v>80</v>
      </c>
      <c r="C86" s="16">
        <f t="shared" si="5"/>
        <v>89</v>
      </c>
      <c r="D86" s="3" t="s">
        <v>85</v>
      </c>
      <c r="E86" s="3" t="s">
        <v>85</v>
      </c>
      <c r="F86" s="3" t="s">
        <v>69</v>
      </c>
      <c r="G86" s="3">
        <v>3</v>
      </c>
      <c r="H86" s="3">
        <v>83</v>
      </c>
      <c r="I86" s="16" t="s">
        <v>60</v>
      </c>
      <c r="J86" s="5">
        <v>30311</v>
      </c>
      <c r="K86" s="22">
        <v>10</v>
      </c>
      <c r="L86" s="24" t="s">
        <v>51</v>
      </c>
      <c r="U86" s="20" t="e">
        <f>INT(MID($D86,MIN(FIND({0,1,2,3,4,5,6,7,8,9},$D86&amp;"0123456789")),LEN($D86)*2-LENB($D86)))</f>
        <v>#VALUE!</v>
      </c>
      <c r="V86" s="20" t="str">
        <f t="shared" si="3"/>
        <v>[391D06FF]伙伴升级 [00821c]1[-] 次</v>
      </c>
    </row>
    <row r="87" spans="1:22" s="20" customFormat="1" ht="16.5">
      <c r="A87" s="3">
        <v>10612</v>
      </c>
      <c r="B87" s="16">
        <f t="shared" si="4"/>
        <v>80</v>
      </c>
      <c r="C87" s="16">
        <f t="shared" si="5"/>
        <v>89</v>
      </c>
      <c r="D87" s="3" t="s">
        <v>86</v>
      </c>
      <c r="E87" s="3" t="s">
        <v>86</v>
      </c>
      <c r="F87" s="22" t="s">
        <v>73</v>
      </c>
      <c r="G87" s="3">
        <v>3</v>
      </c>
      <c r="H87" s="3">
        <v>84</v>
      </c>
      <c r="I87" s="16" t="s">
        <v>30</v>
      </c>
      <c r="J87" s="5">
        <v>30312</v>
      </c>
      <c r="K87" s="22">
        <v>10</v>
      </c>
      <c r="L87" s="24" t="s">
        <v>47</v>
      </c>
      <c r="U87" s="20" t="e">
        <f>INT(MID($D87,MIN(FIND({0,1,2,3,4,5,6,7,8,9},$D87&amp;"0123456789")),LEN($D87)*2-LENB($D87)))</f>
        <v>#VALUE!</v>
      </c>
      <c r="V87" s="20" t="str">
        <f t="shared" si="3"/>
        <v>[391D06FF]法宝抢夺 [00821c]5[-] 次</v>
      </c>
    </row>
    <row r="88" spans="1:22" s="14" customFormat="1" ht="16.5">
      <c r="A88" s="2">
        <v>10701</v>
      </c>
      <c r="B88" s="12">
        <f t="shared" si="4"/>
        <v>90</v>
      </c>
      <c r="C88" s="12">
        <f t="shared" si="5"/>
        <v>99</v>
      </c>
      <c r="D88" s="17" t="s">
        <v>87</v>
      </c>
      <c r="E88" s="17" t="s">
        <v>87</v>
      </c>
      <c r="F88" s="2">
        <v>13</v>
      </c>
      <c r="G88" s="2">
        <v>3</v>
      </c>
      <c r="H88" s="2">
        <v>85</v>
      </c>
      <c r="I88" s="12" t="s">
        <v>35</v>
      </c>
      <c r="J88" s="4">
        <v>30351</v>
      </c>
      <c r="K88" s="17">
        <v>10</v>
      </c>
      <c r="L88" s="23" t="s">
        <v>41</v>
      </c>
      <c r="U88" s="14" t="e">
        <f>INT(MID($D88,MIN(FIND({0,1,2,3,4,5,6,7,8,9},$D88&amp;"0123456789")),LEN($D88)*2-LENB($D88)))</f>
        <v>#VALUE!</v>
      </c>
      <c r="V88" s="14" t="str">
        <f t="shared" si="3"/>
        <v>[391D06FF]购买 [00821c]5[-] 个精力之心</v>
      </c>
    </row>
    <row r="89" spans="1:22" s="14" customFormat="1" ht="16.5">
      <c r="A89" s="2">
        <v>10702</v>
      </c>
      <c r="B89" s="12">
        <f t="shared" si="4"/>
        <v>90</v>
      </c>
      <c r="C89" s="12">
        <f t="shared" si="5"/>
        <v>99</v>
      </c>
      <c r="D89" s="2" t="s">
        <v>76</v>
      </c>
      <c r="E89" s="2" t="s">
        <v>76</v>
      </c>
      <c r="F89" s="18">
        <v>14000</v>
      </c>
      <c r="G89" s="2">
        <v>3</v>
      </c>
      <c r="H89" s="2">
        <v>86</v>
      </c>
      <c r="I89" s="12" t="s">
        <v>59</v>
      </c>
      <c r="J89" s="19">
        <v>30352</v>
      </c>
      <c r="K89" s="17">
        <v>10</v>
      </c>
      <c r="L89" s="19">
        <v>14</v>
      </c>
      <c r="U89" s="14" t="e">
        <f>INT(MID($D89,MIN(FIND({0,1,2,3,4,5,6,7,8,9},$D89&amp;"0123456789")),LEN($D89)*2-LENB($D89)))</f>
        <v>#VALUE!</v>
      </c>
      <c r="V89" s="14" t="str">
        <f t="shared" si="3"/>
        <v>[391D06FF]购买 [00821c]5[-] 个蟠桃</v>
      </c>
    </row>
    <row r="90" spans="1:22" s="14" customFormat="1" ht="16.5">
      <c r="A90" s="2">
        <v>10703</v>
      </c>
      <c r="B90" s="12">
        <f t="shared" si="4"/>
        <v>90</v>
      </c>
      <c r="C90" s="12">
        <f t="shared" si="5"/>
        <v>99</v>
      </c>
      <c r="D90" s="2" t="s">
        <v>77</v>
      </c>
      <c r="E90" s="2" t="s">
        <v>77</v>
      </c>
      <c r="F90" s="2" t="s">
        <v>64</v>
      </c>
      <c r="G90" s="2">
        <v>3</v>
      </c>
      <c r="H90" s="2">
        <v>87</v>
      </c>
      <c r="I90" s="12" t="s">
        <v>61</v>
      </c>
      <c r="J90" s="4">
        <v>30353</v>
      </c>
      <c r="K90" s="17">
        <v>10</v>
      </c>
      <c r="L90" s="23" t="s">
        <v>43</v>
      </c>
      <c r="U90" s="14" t="e">
        <f>INT(MID($D90,MIN(FIND({0,1,2,3,4,5,6,7,8,9},$D90&amp;"0123456789")),LEN($D90)*2-LENB($D90)))</f>
        <v>#VALUE!</v>
      </c>
      <c r="V90" s="14" t="str">
        <f t="shared" si="3"/>
        <v>[391D06FF]挑战 [00821c]10[-] 次主线副本</v>
      </c>
    </row>
    <row r="91" spans="1:22" s="14" customFormat="1" ht="16.5">
      <c r="A91" s="2">
        <v>10704</v>
      </c>
      <c r="B91" s="12">
        <f t="shared" si="4"/>
        <v>90</v>
      </c>
      <c r="C91" s="12">
        <f t="shared" si="5"/>
        <v>99</v>
      </c>
      <c r="D91" s="2" t="s">
        <v>78</v>
      </c>
      <c r="E91" s="2" t="s">
        <v>78</v>
      </c>
      <c r="F91" s="17" t="s">
        <v>70</v>
      </c>
      <c r="G91" s="2">
        <v>3</v>
      </c>
      <c r="H91" s="2">
        <v>88</v>
      </c>
      <c r="I91" s="12" t="s">
        <v>29</v>
      </c>
      <c r="J91" s="4">
        <v>30354</v>
      </c>
      <c r="K91" s="17">
        <v>10</v>
      </c>
      <c r="L91" s="23" t="s">
        <v>45</v>
      </c>
      <c r="U91" s="14" t="e">
        <f>INT(MID($D91,MIN(FIND({0,1,2,3,4,5,6,7,8,9},$D91&amp;"0123456789")),LEN($D91)*2-LENB($D91)))</f>
        <v>#VALUE!</v>
      </c>
      <c r="V91" s="14" t="str">
        <f t="shared" si="3"/>
        <v>[391D06FF]挑战 [00821c]5[-] 次灵台斗法</v>
      </c>
    </row>
    <row r="92" spans="1:22" s="14" customFormat="1" ht="16.5">
      <c r="A92" s="2">
        <v>10705</v>
      </c>
      <c r="B92" s="12">
        <f t="shared" si="4"/>
        <v>90</v>
      </c>
      <c r="C92" s="12">
        <f t="shared" si="5"/>
        <v>99</v>
      </c>
      <c r="D92" s="2" t="s">
        <v>79</v>
      </c>
      <c r="E92" s="2" t="s">
        <v>79</v>
      </c>
      <c r="F92" s="2">
        <v>3018</v>
      </c>
      <c r="G92" s="2">
        <v>3</v>
      </c>
      <c r="H92" s="2">
        <v>89</v>
      </c>
      <c r="I92" s="12" t="s">
        <v>31</v>
      </c>
      <c r="J92" s="4">
        <v>30355</v>
      </c>
      <c r="K92" s="17">
        <v>20</v>
      </c>
      <c r="L92" s="23" t="s">
        <v>47</v>
      </c>
      <c r="U92" s="14" t="e">
        <f>INT(MID($D92,MIN(FIND({0,1,2,3,4,5,6,7,8,9},$D92&amp;"0123456789")),LEN($D92)*2-LENB($D92)))</f>
        <v>#VALUE!</v>
      </c>
      <c r="V92" s="14" t="str">
        <f t="shared" si="3"/>
        <v>[391D06FF]进行 [00821c]3[-] 次法宝合成</v>
      </c>
    </row>
    <row r="93" spans="1:22" s="14" customFormat="1" ht="16.5">
      <c r="A93" s="2">
        <v>10706</v>
      </c>
      <c r="B93" s="12">
        <f t="shared" si="4"/>
        <v>90</v>
      </c>
      <c r="C93" s="12">
        <f t="shared" si="5"/>
        <v>99</v>
      </c>
      <c r="D93" s="2" t="s">
        <v>80</v>
      </c>
      <c r="E93" s="2" t="s">
        <v>80</v>
      </c>
      <c r="F93" s="2" t="s">
        <v>65</v>
      </c>
      <c r="G93" s="2">
        <v>3</v>
      </c>
      <c r="H93" s="2">
        <v>90</v>
      </c>
      <c r="I93" s="12" t="s">
        <v>36</v>
      </c>
      <c r="J93" s="4">
        <v>30356</v>
      </c>
      <c r="K93" s="17">
        <v>10</v>
      </c>
      <c r="L93" s="23" t="s">
        <v>49</v>
      </c>
      <c r="U93" s="14" t="e">
        <f>INT(MID($D93,MIN(FIND({0,1,2,3,4,5,6,7,8,9},$D93&amp;"0123456789")),LEN($D93)*2-LENB($D93)))</f>
        <v>#VALUE!</v>
      </c>
      <c r="V93" s="14" t="str">
        <f t="shared" si="3"/>
        <v>[391D06FF]挑战 [00821c]3[-] 次大雁塔</v>
      </c>
    </row>
    <row r="94" spans="1:22" s="14" customFormat="1" ht="16.5">
      <c r="A94" s="2">
        <v>10707</v>
      </c>
      <c r="B94" s="12">
        <f t="shared" si="4"/>
        <v>90</v>
      </c>
      <c r="C94" s="12">
        <f t="shared" si="5"/>
        <v>99</v>
      </c>
      <c r="D94" s="2" t="s">
        <v>81</v>
      </c>
      <c r="E94" s="2" t="s">
        <v>81</v>
      </c>
      <c r="F94" s="2" t="s">
        <v>66</v>
      </c>
      <c r="G94" s="2">
        <v>3</v>
      </c>
      <c r="H94" s="2">
        <v>91</v>
      </c>
      <c r="I94" s="12" t="s">
        <v>32</v>
      </c>
      <c r="J94" s="4">
        <v>30357</v>
      </c>
      <c r="K94" s="17">
        <v>10</v>
      </c>
      <c r="L94" s="23" t="s">
        <v>54</v>
      </c>
      <c r="U94" s="14" t="e">
        <f>INT(MID($D94,MIN(FIND({0,1,2,3,4,5,6,7,8,9},$D94&amp;"0123456789")),LEN($D94)*2-LENB($D94)))</f>
        <v>#VALUE!</v>
      </c>
      <c r="V94" s="14" t="str">
        <f t="shared" si="3"/>
        <v>[391D06FF]装备强化 [00821c]5[-] 次</v>
      </c>
    </row>
    <row r="95" spans="1:22" s="14" customFormat="1" ht="16.5">
      <c r="A95" s="2">
        <v>10708</v>
      </c>
      <c r="B95" s="12">
        <f t="shared" si="4"/>
        <v>90</v>
      </c>
      <c r="C95" s="12">
        <f t="shared" si="5"/>
        <v>99</v>
      </c>
      <c r="D95" s="2" t="s">
        <v>82</v>
      </c>
      <c r="E95" s="2" t="s">
        <v>82</v>
      </c>
      <c r="F95" s="2">
        <v>4503</v>
      </c>
      <c r="G95" s="2">
        <v>3</v>
      </c>
      <c r="H95" s="2">
        <v>92</v>
      </c>
      <c r="I95" s="12" t="s">
        <v>58</v>
      </c>
      <c r="J95" s="4">
        <v>30358</v>
      </c>
      <c r="K95" s="17">
        <v>20</v>
      </c>
      <c r="L95" s="23" t="s">
        <v>56</v>
      </c>
      <c r="U95" s="14" t="e">
        <f>INT(MID($D95,MIN(FIND({0,1,2,3,4,5,6,7,8,9},$D95&amp;"0123456789")),LEN($D95)*2-LENB($D95)))</f>
        <v>#VALUE!</v>
      </c>
      <c r="V95" s="14" t="str">
        <f t="shared" si="3"/>
        <v>[391D06FF]法宝强化 [00821c]3[-] 次</v>
      </c>
    </row>
    <row r="96" spans="1:22" s="14" customFormat="1" ht="16.5">
      <c r="A96" s="2">
        <v>10709</v>
      </c>
      <c r="B96" s="12">
        <f t="shared" si="4"/>
        <v>90</v>
      </c>
      <c r="C96" s="12">
        <f t="shared" si="5"/>
        <v>99</v>
      </c>
      <c r="D96" s="2" t="s">
        <v>83</v>
      </c>
      <c r="E96" s="2" t="s">
        <v>83</v>
      </c>
      <c r="F96" s="2" t="s">
        <v>68</v>
      </c>
      <c r="G96" s="2">
        <v>3</v>
      </c>
      <c r="H96" s="2">
        <v>93</v>
      </c>
      <c r="I96" s="12" t="s">
        <v>33</v>
      </c>
      <c r="J96" s="4">
        <v>30359</v>
      </c>
      <c r="K96" s="17">
        <v>10</v>
      </c>
      <c r="L96" s="23" t="s">
        <v>53</v>
      </c>
      <c r="U96" s="14" t="e">
        <f>INT(MID($D96,MIN(FIND({0,1,2,3,4,5,6,7,8,9},$D96&amp;"0123456789")),LEN($D96)*2-LENB($D96)))</f>
        <v>#VALUE!</v>
      </c>
      <c r="V96" s="14" t="str">
        <f t="shared" si="3"/>
        <v>[391D06FF]进行 [00821c]3[-] 次普通聚仙</v>
      </c>
    </row>
    <row r="97" spans="1:22" s="14" customFormat="1" ht="16.5">
      <c r="A97" s="2">
        <v>10710</v>
      </c>
      <c r="B97" s="12">
        <f t="shared" si="4"/>
        <v>90</v>
      </c>
      <c r="C97" s="12">
        <f t="shared" si="5"/>
        <v>99</v>
      </c>
      <c r="D97" s="2" t="s">
        <v>84</v>
      </c>
      <c r="E97" s="2" t="s">
        <v>84</v>
      </c>
      <c r="F97" s="2" t="s">
        <v>67</v>
      </c>
      <c r="G97" s="2">
        <v>3</v>
      </c>
      <c r="H97" s="2">
        <v>94</v>
      </c>
      <c r="I97" s="12" t="s">
        <v>34</v>
      </c>
      <c r="J97" s="4">
        <v>30360</v>
      </c>
      <c r="K97" s="17">
        <v>20</v>
      </c>
      <c r="L97" s="23" t="s">
        <v>53</v>
      </c>
      <c r="U97" s="14" t="e">
        <f>INT(MID($D97,MIN(FIND({0,1,2,3,4,5,6,7,8,9},$D97&amp;"0123456789")),LEN($D97)*2-LENB($D97)))</f>
        <v>#VALUE!</v>
      </c>
      <c r="V97" s="14" t="str">
        <f t="shared" si="3"/>
        <v>[391D06FF]进行 [00821c]1[-] 次顶级聚仙</v>
      </c>
    </row>
    <row r="98" spans="1:22" s="14" customFormat="1" ht="16.5">
      <c r="A98" s="2">
        <v>10711</v>
      </c>
      <c r="B98" s="12">
        <f t="shared" si="4"/>
        <v>90</v>
      </c>
      <c r="C98" s="12">
        <f t="shared" si="5"/>
        <v>99</v>
      </c>
      <c r="D98" s="2" t="s">
        <v>85</v>
      </c>
      <c r="E98" s="2" t="s">
        <v>85</v>
      </c>
      <c r="F98" s="2" t="s">
        <v>69</v>
      </c>
      <c r="G98" s="2">
        <v>3</v>
      </c>
      <c r="H98" s="2">
        <v>95</v>
      </c>
      <c r="I98" s="12" t="s">
        <v>60</v>
      </c>
      <c r="J98" s="4">
        <v>30361</v>
      </c>
      <c r="K98" s="17">
        <v>10</v>
      </c>
      <c r="L98" s="23" t="s">
        <v>51</v>
      </c>
      <c r="U98" s="14" t="e">
        <f>INT(MID($D98,MIN(FIND({0,1,2,3,4,5,6,7,8,9},$D98&amp;"0123456789")),LEN($D98)*2-LENB($D98)))</f>
        <v>#VALUE!</v>
      </c>
      <c r="V98" s="14" t="str">
        <f t="shared" si="3"/>
        <v>[391D06FF]伙伴升级 [00821c]1[-] 次</v>
      </c>
    </row>
    <row r="99" spans="1:22" s="14" customFormat="1" ht="16.5">
      <c r="A99" s="2">
        <v>10712</v>
      </c>
      <c r="B99" s="12">
        <f t="shared" si="4"/>
        <v>90</v>
      </c>
      <c r="C99" s="12">
        <f t="shared" si="5"/>
        <v>99</v>
      </c>
      <c r="D99" s="2" t="s">
        <v>86</v>
      </c>
      <c r="E99" s="2" t="s">
        <v>86</v>
      </c>
      <c r="F99" s="17" t="s">
        <v>73</v>
      </c>
      <c r="G99" s="2">
        <v>3</v>
      </c>
      <c r="H99" s="2">
        <v>96</v>
      </c>
      <c r="I99" s="12" t="s">
        <v>30</v>
      </c>
      <c r="J99" s="4">
        <v>30362</v>
      </c>
      <c r="K99" s="17">
        <v>10</v>
      </c>
      <c r="L99" s="23" t="s">
        <v>47</v>
      </c>
      <c r="U99" s="14" t="e">
        <f>INT(MID($D99,MIN(FIND({0,1,2,3,4,5,6,7,8,9},$D99&amp;"0123456789")),LEN($D99)*2-LENB($D99)))</f>
        <v>#VALUE!</v>
      </c>
      <c r="V99" s="14" t="str">
        <f t="shared" si="3"/>
        <v>[391D06FF]法宝抢夺 [00821c]5[-] 次</v>
      </c>
    </row>
    <row r="100" spans="1:22" s="20" customFormat="1" ht="16.5">
      <c r="A100" s="3">
        <v>10801</v>
      </c>
      <c r="B100" s="16">
        <f t="shared" si="4"/>
        <v>100</v>
      </c>
      <c r="C100" s="16">
        <f t="shared" si="5"/>
        <v>109</v>
      </c>
      <c r="D100" s="22" t="s">
        <v>87</v>
      </c>
      <c r="E100" s="22" t="s">
        <v>87</v>
      </c>
      <c r="F100" s="3">
        <v>13</v>
      </c>
      <c r="G100" s="3">
        <v>3</v>
      </c>
      <c r="H100" s="3">
        <v>97</v>
      </c>
      <c r="I100" s="16" t="s">
        <v>35</v>
      </c>
      <c r="J100" s="5">
        <v>30401</v>
      </c>
      <c r="K100" s="22">
        <v>10</v>
      </c>
      <c r="L100" s="24" t="s">
        <v>41</v>
      </c>
      <c r="U100" s="20" t="e">
        <f>INT(MID($D100,MIN(FIND({0,1,2,3,4,5,6,7,8,9},$D100&amp;"0123456789")),LEN($D100)*2-LENB($D100)))</f>
        <v>#VALUE!</v>
      </c>
      <c r="V100" s="20" t="str">
        <f t="shared" si="3"/>
        <v>[391D06FF]购买 [00821c]5[-] 个精力之心</v>
      </c>
    </row>
    <row r="101" spans="1:22" s="20" customFormat="1" ht="16.5">
      <c r="A101" s="3">
        <v>10802</v>
      </c>
      <c r="B101" s="16">
        <f t="shared" si="4"/>
        <v>100</v>
      </c>
      <c r="C101" s="16">
        <f t="shared" si="5"/>
        <v>109</v>
      </c>
      <c r="D101" s="3" t="s">
        <v>76</v>
      </c>
      <c r="E101" s="3" t="s">
        <v>76</v>
      </c>
      <c r="F101" s="7">
        <v>14000</v>
      </c>
      <c r="G101" s="3">
        <v>3</v>
      </c>
      <c r="H101" s="3">
        <v>98</v>
      </c>
      <c r="I101" s="16" t="s">
        <v>59</v>
      </c>
      <c r="J101" s="10">
        <v>30402</v>
      </c>
      <c r="K101" s="22">
        <v>10</v>
      </c>
      <c r="L101" s="10">
        <v>14</v>
      </c>
      <c r="U101" s="20" t="e">
        <f>INT(MID($D101,MIN(FIND({0,1,2,3,4,5,6,7,8,9},$D101&amp;"0123456789")),LEN($D101)*2-LENB($D101)))</f>
        <v>#VALUE!</v>
      </c>
      <c r="V101" s="20" t="str">
        <f t="shared" si="3"/>
        <v>[391D06FF]购买 [00821c]5[-] 个蟠桃</v>
      </c>
    </row>
    <row r="102" spans="1:22" s="20" customFormat="1" ht="16.5">
      <c r="A102" s="3">
        <v>10803</v>
      </c>
      <c r="B102" s="16">
        <f t="shared" si="4"/>
        <v>100</v>
      </c>
      <c r="C102" s="16">
        <f t="shared" si="5"/>
        <v>109</v>
      </c>
      <c r="D102" s="3" t="s">
        <v>77</v>
      </c>
      <c r="E102" s="3" t="s">
        <v>77</v>
      </c>
      <c r="F102" s="3" t="s">
        <v>64</v>
      </c>
      <c r="G102" s="3">
        <v>3</v>
      </c>
      <c r="H102" s="3">
        <v>99</v>
      </c>
      <c r="I102" s="16" t="s">
        <v>61</v>
      </c>
      <c r="J102" s="5">
        <v>30403</v>
      </c>
      <c r="K102" s="22">
        <v>10</v>
      </c>
      <c r="L102" s="24" t="s">
        <v>43</v>
      </c>
      <c r="U102" s="20" t="e">
        <f>INT(MID($D102,MIN(FIND({0,1,2,3,4,5,6,7,8,9},$D102&amp;"0123456789")),LEN($D102)*2-LENB($D102)))</f>
        <v>#VALUE!</v>
      </c>
      <c r="V102" s="20" t="str">
        <f t="shared" si="3"/>
        <v>[391D06FF]挑战 [00821c]10[-] 次主线副本</v>
      </c>
    </row>
    <row r="103" spans="1:22" s="20" customFormat="1" ht="16.5">
      <c r="A103" s="3">
        <v>10804</v>
      </c>
      <c r="B103" s="16">
        <f t="shared" si="4"/>
        <v>100</v>
      </c>
      <c r="C103" s="16">
        <f t="shared" si="5"/>
        <v>109</v>
      </c>
      <c r="D103" s="3" t="s">
        <v>78</v>
      </c>
      <c r="E103" s="3" t="s">
        <v>78</v>
      </c>
      <c r="F103" s="22" t="s">
        <v>70</v>
      </c>
      <c r="G103" s="3">
        <v>3</v>
      </c>
      <c r="H103" s="3">
        <v>100</v>
      </c>
      <c r="I103" s="16" t="s">
        <v>29</v>
      </c>
      <c r="J103" s="5">
        <v>30404</v>
      </c>
      <c r="K103" s="22">
        <v>10</v>
      </c>
      <c r="L103" s="24" t="s">
        <v>45</v>
      </c>
      <c r="U103" s="20" t="e">
        <f>INT(MID($D103,MIN(FIND({0,1,2,3,4,5,6,7,8,9},$D103&amp;"0123456789")),LEN($D103)*2-LENB($D103)))</f>
        <v>#VALUE!</v>
      </c>
      <c r="V103" s="20" t="str">
        <f t="shared" si="3"/>
        <v>[391D06FF]挑战 [00821c]5[-] 次灵台斗法</v>
      </c>
    </row>
    <row r="104" spans="1:22" s="20" customFormat="1" ht="16.5">
      <c r="A104" s="3">
        <v>10805</v>
      </c>
      <c r="B104" s="16">
        <f t="shared" si="4"/>
        <v>100</v>
      </c>
      <c r="C104" s="16">
        <f t="shared" si="5"/>
        <v>109</v>
      </c>
      <c r="D104" s="3" t="s">
        <v>79</v>
      </c>
      <c r="E104" s="3" t="s">
        <v>79</v>
      </c>
      <c r="F104" s="3">
        <v>3018</v>
      </c>
      <c r="G104" s="3">
        <v>3</v>
      </c>
      <c r="H104" s="3">
        <v>101</v>
      </c>
      <c r="I104" s="16" t="s">
        <v>31</v>
      </c>
      <c r="J104" s="5">
        <v>30405</v>
      </c>
      <c r="K104" s="22">
        <v>20</v>
      </c>
      <c r="L104" s="24" t="s">
        <v>47</v>
      </c>
      <c r="U104" s="20" t="e">
        <f>INT(MID($D104,MIN(FIND({0,1,2,3,4,5,6,7,8,9},$D104&amp;"0123456789")),LEN($D104)*2-LENB($D104)))</f>
        <v>#VALUE!</v>
      </c>
      <c r="V104" s="20" t="str">
        <f t="shared" si="3"/>
        <v>[391D06FF]进行 [00821c]3[-] 次法宝合成</v>
      </c>
    </row>
    <row r="105" spans="1:22" s="20" customFormat="1" ht="16.5">
      <c r="A105" s="3">
        <v>10806</v>
      </c>
      <c r="B105" s="16">
        <f t="shared" si="4"/>
        <v>100</v>
      </c>
      <c r="C105" s="16">
        <f t="shared" si="5"/>
        <v>109</v>
      </c>
      <c r="D105" s="3" t="s">
        <v>80</v>
      </c>
      <c r="E105" s="3" t="s">
        <v>80</v>
      </c>
      <c r="F105" s="3" t="s">
        <v>65</v>
      </c>
      <c r="G105" s="3">
        <v>3</v>
      </c>
      <c r="H105" s="3">
        <v>102</v>
      </c>
      <c r="I105" s="16" t="s">
        <v>36</v>
      </c>
      <c r="J105" s="5">
        <v>30406</v>
      </c>
      <c r="K105" s="22">
        <v>10</v>
      </c>
      <c r="L105" s="24" t="s">
        <v>49</v>
      </c>
      <c r="U105" s="20" t="e">
        <f>INT(MID($D105,MIN(FIND({0,1,2,3,4,5,6,7,8,9},$D105&amp;"0123456789")),LEN($D105)*2-LENB($D105)))</f>
        <v>#VALUE!</v>
      </c>
      <c r="V105" s="20" t="str">
        <f t="shared" si="3"/>
        <v>[391D06FF]挑战 [00821c]3[-] 次大雁塔</v>
      </c>
    </row>
    <row r="106" spans="1:22" s="20" customFormat="1" ht="16.5">
      <c r="A106" s="3">
        <v>10807</v>
      </c>
      <c r="B106" s="16">
        <f t="shared" si="4"/>
        <v>100</v>
      </c>
      <c r="C106" s="16">
        <f t="shared" si="5"/>
        <v>109</v>
      </c>
      <c r="D106" s="3" t="s">
        <v>81</v>
      </c>
      <c r="E106" s="3" t="s">
        <v>81</v>
      </c>
      <c r="F106" s="3" t="s">
        <v>66</v>
      </c>
      <c r="G106" s="3">
        <v>3</v>
      </c>
      <c r="H106" s="3">
        <v>103</v>
      </c>
      <c r="I106" s="16" t="s">
        <v>32</v>
      </c>
      <c r="J106" s="5">
        <v>30407</v>
      </c>
      <c r="K106" s="22">
        <v>10</v>
      </c>
      <c r="L106" s="24" t="s">
        <v>54</v>
      </c>
      <c r="U106" s="20" t="e">
        <f>INT(MID($D106,MIN(FIND({0,1,2,3,4,5,6,7,8,9},$D106&amp;"0123456789")),LEN($D106)*2-LENB($D106)))</f>
        <v>#VALUE!</v>
      </c>
      <c r="V106" s="20" t="str">
        <f t="shared" si="3"/>
        <v>[391D06FF]装备强化 [00821c]5[-] 次</v>
      </c>
    </row>
    <row r="107" spans="1:22" s="20" customFormat="1" ht="16.5">
      <c r="A107" s="3">
        <v>10808</v>
      </c>
      <c r="B107" s="16">
        <f t="shared" si="4"/>
        <v>100</v>
      </c>
      <c r="C107" s="16">
        <f t="shared" si="5"/>
        <v>109</v>
      </c>
      <c r="D107" s="3" t="s">
        <v>82</v>
      </c>
      <c r="E107" s="3" t="s">
        <v>82</v>
      </c>
      <c r="F107" s="3">
        <v>4503</v>
      </c>
      <c r="G107" s="3">
        <v>3</v>
      </c>
      <c r="H107" s="3">
        <v>104</v>
      </c>
      <c r="I107" s="16" t="s">
        <v>58</v>
      </c>
      <c r="J107" s="5">
        <v>30408</v>
      </c>
      <c r="K107" s="22">
        <v>20</v>
      </c>
      <c r="L107" s="24" t="s">
        <v>56</v>
      </c>
      <c r="U107" s="20" t="e">
        <f>INT(MID($D107,MIN(FIND({0,1,2,3,4,5,6,7,8,9},$D107&amp;"0123456789")),LEN($D107)*2-LENB($D107)))</f>
        <v>#VALUE!</v>
      </c>
      <c r="V107" s="20" t="str">
        <f t="shared" si="3"/>
        <v>[391D06FF]法宝强化 [00821c]3[-] 次</v>
      </c>
    </row>
    <row r="108" spans="1:22" s="20" customFormat="1" ht="16.5">
      <c r="A108" s="3">
        <v>10809</v>
      </c>
      <c r="B108" s="16">
        <f t="shared" si="4"/>
        <v>100</v>
      </c>
      <c r="C108" s="16">
        <f t="shared" si="5"/>
        <v>109</v>
      </c>
      <c r="D108" s="3" t="s">
        <v>83</v>
      </c>
      <c r="E108" s="3" t="s">
        <v>83</v>
      </c>
      <c r="F108" s="3" t="s">
        <v>68</v>
      </c>
      <c r="G108" s="3">
        <v>3</v>
      </c>
      <c r="H108" s="3">
        <v>105</v>
      </c>
      <c r="I108" s="16" t="s">
        <v>33</v>
      </c>
      <c r="J108" s="5">
        <v>30409</v>
      </c>
      <c r="K108" s="22">
        <v>10</v>
      </c>
      <c r="L108" s="24" t="s">
        <v>53</v>
      </c>
      <c r="U108" s="20" t="e">
        <f>INT(MID($D108,MIN(FIND({0,1,2,3,4,5,6,7,8,9},$D108&amp;"0123456789")),LEN($D108)*2-LENB($D108)))</f>
        <v>#VALUE!</v>
      </c>
      <c r="V108" s="20" t="str">
        <f t="shared" si="3"/>
        <v>[391D06FF]进行 [00821c]3[-] 次普通聚仙</v>
      </c>
    </row>
    <row r="109" spans="1:22" s="20" customFormat="1" ht="16.5">
      <c r="A109" s="3">
        <v>10810</v>
      </c>
      <c r="B109" s="16">
        <f t="shared" si="4"/>
        <v>100</v>
      </c>
      <c r="C109" s="16">
        <f t="shared" si="5"/>
        <v>109</v>
      </c>
      <c r="D109" s="3" t="s">
        <v>84</v>
      </c>
      <c r="E109" s="3" t="s">
        <v>84</v>
      </c>
      <c r="F109" s="3" t="s">
        <v>67</v>
      </c>
      <c r="G109" s="3">
        <v>3</v>
      </c>
      <c r="H109" s="3">
        <v>106</v>
      </c>
      <c r="I109" s="16" t="s">
        <v>34</v>
      </c>
      <c r="J109" s="5">
        <v>30410</v>
      </c>
      <c r="K109" s="22">
        <v>20</v>
      </c>
      <c r="L109" s="24" t="s">
        <v>53</v>
      </c>
      <c r="U109" s="20" t="e">
        <f>INT(MID($D109,MIN(FIND({0,1,2,3,4,5,6,7,8,9},$D109&amp;"0123456789")),LEN($D109)*2-LENB($D109)))</f>
        <v>#VALUE!</v>
      </c>
      <c r="V109" s="20" t="str">
        <f t="shared" si="3"/>
        <v>[391D06FF]进行 [00821c]1[-] 次顶级聚仙</v>
      </c>
    </row>
    <row r="110" spans="1:22" s="20" customFormat="1" ht="16.5">
      <c r="A110" s="3">
        <v>10811</v>
      </c>
      <c r="B110" s="16">
        <f t="shared" si="4"/>
        <v>100</v>
      </c>
      <c r="C110" s="16">
        <f t="shared" si="5"/>
        <v>109</v>
      </c>
      <c r="D110" s="3" t="s">
        <v>85</v>
      </c>
      <c r="E110" s="3" t="s">
        <v>85</v>
      </c>
      <c r="F110" s="3" t="s">
        <v>69</v>
      </c>
      <c r="G110" s="3">
        <v>3</v>
      </c>
      <c r="H110" s="3">
        <v>107</v>
      </c>
      <c r="I110" s="16" t="s">
        <v>60</v>
      </c>
      <c r="J110" s="5">
        <v>30411</v>
      </c>
      <c r="K110" s="22">
        <v>10</v>
      </c>
      <c r="L110" s="24" t="s">
        <v>51</v>
      </c>
      <c r="U110" s="20" t="e">
        <f>INT(MID($D110,MIN(FIND({0,1,2,3,4,5,6,7,8,9},$D110&amp;"0123456789")),LEN($D110)*2-LENB($D110)))</f>
        <v>#VALUE!</v>
      </c>
      <c r="V110" s="20" t="str">
        <f t="shared" si="3"/>
        <v>[391D06FF]伙伴升级 [00821c]1[-] 次</v>
      </c>
    </row>
    <row r="111" spans="1:22" s="20" customFormat="1" ht="16.5">
      <c r="A111" s="3">
        <v>10812</v>
      </c>
      <c r="B111" s="16">
        <f t="shared" si="4"/>
        <v>100</v>
      </c>
      <c r="C111" s="16">
        <f t="shared" si="5"/>
        <v>109</v>
      </c>
      <c r="D111" s="3" t="s">
        <v>86</v>
      </c>
      <c r="E111" s="3" t="s">
        <v>86</v>
      </c>
      <c r="F111" s="22" t="s">
        <v>73</v>
      </c>
      <c r="G111" s="3">
        <v>3</v>
      </c>
      <c r="H111" s="3">
        <v>108</v>
      </c>
      <c r="I111" s="16" t="s">
        <v>30</v>
      </c>
      <c r="J111" s="5">
        <v>30412</v>
      </c>
      <c r="K111" s="22">
        <v>10</v>
      </c>
      <c r="L111" s="24" t="s">
        <v>47</v>
      </c>
      <c r="U111" s="20" t="e">
        <f>INT(MID($D111,MIN(FIND({0,1,2,3,4,5,6,7,8,9},$D111&amp;"0123456789")),LEN($D111)*2-LENB($D111)))</f>
        <v>#VALUE!</v>
      </c>
      <c r="V111" s="20" t="str">
        <f t="shared" si="3"/>
        <v>[391D06FF]法宝抢夺 [00821c]5[-] 次</v>
      </c>
    </row>
    <row r="112" spans="1:22" s="14" customFormat="1" ht="16.5">
      <c r="A112" s="2">
        <v>10901</v>
      </c>
      <c r="B112" s="12">
        <f t="shared" si="4"/>
        <v>110</v>
      </c>
      <c r="C112" s="12">
        <f t="shared" si="5"/>
        <v>119</v>
      </c>
      <c r="D112" s="17" t="s">
        <v>87</v>
      </c>
      <c r="E112" s="17" t="s">
        <v>87</v>
      </c>
      <c r="F112" s="2">
        <v>13</v>
      </c>
      <c r="G112" s="2">
        <v>3</v>
      </c>
      <c r="H112" s="2">
        <v>109</v>
      </c>
      <c r="I112" s="12" t="s">
        <v>35</v>
      </c>
      <c r="J112" s="4">
        <v>30451</v>
      </c>
      <c r="K112" s="17">
        <v>10</v>
      </c>
      <c r="L112" s="23" t="s">
        <v>41</v>
      </c>
      <c r="U112" s="14" t="e">
        <f>INT(MID($D112,MIN(FIND({0,1,2,3,4,5,6,7,8,9},$D112&amp;"0123456789")),LEN($D112)*2-LENB($D112)))</f>
        <v>#VALUE!</v>
      </c>
      <c r="V112" s="14" t="str">
        <f t="shared" si="3"/>
        <v>[391D06FF]购买 [00821c]5[-] 个精力之心</v>
      </c>
    </row>
    <row r="113" spans="1:22" s="14" customFormat="1" ht="16.5">
      <c r="A113" s="2">
        <v>10902</v>
      </c>
      <c r="B113" s="12">
        <f t="shared" si="4"/>
        <v>110</v>
      </c>
      <c r="C113" s="12">
        <f t="shared" si="5"/>
        <v>119</v>
      </c>
      <c r="D113" s="2" t="s">
        <v>76</v>
      </c>
      <c r="E113" s="2" t="s">
        <v>76</v>
      </c>
      <c r="F113" s="18">
        <v>14000</v>
      </c>
      <c r="G113" s="2">
        <v>3</v>
      </c>
      <c r="H113" s="2">
        <v>110</v>
      </c>
      <c r="I113" s="12" t="s">
        <v>59</v>
      </c>
      <c r="J113" s="19">
        <v>30452</v>
      </c>
      <c r="K113" s="17">
        <v>10</v>
      </c>
      <c r="L113" s="19">
        <v>14</v>
      </c>
      <c r="U113" s="14" t="e">
        <f>INT(MID($D113,MIN(FIND({0,1,2,3,4,5,6,7,8,9},$D113&amp;"0123456789")),LEN($D113)*2-LENB($D113)))</f>
        <v>#VALUE!</v>
      </c>
      <c r="V113" s="14" t="str">
        <f t="shared" si="3"/>
        <v>[391D06FF]购买 [00821c]5[-] 个蟠桃</v>
      </c>
    </row>
    <row r="114" spans="1:22" s="14" customFormat="1" ht="16.5">
      <c r="A114" s="2">
        <v>10903</v>
      </c>
      <c r="B114" s="12">
        <f t="shared" si="4"/>
        <v>110</v>
      </c>
      <c r="C114" s="12">
        <f t="shared" si="5"/>
        <v>119</v>
      </c>
      <c r="D114" s="2" t="s">
        <v>77</v>
      </c>
      <c r="E114" s="2" t="s">
        <v>77</v>
      </c>
      <c r="F114" s="2" t="s">
        <v>64</v>
      </c>
      <c r="G114" s="2">
        <v>3</v>
      </c>
      <c r="H114" s="2">
        <v>111</v>
      </c>
      <c r="I114" s="12" t="s">
        <v>61</v>
      </c>
      <c r="J114" s="4">
        <v>30453</v>
      </c>
      <c r="K114" s="17">
        <v>10</v>
      </c>
      <c r="L114" s="23" t="s">
        <v>43</v>
      </c>
      <c r="U114" s="14" t="e">
        <f>INT(MID($D114,MIN(FIND({0,1,2,3,4,5,6,7,8,9},$D114&amp;"0123456789")),LEN($D114)*2-LENB($D114)))</f>
        <v>#VALUE!</v>
      </c>
      <c r="V114" s="14" t="str">
        <f t="shared" si="3"/>
        <v>[391D06FF]挑战 [00821c]10[-] 次主线副本</v>
      </c>
    </row>
    <row r="115" spans="1:22" s="14" customFormat="1" ht="16.5">
      <c r="A115" s="2">
        <v>10904</v>
      </c>
      <c r="B115" s="12">
        <f t="shared" si="4"/>
        <v>110</v>
      </c>
      <c r="C115" s="12">
        <f t="shared" si="5"/>
        <v>119</v>
      </c>
      <c r="D115" s="2" t="s">
        <v>78</v>
      </c>
      <c r="E115" s="2" t="s">
        <v>78</v>
      </c>
      <c r="F115" s="17" t="s">
        <v>70</v>
      </c>
      <c r="G115" s="2">
        <v>3</v>
      </c>
      <c r="H115" s="2">
        <v>112</v>
      </c>
      <c r="I115" s="12" t="s">
        <v>29</v>
      </c>
      <c r="J115" s="4">
        <v>30454</v>
      </c>
      <c r="K115" s="17">
        <v>10</v>
      </c>
      <c r="L115" s="23" t="s">
        <v>45</v>
      </c>
      <c r="U115" s="14" t="e">
        <f>INT(MID($D115,MIN(FIND({0,1,2,3,4,5,6,7,8,9},$D115&amp;"0123456789")),LEN($D115)*2-LENB($D115)))</f>
        <v>#VALUE!</v>
      </c>
      <c r="V115" s="14" t="str">
        <f t="shared" si="3"/>
        <v>[391D06FF]挑战 [00821c]5[-] 次灵台斗法</v>
      </c>
    </row>
    <row r="116" spans="1:22" s="14" customFormat="1" ht="16.5">
      <c r="A116" s="2">
        <v>10905</v>
      </c>
      <c r="B116" s="12">
        <f t="shared" si="4"/>
        <v>110</v>
      </c>
      <c r="C116" s="12">
        <f t="shared" si="5"/>
        <v>119</v>
      </c>
      <c r="D116" s="2" t="s">
        <v>79</v>
      </c>
      <c r="E116" s="2" t="s">
        <v>79</v>
      </c>
      <c r="F116" s="2">
        <v>3018</v>
      </c>
      <c r="G116" s="2">
        <v>3</v>
      </c>
      <c r="H116" s="2">
        <v>113</v>
      </c>
      <c r="I116" s="12" t="s">
        <v>31</v>
      </c>
      <c r="J116" s="4">
        <v>30455</v>
      </c>
      <c r="K116" s="17">
        <v>20</v>
      </c>
      <c r="L116" s="23" t="s">
        <v>47</v>
      </c>
      <c r="U116" s="14" t="e">
        <f>INT(MID($D116,MIN(FIND({0,1,2,3,4,5,6,7,8,9},$D116&amp;"0123456789")),LEN($D116)*2-LENB($D116)))</f>
        <v>#VALUE!</v>
      </c>
      <c r="V116" s="14" t="str">
        <f t="shared" si="3"/>
        <v>[391D06FF]进行 [00821c]3[-] 次法宝合成</v>
      </c>
    </row>
    <row r="117" spans="1:22" s="14" customFormat="1" ht="16.5">
      <c r="A117" s="2">
        <v>10906</v>
      </c>
      <c r="B117" s="12">
        <f t="shared" si="4"/>
        <v>110</v>
      </c>
      <c r="C117" s="12">
        <f t="shared" si="5"/>
        <v>119</v>
      </c>
      <c r="D117" s="2" t="s">
        <v>80</v>
      </c>
      <c r="E117" s="2" t="s">
        <v>80</v>
      </c>
      <c r="F117" s="2" t="s">
        <v>65</v>
      </c>
      <c r="G117" s="2">
        <v>3</v>
      </c>
      <c r="H117" s="2">
        <v>114</v>
      </c>
      <c r="I117" s="12" t="s">
        <v>36</v>
      </c>
      <c r="J117" s="4">
        <v>30456</v>
      </c>
      <c r="K117" s="17">
        <v>10</v>
      </c>
      <c r="L117" s="23" t="s">
        <v>49</v>
      </c>
      <c r="U117" s="14" t="e">
        <f>INT(MID($D117,MIN(FIND({0,1,2,3,4,5,6,7,8,9},$D117&amp;"0123456789")),LEN($D117)*2-LENB($D117)))</f>
        <v>#VALUE!</v>
      </c>
      <c r="V117" s="14" t="str">
        <f t="shared" si="3"/>
        <v>[391D06FF]挑战 [00821c]3[-] 次大雁塔</v>
      </c>
    </row>
    <row r="118" spans="1:22" s="14" customFormat="1" ht="16.5">
      <c r="A118" s="2">
        <v>10907</v>
      </c>
      <c r="B118" s="12">
        <f t="shared" si="4"/>
        <v>110</v>
      </c>
      <c r="C118" s="12">
        <f t="shared" si="5"/>
        <v>119</v>
      </c>
      <c r="D118" s="2" t="s">
        <v>81</v>
      </c>
      <c r="E118" s="2" t="s">
        <v>81</v>
      </c>
      <c r="F118" s="2" t="s">
        <v>66</v>
      </c>
      <c r="G118" s="2">
        <v>3</v>
      </c>
      <c r="H118" s="2">
        <v>115</v>
      </c>
      <c r="I118" s="12" t="s">
        <v>32</v>
      </c>
      <c r="J118" s="4">
        <v>30457</v>
      </c>
      <c r="K118" s="17">
        <v>10</v>
      </c>
      <c r="L118" s="23" t="s">
        <v>54</v>
      </c>
      <c r="U118" s="14" t="e">
        <f>INT(MID($D118,MIN(FIND({0,1,2,3,4,5,6,7,8,9},$D118&amp;"0123456789")),LEN($D118)*2-LENB($D118)))</f>
        <v>#VALUE!</v>
      </c>
      <c r="V118" s="14" t="str">
        <f t="shared" si="3"/>
        <v>[391D06FF]装备强化 [00821c]5[-] 次</v>
      </c>
    </row>
    <row r="119" spans="1:22" s="14" customFormat="1" ht="16.5">
      <c r="A119" s="2">
        <v>10908</v>
      </c>
      <c r="B119" s="12">
        <f t="shared" si="4"/>
        <v>110</v>
      </c>
      <c r="C119" s="12">
        <f t="shared" si="5"/>
        <v>119</v>
      </c>
      <c r="D119" s="2" t="s">
        <v>82</v>
      </c>
      <c r="E119" s="2" t="s">
        <v>82</v>
      </c>
      <c r="F119" s="2">
        <v>4503</v>
      </c>
      <c r="G119" s="2">
        <v>3</v>
      </c>
      <c r="H119" s="2">
        <v>116</v>
      </c>
      <c r="I119" s="12" t="s">
        <v>58</v>
      </c>
      <c r="J119" s="4">
        <v>30458</v>
      </c>
      <c r="K119" s="17">
        <v>20</v>
      </c>
      <c r="L119" s="23" t="s">
        <v>56</v>
      </c>
      <c r="U119" s="14" t="e">
        <f>INT(MID($D119,MIN(FIND({0,1,2,3,4,5,6,7,8,9},$D119&amp;"0123456789")),LEN($D119)*2-LENB($D119)))</f>
        <v>#VALUE!</v>
      </c>
      <c r="V119" s="14" t="str">
        <f t="shared" si="3"/>
        <v>[391D06FF]法宝强化 [00821c]3[-] 次</v>
      </c>
    </row>
    <row r="120" spans="1:22" s="14" customFormat="1" ht="16.5">
      <c r="A120" s="2">
        <v>10909</v>
      </c>
      <c r="B120" s="12">
        <f t="shared" si="4"/>
        <v>110</v>
      </c>
      <c r="C120" s="12">
        <f t="shared" si="5"/>
        <v>119</v>
      </c>
      <c r="D120" s="2" t="s">
        <v>83</v>
      </c>
      <c r="E120" s="2" t="s">
        <v>83</v>
      </c>
      <c r="F120" s="2" t="s">
        <v>68</v>
      </c>
      <c r="G120" s="2">
        <v>3</v>
      </c>
      <c r="H120" s="2">
        <v>117</v>
      </c>
      <c r="I120" s="12" t="s">
        <v>33</v>
      </c>
      <c r="J120" s="4">
        <v>30459</v>
      </c>
      <c r="K120" s="17">
        <v>10</v>
      </c>
      <c r="L120" s="23" t="s">
        <v>53</v>
      </c>
      <c r="U120" s="14" t="e">
        <f>INT(MID($D120,MIN(FIND({0,1,2,3,4,5,6,7,8,9},$D120&amp;"0123456789")),LEN($D120)*2-LENB($D120)))</f>
        <v>#VALUE!</v>
      </c>
      <c r="V120" s="14" t="str">
        <f t="shared" si="3"/>
        <v>[391D06FF]进行 [00821c]3[-] 次普通聚仙</v>
      </c>
    </row>
    <row r="121" spans="1:22" s="14" customFormat="1" ht="16.5">
      <c r="A121" s="2">
        <v>10910</v>
      </c>
      <c r="B121" s="12">
        <f t="shared" si="4"/>
        <v>110</v>
      </c>
      <c r="C121" s="12">
        <f t="shared" si="5"/>
        <v>119</v>
      </c>
      <c r="D121" s="2" t="s">
        <v>84</v>
      </c>
      <c r="E121" s="2" t="s">
        <v>84</v>
      </c>
      <c r="F121" s="2" t="s">
        <v>67</v>
      </c>
      <c r="G121" s="2">
        <v>3</v>
      </c>
      <c r="H121" s="2">
        <v>118</v>
      </c>
      <c r="I121" s="12" t="s">
        <v>34</v>
      </c>
      <c r="J121" s="4">
        <v>30460</v>
      </c>
      <c r="K121" s="17">
        <v>20</v>
      </c>
      <c r="L121" s="23" t="s">
        <v>53</v>
      </c>
      <c r="U121" s="14" t="e">
        <f>INT(MID($D121,MIN(FIND({0,1,2,3,4,5,6,7,8,9},$D121&amp;"0123456789")),LEN($D121)*2-LENB($D121)))</f>
        <v>#VALUE!</v>
      </c>
      <c r="V121" s="14" t="str">
        <f t="shared" si="3"/>
        <v>[391D06FF]进行 [00821c]1[-] 次顶级聚仙</v>
      </c>
    </row>
    <row r="122" spans="1:22" s="14" customFormat="1" ht="16.5">
      <c r="A122" s="2">
        <v>10911</v>
      </c>
      <c r="B122" s="12">
        <f t="shared" si="4"/>
        <v>110</v>
      </c>
      <c r="C122" s="12">
        <f t="shared" si="5"/>
        <v>119</v>
      </c>
      <c r="D122" s="2" t="s">
        <v>85</v>
      </c>
      <c r="E122" s="2" t="s">
        <v>85</v>
      </c>
      <c r="F122" s="2" t="s">
        <v>69</v>
      </c>
      <c r="G122" s="2">
        <v>3</v>
      </c>
      <c r="H122" s="2">
        <v>119</v>
      </c>
      <c r="I122" s="12" t="s">
        <v>60</v>
      </c>
      <c r="J122" s="4">
        <v>30461</v>
      </c>
      <c r="K122" s="17">
        <v>10</v>
      </c>
      <c r="L122" s="23" t="s">
        <v>51</v>
      </c>
      <c r="U122" s="14" t="e">
        <f>INT(MID($D122,MIN(FIND({0,1,2,3,4,5,6,7,8,9},$D122&amp;"0123456789")),LEN($D122)*2-LENB($D122)))</f>
        <v>#VALUE!</v>
      </c>
      <c r="V122" s="14" t="str">
        <f t="shared" si="3"/>
        <v>[391D06FF]伙伴升级 [00821c]1[-] 次</v>
      </c>
    </row>
    <row r="123" spans="1:22" s="14" customFormat="1" ht="16.5">
      <c r="A123" s="2">
        <v>10912</v>
      </c>
      <c r="B123" s="12">
        <f t="shared" si="4"/>
        <v>110</v>
      </c>
      <c r="C123" s="12">
        <f t="shared" si="5"/>
        <v>119</v>
      </c>
      <c r="D123" s="2" t="s">
        <v>86</v>
      </c>
      <c r="E123" s="2" t="s">
        <v>86</v>
      </c>
      <c r="F123" s="17" t="s">
        <v>73</v>
      </c>
      <c r="G123" s="2">
        <v>3</v>
      </c>
      <c r="H123" s="2">
        <v>120</v>
      </c>
      <c r="I123" s="12" t="s">
        <v>30</v>
      </c>
      <c r="J123" s="4">
        <v>30462</v>
      </c>
      <c r="K123" s="17">
        <v>10</v>
      </c>
      <c r="L123" s="23" t="s">
        <v>47</v>
      </c>
      <c r="U123" s="14" t="e">
        <f>INT(MID($D123,MIN(FIND({0,1,2,3,4,5,6,7,8,9},$D123&amp;"0123456789")),LEN($D123)*2-LENB($D123)))</f>
        <v>#VALUE!</v>
      </c>
      <c r="V123" s="14" t="str">
        <f t="shared" si="3"/>
        <v>[391D06FF]法宝抢夺 [00821c]5[-] 次</v>
      </c>
    </row>
    <row r="124" spans="1:22" s="20" customFormat="1" ht="16.5">
      <c r="A124" s="3">
        <v>11001</v>
      </c>
      <c r="B124" s="16">
        <f t="shared" si="4"/>
        <v>120</v>
      </c>
      <c r="C124" s="16">
        <f t="shared" si="5"/>
        <v>129</v>
      </c>
      <c r="D124" s="22" t="s">
        <v>87</v>
      </c>
      <c r="E124" s="22" t="s">
        <v>87</v>
      </c>
      <c r="F124" s="3">
        <v>13</v>
      </c>
      <c r="G124" s="3">
        <v>3</v>
      </c>
      <c r="H124" s="3">
        <v>121</v>
      </c>
      <c r="I124" s="16" t="s">
        <v>35</v>
      </c>
      <c r="J124" s="5">
        <v>30501</v>
      </c>
      <c r="K124" s="22">
        <v>10</v>
      </c>
      <c r="L124" s="24" t="s">
        <v>41</v>
      </c>
      <c r="U124" s="20" t="e">
        <f>INT(MID($D124,MIN(FIND({0,1,2,3,4,5,6,7,8,9},$D124&amp;"0123456789")),LEN($D124)*2-LENB($D124)))</f>
        <v>#VALUE!</v>
      </c>
      <c r="V124" s="20" t="str">
        <f t="shared" si="3"/>
        <v>[391D06FF]购买 [00821c]5[-] 个精力之心</v>
      </c>
    </row>
    <row r="125" spans="1:22" s="20" customFormat="1" ht="16.5">
      <c r="A125" s="3">
        <v>11002</v>
      </c>
      <c r="B125" s="16">
        <f t="shared" si="4"/>
        <v>120</v>
      </c>
      <c r="C125" s="16">
        <f t="shared" si="5"/>
        <v>129</v>
      </c>
      <c r="D125" s="3" t="s">
        <v>76</v>
      </c>
      <c r="E125" s="3" t="s">
        <v>76</v>
      </c>
      <c r="F125" s="7">
        <v>14000</v>
      </c>
      <c r="G125" s="3">
        <v>3</v>
      </c>
      <c r="H125" s="3">
        <v>122</v>
      </c>
      <c r="I125" s="16" t="s">
        <v>59</v>
      </c>
      <c r="J125" s="10">
        <v>30502</v>
      </c>
      <c r="K125" s="22">
        <v>10</v>
      </c>
      <c r="L125" s="10">
        <v>14</v>
      </c>
      <c r="U125" s="20" t="e">
        <f>INT(MID($D125,MIN(FIND({0,1,2,3,4,5,6,7,8,9},$D125&amp;"0123456789")),LEN($D125)*2-LENB($D125)))</f>
        <v>#VALUE!</v>
      </c>
      <c r="V125" s="20" t="str">
        <f t="shared" si="3"/>
        <v>[391D06FF]购买 [00821c]5[-] 个蟠桃</v>
      </c>
    </row>
    <row r="126" spans="1:22" s="20" customFormat="1" ht="16.5">
      <c r="A126" s="3">
        <v>11003</v>
      </c>
      <c r="B126" s="16">
        <f t="shared" si="4"/>
        <v>120</v>
      </c>
      <c r="C126" s="16">
        <f t="shared" si="5"/>
        <v>129</v>
      </c>
      <c r="D126" s="3" t="s">
        <v>77</v>
      </c>
      <c r="E126" s="3" t="s">
        <v>77</v>
      </c>
      <c r="F126" s="3" t="s">
        <v>64</v>
      </c>
      <c r="G126" s="3">
        <v>3</v>
      </c>
      <c r="H126" s="3">
        <v>123</v>
      </c>
      <c r="I126" s="16" t="s">
        <v>61</v>
      </c>
      <c r="J126" s="5">
        <v>30503</v>
      </c>
      <c r="K126" s="22">
        <v>10</v>
      </c>
      <c r="L126" s="24" t="s">
        <v>43</v>
      </c>
      <c r="U126" s="20" t="e">
        <f>INT(MID($D126,MIN(FIND({0,1,2,3,4,5,6,7,8,9},$D126&amp;"0123456789")),LEN($D126)*2-LENB($D126)))</f>
        <v>#VALUE!</v>
      </c>
      <c r="V126" s="20" t="str">
        <f t="shared" si="3"/>
        <v>[391D06FF]挑战 [00821c]10[-] 次主线副本</v>
      </c>
    </row>
    <row r="127" spans="1:22" s="20" customFormat="1" ht="16.5">
      <c r="A127" s="3">
        <v>11004</v>
      </c>
      <c r="B127" s="16">
        <f t="shared" si="4"/>
        <v>120</v>
      </c>
      <c r="C127" s="16">
        <f t="shared" si="5"/>
        <v>129</v>
      </c>
      <c r="D127" s="3" t="s">
        <v>78</v>
      </c>
      <c r="E127" s="3" t="s">
        <v>78</v>
      </c>
      <c r="F127" s="22" t="s">
        <v>70</v>
      </c>
      <c r="G127" s="3">
        <v>3</v>
      </c>
      <c r="H127" s="3">
        <v>124</v>
      </c>
      <c r="I127" s="16" t="s">
        <v>29</v>
      </c>
      <c r="J127" s="5">
        <v>30504</v>
      </c>
      <c r="K127" s="22">
        <v>10</v>
      </c>
      <c r="L127" s="24" t="s">
        <v>45</v>
      </c>
      <c r="U127" s="20" t="e">
        <f>INT(MID($D127,MIN(FIND({0,1,2,3,4,5,6,7,8,9},$D127&amp;"0123456789")),LEN($D127)*2-LENB($D127)))</f>
        <v>#VALUE!</v>
      </c>
      <c r="V127" s="20" t="str">
        <f t="shared" si="3"/>
        <v>[391D06FF]挑战 [00821c]5[-] 次灵台斗法</v>
      </c>
    </row>
    <row r="128" spans="1:22" s="20" customFormat="1" ht="16.5">
      <c r="A128" s="3">
        <v>11005</v>
      </c>
      <c r="B128" s="16">
        <f t="shared" si="4"/>
        <v>120</v>
      </c>
      <c r="C128" s="16">
        <f t="shared" si="5"/>
        <v>129</v>
      </c>
      <c r="D128" s="3" t="s">
        <v>79</v>
      </c>
      <c r="E128" s="3" t="s">
        <v>79</v>
      </c>
      <c r="F128" s="3">
        <v>3018</v>
      </c>
      <c r="G128" s="3">
        <v>3</v>
      </c>
      <c r="H128" s="3">
        <v>125</v>
      </c>
      <c r="I128" s="16" t="s">
        <v>31</v>
      </c>
      <c r="J128" s="5">
        <v>30505</v>
      </c>
      <c r="K128" s="22">
        <v>20</v>
      </c>
      <c r="L128" s="24" t="s">
        <v>47</v>
      </c>
      <c r="U128" s="20" t="e">
        <f>INT(MID($D128,MIN(FIND({0,1,2,3,4,5,6,7,8,9},$D128&amp;"0123456789")),LEN($D128)*2-LENB($D128)))</f>
        <v>#VALUE!</v>
      </c>
      <c r="V128" s="20" t="str">
        <f t="shared" si="3"/>
        <v>[391D06FF]进行 [00821c]3[-] 次法宝合成</v>
      </c>
    </row>
    <row r="129" spans="1:22" s="20" customFormat="1" ht="16.5">
      <c r="A129" s="3">
        <v>11006</v>
      </c>
      <c r="B129" s="16">
        <f t="shared" si="4"/>
        <v>120</v>
      </c>
      <c r="C129" s="16">
        <f t="shared" si="5"/>
        <v>129</v>
      </c>
      <c r="D129" s="3" t="s">
        <v>80</v>
      </c>
      <c r="E129" s="3" t="s">
        <v>80</v>
      </c>
      <c r="F129" s="3" t="s">
        <v>65</v>
      </c>
      <c r="G129" s="3">
        <v>3</v>
      </c>
      <c r="H129" s="3">
        <v>126</v>
      </c>
      <c r="I129" s="16" t="s">
        <v>36</v>
      </c>
      <c r="J129" s="5">
        <v>30506</v>
      </c>
      <c r="K129" s="22">
        <v>10</v>
      </c>
      <c r="L129" s="24" t="s">
        <v>49</v>
      </c>
      <c r="U129" s="20" t="e">
        <f>INT(MID($D129,MIN(FIND({0,1,2,3,4,5,6,7,8,9},$D129&amp;"0123456789")),LEN($D129)*2-LENB($D129)))</f>
        <v>#VALUE!</v>
      </c>
      <c r="V129" s="20" t="str">
        <f t="shared" si="3"/>
        <v>[391D06FF]挑战 [00821c]3[-] 次大雁塔</v>
      </c>
    </row>
    <row r="130" spans="1:22" s="20" customFormat="1" ht="16.5">
      <c r="A130" s="3">
        <v>11007</v>
      </c>
      <c r="B130" s="16">
        <f t="shared" si="4"/>
        <v>120</v>
      </c>
      <c r="C130" s="16">
        <f t="shared" si="5"/>
        <v>129</v>
      </c>
      <c r="D130" s="3" t="s">
        <v>81</v>
      </c>
      <c r="E130" s="3" t="s">
        <v>81</v>
      </c>
      <c r="F130" s="3" t="s">
        <v>66</v>
      </c>
      <c r="G130" s="3">
        <v>3</v>
      </c>
      <c r="H130" s="3">
        <v>127</v>
      </c>
      <c r="I130" s="16" t="s">
        <v>32</v>
      </c>
      <c r="J130" s="5">
        <v>30507</v>
      </c>
      <c r="K130" s="22">
        <v>10</v>
      </c>
      <c r="L130" s="24" t="s">
        <v>54</v>
      </c>
      <c r="U130" s="20" t="e">
        <f>INT(MID($D130,MIN(FIND({0,1,2,3,4,5,6,7,8,9},$D130&amp;"0123456789")),LEN($D130)*2-LENB($D130)))</f>
        <v>#VALUE!</v>
      </c>
      <c r="V130" s="20" t="str">
        <f t="shared" si="3"/>
        <v>[391D06FF]装备强化 [00821c]5[-] 次</v>
      </c>
    </row>
    <row r="131" spans="1:22" s="20" customFormat="1" ht="16.5">
      <c r="A131" s="3">
        <v>11008</v>
      </c>
      <c r="B131" s="16">
        <f t="shared" si="4"/>
        <v>120</v>
      </c>
      <c r="C131" s="16">
        <f t="shared" si="5"/>
        <v>129</v>
      </c>
      <c r="D131" s="3" t="s">
        <v>82</v>
      </c>
      <c r="E131" s="3" t="s">
        <v>82</v>
      </c>
      <c r="F131" s="3">
        <v>4503</v>
      </c>
      <c r="G131" s="3">
        <v>3</v>
      </c>
      <c r="H131" s="3">
        <v>128</v>
      </c>
      <c r="I131" s="16" t="s">
        <v>58</v>
      </c>
      <c r="J131" s="5">
        <v>30508</v>
      </c>
      <c r="K131" s="22">
        <v>20</v>
      </c>
      <c r="L131" s="24" t="s">
        <v>56</v>
      </c>
      <c r="U131" s="20" t="e">
        <f>INT(MID($D131,MIN(FIND({0,1,2,3,4,5,6,7,8,9},$D131&amp;"0123456789")),LEN($D131)*2-LENB($D131)))</f>
        <v>#VALUE!</v>
      </c>
      <c r="V131" s="20" t="str">
        <f t="shared" si="3"/>
        <v>[391D06FF]法宝强化 [00821c]3[-] 次</v>
      </c>
    </row>
    <row r="132" spans="1:22" s="20" customFormat="1" ht="16.5">
      <c r="A132" s="3">
        <v>11009</v>
      </c>
      <c r="B132" s="16">
        <f t="shared" si="4"/>
        <v>120</v>
      </c>
      <c r="C132" s="16">
        <f t="shared" si="5"/>
        <v>129</v>
      </c>
      <c r="D132" s="3" t="s">
        <v>83</v>
      </c>
      <c r="E132" s="3" t="s">
        <v>83</v>
      </c>
      <c r="F132" s="3" t="s">
        <v>68</v>
      </c>
      <c r="G132" s="3">
        <v>3</v>
      </c>
      <c r="H132" s="3">
        <v>129</v>
      </c>
      <c r="I132" s="16" t="s">
        <v>33</v>
      </c>
      <c r="J132" s="5">
        <v>30509</v>
      </c>
      <c r="K132" s="22">
        <v>10</v>
      </c>
      <c r="L132" s="24" t="s">
        <v>53</v>
      </c>
      <c r="U132" s="20" t="e">
        <f>INT(MID($D132,MIN(FIND({0,1,2,3,4,5,6,7,8,9},$D132&amp;"0123456789")),LEN($D132)*2-LENB($D132)))</f>
        <v>#VALUE!</v>
      </c>
      <c r="V132" s="20" t="str">
        <f t="shared" si="3"/>
        <v>[391D06FF]进行 [00821c]3[-] 次普通聚仙</v>
      </c>
    </row>
    <row r="133" spans="1:22" s="20" customFormat="1" ht="16.5">
      <c r="A133" s="3">
        <v>11010</v>
      </c>
      <c r="B133" s="16">
        <f t="shared" si="4"/>
        <v>120</v>
      </c>
      <c r="C133" s="16">
        <f t="shared" si="5"/>
        <v>129</v>
      </c>
      <c r="D133" s="3" t="s">
        <v>84</v>
      </c>
      <c r="E133" s="3" t="s">
        <v>84</v>
      </c>
      <c r="F133" s="3" t="s">
        <v>67</v>
      </c>
      <c r="G133" s="3">
        <v>3</v>
      </c>
      <c r="H133" s="3">
        <v>130</v>
      </c>
      <c r="I133" s="16" t="s">
        <v>34</v>
      </c>
      <c r="J133" s="5">
        <v>30510</v>
      </c>
      <c r="K133" s="22">
        <v>20</v>
      </c>
      <c r="L133" s="24" t="s">
        <v>53</v>
      </c>
      <c r="U133" s="20" t="e">
        <f>INT(MID($D133,MIN(FIND({0,1,2,3,4,5,6,7,8,9},$D133&amp;"0123456789")),LEN($D133)*2-LENB($D133)))</f>
        <v>#VALUE!</v>
      </c>
      <c r="V133" s="20" t="str">
        <f t="shared" ref="V133:V183" si="6">IF(ISERROR($U133),$D133,LEFT($D133,FIND($U133,$D133)-1)&amp;" [379340]"&amp;U133&amp;"[-] "&amp;IFERROR(RIGHT($D133,LEN($D133)-FIND($U133,$D133)-LEN($U133)+1),""))</f>
        <v>[391D06FF]进行 [00821c]1[-] 次顶级聚仙</v>
      </c>
    </row>
    <row r="134" spans="1:22" s="20" customFormat="1" ht="16.5">
      <c r="A134" s="3">
        <v>11011</v>
      </c>
      <c r="B134" s="16">
        <f t="shared" si="4"/>
        <v>120</v>
      </c>
      <c r="C134" s="16">
        <f t="shared" si="5"/>
        <v>129</v>
      </c>
      <c r="D134" s="3" t="s">
        <v>85</v>
      </c>
      <c r="E134" s="3" t="s">
        <v>85</v>
      </c>
      <c r="F134" s="3" t="s">
        <v>69</v>
      </c>
      <c r="G134" s="3">
        <v>3</v>
      </c>
      <c r="H134" s="3">
        <v>131</v>
      </c>
      <c r="I134" s="16" t="s">
        <v>60</v>
      </c>
      <c r="J134" s="5">
        <v>30511</v>
      </c>
      <c r="K134" s="22">
        <v>10</v>
      </c>
      <c r="L134" s="24" t="s">
        <v>51</v>
      </c>
      <c r="U134" s="20" t="e">
        <f>INT(MID($D134,MIN(FIND({0,1,2,3,4,5,6,7,8,9},$D134&amp;"0123456789")),LEN($D134)*2-LENB($D134)))</f>
        <v>#VALUE!</v>
      </c>
      <c r="V134" s="20" t="str">
        <f t="shared" si="6"/>
        <v>[391D06FF]伙伴升级 [00821c]1[-] 次</v>
      </c>
    </row>
    <row r="135" spans="1:22" s="20" customFormat="1" ht="16.5">
      <c r="A135" s="3">
        <v>11012</v>
      </c>
      <c r="B135" s="16">
        <f t="shared" si="4"/>
        <v>120</v>
      </c>
      <c r="C135" s="16">
        <f t="shared" si="5"/>
        <v>129</v>
      </c>
      <c r="D135" s="3" t="s">
        <v>86</v>
      </c>
      <c r="E135" s="3" t="s">
        <v>86</v>
      </c>
      <c r="F135" s="22" t="s">
        <v>73</v>
      </c>
      <c r="G135" s="3">
        <v>3</v>
      </c>
      <c r="H135" s="3">
        <v>132</v>
      </c>
      <c r="I135" s="16" t="s">
        <v>30</v>
      </c>
      <c r="J135" s="5">
        <v>30512</v>
      </c>
      <c r="K135" s="22">
        <v>10</v>
      </c>
      <c r="L135" s="24" t="s">
        <v>47</v>
      </c>
      <c r="U135" s="20" t="e">
        <f>INT(MID($D135,MIN(FIND({0,1,2,3,4,5,6,7,8,9},$D135&amp;"0123456789")),LEN($D135)*2-LENB($D135)))</f>
        <v>#VALUE!</v>
      </c>
      <c r="V135" s="20" t="str">
        <f t="shared" si="6"/>
        <v>[391D06FF]法宝抢夺 [00821c]5[-] 次</v>
      </c>
    </row>
    <row r="136" spans="1:22" s="14" customFormat="1" ht="16.5">
      <c r="A136" s="2">
        <v>11101</v>
      </c>
      <c r="B136" s="12">
        <f t="shared" si="4"/>
        <v>130</v>
      </c>
      <c r="C136" s="12">
        <f t="shared" si="5"/>
        <v>139</v>
      </c>
      <c r="D136" s="17" t="s">
        <v>87</v>
      </c>
      <c r="E136" s="17" t="s">
        <v>87</v>
      </c>
      <c r="F136" s="2">
        <v>13</v>
      </c>
      <c r="G136" s="2">
        <v>3</v>
      </c>
      <c r="H136" s="2">
        <v>133</v>
      </c>
      <c r="I136" s="12" t="s">
        <v>35</v>
      </c>
      <c r="J136" s="4">
        <v>30551</v>
      </c>
      <c r="K136" s="17">
        <v>10</v>
      </c>
      <c r="L136" s="23" t="s">
        <v>41</v>
      </c>
      <c r="U136" s="14" t="e">
        <f>INT(MID($D136,MIN(FIND({0,1,2,3,4,5,6,7,8,9},$D136&amp;"0123456789")),LEN($D136)*2-LENB($D136)))</f>
        <v>#VALUE!</v>
      </c>
      <c r="V136" s="14" t="str">
        <f t="shared" si="6"/>
        <v>[391D06FF]购买 [00821c]5[-] 个精力之心</v>
      </c>
    </row>
    <row r="137" spans="1:22" s="14" customFormat="1" ht="16.5">
      <c r="A137" s="2">
        <v>11102</v>
      </c>
      <c r="B137" s="12">
        <f t="shared" si="4"/>
        <v>130</v>
      </c>
      <c r="C137" s="12">
        <f t="shared" si="5"/>
        <v>139</v>
      </c>
      <c r="D137" s="2" t="s">
        <v>76</v>
      </c>
      <c r="E137" s="2" t="s">
        <v>76</v>
      </c>
      <c r="F137" s="18">
        <v>14000</v>
      </c>
      <c r="G137" s="2">
        <v>3</v>
      </c>
      <c r="H137" s="2">
        <v>134</v>
      </c>
      <c r="I137" s="12" t="s">
        <v>59</v>
      </c>
      <c r="J137" s="19">
        <v>30552</v>
      </c>
      <c r="K137" s="17">
        <v>10</v>
      </c>
      <c r="L137" s="19">
        <v>14</v>
      </c>
      <c r="U137" s="14" t="e">
        <f>INT(MID($D137,MIN(FIND({0,1,2,3,4,5,6,7,8,9},$D137&amp;"0123456789")),LEN($D137)*2-LENB($D137)))</f>
        <v>#VALUE!</v>
      </c>
      <c r="V137" s="14" t="str">
        <f t="shared" si="6"/>
        <v>[391D06FF]购买 [00821c]5[-] 个蟠桃</v>
      </c>
    </row>
    <row r="138" spans="1:22" s="14" customFormat="1" ht="16.5">
      <c r="A138" s="2">
        <v>11103</v>
      </c>
      <c r="B138" s="12">
        <f t="shared" si="4"/>
        <v>130</v>
      </c>
      <c r="C138" s="12">
        <f t="shared" si="5"/>
        <v>139</v>
      </c>
      <c r="D138" s="2" t="s">
        <v>77</v>
      </c>
      <c r="E138" s="2" t="s">
        <v>77</v>
      </c>
      <c r="F138" s="2" t="s">
        <v>64</v>
      </c>
      <c r="G138" s="2">
        <v>3</v>
      </c>
      <c r="H138" s="2">
        <v>135</v>
      </c>
      <c r="I138" s="12" t="s">
        <v>61</v>
      </c>
      <c r="J138" s="4">
        <v>30553</v>
      </c>
      <c r="K138" s="17">
        <v>10</v>
      </c>
      <c r="L138" s="23" t="s">
        <v>43</v>
      </c>
      <c r="U138" s="14" t="e">
        <f>INT(MID($D138,MIN(FIND({0,1,2,3,4,5,6,7,8,9},$D138&amp;"0123456789")),LEN($D138)*2-LENB($D138)))</f>
        <v>#VALUE!</v>
      </c>
      <c r="V138" s="14" t="str">
        <f t="shared" si="6"/>
        <v>[391D06FF]挑战 [00821c]10[-] 次主线副本</v>
      </c>
    </row>
    <row r="139" spans="1:22" s="14" customFormat="1" ht="16.5">
      <c r="A139" s="2">
        <v>11104</v>
      </c>
      <c r="B139" s="12">
        <f t="shared" si="4"/>
        <v>130</v>
      </c>
      <c r="C139" s="12">
        <f t="shared" si="5"/>
        <v>139</v>
      </c>
      <c r="D139" s="2" t="s">
        <v>78</v>
      </c>
      <c r="E139" s="2" t="s">
        <v>78</v>
      </c>
      <c r="F139" s="17" t="s">
        <v>70</v>
      </c>
      <c r="G139" s="2">
        <v>3</v>
      </c>
      <c r="H139" s="2">
        <v>136</v>
      </c>
      <c r="I139" s="12" t="s">
        <v>29</v>
      </c>
      <c r="J139" s="4">
        <v>30554</v>
      </c>
      <c r="K139" s="17">
        <v>10</v>
      </c>
      <c r="L139" s="23" t="s">
        <v>45</v>
      </c>
      <c r="U139" s="14" t="e">
        <f>INT(MID($D139,MIN(FIND({0,1,2,3,4,5,6,7,8,9},$D139&amp;"0123456789")),LEN($D139)*2-LENB($D139)))</f>
        <v>#VALUE!</v>
      </c>
      <c r="V139" s="14" t="str">
        <f t="shared" si="6"/>
        <v>[391D06FF]挑战 [00821c]5[-] 次灵台斗法</v>
      </c>
    </row>
    <row r="140" spans="1:22" s="14" customFormat="1" ht="16.5">
      <c r="A140" s="2">
        <v>11105</v>
      </c>
      <c r="B140" s="12">
        <f t="shared" si="4"/>
        <v>130</v>
      </c>
      <c r="C140" s="12">
        <f t="shared" si="5"/>
        <v>139</v>
      </c>
      <c r="D140" s="2" t="s">
        <v>79</v>
      </c>
      <c r="E140" s="2" t="s">
        <v>79</v>
      </c>
      <c r="F140" s="2">
        <v>3018</v>
      </c>
      <c r="G140" s="2">
        <v>3</v>
      </c>
      <c r="H140" s="2">
        <v>137</v>
      </c>
      <c r="I140" s="12" t="s">
        <v>31</v>
      </c>
      <c r="J140" s="4">
        <v>30555</v>
      </c>
      <c r="K140" s="17">
        <v>20</v>
      </c>
      <c r="L140" s="23" t="s">
        <v>47</v>
      </c>
      <c r="U140" s="14" t="e">
        <f>INT(MID($D140,MIN(FIND({0,1,2,3,4,5,6,7,8,9},$D140&amp;"0123456789")),LEN($D140)*2-LENB($D140)))</f>
        <v>#VALUE!</v>
      </c>
      <c r="V140" s="14" t="str">
        <f t="shared" si="6"/>
        <v>[391D06FF]进行 [00821c]3[-] 次法宝合成</v>
      </c>
    </row>
    <row r="141" spans="1:22" s="14" customFormat="1" ht="16.5">
      <c r="A141" s="2">
        <v>11106</v>
      </c>
      <c r="B141" s="12">
        <f t="shared" si="4"/>
        <v>130</v>
      </c>
      <c r="C141" s="12">
        <f t="shared" si="5"/>
        <v>139</v>
      </c>
      <c r="D141" s="2" t="s">
        <v>80</v>
      </c>
      <c r="E141" s="2" t="s">
        <v>80</v>
      </c>
      <c r="F141" s="2" t="s">
        <v>65</v>
      </c>
      <c r="G141" s="2">
        <v>3</v>
      </c>
      <c r="H141" s="2">
        <v>138</v>
      </c>
      <c r="I141" s="12" t="s">
        <v>36</v>
      </c>
      <c r="J141" s="4">
        <v>30556</v>
      </c>
      <c r="K141" s="17">
        <v>10</v>
      </c>
      <c r="L141" s="23" t="s">
        <v>49</v>
      </c>
      <c r="U141" s="14" t="e">
        <f>INT(MID($D141,MIN(FIND({0,1,2,3,4,5,6,7,8,9},$D141&amp;"0123456789")),LEN($D141)*2-LENB($D141)))</f>
        <v>#VALUE!</v>
      </c>
      <c r="V141" s="14" t="str">
        <f t="shared" si="6"/>
        <v>[391D06FF]挑战 [00821c]3[-] 次大雁塔</v>
      </c>
    </row>
    <row r="142" spans="1:22" s="14" customFormat="1" ht="16.5">
      <c r="A142" s="2">
        <v>11107</v>
      </c>
      <c r="B142" s="12">
        <f t="shared" si="4"/>
        <v>130</v>
      </c>
      <c r="C142" s="12">
        <f t="shared" si="5"/>
        <v>139</v>
      </c>
      <c r="D142" s="2" t="s">
        <v>81</v>
      </c>
      <c r="E142" s="2" t="s">
        <v>81</v>
      </c>
      <c r="F142" s="2" t="s">
        <v>66</v>
      </c>
      <c r="G142" s="2">
        <v>3</v>
      </c>
      <c r="H142" s="2">
        <v>139</v>
      </c>
      <c r="I142" s="12" t="s">
        <v>32</v>
      </c>
      <c r="J142" s="4">
        <v>30557</v>
      </c>
      <c r="K142" s="17">
        <v>10</v>
      </c>
      <c r="L142" s="23" t="s">
        <v>54</v>
      </c>
      <c r="U142" s="14" t="e">
        <f>INT(MID($D142,MIN(FIND({0,1,2,3,4,5,6,7,8,9},$D142&amp;"0123456789")),LEN($D142)*2-LENB($D142)))</f>
        <v>#VALUE!</v>
      </c>
      <c r="V142" s="14" t="str">
        <f t="shared" si="6"/>
        <v>[391D06FF]装备强化 [00821c]5[-] 次</v>
      </c>
    </row>
    <row r="143" spans="1:22" s="14" customFormat="1" ht="16.5">
      <c r="A143" s="2">
        <v>11108</v>
      </c>
      <c r="B143" s="12">
        <f t="shared" si="4"/>
        <v>130</v>
      </c>
      <c r="C143" s="12">
        <f t="shared" si="5"/>
        <v>139</v>
      </c>
      <c r="D143" s="2" t="s">
        <v>82</v>
      </c>
      <c r="E143" s="2" t="s">
        <v>82</v>
      </c>
      <c r="F143" s="2">
        <v>4503</v>
      </c>
      <c r="G143" s="2">
        <v>3</v>
      </c>
      <c r="H143" s="2">
        <v>140</v>
      </c>
      <c r="I143" s="12" t="s">
        <v>58</v>
      </c>
      <c r="J143" s="4">
        <v>30558</v>
      </c>
      <c r="K143" s="17">
        <v>20</v>
      </c>
      <c r="L143" s="23" t="s">
        <v>56</v>
      </c>
      <c r="U143" s="14" t="e">
        <f>INT(MID($D143,MIN(FIND({0,1,2,3,4,5,6,7,8,9},$D143&amp;"0123456789")),LEN($D143)*2-LENB($D143)))</f>
        <v>#VALUE!</v>
      </c>
      <c r="V143" s="14" t="str">
        <f t="shared" si="6"/>
        <v>[391D06FF]法宝强化 [00821c]3[-] 次</v>
      </c>
    </row>
    <row r="144" spans="1:22" s="14" customFormat="1" ht="16.5">
      <c r="A144" s="2">
        <v>11109</v>
      </c>
      <c r="B144" s="12">
        <f t="shared" si="4"/>
        <v>130</v>
      </c>
      <c r="C144" s="12">
        <f t="shared" si="5"/>
        <v>139</v>
      </c>
      <c r="D144" s="2" t="s">
        <v>83</v>
      </c>
      <c r="E144" s="2" t="s">
        <v>83</v>
      </c>
      <c r="F144" s="2" t="s">
        <v>68</v>
      </c>
      <c r="G144" s="2">
        <v>3</v>
      </c>
      <c r="H144" s="2">
        <v>141</v>
      </c>
      <c r="I144" s="12" t="s">
        <v>33</v>
      </c>
      <c r="J144" s="4">
        <v>30559</v>
      </c>
      <c r="K144" s="17">
        <v>10</v>
      </c>
      <c r="L144" s="23" t="s">
        <v>53</v>
      </c>
      <c r="U144" s="14" t="e">
        <f>INT(MID($D144,MIN(FIND({0,1,2,3,4,5,6,7,8,9},$D144&amp;"0123456789")),LEN($D144)*2-LENB($D144)))</f>
        <v>#VALUE!</v>
      </c>
      <c r="V144" s="14" t="str">
        <f t="shared" si="6"/>
        <v>[391D06FF]进行 [00821c]3[-] 次普通聚仙</v>
      </c>
    </row>
    <row r="145" spans="1:22" s="14" customFormat="1" ht="16.5">
      <c r="A145" s="2">
        <v>11110</v>
      </c>
      <c r="B145" s="12">
        <f t="shared" ref="B145:B171" si="7">C133+1</f>
        <v>130</v>
      </c>
      <c r="C145" s="12">
        <f t="shared" ref="C145:C171" si="8">B145+9</f>
        <v>139</v>
      </c>
      <c r="D145" s="2" t="s">
        <v>84</v>
      </c>
      <c r="E145" s="2" t="s">
        <v>84</v>
      </c>
      <c r="F145" s="2" t="s">
        <v>67</v>
      </c>
      <c r="G145" s="2">
        <v>3</v>
      </c>
      <c r="H145" s="2">
        <v>142</v>
      </c>
      <c r="I145" s="12" t="s">
        <v>34</v>
      </c>
      <c r="J145" s="4">
        <v>30560</v>
      </c>
      <c r="K145" s="17">
        <v>20</v>
      </c>
      <c r="L145" s="23" t="s">
        <v>53</v>
      </c>
      <c r="U145" s="14" t="e">
        <f>INT(MID($D145,MIN(FIND({0,1,2,3,4,5,6,7,8,9},$D145&amp;"0123456789")),LEN($D145)*2-LENB($D145)))</f>
        <v>#VALUE!</v>
      </c>
      <c r="V145" s="14" t="str">
        <f t="shared" si="6"/>
        <v>[391D06FF]进行 [00821c]1[-] 次顶级聚仙</v>
      </c>
    </row>
    <row r="146" spans="1:22" s="14" customFormat="1" ht="16.5">
      <c r="A146" s="2">
        <v>11111</v>
      </c>
      <c r="B146" s="12">
        <f t="shared" si="7"/>
        <v>130</v>
      </c>
      <c r="C146" s="12">
        <f t="shared" si="8"/>
        <v>139</v>
      </c>
      <c r="D146" s="2" t="s">
        <v>85</v>
      </c>
      <c r="E146" s="2" t="s">
        <v>85</v>
      </c>
      <c r="F146" s="2" t="s">
        <v>69</v>
      </c>
      <c r="G146" s="2">
        <v>3</v>
      </c>
      <c r="H146" s="2">
        <v>143</v>
      </c>
      <c r="I146" s="12" t="s">
        <v>60</v>
      </c>
      <c r="J146" s="4">
        <v>30561</v>
      </c>
      <c r="K146" s="17">
        <v>10</v>
      </c>
      <c r="L146" s="23" t="s">
        <v>51</v>
      </c>
      <c r="U146" s="14" t="e">
        <f>INT(MID($D146,MIN(FIND({0,1,2,3,4,5,6,7,8,9},$D146&amp;"0123456789")),LEN($D146)*2-LENB($D146)))</f>
        <v>#VALUE!</v>
      </c>
      <c r="V146" s="14" t="str">
        <f t="shared" si="6"/>
        <v>[391D06FF]伙伴升级 [00821c]1[-] 次</v>
      </c>
    </row>
    <row r="147" spans="1:22" s="14" customFormat="1" ht="16.5">
      <c r="A147" s="2">
        <v>11112</v>
      </c>
      <c r="B147" s="12">
        <f t="shared" si="7"/>
        <v>130</v>
      </c>
      <c r="C147" s="12">
        <f t="shared" si="8"/>
        <v>139</v>
      </c>
      <c r="D147" s="2" t="s">
        <v>86</v>
      </c>
      <c r="E147" s="2" t="s">
        <v>86</v>
      </c>
      <c r="F147" s="17" t="s">
        <v>73</v>
      </c>
      <c r="G147" s="2">
        <v>3</v>
      </c>
      <c r="H147" s="2">
        <v>144</v>
      </c>
      <c r="I147" s="12" t="s">
        <v>30</v>
      </c>
      <c r="J147" s="4">
        <v>30562</v>
      </c>
      <c r="K147" s="17">
        <v>10</v>
      </c>
      <c r="L147" s="23" t="s">
        <v>47</v>
      </c>
      <c r="U147" s="14" t="e">
        <f>INT(MID($D147,MIN(FIND({0,1,2,3,4,5,6,7,8,9},$D147&amp;"0123456789")),LEN($D147)*2-LENB($D147)))</f>
        <v>#VALUE!</v>
      </c>
      <c r="V147" s="14" t="str">
        <f t="shared" si="6"/>
        <v>[391D06FF]法宝抢夺 [00821c]5[-] 次</v>
      </c>
    </row>
    <row r="148" spans="1:22" s="20" customFormat="1" ht="16.5">
      <c r="A148" s="3">
        <v>11201</v>
      </c>
      <c r="B148" s="16">
        <f t="shared" si="7"/>
        <v>140</v>
      </c>
      <c r="C148" s="16">
        <f t="shared" si="8"/>
        <v>149</v>
      </c>
      <c r="D148" s="22" t="s">
        <v>87</v>
      </c>
      <c r="E148" s="22" t="s">
        <v>87</v>
      </c>
      <c r="F148" s="3">
        <v>13</v>
      </c>
      <c r="G148" s="3">
        <v>3</v>
      </c>
      <c r="H148" s="3">
        <v>145</v>
      </c>
      <c r="I148" s="16" t="s">
        <v>35</v>
      </c>
      <c r="J148" s="5">
        <v>30601</v>
      </c>
      <c r="K148" s="22">
        <v>10</v>
      </c>
      <c r="L148" s="24" t="s">
        <v>41</v>
      </c>
      <c r="U148" s="20" t="e">
        <f>INT(MID($D148,MIN(FIND({0,1,2,3,4,5,6,7,8,9},$D148&amp;"0123456789")),LEN($D148)*2-LENB($D148)))</f>
        <v>#VALUE!</v>
      </c>
      <c r="V148" s="20" t="str">
        <f t="shared" si="6"/>
        <v>[391D06FF]购买 [00821c]5[-] 个精力之心</v>
      </c>
    </row>
    <row r="149" spans="1:22" s="20" customFormat="1" ht="16.5">
      <c r="A149" s="3">
        <v>11202</v>
      </c>
      <c r="B149" s="16">
        <f t="shared" si="7"/>
        <v>140</v>
      </c>
      <c r="C149" s="16">
        <f t="shared" si="8"/>
        <v>149</v>
      </c>
      <c r="D149" s="3" t="s">
        <v>76</v>
      </c>
      <c r="E149" s="3" t="s">
        <v>76</v>
      </c>
      <c r="F149" s="7">
        <v>14000</v>
      </c>
      <c r="G149" s="3">
        <v>3</v>
      </c>
      <c r="H149" s="3">
        <v>146</v>
      </c>
      <c r="I149" s="16" t="s">
        <v>59</v>
      </c>
      <c r="J149" s="10">
        <v>30602</v>
      </c>
      <c r="K149" s="22">
        <v>10</v>
      </c>
      <c r="L149" s="10">
        <v>14</v>
      </c>
      <c r="U149" s="20" t="e">
        <f>INT(MID($D149,MIN(FIND({0,1,2,3,4,5,6,7,8,9},$D149&amp;"0123456789")),LEN($D149)*2-LENB($D149)))</f>
        <v>#VALUE!</v>
      </c>
      <c r="V149" s="20" t="str">
        <f t="shared" si="6"/>
        <v>[391D06FF]购买 [00821c]5[-] 个蟠桃</v>
      </c>
    </row>
    <row r="150" spans="1:22" s="20" customFormat="1" ht="16.5">
      <c r="A150" s="3">
        <v>11203</v>
      </c>
      <c r="B150" s="16">
        <f t="shared" si="7"/>
        <v>140</v>
      </c>
      <c r="C150" s="16">
        <f t="shared" si="8"/>
        <v>149</v>
      </c>
      <c r="D150" s="3" t="s">
        <v>77</v>
      </c>
      <c r="E150" s="3" t="s">
        <v>77</v>
      </c>
      <c r="F150" s="3" t="s">
        <v>64</v>
      </c>
      <c r="G150" s="3">
        <v>3</v>
      </c>
      <c r="H150" s="3">
        <v>147</v>
      </c>
      <c r="I150" s="16" t="s">
        <v>61</v>
      </c>
      <c r="J150" s="5">
        <v>30603</v>
      </c>
      <c r="K150" s="22">
        <v>10</v>
      </c>
      <c r="L150" s="24" t="s">
        <v>43</v>
      </c>
      <c r="U150" s="20" t="e">
        <f>INT(MID($D150,MIN(FIND({0,1,2,3,4,5,6,7,8,9},$D150&amp;"0123456789")),LEN($D150)*2-LENB($D150)))</f>
        <v>#VALUE!</v>
      </c>
      <c r="V150" s="20" t="str">
        <f t="shared" si="6"/>
        <v>[391D06FF]挑战 [00821c]10[-] 次主线副本</v>
      </c>
    </row>
    <row r="151" spans="1:22" s="20" customFormat="1" ht="16.5">
      <c r="A151" s="3">
        <v>11204</v>
      </c>
      <c r="B151" s="16">
        <f t="shared" si="7"/>
        <v>140</v>
      </c>
      <c r="C151" s="16">
        <f t="shared" si="8"/>
        <v>149</v>
      </c>
      <c r="D151" s="3" t="s">
        <v>78</v>
      </c>
      <c r="E151" s="3" t="s">
        <v>78</v>
      </c>
      <c r="F151" s="22" t="s">
        <v>70</v>
      </c>
      <c r="G151" s="3">
        <v>3</v>
      </c>
      <c r="H151" s="3">
        <v>148</v>
      </c>
      <c r="I151" s="16" t="s">
        <v>29</v>
      </c>
      <c r="J151" s="5">
        <v>30604</v>
      </c>
      <c r="K151" s="22">
        <v>10</v>
      </c>
      <c r="L151" s="24" t="s">
        <v>45</v>
      </c>
      <c r="U151" s="20" t="e">
        <f>INT(MID($D151,MIN(FIND({0,1,2,3,4,5,6,7,8,9},$D151&amp;"0123456789")),LEN($D151)*2-LENB($D151)))</f>
        <v>#VALUE!</v>
      </c>
      <c r="V151" s="20" t="str">
        <f t="shared" si="6"/>
        <v>[391D06FF]挑战 [00821c]5[-] 次灵台斗法</v>
      </c>
    </row>
    <row r="152" spans="1:22" s="20" customFormat="1" ht="16.5">
      <c r="A152" s="3">
        <v>11205</v>
      </c>
      <c r="B152" s="16">
        <f t="shared" si="7"/>
        <v>140</v>
      </c>
      <c r="C152" s="16">
        <f t="shared" si="8"/>
        <v>149</v>
      </c>
      <c r="D152" s="3" t="s">
        <v>79</v>
      </c>
      <c r="E152" s="3" t="s">
        <v>79</v>
      </c>
      <c r="F152" s="3">
        <v>3018</v>
      </c>
      <c r="G152" s="3">
        <v>3</v>
      </c>
      <c r="H152" s="3">
        <v>149</v>
      </c>
      <c r="I152" s="16" t="s">
        <v>31</v>
      </c>
      <c r="J152" s="5">
        <v>30605</v>
      </c>
      <c r="K152" s="22">
        <v>20</v>
      </c>
      <c r="L152" s="24" t="s">
        <v>47</v>
      </c>
      <c r="U152" s="20" t="e">
        <f>INT(MID($D152,MIN(FIND({0,1,2,3,4,5,6,7,8,9},$D152&amp;"0123456789")),LEN($D152)*2-LENB($D152)))</f>
        <v>#VALUE!</v>
      </c>
      <c r="V152" s="20" t="str">
        <f t="shared" si="6"/>
        <v>[391D06FF]进行 [00821c]3[-] 次法宝合成</v>
      </c>
    </row>
    <row r="153" spans="1:22" s="20" customFormat="1" ht="16.5">
      <c r="A153" s="3">
        <v>11206</v>
      </c>
      <c r="B153" s="16">
        <f t="shared" si="7"/>
        <v>140</v>
      </c>
      <c r="C153" s="16">
        <f t="shared" si="8"/>
        <v>149</v>
      </c>
      <c r="D153" s="3" t="s">
        <v>80</v>
      </c>
      <c r="E153" s="3" t="s">
        <v>80</v>
      </c>
      <c r="F153" s="3" t="s">
        <v>65</v>
      </c>
      <c r="G153" s="3">
        <v>3</v>
      </c>
      <c r="H153" s="3">
        <v>150</v>
      </c>
      <c r="I153" s="16" t="s">
        <v>36</v>
      </c>
      <c r="J153" s="5">
        <v>30606</v>
      </c>
      <c r="K153" s="22">
        <v>10</v>
      </c>
      <c r="L153" s="24" t="s">
        <v>49</v>
      </c>
      <c r="U153" s="20" t="e">
        <f>INT(MID($D153,MIN(FIND({0,1,2,3,4,5,6,7,8,9},$D153&amp;"0123456789")),LEN($D153)*2-LENB($D153)))</f>
        <v>#VALUE!</v>
      </c>
      <c r="V153" s="20" t="str">
        <f t="shared" si="6"/>
        <v>[391D06FF]挑战 [00821c]3[-] 次大雁塔</v>
      </c>
    </row>
    <row r="154" spans="1:22" s="20" customFormat="1" ht="16.5">
      <c r="A154" s="3">
        <v>11207</v>
      </c>
      <c r="B154" s="16">
        <f t="shared" si="7"/>
        <v>140</v>
      </c>
      <c r="C154" s="16">
        <f t="shared" si="8"/>
        <v>149</v>
      </c>
      <c r="D154" s="3" t="s">
        <v>81</v>
      </c>
      <c r="E154" s="3" t="s">
        <v>81</v>
      </c>
      <c r="F154" s="3" t="s">
        <v>66</v>
      </c>
      <c r="G154" s="3">
        <v>3</v>
      </c>
      <c r="H154" s="3">
        <v>151</v>
      </c>
      <c r="I154" s="16" t="s">
        <v>32</v>
      </c>
      <c r="J154" s="5">
        <v>30607</v>
      </c>
      <c r="K154" s="22">
        <v>10</v>
      </c>
      <c r="L154" s="24" t="s">
        <v>54</v>
      </c>
      <c r="U154" s="20" t="e">
        <f>INT(MID($D154,MIN(FIND({0,1,2,3,4,5,6,7,8,9},$D154&amp;"0123456789")),LEN($D154)*2-LENB($D154)))</f>
        <v>#VALUE!</v>
      </c>
      <c r="V154" s="20" t="str">
        <f t="shared" si="6"/>
        <v>[391D06FF]装备强化 [00821c]5[-] 次</v>
      </c>
    </row>
    <row r="155" spans="1:22" s="20" customFormat="1" ht="16.5">
      <c r="A155" s="3">
        <v>11208</v>
      </c>
      <c r="B155" s="16">
        <f t="shared" si="7"/>
        <v>140</v>
      </c>
      <c r="C155" s="16">
        <f t="shared" si="8"/>
        <v>149</v>
      </c>
      <c r="D155" s="3" t="s">
        <v>82</v>
      </c>
      <c r="E155" s="3" t="s">
        <v>82</v>
      </c>
      <c r="F155" s="3">
        <v>4503</v>
      </c>
      <c r="G155" s="3">
        <v>3</v>
      </c>
      <c r="H155" s="3">
        <v>152</v>
      </c>
      <c r="I155" s="16" t="s">
        <v>58</v>
      </c>
      <c r="J155" s="5">
        <v>30608</v>
      </c>
      <c r="K155" s="22">
        <v>20</v>
      </c>
      <c r="L155" s="24" t="s">
        <v>56</v>
      </c>
      <c r="U155" s="20" t="e">
        <f>INT(MID($D155,MIN(FIND({0,1,2,3,4,5,6,7,8,9},$D155&amp;"0123456789")),LEN($D155)*2-LENB($D155)))</f>
        <v>#VALUE!</v>
      </c>
      <c r="V155" s="20" t="str">
        <f t="shared" si="6"/>
        <v>[391D06FF]法宝强化 [00821c]3[-] 次</v>
      </c>
    </row>
    <row r="156" spans="1:22" s="20" customFormat="1" ht="16.5">
      <c r="A156" s="3">
        <v>11209</v>
      </c>
      <c r="B156" s="16">
        <f t="shared" si="7"/>
        <v>140</v>
      </c>
      <c r="C156" s="16">
        <f t="shared" si="8"/>
        <v>149</v>
      </c>
      <c r="D156" s="3" t="s">
        <v>83</v>
      </c>
      <c r="E156" s="3" t="s">
        <v>83</v>
      </c>
      <c r="F156" s="3" t="s">
        <v>68</v>
      </c>
      <c r="G156" s="3">
        <v>3</v>
      </c>
      <c r="H156" s="3">
        <v>153</v>
      </c>
      <c r="I156" s="16" t="s">
        <v>33</v>
      </c>
      <c r="J156" s="5">
        <v>30609</v>
      </c>
      <c r="K156" s="22">
        <v>10</v>
      </c>
      <c r="L156" s="24" t="s">
        <v>53</v>
      </c>
      <c r="U156" s="20" t="e">
        <f>INT(MID($D156,MIN(FIND({0,1,2,3,4,5,6,7,8,9},$D156&amp;"0123456789")),LEN($D156)*2-LENB($D156)))</f>
        <v>#VALUE!</v>
      </c>
      <c r="V156" s="20" t="str">
        <f t="shared" si="6"/>
        <v>[391D06FF]进行 [00821c]3[-] 次普通聚仙</v>
      </c>
    </row>
    <row r="157" spans="1:22" s="20" customFormat="1" ht="16.5">
      <c r="A157" s="3">
        <v>11210</v>
      </c>
      <c r="B157" s="16">
        <f t="shared" si="7"/>
        <v>140</v>
      </c>
      <c r="C157" s="16">
        <f t="shared" si="8"/>
        <v>149</v>
      </c>
      <c r="D157" s="3" t="s">
        <v>84</v>
      </c>
      <c r="E157" s="3" t="s">
        <v>84</v>
      </c>
      <c r="F157" s="3" t="s">
        <v>67</v>
      </c>
      <c r="G157" s="3">
        <v>3</v>
      </c>
      <c r="H157" s="3">
        <v>154</v>
      </c>
      <c r="I157" s="16" t="s">
        <v>34</v>
      </c>
      <c r="J157" s="5">
        <v>30610</v>
      </c>
      <c r="K157" s="22">
        <v>20</v>
      </c>
      <c r="L157" s="24" t="s">
        <v>53</v>
      </c>
      <c r="U157" s="20" t="e">
        <f>INT(MID($D157,MIN(FIND({0,1,2,3,4,5,6,7,8,9},$D157&amp;"0123456789")),LEN($D157)*2-LENB($D157)))</f>
        <v>#VALUE!</v>
      </c>
      <c r="V157" s="20" t="str">
        <f t="shared" si="6"/>
        <v>[391D06FF]进行 [00821c]1[-] 次顶级聚仙</v>
      </c>
    </row>
    <row r="158" spans="1:22" s="20" customFormat="1" ht="16.5">
      <c r="A158" s="3">
        <v>11211</v>
      </c>
      <c r="B158" s="16">
        <f t="shared" si="7"/>
        <v>140</v>
      </c>
      <c r="C158" s="16">
        <f t="shared" si="8"/>
        <v>149</v>
      </c>
      <c r="D158" s="3" t="s">
        <v>85</v>
      </c>
      <c r="E158" s="3" t="s">
        <v>85</v>
      </c>
      <c r="F158" s="3" t="s">
        <v>69</v>
      </c>
      <c r="G158" s="3">
        <v>3</v>
      </c>
      <c r="H158" s="3">
        <v>155</v>
      </c>
      <c r="I158" s="16" t="s">
        <v>60</v>
      </c>
      <c r="J158" s="5">
        <v>30611</v>
      </c>
      <c r="K158" s="22">
        <v>10</v>
      </c>
      <c r="L158" s="24" t="s">
        <v>51</v>
      </c>
      <c r="U158" s="20" t="e">
        <f>INT(MID($D158,MIN(FIND({0,1,2,3,4,5,6,7,8,9},$D158&amp;"0123456789")),LEN($D158)*2-LENB($D158)))</f>
        <v>#VALUE!</v>
      </c>
      <c r="V158" s="20" t="str">
        <f t="shared" si="6"/>
        <v>[391D06FF]伙伴升级 [00821c]1[-] 次</v>
      </c>
    </row>
    <row r="159" spans="1:22" s="20" customFormat="1" ht="16.5">
      <c r="A159" s="3">
        <v>11212</v>
      </c>
      <c r="B159" s="16">
        <f t="shared" si="7"/>
        <v>140</v>
      </c>
      <c r="C159" s="16">
        <f t="shared" si="8"/>
        <v>149</v>
      </c>
      <c r="D159" s="3" t="s">
        <v>86</v>
      </c>
      <c r="E159" s="3" t="s">
        <v>86</v>
      </c>
      <c r="F159" s="22" t="s">
        <v>73</v>
      </c>
      <c r="G159" s="3">
        <v>3</v>
      </c>
      <c r="H159" s="3">
        <v>156</v>
      </c>
      <c r="I159" s="16" t="s">
        <v>30</v>
      </c>
      <c r="J159" s="5">
        <v>30612</v>
      </c>
      <c r="K159" s="22">
        <v>10</v>
      </c>
      <c r="L159" s="24" t="s">
        <v>47</v>
      </c>
      <c r="U159" s="20" t="e">
        <f>INT(MID($D159,MIN(FIND({0,1,2,3,4,5,6,7,8,9},$D159&amp;"0123456789")),LEN($D159)*2-LENB($D159)))</f>
        <v>#VALUE!</v>
      </c>
      <c r="V159" s="20" t="str">
        <f t="shared" si="6"/>
        <v>[391D06FF]法宝抢夺 [00821c]5[-] 次</v>
      </c>
    </row>
    <row r="160" spans="1:22" s="14" customFormat="1" ht="16.5">
      <c r="A160" s="2">
        <v>11301</v>
      </c>
      <c r="B160" s="12">
        <f t="shared" si="7"/>
        <v>150</v>
      </c>
      <c r="C160" s="12">
        <f t="shared" si="8"/>
        <v>159</v>
      </c>
      <c r="D160" s="17" t="s">
        <v>87</v>
      </c>
      <c r="E160" s="17" t="s">
        <v>87</v>
      </c>
      <c r="F160" s="2">
        <v>13</v>
      </c>
      <c r="G160" s="2">
        <v>3</v>
      </c>
      <c r="H160" s="2">
        <v>157</v>
      </c>
      <c r="I160" s="12" t="s">
        <v>35</v>
      </c>
      <c r="J160" s="4">
        <v>30651</v>
      </c>
      <c r="K160" s="17">
        <v>10</v>
      </c>
      <c r="L160" s="23" t="s">
        <v>41</v>
      </c>
      <c r="U160" s="14" t="e">
        <f>INT(MID($D160,MIN(FIND({0,1,2,3,4,5,6,7,8,9},$D160&amp;"0123456789")),LEN($D160)*2-LENB($D160)))</f>
        <v>#VALUE!</v>
      </c>
      <c r="V160" s="14" t="str">
        <f t="shared" si="6"/>
        <v>[391D06FF]购买 [00821c]5[-] 个精力之心</v>
      </c>
    </row>
    <row r="161" spans="1:22" s="14" customFormat="1" ht="16.5">
      <c r="A161" s="2">
        <v>11302</v>
      </c>
      <c r="B161" s="12">
        <f t="shared" si="7"/>
        <v>150</v>
      </c>
      <c r="C161" s="12">
        <f t="shared" si="8"/>
        <v>159</v>
      </c>
      <c r="D161" s="2" t="s">
        <v>76</v>
      </c>
      <c r="E161" s="2" t="s">
        <v>76</v>
      </c>
      <c r="F161" s="18">
        <v>14000</v>
      </c>
      <c r="G161" s="2">
        <v>3</v>
      </c>
      <c r="H161" s="2">
        <v>158</v>
      </c>
      <c r="I161" s="12" t="s">
        <v>59</v>
      </c>
      <c r="J161" s="19">
        <v>30652</v>
      </c>
      <c r="K161" s="17">
        <v>10</v>
      </c>
      <c r="L161" s="19">
        <v>14</v>
      </c>
      <c r="U161" s="14" t="e">
        <f>INT(MID($D161,MIN(FIND({0,1,2,3,4,5,6,7,8,9},$D161&amp;"0123456789")),LEN($D161)*2-LENB($D161)))</f>
        <v>#VALUE!</v>
      </c>
      <c r="V161" s="14" t="str">
        <f t="shared" si="6"/>
        <v>[391D06FF]购买 [00821c]5[-] 个蟠桃</v>
      </c>
    </row>
    <row r="162" spans="1:22" s="14" customFormat="1" ht="16.5">
      <c r="A162" s="2">
        <v>11303</v>
      </c>
      <c r="B162" s="12">
        <f t="shared" si="7"/>
        <v>150</v>
      </c>
      <c r="C162" s="12">
        <f t="shared" si="8"/>
        <v>159</v>
      </c>
      <c r="D162" s="2" t="s">
        <v>77</v>
      </c>
      <c r="E162" s="2" t="s">
        <v>77</v>
      </c>
      <c r="F162" s="2" t="s">
        <v>64</v>
      </c>
      <c r="G162" s="2">
        <v>3</v>
      </c>
      <c r="H162" s="2">
        <v>159</v>
      </c>
      <c r="I162" s="12" t="s">
        <v>61</v>
      </c>
      <c r="J162" s="4">
        <v>30653</v>
      </c>
      <c r="K162" s="17">
        <v>10</v>
      </c>
      <c r="L162" s="23" t="s">
        <v>43</v>
      </c>
      <c r="U162" s="14" t="e">
        <f>INT(MID($D162,MIN(FIND({0,1,2,3,4,5,6,7,8,9},$D162&amp;"0123456789")),LEN($D162)*2-LENB($D162)))</f>
        <v>#VALUE!</v>
      </c>
      <c r="V162" s="14" t="str">
        <f t="shared" si="6"/>
        <v>[391D06FF]挑战 [00821c]10[-] 次主线副本</v>
      </c>
    </row>
    <row r="163" spans="1:22" s="14" customFormat="1" ht="16.5">
      <c r="A163" s="2">
        <v>11304</v>
      </c>
      <c r="B163" s="12">
        <f t="shared" si="7"/>
        <v>150</v>
      </c>
      <c r="C163" s="12">
        <f t="shared" si="8"/>
        <v>159</v>
      </c>
      <c r="D163" s="2" t="s">
        <v>78</v>
      </c>
      <c r="E163" s="2" t="s">
        <v>78</v>
      </c>
      <c r="F163" s="17" t="s">
        <v>70</v>
      </c>
      <c r="G163" s="2">
        <v>3</v>
      </c>
      <c r="H163" s="2">
        <v>160</v>
      </c>
      <c r="I163" s="12" t="s">
        <v>29</v>
      </c>
      <c r="J163" s="4">
        <v>30654</v>
      </c>
      <c r="K163" s="17">
        <v>10</v>
      </c>
      <c r="L163" s="23" t="s">
        <v>45</v>
      </c>
      <c r="U163" s="14" t="e">
        <f>INT(MID($D163,MIN(FIND({0,1,2,3,4,5,6,7,8,9},$D163&amp;"0123456789")),LEN($D163)*2-LENB($D163)))</f>
        <v>#VALUE!</v>
      </c>
      <c r="V163" s="14" t="str">
        <f t="shared" si="6"/>
        <v>[391D06FF]挑战 [00821c]5[-] 次灵台斗法</v>
      </c>
    </row>
    <row r="164" spans="1:22" s="14" customFormat="1" ht="16.5">
      <c r="A164" s="2">
        <v>11305</v>
      </c>
      <c r="B164" s="12">
        <f t="shared" si="7"/>
        <v>150</v>
      </c>
      <c r="C164" s="12">
        <f t="shared" si="8"/>
        <v>159</v>
      </c>
      <c r="D164" s="2" t="s">
        <v>79</v>
      </c>
      <c r="E164" s="2" t="s">
        <v>79</v>
      </c>
      <c r="F164" s="2">
        <v>3018</v>
      </c>
      <c r="G164" s="2">
        <v>3</v>
      </c>
      <c r="H164" s="2">
        <v>161</v>
      </c>
      <c r="I164" s="12" t="s">
        <v>31</v>
      </c>
      <c r="J164" s="4">
        <v>30655</v>
      </c>
      <c r="K164" s="17">
        <v>20</v>
      </c>
      <c r="L164" s="23" t="s">
        <v>47</v>
      </c>
      <c r="U164" s="14" t="e">
        <f>INT(MID($D164,MIN(FIND({0,1,2,3,4,5,6,7,8,9},$D164&amp;"0123456789")),LEN($D164)*2-LENB($D164)))</f>
        <v>#VALUE!</v>
      </c>
      <c r="V164" s="14" t="str">
        <f t="shared" si="6"/>
        <v>[391D06FF]进行 [00821c]3[-] 次法宝合成</v>
      </c>
    </row>
    <row r="165" spans="1:22" s="14" customFormat="1" ht="16.5">
      <c r="A165" s="2">
        <v>11306</v>
      </c>
      <c r="B165" s="12">
        <f t="shared" si="7"/>
        <v>150</v>
      </c>
      <c r="C165" s="12">
        <f t="shared" si="8"/>
        <v>159</v>
      </c>
      <c r="D165" s="2" t="s">
        <v>80</v>
      </c>
      <c r="E165" s="2" t="s">
        <v>80</v>
      </c>
      <c r="F165" s="2" t="s">
        <v>65</v>
      </c>
      <c r="G165" s="2">
        <v>3</v>
      </c>
      <c r="H165" s="2">
        <v>162</v>
      </c>
      <c r="I165" s="12" t="s">
        <v>36</v>
      </c>
      <c r="J165" s="4">
        <v>30656</v>
      </c>
      <c r="K165" s="17">
        <v>10</v>
      </c>
      <c r="L165" s="23" t="s">
        <v>49</v>
      </c>
      <c r="U165" s="14" t="e">
        <f>INT(MID($D165,MIN(FIND({0,1,2,3,4,5,6,7,8,9},$D165&amp;"0123456789")),LEN($D165)*2-LENB($D165)))</f>
        <v>#VALUE!</v>
      </c>
      <c r="V165" s="14" t="str">
        <f t="shared" si="6"/>
        <v>[391D06FF]挑战 [00821c]3[-] 次大雁塔</v>
      </c>
    </row>
    <row r="166" spans="1:22" s="14" customFormat="1" ht="16.5">
      <c r="A166" s="2">
        <v>11307</v>
      </c>
      <c r="B166" s="12">
        <f t="shared" si="7"/>
        <v>150</v>
      </c>
      <c r="C166" s="12">
        <f t="shared" si="8"/>
        <v>159</v>
      </c>
      <c r="D166" s="2" t="s">
        <v>81</v>
      </c>
      <c r="E166" s="2" t="s">
        <v>81</v>
      </c>
      <c r="F166" s="2" t="s">
        <v>66</v>
      </c>
      <c r="G166" s="2">
        <v>3</v>
      </c>
      <c r="H166" s="2">
        <v>163</v>
      </c>
      <c r="I166" s="12" t="s">
        <v>32</v>
      </c>
      <c r="J166" s="4">
        <v>30657</v>
      </c>
      <c r="K166" s="17">
        <v>10</v>
      </c>
      <c r="L166" s="23" t="s">
        <v>54</v>
      </c>
      <c r="U166" s="14" t="e">
        <f>INT(MID($D166,MIN(FIND({0,1,2,3,4,5,6,7,8,9},$D166&amp;"0123456789")),LEN($D166)*2-LENB($D166)))</f>
        <v>#VALUE!</v>
      </c>
      <c r="V166" s="14" t="str">
        <f t="shared" si="6"/>
        <v>[391D06FF]装备强化 [00821c]5[-] 次</v>
      </c>
    </row>
    <row r="167" spans="1:22" s="14" customFormat="1" ht="16.5">
      <c r="A167" s="2">
        <v>11308</v>
      </c>
      <c r="B167" s="12">
        <f t="shared" si="7"/>
        <v>150</v>
      </c>
      <c r="C167" s="12">
        <f t="shared" si="8"/>
        <v>159</v>
      </c>
      <c r="D167" s="2" t="s">
        <v>82</v>
      </c>
      <c r="E167" s="2" t="s">
        <v>82</v>
      </c>
      <c r="F167" s="2">
        <v>4503</v>
      </c>
      <c r="G167" s="2">
        <v>3</v>
      </c>
      <c r="H167" s="2">
        <v>164</v>
      </c>
      <c r="I167" s="12" t="s">
        <v>58</v>
      </c>
      <c r="J167" s="4">
        <v>30658</v>
      </c>
      <c r="K167" s="17">
        <v>20</v>
      </c>
      <c r="L167" s="23" t="s">
        <v>56</v>
      </c>
      <c r="U167" s="14" t="e">
        <f>INT(MID($D167,MIN(FIND({0,1,2,3,4,5,6,7,8,9},$D167&amp;"0123456789")),LEN($D167)*2-LENB($D167)))</f>
        <v>#VALUE!</v>
      </c>
      <c r="V167" s="14" t="str">
        <f t="shared" si="6"/>
        <v>[391D06FF]法宝强化 [00821c]3[-] 次</v>
      </c>
    </row>
    <row r="168" spans="1:22" s="14" customFormat="1" ht="16.5">
      <c r="A168" s="2">
        <v>11309</v>
      </c>
      <c r="B168" s="12">
        <f t="shared" si="7"/>
        <v>150</v>
      </c>
      <c r="C168" s="12">
        <f t="shared" si="8"/>
        <v>159</v>
      </c>
      <c r="D168" s="2" t="s">
        <v>83</v>
      </c>
      <c r="E168" s="2" t="s">
        <v>83</v>
      </c>
      <c r="F168" s="2" t="s">
        <v>68</v>
      </c>
      <c r="G168" s="2">
        <v>3</v>
      </c>
      <c r="H168" s="2">
        <v>165</v>
      </c>
      <c r="I168" s="12" t="s">
        <v>33</v>
      </c>
      <c r="J168" s="4">
        <v>30659</v>
      </c>
      <c r="K168" s="17">
        <v>10</v>
      </c>
      <c r="L168" s="23" t="s">
        <v>53</v>
      </c>
      <c r="U168" s="14" t="e">
        <f>INT(MID($D168,MIN(FIND({0,1,2,3,4,5,6,7,8,9},$D168&amp;"0123456789")),LEN($D168)*2-LENB($D168)))</f>
        <v>#VALUE!</v>
      </c>
      <c r="V168" s="14" t="str">
        <f t="shared" si="6"/>
        <v>[391D06FF]进行 [00821c]3[-] 次普通聚仙</v>
      </c>
    </row>
    <row r="169" spans="1:22" s="14" customFormat="1" ht="16.5">
      <c r="A169" s="2">
        <v>11310</v>
      </c>
      <c r="B169" s="12">
        <f t="shared" si="7"/>
        <v>150</v>
      </c>
      <c r="C169" s="12">
        <f t="shared" si="8"/>
        <v>159</v>
      </c>
      <c r="D169" s="2" t="s">
        <v>84</v>
      </c>
      <c r="E169" s="2" t="s">
        <v>84</v>
      </c>
      <c r="F169" s="2" t="s">
        <v>67</v>
      </c>
      <c r="G169" s="2">
        <v>3</v>
      </c>
      <c r="H169" s="2">
        <v>166</v>
      </c>
      <c r="I169" s="12" t="s">
        <v>34</v>
      </c>
      <c r="J169" s="4">
        <v>30660</v>
      </c>
      <c r="K169" s="17">
        <v>20</v>
      </c>
      <c r="L169" s="23" t="s">
        <v>53</v>
      </c>
      <c r="U169" s="14" t="e">
        <f>INT(MID($D169,MIN(FIND({0,1,2,3,4,5,6,7,8,9},$D169&amp;"0123456789")),LEN($D169)*2-LENB($D169)))</f>
        <v>#VALUE!</v>
      </c>
      <c r="V169" s="14" t="str">
        <f t="shared" si="6"/>
        <v>[391D06FF]进行 [00821c]1[-] 次顶级聚仙</v>
      </c>
    </row>
    <row r="170" spans="1:22" s="14" customFormat="1" ht="16.5">
      <c r="A170" s="2">
        <v>11311</v>
      </c>
      <c r="B170" s="12">
        <f t="shared" si="7"/>
        <v>150</v>
      </c>
      <c r="C170" s="12">
        <f t="shared" si="8"/>
        <v>159</v>
      </c>
      <c r="D170" s="2" t="s">
        <v>85</v>
      </c>
      <c r="E170" s="2" t="s">
        <v>85</v>
      </c>
      <c r="F170" s="2" t="s">
        <v>69</v>
      </c>
      <c r="G170" s="2">
        <v>3</v>
      </c>
      <c r="H170" s="2">
        <v>167</v>
      </c>
      <c r="I170" s="12" t="s">
        <v>60</v>
      </c>
      <c r="J170" s="4">
        <v>30661</v>
      </c>
      <c r="K170" s="17">
        <v>10</v>
      </c>
      <c r="L170" s="23" t="s">
        <v>51</v>
      </c>
      <c r="U170" s="14" t="e">
        <f>INT(MID($D170,MIN(FIND({0,1,2,3,4,5,6,7,8,9},$D170&amp;"0123456789")),LEN($D170)*2-LENB($D170)))</f>
        <v>#VALUE!</v>
      </c>
      <c r="V170" s="14" t="str">
        <f t="shared" si="6"/>
        <v>[391D06FF]伙伴升级 [00821c]1[-] 次</v>
      </c>
    </row>
    <row r="171" spans="1:22" s="14" customFormat="1" ht="16.5">
      <c r="A171" s="2">
        <v>11312</v>
      </c>
      <c r="B171" s="12">
        <f t="shared" si="7"/>
        <v>150</v>
      </c>
      <c r="C171" s="12">
        <f t="shared" si="8"/>
        <v>159</v>
      </c>
      <c r="D171" s="2" t="s">
        <v>86</v>
      </c>
      <c r="E171" s="2" t="s">
        <v>86</v>
      </c>
      <c r="F171" s="17" t="s">
        <v>73</v>
      </c>
      <c r="G171" s="2">
        <v>3</v>
      </c>
      <c r="H171" s="2">
        <v>168</v>
      </c>
      <c r="I171" s="12" t="s">
        <v>30</v>
      </c>
      <c r="J171" s="4">
        <v>30662</v>
      </c>
      <c r="K171" s="17">
        <v>10</v>
      </c>
      <c r="L171" s="23" t="s">
        <v>47</v>
      </c>
      <c r="U171" s="14" t="e">
        <f>INT(MID($D171,MIN(FIND({0,1,2,3,4,5,6,7,8,9},$D171&amp;"0123456789")),LEN($D171)*2-LENB($D171)))</f>
        <v>#VALUE!</v>
      </c>
      <c r="V171" s="14" t="str">
        <f t="shared" si="6"/>
        <v>[391D06FF]法宝抢夺 [00821c]5[-] 次</v>
      </c>
    </row>
    <row r="172" spans="1:22" s="28" customFormat="1" ht="16.5">
      <c r="A172" s="25">
        <v>100001</v>
      </c>
      <c r="B172" s="26">
        <v>900</v>
      </c>
      <c r="C172" s="26">
        <v>999</v>
      </c>
      <c r="D172" s="25" t="s">
        <v>87</v>
      </c>
      <c r="E172" s="25" t="s">
        <v>87</v>
      </c>
      <c r="F172" s="25">
        <v>13</v>
      </c>
      <c r="G172" s="25">
        <v>3</v>
      </c>
      <c r="H172" s="25">
        <v>145</v>
      </c>
      <c r="I172" s="26" t="s">
        <v>35</v>
      </c>
      <c r="J172" s="27">
        <v>30601</v>
      </c>
      <c r="K172" s="25">
        <v>10</v>
      </c>
      <c r="L172" s="27" t="s">
        <v>41</v>
      </c>
      <c r="U172" s="28" t="e">
        <f>INT(MID($D172,MIN(FIND({0,1,2,3,4,5,6,7,8,9},$D172&amp;"0123456789")),LEN($D172)*2-LENB($D172)))</f>
        <v>#VALUE!</v>
      </c>
      <c r="V172" s="28" t="str">
        <f t="shared" si="6"/>
        <v>[391D06FF]购买 [00821c]5[-] 个精力之心</v>
      </c>
    </row>
    <row r="173" spans="1:22" s="28" customFormat="1" ht="16.5">
      <c r="A173" s="25">
        <v>100002</v>
      </c>
      <c r="B173" s="26">
        <v>900</v>
      </c>
      <c r="C173" s="26">
        <v>999</v>
      </c>
      <c r="D173" s="25" t="s">
        <v>76</v>
      </c>
      <c r="E173" s="25" t="s">
        <v>76</v>
      </c>
      <c r="F173" s="25">
        <v>14000</v>
      </c>
      <c r="G173" s="25">
        <v>3</v>
      </c>
      <c r="H173" s="25">
        <v>146</v>
      </c>
      <c r="I173" s="26" t="s">
        <v>59</v>
      </c>
      <c r="J173" s="29">
        <v>30602</v>
      </c>
      <c r="K173" s="25">
        <v>10</v>
      </c>
      <c r="L173" s="29">
        <v>14</v>
      </c>
      <c r="U173" s="28" t="e">
        <f>INT(MID($D173,MIN(FIND({0,1,2,3,4,5,6,7,8,9},$D173&amp;"0123456789")),LEN($D173)*2-LENB($D173)))</f>
        <v>#VALUE!</v>
      </c>
      <c r="V173" s="28" t="str">
        <f t="shared" si="6"/>
        <v>[391D06FF]购买 [00821c]5[-] 个蟠桃</v>
      </c>
    </row>
    <row r="174" spans="1:22" s="28" customFormat="1" ht="16.5">
      <c r="A174" s="25">
        <v>100003</v>
      </c>
      <c r="B174" s="26">
        <v>900</v>
      </c>
      <c r="C174" s="26">
        <v>999</v>
      </c>
      <c r="D174" s="25" t="s">
        <v>77</v>
      </c>
      <c r="E174" s="25" t="s">
        <v>77</v>
      </c>
      <c r="F174" s="25" t="s">
        <v>64</v>
      </c>
      <c r="G174" s="25">
        <v>3</v>
      </c>
      <c r="H174" s="25">
        <v>147</v>
      </c>
      <c r="I174" s="26" t="s">
        <v>61</v>
      </c>
      <c r="J174" s="27">
        <v>30603</v>
      </c>
      <c r="K174" s="25">
        <v>10</v>
      </c>
      <c r="L174" s="27" t="s">
        <v>43</v>
      </c>
      <c r="U174" s="28" t="e">
        <f>INT(MID($D174,MIN(FIND({0,1,2,3,4,5,6,7,8,9},$D174&amp;"0123456789")),LEN($D174)*2-LENB($D174)))</f>
        <v>#VALUE!</v>
      </c>
      <c r="V174" s="28" t="str">
        <f t="shared" si="6"/>
        <v>[391D06FF]挑战 [00821c]10[-] 次主线副本</v>
      </c>
    </row>
    <row r="175" spans="1:22" s="28" customFormat="1" ht="16.5">
      <c r="A175" s="25">
        <v>100004</v>
      </c>
      <c r="B175" s="26">
        <v>900</v>
      </c>
      <c r="C175" s="26">
        <v>999</v>
      </c>
      <c r="D175" s="25" t="s">
        <v>78</v>
      </c>
      <c r="E175" s="25" t="s">
        <v>78</v>
      </c>
      <c r="F175" s="25" t="s">
        <v>72</v>
      </c>
      <c r="G175" s="25">
        <v>3</v>
      </c>
      <c r="H175" s="25">
        <v>148</v>
      </c>
      <c r="I175" s="26" t="s">
        <v>29</v>
      </c>
      <c r="J175" s="27">
        <v>30604</v>
      </c>
      <c r="K175" s="25">
        <v>10</v>
      </c>
      <c r="L175" s="27" t="s">
        <v>45</v>
      </c>
      <c r="U175" s="28" t="e">
        <f>INT(MID($D175,MIN(FIND({0,1,2,3,4,5,6,7,8,9},$D175&amp;"0123456789")),LEN($D175)*2-LENB($D175)))</f>
        <v>#VALUE!</v>
      </c>
      <c r="V175" s="28" t="str">
        <f t="shared" si="6"/>
        <v>[391D06FF]挑战 [00821c]5[-] 次灵台斗法</v>
      </c>
    </row>
    <row r="176" spans="1:22" s="28" customFormat="1" ht="16.5">
      <c r="A176" s="25">
        <v>100005</v>
      </c>
      <c r="B176" s="26">
        <v>900</v>
      </c>
      <c r="C176" s="26">
        <v>999</v>
      </c>
      <c r="D176" s="25" t="s">
        <v>79</v>
      </c>
      <c r="E176" s="25" t="s">
        <v>79</v>
      </c>
      <c r="F176" s="25">
        <v>3018</v>
      </c>
      <c r="G176" s="25">
        <v>3</v>
      </c>
      <c r="H176" s="25">
        <v>149</v>
      </c>
      <c r="I176" s="26" t="s">
        <v>31</v>
      </c>
      <c r="J176" s="27">
        <v>30605</v>
      </c>
      <c r="K176" s="25">
        <v>20</v>
      </c>
      <c r="L176" s="27" t="s">
        <v>47</v>
      </c>
      <c r="U176" s="28" t="e">
        <f>INT(MID($D176,MIN(FIND({0,1,2,3,4,5,6,7,8,9},$D176&amp;"0123456789")),LEN($D176)*2-LENB($D176)))</f>
        <v>#VALUE!</v>
      </c>
      <c r="V176" s="28" t="str">
        <f t="shared" si="6"/>
        <v>[391D06FF]进行 [00821c]3[-] 次法宝合成</v>
      </c>
    </row>
    <row r="177" spans="1:22" s="28" customFormat="1" ht="16.5">
      <c r="A177" s="25">
        <v>100006</v>
      </c>
      <c r="B177" s="26">
        <v>900</v>
      </c>
      <c r="C177" s="26">
        <v>999</v>
      </c>
      <c r="D177" s="25" t="s">
        <v>80</v>
      </c>
      <c r="E177" s="25" t="s">
        <v>80</v>
      </c>
      <c r="F177" s="25" t="s">
        <v>65</v>
      </c>
      <c r="G177" s="25">
        <v>3</v>
      </c>
      <c r="H177" s="25">
        <v>150</v>
      </c>
      <c r="I177" s="26" t="s">
        <v>36</v>
      </c>
      <c r="J177" s="27">
        <v>30606</v>
      </c>
      <c r="K177" s="25">
        <v>10</v>
      </c>
      <c r="L177" s="27" t="s">
        <v>49</v>
      </c>
      <c r="U177" s="28" t="e">
        <f>INT(MID($D177,MIN(FIND({0,1,2,3,4,5,6,7,8,9},$D177&amp;"0123456789")),LEN($D177)*2-LENB($D177)))</f>
        <v>#VALUE!</v>
      </c>
      <c r="V177" s="28" t="str">
        <f t="shared" si="6"/>
        <v>[391D06FF]挑战 [00821c]3[-] 次大雁塔</v>
      </c>
    </row>
    <row r="178" spans="1:22" s="28" customFormat="1" ht="16.5">
      <c r="A178" s="25">
        <v>100007</v>
      </c>
      <c r="B178" s="26">
        <v>900</v>
      </c>
      <c r="C178" s="26">
        <v>999</v>
      </c>
      <c r="D178" s="25" t="s">
        <v>81</v>
      </c>
      <c r="E178" s="25" t="s">
        <v>81</v>
      </c>
      <c r="F178" s="25" t="s">
        <v>66</v>
      </c>
      <c r="G178" s="25">
        <v>3</v>
      </c>
      <c r="H178" s="25">
        <v>151</v>
      </c>
      <c r="I178" s="26" t="s">
        <v>32</v>
      </c>
      <c r="J178" s="27">
        <v>30607</v>
      </c>
      <c r="K178" s="25">
        <v>10</v>
      </c>
      <c r="L178" s="27" t="s">
        <v>54</v>
      </c>
      <c r="U178" s="28" t="e">
        <f>INT(MID($D178,MIN(FIND({0,1,2,3,4,5,6,7,8,9},$D178&amp;"0123456789")),LEN($D178)*2-LENB($D178)))</f>
        <v>#VALUE!</v>
      </c>
      <c r="V178" s="28" t="str">
        <f t="shared" si="6"/>
        <v>[391D06FF]装备强化 [00821c]5[-] 次</v>
      </c>
    </row>
    <row r="179" spans="1:22" s="28" customFormat="1" ht="16.5">
      <c r="A179" s="25">
        <v>100008</v>
      </c>
      <c r="B179" s="26">
        <v>900</v>
      </c>
      <c r="C179" s="26">
        <v>999</v>
      </c>
      <c r="D179" s="25" t="s">
        <v>82</v>
      </c>
      <c r="E179" s="25" t="s">
        <v>82</v>
      </c>
      <c r="F179" s="25">
        <v>4503</v>
      </c>
      <c r="G179" s="25">
        <v>3</v>
      </c>
      <c r="H179" s="25">
        <v>152</v>
      </c>
      <c r="I179" s="26" t="s">
        <v>58</v>
      </c>
      <c r="J179" s="27">
        <v>30608</v>
      </c>
      <c r="K179" s="25">
        <v>20</v>
      </c>
      <c r="L179" s="27" t="s">
        <v>56</v>
      </c>
      <c r="U179" s="28" t="e">
        <f>INT(MID($D179,MIN(FIND({0,1,2,3,4,5,6,7,8,9},$D179&amp;"0123456789")),LEN($D179)*2-LENB($D179)))</f>
        <v>#VALUE!</v>
      </c>
      <c r="V179" s="28" t="str">
        <f t="shared" si="6"/>
        <v>[391D06FF]法宝强化 [00821c]3[-] 次</v>
      </c>
    </row>
    <row r="180" spans="1:22" s="28" customFormat="1" ht="16.5">
      <c r="A180" s="25">
        <v>100009</v>
      </c>
      <c r="B180" s="26">
        <v>900</v>
      </c>
      <c r="C180" s="26">
        <v>999</v>
      </c>
      <c r="D180" s="25" t="s">
        <v>83</v>
      </c>
      <c r="E180" s="25" t="s">
        <v>83</v>
      </c>
      <c r="F180" s="25" t="s">
        <v>68</v>
      </c>
      <c r="G180" s="25">
        <v>3</v>
      </c>
      <c r="H180" s="25">
        <v>153</v>
      </c>
      <c r="I180" s="26" t="s">
        <v>33</v>
      </c>
      <c r="J180" s="27">
        <v>30609</v>
      </c>
      <c r="K180" s="25">
        <v>10</v>
      </c>
      <c r="L180" s="27" t="s">
        <v>53</v>
      </c>
      <c r="U180" s="28" t="e">
        <f>INT(MID($D180,MIN(FIND({0,1,2,3,4,5,6,7,8,9},$D180&amp;"0123456789")),LEN($D180)*2-LENB($D180)))</f>
        <v>#VALUE!</v>
      </c>
      <c r="V180" s="28" t="str">
        <f t="shared" si="6"/>
        <v>[391D06FF]进行 [00821c]3[-] 次普通聚仙</v>
      </c>
    </row>
    <row r="181" spans="1:22" s="28" customFormat="1" ht="16.5">
      <c r="A181" s="25">
        <v>100010</v>
      </c>
      <c r="B181" s="26">
        <v>900</v>
      </c>
      <c r="C181" s="26">
        <v>999</v>
      </c>
      <c r="D181" s="25" t="s">
        <v>84</v>
      </c>
      <c r="E181" s="25" t="s">
        <v>84</v>
      </c>
      <c r="F181" s="25" t="s">
        <v>67</v>
      </c>
      <c r="G181" s="25">
        <v>3</v>
      </c>
      <c r="H181" s="25">
        <v>154</v>
      </c>
      <c r="I181" s="26" t="s">
        <v>34</v>
      </c>
      <c r="J181" s="27">
        <v>30610</v>
      </c>
      <c r="K181" s="25">
        <v>20</v>
      </c>
      <c r="L181" s="27" t="s">
        <v>53</v>
      </c>
      <c r="U181" s="28" t="e">
        <f>INT(MID($D181,MIN(FIND({0,1,2,3,4,5,6,7,8,9},$D181&amp;"0123456789")),LEN($D181)*2-LENB($D181)))</f>
        <v>#VALUE!</v>
      </c>
      <c r="V181" s="28" t="str">
        <f t="shared" si="6"/>
        <v>[391D06FF]进行 [00821c]1[-] 次顶级聚仙</v>
      </c>
    </row>
    <row r="182" spans="1:22" s="28" customFormat="1" ht="16.5">
      <c r="A182" s="25">
        <v>100011</v>
      </c>
      <c r="B182" s="26">
        <v>900</v>
      </c>
      <c r="C182" s="26">
        <v>999</v>
      </c>
      <c r="D182" s="25" t="s">
        <v>85</v>
      </c>
      <c r="E182" s="25" t="s">
        <v>85</v>
      </c>
      <c r="F182" s="25" t="s">
        <v>69</v>
      </c>
      <c r="G182" s="25">
        <v>3</v>
      </c>
      <c r="H182" s="25">
        <v>155</v>
      </c>
      <c r="I182" s="26" t="s">
        <v>60</v>
      </c>
      <c r="J182" s="27">
        <v>30611</v>
      </c>
      <c r="K182" s="25">
        <v>10</v>
      </c>
      <c r="L182" s="27" t="s">
        <v>51</v>
      </c>
      <c r="U182" s="28" t="e">
        <f>INT(MID($D182,MIN(FIND({0,1,2,3,4,5,6,7,8,9},$D182&amp;"0123456789")),LEN($D182)*2-LENB($D182)))</f>
        <v>#VALUE!</v>
      </c>
      <c r="V182" s="28" t="str">
        <f t="shared" si="6"/>
        <v>[391D06FF]伙伴升级 [00821c]1[-] 次</v>
      </c>
    </row>
    <row r="183" spans="1:22" s="28" customFormat="1" ht="16.5">
      <c r="A183" s="25">
        <v>100012</v>
      </c>
      <c r="B183" s="26">
        <v>900</v>
      </c>
      <c r="C183" s="26">
        <v>999</v>
      </c>
      <c r="D183" s="25" t="s">
        <v>86</v>
      </c>
      <c r="E183" s="25" t="s">
        <v>86</v>
      </c>
      <c r="F183" s="25" t="s">
        <v>73</v>
      </c>
      <c r="G183" s="25">
        <v>3</v>
      </c>
      <c r="H183" s="25">
        <v>156</v>
      </c>
      <c r="I183" s="26" t="s">
        <v>30</v>
      </c>
      <c r="J183" s="27">
        <v>30612</v>
      </c>
      <c r="K183" s="25">
        <v>10</v>
      </c>
      <c r="L183" s="27" t="s">
        <v>47</v>
      </c>
      <c r="U183" s="28" t="e">
        <f>INT(MID($D183,MIN(FIND({0,1,2,3,4,5,6,7,8,9},$D183&amp;"0123456789")),LEN($D183)*2-LENB($D183)))</f>
        <v>#VALUE!</v>
      </c>
      <c r="V183" s="28" t="str">
        <f t="shared" si="6"/>
        <v>[391D06FF]法宝抢夺 [00821c]5[-] 次</v>
      </c>
    </row>
  </sheetData>
  <autoFilter ref="A1:J15"/>
  <phoneticPr fontId="5" type="noConversion"/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2018-01-30T16:22:59Z</dcterms:modified>
</cp:coreProperties>
</file>